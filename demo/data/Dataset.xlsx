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ta" sheetId="1" state="visible" r:id="rId2"/>
    <sheet name="train_arr_data" sheetId="2" state="visible" r:id="rId3"/>
    <sheet name="train_mu_temp" sheetId="3" state="visible" r:id="rId4"/>
    <sheet name="mu_test" sheetId="4" state="visible" r:id="rId5"/>
    <sheet name="temp_test" sheetId="5" state="visible" r:id="rId6"/>
    <sheet name="mu_temp_test_exp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<sst xmlns="http://schemas.openxmlformats.org/spreadsheetml/2006/main" count="17222" uniqueCount="1587">
  <si>
    <t xml:space="preserve">Compounds</t>
  </si>
  <si>
    <t xml:space="preserve">smiles</t>
  </si>
  <si>
    <t xml:space="preserve">label</t>
  </si>
  <si>
    <t xml:space="preserve">1,1,2-Trifluoro-1,2,2-trichloro ethane</t>
  </si>
  <si>
    <t xml:space="preserve">FC(F)(Cl)C(F)(Cl)Cl</t>
  </si>
  <si>
    <t xml:space="preserve">test</t>
  </si>
  <si>
    <t xml:space="preserve">1,2,3,4 Tetra hydronaphthalene</t>
  </si>
  <si>
    <t xml:space="preserve">C1CCc2ccccc2C1</t>
  </si>
  <si>
    <t xml:space="preserve">1,2,3,4-Tetrahydro-2,6-dimethyl-7-octyl naphthalene</t>
  </si>
  <si>
    <t xml:space="preserve">CCCCCCCCc1cc2CC(C)CCc2cc1C</t>
  </si>
  <si>
    <t xml:space="preserve">1,2-Ethanediol</t>
  </si>
  <si>
    <t xml:space="preserve">OCCO</t>
  </si>
  <si>
    <t xml:space="preserve">1,3-Dioxolane</t>
  </si>
  <si>
    <t xml:space="preserve">C1COCO1</t>
  </si>
  <si>
    <t xml:space="preserve">1,4 Dibromo benzene</t>
  </si>
  <si>
    <t xml:space="preserve">Brc1ccc(Br)cc1</t>
  </si>
  <si>
    <t xml:space="preserve">1-Chlorobutane</t>
  </si>
  <si>
    <t xml:space="preserve">CCCCCl</t>
  </si>
  <si>
    <t xml:space="preserve">1-Fluorohexane</t>
  </si>
  <si>
    <t xml:space="preserve">CCCCCCF</t>
  </si>
  <si>
    <t xml:space="preserve">1-m-Tolyl-1-o-tolylethane</t>
  </si>
  <si>
    <t xml:space="preserve">CC(c1cccc(C)c1)c2ccccc2C</t>
  </si>
  <si>
    <t xml:space="preserve">1-Octene</t>
  </si>
  <si>
    <t xml:space="preserve">CCCCCCC=C</t>
  </si>
  <si>
    <t xml:space="preserve">1-o-Tolyl-1-p-tolyl ethane</t>
  </si>
  <si>
    <t xml:space="preserve">CC(c1ccc(C)cc1)c2ccccc2C</t>
  </si>
  <si>
    <t xml:space="preserve">1-Propanamine</t>
  </si>
  <si>
    <t xml:space="preserve">CCCN</t>
  </si>
  <si>
    <t xml:space="preserve">1-Propanethiol</t>
  </si>
  <si>
    <t xml:space="preserve">CCCS</t>
  </si>
  <si>
    <t xml:space="preserve">2,6-Dimethyl-4-heptanone</t>
  </si>
  <si>
    <t xml:space="preserve">CC(C)CC(=O)CC(C)C</t>
  </si>
  <si>
    <t xml:space="preserve">2,7-Dimethyl octane</t>
  </si>
  <si>
    <t xml:space="preserve">CC(C)CCCCC(C)C</t>
  </si>
  <si>
    <t xml:space="preserve">2-Bromo aniline</t>
  </si>
  <si>
    <t xml:space="preserve">Nc1ccccc1Br</t>
  </si>
  <si>
    <t xml:space="preserve">2-Butoxyethanol</t>
  </si>
  <si>
    <t xml:space="preserve">CCCCOCCO</t>
  </si>
  <si>
    <t xml:space="preserve">2-Hexanol</t>
  </si>
  <si>
    <t xml:space="preserve">CCCCC(C)O</t>
  </si>
  <si>
    <t xml:space="preserve">2-Methoxyethanol</t>
  </si>
  <si>
    <t xml:space="preserve">COCCO</t>
  </si>
  <si>
    <t xml:space="preserve">2-Methyl cyclohexanol</t>
  </si>
  <si>
    <t xml:space="preserve">CC1CCCCC1O</t>
  </si>
  <si>
    <t xml:space="preserve">2-Methyl-2-propanethiol</t>
  </si>
  <si>
    <t xml:space="preserve">CC(C)(C)S</t>
  </si>
  <si>
    <t xml:space="preserve">2-Nitro-2-butene</t>
  </si>
  <si>
    <t xml:space="preserve">CC=C(C)[N+]([O-])=O</t>
  </si>
  <si>
    <t xml:space="preserve">2-Nitro-2-heptene</t>
  </si>
  <si>
    <t xml:space="preserve">CCCCC=C(C)[N+]([O-])=O</t>
  </si>
  <si>
    <t xml:space="preserve">2-Nitro-2-hexene</t>
  </si>
  <si>
    <t xml:space="preserve">CCCC=C(C)[N+]([O-])=O</t>
  </si>
  <si>
    <t xml:space="preserve">2-Nitro-2-nonene</t>
  </si>
  <si>
    <t xml:space="preserve">CCCCCCC=C(C)[N+]([O-])=O</t>
  </si>
  <si>
    <t xml:space="preserve">2-Nitro-2-octene</t>
  </si>
  <si>
    <t xml:space="preserve">CCCCCC=C(C)[N+]([O-])=O</t>
  </si>
  <si>
    <t xml:space="preserve">2-Nitro-2-pentene</t>
  </si>
  <si>
    <t xml:space="preserve">CCC=C(C)[N+]([O-])=O</t>
  </si>
  <si>
    <t xml:space="preserve">2-Pentene</t>
  </si>
  <si>
    <t xml:space="preserve">CCC=CC</t>
  </si>
  <si>
    <t xml:space="preserve">2-Picoline N-oxide</t>
  </si>
  <si>
    <t xml:space="preserve">Cc1cccc[n+]1[O-]</t>
  </si>
  <si>
    <t xml:space="preserve">2-p-Propyl phenyl-2-p-tolylbutane</t>
  </si>
  <si>
    <t xml:space="preserve">CCCc1ccc(cc1)C(C)(CC)c2ccc(C)cc2</t>
  </si>
  <si>
    <t xml:space="preserve">3,3-Dimethyl-2-butanol</t>
  </si>
  <si>
    <t xml:space="preserve">CC(O)C(C)(C)C</t>
  </si>
  <si>
    <t xml:space="preserve">3-Chloronitrobenzene</t>
  </si>
  <si>
    <t xml:space="preserve">[O-][N+](=O)c1cccc(Cl)c1</t>
  </si>
  <si>
    <t xml:space="preserve">3-Methyl hexane</t>
  </si>
  <si>
    <t xml:space="preserve">CCCC(C)CC</t>
  </si>
  <si>
    <t xml:space="preserve">3-Nitro-2-heptene</t>
  </si>
  <si>
    <t xml:space="preserve">CCCCC(=CC)[N+]([O-])=O</t>
  </si>
  <si>
    <t xml:space="preserve">3-Nitro-2-hexene</t>
  </si>
  <si>
    <t xml:space="preserve">CCCC(=CC)[N+]([O-])=O</t>
  </si>
  <si>
    <t xml:space="preserve">3-Nitro-2-nonene</t>
  </si>
  <si>
    <t xml:space="preserve">CCCCCCC(=CC)[N+]([O-])=O</t>
  </si>
  <si>
    <t xml:space="preserve">3-Nitro-2-octene</t>
  </si>
  <si>
    <t xml:space="preserve">CCCCCC(=CC)[N+]([O-])=O</t>
  </si>
  <si>
    <t xml:space="preserve">3-Nitro-2-pentene</t>
  </si>
  <si>
    <t xml:space="preserve">CCC(=CC)[N+]([O-])=O</t>
  </si>
  <si>
    <t xml:space="preserve">3-Nitro-3-heptene</t>
  </si>
  <si>
    <t xml:space="preserve">CCCC=C(CC)[N+]([O-])=O</t>
  </si>
  <si>
    <t xml:space="preserve">3-Nitro-3-hexene</t>
  </si>
  <si>
    <t xml:space="preserve">CCC=C(CC)[N+]([O-])=O</t>
  </si>
  <si>
    <t xml:space="preserve">3-Nitro-3-nonene</t>
  </si>
  <si>
    <t xml:space="preserve">CCCCCC=C(CC)[N+]([O-])=O</t>
  </si>
  <si>
    <t xml:space="preserve">3-Nitro-3-octene</t>
  </si>
  <si>
    <t xml:space="preserve">CCCCC=C(CC)[N+]([O-])=O</t>
  </si>
  <si>
    <t xml:space="preserve">4-Bromoaniline</t>
  </si>
  <si>
    <t xml:space="preserve">Nc1ccc(Br)cc1</t>
  </si>
  <si>
    <t xml:space="preserve">4-Chlorobromobenzene</t>
  </si>
  <si>
    <t xml:space="preserve">Clc1ccc(Br)cc1</t>
  </si>
  <si>
    <t xml:space="preserve">4-Chloroiodobenzene</t>
  </si>
  <si>
    <t xml:space="preserve">Clc1ccc(I)cc1</t>
  </si>
  <si>
    <t xml:space="preserve">4-Fluorotoluene</t>
  </si>
  <si>
    <t xml:space="preserve">Cc1ccc(F)cc1</t>
  </si>
  <si>
    <t xml:space="preserve">4-Methyl-2-pentanol</t>
  </si>
  <si>
    <t xml:space="preserve">CC(C)CC(C)O</t>
  </si>
  <si>
    <t xml:space="preserve">4-Nitro-3-heptene</t>
  </si>
  <si>
    <t xml:space="preserve">CCCC(=CCC)[N+]([O-])=O</t>
  </si>
  <si>
    <t xml:space="preserve">4-Nitro-3-nonene</t>
  </si>
  <si>
    <t xml:space="preserve">CCCCCC(=CCC)[N+]([O-])=O</t>
  </si>
  <si>
    <t xml:space="preserve">4-Nitro-3-octene</t>
  </si>
  <si>
    <t xml:space="preserve">CCCCC(=CCC)[N+]([O-])=O</t>
  </si>
  <si>
    <t xml:space="preserve">4-Nitro-4-nonene</t>
  </si>
  <si>
    <t xml:space="preserve">CCCCC=C(CCC)[N+]([O-])=O</t>
  </si>
  <si>
    <t xml:space="preserve">4-Nitro-4-octene</t>
  </si>
  <si>
    <t xml:space="preserve">CCCC=C(CCC)[N+]([O-])=O</t>
  </si>
  <si>
    <t xml:space="preserve">5-Nitro-4-nonene</t>
  </si>
  <si>
    <t xml:space="preserve">CCCCC(=CCCC)[N+]([O-])=O</t>
  </si>
  <si>
    <t xml:space="preserve">Butyl acrylate</t>
  </si>
  <si>
    <t xml:space="preserve">CCCCOC(=O)C=C</t>
  </si>
  <si>
    <t xml:space="preserve">Butyl cyclopentane</t>
  </si>
  <si>
    <t xml:space="preserve">CCCCC1CCCC1</t>
  </si>
  <si>
    <t xml:space="preserve">Decahydro naphthalene</t>
  </si>
  <si>
    <t xml:space="preserve">C1CCC2CCCCC2C1</t>
  </si>
  <si>
    <t xml:space="preserve">Decanoic acid</t>
  </si>
  <si>
    <t xml:space="preserve">CCCCCCCCCC(O)=O</t>
  </si>
  <si>
    <t xml:space="preserve">Diglyme</t>
  </si>
  <si>
    <t xml:space="preserve">COCCOCCOC</t>
  </si>
  <si>
    <t xml:space="preserve">Ethanethiol</t>
  </si>
  <si>
    <t xml:space="preserve">CCS</t>
  </si>
  <si>
    <t xml:space="preserve">Ethyl chloroacetate</t>
  </si>
  <si>
    <t xml:space="preserve">CCOC(=O)CCl</t>
  </si>
  <si>
    <t xml:space="preserve">Linalool</t>
  </si>
  <si>
    <t xml:space="preserve">CC(C)=CCCC(C)(O)C=C</t>
  </si>
  <si>
    <t xml:space="preserve">Methyl benzoate</t>
  </si>
  <si>
    <t xml:space="preserve">COC(=O)c1ccccc1</t>
  </si>
  <si>
    <t xml:space="preserve">Octanoic acid</t>
  </si>
  <si>
    <t xml:space="preserve">CCCCCCCC(O)=O</t>
  </si>
  <si>
    <t xml:space="preserve">Palmitic acid</t>
  </si>
  <si>
    <t xml:space="preserve">CCCCCCCCCCCCCCCC(O)=O</t>
  </si>
  <si>
    <t xml:space="preserve">p-Cymene</t>
  </si>
  <si>
    <t xml:space="preserve">CC(C)c1ccc(C)cc1</t>
  </si>
  <si>
    <t xml:space="preserve">Propyl oleate</t>
  </si>
  <si>
    <t xml:space="preserve">CCCCCCCC\C=C/CCCCCCCC(=O)OCCC</t>
  </si>
  <si>
    <t xml:space="preserve">Propylene Carbonate</t>
  </si>
  <si>
    <t xml:space="preserve">CC1COC(=O)O1</t>
  </si>
  <si>
    <t xml:space="preserve">Tetrachloroethylene</t>
  </si>
  <si>
    <t xml:space="preserve">ClC(Cl)=C(Cl)Cl</t>
  </si>
  <si>
    <t xml:space="preserve">Trichloro ethylene</t>
  </si>
  <si>
    <t xml:space="preserve">ClC=C(Cl)Cl</t>
  </si>
  <si>
    <t xml:space="preserve">Trioctyl phosphine oxide</t>
  </si>
  <si>
    <t xml:space="preserve">CCCCCCCC[P](=O)(CCCCCCCC)CCCCCCCC</t>
  </si>
  <si>
    <t xml:space="preserve">Allyl thiocyanate</t>
  </si>
  <si>
    <t xml:space="preserve">C=CCSC#N</t>
  </si>
  <si>
    <t xml:space="preserve">Terphenyl</t>
  </si>
  <si>
    <t xml:space="preserve">c1ccc(cc1)c2ccccc2c3ccccc3</t>
  </si>
  <si>
    <t xml:space="preserve">1-hexadecanol</t>
  </si>
  <si>
    <t xml:space="preserve">CCCCCCCCCCCCCCCCO</t>
  </si>
  <si>
    <t xml:space="preserve">1-undecanol</t>
  </si>
  <si>
    <t xml:space="preserve">CCCCCCCCCCCO</t>
  </si>
  <si>
    <t xml:space="preserve">triethylene glycol</t>
  </si>
  <si>
    <t xml:space="preserve">OCCOCCOCCO</t>
  </si>
  <si>
    <t xml:space="preserve">1,2-diphenylethane</t>
  </si>
  <si>
    <t xml:space="preserve">c1ccc(cc1)CCc1ccccc1</t>
  </si>
  <si>
    <t xml:space="preserve">p-ethyltoluene</t>
  </si>
  <si>
    <t xml:space="preserve">CCc1ccc(C)cc1</t>
  </si>
  <si>
    <t xml:space="preserve">benzyl acetate</t>
  </si>
  <si>
    <t xml:space="preserve">CC(=O)OCc1ccccc1</t>
  </si>
  <si>
    <t xml:space="preserve">diisodecyl phthalate</t>
  </si>
  <si>
    <t xml:space="preserve">CC(C)CCCCCCCOC(=O)c1ccccc1C(=O)OCCCCCCCC(C)C</t>
  </si>
  <si>
    <t xml:space="preserve">diethyl malonate</t>
  </si>
  <si>
    <t xml:space="preserve">CCOC(=O)CC(=O)OCC</t>
  </si>
  <si>
    <t xml:space="preserve">dihexyl adipate</t>
  </si>
  <si>
    <t xml:space="preserve">CCCCCCOC(=O)CCCCC(=O)OCCCCCC</t>
  </si>
  <si>
    <t xml:space="preserve">dimethylmalonate</t>
  </si>
  <si>
    <t xml:space="preserve">COC(=O)CC(=O)OC</t>
  </si>
  <si>
    <t xml:space="preserve">isopropyl acetate</t>
  </si>
  <si>
    <t xml:space="preserve">CC(C)OC(=O)C</t>
  </si>
  <si>
    <t xml:space="preserve">nonyl ethanoate</t>
  </si>
  <si>
    <t xml:space="preserve">CCCCCCCCCOC(=O)C</t>
  </si>
  <si>
    <t xml:space="preserve">propyl propanoate</t>
  </si>
  <si>
    <t xml:space="preserve">CCCOC(=O)CC</t>
  </si>
  <si>
    <t xml:space="preserve">bicyclohexyl</t>
  </si>
  <si>
    <t xml:space="preserve">C1CCC(CC1)C1CCCCC1</t>
  </si>
  <si>
    <t xml:space="preserve">cycloheptane</t>
  </si>
  <si>
    <t xml:space="preserve">C1CCCCCC1</t>
  </si>
  <si>
    <t xml:space="preserve">cyclopentene</t>
  </si>
  <si>
    <t xml:space="preserve">C1CC=CC1</t>
  </si>
  <si>
    <t xml:space="preserve">isopropylcyclopentane</t>
  </si>
  <si>
    <t xml:space="preserve">CC(C)C1CCCC1</t>
  </si>
  <si>
    <t xml:space="preserve">n-propylcyclohexane</t>
  </si>
  <si>
    <t xml:space="preserve">CCCC1CCCCC1</t>
  </si>
  <si>
    <t xml:space="preserve">phenanthrene</t>
  </si>
  <si>
    <t xml:space="preserve">c1ccc2c(c1)ccc1ccccc21</t>
  </si>
  <si>
    <t xml:space="preserve">trans-1,2-dimethylcyclohexane</t>
  </si>
  <si>
    <t xml:space="preserve">C[C@@H]1CCCC[C@H]1C</t>
  </si>
  <si>
    <t xml:space="preserve">1-eicosene</t>
  </si>
  <si>
    <t xml:space="preserve">CCCCCCCCCCCCCCCCCCC=C</t>
  </si>
  <si>
    <t xml:space="preserve">cis-2-pentene</t>
  </si>
  <si>
    <t xml:space="preserve">CC/C=C\C</t>
  </si>
  <si>
    <t xml:space="preserve">2-(2-methoxyethoxy)ethanol</t>
  </si>
  <si>
    <t xml:space="preserve">COCCOCCO</t>
  </si>
  <si>
    <t xml:space="preserve">diethylene glycol monopropyl ether</t>
  </si>
  <si>
    <t xml:space="preserve">CCCOCCOCCO</t>
  </si>
  <si>
    <t xml:space="preserve">ethyl-3-ethoxypropionate</t>
  </si>
  <si>
    <t xml:space="preserve">CCOCCC(=O)OCC</t>
  </si>
  <si>
    <t xml:space="preserve">methyl acetoacetate</t>
  </si>
  <si>
    <t xml:space="preserve">COC(=O)CC(=O)C</t>
  </si>
  <si>
    <t xml:space="preserve">p-hydroxybenzaldehyde</t>
  </si>
  <si>
    <t xml:space="preserve">O=Cc1ccc(O)cc1</t>
  </si>
  <si>
    <t xml:space="preserve">propylene glycol monoallyl ether</t>
  </si>
  <si>
    <t xml:space="preserve">C=CCOCC(C)O</t>
  </si>
  <si>
    <t xml:space="preserve">propylene glycol monomethyl ether acetate</t>
  </si>
  <si>
    <t xml:space="preserve">COCC(C)OC(=O)C</t>
  </si>
  <si>
    <t xml:space="preserve">tetrahydrofurfuryl alcohol</t>
  </si>
  <si>
    <t xml:space="preserve">OCC1CCCO1</t>
  </si>
  <si>
    <t xml:space="preserve">2-methylundecane</t>
  </si>
  <si>
    <t xml:space="preserve">CCCCCCCCCC(C)C</t>
  </si>
  <si>
    <t xml:space="preserve">2,2-dimethylhexane</t>
  </si>
  <si>
    <t xml:space="preserve">CCCCC(C)(C)C</t>
  </si>
  <si>
    <t xml:space="preserve">2,3,3-trimethylpentane</t>
  </si>
  <si>
    <t xml:space="preserve">CCC(C)(C)C(C)C</t>
  </si>
  <si>
    <t xml:space="preserve">3,3-dimethylpentane</t>
  </si>
  <si>
    <t xml:space="preserve">CCC(C)(C)CC</t>
  </si>
  <si>
    <t xml:space="preserve">n-docosane</t>
  </si>
  <si>
    <t xml:space="preserve">CCCCCCCCCCCCCCCCCCCCCC</t>
  </si>
  <si>
    <t xml:space="preserve">n-heneicosane</t>
  </si>
  <si>
    <t xml:space="preserve">CCCCCCCCCCCCCCCCCCCCC</t>
  </si>
  <si>
    <t xml:space="preserve">2,2,2-Trifluoroethanol</t>
  </si>
  <si>
    <t xml:space="preserve">C(C(F)(F)F)O</t>
  </si>
  <si>
    <t xml:space="preserve">1,1-Di-o-tolyl ethane</t>
  </si>
  <si>
    <t xml:space="preserve">CC(c1ccccc1C)c2ccccc2C</t>
  </si>
  <si>
    <t xml:space="preserve">1,1-Di-p-tolyl ethane</t>
  </si>
  <si>
    <t xml:space="preserve">CC(c1ccc(C)cc1)c2ccc(C)cc2</t>
  </si>
  <si>
    <t xml:space="preserve">1,8-Cineole</t>
  </si>
  <si>
    <t xml:space="preserve">CC12CCC(CC1)C(C)(C)O2</t>
  </si>
  <si>
    <t xml:space="preserve">1-m-Tolyl-1-p-tolyl ethane</t>
  </si>
  <si>
    <t xml:space="preserve">CC(c1ccc(C)cc1)c2cccc(C)c2</t>
  </si>
  <si>
    <t xml:space="preserve">1-p-Propyl phenyl-p-tolylethane</t>
  </si>
  <si>
    <t xml:space="preserve">CCCc1ccc(cc1)C2(C)CC=C(CC)C=C2</t>
  </si>
  <si>
    <t xml:space="preserve">2,2-Di-p-tolylbutane</t>
  </si>
  <si>
    <t xml:space="preserve">CCC(C)(c1ccc(C)cc1)c2ccc(C)cc2</t>
  </si>
  <si>
    <t xml:space="preserve">2,6-Dimethyl-3-octyl decahydro naphthalene</t>
  </si>
  <si>
    <t xml:space="preserve">CCCCCCCCC1CC2CC(C)CCC2CC1C</t>
  </si>
  <si>
    <t xml:space="preserve">2-Phenyl-1-propanol</t>
  </si>
  <si>
    <t xml:space="preserve">CC(CO)c1ccccc1</t>
  </si>
  <si>
    <t xml:space="preserve">7-n-Hexadecyl spiro(4,5)decane</t>
  </si>
  <si>
    <t xml:space="preserve">CCCCCCCCCCCCCCCCC1CCCC2(CCCC2)C1</t>
  </si>
  <si>
    <t xml:space="preserve">Bromal hydrate</t>
  </si>
  <si>
    <t xml:space="preserve">O.BrC(Br)(Br)C=O</t>
  </si>
  <si>
    <t xml:space="preserve">Methyl tert-butyl ether</t>
  </si>
  <si>
    <t xml:space="preserve">COC(C)(C)C</t>
  </si>
  <si>
    <t xml:space="preserve">n-Dotriacontane</t>
  </si>
  <si>
    <t xml:space="preserve">CCCCCCCCCCCCCCCCCCCCCCCCCCCCCCCC</t>
  </si>
  <si>
    <t xml:space="preserve">n-Hexacontane</t>
  </si>
  <si>
    <t xml:space="preserve">CCCCCCCCCCCCCCCCCCCCCCCCCCCCCCCCCCCCCCCCCCCCCCCCCCCCCCCCCCCC</t>
  </si>
  <si>
    <t xml:space="preserve">n-Tetratetracontane</t>
  </si>
  <si>
    <t xml:space="preserve">CCCCCCCCCCCCCCCCCCCCCCCCCCCCCCCCCCCCCCCCCCCC</t>
  </si>
  <si>
    <t xml:space="preserve">Octadecyl thiomyristate</t>
  </si>
  <si>
    <t xml:space="preserve">CCCCCCCCCCCCCCCCCCOC(=S)CCCCCCCCCCCCC</t>
  </si>
  <si>
    <t xml:space="preserve">Perfluoro-1,4-diisopropoxybutane</t>
  </si>
  <si>
    <t xml:space="preserve">FC(F)(F)C(F)(OC(F)(F)C(F)(F)C(F)(F)C(F)(F)OC(F)(C(F)(F)F)C(F)(F)F)C(F)(F)F</t>
  </si>
  <si>
    <t xml:space="preserve">Perfluoro-1-isopropoxy hexane</t>
  </si>
  <si>
    <t xml:space="preserve">FC(F)(F)C(F)(F)C(F)(F)C(F)(F)C(F)(F)C(F)(F)OC(F)(C(F)(F)F)C(F)(F)F</t>
  </si>
  <si>
    <t xml:space="preserve">Sucrose</t>
  </si>
  <si>
    <t xml:space="preserve">OC[C@H]1O[C@H](O[C@]2(CO)O[C@H](CO)[C@@H](O)[C@@H]2O)[C@H](O)[C@@H](O)[C@@H]1O</t>
  </si>
  <si>
    <t xml:space="preserve">t-Amyl alcohol</t>
  </si>
  <si>
    <t xml:space="preserve">CCC(C)(C)O</t>
  </si>
  <si>
    <t xml:space="preserve">Tri-o-tolyl phosphate</t>
  </si>
  <si>
    <t xml:space="preserve">Cc1ccccc1O[P](=O)(Oc2ccccc2C)Oc3ccccc3C</t>
  </si>
  <si>
    <t xml:space="preserve">Tripalmitin</t>
  </si>
  <si>
    <t xml:space="preserve">CCCCCCCCCCCCCCCC(=O)OCC(COC(=O)CCCCCCCCCCCCCCC)OC(=O)CCCCCCCCCCCCCCC</t>
  </si>
  <si>
    <t xml:space="preserve">alpha-PINENE</t>
  </si>
  <si>
    <t xml:space="preserve">CC1=CCC2CC1C2(C)C</t>
  </si>
  <si>
    <t xml:space="preserve">beta-PINENE</t>
  </si>
  <si>
    <t xml:space="preserve">CC1(C)C2CCC(=C)C1C2</t>
  </si>
  <si>
    <t xml:space="preserve">1,2-butanediol</t>
  </si>
  <si>
    <t xml:space="preserve">CCC(O)CO</t>
  </si>
  <si>
    <t xml:space="preserve">diethylene glycol</t>
  </si>
  <si>
    <t xml:space="preserve">OCCOCCO</t>
  </si>
  <si>
    <t xml:space="preserve">dipropylene glycol</t>
  </si>
  <si>
    <t xml:space="preserve">CC(O)COCC(C)O</t>
  </si>
  <si>
    <t xml:space="preserve">sucrose acetate isobutyrate</t>
  </si>
  <si>
    <t xml:space="preserve">CC(=O)OCC1OC(OC2(COC(=O)C(C)C)OC(COC(=O)C)C(OC(=O)C(C)C)C2OC(=O)C(C)C)C(OC(=O)C(C)C)C(OC(=O)C(C)C)C1OC(=O)C(C)C</t>
  </si>
  <si>
    <t xml:space="preserve">n-triacontane</t>
  </si>
  <si>
    <t xml:space="preserve">CCCCCCCCCCCCCCCCCCCCCCCCCCCCCC</t>
  </si>
  <si>
    <t xml:space="preserve">Methyl Myristate</t>
  </si>
  <si>
    <t xml:space="preserve">CCCCCCCCCCCCCC(=O)OC</t>
  </si>
  <si>
    <t xml:space="preserve">Ethyl Myristate</t>
  </si>
  <si>
    <t xml:space="preserve">CCCCCCCCCCCCCC(=O)OCC</t>
  </si>
  <si>
    <t xml:space="preserve">Ethyl Nonanoate</t>
  </si>
  <si>
    <t xml:space="preserve">CCCCCCCCC(=O)OCC</t>
  </si>
  <si>
    <t xml:space="preserve">Tri(propylene glycol) methyl ether</t>
  </si>
  <si>
    <t xml:space="preserve">COCCOCCOCCO</t>
  </si>
  <si>
    <t xml:space="preserve">Diethyl phenylmalonate</t>
  </si>
  <si>
    <t xml:space="preserve">CCOC(=O)C(C(=O)OCC)c1ccccc1</t>
  </si>
  <si>
    <t xml:space="preserve">Dibutyl Sebacate</t>
  </si>
  <si>
    <t xml:space="preserve">CCCCOC(=O)CCCCCCCCC(=O)OCCCC</t>
  </si>
  <si>
    <t xml:space="preserve">Squalane</t>
  </si>
  <si>
    <t xml:space="preserve">CC(C)CCCC(C)CCCC(C)CCCCC(C)CCCC(C)CCCC(C)C</t>
  </si>
  <si>
    <t xml:space="preserve">Ethyl dodecanoate</t>
  </si>
  <si>
    <t xml:space="preserve">CCCCCCCCCCCC(=O)OCC</t>
  </si>
  <si>
    <t xml:space="preserve">Diethylene glycol dibutyl ether</t>
  </si>
  <si>
    <t xml:space="preserve">CCCCOCCOCCOCCCC</t>
  </si>
  <si>
    <t xml:space="preserve">Glycerol trioctanoate</t>
  </si>
  <si>
    <t xml:space="preserve">CCCCCCCC(=O)OCC(COC(=O)CCCCCCC)OC(=O)CCCCCCC</t>
  </si>
  <si>
    <t xml:space="preserve">Diethylene glycol butyl ether</t>
  </si>
  <si>
    <t xml:space="preserve">CCCCOCCOCCO</t>
  </si>
  <si>
    <t xml:space="preserve">Diethyl succinate</t>
  </si>
  <si>
    <t xml:space="preserve">CCOC(=O)CCC(=O)OCC</t>
  </si>
  <si>
    <t xml:space="preserve">10-undecen-1-ol</t>
  </si>
  <si>
    <t xml:space="preserve">OCCCCCCCCCC=C</t>
  </si>
  <si>
    <t xml:space="preserve">5-Nonanone</t>
  </si>
  <si>
    <t xml:space="preserve">CCCCC(=O)CCCC</t>
  </si>
  <si>
    <t xml:space="preserve">m-Tolyl acetate </t>
  </si>
  <si>
    <t xml:space="preserve">CC(=O)Oc1cccc(C)c1</t>
  </si>
  <si>
    <t xml:space="preserve">Hexyl Octanoate </t>
  </si>
  <si>
    <t xml:space="preserve">CCCCCCCC(=O)OCCCCCC</t>
  </si>
  <si>
    <t xml:space="preserve">Dioctyl ether </t>
  </si>
  <si>
    <t xml:space="preserve">CCCCCCCCOCCCCCCCC</t>
  </si>
  <si>
    <t xml:space="preserve">Diisobutyl adipate </t>
  </si>
  <si>
    <t xml:space="preserve">CC(C)COC(=O)CCCCC(=O)OCC(C)C</t>
  </si>
  <si>
    <t xml:space="preserve">Methyl oleate</t>
  </si>
  <si>
    <t xml:space="preserve">CCCCCCCC\C=C/CCCCCCCC(=O)OC</t>
  </si>
  <si>
    <t xml:space="preserve">Hydroxyacetone</t>
  </si>
  <si>
    <t xml:space="preserve">CC(=O)CO</t>
  </si>
  <si>
    <t xml:space="preserve">Methyl butyrate </t>
  </si>
  <si>
    <t xml:space="preserve">CCCC(=O)OC</t>
  </si>
  <si>
    <t xml:space="preserve">Octyl acetate</t>
  </si>
  <si>
    <t xml:space="preserve">CCCCCCCCOC(C)=O</t>
  </si>
  <si>
    <t xml:space="preserve">Methyl methoxyacetate</t>
  </si>
  <si>
    <t xml:space="preserve">COCC(=O)OC</t>
  </si>
  <si>
    <t xml:space="preserve">2,2 Dimethylbutyric acid</t>
  </si>
  <si>
    <t xml:space="preserve">CCC(C)(C)C(O)=O</t>
  </si>
  <si>
    <t xml:space="preserve">2-Nonanone</t>
  </si>
  <si>
    <t xml:space="preserve">CCCCCCCC(C)=O</t>
  </si>
  <si>
    <t xml:space="preserve">Propylene glycol propyl ether</t>
  </si>
  <si>
    <t xml:space="preserve">CCCOCC(C)O</t>
  </si>
  <si>
    <t xml:space="preserve">Diethyl dimethylmalonate</t>
  </si>
  <si>
    <t xml:space="preserve">CCOC(=O)C(C)(C)C(=O)OCC</t>
  </si>
  <si>
    <t xml:space="preserve">Dimethyl cyclohexane 1,4 dicarboxylate </t>
  </si>
  <si>
    <t xml:space="preserve">COC(=O)C1CCC(CC1)C(=O)OC</t>
  </si>
  <si>
    <t xml:space="preserve">Dibutyl adipate </t>
  </si>
  <si>
    <t xml:space="preserve">CCCCOC(=O)CCCCC(=O)OCCCC</t>
  </si>
  <si>
    <t xml:space="preserve">1-Octanol</t>
  </si>
  <si>
    <t xml:space="preserve">CCCCCCCCO</t>
  </si>
  <si>
    <t xml:space="preserve">1-Decanol</t>
  </si>
  <si>
    <t xml:space="preserve">CCCCCCCCCCO</t>
  </si>
  <si>
    <t xml:space="preserve">Ethyl laurate</t>
  </si>
  <si>
    <t xml:space="preserve">2 Undecanone</t>
  </si>
  <si>
    <t xml:space="preserve">CCCCCCCCCC(C)=O</t>
  </si>
  <si>
    <t xml:space="preserve">2 Ethylhexyl Acetate</t>
  </si>
  <si>
    <t xml:space="preserve">CCCCC(CC)COC(C)=O</t>
  </si>
  <si>
    <t xml:space="preserve">Bis 2 Ethylhexyl Adipate</t>
  </si>
  <si>
    <t xml:space="preserve">CCCCC(CC)COC(=O)CCCCC(=O)OCC(CC)CCCC</t>
  </si>
  <si>
    <t xml:space="preserve">Diethylene glycol monoethyl ether acetate</t>
  </si>
  <si>
    <t xml:space="preserve">CCOCCOCCOC(C)=O</t>
  </si>
  <si>
    <t xml:space="preserve">Dihexyl ether</t>
  </si>
  <si>
    <t xml:space="preserve">CCCCCCOCCCCCC</t>
  </si>
  <si>
    <t xml:space="preserve">Acetic acid</t>
  </si>
  <si>
    <t xml:space="preserve">CC(=O)O</t>
  </si>
  <si>
    <t xml:space="preserve">Formic acid</t>
  </si>
  <si>
    <t xml:space="preserve">C(=O)O</t>
  </si>
  <si>
    <t xml:space="preserve">methylacetic acid</t>
  </si>
  <si>
    <t xml:space="preserve">CCC(=O)O</t>
  </si>
  <si>
    <t xml:space="preserve">Butyric acid</t>
  </si>
  <si>
    <t xml:space="preserve">CCCC(=O)O</t>
  </si>
  <si>
    <t xml:space="preserve">Valeric acid</t>
  </si>
  <si>
    <t xml:space="preserve">CCCCC(=O)O</t>
  </si>
  <si>
    <t xml:space="preserve">Caproic acid</t>
  </si>
  <si>
    <t xml:space="preserve">CCCCCC(=O)O</t>
  </si>
  <si>
    <t xml:space="preserve">Succinic acid</t>
  </si>
  <si>
    <t xml:space="preserve">C(CC(=O)O)C(=O)O</t>
  </si>
  <si>
    <t xml:space="preserve">Glutaric acid</t>
  </si>
  <si>
    <t xml:space="preserve">C(CC(=O)O)CC(=O)O</t>
  </si>
  <si>
    <t xml:space="preserve">Adipic acid</t>
  </si>
  <si>
    <t xml:space="preserve">C(C(=O)O)CC(C(=O)O)(C(=O)O)O</t>
  </si>
  <si>
    <t xml:space="preserve">Propanethiol</t>
  </si>
  <si>
    <t xml:space="preserve">Butanethiol</t>
  </si>
  <si>
    <t xml:space="preserve">CCCCS</t>
  </si>
  <si>
    <t xml:space="preserve">Pentanethiol</t>
  </si>
  <si>
    <t xml:space="preserve">CCCCCS</t>
  </si>
  <si>
    <t xml:space="preserve">Hexanethiol</t>
  </si>
  <si>
    <t xml:space="preserve">CCCCCCS</t>
  </si>
  <si>
    <t xml:space="preserve">Heptanethiol</t>
  </si>
  <si>
    <t xml:space="preserve">CCCCCCCS</t>
  </si>
  <si>
    <t xml:space="preserve">Octanethiol</t>
  </si>
  <si>
    <t xml:space="preserve">CCCCCCCCS</t>
  </si>
  <si>
    <t xml:space="preserve">Nonanethiol</t>
  </si>
  <si>
    <t xml:space="preserve">CCCCCCCCCS</t>
  </si>
  <si>
    <t xml:space="preserve">Decanethiol</t>
  </si>
  <si>
    <t xml:space="preserve">CCCCCCCCCCS</t>
  </si>
  <si>
    <t xml:space="preserve">2-Methyl-1-propanethiol</t>
  </si>
  <si>
    <t xml:space="preserve">CC(C)CS</t>
  </si>
  <si>
    <t xml:space="preserve">1-methyl-1-propanethiol</t>
  </si>
  <si>
    <t xml:space="preserve">CCC(C)S</t>
  </si>
  <si>
    <t xml:space="preserve">Isobutanethiol</t>
  </si>
  <si>
    <t xml:space="preserve">Cyclohexanethiol</t>
  </si>
  <si>
    <t xml:space="preserve">C1CCCC(C1)S</t>
  </si>
  <si>
    <t xml:space="preserve">Benzenethiol</t>
  </si>
  <si>
    <t xml:space="preserve">C1=CC=C(C=C1)S</t>
  </si>
  <si>
    <t xml:space="preserve">2-Mercaptoethanol</t>
  </si>
  <si>
    <t xml:space="preserve">C(CS)O</t>
  </si>
  <si>
    <t xml:space="preserve">Propylamine</t>
  </si>
  <si>
    <t xml:space="preserve">Nonylamine</t>
  </si>
  <si>
    <t xml:space="preserve">CCCCCCCCCN</t>
  </si>
  <si>
    <t xml:space="preserve">Decylamine</t>
  </si>
  <si>
    <t xml:space="preserve">CCCCCCCCCCN</t>
  </si>
  <si>
    <t xml:space="preserve">Ethanolamine</t>
  </si>
  <si>
    <t xml:space="preserve">C(CO)N</t>
  </si>
  <si>
    <t xml:space="preserve">Isopropylamine</t>
  </si>
  <si>
    <t xml:space="preserve">CC(C)N</t>
  </si>
  <si>
    <t xml:space="preserve">Cyclohexylamine</t>
  </si>
  <si>
    <t xml:space="preserve">C1CCCCC1N</t>
  </si>
  <si>
    <t xml:space="preserve">N-Methylethanolamine</t>
  </si>
  <si>
    <t xml:space="preserve">CNCCO</t>
  </si>
  <si>
    <t xml:space="preserve">Benzylamine</t>
  </si>
  <si>
    <t xml:space="preserve">C1=CC=C(C=C1)CN</t>
  </si>
  <si>
    <t xml:space="preserve">2-Heptanone</t>
  </si>
  <si>
    <t xml:space="preserve">CCCCCC(=O)C</t>
  </si>
  <si>
    <t xml:space="preserve">2-Octanone</t>
  </si>
  <si>
    <t xml:space="preserve">CCCCCCC(=O)C</t>
  </si>
  <si>
    <t xml:space="preserve">4-Octanone</t>
  </si>
  <si>
    <t xml:space="preserve">CCCC(=O)CCCCC</t>
  </si>
  <si>
    <t xml:space="preserve">3-Octanone</t>
  </si>
  <si>
    <t xml:space="preserve">CCCCC(=O)CCC</t>
  </si>
  <si>
    <t xml:space="preserve">CCCCCCC(=O)CC</t>
  </si>
  <si>
    <t xml:space="preserve">3-Nonanone</t>
  </si>
  <si>
    <t xml:space="preserve">CCCCCCCC(=O)C</t>
  </si>
  <si>
    <t xml:space="preserve">4-Nonanone</t>
  </si>
  <si>
    <t xml:space="preserve">CCCC(=O)CCCCCC</t>
  </si>
  <si>
    <t xml:space="preserve">5-Decanone</t>
  </si>
  <si>
    <t xml:space="preserve">CCCCC(=O)CCCCC</t>
  </si>
  <si>
    <t xml:space="preserve">2-Decanone</t>
  </si>
  <si>
    <t xml:space="preserve">CCCCCCCC(=O)CC</t>
  </si>
  <si>
    <t xml:space="preserve">3-Decanone</t>
  </si>
  <si>
    <t xml:space="preserve">CCCCCCC(=O)CCC</t>
  </si>
  <si>
    <t xml:space="preserve">4-Decanone</t>
  </si>
  <si>
    <t xml:space="preserve">CCCC(=O)CCCCCCC</t>
  </si>
  <si>
    <t xml:space="preserve">6-Undecanone</t>
  </si>
  <si>
    <t xml:space="preserve">CCCCCC(=O)CCCCC</t>
  </si>
  <si>
    <t xml:space="preserve">2-Undecanone</t>
  </si>
  <si>
    <t xml:space="preserve">CCCCCCCCC(=O)C</t>
  </si>
  <si>
    <t xml:space="preserve">5-Dodecanone</t>
  </si>
  <si>
    <t xml:space="preserve">CCCCC(=O)CCCCCCC</t>
  </si>
  <si>
    <t xml:space="preserve">2-Dodecanone</t>
  </si>
  <si>
    <t xml:space="preserve">CCCCCCCCCCC(=O)C</t>
  </si>
  <si>
    <t xml:space="preserve">Dimethyl suberate</t>
  </si>
  <si>
    <t xml:space="preserve">COC(=O)CCCCCCC(=O)OC</t>
  </si>
  <si>
    <t xml:space="preserve">1-(Isocyanato-1-methylethyl)-3-(1-ethylethenyl) benzene</t>
  </si>
  <si>
    <t xml:space="preserve">CCC(=C)c1cccc(c1)C(C)(C)N=C=O</t>
  </si>
  <si>
    <t xml:space="preserve">train</t>
  </si>
  <si>
    <t xml:space="preserve">1-(Isocyanato-1-methylethyl)-4-(1-ethylethenyl) benzene</t>
  </si>
  <si>
    <t xml:space="preserve">CCC(=C)c1ccc(cc1)C(C)(C)N=C=O</t>
  </si>
  <si>
    <t xml:space="preserve">1,1-Dichloro ethane</t>
  </si>
  <si>
    <t xml:space="preserve">CC(Cl)Cl</t>
  </si>
  <si>
    <t xml:space="preserve">1,1-Dichloro-2,2-difluoro ethane</t>
  </si>
  <si>
    <t xml:space="preserve">FC(F)C(Cl)Cl</t>
  </si>
  <si>
    <t xml:space="preserve">1,1-Di-m-tolyl ethane</t>
  </si>
  <si>
    <t xml:space="preserve">CC(c1cccc(C)c1)c2cccc(C)c2</t>
  </si>
  <si>
    <t xml:space="preserve">1,2 Diamino propane</t>
  </si>
  <si>
    <t xml:space="preserve">CC(N)CN</t>
  </si>
  <si>
    <t xml:space="preserve">1,2 Dibromo propane</t>
  </si>
  <si>
    <t xml:space="preserve">CC(Br)CBr</t>
  </si>
  <si>
    <t xml:space="preserve">1,2,3,4-Tetrahydro-5,8-dimethyl-1-octyl naphthalene</t>
  </si>
  <si>
    <t xml:space="preserve">CCCCCCCCC1CCCc2c(C)ccc(C)c12</t>
  </si>
  <si>
    <t xml:space="preserve">1,2,3,4-Tetrahydro-6-butyl-7-hexyl naphthalene</t>
  </si>
  <si>
    <t xml:space="preserve">CCCCCCc1cc2CCCCc2cc1CCCC</t>
  </si>
  <si>
    <t xml:space="preserve">1,2,3,4-Tetrahydro-7-butyl-1-hexyl naphthalene</t>
  </si>
  <si>
    <t xml:space="preserve">CCCCCCC1CCCc2ccc(CCCC)cc12</t>
  </si>
  <si>
    <t xml:space="preserve">1,2-Dibromo ethane</t>
  </si>
  <si>
    <t xml:space="preserve">BrCCBr</t>
  </si>
  <si>
    <t xml:space="preserve">1,2-Dibromo ethylene</t>
  </si>
  <si>
    <t xml:space="preserve">BrC=CBr</t>
  </si>
  <si>
    <t xml:space="preserve">1,2-Dibromo-2-methyl propane</t>
  </si>
  <si>
    <t xml:space="preserve">CC(C)(Br)CBr</t>
  </si>
  <si>
    <t xml:space="preserve">1,2-Dichloro benzene</t>
  </si>
  <si>
    <t xml:space="preserve">Clc1ccccc1Cl</t>
  </si>
  <si>
    <t xml:space="preserve">1,2-Dichloro ethane</t>
  </si>
  <si>
    <t xml:space="preserve">ClCCCl</t>
  </si>
  <si>
    <t xml:space="preserve">1,2-Dichloro tetrafluoro ethane</t>
  </si>
  <si>
    <t xml:space="preserve">FC(F)(Cl)C(F)(F)Cl</t>
  </si>
  <si>
    <t xml:space="preserve">1,3-Butadiene</t>
  </si>
  <si>
    <t xml:space="preserve">C=CC=C</t>
  </si>
  <si>
    <t xml:space="preserve">1,3-Cyclohexadiene</t>
  </si>
  <si>
    <t xml:space="preserve">C1CC=CC=C1</t>
  </si>
  <si>
    <t xml:space="preserve">1,3-Dichloro benzene</t>
  </si>
  <si>
    <t xml:space="preserve">Clc1cccc(Cl)c1</t>
  </si>
  <si>
    <t xml:space="preserve">1,3-Difluoro benzene</t>
  </si>
  <si>
    <t xml:space="preserve">Fc1cccc(F)c1</t>
  </si>
  <si>
    <t xml:space="preserve">1,3-Dimethoxy benzene</t>
  </si>
  <si>
    <t xml:space="preserve">COc1cccc(OC)c1</t>
  </si>
  <si>
    <t xml:space="preserve">1,3-Dinitrobenzene</t>
  </si>
  <si>
    <t xml:space="preserve">[O-][N+](=O)c1cccc(c1)[N+]([O-])=O</t>
  </si>
  <si>
    <t xml:space="preserve">1,4-Dichloro benzene</t>
  </si>
  <si>
    <t xml:space="preserve">Clc1ccc(Cl)cc1</t>
  </si>
  <si>
    <t xml:space="preserve">1,4-Difluorobenzene</t>
  </si>
  <si>
    <t xml:space="preserve">Fc1ccc(F)cc1</t>
  </si>
  <si>
    <t xml:space="preserve">1,4-Dimethoxy benzene</t>
  </si>
  <si>
    <t xml:space="preserve">COc1ccc(OC)cc1</t>
  </si>
  <si>
    <t xml:space="preserve">1,4-Dimethyl-5-octyl decahydro naphthalene</t>
  </si>
  <si>
    <t xml:space="preserve">CCCCCCCCC1CCCC2C(C)CCC(C)C12</t>
  </si>
  <si>
    <t xml:space="preserve">1-Bromo-2-methyl propane</t>
  </si>
  <si>
    <t xml:space="preserve">CC(C)CBr</t>
  </si>
  <si>
    <t xml:space="preserve">1-Bromopropane</t>
  </si>
  <si>
    <t xml:space="preserve">CCCBr</t>
  </si>
  <si>
    <t xml:space="preserve">1-Butanol</t>
  </si>
  <si>
    <t xml:space="preserve">CCCCO</t>
  </si>
  <si>
    <t xml:space="preserve">1-Chloro-2-methyl propane</t>
  </si>
  <si>
    <t xml:space="preserve">CC(C)CCl</t>
  </si>
  <si>
    <t xml:space="preserve">1-Chlorodifluoro ethane</t>
  </si>
  <si>
    <t xml:space="preserve">CC(F)(F)Cl</t>
  </si>
  <si>
    <t xml:space="preserve">1-Chloropropane</t>
  </si>
  <si>
    <t xml:space="preserve">CCCCl</t>
  </si>
  <si>
    <t xml:space="preserve">1-Fluoro-2-nitrobenzene</t>
  </si>
  <si>
    <t xml:space="preserve">[O-][N+](=O)c1ccccc1F</t>
  </si>
  <si>
    <t xml:space="preserve">1-Fluoro-4-nitrobenzene</t>
  </si>
  <si>
    <t xml:space="preserve">[O-][N+](=O)c1ccc(F)cc1</t>
  </si>
  <si>
    <t xml:space="preserve">1-Fluoropentane</t>
  </si>
  <si>
    <t xml:space="preserve">CCCCCF</t>
  </si>
  <si>
    <t xml:space="preserve">1-Heptanol</t>
  </si>
  <si>
    <t xml:space="preserve">CCCCCCCO</t>
  </si>
  <si>
    <t xml:space="preserve">1-Heptene</t>
  </si>
  <si>
    <t xml:space="preserve">CCCCCC=C</t>
  </si>
  <si>
    <t xml:space="preserve">1-Hexanethiol</t>
  </si>
  <si>
    <t xml:space="preserve">1-Hexyne</t>
  </si>
  <si>
    <t xml:space="preserve">CCCCC#C</t>
  </si>
  <si>
    <t xml:space="preserve">1-Iodo-2-methyl propane</t>
  </si>
  <si>
    <t xml:space="preserve">CC(C)CI</t>
  </si>
  <si>
    <t xml:space="preserve">1-Iodopropane</t>
  </si>
  <si>
    <t xml:space="preserve">CCCI</t>
  </si>
  <si>
    <t xml:space="preserve">1-Methoxy propane</t>
  </si>
  <si>
    <t xml:space="preserve">CCCOC</t>
  </si>
  <si>
    <t xml:space="preserve">1-Nonanethiol</t>
  </si>
  <si>
    <t xml:space="preserve">1-Nonanol</t>
  </si>
  <si>
    <t xml:space="preserve">CCCCCCCCCO</t>
  </si>
  <si>
    <t xml:space="preserve">1-Octanethiol</t>
  </si>
  <si>
    <t xml:space="preserve">1-Pentanol</t>
  </si>
  <si>
    <t xml:space="preserve">CCCCCO</t>
  </si>
  <si>
    <t xml:space="preserve">1-Pentene</t>
  </si>
  <si>
    <t xml:space="preserve">CCCC=C</t>
  </si>
  <si>
    <t xml:space="preserve">1-Propanol</t>
  </si>
  <si>
    <t xml:space="preserve">CCCO</t>
  </si>
  <si>
    <t xml:space="preserve">2,2-Difluoroethyl alcohol</t>
  </si>
  <si>
    <t xml:space="preserve">OCC(F)F</t>
  </si>
  <si>
    <t xml:space="preserve">2,2-Dimethyl butane</t>
  </si>
  <si>
    <t xml:space="preserve">CCC(C)(C)C</t>
  </si>
  <si>
    <t xml:space="preserve">2,2-Dimethylpropane</t>
  </si>
  <si>
    <t xml:space="preserve">CC(C)(C)C</t>
  </si>
  <si>
    <t xml:space="preserve">2,4-Dimethyl sulfolane</t>
  </si>
  <si>
    <t xml:space="preserve">CC1CC(C)[S](=O)(=O)C1</t>
  </si>
  <si>
    <t xml:space="preserve">2,4-Dimethyl-3-pentanone</t>
  </si>
  <si>
    <t xml:space="preserve">CC(C)C(=O)C(C)C</t>
  </si>
  <si>
    <t xml:space="preserve">2,5-Difluoro aniline</t>
  </si>
  <si>
    <t xml:space="preserve">Nc1cc(F)ccc1F</t>
  </si>
  <si>
    <t xml:space="preserve">2,6-Diethyl aniline</t>
  </si>
  <si>
    <t xml:space="preserve">CCc1cccc(CC)c1N</t>
  </si>
  <si>
    <t xml:space="preserve">2,6-Dimethyl pyridine-N-oxide</t>
  </si>
  <si>
    <t xml:space="preserve">Cc1cccc(C)[n+]1[O-]</t>
  </si>
  <si>
    <t xml:space="preserve">2-Bromopropane</t>
  </si>
  <si>
    <t xml:space="preserve">CC(C)Br</t>
  </si>
  <si>
    <t xml:space="preserve">2-Bromotoluene</t>
  </si>
  <si>
    <t xml:space="preserve">Cc1ccccc1Br</t>
  </si>
  <si>
    <t xml:space="preserve">2-Butanethiol</t>
  </si>
  <si>
    <t xml:space="preserve">2-Butanol</t>
  </si>
  <si>
    <t xml:space="preserve">CCC(C)O</t>
  </si>
  <si>
    <t xml:space="preserve">2-Butyl dodecanol</t>
  </si>
  <si>
    <t xml:space="preserve">CCCCCCCCCCC(CO)CCCC</t>
  </si>
  <si>
    <t xml:space="preserve">2-Butyl-3-hexyl decahydro naphthalene</t>
  </si>
  <si>
    <t xml:space="preserve">CCCCCCC1CC2CCCCC2CC1CCCC</t>
  </si>
  <si>
    <t xml:space="preserve">2-Butyl-3-hexyl naphthalene</t>
  </si>
  <si>
    <t xml:space="preserve">CCCCCCc1cc2ccccc2cc1CCCC</t>
  </si>
  <si>
    <t xml:space="preserve">2-Chloro phenol</t>
  </si>
  <si>
    <t xml:space="preserve">Oc1ccccc1Cl</t>
  </si>
  <si>
    <t xml:space="preserve">2-Chloro phenyl methyl ether</t>
  </si>
  <si>
    <t xml:space="preserve">COc1ccccc1Cl</t>
  </si>
  <si>
    <t xml:space="preserve">2-Chloropropane</t>
  </si>
  <si>
    <t xml:space="preserve">CC(C)Cl</t>
  </si>
  <si>
    <t xml:space="preserve">2-Chlorotoluene</t>
  </si>
  <si>
    <t xml:space="preserve">Cc1ccccc1Cl</t>
  </si>
  <si>
    <t xml:space="preserve">2-Ethoxybenzenamine</t>
  </si>
  <si>
    <t xml:space="preserve">CCOc1ccccc1N</t>
  </si>
  <si>
    <t xml:space="preserve">2-Ethoxyethanol</t>
  </si>
  <si>
    <t xml:space="preserve">CCOCCO</t>
  </si>
  <si>
    <t xml:space="preserve">2-Ethoxytoluene</t>
  </si>
  <si>
    <t xml:space="preserve">CCOc1ccccc1C</t>
  </si>
  <si>
    <t xml:space="preserve">2-Ethyl-1-hexanol</t>
  </si>
  <si>
    <t xml:space="preserve">CCCCC(CC)CO</t>
  </si>
  <si>
    <t xml:space="preserve">2-Ethyl-1-hexene</t>
  </si>
  <si>
    <t xml:space="preserve">CCCCC(=C)CC</t>
  </si>
  <si>
    <t xml:space="preserve">2-Ethylaniline</t>
  </si>
  <si>
    <t xml:space="preserve">CCc1ccccc1N</t>
  </si>
  <si>
    <t xml:space="preserve">2-Fluoroaniline</t>
  </si>
  <si>
    <t xml:space="preserve">Nc1ccccc1F</t>
  </si>
  <si>
    <t xml:space="preserve">2-Fluoroethanol</t>
  </si>
  <si>
    <t xml:space="preserve">OCCF</t>
  </si>
  <si>
    <t xml:space="preserve">2-Fluorotoluene</t>
  </si>
  <si>
    <t xml:space="preserve">Cc1ccccc1F</t>
  </si>
  <si>
    <t xml:space="preserve">2-Furaldehyde</t>
  </si>
  <si>
    <t xml:space="preserve">O=Cc1occc1</t>
  </si>
  <si>
    <t xml:space="preserve">2-Heptanethiol</t>
  </si>
  <si>
    <t xml:space="preserve">CCCCCC(C)S</t>
  </si>
  <si>
    <t xml:space="preserve">2-Heptanol</t>
  </si>
  <si>
    <t xml:space="preserve">CCCCCC(C)O</t>
  </si>
  <si>
    <t xml:space="preserve">CCCCCC(C)=O</t>
  </si>
  <si>
    <t xml:space="preserve">2-Hexadecyl acetate</t>
  </si>
  <si>
    <t xml:space="preserve">CCCCCCCCCCCCCCC(C)OC(C)=O</t>
  </si>
  <si>
    <t xml:space="preserve">2-Hexanethiol</t>
  </si>
  <si>
    <t xml:space="preserve">CCCCC(C)S</t>
  </si>
  <si>
    <t xml:space="preserve">2-Hydroxy acetophenone</t>
  </si>
  <si>
    <t xml:space="preserve">OCC(=O)c1ccccc1</t>
  </si>
  <si>
    <t xml:space="preserve">2-Iodopropane</t>
  </si>
  <si>
    <t xml:space="preserve">CC(C)I</t>
  </si>
  <si>
    <t xml:space="preserve">2-Methoxyphenol</t>
  </si>
  <si>
    <t xml:space="preserve">COc1ccccc1O</t>
  </si>
  <si>
    <t xml:space="preserve">2-Methyl benzenamine</t>
  </si>
  <si>
    <t xml:space="preserve">Cc1ccccc1N</t>
  </si>
  <si>
    <t xml:space="preserve">2-Methyl benzonitrile</t>
  </si>
  <si>
    <t xml:space="preserve">Cc1ccccc1C#N</t>
  </si>
  <si>
    <t xml:space="preserve">2-Methyl butane</t>
  </si>
  <si>
    <t xml:space="preserve">CCC(C)C</t>
  </si>
  <si>
    <t xml:space="preserve">2-Methyl cyclohexanone</t>
  </si>
  <si>
    <t xml:space="preserve">CC1CCCCC1=O</t>
  </si>
  <si>
    <t xml:space="preserve">2-Methyl octane-2-thiol</t>
  </si>
  <si>
    <t xml:space="preserve">CCCCCCC(C)(C)S</t>
  </si>
  <si>
    <t xml:space="preserve">2-Methyl pentane</t>
  </si>
  <si>
    <t xml:space="preserve">CCCC(C)C</t>
  </si>
  <si>
    <t xml:space="preserve">2-Methyl propionic acid</t>
  </si>
  <si>
    <t xml:space="preserve">CC(C)C(O)=O</t>
  </si>
  <si>
    <t xml:space="preserve">2-Methyl-1-butanol</t>
  </si>
  <si>
    <t xml:space="preserve">CCC(C)CO</t>
  </si>
  <si>
    <t xml:space="preserve">2-Methyl-1-heptanol</t>
  </si>
  <si>
    <t xml:space="preserve">CCCCCC(C)CO</t>
  </si>
  <si>
    <t xml:space="preserve">2-Methyl-1-propanol</t>
  </si>
  <si>
    <t xml:space="preserve">CC(C)CO</t>
  </si>
  <si>
    <t xml:space="preserve">2-Methyl-2-butanethiol</t>
  </si>
  <si>
    <t xml:space="preserve">CCC(C)(C)S</t>
  </si>
  <si>
    <t xml:space="preserve">2-Methyl-2-butene</t>
  </si>
  <si>
    <t xml:space="preserve">CC=C(C)C</t>
  </si>
  <si>
    <t xml:space="preserve">2-Methyl-2-hexanol</t>
  </si>
  <si>
    <t xml:space="preserve">CCCCC(C)(C)O</t>
  </si>
  <si>
    <t xml:space="preserve">2-Methyl-2-propanol</t>
  </si>
  <si>
    <t xml:space="preserve">CC(C)(C)O</t>
  </si>
  <si>
    <t xml:space="preserve">2-Methyl-3-heptanol</t>
  </si>
  <si>
    <t xml:space="preserve">CCCCC(O)C(C)C</t>
  </si>
  <si>
    <t xml:space="preserve">2-Methyl-4-heptanol</t>
  </si>
  <si>
    <t xml:space="preserve">CCCC(O)CC(C)C</t>
  </si>
  <si>
    <t xml:space="preserve">2-Methyl-5-heptanol</t>
  </si>
  <si>
    <t xml:space="preserve">CCC(O)CCC(C)C</t>
  </si>
  <si>
    <t xml:space="preserve">2-Methyl-6-ethyl aniline</t>
  </si>
  <si>
    <t xml:space="preserve">CCc1cccc(C)c1N</t>
  </si>
  <si>
    <t xml:space="preserve">2-Methyl-7-heptanol</t>
  </si>
  <si>
    <t xml:space="preserve">CC(C)CCCCCO</t>
  </si>
  <si>
    <t xml:space="preserve">2-Nitrophenol</t>
  </si>
  <si>
    <t xml:space="preserve">Oc1ccccc1[N+]([O-])=O</t>
  </si>
  <si>
    <t xml:space="preserve">2-Nitrophenyl methyl ether</t>
  </si>
  <si>
    <t xml:space="preserve">COc1ccccc1[N+]([O-])=O</t>
  </si>
  <si>
    <t xml:space="preserve">2-Nitroresorcinol</t>
  </si>
  <si>
    <t xml:space="preserve">Oc1cccc(O)c1[N+]([O-])=O</t>
  </si>
  <si>
    <t xml:space="preserve">2-Nitrotoluene</t>
  </si>
  <si>
    <t xml:space="preserve">Cc1ccccc1[N+]([O-])=O</t>
  </si>
  <si>
    <t xml:space="preserve">2-Nonanethiol</t>
  </si>
  <si>
    <t xml:space="preserve">CCCCCCCC(C)S</t>
  </si>
  <si>
    <t xml:space="preserve">2-Octanethiol</t>
  </si>
  <si>
    <t xml:space="preserve">CCCCCCC(C)S</t>
  </si>
  <si>
    <t xml:space="preserve">2-Pentanethiol</t>
  </si>
  <si>
    <t xml:space="preserve">CCCC(C)S</t>
  </si>
  <si>
    <t xml:space="preserve">2-Pentanol</t>
  </si>
  <si>
    <t xml:space="preserve">CCCC(C)O</t>
  </si>
  <si>
    <t xml:space="preserve">2-Pentanone</t>
  </si>
  <si>
    <t xml:space="preserve">CCCC(C)=O</t>
  </si>
  <si>
    <t xml:space="preserve">2-Picoline</t>
  </si>
  <si>
    <t xml:space="preserve">Cc1ccccn1</t>
  </si>
  <si>
    <t xml:space="preserve">2-Propanethiol</t>
  </si>
  <si>
    <t xml:space="preserve">CC(C)S</t>
  </si>
  <si>
    <t xml:space="preserve">2-Propanol</t>
  </si>
  <si>
    <t xml:space="preserve">CC(C)O</t>
  </si>
  <si>
    <t xml:space="preserve">3-Bromotoluene</t>
  </si>
  <si>
    <t xml:space="preserve">Cc1cccc(Br)c1</t>
  </si>
  <si>
    <t xml:space="preserve">3-Chlorophenol</t>
  </si>
  <si>
    <t xml:space="preserve">Oc1cccc(Cl)c1</t>
  </si>
  <si>
    <t xml:space="preserve">3-Chlorotoluene</t>
  </si>
  <si>
    <t xml:space="preserve">Cc1cccc(Cl)c1</t>
  </si>
  <si>
    <t xml:space="preserve">3-Cyanopyridine</t>
  </si>
  <si>
    <t xml:space="preserve">N#Cc1cccnc1</t>
  </si>
  <si>
    <t xml:space="preserve">3-Ethoxy benzenamine</t>
  </si>
  <si>
    <t xml:space="preserve">CCOc1cccc(N)c1</t>
  </si>
  <si>
    <t xml:space="preserve">3-Ethoxytoluene</t>
  </si>
  <si>
    <t xml:space="preserve">CCOc1cccc(C)c1</t>
  </si>
  <si>
    <t xml:space="preserve">3-Fluoroaniline</t>
  </si>
  <si>
    <t xml:space="preserve">Nc1cccc(F)c1</t>
  </si>
  <si>
    <t xml:space="preserve">3-Fluorotoluene</t>
  </si>
  <si>
    <t xml:space="preserve">Cc1cccc(F)c1</t>
  </si>
  <si>
    <t xml:space="preserve">3-Heptanol</t>
  </si>
  <si>
    <t xml:space="preserve">CCCCC(O)CC</t>
  </si>
  <si>
    <t xml:space="preserve">3-Methoxyphenol</t>
  </si>
  <si>
    <t xml:space="preserve">COc1cccc(O)c1</t>
  </si>
  <si>
    <t xml:space="preserve">3-Methyl benzonitrile</t>
  </si>
  <si>
    <t xml:space="preserve">Cc1cccc(c1)C#N</t>
  </si>
  <si>
    <t xml:space="preserve">3-Methyl cyclohexanone</t>
  </si>
  <si>
    <t xml:space="preserve">CC1CCCC(=O)C1</t>
  </si>
  <si>
    <t xml:space="preserve">3-Methyl pentane</t>
  </si>
  <si>
    <t xml:space="preserve">CCC(C)CC</t>
  </si>
  <si>
    <t xml:space="preserve">3-Methyl-1-heptanol</t>
  </si>
  <si>
    <t xml:space="preserve">CCCCC(C)CCO</t>
  </si>
  <si>
    <t xml:space="preserve">3-Methyl-2-butanol</t>
  </si>
  <si>
    <t xml:space="preserve">CC(C)C(C)O</t>
  </si>
  <si>
    <t xml:space="preserve">3-Methyl-2-heptanol</t>
  </si>
  <si>
    <t xml:space="preserve">CCCCC(C)C(C)O</t>
  </si>
  <si>
    <t xml:space="preserve">3-Methyl-2-oxazolidinone</t>
  </si>
  <si>
    <t xml:space="preserve">CN1CCOC1=O</t>
  </si>
  <si>
    <t xml:space="preserve">3-Methyl-3-heptanol</t>
  </si>
  <si>
    <t xml:space="preserve">CCCCC(C)(O)CC</t>
  </si>
  <si>
    <t xml:space="preserve">3-Methyl-4-heptanol</t>
  </si>
  <si>
    <t xml:space="preserve">CCCC(O)C(C)CC</t>
  </si>
  <si>
    <t xml:space="preserve">3-Methyl-5-heptanol</t>
  </si>
  <si>
    <t xml:space="preserve">CCC(C)CC(O)CC</t>
  </si>
  <si>
    <t xml:space="preserve">3-Methyl-6-heptanol</t>
  </si>
  <si>
    <t xml:space="preserve">CCC(C)CCC(C)O</t>
  </si>
  <si>
    <t xml:space="preserve">3-Methyl-7-heptanol</t>
  </si>
  <si>
    <t xml:space="preserve">CCC(C)CCCCO</t>
  </si>
  <si>
    <t xml:space="preserve">3-Nitrophenol</t>
  </si>
  <si>
    <t xml:space="preserve">Oc1cccc(c1)[N+]([O-])=O</t>
  </si>
  <si>
    <t xml:space="preserve">3-Nitrotoluene</t>
  </si>
  <si>
    <t xml:space="preserve">Cc1cccc(c1)[N+]([O-])=O</t>
  </si>
  <si>
    <t xml:space="preserve">3-Pentanol</t>
  </si>
  <si>
    <t xml:space="preserve">CCC(O)CC</t>
  </si>
  <si>
    <t xml:space="preserve">3-Pentanone</t>
  </si>
  <si>
    <t xml:space="preserve">CCC(=O)CC</t>
  </si>
  <si>
    <t xml:space="preserve">3-Picoline N-oxide</t>
  </si>
  <si>
    <t xml:space="preserve">Cc1ccc[n+]([O-])c1</t>
  </si>
  <si>
    <t xml:space="preserve">4-Bromotoluene</t>
  </si>
  <si>
    <t xml:space="preserve">Cc1ccc(Br)cc1</t>
  </si>
  <si>
    <t xml:space="preserve">4-Chloroaniline</t>
  </si>
  <si>
    <t xml:space="preserve">Nc1ccc(Cl)cc1</t>
  </si>
  <si>
    <t xml:space="preserve">4-Chlorophenol</t>
  </si>
  <si>
    <t xml:space="preserve">Oc1ccc(Cl)cc1</t>
  </si>
  <si>
    <t xml:space="preserve">4-Chlorotoluene</t>
  </si>
  <si>
    <t xml:space="preserve">Cc1ccc(Cl)cc1</t>
  </si>
  <si>
    <t xml:space="preserve">4-Cyanopyridine</t>
  </si>
  <si>
    <t xml:space="preserve">N#Cc1ccncc1</t>
  </si>
  <si>
    <t xml:space="preserve">4-Ethoxy toluene</t>
  </si>
  <si>
    <t xml:space="preserve">CCOc1ccc(C)cc1</t>
  </si>
  <si>
    <t xml:space="preserve">4-Fluoroaniline</t>
  </si>
  <si>
    <t xml:space="preserve">Nc1ccc(F)cc1</t>
  </si>
  <si>
    <t xml:space="preserve">4-Fluorophenetole</t>
  </si>
  <si>
    <t xml:space="preserve">CCOc1ccc(F)cc1</t>
  </si>
  <si>
    <t xml:space="preserve">4-Heptanol</t>
  </si>
  <si>
    <t xml:space="preserve">CCCC(O)CCC</t>
  </si>
  <si>
    <t xml:space="preserve">4-Hydroxy benzaldehyde</t>
  </si>
  <si>
    <t xml:space="preserve">Oc1ccc(C=O)cc1</t>
  </si>
  <si>
    <t xml:space="preserve">4-Methoxy phenol</t>
  </si>
  <si>
    <t xml:space="preserve">COc1ccc(O)cc1</t>
  </si>
  <si>
    <t xml:space="preserve">4-Methyl benzenamine</t>
  </si>
  <si>
    <t xml:space="preserve">Cc1ccc(N)cc1</t>
  </si>
  <si>
    <t xml:space="preserve">4-Methyl benzonitrile</t>
  </si>
  <si>
    <t xml:space="preserve">Cc1ccc(cc1)C#N</t>
  </si>
  <si>
    <t xml:space="preserve">4-Methyl cyclohexanone</t>
  </si>
  <si>
    <t xml:space="preserve">CC1CCC(=O)CC1</t>
  </si>
  <si>
    <t xml:space="preserve">4-Methyl-2-pentanone</t>
  </si>
  <si>
    <t xml:space="preserve">CC(C)CC(C)=O</t>
  </si>
  <si>
    <t xml:space="preserve">4-Methyl-3-heptanol</t>
  </si>
  <si>
    <t xml:space="preserve">CCCC(C)C(O)CC</t>
  </si>
  <si>
    <t xml:space="preserve">4-Nitrophenol</t>
  </si>
  <si>
    <t xml:space="preserve">Oc1ccc(cc1)[N+]([O-])=O</t>
  </si>
  <si>
    <t xml:space="preserve">4-Nitrotoluene</t>
  </si>
  <si>
    <t xml:space="preserve">Cc1ccc(cc1)[N+]([O-])=O</t>
  </si>
  <si>
    <t xml:space="preserve">7-Butyl-1-hexyl decahydro naphthalene</t>
  </si>
  <si>
    <t xml:space="preserve">CCCCCCC1CCCC2CCC(CCCC)CC12</t>
  </si>
  <si>
    <t xml:space="preserve">Acetaldehyde</t>
  </si>
  <si>
    <t xml:space="preserve">CC=O</t>
  </si>
  <si>
    <t xml:space="preserve">Acetamide</t>
  </si>
  <si>
    <t xml:space="preserve">CC(N)=O</t>
  </si>
  <si>
    <t xml:space="preserve">Acetic anhydride</t>
  </si>
  <si>
    <t xml:space="preserve">CC(=O)OC(C)=O</t>
  </si>
  <si>
    <t xml:space="preserve">Acetone</t>
  </si>
  <si>
    <t xml:space="preserve">CC(C)=O</t>
  </si>
  <si>
    <t xml:space="preserve">Acetophenone</t>
  </si>
  <si>
    <t xml:space="preserve">CC(=O)c1ccccc1</t>
  </si>
  <si>
    <t xml:space="preserve">Acetyl chloride</t>
  </si>
  <si>
    <t xml:space="preserve">CC(Cl)=O</t>
  </si>
  <si>
    <t xml:space="preserve">Allyl alcohol</t>
  </si>
  <si>
    <t xml:space="preserve">OCC=C</t>
  </si>
  <si>
    <t xml:space="preserve">Allyl bromide</t>
  </si>
  <si>
    <t xml:space="preserve">BrCC=C</t>
  </si>
  <si>
    <t xml:space="preserve">Allyl chloride</t>
  </si>
  <si>
    <t xml:space="preserve">ClCC=C</t>
  </si>
  <si>
    <t xml:space="preserve">Allyl ether</t>
  </si>
  <si>
    <t xml:space="preserve">C=CCOCC=C</t>
  </si>
  <si>
    <t xml:space="preserve">Allyl iodide</t>
  </si>
  <si>
    <t xml:space="preserve">ICC=C</t>
  </si>
  <si>
    <t xml:space="preserve">Amyl amine</t>
  </si>
  <si>
    <t xml:space="preserve">CCCCCN</t>
  </si>
  <si>
    <t xml:space="preserve">Amyl butyrate</t>
  </si>
  <si>
    <t xml:space="preserve">CCCCCOC(=O)CCC</t>
  </si>
  <si>
    <t xml:space="preserve">Aniline</t>
  </si>
  <si>
    <t xml:space="preserve">Nc1ccccc1</t>
  </si>
  <si>
    <t xml:space="preserve">Anisole</t>
  </si>
  <si>
    <t xml:space="preserve">COc1ccccc1</t>
  </si>
  <si>
    <t xml:space="preserve">Benzene</t>
  </si>
  <si>
    <t xml:space="preserve">c1ccccc1</t>
  </si>
  <si>
    <t xml:space="preserve">Benzonitrile</t>
  </si>
  <si>
    <t xml:space="preserve">N#Cc1ccccc1</t>
  </si>
  <si>
    <t xml:space="preserve">Benzyl alcohol</t>
  </si>
  <si>
    <t xml:space="preserve">OCc1ccccc1</t>
  </si>
  <si>
    <t xml:space="preserve">Benzyl amine</t>
  </si>
  <si>
    <t xml:space="preserve">NCc1ccccc1</t>
  </si>
  <si>
    <t xml:space="preserve">Benzyl benzoate</t>
  </si>
  <si>
    <t xml:space="preserve">O=C(OCc1ccccc1)c2ccccc2</t>
  </si>
  <si>
    <t xml:space="preserve">Benzyl cyanide</t>
  </si>
  <si>
    <t xml:space="preserve">N#CCc1ccccc1</t>
  </si>
  <si>
    <t xml:space="preserve">Benzyl ether</t>
  </si>
  <si>
    <t xml:space="preserve">C(OCc1ccccc1)c2ccccc2</t>
  </si>
  <si>
    <t xml:space="preserve">Biphenyl</t>
  </si>
  <si>
    <t xml:space="preserve">c1ccc(cc1)c2ccccc2</t>
  </si>
  <si>
    <t xml:space="preserve">Boron trichloride</t>
  </si>
  <si>
    <t xml:space="preserve">ClB(Cl)Cl</t>
  </si>
  <si>
    <t xml:space="preserve">Bromine</t>
  </si>
  <si>
    <t xml:space="preserve">[Br]</t>
  </si>
  <si>
    <t xml:space="preserve">Bromobenzene</t>
  </si>
  <si>
    <t xml:space="preserve">Brc1ccccc1</t>
  </si>
  <si>
    <t xml:space="preserve">Butane</t>
  </si>
  <si>
    <t xml:space="preserve">CCCC</t>
  </si>
  <si>
    <t xml:space="preserve">Butanoic acid</t>
  </si>
  <si>
    <t xml:space="preserve">CCCC(O)=O</t>
  </si>
  <si>
    <t xml:space="preserve">Butyl acetate</t>
  </si>
  <si>
    <t xml:space="preserve">CCCCOC(C)=O</t>
  </si>
  <si>
    <t xml:space="preserve">Butyl amine</t>
  </si>
  <si>
    <t xml:space="preserve">CCCCN</t>
  </si>
  <si>
    <t xml:space="preserve">Butyl benzene</t>
  </si>
  <si>
    <t xml:space="preserve">CCCCc1ccccc1</t>
  </si>
  <si>
    <t xml:space="preserve">Butyl butyrate</t>
  </si>
  <si>
    <t xml:space="preserve">CCCCOC(=O)CCC</t>
  </si>
  <si>
    <t xml:space="preserve">Butyl dodecylacetate</t>
  </si>
  <si>
    <t xml:space="preserve">CCCCCCCCCCCCCC(=O)OCCCC</t>
  </si>
  <si>
    <t xml:space="preserve">Butyl ether</t>
  </si>
  <si>
    <t xml:space="preserve">CCCCOCCCC</t>
  </si>
  <si>
    <t xml:space="preserve">Butyl formate</t>
  </si>
  <si>
    <t xml:space="preserve">CCCCOC=O</t>
  </si>
  <si>
    <t xml:space="preserve">Butyl phenyl ether</t>
  </si>
  <si>
    <t xml:space="preserve">CCCCOc1ccccc1</t>
  </si>
  <si>
    <t xml:space="preserve">Butyl propionate</t>
  </si>
  <si>
    <t xml:space="preserve">CCCCOC(=O)CC</t>
  </si>
  <si>
    <t xml:space="preserve">Butyl valerate</t>
  </si>
  <si>
    <t xml:space="preserve">CCCCOC(=O)CCCC</t>
  </si>
  <si>
    <t xml:space="preserve">Butyraldehyde</t>
  </si>
  <si>
    <t xml:space="preserve">CCCC=O</t>
  </si>
  <si>
    <t xml:space="preserve">Butyramide</t>
  </si>
  <si>
    <t xml:space="preserve">CCCC(N)=O</t>
  </si>
  <si>
    <t xml:space="preserve">Butyric anhydride</t>
  </si>
  <si>
    <t xml:space="preserve">CCCC(=O)OC(=O)CCC</t>
  </si>
  <si>
    <t xml:space="preserve">Butyronitrile</t>
  </si>
  <si>
    <t xml:space="preserve">CCCC#N</t>
  </si>
  <si>
    <t xml:space="preserve">Butyryl chloride</t>
  </si>
  <si>
    <t xml:space="preserve">CCCC(Cl)=O</t>
  </si>
  <si>
    <t xml:space="preserve">Camphor</t>
  </si>
  <si>
    <t xml:space="preserve">CC1(C)C2CCC1(C)C(=O)C2</t>
  </si>
  <si>
    <t xml:space="preserve">Carbon disulfide</t>
  </si>
  <si>
    <t xml:space="preserve">S=C=S</t>
  </si>
  <si>
    <t xml:space="preserve">Carbon tetrachloride</t>
  </si>
  <si>
    <t xml:space="preserve">ClC(Cl)(Cl)Cl</t>
  </si>
  <si>
    <t xml:space="preserve">Chlorobenzene</t>
  </si>
  <si>
    <t xml:space="preserve">Clc1ccccc1</t>
  </si>
  <si>
    <t xml:space="preserve">Chlorofluoromethane</t>
  </si>
  <si>
    <t xml:space="preserve">FCCl</t>
  </si>
  <si>
    <t xml:space="preserve">Chloroform</t>
  </si>
  <si>
    <t xml:space="preserve">ClC(Cl)Cl</t>
  </si>
  <si>
    <t xml:space="preserve">cis-1,2-Dichloroethylene</t>
  </si>
  <si>
    <t xml:space="preserve">Cl\C=C/Cl</t>
  </si>
  <si>
    <t xml:space="preserve">cis-Decahydro naphthalene</t>
  </si>
  <si>
    <t xml:space="preserve">C1CC[C@@H]2CCCC[C@@H]2C1</t>
  </si>
  <si>
    <t xml:space="preserve">Cumene</t>
  </si>
  <si>
    <t xml:space="preserve">CC(C)c1ccccc1</t>
  </si>
  <si>
    <t xml:space="preserve">Cyclohexane</t>
  </si>
  <si>
    <t xml:space="preserve">C1CCCCC1</t>
  </si>
  <si>
    <t xml:space="preserve">Cyclohexanol</t>
  </si>
  <si>
    <t xml:space="preserve">OC1CCCCC1</t>
  </si>
  <si>
    <t xml:space="preserve">Cyclohexanone</t>
  </si>
  <si>
    <t xml:space="preserve">O=C1CCCCC1</t>
  </si>
  <si>
    <t xml:space="preserve">Cyclohexene</t>
  </si>
  <si>
    <t xml:space="preserve">C1CCC=CC1</t>
  </si>
  <si>
    <t xml:space="preserve">Cyclohexyl amine</t>
  </si>
  <si>
    <t xml:space="preserve">NC1CCCCC1</t>
  </si>
  <si>
    <t xml:space="preserve">Cyclohexyl bromide</t>
  </si>
  <si>
    <t xml:space="preserve">BrC1CCCCC1</t>
  </si>
  <si>
    <t xml:space="preserve">Cyclopentane</t>
  </si>
  <si>
    <t xml:space="preserve">C1CCCC1</t>
  </si>
  <si>
    <t xml:space="preserve">Decane</t>
  </si>
  <si>
    <t xml:space="preserve">CCCCCCCCCC</t>
  </si>
  <si>
    <t xml:space="preserve">Decene</t>
  </si>
  <si>
    <t xml:space="preserve">CCCCCCCCC=C</t>
  </si>
  <si>
    <t xml:space="preserve">Deuterium oxide</t>
  </si>
  <si>
    <t xml:space="preserve">O([2H])[2H]</t>
  </si>
  <si>
    <t xml:space="preserve">Dibutyl amine</t>
  </si>
  <si>
    <t xml:space="preserve">CCCCNCCCC</t>
  </si>
  <si>
    <t xml:space="preserve">Dibutyl carbonate</t>
  </si>
  <si>
    <t xml:space="preserve">CCCCOC(=O)OCCCC</t>
  </si>
  <si>
    <t xml:space="preserve">Dichloroacetic acid</t>
  </si>
  <si>
    <t xml:space="preserve">OC(=O)C(Cl)Cl</t>
  </si>
  <si>
    <t xml:space="preserve">Dichlorofluoromethane</t>
  </si>
  <si>
    <t xml:space="preserve">FC(Cl)Cl</t>
  </si>
  <si>
    <t xml:space="preserve">Dichloromethane</t>
  </si>
  <si>
    <t xml:space="preserve">ClCCl</t>
  </si>
  <si>
    <t xml:space="preserve">Diethyl carbonate</t>
  </si>
  <si>
    <t xml:space="preserve">CCOC(=O)OCC</t>
  </si>
  <si>
    <t xml:space="preserve">Diethylamine</t>
  </si>
  <si>
    <t xml:space="preserve">CCNCC</t>
  </si>
  <si>
    <t xml:space="preserve">Diethylene glycol dinitrate</t>
  </si>
  <si>
    <t xml:space="preserve">OCCOCCO.O[N+]([O-])=O.O[N+]([O-])=O</t>
  </si>
  <si>
    <t xml:space="preserve">Difluoroacetic acid</t>
  </si>
  <si>
    <t xml:space="preserve">OC(=O)C(F)F</t>
  </si>
  <si>
    <t xml:space="preserve">Diheptyl amine</t>
  </si>
  <si>
    <t xml:space="preserve">CCCCCCCNCCCCCCC</t>
  </si>
  <si>
    <t xml:space="preserve">Diisobutyl amine</t>
  </si>
  <si>
    <t xml:space="preserve">CC(C)CNCC(C)C</t>
  </si>
  <si>
    <t xml:space="preserve">Diisopentyl amine</t>
  </si>
  <si>
    <t xml:space="preserve">CC(C)CCNCCC(C)C</t>
  </si>
  <si>
    <t xml:space="preserve">Diisopropyl amine</t>
  </si>
  <si>
    <t xml:space="preserve">CC(C)NC(C)C</t>
  </si>
  <si>
    <t xml:space="preserve">Dimethyl carbonate</t>
  </si>
  <si>
    <t xml:space="preserve">COC(=O)OC</t>
  </si>
  <si>
    <t xml:space="preserve">Dipentyl amine</t>
  </si>
  <si>
    <t xml:space="preserve">CCCCCNCCCCC</t>
  </si>
  <si>
    <t xml:space="preserve">Diphenyl amine</t>
  </si>
  <si>
    <t xml:space="preserve">N(c1ccccc1)c2ccccc2</t>
  </si>
  <si>
    <t xml:space="preserve">Diphenyl methane</t>
  </si>
  <si>
    <t xml:space="preserve">C(c1ccccc1)c2ccccc2</t>
  </si>
  <si>
    <t xml:space="preserve">Dipropyl amine</t>
  </si>
  <si>
    <t xml:space="preserve">CCCNCCC</t>
  </si>
  <si>
    <t xml:space="preserve">Dodecane</t>
  </si>
  <si>
    <t xml:space="preserve">CCCCCCCCCCCC</t>
  </si>
  <si>
    <t xml:space="preserve">Eicosane</t>
  </si>
  <si>
    <t xml:space="preserve">CCCCCCCCCCCCCCCCCCCC</t>
  </si>
  <si>
    <t xml:space="preserve">Ethanol</t>
  </si>
  <si>
    <t xml:space="preserve">CCO</t>
  </si>
  <si>
    <t xml:space="preserve">Ether</t>
  </si>
  <si>
    <t xml:space="preserve">CCOCC</t>
  </si>
  <si>
    <t xml:space="preserve">Ethoxybenzene</t>
  </si>
  <si>
    <t xml:space="preserve">CCOc1ccccc1</t>
  </si>
  <si>
    <t xml:space="preserve">Ethyl acetate</t>
  </si>
  <si>
    <t xml:space="preserve">CCOC(C)=O</t>
  </si>
  <si>
    <t xml:space="preserve">Ethyl benzene</t>
  </si>
  <si>
    <t xml:space="preserve">CCc1ccccc1</t>
  </si>
  <si>
    <t xml:space="preserve">Ethyl caprate</t>
  </si>
  <si>
    <t xml:space="preserve">CCCCCCCCCC(=O)OCC</t>
  </si>
  <si>
    <t xml:space="preserve">Ethyl caproate</t>
  </si>
  <si>
    <t xml:space="preserve">CCCCCC(=O)OCC</t>
  </si>
  <si>
    <t xml:space="preserve">Ethyl cyanoacetate</t>
  </si>
  <si>
    <t xml:space="preserve">CCOC(=O)CC#N</t>
  </si>
  <si>
    <t xml:space="preserve">Ethyl fluoroacetate</t>
  </si>
  <si>
    <t xml:space="preserve">CCOC(=O)CF</t>
  </si>
  <si>
    <t xml:space="preserve">Ethyl formate</t>
  </si>
  <si>
    <t xml:space="preserve">CCOC=O</t>
  </si>
  <si>
    <t xml:space="preserve">Ethyl heptanoate</t>
  </si>
  <si>
    <t xml:space="preserve">CCCCCCC(=O)OCC</t>
  </si>
  <si>
    <t xml:space="preserve">Ethyl lactate</t>
  </si>
  <si>
    <t xml:space="preserve">CCOC(=O)C(C)O</t>
  </si>
  <si>
    <t xml:space="preserve">Ethyl palmitate</t>
  </si>
  <si>
    <t xml:space="preserve">CCCCCCCCCCCCCCCC(=O)OCC</t>
  </si>
  <si>
    <t xml:space="preserve">Ethyl propionate</t>
  </si>
  <si>
    <t xml:space="preserve">CCOC(=O)CC</t>
  </si>
  <si>
    <t xml:space="preserve">Ethyl stearate</t>
  </si>
  <si>
    <t xml:space="preserve">CCCCCCCCCCCCCCCCCC(=O)OCC</t>
  </si>
  <si>
    <t xml:space="preserve">Ethyl sulfide</t>
  </si>
  <si>
    <t xml:space="preserve">CCSCC</t>
  </si>
  <si>
    <t xml:space="preserve">Ethyl valerate</t>
  </si>
  <si>
    <t xml:space="preserve">CCCCC(=O)OCC</t>
  </si>
  <si>
    <t xml:space="preserve">Ethylene glycol dinitrate</t>
  </si>
  <si>
    <t xml:space="preserve">OCCO.O[N+]([O-])=O.O[N+]([O-])=O</t>
  </si>
  <si>
    <t xml:space="preserve">Ethylene sulfite</t>
  </si>
  <si>
    <t xml:space="preserve">O=[S]1OCCO1</t>
  </si>
  <si>
    <t xml:space="preserve">Ethylenediamine</t>
  </si>
  <si>
    <t xml:space="preserve">NCCN</t>
  </si>
  <si>
    <t xml:space="preserve">Eugenol</t>
  </si>
  <si>
    <t xml:space="preserve">COc1cc(CC=C)ccc1O</t>
  </si>
  <si>
    <t xml:space="preserve">Fluorobenzene</t>
  </si>
  <si>
    <t xml:space="preserve">Fc1ccccc1</t>
  </si>
  <si>
    <t xml:space="preserve">Fluoroethylacetate</t>
  </si>
  <si>
    <t xml:space="preserve">[O-]C(=O)CCCF</t>
  </si>
  <si>
    <t xml:space="preserve">Formamide</t>
  </si>
  <si>
    <t xml:space="preserve">NC=O</t>
  </si>
  <si>
    <t xml:space="preserve">OC=O</t>
  </si>
  <si>
    <t xml:space="preserve">Isobutylamine</t>
  </si>
  <si>
    <t xml:space="preserve">CC(C)CN</t>
  </si>
  <si>
    <t xml:space="preserve">Isoheptane</t>
  </si>
  <si>
    <t xml:space="preserve">CCCCC(C)C</t>
  </si>
  <si>
    <t xml:space="preserve">Isovaleraldehyde</t>
  </si>
  <si>
    <t xml:space="preserve">CC(C)CC=O</t>
  </si>
  <si>
    <t xml:space="preserve">m-Cresol</t>
  </si>
  <si>
    <t xml:space="preserve">Cc1cccc(O)c1</t>
  </si>
  <si>
    <t xml:space="preserve">Methanol</t>
  </si>
  <si>
    <t xml:space="preserve">CO</t>
  </si>
  <si>
    <t xml:space="preserve">Methyl acetate</t>
  </si>
  <si>
    <t xml:space="preserve">COC(C)=O</t>
  </si>
  <si>
    <t xml:space="preserve">Methyl cyclohexane</t>
  </si>
  <si>
    <t xml:space="preserve">CC1CCCCC1</t>
  </si>
  <si>
    <t xml:space="preserve">Methyl cyclopentane</t>
  </si>
  <si>
    <t xml:space="preserve">CC1CCCC1</t>
  </si>
  <si>
    <t xml:space="preserve">Methyl ethyl ketone</t>
  </si>
  <si>
    <t xml:space="preserve">CCC(C)=O</t>
  </si>
  <si>
    <t xml:space="preserve">Methyl formate</t>
  </si>
  <si>
    <t xml:space="preserve">COC=O</t>
  </si>
  <si>
    <t xml:space="preserve">Methyl isobutyrate</t>
  </si>
  <si>
    <t xml:space="preserve">COC(=O)C(C)C</t>
  </si>
  <si>
    <t xml:space="preserve">Methyl propionate</t>
  </si>
  <si>
    <t xml:space="preserve">CCC(=O)OC</t>
  </si>
  <si>
    <t xml:space="preserve">Methyl salicylate</t>
  </si>
  <si>
    <t xml:space="preserve">COC(=O)c1ccccc1O</t>
  </si>
  <si>
    <t xml:space="preserve">Methyl sulfide</t>
  </si>
  <si>
    <t xml:space="preserve">CSC</t>
  </si>
  <si>
    <t xml:space="preserve">Methyl thiocyanate</t>
  </si>
  <si>
    <t xml:space="preserve">CSC#N</t>
  </si>
  <si>
    <t xml:space="preserve">m-Xylene</t>
  </si>
  <si>
    <t xml:space="preserve">Cc1cccc(C)c1</t>
  </si>
  <si>
    <t xml:space="preserve">N,N-Diethylaniline</t>
  </si>
  <si>
    <t xml:space="preserve">CCN(CC)c1ccccc1</t>
  </si>
  <si>
    <t xml:space="preserve">N,N-Diethyl-m-toluidine</t>
  </si>
  <si>
    <t xml:space="preserve">CCN(CC)c1cccc(C)c1</t>
  </si>
  <si>
    <t xml:space="preserve">N,N-Dimethylacetamide</t>
  </si>
  <si>
    <t xml:space="preserve">CN(C)C(C)=O</t>
  </si>
  <si>
    <t xml:space="preserve">N,N-Dimethylaniline</t>
  </si>
  <si>
    <t xml:space="preserve">CN(C)c1ccccc1</t>
  </si>
  <si>
    <t xml:space="preserve">N,N-Dimethylformamide</t>
  </si>
  <si>
    <t xml:space="preserve">CN(C)C=O</t>
  </si>
  <si>
    <t xml:space="preserve">N,N-Dimethyl-o-toluidine</t>
  </si>
  <si>
    <t xml:space="preserve">CN(C)c1ccccc1C</t>
  </si>
  <si>
    <t xml:space="preserve">N,N-Dimethyl-p-toluidine</t>
  </si>
  <si>
    <t xml:space="preserve">CN(C)c1ccc(C)cc1</t>
  </si>
  <si>
    <t xml:space="preserve">N-Butylaniline</t>
  </si>
  <si>
    <t xml:space="preserve">CCCCNc1ccccc1</t>
  </si>
  <si>
    <t xml:space="preserve">N-Ethyl formamide</t>
  </si>
  <si>
    <t xml:space="preserve">CCNC=O</t>
  </si>
  <si>
    <t xml:space="preserve">N-Ethylaniline</t>
  </si>
  <si>
    <t xml:space="preserve">CCNc1ccccc1</t>
  </si>
  <si>
    <t xml:space="preserve">N-Ethyl-N-methyl aniline</t>
  </si>
  <si>
    <t xml:space="preserve">CCN(C)c1ccccc1</t>
  </si>
  <si>
    <t xml:space="preserve">N-Hexylamine</t>
  </si>
  <si>
    <t xml:space="preserve">CCCCCCN</t>
  </si>
  <si>
    <t xml:space="preserve">Nitrobenzene</t>
  </si>
  <si>
    <t xml:space="preserve">[O-][N+](=O)c1ccccc1</t>
  </si>
  <si>
    <t xml:space="preserve">Nitrogen dioxide</t>
  </si>
  <si>
    <t xml:space="preserve">[O-][N+]=O</t>
  </si>
  <si>
    <t xml:space="preserve">N-Methyl aniline</t>
  </si>
  <si>
    <t xml:space="preserve">CNc1ccccc1</t>
  </si>
  <si>
    <t xml:space="preserve">Nonadecane</t>
  </si>
  <si>
    <t xml:space="preserve">CCCCCCCCCCCCCCCCCCC</t>
  </si>
  <si>
    <t xml:space="preserve">Nonadecyl benzene</t>
  </si>
  <si>
    <t xml:space="preserve">CCCCCCCCCCCCCCCCCCCc1ccccc1</t>
  </si>
  <si>
    <t xml:space="preserve">Nonane</t>
  </si>
  <si>
    <t xml:space="preserve">CCCCCCCCC</t>
  </si>
  <si>
    <t xml:space="preserve">Nonanoic acid</t>
  </si>
  <si>
    <t xml:space="preserve">CCCCCCCCC(O)=O</t>
  </si>
  <si>
    <t xml:space="preserve">o-Anisaldehyde</t>
  </si>
  <si>
    <t xml:space="preserve">COc1ccccc1C=O</t>
  </si>
  <si>
    <t xml:space="preserve">o-Anisidine</t>
  </si>
  <si>
    <t xml:space="preserve">COc1ccccc1N</t>
  </si>
  <si>
    <t xml:space="preserve">o-Cresol</t>
  </si>
  <si>
    <t xml:space="preserve">Cc1ccccc1O</t>
  </si>
  <si>
    <t xml:space="preserve">Octadecane</t>
  </si>
  <si>
    <t xml:space="preserve">CCCCCCCCCCCCCCCCCC</t>
  </si>
  <si>
    <t xml:space="preserve">Octane</t>
  </si>
  <si>
    <t xml:space="preserve">CCCCCCCC</t>
  </si>
  <si>
    <t xml:space="preserve">Octylamine</t>
  </si>
  <si>
    <t xml:space="preserve">CCCCCCCCN</t>
  </si>
  <si>
    <t xml:space="preserve">Oxane</t>
  </si>
  <si>
    <t xml:space="preserve">C1CCOCC1</t>
  </si>
  <si>
    <t xml:space="preserve">Oxirane</t>
  </si>
  <si>
    <t xml:space="preserve">C1CO1</t>
  </si>
  <si>
    <t xml:space="preserve">o-Xylene</t>
  </si>
  <si>
    <t xml:space="preserve">Cc1ccccc1C</t>
  </si>
  <si>
    <t xml:space="preserve">Paracetaldehyde</t>
  </si>
  <si>
    <t xml:space="preserve">CC1OC(C)OC(C)O1</t>
  </si>
  <si>
    <t xml:space="preserve">p-Cresol</t>
  </si>
  <si>
    <t xml:space="preserve">Cc1ccc(O)cc1</t>
  </si>
  <si>
    <t xml:space="preserve">Pentachloroethane</t>
  </si>
  <si>
    <t xml:space="preserve">ClC(Cl)C(Cl)(Cl)Cl</t>
  </si>
  <si>
    <t xml:space="preserve">Pentadecane</t>
  </si>
  <si>
    <t xml:space="preserve">CCCCCCCCCCCCCCC</t>
  </si>
  <si>
    <t xml:space="preserve">Pentyl ether</t>
  </si>
  <si>
    <t xml:space="preserve">CCCCCOCCCCC</t>
  </si>
  <si>
    <t xml:space="preserve">Phenol</t>
  </si>
  <si>
    <t xml:space="preserve">Oc1ccccc1</t>
  </si>
  <si>
    <t xml:space="preserve">Phenyl isothiocyanate</t>
  </si>
  <si>
    <t xml:space="preserve">S=C=Nc1ccccc1</t>
  </si>
  <si>
    <t xml:space="preserve">Phenyl propyl ketone</t>
  </si>
  <si>
    <t xml:space="preserve">CCCC(=O)c1ccccc1</t>
  </si>
  <si>
    <t xml:space="preserve">Phosphorus trichloride</t>
  </si>
  <si>
    <t xml:space="preserve">ClP(Cl)Cl</t>
  </si>
  <si>
    <t xml:space="preserve">Phosphoryl chloride</t>
  </si>
  <si>
    <t xml:space="preserve">Cl[P](Cl)(Cl)=O</t>
  </si>
  <si>
    <t xml:space="preserve">Pinacolone</t>
  </si>
  <si>
    <t xml:space="preserve">CC(=O)C(C)(C)C</t>
  </si>
  <si>
    <t xml:space="preserve">Propionitrile chloride</t>
  </si>
  <si>
    <t xml:space="preserve">[Cl-].CCC#N</t>
  </si>
  <si>
    <t xml:space="preserve">Propyl carbamate</t>
  </si>
  <si>
    <t xml:space="preserve">CCCOC(N)=O</t>
  </si>
  <si>
    <t xml:space="preserve">Propyl ether</t>
  </si>
  <si>
    <t xml:space="preserve">CCCOCCC</t>
  </si>
  <si>
    <t xml:space="preserve">Propyl formate</t>
  </si>
  <si>
    <t xml:space="preserve">CCCOC=O</t>
  </si>
  <si>
    <t xml:space="preserve">Propyl sulfoxide</t>
  </si>
  <si>
    <t xml:space="preserve">CCC[S](=O)CCC</t>
  </si>
  <si>
    <t xml:space="preserve">Propyl thioacetate</t>
  </si>
  <si>
    <t xml:space="preserve">CCCOC(C)=S</t>
  </si>
  <si>
    <t xml:space="preserve">Propylbenzenamine</t>
  </si>
  <si>
    <t xml:space="preserve">CCCc1ccccc1N</t>
  </si>
  <si>
    <t xml:space="preserve">Propyleneglycol dinitrate</t>
  </si>
  <si>
    <t xml:space="preserve">CC(O)CO.O[N+]([O-])=O.O[N+]([O-])=O</t>
  </si>
  <si>
    <t xml:space="preserve">p-Xylene</t>
  </si>
  <si>
    <t xml:space="preserve">Cc1ccc(C)cc1</t>
  </si>
  <si>
    <t xml:space="preserve">Pyrene</t>
  </si>
  <si>
    <t xml:space="preserve">c1cc2ccc3cccc4ccc(c1)c2c34</t>
  </si>
  <si>
    <t xml:space="preserve">Pyridine</t>
  </si>
  <si>
    <t xml:space="preserve">c1ccncc1</t>
  </si>
  <si>
    <t xml:space="preserve">Pyridine N-oxide</t>
  </si>
  <si>
    <t xml:space="preserve">[O-][n+]1ccccc1</t>
  </si>
  <si>
    <t xml:space="preserve">Pyrrole</t>
  </si>
  <si>
    <t xml:space="preserve">[nH]1cccc1</t>
  </si>
  <si>
    <t xml:space="preserve">Pyrrolidine</t>
  </si>
  <si>
    <t xml:space="preserve">C1CCNC1</t>
  </si>
  <si>
    <t xml:space="preserve">Salicylaldehyde</t>
  </si>
  <si>
    <t xml:space="preserve">Oc1ccccc1C=O</t>
  </si>
  <si>
    <t xml:space="preserve">Spiro(5,5)undecane</t>
  </si>
  <si>
    <t xml:space="preserve">[CH2]1CC[C]2(CC1)CC[CH2]CC2</t>
  </si>
  <si>
    <t xml:space="preserve">Spiro(5,6)dodecane</t>
  </si>
  <si>
    <t xml:space="preserve">C1CCCC2(CC1)CCCCC2</t>
  </si>
  <si>
    <t xml:space="preserve">Styrene</t>
  </si>
  <si>
    <t xml:space="preserve">C=Cc1ccccc1</t>
  </si>
  <si>
    <t xml:space="preserve">Tetradecane</t>
  </si>
  <si>
    <t xml:space="preserve">CCCCCCCCCCCCCC</t>
  </si>
  <si>
    <t xml:space="preserve">Thiophosphoryl chloride</t>
  </si>
  <si>
    <t xml:space="preserve">Cl[P](Cl)(Cl)=S</t>
  </si>
  <si>
    <t xml:space="preserve">Toluene</t>
  </si>
  <si>
    <t xml:space="preserve">Cc1ccccc1</t>
  </si>
  <si>
    <t xml:space="preserve">trans-1,2-Dichloroethylene</t>
  </si>
  <si>
    <t xml:space="preserve">Cl\C=C\Cl</t>
  </si>
  <si>
    <t xml:space="preserve">trans-2-Octene</t>
  </si>
  <si>
    <t xml:space="preserve">CCCCC/C=C/C</t>
  </si>
  <si>
    <t xml:space="preserve">Trans-Decahydronaphthalene</t>
  </si>
  <si>
    <t xml:space="preserve">C1CC[C@@H]2CCCC[C@H]2C1</t>
  </si>
  <si>
    <t xml:space="preserve">Tributyl borate</t>
  </si>
  <si>
    <t xml:space="preserve">CCCCOB(OCCCC)OCCCC</t>
  </si>
  <si>
    <t xml:space="preserve">Tributyl phosphate</t>
  </si>
  <si>
    <t xml:space="preserve">CCCCO[P](=O)(OCCCC)OCCCC</t>
  </si>
  <si>
    <t xml:space="preserve">Tridecane</t>
  </si>
  <si>
    <t xml:space="preserve">CCCCCCCCCCCCC</t>
  </si>
  <si>
    <t xml:space="preserve">Triethyl borate</t>
  </si>
  <si>
    <t xml:space="preserve">CCOB(OCC)OCC</t>
  </si>
  <si>
    <t xml:space="preserve">Trifluoro methyl cyclohexane</t>
  </si>
  <si>
    <t xml:space="preserve">CC1(F)CCCCC1(F)F</t>
  </si>
  <si>
    <t xml:space="preserve">Trifluoroiodomethane</t>
  </si>
  <si>
    <t xml:space="preserve">FC(F)(F)I</t>
  </si>
  <si>
    <t xml:space="preserve">Trihexylamine</t>
  </si>
  <si>
    <t xml:space="preserve">CCCCCCN(CCCCCC)CCCCCC</t>
  </si>
  <si>
    <t xml:space="preserve">Triisobutyl borate</t>
  </si>
  <si>
    <t xml:space="preserve">CC(C)COB(OCC(C)C)OCC(C)C</t>
  </si>
  <si>
    <t xml:space="preserve">Triisopropyl borate</t>
  </si>
  <si>
    <t xml:space="preserve">CC(C)OB(OC(C)C)OC(C)C</t>
  </si>
  <si>
    <t xml:space="preserve">Trilaurin</t>
  </si>
  <si>
    <t xml:space="preserve">CCCCCCCCCCCC(=O)OCC(COC(=O)CCCCCCCCCCC)OC(=O)CCCCCCCCCCC</t>
  </si>
  <si>
    <t xml:space="preserve">Trimethyl borate</t>
  </si>
  <si>
    <t xml:space="preserve">COB(OC)OC</t>
  </si>
  <si>
    <t xml:space="preserve">Tri-n-propyl ortho phosphate</t>
  </si>
  <si>
    <t xml:space="preserve">CCCO[P](=O)(OCCC)OCCC</t>
  </si>
  <si>
    <t xml:space="preserve">Triphenyl phosphate</t>
  </si>
  <si>
    <t xml:space="preserve">O=[P](Oc1ccccc1)(Oc2ccccc2)Oc3ccccc3</t>
  </si>
  <si>
    <t xml:space="preserve">Tripropyl borate</t>
  </si>
  <si>
    <t xml:space="preserve">CCCOB(OCCC)OCCC</t>
  </si>
  <si>
    <t xml:space="preserve">Tris-(2-ethylhexyl) phosphate</t>
  </si>
  <si>
    <t xml:space="preserve">CCCCC(CC)CO[P](=O)(OCC(CC)CCCC)OCC(CC)CCCC</t>
  </si>
  <si>
    <t xml:space="preserve">Undecane</t>
  </si>
  <si>
    <t xml:space="preserve">CCCCCCCCCCC</t>
  </si>
  <si>
    <t xml:space="preserve">Valeronitrile</t>
  </si>
  <si>
    <t xml:space="preserve">CCCCC#N</t>
  </si>
  <si>
    <t xml:space="preserve">water</t>
  </si>
  <si>
    <t xml:space="preserve">O</t>
  </si>
  <si>
    <t xml:space="preserve">α,α,α-Trifluorotoluene</t>
  </si>
  <si>
    <t xml:space="preserve">FC(F)(F)c1ccccc1</t>
  </si>
  <si>
    <t xml:space="preserve">Propionic anhydride</t>
  </si>
  <si>
    <t xml:space="preserve">CCC(=O)OC(=O)CC</t>
  </si>
  <si>
    <t xml:space="preserve">1,1-Difluoroethane</t>
  </si>
  <si>
    <t xml:space="preserve">CC(F)F</t>
  </si>
  <si>
    <t xml:space="preserve">Propyne</t>
  </si>
  <si>
    <t xml:space="preserve">CC#C</t>
  </si>
  <si>
    <t xml:space="preserve">Cyclopropane</t>
  </si>
  <si>
    <t xml:space="preserve">C1CC1</t>
  </si>
  <si>
    <t xml:space="preserve">Hexane</t>
  </si>
  <si>
    <t xml:space="preserve">CCCCCC</t>
  </si>
  <si>
    <t xml:space="preserve">Trichlorofluoromethane </t>
  </si>
  <si>
    <t xml:space="preserve">FC(Cl)(Cl)Cl</t>
  </si>
  <si>
    <t xml:space="preserve">Ethane, 2,2-dichloro-1,1,1-trifluoro-</t>
  </si>
  <si>
    <t xml:space="preserve">FC(F)(F)C(Cl)Cl</t>
  </si>
  <si>
    <t xml:space="preserve">Ethane, 1-chloro-1,2,2,2-tetrafluoro- </t>
  </si>
  <si>
    <t xml:space="preserve">FC(Cl)C(F)(F)F</t>
  </si>
  <si>
    <t xml:space="preserve">1,1-Dichloro-1-fluoroethane </t>
  </si>
  <si>
    <t xml:space="preserve">CC(F)(Cl)Cl</t>
  </si>
  <si>
    <t xml:space="preserve">1,1,1,2,3,3,3-Heptafluoropropane</t>
  </si>
  <si>
    <t xml:space="preserve">FC(C(F)(F)F)C(F)(F)F</t>
  </si>
  <si>
    <t xml:space="preserve">1,1,1,2,3,3-Hexafluoropropane </t>
  </si>
  <si>
    <t xml:space="preserve">FC(F)C(F)C(F)(F)F</t>
  </si>
  <si>
    <t xml:space="preserve">1,1,1,3,3,3-Hexafluoropropane </t>
  </si>
  <si>
    <t xml:space="preserve">FC(F)(F)CC(F)(F)F</t>
  </si>
  <si>
    <t xml:space="preserve">1,1,2,2,3-Pentafluoropropane </t>
  </si>
  <si>
    <t xml:space="preserve">FCC(F)(F)C(F)F</t>
  </si>
  <si>
    <t xml:space="preserve">1,1,1,3,3-Pentafluoropropane </t>
  </si>
  <si>
    <t xml:space="preserve">FC(F)CC(F)(F)F</t>
  </si>
  <si>
    <t xml:space="preserve">Octafluorocyclobutane </t>
  </si>
  <si>
    <t xml:space="preserve">FC1(F)C(F)(F)C(F)(F)C1(F)F</t>
  </si>
  <si>
    <t xml:space="preserve">Decafluorobutane</t>
  </si>
  <si>
    <t xml:space="preserve">FC(F)(F)C(F)(F)C(F)(F)C(F)(F)F</t>
  </si>
  <si>
    <t xml:space="preserve">Dodecafluoropentane</t>
  </si>
  <si>
    <t xml:space="preserve">FC(F)(F)C(F)(F)C(F)(F)C(F)(F)C(F)(F)F</t>
  </si>
  <si>
    <t xml:space="preserve">Sulfur dioxide</t>
  </si>
  <si>
    <t xml:space="preserve">O=[S]=O</t>
  </si>
  <si>
    <t xml:space="preserve">1,1,1-Trifluoro-2-propyl acetate</t>
  </si>
  <si>
    <t xml:space="preserve">CC(OC(C)=O)C(F)(F)F</t>
  </si>
  <si>
    <t xml:space="preserve">1,1-Difluoroethyl acetate</t>
  </si>
  <si>
    <t xml:space="preserve">CC(=O)OC(C)(F)F</t>
  </si>
  <si>
    <t xml:space="preserve">1,3-Bis(1-isocyanato-1-methylethyl)benzene</t>
  </si>
  <si>
    <t xml:space="preserve">CC(C)(N=C=O)c1cccc(c1)C(C)(C)N=C=O</t>
  </si>
  <si>
    <t xml:space="preserve">1,3-Propane sultone</t>
  </si>
  <si>
    <t xml:space="preserve">O=[S]1(=O)CCCO1</t>
  </si>
  <si>
    <t xml:space="preserve">3'-Hydroxyacetophenone </t>
  </si>
  <si>
    <t xml:space="preserve">CC(=O)c1cccc(O)c1</t>
  </si>
  <si>
    <t xml:space="preserve">3-Methyl-1-butanol</t>
  </si>
  <si>
    <t xml:space="preserve">CC(C)CCO</t>
  </si>
  <si>
    <t xml:space="preserve">Ethyltrifluoroacetate</t>
  </si>
  <si>
    <t xml:space="preserve">CCOC(=O)C(F)(F)F</t>
  </si>
  <si>
    <t xml:space="preserve">Methyl-4-hydroxybenzoate</t>
  </si>
  <si>
    <t xml:space="preserve">COC(=O)c1ccc(O)cc1</t>
  </si>
  <si>
    <t xml:space="preserve">Dimethylamino Phosphoryl chloride</t>
  </si>
  <si>
    <t xml:space="preserve">CN(C)[P](Cl)(Cl)=O</t>
  </si>
  <si>
    <t xml:space="preserve">amyl phenyl ether</t>
  </si>
  <si>
    <t xml:space="preserve">CCCCCOc1ccccc1</t>
  </si>
  <si>
    <t xml:space="preserve">Piperidine </t>
  </si>
  <si>
    <t xml:space="preserve">C1CCNCC1</t>
  </si>
  <si>
    <t xml:space="preserve">Pentane</t>
  </si>
  <si>
    <t xml:space="preserve">CCCCC</t>
  </si>
  <si>
    <t xml:space="preserve">Heptane</t>
  </si>
  <si>
    <t xml:space="preserve">CCCCCCC</t>
  </si>
  <si>
    <t xml:space="preserve">decan-1,10-diol</t>
  </si>
  <si>
    <t xml:space="preserve">OCCCCCCCCCCO</t>
  </si>
  <si>
    <t xml:space="preserve">glycerol</t>
  </si>
  <si>
    <t xml:space="preserve">OCC(O)CO</t>
  </si>
  <si>
    <t xml:space="preserve">tetraethylene glycol</t>
  </si>
  <si>
    <t xml:space="preserve">OCCOCCOCCOCCO</t>
  </si>
  <si>
    <t xml:space="preserve">1-n-hexylnaphthalene</t>
  </si>
  <si>
    <t xml:space="preserve">CCCCCCc1cccc2ccccc12</t>
  </si>
  <si>
    <t xml:space="preserve">m-terphenyl</t>
  </si>
  <si>
    <t xml:space="preserve">c1ccc(cc1)c1cccc(c1)c1ccccc1</t>
  </si>
  <si>
    <t xml:space="preserve">n-decylbenzene</t>
  </si>
  <si>
    <t xml:space="preserve">CCCCCCCCCCc1ccccc1</t>
  </si>
  <si>
    <t xml:space="preserve">n-nonylbenzene</t>
  </si>
  <si>
    <t xml:space="preserve">CCCCCCCCCc1ccccc1</t>
  </si>
  <si>
    <t xml:space="preserve">alpha-methylbenzyl alcohol</t>
  </si>
  <si>
    <t xml:space="preserve">C[C@@H](O)c1ccccc1</t>
  </si>
  <si>
    <t xml:space="preserve">benzyl benzoate</t>
  </si>
  <si>
    <t xml:space="preserve">O=C(OCc1ccccc1)c1ccccc1</t>
  </si>
  <si>
    <t xml:space="preserve">di-n-butyl phthalate</t>
  </si>
  <si>
    <t xml:space="preserve">CCCCOC(=O)c1ccccc1C(=O)OCCCC</t>
  </si>
  <si>
    <t xml:space="preserve">diethyl phthalate</t>
  </si>
  <si>
    <t xml:space="preserve">CCOC(=O)c1ccccc1C(=O)OCC</t>
  </si>
  <si>
    <t xml:space="preserve">diisononyl phthalate</t>
  </si>
  <si>
    <t xml:space="preserve">CC(C)CCCCCCOC(=O)c1ccccc1C(=O)OCCCCCCC(C)C</t>
  </si>
  <si>
    <t xml:space="preserve">dimethyl phthalate</t>
  </si>
  <si>
    <t xml:space="preserve">COC(=O)c1ccccc1C(=O)OC</t>
  </si>
  <si>
    <t xml:space="preserve">ethyl benzoate</t>
  </si>
  <si>
    <t xml:space="preserve">CCOC(=O)c1ccccc1</t>
  </si>
  <si>
    <t xml:space="preserve">ethyl phenyl acetate</t>
  </si>
  <si>
    <t xml:space="preserve">CCOC(=O)Cc1ccccc1</t>
  </si>
  <si>
    <t xml:space="preserve">nonylphenol</t>
  </si>
  <si>
    <t xml:space="preserve">CCCCCCCCCc1ccccc1O</t>
  </si>
  <si>
    <t xml:space="preserve">butyl ethanoate</t>
  </si>
  <si>
    <t xml:space="preserve">CCCCOC(=O)C</t>
  </si>
  <si>
    <t xml:space="preserve">butyl octadecanoate</t>
  </si>
  <si>
    <t xml:space="preserve">CCCCCCCCCCCCCCCCCC(=O)OCCCC</t>
  </si>
  <si>
    <t xml:space="preserve">cyclohexyl acetate</t>
  </si>
  <si>
    <t xml:space="preserve">CC(=O)OC1CCCCC1</t>
  </si>
  <si>
    <t xml:space="preserve">decyl ethanoate</t>
  </si>
  <si>
    <t xml:space="preserve">CCCCCCCCCCOC(=O)C</t>
  </si>
  <si>
    <t xml:space="preserve">diethyl oxalate</t>
  </si>
  <si>
    <t xml:space="preserve">CCOC(=O)C(=O)OCC</t>
  </si>
  <si>
    <t xml:space="preserve">gamma-butyrolactone</t>
  </si>
  <si>
    <t xml:space="preserve">O=C1CCCO1</t>
  </si>
  <si>
    <t xml:space="preserve">heptyl ethanoate</t>
  </si>
  <si>
    <t xml:space="preserve">CCCCCCCOC(=O)C</t>
  </si>
  <si>
    <t xml:space="preserve">hexyl ethanoate</t>
  </si>
  <si>
    <t xml:space="preserve">CCCCCCOC(=O)C</t>
  </si>
  <si>
    <t xml:space="preserve">isopropyl myristate</t>
  </si>
  <si>
    <t xml:space="preserve">CCCCCCCCCCCCCC(=O)OC(C)C</t>
  </si>
  <si>
    <t xml:space="preserve">methyl ethanoate</t>
  </si>
  <si>
    <t xml:space="preserve">COC(=O)C</t>
  </si>
  <si>
    <t xml:space="preserve">pentyl ethanoate</t>
  </si>
  <si>
    <t xml:space="preserve">CCCCCOC(=O)C</t>
  </si>
  <si>
    <t xml:space="preserve">phenyl acetate</t>
  </si>
  <si>
    <t xml:space="preserve">CC(=O)Oc1ccccc1</t>
  </si>
  <si>
    <t xml:space="preserve">propyl butanoate</t>
  </si>
  <si>
    <t xml:space="preserve">CCCOC(=O)CCC</t>
  </si>
  <si>
    <t xml:space="preserve">propyl ethanoate</t>
  </si>
  <si>
    <t xml:space="preserve">CCCOC(=O)C</t>
  </si>
  <si>
    <t xml:space="preserve">vinyl acetate</t>
  </si>
  <si>
    <t xml:space="preserve">CC(=O)OC=C</t>
  </si>
  <si>
    <t xml:space="preserve">1,3,5,7-cyclooctatetraene</t>
  </si>
  <si>
    <t xml:space="preserve">C1=CC=CC=CC=C1</t>
  </si>
  <si>
    <t xml:space="preserve">cis-1,2-dimethylcyclohexane</t>
  </si>
  <si>
    <t xml:space="preserve">C[C@H]1CCCC[C@H]1C</t>
  </si>
  <si>
    <t xml:space="preserve">cis-1,3-dimethylcyclohexane</t>
  </si>
  <si>
    <t xml:space="preserve">C[C@H]1CCC[C@@H](C)C1</t>
  </si>
  <si>
    <t xml:space="preserve">cis-1,4-dimethylcyclohexane</t>
  </si>
  <si>
    <t xml:space="preserve">C[C@H]1CC[C@@H](C)CC1</t>
  </si>
  <si>
    <t xml:space="preserve">cis-decahydronaphthalene</t>
  </si>
  <si>
    <t xml:space="preserve">C1CC[C@H]2CCCC[C@H]2C1</t>
  </si>
  <si>
    <t xml:space="preserve">cyclooctane</t>
  </si>
  <si>
    <t xml:space="preserve">C1CCCCCCC1</t>
  </si>
  <si>
    <t xml:space="preserve">ethylcyclopentane</t>
  </si>
  <si>
    <t xml:space="preserve">CCC1CCCC1</t>
  </si>
  <si>
    <t xml:space="preserve">indane</t>
  </si>
  <si>
    <t xml:space="preserve">c1ccc2CCCc2c1</t>
  </si>
  <si>
    <t xml:space="preserve">n-butylcyclohexane</t>
  </si>
  <si>
    <t xml:space="preserve">CCCCC1CCCCC1</t>
  </si>
  <si>
    <t xml:space="preserve">trans-1,3-dimethylcyclohexane</t>
  </si>
  <si>
    <t xml:space="preserve">C[C@@H]1CCC[C@@H](C)C1</t>
  </si>
  <si>
    <t xml:space="preserve">trans-1,4-dimethylcyclohexane</t>
  </si>
  <si>
    <t xml:space="preserve">C[C@@H]1CC[C@@H](C)CC1</t>
  </si>
  <si>
    <t xml:space="preserve">isoprene</t>
  </si>
  <si>
    <t xml:space="preserve">C=CC(=C)C</t>
  </si>
  <si>
    <t xml:space="preserve">diacetone alcohol</t>
  </si>
  <si>
    <t xml:space="preserve">CC(=O)CC(C)(C)O</t>
  </si>
  <si>
    <t xml:space="preserve">ethyl acetoacetate</t>
  </si>
  <si>
    <t xml:space="preserve">CCOC(=O)CC(=O)C</t>
  </si>
  <si>
    <t xml:space="preserve">furfural</t>
  </si>
  <si>
    <t xml:space="preserve">O=Cc1ccco1</t>
  </si>
  <si>
    <t xml:space="preserve">furfuryl alcohol</t>
  </si>
  <si>
    <t xml:space="preserve">OCc1ccco1</t>
  </si>
  <si>
    <t xml:space="preserve">salicylaldehyde</t>
  </si>
  <si>
    <t xml:space="preserve">O=Cc1ccccc1O</t>
  </si>
  <si>
    <t xml:space="preserve">n-heptadecane</t>
  </si>
  <si>
    <t xml:space="preserve">CCCCCCCCCCCCCCCCC</t>
  </si>
  <si>
    <t xml:space="preserve">n-hexacosane</t>
  </si>
  <si>
    <t xml:space="preserve">CCCCCCCCCCCCCCCCCCCCCCCCCC</t>
  </si>
  <si>
    <t xml:space="preserve">n-hexadecane</t>
  </si>
  <si>
    <t xml:space="preserve">CCCCCCCCCCCCCCCC</t>
  </si>
  <si>
    <t xml:space="preserve">n-tricosane</t>
  </si>
  <si>
    <t xml:space="preserve">CCCCCCCCCCCCCCCCCCCCCCC</t>
  </si>
  <si>
    <t xml:space="preserve">1,1-Difluoro ethyl acetate</t>
  </si>
  <si>
    <t xml:space="preserve">CCOC(=O)C(F)F</t>
  </si>
  <si>
    <t xml:space="preserve">Chlorocyclohexane</t>
  </si>
  <si>
    <t xml:space="preserve">C1CCC(CC1)Cl</t>
  </si>
  <si>
    <t xml:space="preserve">Dichlorodifluoromethane</t>
  </si>
  <si>
    <t xml:space="preserve">C(F)(F)(Cl)Cl</t>
  </si>
  <si>
    <t xml:space="preserve">1,2-Dibromoethylene</t>
  </si>
  <si>
    <t xml:space="preserve">C(=CBr)Br</t>
  </si>
  <si>
    <t xml:space="preserve">Ethylene Glycol</t>
  </si>
  <si>
    <t xml:space="preserve">C(CO)O</t>
  </si>
  <si>
    <t xml:space="preserve">Heptanoic Acid</t>
  </si>
  <si>
    <t xml:space="preserve">CCCCCCC(=O)O</t>
  </si>
  <si>
    <t xml:space="preserve">Heptyl acetate</t>
  </si>
  <si>
    <t xml:space="preserve">O=C(OCCCCCCC)C</t>
  </si>
  <si>
    <t xml:space="preserve">1-Heptanethiol</t>
  </si>
  <si>
    <t xml:space="preserve">thio-acetic acid S-heptyl ester</t>
  </si>
  <si>
    <t xml:space="preserve">CCCCCCCSC(=O)C</t>
  </si>
  <si>
    <t xml:space="preserve">Heptylamine</t>
  </si>
  <si>
    <t xml:space="preserve">CCCCCCCN</t>
  </si>
  <si>
    <t xml:space="preserve">Hexanenitrile</t>
  </si>
  <si>
    <t xml:space="preserve">CCCCCC#N</t>
  </si>
  <si>
    <t xml:space="preserve">Hydrogen Cyanide</t>
  </si>
  <si>
    <t xml:space="preserve">C#N</t>
  </si>
  <si>
    <t xml:space="preserve">Indan</t>
  </si>
  <si>
    <t xml:space="preserve">C1CC2=CC=CC=C2C1</t>
  </si>
  <si>
    <t xml:space="preserve">Indene</t>
  </si>
  <si>
    <t xml:space="preserve">C1C=CC2=CC=CC=C21</t>
  </si>
  <si>
    <t xml:space="preserve">Iodobenzene</t>
  </si>
  <si>
    <t xml:space="preserve">C1=CC=C(C=C1)I</t>
  </si>
  <si>
    <t xml:space="preserve">Iodoethane</t>
  </si>
  <si>
    <t xml:space="preserve">CCI</t>
  </si>
  <si>
    <t xml:space="preserve">Iodomethane</t>
  </si>
  <si>
    <t xml:space="preserve">CI</t>
  </si>
  <si>
    <t xml:space="preserve">Diisopentyl ether</t>
  </si>
  <si>
    <t xml:space="preserve">CC(C)CCOCCC(C)C</t>
  </si>
  <si>
    <t xml:space="preserve">Isoamylamine</t>
  </si>
  <si>
    <t xml:space="preserve">CC(C)CCN</t>
  </si>
  <si>
    <t xml:space="preserve">4-Methylpentanenitrile</t>
  </si>
  <si>
    <t xml:space="preserve">CC(C)CCC#N</t>
  </si>
  <si>
    <t xml:space="preserve">Isobutyl acetate</t>
  </si>
  <si>
    <t xml:space="preserve">CC(C)COC(=O)C</t>
  </si>
  <si>
    <t xml:space="preserve">Phenylethyl Alcohol</t>
  </si>
  <si>
    <t xml:space="preserve">C1=CC=C(C=C1)CCO</t>
  </si>
  <si>
    <t xml:space="preserve">Propionaldehyde</t>
  </si>
  <si>
    <t xml:space="preserve">CCC=O</t>
  </si>
  <si>
    <t xml:space="preserve">Propionamide</t>
  </si>
  <si>
    <t xml:space="preserve">CCC(=O)N</t>
  </si>
  <si>
    <t xml:space="preserve">Propionic Acid</t>
  </si>
  <si>
    <t xml:space="preserve">Propionitrile</t>
  </si>
  <si>
    <t xml:space="preserve">CCC#N</t>
  </si>
  <si>
    <t xml:space="preserve">Propoxybenzene</t>
  </si>
  <si>
    <t xml:space="preserve">CCCOC1=CC=CC=C1</t>
  </si>
  <si>
    <t xml:space="preserve">Quinoline</t>
  </si>
  <si>
    <t xml:space="preserve">C1=CC=C2C(=C1)C=CC=N2</t>
  </si>
  <si>
    <t xml:space="preserve">Ln_A</t>
  </si>
  <si>
    <t xml:space="preserve">A</t>
  </si>
  <si>
    <t xml:space="preserve">Ea_R</t>
  </si>
  <si>
    <t xml:space="preserve">Ea</t>
  </si>
  <si>
    <t xml:space="preserve">MSE</t>
  </si>
  <si>
    <t xml:space="preserve">R_squared</t>
  </si>
  <si>
    <t xml:space="preserve">1,1,1-Trifluoro acetone</t>
  </si>
  <si>
    <t xml:space="preserve">1,1,2,2-Tetrabromo ethane</t>
  </si>
  <si>
    <t xml:space="preserve">1,2-Dimethoxyethane</t>
  </si>
  <si>
    <t xml:space="preserve">1,3-Dimethyl-3,4,5,6-tetrahydro-2(1H) pyrimidinone</t>
  </si>
  <si>
    <t xml:space="preserve">1,4-Dichlorobutane</t>
  </si>
  <si>
    <t xml:space="preserve">1,4-Dimethyl-5-octyl naphthalene</t>
  </si>
  <si>
    <t xml:space="preserve">1-Bromodecane</t>
  </si>
  <si>
    <t xml:space="preserve">1-Butanethiol</t>
  </si>
  <si>
    <t xml:space="preserve">1-Fluoro-3-nitrobenzene</t>
  </si>
  <si>
    <t xml:space="preserve">1-Hexanol</t>
  </si>
  <si>
    <t xml:space="preserve">2,3-Dimethyl-1,3-butadiene</t>
  </si>
  <si>
    <t xml:space="preserve">2,6-Dimethyl aniline</t>
  </si>
  <si>
    <t xml:space="preserve">2-Amino-2-methyl-1-propanol</t>
  </si>
  <si>
    <t xml:space="preserve">2-Amyl undecanol</t>
  </si>
  <si>
    <t xml:space="preserve">2-Bromopyridine</t>
  </si>
  <si>
    <t xml:space="preserve">2-Chloro-6-methyl aniline</t>
  </si>
  <si>
    <t xml:space="preserve">2-Chloroaniline</t>
  </si>
  <si>
    <t xml:space="preserve">2-Cyanopyridine</t>
  </si>
  <si>
    <t xml:space="preserve">2-Ethyl-1-butanol</t>
  </si>
  <si>
    <t xml:space="preserve">2-Fluorophenetole</t>
  </si>
  <si>
    <t xml:space="preserve">2-Heptyl nonanol</t>
  </si>
  <si>
    <t xml:space="preserve">2-Hexadecanol</t>
  </si>
  <si>
    <t xml:space="preserve">2-Methyl propane</t>
  </si>
  <si>
    <t xml:space="preserve">2-Methyl-1,3-butadiene</t>
  </si>
  <si>
    <t xml:space="preserve">2-Methyl-1-pentanol</t>
  </si>
  <si>
    <t xml:space="preserve">2-Phenyl-ethyl-alcohol</t>
  </si>
  <si>
    <t xml:space="preserve">2-Propanamine</t>
  </si>
  <si>
    <t xml:space="preserve">2-Propyl tridecanol</t>
  </si>
  <si>
    <t xml:space="preserve">3,5,5-trimethylhexan-1-ol</t>
  </si>
  <si>
    <t xml:space="preserve">3-Butyl-2-oxazolidone</t>
  </si>
  <si>
    <t xml:space="preserve">3-Fluorophenetole</t>
  </si>
  <si>
    <t xml:space="preserve">3-Hexanol</t>
  </si>
  <si>
    <t xml:space="preserve">3-Isopropyl-2-oxazolidinone</t>
  </si>
  <si>
    <t xml:space="preserve">3-Isopropylsydnone</t>
  </si>
  <si>
    <t xml:space="preserve">3-Methyl benzenamine</t>
  </si>
  <si>
    <t xml:space="preserve">3-Methyl cyclohexanol</t>
  </si>
  <si>
    <t xml:space="preserve">3-Methyl sydnone</t>
  </si>
  <si>
    <t xml:space="preserve">3-Methyl-3-pentanol</t>
  </si>
  <si>
    <t xml:space="preserve">3-n-Propyl-4-methylsydnone</t>
  </si>
  <si>
    <t xml:space="preserve">3-tert-Butyl-2-oxazolidinone</t>
  </si>
  <si>
    <t xml:space="preserve">4-Methyl cyclohexanol</t>
  </si>
  <si>
    <t xml:space="preserve">Acetic Acid</t>
  </si>
  <si>
    <t xml:space="preserve">Acetonitrile</t>
  </si>
  <si>
    <t xml:space="preserve">Ammonia</t>
  </si>
  <si>
    <t xml:space="preserve">Benzaldehyde</t>
  </si>
  <si>
    <t xml:space="preserve">Benzyl Chloride</t>
  </si>
  <si>
    <t xml:space="preserve">Benzylphenylamine</t>
  </si>
  <si>
    <t xml:space="preserve">Bromoform</t>
  </si>
  <si>
    <t xml:space="preserve">Butyl sydnone</t>
  </si>
  <si>
    <t xml:space="preserve">Chloral</t>
  </si>
  <si>
    <t xml:space="preserve">Chlorodifluoromethane</t>
  </si>
  <si>
    <t xml:space="preserve">Difluoro methane</t>
  </si>
  <si>
    <t xml:space="preserve">Dimethoxymethane</t>
  </si>
  <si>
    <t xml:space="preserve">Dimethyl amine</t>
  </si>
  <si>
    <t xml:space="preserve">Dodecanoic acid</t>
  </si>
  <si>
    <t xml:space="preserve">Dodecyl thiopalmitate</t>
  </si>
  <si>
    <t xml:space="preserve">Ethane</t>
  </si>
  <si>
    <t xml:space="preserve">Ethyl butanoate</t>
  </si>
  <si>
    <t xml:space="preserve">Ethyl chloride</t>
  </si>
  <si>
    <t xml:space="preserve">Ethyl cyclohexane</t>
  </si>
  <si>
    <t xml:space="preserve">Ethyl tetradecanol</t>
  </si>
  <si>
    <t xml:space="preserve">Ethylene glycol diethyl ether</t>
  </si>
  <si>
    <t xml:space="preserve">Fluorine</t>
  </si>
  <si>
    <t xml:space="preserve">Mesitylene</t>
  </si>
  <si>
    <t xml:space="preserve">Methane</t>
  </si>
  <si>
    <t xml:space="preserve">Methyl amine</t>
  </si>
  <si>
    <t xml:space="preserve">Methyl carbamate</t>
  </si>
  <si>
    <t xml:space="preserve">Methylbutyl ketone</t>
  </si>
  <si>
    <t xml:space="preserve">Monoethanolamine</t>
  </si>
  <si>
    <t xml:space="preserve">N,N-Dimethylethyleneurea</t>
  </si>
  <si>
    <t xml:space="preserve">N-2-Methoxyethyl acetamide</t>
  </si>
  <si>
    <t xml:space="preserve">Nitromethane</t>
  </si>
  <si>
    <t xml:space="preserve">Nitryl fluoride</t>
  </si>
  <si>
    <t xml:space="preserve">N-Methyl-2-chloroacetamide</t>
  </si>
  <si>
    <t xml:space="preserve">N-Methyldiethanolamine</t>
  </si>
  <si>
    <t xml:space="preserve">Nonyl thiopalmitate</t>
  </si>
  <si>
    <t xml:space="preserve">Octyl thiomyristate</t>
  </si>
  <si>
    <t xml:space="preserve">Phenyl acetic acid</t>
  </si>
  <si>
    <t xml:space="preserve">Phenylpropyl ether</t>
  </si>
  <si>
    <t xml:space="preserve">Spiro (4,5) decane</t>
  </si>
  <si>
    <t xml:space="preserve">Tetradecyl thiolaurate</t>
  </si>
  <si>
    <t xml:space="preserve">Tetradecyl thiomyristate</t>
  </si>
  <si>
    <t xml:space="preserve">Tetraethylene glycol dimethyl ether</t>
  </si>
  <si>
    <t xml:space="preserve">Tridecyl cyclopentane</t>
  </si>
  <si>
    <t xml:space="preserve">Tridecyl thiopalmitate</t>
  </si>
  <si>
    <t xml:space="preserve">Trifluoroacetic acid</t>
  </si>
  <si>
    <t xml:space="preserve">Trimethyl phosphite</t>
  </si>
  <si>
    <t xml:space="preserve">Triphenyl phosphite</t>
  </si>
  <si>
    <t xml:space="preserve">Undecyl thiopalmitate</t>
  </si>
  <si>
    <t xml:space="preserve">Undecyl thiostearate</t>
  </si>
  <si>
    <t xml:space="preserve">Propane</t>
  </si>
  <si>
    <t xml:space="preserve">Dinitrogen monoxide</t>
  </si>
  <si>
    <t xml:space="preserve">Tetrafluoromethane </t>
  </si>
  <si>
    <t xml:space="preserve">Trifluoromethane </t>
  </si>
  <si>
    <t xml:space="preserve">Fluoromethane </t>
  </si>
  <si>
    <t xml:space="preserve">Chloropentafluoroethane</t>
  </si>
  <si>
    <t xml:space="preserve"> Hexafluoroethane</t>
  </si>
  <si>
    <t xml:space="preserve">Ethane, pentafluoro- </t>
  </si>
  <si>
    <t xml:space="preserve">Ethane, 1,1,1,2-tetrafluoro- </t>
  </si>
  <si>
    <t xml:space="preserve">Ethane, 1,1,1-trifluoro-</t>
  </si>
  <si>
    <t xml:space="preserve">Octafluoropropane </t>
  </si>
  <si>
    <t xml:space="preserve">Hydrogen sulfide</t>
  </si>
  <si>
    <t xml:space="preserve">Sulfur hexafluoride</t>
  </si>
  <si>
    <t xml:space="preserve">Carbonyl sulfide</t>
  </si>
  <si>
    <t xml:space="preserve">p-Mentha-1,8-dien</t>
  </si>
  <si>
    <t xml:space="preserve">o-PHENYLENEDIAMINE</t>
  </si>
  <si>
    <t xml:space="preserve">1-bromo-2,2-difluoroethane</t>
  </si>
  <si>
    <t xml:space="preserve">l-Menthol</t>
  </si>
  <si>
    <t xml:space="preserve">2,3 Dimethylbutane</t>
  </si>
  <si>
    <t xml:space="preserve">2-Propyl tridecylacetate</t>
  </si>
  <si>
    <t xml:space="preserve">3-Ethyl-2-oxazolidinone</t>
  </si>
  <si>
    <t xml:space="preserve">Ethyl-N-methylcarbamate</t>
  </si>
  <si>
    <t xml:space="preserve">Tris Dimethylamino Phosphine oxide</t>
  </si>
  <si>
    <t xml:space="preserve">Ethene</t>
  </si>
  <si>
    <t xml:space="preserve">Propene</t>
  </si>
  <si>
    <t xml:space="preserve">Chlorotrifluoromethane </t>
  </si>
  <si>
    <t xml:space="preserve">3-methyl-1-pentanol</t>
  </si>
  <si>
    <t xml:space="preserve">alpha-terpineol</t>
  </si>
  <si>
    <t xml:space="preserve">hexaethylbenzene</t>
  </si>
  <si>
    <t xml:space="preserve">n-heptylbenzene</t>
  </si>
  <si>
    <t xml:space="preserve">2,6-di-tert-butyl-p-cresol</t>
  </si>
  <si>
    <t xml:space="preserve">3-phenyl-1-propanol</t>
  </si>
  <si>
    <t xml:space="preserve">di-n-decyl phthalate</t>
  </si>
  <si>
    <t xml:space="preserve">di-n-heptyl phthalate</t>
  </si>
  <si>
    <t xml:space="preserve">di-n-undecyl phthalate</t>
  </si>
  <si>
    <t xml:space="preserve">cis-2-methylcyclohexanol</t>
  </si>
  <si>
    <t xml:space="preserve">cis-3-methylcyclohexanol</t>
  </si>
  <si>
    <t xml:space="preserve">cis-4-methylcyclohexanol</t>
  </si>
  <si>
    <t xml:space="preserve">trans-2-methylcyclohexanol</t>
  </si>
  <si>
    <t xml:space="preserve">trans-3-methylcyclohexanol</t>
  </si>
  <si>
    <t xml:space="preserve">trans-4-methylcyclohexanol</t>
  </si>
  <si>
    <t xml:space="preserve">diallyl maleate</t>
  </si>
  <si>
    <t xml:space="preserve">dibutyl maleate</t>
  </si>
  <si>
    <t xml:space="preserve">diethyl maleate</t>
  </si>
  <si>
    <t xml:space="preserve">dimethyl maleate</t>
  </si>
  <si>
    <t xml:space="preserve">ethyl (9Z)-octadec-9-enoate</t>
  </si>
  <si>
    <t xml:space="preserve">ethyl ethanoate</t>
  </si>
  <si>
    <t xml:space="preserve">heptyl methanoate</t>
  </si>
  <si>
    <t xml:space="preserve">hexyl methanoate</t>
  </si>
  <si>
    <t xml:space="preserve">isobutyl methacrylate</t>
  </si>
  <si>
    <t xml:space="preserve">methyl acrylate</t>
  </si>
  <si>
    <t xml:space="preserve">methyl dodecanoate</t>
  </si>
  <si>
    <t xml:space="preserve">n-butyl methacrylate</t>
  </si>
  <si>
    <t xml:space="preserve">octyl methanoate</t>
  </si>
  <si>
    <t xml:space="preserve">pentyl methanoate</t>
  </si>
  <si>
    <t xml:space="preserve">cycloheptene</t>
  </si>
  <si>
    <t xml:space="preserve">cyclooctene</t>
  </si>
  <si>
    <t xml:space="preserve">indene</t>
  </si>
  <si>
    <t xml:space="preserve">1-hexadecene</t>
  </si>
  <si>
    <t xml:space="preserve">1-hexene</t>
  </si>
  <si>
    <t xml:space="preserve">cyclopentadiene</t>
  </si>
  <si>
    <t xml:space="preserve">propadiene</t>
  </si>
  <si>
    <t xml:space="preserve">dipropylene glycol n-butyl ether</t>
  </si>
  <si>
    <t xml:space="preserve">methyl lactate</t>
  </si>
  <si>
    <t xml:space="preserve">propylene glycol ethyl ether acetate</t>
  </si>
  <si>
    <t xml:space="preserve">tetraethylene glycol monomethyl ether</t>
  </si>
  <si>
    <t xml:space="preserve">2-methyltridecane</t>
  </si>
  <si>
    <t xml:space="preserve">2,4-dimethylpentane</t>
  </si>
  <si>
    <t xml:space="preserve">2,5-dimethylhexane</t>
  </si>
  <si>
    <t xml:space="preserve">Hexadecyl acetate</t>
  </si>
  <si>
    <t xml:space="preserve">Adipic Acid</t>
  </si>
  <si>
    <t xml:space="preserve">Hydrazine</t>
  </si>
  <si>
    <t xml:space="preserve">Hydrobromic acid</t>
  </si>
  <si>
    <t xml:space="preserve">Hydrogen iodide</t>
  </si>
  <si>
    <t xml:space="preserve">Iodine pentafluoride</t>
  </si>
  <si>
    <t xml:space="preserve">O-Terphenyl</t>
  </si>
  <si>
    <t xml:space="preserve">temp</t>
  </si>
  <si>
    <t xml:space="preserve">temp_inv</t>
  </si>
  <si>
    <t xml:space="preserve">mu</t>
  </si>
  <si>
    <t xml:space="preserve">mu_log</t>
  </si>
  <si>
    <t xml:space="preserve">Viscosity_ln_1</t>
  </si>
  <si>
    <t xml:space="preserve">Viscosity_ln_2</t>
  </si>
  <si>
    <t xml:space="preserve">Viscosity_ln_3</t>
  </si>
  <si>
    <t xml:space="preserve">Viscosity_ln_4</t>
  </si>
  <si>
    <t xml:space="preserve">Viscosity_ln_5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</si>
  <si>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</si>
  <si>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</si>
  <si>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</si>
  <si>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</si>
  <si>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</si>
  <si>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318.1285	</t>
  </si>
  <si>
    <t xml:space="preserve">323.15	</t>
  </si>
  <si>
    <t xml:space="preserve">Dimethyl Suberate</t>
  </si>
  <si>
    <t xml:space="preserve">Diethyl 2-acetylglutarate</t>
  </si>
  <si>
    <t xml:space="preserve">CCOC(=O)CCC(C(C)=O)C(=O)OCC</t>
  </si>
  <si>
    <t xml:space="preserve">Diethyl acetylsuccinate</t>
  </si>
  <si>
    <t xml:space="preserve">CCOC(=O)CC(C(C)=O)C(=O)OCC</t>
  </si>
  <si>
    <t xml:space="preserve">Diethyl malate</t>
  </si>
  <si>
    <t xml:space="preserve">CCOC(=O)CC(O)C(=O)OCC</t>
  </si>
  <si>
    <t xml:space="preserve">dioctyl adipate</t>
  </si>
  <si>
    <t xml:space="preserve">CCCCCCCCOC(=O)CCCCC(=O)OCCCCCCCC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</si>
</sst>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0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4"/>
      <color rgb="FF333333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10.83984375" defaultRowHeight="15.75" zeroHeight="false" outlineLevelRow="0" outlineLevelCol="0"/>
  <cols>
    <col collapsed="false" customWidth="true" hidden="false" outlineLevel="0" max="2" min="1" style="1" width="64.83"/>
    <col collapsed="false" customWidth="false" hidden="false" outlineLevel="0" max="1024" min="3" style="1" width="10.8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.75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5.75" hidden="false" customHeight="false" outlineLevel="0" collapsed="false">
      <c r="A4" s="1" t="s">
        <v>8</v>
      </c>
      <c r="B4" s="1" t="s">
        <v>9</v>
      </c>
      <c r="C4" s="1" t="s">
        <v>5</v>
      </c>
    </row>
    <row r="5" customFormat="false" ht="15.75" hidden="false" customHeight="false" outlineLevel="0" collapsed="false">
      <c r="A5" s="1" t="s">
        <v>10</v>
      </c>
      <c r="B5" s="1" t="s">
        <v>11</v>
      </c>
      <c r="C5" s="1" t="s">
        <v>5</v>
      </c>
    </row>
    <row r="6" customFormat="false" ht="15.75" hidden="false" customHeight="false" outlineLevel="0" collapsed="false">
      <c r="A6" s="1" t="s">
        <v>12</v>
      </c>
      <c r="B6" s="1" t="s">
        <v>13</v>
      </c>
      <c r="C6" s="1" t="s">
        <v>5</v>
      </c>
    </row>
    <row r="7" customFormat="false" ht="15.75" hidden="false" customHeight="false" outlineLevel="0" collapsed="false">
      <c r="A7" s="1" t="s">
        <v>14</v>
      </c>
      <c r="B7" s="1" t="s">
        <v>15</v>
      </c>
      <c r="C7" s="1" t="s">
        <v>5</v>
      </c>
    </row>
    <row r="8" customFormat="false" ht="15.75" hidden="false" customHeight="false" outlineLevel="0" collapsed="false">
      <c r="A8" s="1" t="s">
        <v>16</v>
      </c>
      <c r="B8" s="1" t="s">
        <v>17</v>
      </c>
      <c r="C8" s="1" t="s">
        <v>5</v>
      </c>
    </row>
    <row r="9" customFormat="false" ht="15.75" hidden="false" customHeight="false" outlineLevel="0" collapsed="false">
      <c r="A9" s="1" t="s">
        <v>18</v>
      </c>
      <c r="B9" s="1" t="s">
        <v>19</v>
      </c>
      <c r="C9" s="1" t="s">
        <v>5</v>
      </c>
    </row>
    <row r="10" customFormat="false" ht="15.75" hidden="false" customHeight="false" outlineLevel="0" collapsed="false">
      <c r="A10" s="1" t="s">
        <v>20</v>
      </c>
      <c r="B10" s="1" t="s">
        <v>21</v>
      </c>
      <c r="C10" s="1" t="s">
        <v>5</v>
      </c>
    </row>
    <row r="11" customFormat="false" ht="15.75" hidden="false" customHeight="false" outlineLevel="0" collapsed="false">
      <c r="A11" s="1" t="s">
        <v>22</v>
      </c>
      <c r="B11" s="1" t="s">
        <v>23</v>
      </c>
      <c r="C11" s="1" t="s">
        <v>5</v>
      </c>
    </row>
    <row r="12" customFormat="false" ht="15.75" hidden="false" customHeight="false" outlineLevel="0" collapsed="false">
      <c r="A12" s="1" t="s">
        <v>24</v>
      </c>
      <c r="B12" s="1" t="s">
        <v>25</v>
      </c>
      <c r="C12" s="1" t="s">
        <v>5</v>
      </c>
    </row>
    <row r="13" customFormat="false" ht="15.75" hidden="false" customHeight="false" outlineLevel="0" collapsed="false">
      <c r="A13" s="1" t="s">
        <v>26</v>
      </c>
      <c r="B13" s="1" t="s">
        <v>27</v>
      </c>
      <c r="C13" s="1" t="s">
        <v>5</v>
      </c>
    </row>
    <row r="14" customFormat="false" ht="15.75" hidden="false" customHeight="false" outlineLevel="0" collapsed="false">
      <c r="A14" s="1" t="s">
        <v>28</v>
      </c>
      <c r="B14" s="1" t="s">
        <v>29</v>
      </c>
      <c r="C14" s="1" t="s">
        <v>5</v>
      </c>
    </row>
    <row r="15" customFormat="false" ht="15.75" hidden="false" customHeight="false" outlineLevel="0" collapsed="false">
      <c r="A15" s="1" t="s">
        <v>30</v>
      </c>
      <c r="B15" s="1" t="s">
        <v>31</v>
      </c>
      <c r="C15" s="1" t="s">
        <v>5</v>
      </c>
    </row>
    <row r="16" customFormat="false" ht="15.75" hidden="false" customHeight="false" outlineLevel="0" collapsed="false">
      <c r="A16" s="1" t="s">
        <v>32</v>
      </c>
      <c r="B16" s="1" t="s">
        <v>33</v>
      </c>
      <c r="C16" s="1" t="s">
        <v>5</v>
      </c>
    </row>
    <row r="17" customFormat="false" ht="15.75" hidden="false" customHeight="false" outlineLevel="0" collapsed="false">
      <c r="A17" s="1" t="s">
        <v>34</v>
      </c>
      <c r="B17" s="1" t="s">
        <v>35</v>
      </c>
      <c r="C17" s="1" t="s">
        <v>5</v>
      </c>
    </row>
    <row r="18" customFormat="false" ht="15.75" hidden="false" customHeight="false" outlineLevel="0" collapsed="false">
      <c r="A18" s="1" t="s">
        <v>36</v>
      </c>
      <c r="B18" s="1" t="s">
        <v>37</v>
      </c>
      <c r="C18" s="1" t="s">
        <v>5</v>
      </c>
    </row>
    <row r="19" customFormat="false" ht="15.75" hidden="false" customHeight="false" outlineLevel="0" collapsed="false">
      <c r="A19" s="1" t="s">
        <v>38</v>
      </c>
      <c r="B19" s="1" t="s">
        <v>39</v>
      </c>
      <c r="C19" s="1" t="s">
        <v>5</v>
      </c>
    </row>
    <row r="20" customFormat="false" ht="15.75" hidden="false" customHeight="false" outlineLevel="0" collapsed="false">
      <c r="A20" s="1" t="s">
        <v>40</v>
      </c>
      <c r="B20" s="1" t="s">
        <v>41</v>
      </c>
      <c r="C20" s="1" t="s">
        <v>5</v>
      </c>
    </row>
    <row r="21" customFormat="false" ht="15.75" hidden="false" customHeight="false" outlineLevel="0" collapsed="false">
      <c r="A21" s="1" t="s">
        <v>42</v>
      </c>
      <c r="B21" s="1" t="s">
        <v>43</v>
      </c>
      <c r="C21" s="1" t="s">
        <v>5</v>
      </c>
    </row>
    <row r="22" customFormat="false" ht="15.75" hidden="false" customHeight="false" outlineLevel="0" collapsed="false">
      <c r="A22" s="1" t="s">
        <v>44</v>
      </c>
      <c r="B22" s="1" t="s">
        <v>45</v>
      </c>
      <c r="C22" s="1" t="s">
        <v>5</v>
      </c>
    </row>
    <row r="23" customFormat="false" ht="15.75" hidden="false" customHeight="false" outlineLevel="0" collapsed="false">
      <c r="A23" s="1" t="s">
        <v>46</v>
      </c>
      <c r="B23" s="1" t="s">
        <v>47</v>
      </c>
      <c r="C23" s="1" t="s">
        <v>5</v>
      </c>
    </row>
    <row r="24" customFormat="false" ht="15.75" hidden="false" customHeight="false" outlineLevel="0" collapsed="false">
      <c r="A24" s="1" t="s">
        <v>48</v>
      </c>
      <c r="B24" s="1" t="s">
        <v>49</v>
      </c>
      <c r="C24" s="1" t="s">
        <v>5</v>
      </c>
    </row>
    <row r="25" customFormat="false" ht="15.75" hidden="false" customHeight="false" outlineLevel="0" collapsed="false">
      <c r="A25" s="1" t="s">
        <v>50</v>
      </c>
      <c r="B25" s="1" t="s">
        <v>51</v>
      </c>
      <c r="C25" s="1" t="s">
        <v>5</v>
      </c>
    </row>
    <row r="26" customFormat="false" ht="15.75" hidden="false" customHeight="false" outlineLevel="0" collapsed="false">
      <c r="A26" s="1" t="s">
        <v>52</v>
      </c>
      <c r="B26" s="1" t="s">
        <v>53</v>
      </c>
      <c r="C26" s="1" t="s">
        <v>5</v>
      </c>
    </row>
    <row r="27" customFormat="false" ht="15.75" hidden="false" customHeight="false" outlineLevel="0" collapsed="false">
      <c r="A27" s="1" t="s">
        <v>54</v>
      </c>
      <c r="B27" s="1" t="s">
        <v>55</v>
      </c>
      <c r="C27" s="1" t="s">
        <v>5</v>
      </c>
    </row>
    <row r="28" customFormat="false" ht="15.75" hidden="false" customHeight="false" outlineLevel="0" collapsed="false">
      <c r="A28" s="1" t="s">
        <v>56</v>
      </c>
      <c r="B28" s="1" t="s">
        <v>57</v>
      </c>
      <c r="C28" s="1" t="s">
        <v>5</v>
      </c>
    </row>
    <row r="29" customFormat="false" ht="15.75" hidden="false" customHeight="false" outlineLevel="0" collapsed="false">
      <c r="A29" s="1" t="s">
        <v>58</v>
      </c>
      <c r="B29" s="1" t="s">
        <v>59</v>
      </c>
      <c r="C29" s="1" t="s">
        <v>5</v>
      </c>
    </row>
    <row r="30" customFormat="false" ht="15.75" hidden="false" customHeight="false" outlineLevel="0" collapsed="false">
      <c r="A30" s="1" t="s">
        <v>60</v>
      </c>
      <c r="B30" s="1" t="s">
        <v>61</v>
      </c>
      <c r="C30" s="1" t="s">
        <v>5</v>
      </c>
    </row>
    <row r="31" customFormat="false" ht="15.75" hidden="false" customHeight="false" outlineLevel="0" collapsed="false">
      <c r="A31" s="1" t="s">
        <v>62</v>
      </c>
      <c r="B31" s="1" t="s">
        <v>63</v>
      </c>
      <c r="C31" s="1" t="s">
        <v>5</v>
      </c>
    </row>
    <row r="32" customFormat="false" ht="15.75" hidden="false" customHeight="false" outlineLevel="0" collapsed="false">
      <c r="A32" s="1" t="s">
        <v>64</v>
      </c>
      <c r="B32" s="1" t="s">
        <v>65</v>
      </c>
      <c r="C32" s="1" t="s">
        <v>5</v>
      </c>
    </row>
    <row r="33" customFormat="false" ht="15.75" hidden="false" customHeight="false" outlineLevel="0" collapsed="false">
      <c r="A33" s="1" t="s">
        <v>66</v>
      </c>
      <c r="B33" s="1" t="s">
        <v>67</v>
      </c>
      <c r="C33" s="1" t="s">
        <v>5</v>
      </c>
    </row>
    <row r="34" customFormat="false" ht="15.75" hidden="false" customHeight="false" outlineLevel="0" collapsed="false">
      <c r="A34" s="1" t="s">
        <v>68</v>
      </c>
      <c r="B34" s="1" t="s">
        <v>69</v>
      </c>
      <c r="C34" s="1" t="s">
        <v>5</v>
      </c>
    </row>
    <row r="35" customFormat="false" ht="15.75" hidden="false" customHeight="false" outlineLevel="0" collapsed="false">
      <c r="A35" s="1" t="s">
        <v>70</v>
      </c>
      <c r="B35" s="1" t="s">
        <v>71</v>
      </c>
      <c r="C35" s="1" t="s">
        <v>5</v>
      </c>
    </row>
    <row r="36" customFormat="false" ht="15.75" hidden="false" customHeight="false" outlineLevel="0" collapsed="false">
      <c r="A36" s="1" t="s">
        <v>72</v>
      </c>
      <c r="B36" s="1" t="s">
        <v>73</v>
      </c>
      <c r="C36" s="1" t="s">
        <v>5</v>
      </c>
    </row>
    <row r="37" customFormat="false" ht="15.75" hidden="false" customHeight="false" outlineLevel="0" collapsed="false">
      <c r="A37" s="1" t="s">
        <v>74</v>
      </c>
      <c r="B37" s="1" t="s">
        <v>75</v>
      </c>
      <c r="C37" s="1" t="s">
        <v>5</v>
      </c>
    </row>
    <row r="38" customFormat="false" ht="15.75" hidden="false" customHeight="false" outlineLevel="0" collapsed="false">
      <c r="A38" s="1" t="s">
        <v>76</v>
      </c>
      <c r="B38" s="1" t="s">
        <v>77</v>
      </c>
      <c r="C38" s="1" t="s">
        <v>5</v>
      </c>
    </row>
    <row r="39" customFormat="false" ht="15.75" hidden="false" customHeight="false" outlineLevel="0" collapsed="false">
      <c r="A39" s="1" t="s">
        <v>78</v>
      </c>
      <c r="B39" s="1" t="s">
        <v>79</v>
      </c>
      <c r="C39" s="1" t="s">
        <v>5</v>
      </c>
    </row>
    <row r="40" customFormat="false" ht="15.75" hidden="false" customHeight="false" outlineLevel="0" collapsed="false">
      <c r="A40" s="1" t="s">
        <v>80</v>
      </c>
      <c r="B40" s="1" t="s">
        <v>81</v>
      </c>
      <c r="C40" s="1" t="s">
        <v>5</v>
      </c>
    </row>
    <row r="41" customFormat="false" ht="15.75" hidden="false" customHeight="false" outlineLevel="0" collapsed="false">
      <c r="A41" s="1" t="s">
        <v>82</v>
      </c>
      <c r="B41" s="1" t="s">
        <v>83</v>
      </c>
      <c r="C41" s="1" t="s">
        <v>5</v>
      </c>
    </row>
    <row r="42" customFormat="false" ht="15.75" hidden="false" customHeight="false" outlineLevel="0" collapsed="false">
      <c r="A42" s="1" t="s">
        <v>84</v>
      </c>
      <c r="B42" s="1" t="s">
        <v>85</v>
      </c>
      <c r="C42" s="1" t="s">
        <v>5</v>
      </c>
    </row>
    <row r="43" customFormat="false" ht="15.75" hidden="false" customHeight="false" outlineLevel="0" collapsed="false">
      <c r="A43" s="1" t="s">
        <v>86</v>
      </c>
      <c r="B43" s="1" t="s">
        <v>87</v>
      </c>
      <c r="C43" s="1" t="s">
        <v>5</v>
      </c>
    </row>
    <row r="44" customFormat="false" ht="15.75" hidden="false" customHeight="false" outlineLevel="0" collapsed="false">
      <c r="A44" s="1" t="s">
        <v>88</v>
      </c>
      <c r="B44" s="1" t="s">
        <v>89</v>
      </c>
      <c r="C44" s="1" t="s">
        <v>5</v>
      </c>
    </row>
    <row r="45" customFormat="false" ht="15.75" hidden="false" customHeight="false" outlineLevel="0" collapsed="false">
      <c r="A45" s="1" t="s">
        <v>90</v>
      </c>
      <c r="B45" s="1" t="s">
        <v>91</v>
      </c>
      <c r="C45" s="1" t="s">
        <v>5</v>
      </c>
    </row>
    <row r="46" customFormat="false" ht="15.75" hidden="false" customHeight="false" outlineLevel="0" collapsed="false">
      <c r="A46" s="1" t="s">
        <v>92</v>
      </c>
      <c r="B46" s="1" t="s">
        <v>93</v>
      </c>
      <c r="C46" s="1" t="s">
        <v>5</v>
      </c>
    </row>
    <row r="47" customFormat="false" ht="15.75" hidden="false" customHeight="false" outlineLevel="0" collapsed="false">
      <c r="A47" s="1" t="s">
        <v>94</v>
      </c>
      <c r="B47" s="1" t="s">
        <v>95</v>
      </c>
      <c r="C47" s="1" t="s">
        <v>5</v>
      </c>
    </row>
    <row r="48" customFormat="false" ht="15.75" hidden="false" customHeight="false" outlineLevel="0" collapsed="false">
      <c r="A48" s="1" t="s">
        <v>96</v>
      </c>
      <c r="B48" s="1" t="s">
        <v>97</v>
      </c>
      <c r="C48" s="1" t="s">
        <v>5</v>
      </c>
    </row>
    <row r="49" customFormat="false" ht="15.75" hidden="false" customHeight="false" outlineLevel="0" collapsed="false">
      <c r="A49" s="1" t="s">
        <v>98</v>
      </c>
      <c r="B49" s="1" t="s">
        <v>99</v>
      </c>
      <c r="C49" s="1" t="s">
        <v>5</v>
      </c>
    </row>
    <row r="50" customFormat="false" ht="15.75" hidden="false" customHeight="false" outlineLevel="0" collapsed="false">
      <c r="A50" s="1" t="s">
        <v>100</v>
      </c>
      <c r="B50" s="1" t="s">
        <v>101</v>
      </c>
      <c r="C50" s="1" t="s">
        <v>5</v>
      </c>
    </row>
    <row r="51" customFormat="false" ht="15.75" hidden="false" customHeight="false" outlineLevel="0" collapsed="false">
      <c r="A51" s="1" t="s">
        <v>102</v>
      </c>
      <c r="B51" s="1" t="s">
        <v>103</v>
      </c>
      <c r="C51" s="1" t="s">
        <v>5</v>
      </c>
    </row>
    <row r="52" customFormat="false" ht="15.75" hidden="false" customHeight="false" outlineLevel="0" collapsed="false">
      <c r="A52" s="1" t="s">
        <v>104</v>
      </c>
      <c r="B52" s="1" t="s">
        <v>105</v>
      </c>
      <c r="C52" s="1" t="s">
        <v>5</v>
      </c>
    </row>
    <row r="53" customFormat="false" ht="15.75" hidden="false" customHeight="false" outlineLevel="0" collapsed="false">
      <c r="A53" s="1" t="s">
        <v>106</v>
      </c>
      <c r="B53" s="1" t="s">
        <v>107</v>
      </c>
      <c r="C53" s="1" t="s">
        <v>5</v>
      </c>
    </row>
    <row r="54" customFormat="false" ht="15.75" hidden="false" customHeight="false" outlineLevel="0" collapsed="false">
      <c r="A54" s="1" t="s">
        <v>108</v>
      </c>
      <c r="B54" s="1" t="s">
        <v>109</v>
      </c>
      <c r="C54" s="1" t="s">
        <v>5</v>
      </c>
    </row>
    <row r="55" customFormat="false" ht="15.75" hidden="false" customHeight="false" outlineLevel="0" collapsed="false">
      <c r="A55" s="1" t="s">
        <v>110</v>
      </c>
      <c r="B55" s="1" t="s">
        <v>111</v>
      </c>
      <c r="C55" s="1" t="s">
        <v>5</v>
      </c>
    </row>
    <row r="56" customFormat="false" ht="15.75" hidden="false" customHeight="false" outlineLevel="0" collapsed="false">
      <c r="A56" s="1" t="s">
        <v>112</v>
      </c>
      <c r="B56" s="1" t="s">
        <v>113</v>
      </c>
      <c r="C56" s="1" t="s">
        <v>5</v>
      </c>
    </row>
    <row r="57" customFormat="false" ht="15.75" hidden="false" customHeight="false" outlineLevel="0" collapsed="false">
      <c r="A57" s="1" t="s">
        <v>114</v>
      </c>
      <c r="B57" s="1" t="s">
        <v>115</v>
      </c>
      <c r="C57" s="1" t="s">
        <v>5</v>
      </c>
    </row>
    <row r="58" customFormat="false" ht="15.75" hidden="false" customHeight="false" outlineLevel="0" collapsed="false">
      <c r="A58" s="1" t="s">
        <v>116</v>
      </c>
      <c r="B58" s="1" t="s">
        <v>117</v>
      </c>
      <c r="C58" s="1" t="s">
        <v>5</v>
      </c>
    </row>
    <row r="59" customFormat="false" ht="15.75" hidden="false" customHeight="false" outlineLevel="0" collapsed="false">
      <c r="A59" s="1" t="s">
        <v>118</v>
      </c>
      <c r="B59" s="1" t="s">
        <v>119</v>
      </c>
      <c r="C59" s="1" t="s">
        <v>5</v>
      </c>
    </row>
    <row r="60" customFormat="false" ht="15.75" hidden="false" customHeight="false" outlineLevel="0" collapsed="false">
      <c r="A60" s="1" t="s">
        <v>120</v>
      </c>
      <c r="B60" s="1" t="s">
        <v>121</v>
      </c>
      <c r="C60" s="1" t="s">
        <v>5</v>
      </c>
    </row>
    <row r="61" customFormat="false" ht="15.75" hidden="false" customHeight="false" outlineLevel="0" collapsed="false">
      <c r="A61" s="1" t="s">
        <v>122</v>
      </c>
      <c r="B61" s="1" t="s">
        <v>123</v>
      </c>
      <c r="C61" s="1" t="s">
        <v>5</v>
      </c>
    </row>
    <row r="62" customFormat="false" ht="15.75" hidden="false" customHeight="false" outlineLevel="0" collapsed="false">
      <c r="A62" s="1" t="s">
        <v>124</v>
      </c>
      <c r="B62" s="1" t="s">
        <v>125</v>
      </c>
      <c r="C62" s="1" t="s">
        <v>5</v>
      </c>
    </row>
    <row r="63" customFormat="false" ht="15.75" hidden="false" customHeight="false" outlineLevel="0" collapsed="false">
      <c r="A63" s="1" t="s">
        <v>126</v>
      </c>
      <c r="B63" s="1" t="s">
        <v>127</v>
      </c>
      <c r="C63" s="1" t="s">
        <v>5</v>
      </c>
    </row>
    <row r="64" customFormat="false" ht="15.75" hidden="false" customHeight="false" outlineLevel="0" collapsed="false">
      <c r="A64" s="1" t="s">
        <v>128</v>
      </c>
      <c r="B64" s="1" t="s">
        <v>129</v>
      </c>
      <c r="C64" s="1" t="s">
        <v>5</v>
      </c>
    </row>
    <row r="65" customFormat="false" ht="15.75" hidden="false" customHeight="false" outlineLevel="0" collapsed="false">
      <c r="A65" s="1" t="s">
        <v>130</v>
      </c>
      <c r="B65" s="1" t="s">
        <v>131</v>
      </c>
      <c r="C65" s="1" t="s">
        <v>5</v>
      </c>
    </row>
    <row r="66" customFormat="false" ht="15.75" hidden="false" customHeight="false" outlineLevel="0" collapsed="false">
      <c r="A66" s="1" t="s">
        <v>132</v>
      </c>
      <c r="B66" s="1" t="s">
        <v>133</v>
      </c>
      <c r="C66" s="1" t="s">
        <v>5</v>
      </c>
    </row>
    <row r="67" customFormat="false" ht="15.75" hidden="false" customHeight="false" outlineLevel="0" collapsed="false">
      <c r="A67" s="1" t="s">
        <v>134</v>
      </c>
      <c r="B67" s="1" t="s">
        <v>135</v>
      </c>
      <c r="C67" s="1" t="s">
        <v>5</v>
      </c>
    </row>
    <row r="68" customFormat="false" ht="15.75" hidden="false" customHeight="false" outlineLevel="0" collapsed="false">
      <c r="A68" s="1" t="s">
        <v>136</v>
      </c>
      <c r="B68" s="1" t="s">
        <v>137</v>
      </c>
      <c r="C68" s="1" t="s">
        <v>5</v>
      </c>
    </row>
    <row r="69" customFormat="false" ht="15.75" hidden="false" customHeight="false" outlineLevel="0" collapsed="false">
      <c r="A69" s="1" t="s">
        <v>138</v>
      </c>
      <c r="B69" s="1" t="s">
        <v>139</v>
      </c>
      <c r="C69" s="1" t="s">
        <v>5</v>
      </c>
    </row>
    <row r="70" customFormat="false" ht="15.75" hidden="false" customHeight="false" outlineLevel="0" collapsed="false">
      <c r="A70" s="1" t="s">
        <v>140</v>
      </c>
      <c r="B70" s="1" t="s">
        <v>141</v>
      </c>
      <c r="C70" s="1" t="s">
        <v>5</v>
      </c>
    </row>
    <row r="71" customFormat="false" ht="15.75" hidden="false" customHeight="false" outlineLevel="0" collapsed="false">
      <c r="A71" s="1" t="s">
        <v>142</v>
      </c>
      <c r="B71" s="1" t="s">
        <v>143</v>
      </c>
      <c r="C71" s="1" t="s">
        <v>5</v>
      </c>
    </row>
    <row r="72" customFormat="false" ht="15.75" hidden="false" customHeight="false" outlineLevel="0" collapsed="false">
      <c r="A72" s="1" t="s">
        <v>144</v>
      </c>
      <c r="B72" s="1" t="s">
        <v>145</v>
      </c>
      <c r="C72" s="1" t="s">
        <v>5</v>
      </c>
    </row>
    <row r="73" customFormat="false" ht="15.75" hidden="false" customHeight="false" outlineLevel="0" collapsed="false">
      <c r="A73" s="1" t="s">
        <v>146</v>
      </c>
      <c r="B73" s="1" t="s">
        <v>147</v>
      </c>
      <c r="C73" s="1" t="s">
        <v>5</v>
      </c>
    </row>
    <row r="74" customFormat="false" ht="15.75" hidden="false" customHeight="false" outlineLevel="0" collapsed="false">
      <c r="A74" s="1" t="s">
        <v>148</v>
      </c>
      <c r="B74" s="1" t="s">
        <v>149</v>
      </c>
      <c r="C74" s="1" t="s">
        <v>5</v>
      </c>
    </row>
    <row r="75" customFormat="false" ht="15.75" hidden="false" customHeight="false" outlineLevel="0" collapsed="false">
      <c r="A75" s="1" t="s">
        <v>150</v>
      </c>
      <c r="B75" s="1" t="s">
        <v>151</v>
      </c>
      <c r="C75" s="1" t="s">
        <v>5</v>
      </c>
    </row>
    <row r="76" customFormat="false" ht="15.75" hidden="false" customHeight="false" outlineLevel="0" collapsed="false">
      <c r="A76" s="1" t="s">
        <v>152</v>
      </c>
      <c r="B76" s="1" t="s">
        <v>153</v>
      </c>
      <c r="C76" s="1" t="s">
        <v>5</v>
      </c>
    </row>
    <row r="77" customFormat="false" ht="15.75" hidden="false" customHeight="false" outlineLevel="0" collapsed="false">
      <c r="A77" s="1" t="s">
        <v>154</v>
      </c>
      <c r="B77" s="1" t="s">
        <v>155</v>
      </c>
      <c r="C77" s="1" t="s">
        <v>5</v>
      </c>
    </row>
    <row r="78" customFormat="false" ht="15.75" hidden="false" customHeight="false" outlineLevel="0" collapsed="false">
      <c r="A78" s="1" t="s">
        <v>156</v>
      </c>
      <c r="B78" s="1" t="s">
        <v>157</v>
      </c>
      <c r="C78" s="1" t="s">
        <v>5</v>
      </c>
    </row>
    <row r="79" customFormat="false" ht="15.75" hidden="false" customHeight="false" outlineLevel="0" collapsed="false">
      <c r="A79" s="1" t="s">
        <v>158</v>
      </c>
      <c r="B79" s="1" t="s">
        <v>159</v>
      </c>
      <c r="C79" s="1" t="s">
        <v>5</v>
      </c>
    </row>
    <row r="80" customFormat="false" ht="15.75" hidden="false" customHeight="false" outlineLevel="0" collapsed="false">
      <c r="A80" s="1" t="s">
        <v>160</v>
      </c>
      <c r="B80" s="1" t="s">
        <v>161</v>
      </c>
      <c r="C80" s="1" t="s">
        <v>5</v>
      </c>
    </row>
    <row r="81" customFormat="false" ht="15.75" hidden="false" customHeight="false" outlineLevel="0" collapsed="false">
      <c r="A81" s="1" t="s">
        <v>162</v>
      </c>
      <c r="B81" s="1" t="s">
        <v>163</v>
      </c>
      <c r="C81" s="1" t="s">
        <v>5</v>
      </c>
    </row>
    <row r="82" customFormat="false" ht="15.75" hidden="false" customHeight="false" outlineLevel="0" collapsed="false">
      <c r="A82" s="1" t="s">
        <v>164</v>
      </c>
      <c r="B82" s="1" t="s">
        <v>165</v>
      </c>
      <c r="C82" s="1" t="s">
        <v>5</v>
      </c>
    </row>
    <row r="83" customFormat="false" ht="15.75" hidden="false" customHeight="false" outlineLevel="0" collapsed="false">
      <c r="A83" s="1" t="s">
        <v>166</v>
      </c>
      <c r="B83" s="1" t="s">
        <v>167</v>
      </c>
      <c r="C83" s="1" t="s">
        <v>5</v>
      </c>
    </row>
    <row r="84" customFormat="false" ht="15.75" hidden="false" customHeight="false" outlineLevel="0" collapsed="false">
      <c r="A84" s="1" t="s">
        <v>168</v>
      </c>
      <c r="B84" s="1" t="s">
        <v>169</v>
      </c>
      <c r="C84" s="1" t="s">
        <v>5</v>
      </c>
    </row>
    <row r="85" customFormat="false" ht="15.75" hidden="false" customHeight="false" outlineLevel="0" collapsed="false">
      <c r="A85" s="1" t="s">
        <v>170</v>
      </c>
      <c r="B85" s="1" t="s">
        <v>171</v>
      </c>
      <c r="C85" s="1" t="s">
        <v>5</v>
      </c>
    </row>
    <row r="86" customFormat="false" ht="15.75" hidden="false" customHeight="false" outlineLevel="0" collapsed="false">
      <c r="A86" s="1" t="s">
        <v>172</v>
      </c>
      <c r="B86" s="1" t="s">
        <v>173</v>
      </c>
      <c r="C86" s="1" t="s">
        <v>5</v>
      </c>
    </row>
    <row r="87" customFormat="false" ht="15.75" hidden="false" customHeight="false" outlineLevel="0" collapsed="false">
      <c r="A87" s="1" t="s">
        <v>174</v>
      </c>
      <c r="B87" s="1" t="s">
        <v>175</v>
      </c>
      <c r="C87" s="1" t="s">
        <v>5</v>
      </c>
    </row>
    <row r="88" customFormat="false" ht="15.75" hidden="false" customHeight="false" outlineLevel="0" collapsed="false">
      <c r="A88" s="1" t="s">
        <v>176</v>
      </c>
      <c r="B88" s="1" t="s">
        <v>177</v>
      </c>
      <c r="C88" s="1" t="s">
        <v>5</v>
      </c>
    </row>
    <row r="89" customFormat="false" ht="15.75" hidden="false" customHeight="false" outlineLevel="0" collapsed="false">
      <c r="A89" s="1" t="s">
        <v>178</v>
      </c>
      <c r="B89" s="1" t="s">
        <v>179</v>
      </c>
      <c r="C89" s="1" t="s">
        <v>5</v>
      </c>
    </row>
    <row r="90" customFormat="false" ht="15.75" hidden="false" customHeight="false" outlineLevel="0" collapsed="false">
      <c r="A90" s="1" t="s">
        <v>180</v>
      </c>
      <c r="B90" s="1" t="s">
        <v>181</v>
      </c>
      <c r="C90" s="1" t="s">
        <v>5</v>
      </c>
    </row>
    <row r="91" customFormat="false" ht="15.75" hidden="false" customHeight="false" outlineLevel="0" collapsed="false">
      <c r="A91" s="1" t="s">
        <v>182</v>
      </c>
      <c r="B91" s="1" t="s">
        <v>183</v>
      </c>
      <c r="C91" s="1" t="s">
        <v>5</v>
      </c>
    </row>
    <row r="92" customFormat="false" ht="15.75" hidden="false" customHeight="false" outlineLevel="0" collapsed="false">
      <c r="A92" s="1" t="s">
        <v>184</v>
      </c>
      <c r="B92" s="1" t="s">
        <v>185</v>
      </c>
      <c r="C92" s="1" t="s">
        <v>5</v>
      </c>
    </row>
    <row r="93" customFormat="false" ht="15.75" hidden="false" customHeight="false" outlineLevel="0" collapsed="false">
      <c r="A93" s="1" t="s">
        <v>186</v>
      </c>
      <c r="B93" s="1" t="s">
        <v>187</v>
      </c>
      <c r="C93" s="1" t="s">
        <v>5</v>
      </c>
    </row>
    <row r="94" customFormat="false" ht="15.75" hidden="false" customHeight="false" outlineLevel="0" collapsed="false">
      <c r="A94" s="1" t="s">
        <v>188</v>
      </c>
      <c r="B94" s="1" t="s">
        <v>189</v>
      </c>
      <c r="C94" s="1" t="s">
        <v>5</v>
      </c>
    </row>
    <row r="95" customFormat="false" ht="15.75" hidden="false" customHeight="false" outlineLevel="0" collapsed="false">
      <c r="A95" s="1" t="s">
        <v>190</v>
      </c>
      <c r="B95" s="1" t="s">
        <v>191</v>
      </c>
      <c r="C95" s="1" t="s">
        <v>5</v>
      </c>
    </row>
    <row r="96" customFormat="false" ht="15.75" hidden="false" customHeight="false" outlineLevel="0" collapsed="false">
      <c r="A96" s="1" t="s">
        <v>192</v>
      </c>
      <c r="B96" s="1" t="s">
        <v>193</v>
      </c>
      <c r="C96" s="1" t="s">
        <v>5</v>
      </c>
    </row>
    <row r="97" customFormat="false" ht="15.75" hidden="false" customHeight="false" outlineLevel="0" collapsed="false">
      <c r="A97" s="1" t="s">
        <v>194</v>
      </c>
      <c r="B97" s="1" t="s">
        <v>195</v>
      </c>
      <c r="C97" s="1" t="s">
        <v>5</v>
      </c>
    </row>
    <row r="98" customFormat="false" ht="15.75" hidden="false" customHeight="false" outlineLevel="0" collapsed="false">
      <c r="A98" s="1" t="s">
        <v>196</v>
      </c>
      <c r="B98" s="1" t="s">
        <v>197</v>
      </c>
      <c r="C98" s="1" t="s">
        <v>5</v>
      </c>
    </row>
    <row r="99" customFormat="false" ht="15.75" hidden="false" customHeight="false" outlineLevel="0" collapsed="false">
      <c r="A99" s="1" t="s">
        <v>198</v>
      </c>
      <c r="B99" s="1" t="s">
        <v>199</v>
      </c>
      <c r="C99" s="1" t="s">
        <v>5</v>
      </c>
    </row>
    <row r="100" customFormat="false" ht="15.75" hidden="false" customHeight="false" outlineLevel="0" collapsed="false">
      <c r="A100" s="1" t="s">
        <v>200</v>
      </c>
      <c r="B100" s="1" t="s">
        <v>201</v>
      </c>
      <c r="C100" s="1" t="s">
        <v>5</v>
      </c>
    </row>
    <row r="101" customFormat="false" ht="15.75" hidden="false" customHeight="false" outlineLevel="0" collapsed="false">
      <c r="A101" s="1" t="s">
        <v>202</v>
      </c>
      <c r="B101" s="1" t="s">
        <v>203</v>
      </c>
      <c r="C101" s="1" t="s">
        <v>5</v>
      </c>
    </row>
    <row r="102" customFormat="false" ht="15.75" hidden="false" customHeight="false" outlineLevel="0" collapsed="false">
      <c r="A102" s="1" t="s">
        <v>204</v>
      </c>
      <c r="B102" s="1" t="s">
        <v>205</v>
      </c>
      <c r="C102" s="1" t="s">
        <v>5</v>
      </c>
    </row>
    <row r="103" customFormat="false" ht="15.75" hidden="false" customHeight="false" outlineLevel="0" collapsed="false">
      <c r="A103" s="1" t="s">
        <v>206</v>
      </c>
      <c r="B103" s="1" t="s">
        <v>207</v>
      </c>
      <c r="C103" s="1" t="s">
        <v>5</v>
      </c>
    </row>
    <row r="104" customFormat="false" ht="15.75" hidden="false" customHeight="false" outlineLevel="0" collapsed="false">
      <c r="A104" s="1" t="s">
        <v>208</v>
      </c>
      <c r="B104" s="1" t="s">
        <v>209</v>
      </c>
      <c r="C104" s="1" t="s">
        <v>5</v>
      </c>
    </row>
    <row r="105" customFormat="false" ht="15.75" hidden="false" customHeight="false" outlineLevel="0" collapsed="false">
      <c r="A105" s="1" t="s">
        <v>210</v>
      </c>
      <c r="B105" s="1" t="s">
        <v>211</v>
      </c>
      <c r="C105" s="1" t="s">
        <v>5</v>
      </c>
    </row>
    <row r="106" customFormat="false" ht="15.75" hidden="false" customHeight="false" outlineLevel="0" collapsed="false">
      <c r="A106" s="1" t="s">
        <v>212</v>
      </c>
      <c r="B106" s="1" t="s">
        <v>213</v>
      </c>
      <c r="C106" s="1" t="s">
        <v>5</v>
      </c>
    </row>
    <row r="107" customFormat="false" ht="15.75" hidden="false" customHeight="false" outlineLevel="0" collapsed="false">
      <c r="A107" s="1" t="s">
        <v>214</v>
      </c>
      <c r="B107" s="1" t="s">
        <v>215</v>
      </c>
      <c r="C107" s="1" t="s">
        <v>5</v>
      </c>
    </row>
    <row r="108" customFormat="false" ht="15.75" hidden="false" customHeight="false" outlineLevel="0" collapsed="false">
      <c r="A108" s="1" t="s">
        <v>216</v>
      </c>
      <c r="B108" s="1" t="s">
        <v>217</v>
      </c>
      <c r="C108" s="1" t="s">
        <v>5</v>
      </c>
    </row>
    <row r="109" customFormat="false" ht="15.75" hidden="false" customHeight="false" outlineLevel="0" collapsed="false">
      <c r="A109" s="1" t="s">
        <v>218</v>
      </c>
      <c r="B109" s="1" t="s">
        <v>219</v>
      </c>
      <c r="C109" s="1" t="s">
        <v>5</v>
      </c>
    </row>
    <row r="110" customFormat="false" ht="15.75" hidden="false" customHeight="false" outlineLevel="0" collapsed="false">
      <c r="A110" s="1" t="s">
        <v>220</v>
      </c>
      <c r="B110" s="1" t="s">
        <v>221</v>
      </c>
      <c r="C110" s="1" t="s">
        <v>5</v>
      </c>
    </row>
    <row r="111" customFormat="false" ht="15.75" hidden="false" customHeight="false" outlineLevel="0" collapsed="false">
      <c r="A111" s="1" t="s">
        <v>222</v>
      </c>
      <c r="B111" s="1" t="s">
        <v>223</v>
      </c>
      <c r="C111" s="1" t="s">
        <v>5</v>
      </c>
    </row>
    <row r="112" customFormat="false" ht="15.75" hidden="false" customHeight="false" outlineLevel="0" collapsed="false">
      <c r="A112" s="1" t="s">
        <v>224</v>
      </c>
      <c r="B112" s="1" t="s">
        <v>225</v>
      </c>
      <c r="C112" s="1" t="s">
        <v>5</v>
      </c>
    </row>
    <row r="113" customFormat="false" ht="15.75" hidden="false" customHeight="false" outlineLevel="0" collapsed="false">
      <c r="A113" s="1" t="s">
        <v>8</v>
      </c>
      <c r="B113" s="1" t="s">
        <v>9</v>
      </c>
      <c r="C113" s="1" t="s">
        <v>5</v>
      </c>
    </row>
    <row r="114" customFormat="false" ht="15.75" hidden="false" customHeight="false" outlineLevel="0" collapsed="false">
      <c r="A114" s="1" t="s">
        <v>10</v>
      </c>
      <c r="B114" s="1" t="s">
        <v>11</v>
      </c>
      <c r="C114" s="1" t="s">
        <v>5</v>
      </c>
    </row>
    <row r="115" customFormat="false" ht="15.75" hidden="false" customHeight="false" outlineLevel="0" collapsed="false">
      <c r="A115" s="1" t="s">
        <v>226</v>
      </c>
      <c r="B115" s="1" t="s">
        <v>227</v>
      </c>
      <c r="C115" s="1" t="s">
        <v>5</v>
      </c>
    </row>
    <row r="116" customFormat="false" ht="15.75" hidden="false" customHeight="false" outlineLevel="0" collapsed="false">
      <c r="A116" s="1" t="s">
        <v>20</v>
      </c>
      <c r="B116" s="1" t="s">
        <v>21</v>
      </c>
      <c r="C116" s="1" t="s">
        <v>5</v>
      </c>
    </row>
    <row r="117" customFormat="false" ht="15.75" hidden="false" customHeight="false" outlineLevel="0" collapsed="false">
      <c r="A117" s="1" t="s">
        <v>228</v>
      </c>
      <c r="B117" s="1" t="s">
        <v>229</v>
      </c>
      <c r="C117" s="1" t="s">
        <v>5</v>
      </c>
    </row>
    <row r="118" customFormat="false" ht="15.75" hidden="false" customHeight="false" outlineLevel="0" collapsed="false">
      <c r="A118" s="1" t="s">
        <v>24</v>
      </c>
      <c r="B118" s="1" t="s">
        <v>25</v>
      </c>
      <c r="C118" s="1" t="s">
        <v>5</v>
      </c>
    </row>
    <row r="119" customFormat="false" ht="15.75" hidden="false" customHeight="false" outlineLevel="0" collapsed="false">
      <c r="A119" s="1" t="s">
        <v>230</v>
      </c>
      <c r="B119" s="1" t="s">
        <v>231</v>
      </c>
      <c r="C119" s="1" t="s">
        <v>5</v>
      </c>
    </row>
    <row r="120" customFormat="false" ht="15.75" hidden="false" customHeight="false" outlineLevel="0" collapsed="false">
      <c r="A120" s="1" t="s">
        <v>232</v>
      </c>
      <c r="B120" s="1" t="s">
        <v>233</v>
      </c>
      <c r="C120" s="1" t="s">
        <v>5</v>
      </c>
    </row>
    <row r="121" customFormat="false" ht="15.75" hidden="false" customHeight="false" outlineLevel="0" collapsed="false">
      <c r="A121" s="1" t="s">
        <v>234</v>
      </c>
      <c r="B121" s="1" t="s">
        <v>235</v>
      </c>
      <c r="C121" s="1" t="s">
        <v>5</v>
      </c>
    </row>
    <row r="122" customFormat="false" ht="15.75" hidden="false" customHeight="false" outlineLevel="0" collapsed="false">
      <c r="A122" s="1" t="s">
        <v>236</v>
      </c>
      <c r="B122" s="1" t="s">
        <v>237</v>
      </c>
      <c r="C122" s="1" t="s">
        <v>5</v>
      </c>
    </row>
    <row r="123" customFormat="false" ht="15.75" hidden="false" customHeight="false" outlineLevel="0" collapsed="false">
      <c r="A123" s="1" t="s">
        <v>60</v>
      </c>
      <c r="B123" s="1" t="s">
        <v>61</v>
      </c>
      <c r="C123" s="1" t="s">
        <v>5</v>
      </c>
    </row>
    <row r="124" customFormat="false" ht="15.75" hidden="false" customHeight="false" outlineLevel="0" collapsed="false">
      <c r="A124" s="1" t="s">
        <v>62</v>
      </c>
      <c r="B124" s="1" t="s">
        <v>63</v>
      </c>
      <c r="C124" s="1" t="s">
        <v>5</v>
      </c>
    </row>
    <row r="125" customFormat="false" ht="15.75" hidden="false" customHeight="false" outlineLevel="0" collapsed="false">
      <c r="A125" s="1" t="s">
        <v>238</v>
      </c>
      <c r="B125" s="1" t="s">
        <v>239</v>
      </c>
      <c r="C125" s="1" t="s">
        <v>5</v>
      </c>
    </row>
    <row r="126" customFormat="false" ht="15.75" hidden="false" customHeight="false" outlineLevel="0" collapsed="false">
      <c r="A126" s="1" t="s">
        <v>240</v>
      </c>
      <c r="B126" s="1" t="s">
        <v>241</v>
      </c>
      <c r="C126" s="1" t="s">
        <v>5</v>
      </c>
    </row>
    <row r="127" customFormat="false" ht="15.75" hidden="false" customHeight="false" outlineLevel="0" collapsed="false">
      <c r="A127" s="1" t="s">
        <v>124</v>
      </c>
      <c r="B127" s="1" t="s">
        <v>125</v>
      </c>
      <c r="C127" s="1" t="s">
        <v>5</v>
      </c>
    </row>
    <row r="128" customFormat="false" ht="15.75" hidden="false" customHeight="false" outlineLevel="0" collapsed="false">
      <c r="A128" s="1" t="s">
        <v>242</v>
      </c>
      <c r="B128" s="1" t="s">
        <v>243</v>
      </c>
      <c r="C128" s="1" t="s">
        <v>5</v>
      </c>
    </row>
    <row r="129" customFormat="false" ht="15.75" hidden="false" customHeight="false" outlineLevel="0" collapsed="false">
      <c r="A129" s="1" t="s">
        <v>244</v>
      </c>
      <c r="B129" s="1" t="s">
        <v>245</v>
      </c>
      <c r="C129" s="1" t="s">
        <v>5</v>
      </c>
    </row>
    <row r="130" customFormat="false" ht="15.75" hidden="false" customHeight="false" outlineLevel="0" collapsed="false">
      <c r="A130" s="1" t="s">
        <v>246</v>
      </c>
      <c r="B130" s="1" t="s">
        <v>247</v>
      </c>
      <c r="C130" s="1" t="s">
        <v>5</v>
      </c>
    </row>
    <row r="131" customFormat="false" ht="15.75" hidden="false" customHeight="false" outlineLevel="0" collapsed="false">
      <c r="A131" s="1" t="s">
        <v>248</v>
      </c>
      <c r="B131" s="1" t="s">
        <v>249</v>
      </c>
      <c r="C131" s="1" t="s">
        <v>5</v>
      </c>
    </row>
    <row r="132" customFormat="false" ht="15.75" hidden="false" customHeight="false" outlineLevel="0" collapsed="false">
      <c r="A132" s="1" t="s">
        <v>250</v>
      </c>
      <c r="B132" s="1" t="s">
        <v>251</v>
      </c>
      <c r="C132" s="1" t="s">
        <v>5</v>
      </c>
    </row>
    <row r="133" customFormat="false" ht="15.75" hidden="false" customHeight="false" outlineLevel="0" collapsed="false">
      <c r="A133" s="1" t="s">
        <v>252</v>
      </c>
      <c r="B133" s="1" t="s">
        <v>253</v>
      </c>
      <c r="C133" s="1" t="s">
        <v>5</v>
      </c>
    </row>
    <row r="134" customFormat="false" ht="15.75" hidden="false" customHeight="false" outlineLevel="0" collapsed="false">
      <c r="A134" s="1" t="s">
        <v>254</v>
      </c>
      <c r="B134" s="1" t="s">
        <v>255</v>
      </c>
      <c r="C134" s="1" t="s">
        <v>5</v>
      </c>
    </row>
    <row r="135" customFormat="false" ht="15.75" hidden="false" customHeight="false" outlineLevel="0" collapsed="false">
      <c r="A135" s="1" t="s">
        <v>256</v>
      </c>
      <c r="B135" s="1" t="s">
        <v>257</v>
      </c>
      <c r="C135" s="1" t="s">
        <v>5</v>
      </c>
    </row>
    <row r="136" customFormat="false" ht="15.75" hidden="false" customHeight="false" outlineLevel="0" collapsed="false">
      <c r="A136" s="1" t="s">
        <v>258</v>
      </c>
      <c r="B136" s="1" t="s">
        <v>259</v>
      </c>
      <c r="C136" s="1" t="s">
        <v>5</v>
      </c>
    </row>
    <row r="137" customFormat="false" ht="15.75" hidden="false" customHeight="false" outlineLevel="0" collapsed="false">
      <c r="A137" s="1" t="s">
        <v>260</v>
      </c>
      <c r="B137" s="1" t="s">
        <v>261</v>
      </c>
      <c r="C137" s="1" t="s">
        <v>5</v>
      </c>
    </row>
    <row r="138" customFormat="false" ht="15.75" hidden="false" customHeight="false" outlineLevel="0" collapsed="false">
      <c r="A138" s="1" t="s">
        <v>262</v>
      </c>
      <c r="B138" s="1" t="s">
        <v>263</v>
      </c>
      <c r="C138" s="1" t="s">
        <v>5</v>
      </c>
    </row>
    <row r="139" customFormat="false" ht="15.75" hidden="false" customHeight="false" outlineLevel="0" collapsed="false">
      <c r="A139" s="1" t="s">
        <v>264</v>
      </c>
      <c r="B139" s="1" t="s">
        <v>265</v>
      </c>
      <c r="C139" s="1" t="s">
        <v>5</v>
      </c>
    </row>
    <row r="140" customFormat="false" ht="15.75" hidden="false" customHeight="false" outlineLevel="0" collapsed="false">
      <c r="A140" s="1" t="s">
        <v>266</v>
      </c>
      <c r="B140" s="1" t="s">
        <v>267</v>
      </c>
      <c r="C140" s="1" t="s">
        <v>5</v>
      </c>
    </row>
    <row r="141" customFormat="false" ht="15.75" hidden="false" customHeight="false" outlineLevel="0" collapsed="false">
      <c r="A141" s="1" t="s">
        <v>268</v>
      </c>
      <c r="B141" s="1" t="s">
        <v>269</v>
      </c>
      <c r="C141" s="1" t="s">
        <v>5</v>
      </c>
    </row>
    <row r="142" customFormat="false" ht="15.75" hidden="false" customHeight="false" outlineLevel="0" collapsed="false">
      <c r="A142" s="1" t="s">
        <v>270</v>
      </c>
      <c r="B142" s="1" t="s">
        <v>271</v>
      </c>
      <c r="C142" s="1" t="s">
        <v>5</v>
      </c>
    </row>
    <row r="143" customFormat="false" ht="15.75" hidden="false" customHeight="false" outlineLevel="0" collapsed="false">
      <c r="A143" s="1" t="s">
        <v>272</v>
      </c>
      <c r="B143" s="1" t="s">
        <v>273</v>
      </c>
      <c r="C143" s="1" t="s">
        <v>5</v>
      </c>
    </row>
    <row r="144" customFormat="false" ht="15.75" hidden="false" customHeight="false" outlineLevel="0" collapsed="false">
      <c r="A144" s="1" t="s">
        <v>152</v>
      </c>
      <c r="B144" s="1" t="s">
        <v>153</v>
      </c>
      <c r="C144" s="1" t="s">
        <v>5</v>
      </c>
    </row>
    <row r="145" customFormat="false" ht="15.75" hidden="false" customHeight="false" outlineLevel="0" collapsed="false">
      <c r="A145" s="1" t="s">
        <v>160</v>
      </c>
      <c r="B145" s="1" t="s">
        <v>161</v>
      </c>
      <c r="C145" s="1" t="s">
        <v>5</v>
      </c>
    </row>
    <row r="146" customFormat="false" ht="15.75" hidden="false" customHeight="false" outlineLevel="0" collapsed="false">
      <c r="A146" s="1" t="s">
        <v>176</v>
      </c>
      <c r="B146" s="1" t="s">
        <v>177</v>
      </c>
      <c r="C146" s="1" t="s">
        <v>5</v>
      </c>
    </row>
    <row r="147" customFormat="false" ht="15.75" hidden="false" customHeight="false" outlineLevel="0" collapsed="false">
      <c r="A147" s="1" t="s">
        <v>200</v>
      </c>
      <c r="B147" s="1" t="s">
        <v>201</v>
      </c>
      <c r="C147" s="1" t="s">
        <v>5</v>
      </c>
    </row>
    <row r="148" customFormat="false" ht="15.75" hidden="false" customHeight="false" outlineLevel="0" collapsed="false">
      <c r="A148" s="1" t="s">
        <v>202</v>
      </c>
      <c r="B148" s="1" t="s">
        <v>203</v>
      </c>
      <c r="C148" s="1" t="s">
        <v>5</v>
      </c>
    </row>
    <row r="149" customFormat="false" ht="15.75" hidden="false" customHeight="false" outlineLevel="0" collapsed="false">
      <c r="A149" s="1" t="s">
        <v>274</v>
      </c>
      <c r="B149" s="1" t="s">
        <v>275</v>
      </c>
      <c r="C149" s="1" t="s">
        <v>5</v>
      </c>
    </row>
    <row r="150" customFormat="false" ht="15.75" hidden="false" customHeight="false" outlineLevel="0" collapsed="false">
      <c r="A150" s="1" t="s">
        <v>276</v>
      </c>
      <c r="B150" s="1" t="s">
        <v>277</v>
      </c>
      <c r="C150" s="1" t="s">
        <v>5</v>
      </c>
    </row>
    <row r="151" customFormat="false" ht="15.75" hidden="false" customHeight="false" outlineLevel="0" collapsed="false">
      <c r="A151" s="1" t="s">
        <v>220</v>
      </c>
      <c r="B151" s="1" t="s">
        <v>221</v>
      </c>
      <c r="C151" s="1" t="s">
        <v>5</v>
      </c>
    </row>
    <row r="152" customFormat="false" ht="15.75" hidden="false" customHeight="false" outlineLevel="0" collapsed="false">
      <c r="A152" s="1" t="s">
        <v>278</v>
      </c>
      <c r="B152" s="1" t="s">
        <v>279</v>
      </c>
      <c r="C152" s="1" t="s">
        <v>5</v>
      </c>
    </row>
    <row r="153" customFormat="false" ht="15.75" hidden="false" customHeight="false" outlineLevel="0" collapsed="false">
      <c r="A153" s="1" t="s">
        <v>280</v>
      </c>
      <c r="B153" s="1" t="s">
        <v>281</v>
      </c>
      <c r="C153" s="1" t="s">
        <v>5</v>
      </c>
    </row>
    <row r="154" customFormat="false" ht="15.75" hidden="false" customHeight="false" outlineLevel="0" collapsed="false">
      <c r="A154" s="1" t="s">
        <v>282</v>
      </c>
      <c r="B154" s="1" t="s">
        <v>283</v>
      </c>
      <c r="C154" s="1" t="s">
        <v>5</v>
      </c>
    </row>
    <row r="155" customFormat="false" ht="15.75" hidden="false" customHeight="false" outlineLevel="0" collapsed="false">
      <c r="A155" s="1" t="s">
        <v>284</v>
      </c>
      <c r="B155" s="1" t="s">
        <v>285</v>
      </c>
      <c r="C155" s="1" t="s">
        <v>5</v>
      </c>
    </row>
    <row r="156" customFormat="false" ht="15.75" hidden="false" customHeight="false" outlineLevel="0" collapsed="false">
      <c r="A156" s="1" t="s">
        <v>286</v>
      </c>
      <c r="B156" s="1" t="s">
        <v>287</v>
      </c>
      <c r="C156" s="1" t="s">
        <v>5</v>
      </c>
    </row>
    <row r="157" customFormat="false" ht="15.75" hidden="false" customHeight="false" outlineLevel="0" collapsed="false">
      <c r="A157" s="1" t="s">
        <v>288</v>
      </c>
      <c r="B157" s="1" t="s">
        <v>289</v>
      </c>
      <c r="C157" s="1" t="s">
        <v>5</v>
      </c>
    </row>
    <row r="158" customFormat="false" ht="15.75" hidden="false" customHeight="false" outlineLevel="0" collapsed="false">
      <c r="A158" s="1" t="s">
        <v>290</v>
      </c>
      <c r="B158" s="1" t="s">
        <v>291</v>
      </c>
      <c r="C158" s="1" t="s">
        <v>5</v>
      </c>
    </row>
    <row r="159" customFormat="false" ht="15.75" hidden="false" customHeight="false" outlineLevel="0" collapsed="false">
      <c r="A159" s="1" t="s">
        <v>292</v>
      </c>
      <c r="B159" s="1" t="s">
        <v>293</v>
      </c>
      <c r="C159" s="1" t="s">
        <v>5</v>
      </c>
    </row>
    <row r="160" customFormat="false" ht="15.75" hidden="false" customHeight="false" outlineLevel="0" collapsed="false">
      <c r="A160" s="1" t="s">
        <v>294</v>
      </c>
      <c r="B160" s="1" t="s">
        <v>295</v>
      </c>
      <c r="C160" s="1" t="s">
        <v>5</v>
      </c>
    </row>
    <row r="161" customFormat="false" ht="15.75" hidden="false" customHeight="false" outlineLevel="0" collapsed="false">
      <c r="A161" s="1" t="s">
        <v>296</v>
      </c>
      <c r="B161" s="1" t="s">
        <v>297</v>
      </c>
      <c r="C161" s="1" t="s">
        <v>5</v>
      </c>
    </row>
    <row r="162" customFormat="false" ht="15.75" hidden="false" customHeight="false" outlineLevel="0" collapsed="false">
      <c r="A162" s="1" t="s">
        <v>298</v>
      </c>
      <c r="B162" s="1" t="s">
        <v>299</v>
      </c>
      <c r="C162" s="1" t="s">
        <v>5</v>
      </c>
    </row>
    <row r="163" customFormat="false" ht="15.75" hidden="false" customHeight="false" outlineLevel="0" collapsed="false">
      <c r="A163" s="1" t="s">
        <v>300</v>
      </c>
      <c r="B163" s="1" t="s">
        <v>301</v>
      </c>
      <c r="C163" s="1" t="s">
        <v>5</v>
      </c>
    </row>
    <row r="164" customFormat="false" ht="15.75" hidden="false" customHeight="false" outlineLevel="0" collapsed="false">
      <c r="A164" s="1" t="s">
        <v>302</v>
      </c>
      <c r="B164" s="1" t="s">
        <v>303</v>
      </c>
      <c r="C164" s="1" t="s">
        <v>5</v>
      </c>
    </row>
    <row r="165" customFormat="false" ht="15.75" hidden="false" customHeight="false" outlineLevel="0" collapsed="false">
      <c r="A165" s="1" t="s">
        <v>304</v>
      </c>
      <c r="B165" s="1" t="s">
        <v>305</v>
      </c>
      <c r="C165" s="1" t="s">
        <v>5</v>
      </c>
    </row>
    <row r="166" customFormat="false" ht="15.75" hidden="false" customHeight="false" outlineLevel="0" collapsed="false">
      <c r="A166" s="1" t="s">
        <v>306</v>
      </c>
      <c r="B166" s="1" t="s">
        <v>307</v>
      </c>
      <c r="C166" s="1" t="s">
        <v>5</v>
      </c>
    </row>
    <row r="167" customFormat="false" ht="15.75" hidden="false" customHeight="false" outlineLevel="0" collapsed="false">
      <c r="A167" s="1" t="s">
        <v>308</v>
      </c>
      <c r="B167" s="1" t="s">
        <v>309</v>
      </c>
      <c r="C167" s="1" t="s">
        <v>5</v>
      </c>
    </row>
    <row r="168" customFormat="false" ht="15.75" hidden="false" customHeight="false" outlineLevel="0" collapsed="false">
      <c r="A168" s="1" t="s">
        <v>310</v>
      </c>
      <c r="B168" s="1" t="s">
        <v>311</v>
      </c>
      <c r="C168" s="1" t="s">
        <v>5</v>
      </c>
    </row>
    <row r="169" customFormat="false" ht="15.75" hidden="false" customHeight="false" outlineLevel="0" collapsed="false">
      <c r="A169" s="1" t="s">
        <v>312</v>
      </c>
      <c r="B169" s="1" t="s">
        <v>313</v>
      </c>
      <c r="C169" s="1" t="s">
        <v>5</v>
      </c>
    </row>
    <row r="170" customFormat="false" ht="15.75" hidden="false" customHeight="false" outlineLevel="0" collapsed="false">
      <c r="A170" s="1" t="s">
        <v>314</v>
      </c>
      <c r="B170" s="1" t="s">
        <v>315</v>
      </c>
      <c r="C170" s="1" t="s">
        <v>5</v>
      </c>
    </row>
    <row r="171" customFormat="false" ht="15.75" hidden="false" customHeight="false" outlineLevel="0" collapsed="false">
      <c r="A171" s="1" t="s">
        <v>316</v>
      </c>
      <c r="B171" s="1" t="s">
        <v>317</v>
      </c>
      <c r="C171" s="1" t="s">
        <v>5</v>
      </c>
    </row>
    <row r="172" customFormat="false" ht="15.75" hidden="false" customHeight="false" outlineLevel="0" collapsed="false">
      <c r="A172" s="1" t="s">
        <v>318</v>
      </c>
      <c r="B172" s="1" t="s">
        <v>319</v>
      </c>
      <c r="C172" s="1" t="s">
        <v>5</v>
      </c>
    </row>
    <row r="173" customFormat="false" ht="15.75" hidden="false" customHeight="false" outlineLevel="0" collapsed="false">
      <c r="A173" s="1" t="s">
        <v>320</v>
      </c>
      <c r="B173" s="1" t="s">
        <v>321</v>
      </c>
      <c r="C173" s="1" t="s">
        <v>5</v>
      </c>
    </row>
    <row r="174" customFormat="false" ht="15.75" hidden="false" customHeight="false" outlineLevel="0" collapsed="false">
      <c r="A174" s="1" t="s">
        <v>322</v>
      </c>
      <c r="B174" s="1" t="s">
        <v>323</v>
      </c>
      <c r="C174" s="1" t="s">
        <v>5</v>
      </c>
    </row>
    <row r="175" customFormat="false" ht="15.75" hidden="false" customHeight="false" outlineLevel="0" collapsed="false">
      <c r="A175" s="1" t="s">
        <v>324</v>
      </c>
      <c r="B175" s="1" t="s">
        <v>325</v>
      </c>
      <c r="C175" s="1" t="s">
        <v>5</v>
      </c>
    </row>
    <row r="176" customFormat="false" ht="15.75" hidden="false" customHeight="false" outlineLevel="0" collapsed="false">
      <c r="A176" s="1" t="s">
        <v>326</v>
      </c>
      <c r="B176" s="1" t="s">
        <v>327</v>
      </c>
      <c r="C176" s="1" t="s">
        <v>5</v>
      </c>
    </row>
    <row r="177" customFormat="false" ht="15.75" hidden="false" customHeight="false" outlineLevel="0" collapsed="false">
      <c r="A177" s="1" t="s">
        <v>328</v>
      </c>
      <c r="B177" s="1" t="s">
        <v>329</v>
      </c>
      <c r="C177" s="1" t="s">
        <v>5</v>
      </c>
    </row>
    <row r="178" customFormat="false" ht="15.75" hidden="false" customHeight="false" outlineLevel="0" collapsed="false">
      <c r="A178" s="1" t="s">
        <v>330</v>
      </c>
      <c r="B178" s="1" t="s">
        <v>331</v>
      </c>
      <c r="C178" s="1" t="s">
        <v>5</v>
      </c>
    </row>
    <row r="179" customFormat="false" ht="15.75" hidden="false" customHeight="false" outlineLevel="0" collapsed="false">
      <c r="A179" s="1" t="s">
        <v>332</v>
      </c>
      <c r="B179" s="1" t="s">
        <v>333</v>
      </c>
      <c r="C179" s="1" t="s">
        <v>5</v>
      </c>
    </row>
    <row r="180" customFormat="false" ht="15.75" hidden="false" customHeight="false" outlineLevel="0" collapsed="false">
      <c r="A180" s="1" t="s">
        <v>334</v>
      </c>
      <c r="B180" s="1" t="s">
        <v>335</v>
      </c>
      <c r="C180" s="1" t="s">
        <v>5</v>
      </c>
    </row>
    <row r="181" customFormat="false" ht="15.75" hidden="false" customHeight="false" outlineLevel="0" collapsed="false">
      <c r="A181" s="1" t="s">
        <v>336</v>
      </c>
      <c r="B181" s="1" t="s">
        <v>337</v>
      </c>
      <c r="C181" s="1" t="s">
        <v>5</v>
      </c>
    </row>
    <row r="182" customFormat="false" ht="15.75" hidden="false" customHeight="false" outlineLevel="0" collapsed="false">
      <c r="A182" s="1" t="s">
        <v>338</v>
      </c>
      <c r="B182" s="1" t="s">
        <v>339</v>
      </c>
      <c r="C182" s="1" t="s">
        <v>5</v>
      </c>
    </row>
    <row r="183" customFormat="false" ht="15.75" hidden="false" customHeight="false" outlineLevel="0" collapsed="false">
      <c r="A183" s="1" t="s">
        <v>340</v>
      </c>
      <c r="B183" s="1" t="s">
        <v>293</v>
      </c>
      <c r="C183" s="1" t="s">
        <v>5</v>
      </c>
    </row>
    <row r="184" customFormat="false" ht="15.75" hidden="false" customHeight="false" outlineLevel="0" collapsed="false">
      <c r="A184" s="1" t="s">
        <v>341</v>
      </c>
      <c r="B184" s="1" t="s">
        <v>342</v>
      </c>
      <c r="C184" s="1" t="s">
        <v>5</v>
      </c>
    </row>
    <row r="185" customFormat="false" ht="15.75" hidden="false" customHeight="false" outlineLevel="0" collapsed="false">
      <c r="A185" s="1" t="s">
        <v>343</v>
      </c>
      <c r="B185" s="1" t="s">
        <v>344</v>
      </c>
      <c r="C185" s="1" t="s">
        <v>5</v>
      </c>
    </row>
    <row r="186" customFormat="false" ht="15.75" hidden="false" customHeight="false" outlineLevel="0" collapsed="false">
      <c r="A186" s="1" t="s">
        <v>345</v>
      </c>
      <c r="B186" s="1" t="s">
        <v>346</v>
      </c>
      <c r="C186" s="1" t="s">
        <v>5</v>
      </c>
    </row>
    <row r="187" customFormat="false" ht="15.75" hidden="false" customHeight="false" outlineLevel="0" collapsed="false">
      <c r="A187" s="1" t="s">
        <v>347</v>
      </c>
      <c r="B187" s="1" t="s">
        <v>348</v>
      </c>
      <c r="C187" s="1" t="s">
        <v>5</v>
      </c>
    </row>
    <row r="188" customFormat="false" ht="15.75" hidden="false" customHeight="false" outlineLevel="0" collapsed="false">
      <c r="A188" s="1" t="s">
        <v>349</v>
      </c>
      <c r="B188" s="1" t="s">
        <v>350</v>
      </c>
      <c r="C188" s="1" t="s">
        <v>5</v>
      </c>
    </row>
    <row r="189" customFormat="false" ht="15.75" hidden="false" customHeight="false" outlineLevel="0" collapsed="false">
      <c r="A189" s="3" t="s">
        <v>351</v>
      </c>
      <c r="B189" s="3" t="s">
        <v>352</v>
      </c>
      <c r="C189" s="1" t="s">
        <v>5</v>
      </c>
    </row>
    <row r="190" customFormat="false" ht="15.75" hidden="false" customHeight="false" outlineLevel="0" collapsed="false">
      <c r="A190" s="3" t="s">
        <v>353</v>
      </c>
      <c r="B190" s="3" t="s">
        <v>354</v>
      </c>
      <c r="C190" s="1" t="s">
        <v>5</v>
      </c>
    </row>
    <row r="191" customFormat="false" ht="15.75" hidden="false" customHeight="false" outlineLevel="0" collapsed="false">
      <c r="A191" s="3" t="s">
        <v>355</v>
      </c>
      <c r="B191" s="3" t="s">
        <v>356</v>
      </c>
      <c r="C191" s="1" t="s">
        <v>5</v>
      </c>
    </row>
    <row r="192" customFormat="false" ht="15.75" hidden="false" customHeight="false" outlineLevel="0" collapsed="false">
      <c r="A192" s="3" t="s">
        <v>357</v>
      </c>
      <c r="B192" s="3" t="s">
        <v>358</v>
      </c>
      <c r="C192" s="1" t="s">
        <v>5</v>
      </c>
    </row>
    <row r="193" customFormat="false" ht="15.75" hidden="false" customHeight="false" outlineLevel="0" collapsed="false">
      <c r="A193" s="3" t="s">
        <v>359</v>
      </c>
      <c r="B193" s="3" t="s">
        <v>360</v>
      </c>
      <c r="C193" s="1" t="s">
        <v>5</v>
      </c>
    </row>
    <row r="194" customFormat="false" ht="15.75" hidden="false" customHeight="false" outlineLevel="0" collapsed="false">
      <c r="A194" s="3" t="s">
        <v>361</v>
      </c>
      <c r="B194" s="3" t="s">
        <v>362</v>
      </c>
      <c r="C194" s="1" t="s">
        <v>5</v>
      </c>
    </row>
    <row r="195" customFormat="false" ht="15.75" hidden="false" customHeight="false" outlineLevel="0" collapsed="false">
      <c r="A195" s="3" t="s">
        <v>363</v>
      </c>
      <c r="B195" s="3" t="s">
        <v>364</v>
      </c>
      <c r="C195" s="1" t="s">
        <v>5</v>
      </c>
    </row>
    <row r="196" customFormat="false" ht="15.75" hidden="false" customHeight="false" outlineLevel="0" collapsed="false">
      <c r="A196" s="3" t="s">
        <v>365</v>
      </c>
      <c r="B196" s="3" t="s">
        <v>366</v>
      </c>
      <c r="C196" s="1" t="s">
        <v>5</v>
      </c>
    </row>
    <row r="197" customFormat="false" ht="15.75" hidden="false" customHeight="false" outlineLevel="0" collapsed="false">
      <c r="A197" s="3" t="s">
        <v>367</v>
      </c>
      <c r="B197" s="3" t="s">
        <v>368</v>
      </c>
      <c r="C197" s="1" t="s">
        <v>5</v>
      </c>
    </row>
    <row r="198" customFormat="false" ht="15.75" hidden="false" customHeight="false" outlineLevel="0" collapsed="false">
      <c r="A198" s="3" t="s">
        <v>120</v>
      </c>
      <c r="B198" s="3" t="s">
        <v>121</v>
      </c>
      <c r="C198" s="1" t="s">
        <v>5</v>
      </c>
    </row>
    <row r="199" customFormat="false" ht="15.75" hidden="false" customHeight="false" outlineLevel="0" collapsed="false">
      <c r="A199" s="3" t="s">
        <v>369</v>
      </c>
      <c r="B199" s="3" t="s">
        <v>29</v>
      </c>
      <c r="C199" s="1" t="s">
        <v>5</v>
      </c>
    </row>
    <row r="200" customFormat="false" ht="15.75" hidden="false" customHeight="false" outlineLevel="0" collapsed="false">
      <c r="A200" s="3" t="s">
        <v>370</v>
      </c>
      <c r="B200" s="3" t="s">
        <v>371</v>
      </c>
      <c r="C200" s="1" t="s">
        <v>5</v>
      </c>
    </row>
    <row r="201" customFormat="false" ht="15.75" hidden="false" customHeight="false" outlineLevel="0" collapsed="false">
      <c r="A201" s="3" t="s">
        <v>372</v>
      </c>
      <c r="B201" s="3" t="s">
        <v>373</v>
      </c>
      <c r="C201" s="1" t="s">
        <v>5</v>
      </c>
    </row>
    <row r="202" customFormat="false" ht="15.75" hidden="false" customHeight="false" outlineLevel="0" collapsed="false">
      <c r="A202" s="3" t="s">
        <v>374</v>
      </c>
      <c r="B202" s="3" t="s">
        <v>375</v>
      </c>
      <c r="C202" s="1" t="s">
        <v>5</v>
      </c>
    </row>
    <row r="203" customFormat="false" ht="15.75" hidden="false" customHeight="false" outlineLevel="0" collapsed="false">
      <c r="A203" s="3" t="s">
        <v>376</v>
      </c>
      <c r="B203" s="3" t="s">
        <v>377</v>
      </c>
      <c r="C203" s="1" t="s">
        <v>5</v>
      </c>
    </row>
    <row r="204" customFormat="false" ht="15.75" hidden="false" customHeight="false" outlineLevel="0" collapsed="false">
      <c r="A204" s="3" t="s">
        <v>378</v>
      </c>
      <c r="B204" s="3" t="s">
        <v>379</v>
      </c>
      <c r="C204" s="1" t="s">
        <v>5</v>
      </c>
    </row>
    <row r="205" customFormat="false" ht="15.75" hidden="false" customHeight="false" outlineLevel="0" collapsed="false">
      <c r="A205" s="3" t="s">
        <v>380</v>
      </c>
      <c r="B205" s="3" t="s">
        <v>381</v>
      </c>
      <c r="C205" s="1" t="s">
        <v>5</v>
      </c>
    </row>
    <row r="206" customFormat="false" ht="15.75" hidden="false" customHeight="false" outlineLevel="0" collapsed="false">
      <c r="A206" s="3" t="s">
        <v>382</v>
      </c>
      <c r="B206" s="3" t="s">
        <v>383</v>
      </c>
      <c r="C206" s="1" t="s">
        <v>5</v>
      </c>
    </row>
    <row r="207" customFormat="false" ht="15.75" hidden="false" customHeight="false" outlineLevel="0" collapsed="false">
      <c r="A207" s="3" t="s">
        <v>384</v>
      </c>
      <c r="B207" s="3" t="s">
        <v>385</v>
      </c>
      <c r="C207" s="1" t="s">
        <v>5</v>
      </c>
    </row>
    <row r="208" customFormat="false" ht="15.75" hidden="false" customHeight="false" outlineLevel="0" collapsed="false">
      <c r="A208" s="3" t="s">
        <v>386</v>
      </c>
      <c r="B208" s="3" t="s">
        <v>387</v>
      </c>
      <c r="C208" s="1" t="s">
        <v>5</v>
      </c>
    </row>
    <row r="209" customFormat="false" ht="15.75" hidden="false" customHeight="false" outlineLevel="0" collapsed="false">
      <c r="A209" s="3" t="s">
        <v>388</v>
      </c>
      <c r="B209" s="3" t="s">
        <v>385</v>
      </c>
      <c r="C209" s="1" t="s">
        <v>5</v>
      </c>
    </row>
    <row r="210" customFormat="false" ht="15.75" hidden="false" customHeight="false" outlineLevel="0" collapsed="false">
      <c r="A210" s="3" t="s">
        <v>44</v>
      </c>
      <c r="B210" s="3" t="s">
        <v>45</v>
      </c>
      <c r="C210" s="1" t="s">
        <v>5</v>
      </c>
    </row>
    <row r="211" customFormat="false" ht="15.75" hidden="false" customHeight="false" outlineLevel="0" collapsed="false">
      <c r="A211" s="3" t="s">
        <v>389</v>
      </c>
      <c r="B211" s="3" t="s">
        <v>390</v>
      </c>
      <c r="C211" s="1" t="s">
        <v>5</v>
      </c>
    </row>
    <row r="212" customFormat="false" ht="15.75" hidden="false" customHeight="false" outlineLevel="0" collapsed="false">
      <c r="A212" s="3" t="s">
        <v>391</v>
      </c>
      <c r="B212" s="3" t="s">
        <v>392</v>
      </c>
      <c r="C212" s="1" t="s">
        <v>5</v>
      </c>
    </row>
    <row r="213" customFormat="false" ht="15.75" hidden="false" customHeight="false" outlineLevel="0" collapsed="false">
      <c r="A213" s="3" t="s">
        <v>393</v>
      </c>
      <c r="B213" s="3" t="s">
        <v>394</v>
      </c>
      <c r="C213" s="1" t="s">
        <v>5</v>
      </c>
    </row>
    <row r="214" customFormat="false" ht="15.75" hidden="false" customHeight="false" outlineLevel="0" collapsed="false">
      <c r="A214" s="3" t="s">
        <v>395</v>
      </c>
      <c r="B214" s="3" t="s">
        <v>27</v>
      </c>
      <c r="C214" s="1" t="s">
        <v>5</v>
      </c>
    </row>
    <row r="215" customFormat="false" ht="15.75" hidden="false" customHeight="false" outlineLevel="0" collapsed="false">
      <c r="A215" s="3" t="s">
        <v>396</v>
      </c>
      <c r="B215" s="3" t="s">
        <v>397</v>
      </c>
      <c r="C215" s="1" t="s">
        <v>5</v>
      </c>
    </row>
    <row r="216" customFormat="false" ht="15.75" hidden="false" customHeight="false" outlineLevel="0" collapsed="false">
      <c r="A216" s="3" t="s">
        <v>398</v>
      </c>
      <c r="B216" s="3" t="s">
        <v>399</v>
      </c>
      <c r="C216" s="1" t="s">
        <v>5</v>
      </c>
    </row>
    <row r="217" customFormat="false" ht="15.75" hidden="false" customHeight="false" outlineLevel="0" collapsed="false">
      <c r="A217" s="3" t="s">
        <v>400</v>
      </c>
      <c r="B217" s="3" t="s">
        <v>401</v>
      </c>
      <c r="C217" s="1" t="s">
        <v>5</v>
      </c>
    </row>
    <row r="218" customFormat="false" ht="15.75" hidden="false" customHeight="false" outlineLevel="0" collapsed="false">
      <c r="A218" s="3" t="s">
        <v>402</v>
      </c>
      <c r="B218" s="3" t="s">
        <v>403</v>
      </c>
      <c r="C218" s="1" t="s">
        <v>5</v>
      </c>
    </row>
    <row r="219" customFormat="false" ht="15.75" hidden="false" customHeight="false" outlineLevel="0" collapsed="false">
      <c r="A219" s="3" t="s">
        <v>404</v>
      </c>
      <c r="B219" s="3" t="s">
        <v>405</v>
      </c>
      <c r="C219" s="1" t="s">
        <v>5</v>
      </c>
    </row>
    <row r="220" customFormat="false" ht="15.75" hidden="false" customHeight="false" outlineLevel="0" collapsed="false">
      <c r="A220" s="3" t="s">
        <v>406</v>
      </c>
      <c r="B220" s="3" t="s">
        <v>407</v>
      </c>
      <c r="C220" s="1" t="s">
        <v>5</v>
      </c>
    </row>
    <row r="221" customFormat="false" ht="15.75" hidden="false" customHeight="false" outlineLevel="0" collapsed="false">
      <c r="A221" s="3" t="s">
        <v>408</v>
      </c>
      <c r="B221" s="3" t="s">
        <v>409</v>
      </c>
      <c r="C221" s="1" t="s">
        <v>5</v>
      </c>
    </row>
    <row r="222" customFormat="false" ht="15.75" hidden="false" customHeight="false" outlineLevel="0" collapsed="false">
      <c r="A222" s="4" t="s">
        <v>410</v>
      </c>
      <c r="B222" s="4" t="s">
        <v>411</v>
      </c>
      <c r="C222" s="1" t="s">
        <v>5</v>
      </c>
    </row>
    <row r="223" customFormat="false" ht="15.75" hidden="false" customHeight="false" outlineLevel="0" collapsed="false">
      <c r="A223" s="4" t="s">
        <v>412</v>
      </c>
      <c r="B223" s="4" t="s">
        <v>413</v>
      </c>
      <c r="C223" s="1" t="s">
        <v>5</v>
      </c>
    </row>
    <row r="224" customFormat="false" ht="15.75" hidden="false" customHeight="false" outlineLevel="0" collapsed="false">
      <c r="A224" s="4" t="s">
        <v>414</v>
      </c>
      <c r="B224" s="4" t="s">
        <v>415</v>
      </c>
      <c r="C224" s="1" t="s">
        <v>5</v>
      </c>
    </row>
    <row r="225" customFormat="false" ht="15.75" hidden="false" customHeight="false" outlineLevel="0" collapsed="false">
      <c r="A225" s="4" t="s">
        <v>416</v>
      </c>
      <c r="B225" s="4" t="s">
        <v>417</v>
      </c>
      <c r="C225" s="1" t="s">
        <v>5</v>
      </c>
    </row>
    <row r="226" customFormat="false" ht="15.75" hidden="false" customHeight="false" outlineLevel="0" collapsed="false">
      <c r="A226" s="4" t="s">
        <v>304</v>
      </c>
      <c r="B226" s="4" t="s">
        <v>305</v>
      </c>
      <c r="C226" s="1" t="s">
        <v>5</v>
      </c>
    </row>
    <row r="227" customFormat="false" ht="15.75" hidden="false" customHeight="false" outlineLevel="0" collapsed="false">
      <c r="A227" s="4" t="s">
        <v>326</v>
      </c>
      <c r="B227" s="4" t="s">
        <v>418</v>
      </c>
      <c r="C227" s="1" t="s">
        <v>5</v>
      </c>
    </row>
    <row r="228" customFormat="false" ht="15.75" hidden="false" customHeight="false" outlineLevel="0" collapsed="false">
      <c r="A228" s="4" t="s">
        <v>419</v>
      </c>
      <c r="B228" s="4" t="s">
        <v>420</v>
      </c>
      <c r="C228" s="1" t="s">
        <v>5</v>
      </c>
    </row>
    <row r="229" customFormat="false" ht="15.75" hidden="false" customHeight="false" outlineLevel="0" collapsed="false">
      <c r="A229" s="4" t="s">
        <v>421</v>
      </c>
      <c r="B229" s="4" t="s">
        <v>422</v>
      </c>
      <c r="C229" s="1" t="s">
        <v>5</v>
      </c>
    </row>
    <row r="230" customFormat="false" ht="15.75" hidden="false" customHeight="false" outlineLevel="0" collapsed="false">
      <c r="A230" s="4" t="s">
        <v>423</v>
      </c>
      <c r="B230" s="4" t="s">
        <v>424</v>
      </c>
      <c r="C230" s="1" t="s">
        <v>5</v>
      </c>
    </row>
    <row r="231" customFormat="false" ht="15.75" hidden="false" customHeight="false" outlineLevel="0" collapsed="false">
      <c r="A231" s="4" t="s">
        <v>425</v>
      </c>
      <c r="B231" s="4" t="s">
        <v>426</v>
      </c>
      <c r="C231" s="1" t="s">
        <v>5</v>
      </c>
    </row>
    <row r="232" customFormat="false" ht="15.75" hidden="false" customHeight="false" outlineLevel="0" collapsed="false">
      <c r="A232" s="4" t="s">
        <v>427</v>
      </c>
      <c r="B232" s="4" t="s">
        <v>428</v>
      </c>
      <c r="C232" s="1" t="s">
        <v>5</v>
      </c>
    </row>
    <row r="233" customFormat="false" ht="15.75" hidden="false" customHeight="false" outlineLevel="0" collapsed="false">
      <c r="A233" s="4" t="s">
        <v>429</v>
      </c>
      <c r="B233" s="4" t="s">
        <v>430</v>
      </c>
      <c r="C233" s="1" t="s">
        <v>5</v>
      </c>
    </row>
    <row r="234" customFormat="false" ht="15.75" hidden="false" customHeight="false" outlineLevel="0" collapsed="false">
      <c r="A234" s="4" t="s">
        <v>431</v>
      </c>
      <c r="B234" s="4" t="s">
        <v>432</v>
      </c>
      <c r="C234" s="1" t="s">
        <v>5</v>
      </c>
    </row>
    <row r="235" customFormat="false" ht="15.75" hidden="false" customHeight="false" outlineLevel="0" collapsed="false">
      <c r="A235" s="4" t="s">
        <v>433</v>
      </c>
      <c r="B235" s="4" t="s">
        <v>434</v>
      </c>
      <c r="C235" s="1" t="s">
        <v>5</v>
      </c>
    </row>
    <row r="236" customFormat="false" ht="15.75" hidden="false" customHeight="false" outlineLevel="0" collapsed="false">
      <c r="A236" s="4" t="s">
        <v>435</v>
      </c>
      <c r="B236" s="4" t="s">
        <v>436</v>
      </c>
      <c r="C236" s="1" t="s">
        <v>5</v>
      </c>
    </row>
    <row r="237" customFormat="false" ht="15.75" hidden="false" customHeight="false" outlineLevel="0" collapsed="false">
      <c r="A237" s="4" t="s">
        <v>437</v>
      </c>
      <c r="B237" s="4" t="s">
        <v>438</v>
      </c>
      <c r="C237" s="1" t="s">
        <v>5</v>
      </c>
    </row>
    <row r="238" customFormat="false" ht="15.75" hidden="false" customHeight="false" outlineLevel="0" collapsed="false">
      <c r="A238" s="4" t="s">
        <v>439</v>
      </c>
      <c r="B238" s="4" t="s">
        <v>440</v>
      </c>
      <c r="C238" s="1" t="s">
        <v>5</v>
      </c>
    </row>
    <row r="239" customFormat="false" ht="15.75" hidden="false" customHeight="false" outlineLevel="0" collapsed="false">
      <c r="A239" s="3" t="s">
        <v>441</v>
      </c>
      <c r="B239" s="3" t="s">
        <v>442</v>
      </c>
      <c r="C239" s="1" t="s">
        <v>443</v>
      </c>
    </row>
    <row r="240" customFormat="false" ht="15.75" hidden="false" customHeight="false" outlineLevel="0" collapsed="false">
      <c r="A240" s="3" t="s">
        <v>444</v>
      </c>
      <c r="B240" s="3" t="s">
        <v>445</v>
      </c>
      <c r="C240" s="1" t="s">
        <v>443</v>
      </c>
    </row>
    <row r="241" customFormat="false" ht="15.75" hidden="false" customHeight="false" outlineLevel="0" collapsed="false">
      <c r="A241" s="3" t="s">
        <v>446</v>
      </c>
      <c r="B241" s="3" t="s">
        <v>447</v>
      </c>
      <c r="C241" s="1" t="s">
        <v>443</v>
      </c>
    </row>
    <row r="242" customFormat="false" ht="15.75" hidden="false" customHeight="false" outlineLevel="0" collapsed="false">
      <c r="A242" s="3" t="s">
        <v>448</v>
      </c>
      <c r="B242" s="3" t="s">
        <v>449</v>
      </c>
      <c r="C242" s="1" t="s">
        <v>443</v>
      </c>
    </row>
    <row r="243" customFormat="false" ht="15.75" hidden="false" customHeight="false" outlineLevel="0" collapsed="false">
      <c r="A243" s="3" t="s">
        <v>450</v>
      </c>
      <c r="B243" s="3" t="s">
        <v>451</v>
      </c>
      <c r="C243" s="1" t="s">
        <v>443</v>
      </c>
    </row>
    <row r="244" customFormat="false" ht="15.75" hidden="false" customHeight="false" outlineLevel="0" collapsed="false">
      <c r="A244" s="3" t="s">
        <v>452</v>
      </c>
      <c r="B244" s="3" t="s">
        <v>453</v>
      </c>
      <c r="C244" s="1" t="s">
        <v>443</v>
      </c>
    </row>
    <row r="245" customFormat="false" ht="15.75" hidden="false" customHeight="false" outlineLevel="0" collapsed="false">
      <c r="A245" s="3" t="s">
        <v>454</v>
      </c>
      <c r="B245" s="3" t="s">
        <v>455</v>
      </c>
      <c r="C245" s="1" t="s">
        <v>443</v>
      </c>
    </row>
    <row r="246" customFormat="false" ht="15.75" hidden="false" customHeight="false" outlineLevel="0" collapsed="false">
      <c r="A246" s="3" t="s">
        <v>456</v>
      </c>
      <c r="B246" s="3" t="s">
        <v>457</v>
      </c>
      <c r="C246" s="1" t="s">
        <v>443</v>
      </c>
    </row>
    <row r="247" customFormat="false" ht="15.75" hidden="false" customHeight="false" outlineLevel="0" collapsed="false">
      <c r="A247" s="3" t="s">
        <v>458</v>
      </c>
      <c r="B247" s="3" t="s">
        <v>459</v>
      </c>
      <c r="C247" s="1" t="s">
        <v>443</v>
      </c>
    </row>
    <row r="248" customFormat="false" ht="15.75" hidden="false" customHeight="false" outlineLevel="0" collapsed="false">
      <c r="A248" s="3" t="s">
        <v>460</v>
      </c>
      <c r="B248" s="3" t="s">
        <v>461</v>
      </c>
      <c r="C248" s="1" t="s">
        <v>443</v>
      </c>
    </row>
    <row r="249" customFormat="false" ht="15.75" hidden="false" customHeight="false" outlineLevel="0" collapsed="false">
      <c r="A249" s="3" t="s">
        <v>462</v>
      </c>
      <c r="B249" s="3" t="s">
        <v>463</v>
      </c>
      <c r="C249" s="1" t="s">
        <v>443</v>
      </c>
    </row>
    <row r="250" customFormat="false" ht="15.75" hidden="false" customHeight="false" outlineLevel="0" collapsed="false">
      <c r="A250" s="3" t="s">
        <v>464</v>
      </c>
      <c r="B250" s="3" t="s">
        <v>465</v>
      </c>
      <c r="C250" s="1" t="s">
        <v>443</v>
      </c>
    </row>
    <row r="251" customFormat="false" ht="15.75" hidden="false" customHeight="false" outlineLevel="0" collapsed="false">
      <c r="A251" s="3" t="s">
        <v>466</v>
      </c>
      <c r="B251" s="3" t="s">
        <v>467</v>
      </c>
      <c r="C251" s="1" t="s">
        <v>443</v>
      </c>
    </row>
    <row r="252" customFormat="false" ht="15.75" hidden="false" customHeight="false" outlineLevel="0" collapsed="false">
      <c r="A252" s="3" t="s">
        <v>468</v>
      </c>
      <c r="B252" s="3" t="s">
        <v>469</v>
      </c>
      <c r="C252" s="1" t="s">
        <v>443</v>
      </c>
    </row>
    <row r="253" customFormat="false" ht="15.75" hidden="false" customHeight="false" outlineLevel="0" collapsed="false">
      <c r="A253" s="3" t="s">
        <v>470</v>
      </c>
      <c r="B253" s="3" t="s">
        <v>471</v>
      </c>
      <c r="C253" s="1" t="s">
        <v>443</v>
      </c>
    </row>
    <row r="254" customFormat="false" ht="15.75" hidden="false" customHeight="false" outlineLevel="0" collapsed="false">
      <c r="A254" s="3" t="s">
        <v>472</v>
      </c>
      <c r="B254" s="3" t="s">
        <v>473</v>
      </c>
      <c r="C254" s="1" t="s">
        <v>443</v>
      </c>
    </row>
    <row r="255" customFormat="false" ht="15.75" hidden="false" customHeight="false" outlineLevel="0" collapsed="false">
      <c r="A255" s="3" t="s">
        <v>474</v>
      </c>
      <c r="B255" s="3" t="s">
        <v>475</v>
      </c>
      <c r="C255" s="1" t="s">
        <v>443</v>
      </c>
    </row>
    <row r="256" customFormat="false" ht="15.75" hidden="false" customHeight="false" outlineLevel="0" collapsed="false">
      <c r="A256" s="3" t="s">
        <v>476</v>
      </c>
      <c r="B256" s="3" t="s">
        <v>477</v>
      </c>
      <c r="C256" s="1" t="s">
        <v>443</v>
      </c>
    </row>
    <row r="257" customFormat="false" ht="15.75" hidden="false" customHeight="false" outlineLevel="0" collapsed="false">
      <c r="A257" s="3" t="s">
        <v>478</v>
      </c>
      <c r="B257" s="3" t="s">
        <v>479</v>
      </c>
      <c r="C257" s="1" t="s">
        <v>443</v>
      </c>
    </row>
    <row r="258" customFormat="false" ht="15.75" hidden="false" customHeight="false" outlineLevel="0" collapsed="false">
      <c r="A258" s="3" t="s">
        <v>480</v>
      </c>
      <c r="B258" s="3" t="s">
        <v>481</v>
      </c>
      <c r="C258" s="1" t="s">
        <v>443</v>
      </c>
    </row>
    <row r="259" customFormat="false" ht="15.75" hidden="false" customHeight="false" outlineLevel="0" collapsed="false">
      <c r="A259" s="3" t="s">
        <v>482</v>
      </c>
      <c r="B259" s="3" t="s">
        <v>483</v>
      </c>
      <c r="C259" s="1" t="s">
        <v>443</v>
      </c>
    </row>
    <row r="260" customFormat="false" ht="15.75" hidden="false" customHeight="false" outlineLevel="0" collapsed="false">
      <c r="A260" s="3" t="s">
        <v>484</v>
      </c>
      <c r="B260" s="3" t="s">
        <v>485</v>
      </c>
      <c r="C260" s="1" t="s">
        <v>443</v>
      </c>
    </row>
    <row r="261" customFormat="false" ht="15.75" hidden="false" customHeight="false" outlineLevel="0" collapsed="false">
      <c r="A261" s="3" t="s">
        <v>486</v>
      </c>
      <c r="B261" s="3" t="s">
        <v>487</v>
      </c>
      <c r="C261" s="1" t="s">
        <v>443</v>
      </c>
    </row>
    <row r="262" customFormat="false" ht="15.75" hidden="false" customHeight="false" outlineLevel="0" collapsed="false">
      <c r="A262" s="3" t="s">
        <v>488</v>
      </c>
      <c r="B262" s="3" t="s">
        <v>489</v>
      </c>
      <c r="C262" s="1" t="s">
        <v>443</v>
      </c>
    </row>
    <row r="263" customFormat="false" ht="15.75" hidden="false" customHeight="false" outlineLevel="0" collapsed="false">
      <c r="A263" s="3" t="s">
        <v>490</v>
      </c>
      <c r="B263" s="3" t="s">
        <v>491</v>
      </c>
      <c r="C263" s="1" t="s">
        <v>443</v>
      </c>
    </row>
    <row r="264" customFormat="false" ht="15.75" hidden="false" customHeight="false" outlineLevel="0" collapsed="false">
      <c r="A264" s="3" t="s">
        <v>492</v>
      </c>
      <c r="B264" s="3" t="s">
        <v>493</v>
      </c>
      <c r="C264" s="1" t="s">
        <v>443</v>
      </c>
    </row>
    <row r="265" customFormat="false" ht="15.75" hidden="false" customHeight="false" outlineLevel="0" collapsed="false">
      <c r="A265" s="3" t="s">
        <v>494</v>
      </c>
      <c r="B265" s="3" t="s">
        <v>495</v>
      </c>
      <c r="C265" s="1" t="s">
        <v>443</v>
      </c>
    </row>
    <row r="266" customFormat="false" ht="15.75" hidden="false" customHeight="false" outlineLevel="0" collapsed="false">
      <c r="A266" s="3" t="s">
        <v>496</v>
      </c>
      <c r="B266" s="3" t="s">
        <v>497</v>
      </c>
      <c r="C266" s="1" t="s">
        <v>443</v>
      </c>
    </row>
    <row r="267" customFormat="false" ht="15.75" hidden="false" customHeight="false" outlineLevel="0" collapsed="false">
      <c r="A267" s="3" t="s">
        <v>498</v>
      </c>
      <c r="B267" s="3" t="s">
        <v>499</v>
      </c>
      <c r="C267" s="1" t="s">
        <v>443</v>
      </c>
    </row>
    <row r="268" customFormat="false" ht="15.75" hidden="false" customHeight="false" outlineLevel="0" collapsed="false">
      <c r="A268" s="3" t="s">
        <v>500</v>
      </c>
      <c r="B268" s="3" t="s">
        <v>501</v>
      </c>
      <c r="C268" s="1" t="s">
        <v>443</v>
      </c>
    </row>
    <row r="269" customFormat="false" ht="15.75" hidden="false" customHeight="false" outlineLevel="0" collapsed="false">
      <c r="A269" s="3" t="s">
        <v>502</v>
      </c>
      <c r="B269" s="3" t="s">
        <v>503</v>
      </c>
      <c r="C269" s="1" t="s">
        <v>443</v>
      </c>
    </row>
    <row r="270" customFormat="false" ht="15.75" hidden="false" customHeight="false" outlineLevel="0" collapsed="false">
      <c r="A270" s="3" t="s">
        <v>504</v>
      </c>
      <c r="B270" s="3" t="s">
        <v>505</v>
      </c>
      <c r="C270" s="1" t="s">
        <v>443</v>
      </c>
    </row>
    <row r="271" customFormat="false" ht="15.75" hidden="false" customHeight="false" outlineLevel="0" collapsed="false">
      <c r="A271" s="3" t="s">
        <v>506</v>
      </c>
      <c r="B271" s="3" t="s">
        <v>507</v>
      </c>
      <c r="C271" s="1" t="s">
        <v>443</v>
      </c>
    </row>
    <row r="272" customFormat="false" ht="15.75" hidden="false" customHeight="false" outlineLevel="0" collapsed="false">
      <c r="A272" s="3" t="s">
        <v>508</v>
      </c>
      <c r="B272" s="3" t="s">
        <v>509</v>
      </c>
      <c r="C272" s="1" t="s">
        <v>443</v>
      </c>
    </row>
    <row r="273" customFormat="false" ht="15.75" hidden="false" customHeight="false" outlineLevel="0" collapsed="false">
      <c r="A273" s="3" t="s">
        <v>510</v>
      </c>
      <c r="B273" s="3" t="s">
        <v>511</v>
      </c>
      <c r="C273" s="1" t="s">
        <v>443</v>
      </c>
    </row>
    <row r="274" customFormat="false" ht="15.75" hidden="false" customHeight="false" outlineLevel="0" collapsed="false">
      <c r="A274" s="3" t="s">
        <v>512</v>
      </c>
      <c r="B274" s="3" t="s">
        <v>513</v>
      </c>
      <c r="C274" s="1" t="s">
        <v>443</v>
      </c>
    </row>
    <row r="275" customFormat="false" ht="15.75" hidden="false" customHeight="false" outlineLevel="0" collapsed="false">
      <c r="A275" s="3" t="s">
        <v>514</v>
      </c>
      <c r="B275" s="3" t="s">
        <v>515</v>
      </c>
      <c r="C275" s="1" t="s">
        <v>443</v>
      </c>
    </row>
    <row r="276" customFormat="false" ht="15.75" hidden="false" customHeight="false" outlineLevel="0" collapsed="false">
      <c r="A276" s="3" t="s">
        <v>516</v>
      </c>
      <c r="B276" s="3" t="s">
        <v>375</v>
      </c>
      <c r="C276" s="1" t="s">
        <v>443</v>
      </c>
    </row>
    <row r="277" customFormat="false" ht="15.75" hidden="false" customHeight="false" outlineLevel="0" collapsed="false">
      <c r="A277" s="3" t="s">
        <v>517</v>
      </c>
      <c r="B277" s="3" t="s">
        <v>518</v>
      </c>
      <c r="C277" s="1" t="s">
        <v>443</v>
      </c>
    </row>
    <row r="278" customFormat="false" ht="15.75" hidden="false" customHeight="false" outlineLevel="0" collapsed="false">
      <c r="A278" s="3" t="s">
        <v>519</v>
      </c>
      <c r="B278" s="3" t="s">
        <v>520</v>
      </c>
      <c r="C278" s="1" t="s">
        <v>443</v>
      </c>
    </row>
    <row r="279" customFormat="false" ht="15.75" hidden="false" customHeight="false" outlineLevel="0" collapsed="false">
      <c r="A279" s="3" t="s">
        <v>521</v>
      </c>
      <c r="B279" s="3" t="s">
        <v>522</v>
      </c>
      <c r="C279" s="1" t="s">
        <v>443</v>
      </c>
    </row>
    <row r="280" customFormat="false" ht="15.75" hidden="false" customHeight="false" outlineLevel="0" collapsed="false">
      <c r="A280" s="3" t="s">
        <v>523</v>
      </c>
      <c r="B280" s="3" t="s">
        <v>524</v>
      </c>
      <c r="C280" s="1" t="s">
        <v>443</v>
      </c>
    </row>
    <row r="281" customFormat="false" ht="15.75" hidden="false" customHeight="false" outlineLevel="0" collapsed="false">
      <c r="A281" s="3" t="s">
        <v>525</v>
      </c>
      <c r="B281" s="3" t="s">
        <v>381</v>
      </c>
      <c r="C281" s="1" t="s">
        <v>443</v>
      </c>
    </row>
    <row r="282" customFormat="false" ht="15.75" hidden="false" customHeight="false" outlineLevel="0" collapsed="false">
      <c r="A282" s="3" t="s">
        <v>526</v>
      </c>
      <c r="B282" s="3" t="s">
        <v>527</v>
      </c>
      <c r="C282" s="1" t="s">
        <v>443</v>
      </c>
    </row>
    <row r="283" customFormat="false" ht="15.75" hidden="false" customHeight="false" outlineLevel="0" collapsed="false">
      <c r="A283" s="3" t="s">
        <v>528</v>
      </c>
      <c r="B283" s="3" t="s">
        <v>379</v>
      </c>
      <c r="C283" s="1" t="s">
        <v>443</v>
      </c>
    </row>
    <row r="284" customFormat="false" ht="15.75" hidden="false" customHeight="false" outlineLevel="0" collapsed="false">
      <c r="A284" s="3" t="s">
        <v>529</v>
      </c>
      <c r="B284" s="3" t="s">
        <v>530</v>
      </c>
      <c r="C284" s="1" t="s">
        <v>443</v>
      </c>
    </row>
    <row r="285" customFormat="false" ht="15.75" hidden="false" customHeight="false" outlineLevel="0" collapsed="false">
      <c r="A285" s="3" t="s">
        <v>531</v>
      </c>
      <c r="B285" s="3" t="s">
        <v>532</v>
      </c>
      <c r="C285" s="1" t="s">
        <v>443</v>
      </c>
    </row>
    <row r="286" customFormat="false" ht="15.75" hidden="false" customHeight="false" outlineLevel="0" collapsed="false">
      <c r="A286" s="3" t="s">
        <v>533</v>
      </c>
      <c r="B286" s="3" t="s">
        <v>534</v>
      </c>
      <c r="C286" s="1" t="s">
        <v>443</v>
      </c>
    </row>
    <row r="287" customFormat="false" ht="15.75" hidden="false" customHeight="false" outlineLevel="0" collapsed="false">
      <c r="A287" s="3" t="s">
        <v>535</v>
      </c>
      <c r="B287" s="3" t="s">
        <v>536</v>
      </c>
      <c r="C287" s="1" t="s">
        <v>443</v>
      </c>
    </row>
    <row r="288" customFormat="false" ht="15.75" hidden="false" customHeight="false" outlineLevel="0" collapsed="false">
      <c r="A288" s="3" t="s">
        <v>537</v>
      </c>
      <c r="B288" s="3" t="s">
        <v>538</v>
      </c>
      <c r="C288" s="1" t="s">
        <v>443</v>
      </c>
    </row>
    <row r="289" customFormat="false" ht="15.75" hidden="false" customHeight="false" outlineLevel="0" collapsed="false">
      <c r="A289" s="3" t="s">
        <v>539</v>
      </c>
      <c r="B289" s="3" t="s">
        <v>540</v>
      </c>
      <c r="C289" s="1" t="s">
        <v>443</v>
      </c>
    </row>
    <row r="290" customFormat="false" ht="15.75" hidden="false" customHeight="false" outlineLevel="0" collapsed="false">
      <c r="A290" s="3" t="s">
        <v>541</v>
      </c>
      <c r="B290" s="3" t="s">
        <v>542</v>
      </c>
      <c r="C290" s="1" t="s">
        <v>443</v>
      </c>
    </row>
    <row r="291" customFormat="false" ht="15.75" hidden="false" customHeight="false" outlineLevel="0" collapsed="false">
      <c r="A291" s="3" t="s">
        <v>543</v>
      </c>
      <c r="B291" s="3" t="s">
        <v>544</v>
      </c>
      <c r="C291" s="1" t="s">
        <v>443</v>
      </c>
    </row>
    <row r="292" customFormat="false" ht="15.75" hidden="false" customHeight="false" outlineLevel="0" collapsed="false">
      <c r="A292" s="3" t="s">
        <v>545</v>
      </c>
      <c r="B292" s="3" t="s">
        <v>546</v>
      </c>
      <c r="C292" s="1" t="s">
        <v>443</v>
      </c>
    </row>
    <row r="293" customFormat="false" ht="15.75" hidden="false" customHeight="false" outlineLevel="0" collapsed="false">
      <c r="A293" s="3" t="s">
        <v>547</v>
      </c>
      <c r="B293" s="3" t="s">
        <v>548</v>
      </c>
      <c r="C293" s="1" t="s">
        <v>443</v>
      </c>
    </row>
    <row r="294" customFormat="false" ht="15.75" hidden="false" customHeight="false" outlineLevel="0" collapsed="false">
      <c r="A294" s="3" t="s">
        <v>549</v>
      </c>
      <c r="B294" s="3" t="s">
        <v>550</v>
      </c>
      <c r="C294" s="1" t="s">
        <v>443</v>
      </c>
    </row>
    <row r="295" customFormat="false" ht="15.75" hidden="false" customHeight="false" outlineLevel="0" collapsed="false">
      <c r="A295" s="3" t="s">
        <v>551</v>
      </c>
      <c r="B295" s="3" t="s">
        <v>552</v>
      </c>
      <c r="C295" s="1" t="s">
        <v>443</v>
      </c>
    </row>
    <row r="296" customFormat="false" ht="15.75" hidden="false" customHeight="false" outlineLevel="0" collapsed="false">
      <c r="A296" s="3" t="s">
        <v>553</v>
      </c>
      <c r="B296" s="3" t="s">
        <v>554</v>
      </c>
      <c r="C296" s="1" t="s">
        <v>443</v>
      </c>
    </row>
    <row r="297" customFormat="false" ht="15.75" hidden="false" customHeight="false" outlineLevel="0" collapsed="false">
      <c r="A297" s="3" t="s">
        <v>555</v>
      </c>
      <c r="B297" s="3" t="s">
        <v>387</v>
      </c>
      <c r="C297" s="1" t="s">
        <v>443</v>
      </c>
    </row>
    <row r="298" customFormat="false" ht="15.75" hidden="false" customHeight="false" outlineLevel="0" collapsed="false">
      <c r="A298" s="3" t="s">
        <v>556</v>
      </c>
      <c r="B298" s="3" t="s">
        <v>557</v>
      </c>
      <c r="C298" s="1" t="s">
        <v>443</v>
      </c>
    </row>
    <row r="299" customFormat="false" ht="15.75" hidden="false" customHeight="false" outlineLevel="0" collapsed="false">
      <c r="A299" s="3" t="s">
        <v>558</v>
      </c>
      <c r="B299" s="3" t="s">
        <v>559</v>
      </c>
      <c r="C299" s="1" t="s">
        <v>443</v>
      </c>
    </row>
    <row r="300" customFormat="false" ht="15.75" hidden="false" customHeight="false" outlineLevel="0" collapsed="false">
      <c r="A300" s="3" t="s">
        <v>560</v>
      </c>
      <c r="B300" s="3" t="s">
        <v>561</v>
      </c>
      <c r="C300" s="1" t="s">
        <v>443</v>
      </c>
    </row>
    <row r="301" customFormat="false" ht="15.75" hidden="false" customHeight="false" outlineLevel="0" collapsed="false">
      <c r="A301" s="3" t="s">
        <v>562</v>
      </c>
      <c r="B301" s="3" t="s">
        <v>563</v>
      </c>
      <c r="C301" s="1" t="s">
        <v>443</v>
      </c>
    </row>
    <row r="302" customFormat="false" ht="15.75" hidden="false" customHeight="false" outlineLevel="0" collapsed="false">
      <c r="A302" s="3" t="s">
        <v>564</v>
      </c>
      <c r="B302" s="3" t="s">
        <v>565</v>
      </c>
      <c r="C302" s="1" t="s">
        <v>443</v>
      </c>
    </row>
    <row r="303" customFormat="false" ht="15.75" hidden="false" customHeight="false" outlineLevel="0" collapsed="false">
      <c r="A303" s="3" t="s">
        <v>566</v>
      </c>
      <c r="B303" s="3" t="s">
        <v>567</v>
      </c>
      <c r="C303" s="1" t="s">
        <v>443</v>
      </c>
    </row>
    <row r="304" customFormat="false" ht="15.75" hidden="false" customHeight="false" outlineLevel="0" collapsed="false">
      <c r="A304" s="3" t="s">
        <v>568</v>
      </c>
      <c r="B304" s="3" t="s">
        <v>569</v>
      </c>
      <c r="C304" s="1" t="s">
        <v>443</v>
      </c>
    </row>
    <row r="305" customFormat="false" ht="15.75" hidden="false" customHeight="false" outlineLevel="0" collapsed="false">
      <c r="A305" s="3" t="s">
        <v>570</v>
      </c>
      <c r="B305" s="3" t="s">
        <v>571</v>
      </c>
      <c r="C305" s="1" t="s">
        <v>443</v>
      </c>
    </row>
    <row r="306" customFormat="false" ht="15.75" hidden="false" customHeight="false" outlineLevel="0" collapsed="false">
      <c r="A306" s="3" t="s">
        <v>572</v>
      </c>
      <c r="B306" s="3" t="s">
        <v>573</v>
      </c>
      <c r="C306" s="1" t="s">
        <v>443</v>
      </c>
    </row>
    <row r="307" customFormat="false" ht="15.75" hidden="false" customHeight="false" outlineLevel="0" collapsed="false">
      <c r="A307" s="3" t="s">
        <v>574</v>
      </c>
      <c r="B307" s="3" t="s">
        <v>575</v>
      </c>
      <c r="C307" s="1" t="s">
        <v>443</v>
      </c>
    </row>
    <row r="308" customFormat="false" ht="15.75" hidden="false" customHeight="false" outlineLevel="0" collapsed="false">
      <c r="A308" s="3" t="s">
        <v>576</v>
      </c>
      <c r="B308" s="3" t="s">
        <v>577</v>
      </c>
      <c r="C308" s="1" t="s">
        <v>443</v>
      </c>
    </row>
    <row r="309" customFormat="false" ht="15.75" hidden="false" customHeight="false" outlineLevel="0" collapsed="false">
      <c r="A309" s="3" t="s">
        <v>578</v>
      </c>
      <c r="B309" s="3" t="s">
        <v>579</v>
      </c>
      <c r="C309" s="1" t="s">
        <v>443</v>
      </c>
    </row>
    <row r="310" customFormat="false" ht="15.75" hidden="false" customHeight="false" outlineLevel="0" collapsed="false">
      <c r="A310" s="3" t="s">
        <v>580</v>
      </c>
      <c r="B310" s="3" t="s">
        <v>581</v>
      </c>
      <c r="C310" s="1" t="s">
        <v>443</v>
      </c>
    </row>
    <row r="311" customFormat="false" ht="15.75" hidden="false" customHeight="false" outlineLevel="0" collapsed="false">
      <c r="A311" s="3" t="s">
        <v>582</v>
      </c>
      <c r="B311" s="3" t="s">
        <v>583</v>
      </c>
      <c r="C311" s="1" t="s">
        <v>443</v>
      </c>
    </row>
    <row r="312" customFormat="false" ht="15.75" hidden="false" customHeight="false" outlineLevel="0" collapsed="false">
      <c r="A312" s="3" t="s">
        <v>584</v>
      </c>
      <c r="B312" s="3" t="s">
        <v>585</v>
      </c>
      <c r="C312" s="1" t="s">
        <v>443</v>
      </c>
    </row>
    <row r="313" customFormat="false" ht="15.75" hidden="false" customHeight="false" outlineLevel="0" collapsed="false">
      <c r="A313" s="3" t="s">
        <v>586</v>
      </c>
      <c r="B313" s="3" t="s">
        <v>587</v>
      </c>
      <c r="C313" s="1" t="s">
        <v>443</v>
      </c>
    </row>
    <row r="314" customFormat="false" ht="15.75" hidden="false" customHeight="false" outlineLevel="0" collapsed="false">
      <c r="A314" s="3" t="s">
        <v>588</v>
      </c>
      <c r="B314" s="3" t="s">
        <v>589</v>
      </c>
      <c r="C314" s="1" t="s">
        <v>443</v>
      </c>
    </row>
    <row r="315" customFormat="false" ht="15.75" hidden="false" customHeight="false" outlineLevel="0" collapsed="false">
      <c r="A315" s="3" t="s">
        <v>590</v>
      </c>
      <c r="B315" s="3" t="s">
        <v>591</v>
      </c>
      <c r="C315" s="1" t="s">
        <v>443</v>
      </c>
    </row>
    <row r="316" customFormat="false" ht="15.75" hidden="false" customHeight="false" outlineLevel="0" collapsed="false">
      <c r="A316" s="3" t="s">
        <v>592</v>
      </c>
      <c r="B316" s="3" t="s">
        <v>593</v>
      </c>
      <c r="C316" s="1" t="s">
        <v>443</v>
      </c>
    </row>
    <row r="317" customFormat="false" ht="15.75" hidden="false" customHeight="false" outlineLevel="0" collapsed="false">
      <c r="A317" s="3" t="s">
        <v>594</v>
      </c>
      <c r="B317" s="3" t="s">
        <v>595</v>
      </c>
      <c r="C317" s="1" t="s">
        <v>443</v>
      </c>
    </row>
    <row r="318" customFormat="false" ht="15.75" hidden="false" customHeight="false" outlineLevel="0" collapsed="false">
      <c r="A318" s="3" t="s">
        <v>410</v>
      </c>
      <c r="B318" s="3" t="s">
        <v>596</v>
      </c>
      <c r="C318" s="1" t="s">
        <v>443</v>
      </c>
    </row>
    <row r="319" customFormat="false" ht="15.75" hidden="false" customHeight="false" outlineLevel="0" collapsed="false">
      <c r="A319" s="3" t="s">
        <v>597</v>
      </c>
      <c r="B319" s="3" t="s">
        <v>598</v>
      </c>
      <c r="C319" s="1" t="s">
        <v>443</v>
      </c>
    </row>
    <row r="320" customFormat="false" ht="15.75" hidden="false" customHeight="false" outlineLevel="0" collapsed="false">
      <c r="A320" s="3" t="s">
        <v>599</v>
      </c>
      <c r="B320" s="3" t="s">
        <v>600</v>
      </c>
      <c r="C320" s="1" t="s">
        <v>443</v>
      </c>
    </row>
    <row r="321" customFormat="false" ht="15.75" hidden="false" customHeight="false" outlineLevel="0" collapsed="false">
      <c r="A321" s="3" t="s">
        <v>601</v>
      </c>
      <c r="B321" s="3" t="s">
        <v>602</v>
      </c>
      <c r="C321" s="1" t="s">
        <v>443</v>
      </c>
    </row>
    <row r="322" customFormat="false" ht="15.75" hidden="false" customHeight="false" outlineLevel="0" collapsed="false">
      <c r="A322" s="3" t="s">
        <v>603</v>
      </c>
      <c r="B322" s="3" t="s">
        <v>604</v>
      </c>
      <c r="C322" s="1" t="s">
        <v>443</v>
      </c>
    </row>
    <row r="323" customFormat="false" ht="15.75" hidden="false" customHeight="false" outlineLevel="0" collapsed="false">
      <c r="A323" s="3" t="s">
        <v>605</v>
      </c>
      <c r="B323" s="3" t="s">
        <v>606</v>
      </c>
      <c r="C323" s="1" t="s">
        <v>443</v>
      </c>
    </row>
    <row r="324" customFormat="false" ht="15.75" hidden="false" customHeight="false" outlineLevel="0" collapsed="false">
      <c r="A324" s="3" t="s">
        <v>607</v>
      </c>
      <c r="B324" s="3" t="s">
        <v>608</v>
      </c>
      <c r="C324" s="1" t="s">
        <v>443</v>
      </c>
    </row>
    <row r="325" customFormat="false" ht="15.75" hidden="false" customHeight="false" outlineLevel="0" collapsed="false">
      <c r="A325" s="3" t="s">
        <v>609</v>
      </c>
      <c r="B325" s="3" t="s">
        <v>610</v>
      </c>
      <c r="C325" s="1" t="s">
        <v>443</v>
      </c>
    </row>
    <row r="326" customFormat="false" ht="15.75" hidden="false" customHeight="false" outlineLevel="0" collapsed="false">
      <c r="A326" s="3" t="s">
        <v>611</v>
      </c>
      <c r="B326" s="3" t="s">
        <v>612</v>
      </c>
      <c r="C326" s="1" t="s">
        <v>443</v>
      </c>
    </row>
    <row r="327" customFormat="false" ht="15.75" hidden="false" customHeight="false" outlineLevel="0" collapsed="false">
      <c r="A327" s="3" t="s">
        <v>613</v>
      </c>
      <c r="B327" s="3" t="s">
        <v>614</v>
      </c>
      <c r="C327" s="1" t="s">
        <v>443</v>
      </c>
    </row>
    <row r="328" customFormat="false" ht="15.75" hidden="false" customHeight="false" outlineLevel="0" collapsed="false">
      <c r="A328" s="3" t="s">
        <v>615</v>
      </c>
      <c r="B328" s="3" t="s">
        <v>616</v>
      </c>
      <c r="C328" s="1" t="s">
        <v>443</v>
      </c>
    </row>
    <row r="329" customFormat="false" ht="15.75" hidden="false" customHeight="false" outlineLevel="0" collapsed="false">
      <c r="A329" s="3" t="s">
        <v>617</v>
      </c>
      <c r="B329" s="3" t="s">
        <v>618</v>
      </c>
      <c r="C329" s="1" t="s">
        <v>443</v>
      </c>
    </row>
    <row r="330" customFormat="false" ht="15.75" hidden="false" customHeight="false" outlineLevel="0" collapsed="false">
      <c r="A330" s="3" t="s">
        <v>619</v>
      </c>
      <c r="B330" s="3" t="s">
        <v>620</v>
      </c>
      <c r="C330" s="1" t="s">
        <v>443</v>
      </c>
    </row>
    <row r="331" customFormat="false" ht="15.75" hidden="false" customHeight="false" outlineLevel="0" collapsed="false">
      <c r="A331" s="3" t="s">
        <v>621</v>
      </c>
      <c r="B331" s="3" t="s">
        <v>622</v>
      </c>
      <c r="C331" s="1" t="s">
        <v>443</v>
      </c>
    </row>
    <row r="332" customFormat="false" ht="15.75" hidden="false" customHeight="false" outlineLevel="0" collapsed="false">
      <c r="A332" s="3" t="s">
        <v>623</v>
      </c>
      <c r="B332" s="3" t="s">
        <v>624</v>
      </c>
      <c r="C332" s="1" t="s">
        <v>443</v>
      </c>
    </row>
    <row r="333" customFormat="false" ht="15.75" hidden="false" customHeight="false" outlineLevel="0" collapsed="false">
      <c r="A333" s="3" t="s">
        <v>625</v>
      </c>
      <c r="B333" s="3" t="s">
        <v>626</v>
      </c>
      <c r="C333" s="1" t="s">
        <v>443</v>
      </c>
    </row>
    <row r="334" customFormat="false" ht="15.75" hidden="false" customHeight="false" outlineLevel="0" collapsed="false">
      <c r="A334" s="3" t="s">
        <v>627</v>
      </c>
      <c r="B334" s="3" t="s">
        <v>628</v>
      </c>
      <c r="C334" s="1" t="s">
        <v>443</v>
      </c>
    </row>
    <row r="335" customFormat="false" ht="15.75" hidden="false" customHeight="false" outlineLevel="0" collapsed="false">
      <c r="A335" s="3" t="s">
        <v>629</v>
      </c>
      <c r="B335" s="3" t="s">
        <v>630</v>
      </c>
      <c r="C335" s="1" t="s">
        <v>443</v>
      </c>
    </row>
    <row r="336" customFormat="false" ht="15.75" hidden="false" customHeight="false" outlineLevel="0" collapsed="false">
      <c r="A336" s="3" t="s">
        <v>631</v>
      </c>
      <c r="B336" s="3" t="s">
        <v>632</v>
      </c>
      <c r="C336" s="1" t="s">
        <v>443</v>
      </c>
    </row>
    <row r="337" customFormat="false" ht="15.75" hidden="false" customHeight="false" outlineLevel="0" collapsed="false">
      <c r="A337" s="3" t="s">
        <v>633</v>
      </c>
      <c r="B337" s="3" t="s">
        <v>634</v>
      </c>
      <c r="C337" s="1" t="s">
        <v>443</v>
      </c>
    </row>
    <row r="338" customFormat="false" ht="15.75" hidden="false" customHeight="false" outlineLevel="0" collapsed="false">
      <c r="A338" s="3" t="s">
        <v>635</v>
      </c>
      <c r="B338" s="3" t="s">
        <v>636</v>
      </c>
      <c r="C338" s="1" t="s">
        <v>443</v>
      </c>
    </row>
    <row r="339" customFormat="false" ht="15.75" hidden="false" customHeight="false" outlineLevel="0" collapsed="false">
      <c r="A339" s="3" t="s">
        <v>637</v>
      </c>
      <c r="B339" s="3" t="s">
        <v>638</v>
      </c>
      <c r="C339" s="1" t="s">
        <v>443</v>
      </c>
    </row>
    <row r="340" customFormat="false" ht="15.75" hidden="false" customHeight="false" outlineLevel="0" collapsed="false">
      <c r="A340" s="3" t="s">
        <v>639</v>
      </c>
      <c r="B340" s="3" t="s">
        <v>640</v>
      </c>
      <c r="C340" s="1" t="s">
        <v>443</v>
      </c>
    </row>
    <row r="341" customFormat="false" ht="15.75" hidden="false" customHeight="false" outlineLevel="0" collapsed="false">
      <c r="A341" s="3" t="s">
        <v>641</v>
      </c>
      <c r="B341" s="3" t="s">
        <v>642</v>
      </c>
      <c r="C341" s="1" t="s">
        <v>443</v>
      </c>
    </row>
    <row r="342" customFormat="false" ht="15.75" hidden="false" customHeight="false" outlineLevel="0" collapsed="false">
      <c r="A342" s="3" t="s">
        <v>643</v>
      </c>
      <c r="B342" s="3" t="s">
        <v>644</v>
      </c>
      <c r="C342" s="1" t="s">
        <v>443</v>
      </c>
    </row>
    <row r="343" customFormat="false" ht="15.75" hidden="false" customHeight="false" outlineLevel="0" collapsed="false">
      <c r="A343" s="3" t="s">
        <v>645</v>
      </c>
      <c r="B343" s="3" t="s">
        <v>646</v>
      </c>
      <c r="C343" s="1" t="s">
        <v>443</v>
      </c>
    </row>
    <row r="344" customFormat="false" ht="15.75" hidden="false" customHeight="false" outlineLevel="0" collapsed="false">
      <c r="A344" s="3" t="s">
        <v>647</v>
      </c>
      <c r="B344" s="3" t="s">
        <v>648</v>
      </c>
      <c r="C344" s="1" t="s">
        <v>443</v>
      </c>
    </row>
    <row r="345" customFormat="false" ht="15.75" hidden="false" customHeight="false" outlineLevel="0" collapsed="false">
      <c r="A345" s="3" t="s">
        <v>649</v>
      </c>
      <c r="B345" s="3" t="s">
        <v>650</v>
      </c>
      <c r="C345" s="1" t="s">
        <v>443</v>
      </c>
    </row>
    <row r="346" customFormat="false" ht="15.75" hidden="false" customHeight="false" outlineLevel="0" collapsed="false">
      <c r="A346" s="3" t="s">
        <v>651</v>
      </c>
      <c r="B346" s="3" t="s">
        <v>652</v>
      </c>
      <c r="C346" s="1" t="s">
        <v>443</v>
      </c>
    </row>
    <row r="347" customFormat="false" ht="15.75" hidden="false" customHeight="false" outlineLevel="0" collapsed="false">
      <c r="A347" s="3" t="s">
        <v>653</v>
      </c>
      <c r="B347" s="3" t="s">
        <v>654</v>
      </c>
      <c r="C347" s="1" t="s">
        <v>443</v>
      </c>
    </row>
    <row r="348" customFormat="false" ht="15.75" hidden="false" customHeight="false" outlineLevel="0" collapsed="false">
      <c r="A348" s="3" t="s">
        <v>655</v>
      </c>
      <c r="B348" s="3" t="s">
        <v>656</v>
      </c>
      <c r="C348" s="1" t="s">
        <v>443</v>
      </c>
    </row>
    <row r="349" customFormat="false" ht="15.75" hidden="false" customHeight="false" outlineLevel="0" collapsed="false">
      <c r="A349" s="3" t="s">
        <v>657</v>
      </c>
      <c r="B349" s="3" t="s">
        <v>658</v>
      </c>
      <c r="C349" s="1" t="s">
        <v>443</v>
      </c>
    </row>
    <row r="350" customFormat="false" ht="15.75" hidden="false" customHeight="false" outlineLevel="0" collapsed="false">
      <c r="A350" s="3" t="s">
        <v>659</v>
      </c>
      <c r="B350" s="3" t="s">
        <v>660</v>
      </c>
      <c r="C350" s="1" t="s">
        <v>443</v>
      </c>
    </row>
    <row r="351" customFormat="false" ht="15.75" hidden="false" customHeight="false" outlineLevel="0" collapsed="false">
      <c r="A351" s="3" t="s">
        <v>661</v>
      </c>
      <c r="B351" s="3" t="s">
        <v>662</v>
      </c>
      <c r="C351" s="1" t="s">
        <v>443</v>
      </c>
    </row>
    <row r="352" customFormat="false" ht="15.75" hidden="false" customHeight="false" outlineLevel="0" collapsed="false">
      <c r="A352" s="3" t="s">
        <v>663</v>
      </c>
      <c r="B352" s="3" t="s">
        <v>664</v>
      </c>
      <c r="C352" s="1" t="s">
        <v>443</v>
      </c>
    </row>
    <row r="353" customFormat="false" ht="15.75" hidden="false" customHeight="false" outlineLevel="0" collapsed="false">
      <c r="A353" s="3" t="s">
        <v>665</v>
      </c>
      <c r="B353" s="3" t="s">
        <v>666</v>
      </c>
      <c r="C353" s="1" t="s">
        <v>443</v>
      </c>
    </row>
    <row r="354" customFormat="false" ht="15.75" hidden="false" customHeight="false" outlineLevel="0" collapsed="false">
      <c r="A354" s="3" t="s">
        <v>667</v>
      </c>
      <c r="B354" s="3" t="s">
        <v>668</v>
      </c>
      <c r="C354" s="1" t="s">
        <v>443</v>
      </c>
    </row>
    <row r="355" customFormat="false" ht="15.75" hidden="false" customHeight="false" outlineLevel="0" collapsed="false">
      <c r="A355" s="3" t="s">
        <v>669</v>
      </c>
      <c r="B355" s="3" t="s">
        <v>670</v>
      </c>
      <c r="C355" s="1" t="s">
        <v>443</v>
      </c>
    </row>
    <row r="356" customFormat="false" ht="15.75" hidden="false" customHeight="false" outlineLevel="0" collapsed="false">
      <c r="A356" s="3" t="s">
        <v>671</v>
      </c>
      <c r="B356" s="3" t="s">
        <v>672</v>
      </c>
      <c r="C356" s="1" t="s">
        <v>443</v>
      </c>
    </row>
    <row r="357" customFormat="false" ht="15.75" hidden="false" customHeight="false" outlineLevel="0" collapsed="false">
      <c r="A357" s="3" t="s">
        <v>673</v>
      </c>
      <c r="B357" s="3" t="s">
        <v>674</v>
      </c>
      <c r="C357" s="1" t="s">
        <v>443</v>
      </c>
    </row>
    <row r="358" customFormat="false" ht="15.75" hidden="false" customHeight="false" outlineLevel="0" collapsed="false">
      <c r="A358" s="3" t="s">
        <v>675</v>
      </c>
      <c r="B358" s="3" t="s">
        <v>676</v>
      </c>
      <c r="C358" s="1" t="s">
        <v>443</v>
      </c>
    </row>
    <row r="359" customFormat="false" ht="15.75" hidden="false" customHeight="false" outlineLevel="0" collapsed="false">
      <c r="A359" s="3" t="s">
        <v>677</v>
      </c>
      <c r="B359" s="3" t="s">
        <v>678</v>
      </c>
      <c r="C359" s="1" t="s">
        <v>443</v>
      </c>
    </row>
    <row r="360" customFormat="false" ht="15.75" hidden="false" customHeight="false" outlineLevel="0" collapsed="false">
      <c r="A360" s="3" t="s">
        <v>679</v>
      </c>
      <c r="B360" s="3" t="s">
        <v>680</v>
      </c>
      <c r="C360" s="1" t="s">
        <v>443</v>
      </c>
    </row>
    <row r="361" customFormat="false" ht="15.75" hidden="false" customHeight="false" outlineLevel="0" collapsed="false">
      <c r="A361" s="3" t="s">
        <v>681</v>
      </c>
      <c r="B361" s="3" t="s">
        <v>682</v>
      </c>
      <c r="C361" s="1" t="s">
        <v>443</v>
      </c>
    </row>
    <row r="362" customFormat="false" ht="15.75" hidden="false" customHeight="false" outlineLevel="0" collapsed="false">
      <c r="A362" s="3" t="s">
        <v>683</v>
      </c>
      <c r="B362" s="3" t="s">
        <v>684</v>
      </c>
      <c r="C362" s="1" t="s">
        <v>443</v>
      </c>
    </row>
    <row r="363" customFormat="false" ht="15.75" hidden="false" customHeight="false" outlineLevel="0" collapsed="false">
      <c r="A363" s="3" t="s">
        <v>685</v>
      </c>
      <c r="B363" s="3" t="s">
        <v>686</v>
      </c>
      <c r="C363" s="1" t="s">
        <v>443</v>
      </c>
    </row>
    <row r="364" customFormat="false" ht="15.75" hidden="false" customHeight="false" outlineLevel="0" collapsed="false">
      <c r="A364" s="3" t="s">
        <v>687</v>
      </c>
      <c r="B364" s="3" t="s">
        <v>688</v>
      </c>
      <c r="C364" s="1" t="s">
        <v>443</v>
      </c>
    </row>
    <row r="365" customFormat="false" ht="15.75" hidden="false" customHeight="false" outlineLevel="0" collapsed="false">
      <c r="A365" s="3" t="s">
        <v>689</v>
      </c>
      <c r="B365" s="3" t="s">
        <v>690</v>
      </c>
      <c r="C365" s="1" t="s">
        <v>443</v>
      </c>
    </row>
    <row r="366" customFormat="false" ht="15.75" hidden="false" customHeight="false" outlineLevel="0" collapsed="false">
      <c r="A366" s="3" t="s">
        <v>691</v>
      </c>
      <c r="B366" s="3" t="s">
        <v>692</v>
      </c>
      <c r="C366" s="1" t="s">
        <v>443</v>
      </c>
    </row>
    <row r="367" customFormat="false" ht="15.75" hidden="false" customHeight="false" outlineLevel="0" collapsed="false">
      <c r="A367" s="3" t="s">
        <v>693</v>
      </c>
      <c r="B367" s="3" t="s">
        <v>694</v>
      </c>
      <c r="C367" s="1" t="s">
        <v>443</v>
      </c>
    </row>
    <row r="368" customFormat="false" ht="15.75" hidden="false" customHeight="false" outlineLevel="0" collapsed="false">
      <c r="A368" s="3" t="s">
        <v>695</v>
      </c>
      <c r="B368" s="3" t="s">
        <v>696</v>
      </c>
      <c r="C368" s="1" t="s">
        <v>443</v>
      </c>
    </row>
    <row r="369" customFormat="false" ht="15.75" hidden="false" customHeight="false" outlineLevel="0" collapsed="false">
      <c r="A369" s="3" t="s">
        <v>697</v>
      </c>
      <c r="B369" s="3" t="s">
        <v>698</v>
      </c>
      <c r="C369" s="1" t="s">
        <v>443</v>
      </c>
    </row>
    <row r="370" customFormat="false" ht="15.75" hidden="false" customHeight="false" outlineLevel="0" collapsed="false">
      <c r="A370" s="3" t="s">
        <v>699</v>
      </c>
      <c r="B370" s="3" t="s">
        <v>700</v>
      </c>
      <c r="C370" s="1" t="s">
        <v>443</v>
      </c>
    </row>
    <row r="371" customFormat="false" ht="15.75" hidden="false" customHeight="false" outlineLevel="0" collapsed="false">
      <c r="A371" s="3" t="s">
        <v>701</v>
      </c>
      <c r="B371" s="3" t="s">
        <v>702</v>
      </c>
      <c r="C371" s="1" t="s">
        <v>443</v>
      </c>
    </row>
    <row r="372" customFormat="false" ht="15.75" hidden="false" customHeight="false" outlineLevel="0" collapsed="false">
      <c r="A372" s="3" t="s">
        <v>703</v>
      </c>
      <c r="B372" s="3" t="s">
        <v>704</v>
      </c>
      <c r="C372" s="1" t="s">
        <v>443</v>
      </c>
    </row>
    <row r="373" customFormat="false" ht="15.75" hidden="false" customHeight="false" outlineLevel="0" collapsed="false">
      <c r="A373" s="3" t="s">
        <v>705</v>
      </c>
      <c r="B373" s="3" t="s">
        <v>706</v>
      </c>
      <c r="C373" s="1" t="s">
        <v>443</v>
      </c>
    </row>
    <row r="374" customFormat="false" ht="15.75" hidden="false" customHeight="false" outlineLevel="0" collapsed="false">
      <c r="A374" s="3" t="s">
        <v>707</v>
      </c>
      <c r="B374" s="3" t="s">
        <v>708</v>
      </c>
      <c r="C374" s="1" t="s">
        <v>443</v>
      </c>
    </row>
    <row r="375" customFormat="false" ht="15.75" hidden="false" customHeight="false" outlineLevel="0" collapsed="false">
      <c r="A375" s="3" t="s">
        <v>709</v>
      </c>
      <c r="B375" s="3" t="s">
        <v>710</v>
      </c>
      <c r="C375" s="1" t="s">
        <v>443</v>
      </c>
    </row>
    <row r="376" customFormat="false" ht="15.75" hidden="false" customHeight="false" outlineLevel="0" collapsed="false">
      <c r="A376" s="3" t="s">
        <v>711</v>
      </c>
      <c r="B376" s="3" t="s">
        <v>712</v>
      </c>
      <c r="C376" s="1" t="s">
        <v>443</v>
      </c>
    </row>
    <row r="377" customFormat="false" ht="15.75" hidden="false" customHeight="false" outlineLevel="0" collapsed="false">
      <c r="A377" s="3" t="s">
        <v>713</v>
      </c>
      <c r="B377" s="3" t="s">
        <v>714</v>
      </c>
      <c r="C377" s="1" t="s">
        <v>443</v>
      </c>
    </row>
    <row r="378" customFormat="false" ht="15.75" hidden="false" customHeight="false" outlineLevel="0" collapsed="false">
      <c r="A378" s="3" t="s">
        <v>715</v>
      </c>
      <c r="B378" s="3" t="s">
        <v>716</v>
      </c>
      <c r="C378" s="1" t="s">
        <v>443</v>
      </c>
    </row>
    <row r="379" customFormat="false" ht="15.75" hidden="false" customHeight="false" outlineLevel="0" collapsed="false">
      <c r="A379" s="3" t="s">
        <v>717</v>
      </c>
      <c r="B379" s="3" t="s">
        <v>718</v>
      </c>
      <c r="C379" s="1" t="s">
        <v>443</v>
      </c>
    </row>
    <row r="380" customFormat="false" ht="15.75" hidden="false" customHeight="false" outlineLevel="0" collapsed="false">
      <c r="A380" s="3" t="s">
        <v>719</v>
      </c>
      <c r="B380" s="3" t="s">
        <v>720</v>
      </c>
      <c r="C380" s="1" t="s">
        <v>443</v>
      </c>
    </row>
    <row r="381" customFormat="false" ht="15.75" hidden="false" customHeight="false" outlineLevel="0" collapsed="false">
      <c r="A381" s="3" t="s">
        <v>721</v>
      </c>
      <c r="B381" s="3" t="s">
        <v>722</v>
      </c>
      <c r="C381" s="1" t="s">
        <v>443</v>
      </c>
    </row>
    <row r="382" customFormat="false" ht="15.75" hidden="false" customHeight="false" outlineLevel="0" collapsed="false">
      <c r="A382" s="3" t="s">
        <v>723</v>
      </c>
      <c r="B382" s="3" t="s">
        <v>724</v>
      </c>
      <c r="C382" s="1" t="s">
        <v>443</v>
      </c>
    </row>
    <row r="383" customFormat="false" ht="15.75" hidden="false" customHeight="false" outlineLevel="0" collapsed="false">
      <c r="A383" s="3" t="s">
        <v>725</v>
      </c>
      <c r="B383" s="3" t="s">
        <v>726</v>
      </c>
      <c r="C383" s="1" t="s">
        <v>443</v>
      </c>
    </row>
    <row r="384" customFormat="false" ht="15.75" hidden="false" customHeight="false" outlineLevel="0" collapsed="false">
      <c r="A384" s="3" t="s">
        <v>727</v>
      </c>
      <c r="B384" s="3" t="s">
        <v>728</v>
      </c>
      <c r="C384" s="1" t="s">
        <v>443</v>
      </c>
    </row>
    <row r="385" customFormat="false" ht="15.75" hidden="false" customHeight="false" outlineLevel="0" collapsed="false">
      <c r="A385" s="3" t="s">
        <v>729</v>
      </c>
      <c r="B385" s="3" t="s">
        <v>730</v>
      </c>
      <c r="C385" s="1" t="s">
        <v>443</v>
      </c>
    </row>
    <row r="386" customFormat="false" ht="15.75" hidden="false" customHeight="false" outlineLevel="0" collapsed="false">
      <c r="A386" s="3" t="s">
        <v>731</v>
      </c>
      <c r="B386" s="3" t="s">
        <v>732</v>
      </c>
      <c r="C386" s="1" t="s">
        <v>443</v>
      </c>
    </row>
    <row r="387" customFormat="false" ht="15.75" hidden="false" customHeight="false" outlineLevel="0" collapsed="false">
      <c r="A387" s="3" t="s">
        <v>733</v>
      </c>
      <c r="B387" s="3" t="s">
        <v>734</v>
      </c>
      <c r="C387" s="1" t="s">
        <v>443</v>
      </c>
    </row>
    <row r="388" customFormat="false" ht="15.75" hidden="false" customHeight="false" outlineLevel="0" collapsed="false">
      <c r="A388" s="3" t="s">
        <v>735</v>
      </c>
      <c r="B388" s="3" t="s">
        <v>736</v>
      </c>
      <c r="C388" s="1" t="s">
        <v>443</v>
      </c>
    </row>
    <row r="389" customFormat="false" ht="15.75" hidden="false" customHeight="false" outlineLevel="0" collapsed="false">
      <c r="A389" s="3" t="s">
        <v>737</v>
      </c>
      <c r="B389" s="3" t="s">
        <v>738</v>
      </c>
      <c r="C389" s="1" t="s">
        <v>443</v>
      </c>
    </row>
    <row r="390" customFormat="false" ht="15.75" hidden="false" customHeight="false" outlineLevel="0" collapsed="false">
      <c r="A390" s="3" t="s">
        <v>739</v>
      </c>
      <c r="B390" s="3" t="s">
        <v>740</v>
      </c>
      <c r="C390" s="1" t="s">
        <v>443</v>
      </c>
    </row>
    <row r="391" customFormat="false" ht="15.75" hidden="false" customHeight="false" outlineLevel="0" collapsed="false">
      <c r="A391" s="3" t="s">
        <v>741</v>
      </c>
      <c r="B391" s="3" t="s">
        <v>742</v>
      </c>
      <c r="C391" s="1" t="s">
        <v>443</v>
      </c>
    </row>
    <row r="392" customFormat="false" ht="15.75" hidden="false" customHeight="false" outlineLevel="0" collapsed="false">
      <c r="A392" s="3" t="s">
        <v>743</v>
      </c>
      <c r="B392" s="3" t="s">
        <v>744</v>
      </c>
      <c r="C392" s="1" t="s">
        <v>443</v>
      </c>
    </row>
    <row r="393" customFormat="false" ht="15.75" hidden="false" customHeight="false" outlineLevel="0" collapsed="false">
      <c r="A393" s="3" t="s">
        <v>745</v>
      </c>
      <c r="B393" s="3" t="s">
        <v>746</v>
      </c>
      <c r="C393" s="1" t="s">
        <v>443</v>
      </c>
    </row>
    <row r="394" customFormat="false" ht="15.75" hidden="false" customHeight="false" outlineLevel="0" collapsed="false">
      <c r="A394" s="3" t="s">
        <v>747</v>
      </c>
      <c r="B394" s="3" t="s">
        <v>748</v>
      </c>
      <c r="C394" s="1" t="s">
        <v>443</v>
      </c>
    </row>
    <row r="395" customFormat="false" ht="15.75" hidden="false" customHeight="false" outlineLevel="0" collapsed="false">
      <c r="A395" s="3" t="s">
        <v>749</v>
      </c>
      <c r="B395" s="3" t="s">
        <v>750</v>
      </c>
      <c r="C395" s="1" t="s">
        <v>443</v>
      </c>
    </row>
    <row r="396" customFormat="false" ht="15.75" hidden="false" customHeight="false" outlineLevel="0" collapsed="false">
      <c r="A396" s="3" t="s">
        <v>751</v>
      </c>
      <c r="B396" s="3" t="s">
        <v>752</v>
      </c>
      <c r="C396" s="1" t="s">
        <v>443</v>
      </c>
    </row>
    <row r="397" customFormat="false" ht="15.75" hidden="false" customHeight="false" outlineLevel="0" collapsed="false">
      <c r="A397" s="3" t="s">
        <v>753</v>
      </c>
      <c r="B397" s="3" t="s">
        <v>754</v>
      </c>
      <c r="C397" s="1" t="s">
        <v>443</v>
      </c>
    </row>
    <row r="398" customFormat="false" ht="15.75" hidden="false" customHeight="false" outlineLevel="0" collapsed="false">
      <c r="A398" s="3" t="s">
        <v>755</v>
      </c>
      <c r="B398" s="3" t="s">
        <v>756</v>
      </c>
      <c r="C398" s="1" t="s">
        <v>443</v>
      </c>
    </row>
    <row r="399" customFormat="false" ht="15.75" hidden="false" customHeight="false" outlineLevel="0" collapsed="false">
      <c r="A399" s="3" t="s">
        <v>757</v>
      </c>
      <c r="B399" s="3" t="s">
        <v>758</v>
      </c>
      <c r="C399" s="1" t="s">
        <v>443</v>
      </c>
    </row>
    <row r="400" customFormat="false" ht="15.75" hidden="false" customHeight="false" outlineLevel="0" collapsed="false">
      <c r="A400" s="3" t="s">
        <v>759</v>
      </c>
      <c r="B400" s="3" t="s">
        <v>760</v>
      </c>
      <c r="C400" s="1" t="s">
        <v>443</v>
      </c>
    </row>
    <row r="401" customFormat="false" ht="15.75" hidden="false" customHeight="false" outlineLevel="0" collapsed="false">
      <c r="A401" s="3" t="s">
        <v>761</v>
      </c>
      <c r="B401" s="3" t="s">
        <v>762</v>
      </c>
      <c r="C401" s="1" t="s">
        <v>443</v>
      </c>
    </row>
    <row r="402" customFormat="false" ht="15.75" hidden="false" customHeight="false" outlineLevel="0" collapsed="false">
      <c r="A402" s="3" t="s">
        <v>763</v>
      </c>
      <c r="B402" s="3" t="s">
        <v>764</v>
      </c>
      <c r="C402" s="1" t="s">
        <v>443</v>
      </c>
    </row>
    <row r="403" customFormat="false" ht="15.75" hidden="false" customHeight="false" outlineLevel="0" collapsed="false">
      <c r="A403" s="3" t="s">
        <v>765</v>
      </c>
      <c r="B403" s="3" t="s">
        <v>766</v>
      </c>
      <c r="C403" s="1" t="s">
        <v>443</v>
      </c>
    </row>
    <row r="404" customFormat="false" ht="15.75" hidden="false" customHeight="false" outlineLevel="0" collapsed="false">
      <c r="A404" s="3" t="s">
        <v>767</v>
      </c>
      <c r="B404" s="3" t="s">
        <v>768</v>
      </c>
      <c r="C404" s="1" t="s">
        <v>443</v>
      </c>
    </row>
    <row r="405" customFormat="false" ht="15.75" hidden="false" customHeight="false" outlineLevel="0" collapsed="false">
      <c r="A405" s="3" t="s">
        <v>769</v>
      </c>
      <c r="B405" s="3" t="s">
        <v>770</v>
      </c>
      <c r="C405" s="1" t="s">
        <v>443</v>
      </c>
    </row>
    <row r="406" customFormat="false" ht="15.75" hidden="false" customHeight="false" outlineLevel="0" collapsed="false">
      <c r="A406" s="3" t="s">
        <v>771</v>
      </c>
      <c r="B406" s="3" t="s">
        <v>772</v>
      </c>
      <c r="C406" s="1" t="s">
        <v>443</v>
      </c>
    </row>
    <row r="407" customFormat="false" ht="15.75" hidden="false" customHeight="false" outlineLevel="0" collapsed="false">
      <c r="A407" s="3" t="s">
        <v>773</v>
      </c>
      <c r="B407" s="3" t="s">
        <v>774</v>
      </c>
      <c r="C407" s="1" t="s">
        <v>443</v>
      </c>
    </row>
    <row r="408" customFormat="false" ht="15.75" hidden="false" customHeight="false" outlineLevel="0" collapsed="false">
      <c r="A408" s="3" t="s">
        <v>775</v>
      </c>
      <c r="B408" s="3" t="s">
        <v>776</v>
      </c>
      <c r="C408" s="1" t="s">
        <v>443</v>
      </c>
    </row>
    <row r="409" customFormat="false" ht="15.75" hidden="false" customHeight="false" outlineLevel="0" collapsed="false">
      <c r="A409" s="3" t="s">
        <v>777</v>
      </c>
      <c r="B409" s="3" t="s">
        <v>778</v>
      </c>
      <c r="C409" s="1" t="s">
        <v>443</v>
      </c>
    </row>
    <row r="410" customFormat="false" ht="15.75" hidden="false" customHeight="false" outlineLevel="0" collapsed="false">
      <c r="A410" s="3" t="s">
        <v>779</v>
      </c>
      <c r="B410" s="3" t="s">
        <v>780</v>
      </c>
      <c r="C410" s="1" t="s">
        <v>443</v>
      </c>
    </row>
    <row r="411" customFormat="false" ht="15.75" hidden="false" customHeight="false" outlineLevel="0" collapsed="false">
      <c r="A411" s="3" t="s">
        <v>781</v>
      </c>
      <c r="B411" s="3" t="s">
        <v>782</v>
      </c>
      <c r="C411" s="1" t="s">
        <v>443</v>
      </c>
    </row>
    <row r="412" customFormat="false" ht="15.75" hidden="false" customHeight="false" outlineLevel="0" collapsed="false">
      <c r="A412" s="3" t="s">
        <v>783</v>
      </c>
      <c r="B412" s="3" t="s">
        <v>784</v>
      </c>
      <c r="C412" s="1" t="s">
        <v>443</v>
      </c>
    </row>
    <row r="413" customFormat="false" ht="15.75" hidden="false" customHeight="false" outlineLevel="0" collapsed="false">
      <c r="A413" s="3" t="s">
        <v>785</v>
      </c>
      <c r="B413" s="3" t="s">
        <v>786</v>
      </c>
      <c r="C413" s="1" t="s">
        <v>443</v>
      </c>
    </row>
    <row r="414" customFormat="false" ht="15.75" hidden="false" customHeight="false" outlineLevel="0" collapsed="false">
      <c r="A414" s="3" t="s">
        <v>787</v>
      </c>
      <c r="B414" s="3" t="s">
        <v>788</v>
      </c>
      <c r="C414" s="1" t="s">
        <v>443</v>
      </c>
    </row>
    <row r="415" customFormat="false" ht="15.75" hidden="false" customHeight="false" outlineLevel="0" collapsed="false">
      <c r="A415" s="3" t="s">
        <v>789</v>
      </c>
      <c r="B415" s="3" t="s">
        <v>790</v>
      </c>
      <c r="C415" s="1" t="s">
        <v>443</v>
      </c>
    </row>
    <row r="416" customFormat="false" ht="15.75" hidden="false" customHeight="false" outlineLevel="0" collapsed="false">
      <c r="A416" s="3" t="s">
        <v>791</v>
      </c>
      <c r="B416" s="3" t="s">
        <v>792</v>
      </c>
      <c r="C416" s="1" t="s">
        <v>443</v>
      </c>
    </row>
    <row r="417" customFormat="false" ht="15.75" hidden="false" customHeight="false" outlineLevel="0" collapsed="false">
      <c r="A417" s="3" t="s">
        <v>793</v>
      </c>
      <c r="B417" s="3" t="s">
        <v>794</v>
      </c>
      <c r="C417" s="1" t="s">
        <v>443</v>
      </c>
    </row>
    <row r="418" customFormat="false" ht="15.75" hidden="false" customHeight="false" outlineLevel="0" collapsed="false">
      <c r="A418" s="3" t="s">
        <v>795</v>
      </c>
      <c r="B418" s="3" t="s">
        <v>796</v>
      </c>
      <c r="C418" s="1" t="s">
        <v>443</v>
      </c>
    </row>
    <row r="419" customFormat="false" ht="15.75" hidden="false" customHeight="false" outlineLevel="0" collapsed="false">
      <c r="A419" s="3" t="s">
        <v>797</v>
      </c>
      <c r="B419" s="3" t="s">
        <v>798</v>
      </c>
      <c r="C419" s="1" t="s">
        <v>443</v>
      </c>
    </row>
    <row r="420" customFormat="false" ht="15.75" hidden="false" customHeight="false" outlineLevel="0" collapsed="false">
      <c r="A420" s="3" t="s">
        <v>799</v>
      </c>
      <c r="B420" s="3" t="s">
        <v>800</v>
      </c>
      <c r="C420" s="1" t="s">
        <v>443</v>
      </c>
    </row>
    <row r="421" customFormat="false" ht="15.75" hidden="false" customHeight="false" outlineLevel="0" collapsed="false">
      <c r="A421" s="3" t="s">
        <v>801</v>
      </c>
      <c r="B421" s="3" t="s">
        <v>802</v>
      </c>
      <c r="C421" s="1" t="s">
        <v>443</v>
      </c>
    </row>
    <row r="422" customFormat="false" ht="15.75" hidden="false" customHeight="false" outlineLevel="0" collapsed="false">
      <c r="A422" s="3" t="s">
        <v>803</v>
      </c>
      <c r="B422" s="3" t="s">
        <v>804</v>
      </c>
      <c r="C422" s="1" t="s">
        <v>443</v>
      </c>
    </row>
    <row r="423" customFormat="false" ht="15.75" hidden="false" customHeight="false" outlineLevel="0" collapsed="false">
      <c r="A423" s="3" t="s">
        <v>805</v>
      </c>
      <c r="B423" s="3" t="s">
        <v>806</v>
      </c>
      <c r="C423" s="1" t="s">
        <v>443</v>
      </c>
    </row>
    <row r="424" customFormat="false" ht="15.75" hidden="false" customHeight="false" outlineLevel="0" collapsed="false">
      <c r="A424" s="3" t="s">
        <v>807</v>
      </c>
      <c r="B424" s="3" t="s">
        <v>808</v>
      </c>
      <c r="C424" s="1" t="s">
        <v>443</v>
      </c>
    </row>
    <row r="425" customFormat="false" ht="15.75" hidden="false" customHeight="false" outlineLevel="0" collapsed="false">
      <c r="A425" s="3" t="s">
        <v>809</v>
      </c>
      <c r="B425" s="3" t="s">
        <v>810</v>
      </c>
      <c r="C425" s="1" t="s">
        <v>443</v>
      </c>
    </row>
    <row r="426" customFormat="false" ht="15.75" hidden="false" customHeight="false" outlineLevel="0" collapsed="false">
      <c r="A426" s="3" t="s">
        <v>811</v>
      </c>
      <c r="B426" s="3" t="s">
        <v>812</v>
      </c>
      <c r="C426" s="1" t="s">
        <v>443</v>
      </c>
    </row>
    <row r="427" customFormat="false" ht="15.75" hidden="false" customHeight="false" outlineLevel="0" collapsed="false">
      <c r="A427" s="3" t="s">
        <v>813</v>
      </c>
      <c r="B427" s="3" t="s">
        <v>814</v>
      </c>
      <c r="C427" s="1" t="s">
        <v>443</v>
      </c>
    </row>
    <row r="428" customFormat="false" ht="15.75" hidden="false" customHeight="false" outlineLevel="0" collapsed="false">
      <c r="A428" s="3" t="s">
        <v>815</v>
      </c>
      <c r="B428" s="3" t="s">
        <v>816</v>
      </c>
      <c r="C428" s="1" t="s">
        <v>443</v>
      </c>
    </row>
    <row r="429" customFormat="false" ht="15.75" hidden="false" customHeight="false" outlineLevel="0" collapsed="false">
      <c r="A429" s="3" t="s">
        <v>817</v>
      </c>
      <c r="B429" s="3" t="s">
        <v>818</v>
      </c>
      <c r="C429" s="1" t="s">
        <v>443</v>
      </c>
    </row>
    <row r="430" customFormat="false" ht="15.75" hidden="false" customHeight="false" outlineLevel="0" collapsed="false">
      <c r="A430" s="3" t="s">
        <v>819</v>
      </c>
      <c r="B430" s="3" t="s">
        <v>820</v>
      </c>
      <c r="C430" s="1" t="s">
        <v>443</v>
      </c>
    </row>
    <row r="431" customFormat="false" ht="15.75" hidden="false" customHeight="false" outlineLevel="0" collapsed="false">
      <c r="A431" s="3" t="s">
        <v>821</v>
      </c>
      <c r="B431" s="3" t="s">
        <v>822</v>
      </c>
      <c r="C431" s="1" t="s">
        <v>443</v>
      </c>
    </row>
    <row r="432" customFormat="false" ht="15.75" hidden="false" customHeight="false" outlineLevel="0" collapsed="false">
      <c r="A432" s="3" t="s">
        <v>823</v>
      </c>
      <c r="B432" s="3" t="s">
        <v>824</v>
      </c>
      <c r="C432" s="1" t="s">
        <v>443</v>
      </c>
    </row>
    <row r="433" customFormat="false" ht="15.75" hidden="false" customHeight="false" outlineLevel="0" collapsed="false">
      <c r="A433" s="3" t="s">
        <v>825</v>
      </c>
      <c r="B433" s="3" t="s">
        <v>826</v>
      </c>
      <c r="C433" s="1" t="s">
        <v>443</v>
      </c>
    </row>
    <row r="434" customFormat="false" ht="15.75" hidden="false" customHeight="false" outlineLevel="0" collapsed="false">
      <c r="A434" s="3" t="s">
        <v>827</v>
      </c>
      <c r="B434" s="3" t="s">
        <v>828</v>
      </c>
      <c r="C434" s="1" t="s">
        <v>443</v>
      </c>
    </row>
    <row r="435" customFormat="false" ht="15.75" hidden="false" customHeight="false" outlineLevel="0" collapsed="false">
      <c r="A435" s="3" t="s">
        <v>829</v>
      </c>
      <c r="B435" s="3" t="s">
        <v>830</v>
      </c>
      <c r="C435" s="1" t="s">
        <v>443</v>
      </c>
    </row>
    <row r="436" customFormat="false" ht="15.75" hidden="false" customHeight="false" outlineLevel="0" collapsed="false">
      <c r="A436" s="3" t="s">
        <v>831</v>
      </c>
      <c r="B436" s="3" t="s">
        <v>832</v>
      </c>
      <c r="C436" s="1" t="s">
        <v>443</v>
      </c>
    </row>
    <row r="437" customFormat="false" ht="15.75" hidden="false" customHeight="false" outlineLevel="0" collapsed="false">
      <c r="A437" s="3" t="s">
        <v>833</v>
      </c>
      <c r="B437" s="3" t="s">
        <v>834</v>
      </c>
      <c r="C437" s="1" t="s">
        <v>443</v>
      </c>
    </row>
    <row r="438" customFormat="false" ht="15.75" hidden="false" customHeight="false" outlineLevel="0" collapsed="false">
      <c r="A438" s="3" t="s">
        <v>835</v>
      </c>
      <c r="B438" s="3" t="s">
        <v>836</v>
      </c>
      <c r="C438" s="1" t="s">
        <v>443</v>
      </c>
    </row>
    <row r="439" customFormat="false" ht="15.75" hidden="false" customHeight="false" outlineLevel="0" collapsed="false">
      <c r="A439" s="3" t="s">
        <v>837</v>
      </c>
      <c r="B439" s="3" t="s">
        <v>838</v>
      </c>
      <c r="C439" s="1" t="s">
        <v>443</v>
      </c>
    </row>
    <row r="440" customFormat="false" ht="15.75" hidden="false" customHeight="false" outlineLevel="0" collapsed="false">
      <c r="A440" s="3" t="s">
        <v>839</v>
      </c>
      <c r="B440" s="3" t="s">
        <v>840</v>
      </c>
      <c r="C440" s="1" t="s">
        <v>443</v>
      </c>
    </row>
    <row r="441" customFormat="false" ht="15.75" hidden="false" customHeight="false" outlineLevel="0" collapsed="false">
      <c r="A441" s="3" t="s">
        <v>841</v>
      </c>
      <c r="B441" s="3" t="s">
        <v>842</v>
      </c>
      <c r="C441" s="1" t="s">
        <v>443</v>
      </c>
    </row>
    <row r="442" customFormat="false" ht="15.75" hidden="false" customHeight="false" outlineLevel="0" collapsed="false">
      <c r="A442" s="3" t="s">
        <v>843</v>
      </c>
      <c r="B442" s="3" t="s">
        <v>844</v>
      </c>
      <c r="C442" s="1" t="s">
        <v>443</v>
      </c>
    </row>
    <row r="443" customFormat="false" ht="15.75" hidden="false" customHeight="false" outlineLevel="0" collapsed="false">
      <c r="A443" s="3" t="s">
        <v>845</v>
      </c>
      <c r="B443" s="3" t="s">
        <v>846</v>
      </c>
      <c r="C443" s="1" t="s">
        <v>443</v>
      </c>
    </row>
    <row r="444" customFormat="false" ht="15.75" hidden="false" customHeight="false" outlineLevel="0" collapsed="false">
      <c r="A444" s="3" t="s">
        <v>847</v>
      </c>
      <c r="B444" s="3" t="s">
        <v>848</v>
      </c>
      <c r="C444" s="1" t="s">
        <v>443</v>
      </c>
    </row>
    <row r="445" customFormat="false" ht="15.75" hidden="false" customHeight="false" outlineLevel="0" collapsed="false">
      <c r="A445" s="3" t="s">
        <v>849</v>
      </c>
      <c r="B445" s="3" t="s">
        <v>850</v>
      </c>
      <c r="C445" s="1" t="s">
        <v>443</v>
      </c>
    </row>
    <row r="446" customFormat="false" ht="15.75" hidden="false" customHeight="false" outlineLevel="0" collapsed="false">
      <c r="A446" s="3" t="s">
        <v>851</v>
      </c>
      <c r="B446" s="3" t="s">
        <v>852</v>
      </c>
      <c r="C446" s="1" t="s">
        <v>443</v>
      </c>
    </row>
    <row r="447" customFormat="false" ht="15.75" hidden="false" customHeight="false" outlineLevel="0" collapsed="false">
      <c r="A447" s="3" t="s">
        <v>853</v>
      </c>
      <c r="B447" s="3" t="s">
        <v>854</v>
      </c>
      <c r="C447" s="1" t="s">
        <v>443</v>
      </c>
    </row>
    <row r="448" customFormat="false" ht="15.75" hidden="false" customHeight="false" outlineLevel="0" collapsed="false">
      <c r="A448" s="3" t="s">
        <v>855</v>
      </c>
      <c r="B448" s="3" t="s">
        <v>856</v>
      </c>
      <c r="C448" s="1" t="s">
        <v>443</v>
      </c>
    </row>
    <row r="449" customFormat="false" ht="15.75" hidden="false" customHeight="false" outlineLevel="0" collapsed="false">
      <c r="A449" s="3" t="s">
        <v>857</v>
      </c>
      <c r="B449" s="3" t="s">
        <v>858</v>
      </c>
      <c r="C449" s="1" t="s">
        <v>443</v>
      </c>
    </row>
    <row r="450" customFormat="false" ht="15.75" hidden="false" customHeight="false" outlineLevel="0" collapsed="false">
      <c r="A450" s="3" t="s">
        <v>859</v>
      </c>
      <c r="B450" s="3" t="s">
        <v>860</v>
      </c>
      <c r="C450" s="1" t="s">
        <v>443</v>
      </c>
    </row>
    <row r="451" customFormat="false" ht="15.75" hidden="false" customHeight="false" outlineLevel="0" collapsed="false">
      <c r="A451" s="3" t="s">
        <v>861</v>
      </c>
      <c r="B451" s="3" t="s">
        <v>862</v>
      </c>
      <c r="C451" s="1" t="s">
        <v>443</v>
      </c>
    </row>
    <row r="452" customFormat="false" ht="15.75" hidden="false" customHeight="false" outlineLevel="0" collapsed="false">
      <c r="A452" s="3" t="s">
        <v>863</v>
      </c>
      <c r="B452" s="3" t="s">
        <v>864</v>
      </c>
      <c r="C452" s="1" t="s">
        <v>443</v>
      </c>
    </row>
    <row r="453" customFormat="false" ht="15.75" hidden="false" customHeight="false" outlineLevel="0" collapsed="false">
      <c r="A453" s="3" t="s">
        <v>865</v>
      </c>
      <c r="B453" s="3" t="s">
        <v>866</v>
      </c>
      <c r="C453" s="1" t="s">
        <v>443</v>
      </c>
    </row>
    <row r="454" customFormat="false" ht="15.75" hidden="false" customHeight="false" outlineLevel="0" collapsed="false">
      <c r="A454" s="3" t="s">
        <v>867</v>
      </c>
      <c r="B454" s="3" t="s">
        <v>868</v>
      </c>
      <c r="C454" s="1" t="s">
        <v>443</v>
      </c>
    </row>
    <row r="455" customFormat="false" ht="15.75" hidden="false" customHeight="false" outlineLevel="0" collapsed="false">
      <c r="A455" s="3" t="s">
        <v>869</v>
      </c>
      <c r="B455" s="3" t="s">
        <v>870</v>
      </c>
      <c r="C455" s="1" t="s">
        <v>443</v>
      </c>
    </row>
    <row r="456" customFormat="false" ht="15.75" hidden="false" customHeight="false" outlineLevel="0" collapsed="false">
      <c r="A456" s="3" t="s">
        <v>871</v>
      </c>
      <c r="B456" s="3" t="s">
        <v>872</v>
      </c>
      <c r="C456" s="1" t="s">
        <v>443</v>
      </c>
    </row>
    <row r="457" customFormat="false" ht="15.75" hidden="false" customHeight="false" outlineLevel="0" collapsed="false">
      <c r="A457" s="3" t="s">
        <v>873</v>
      </c>
      <c r="B457" s="3" t="s">
        <v>874</v>
      </c>
      <c r="C457" s="1" t="s">
        <v>443</v>
      </c>
    </row>
    <row r="458" customFormat="false" ht="15.75" hidden="false" customHeight="false" outlineLevel="0" collapsed="false">
      <c r="A458" s="3" t="s">
        <v>875</v>
      </c>
      <c r="B458" s="3" t="s">
        <v>876</v>
      </c>
      <c r="C458" s="1" t="s">
        <v>443</v>
      </c>
    </row>
    <row r="459" customFormat="false" ht="15.75" hidden="false" customHeight="false" outlineLevel="0" collapsed="false">
      <c r="A459" s="3" t="s">
        <v>877</v>
      </c>
      <c r="B459" s="3" t="s">
        <v>878</v>
      </c>
      <c r="C459" s="1" t="s">
        <v>443</v>
      </c>
    </row>
    <row r="460" customFormat="false" ht="15.75" hidden="false" customHeight="false" outlineLevel="0" collapsed="false">
      <c r="A460" s="3" t="s">
        <v>879</v>
      </c>
      <c r="B460" s="3" t="s">
        <v>880</v>
      </c>
      <c r="C460" s="1" t="s">
        <v>443</v>
      </c>
    </row>
    <row r="461" customFormat="false" ht="15.75" hidden="false" customHeight="false" outlineLevel="0" collapsed="false">
      <c r="A461" s="3" t="s">
        <v>881</v>
      </c>
      <c r="B461" s="3" t="s">
        <v>882</v>
      </c>
      <c r="C461" s="1" t="s">
        <v>443</v>
      </c>
    </row>
    <row r="462" customFormat="false" ht="15.75" hidden="false" customHeight="false" outlineLevel="0" collapsed="false">
      <c r="A462" s="3" t="s">
        <v>883</v>
      </c>
      <c r="B462" s="3" t="s">
        <v>884</v>
      </c>
      <c r="C462" s="1" t="s">
        <v>443</v>
      </c>
    </row>
    <row r="463" customFormat="false" ht="15.75" hidden="false" customHeight="false" outlineLevel="0" collapsed="false">
      <c r="A463" s="3" t="s">
        <v>885</v>
      </c>
      <c r="B463" s="3" t="s">
        <v>886</v>
      </c>
      <c r="C463" s="1" t="s">
        <v>443</v>
      </c>
    </row>
    <row r="464" customFormat="false" ht="15.75" hidden="false" customHeight="false" outlineLevel="0" collapsed="false">
      <c r="A464" s="3" t="s">
        <v>887</v>
      </c>
      <c r="B464" s="3" t="s">
        <v>888</v>
      </c>
      <c r="C464" s="1" t="s">
        <v>443</v>
      </c>
    </row>
    <row r="465" customFormat="false" ht="15.75" hidden="false" customHeight="false" outlineLevel="0" collapsed="false">
      <c r="A465" s="3" t="s">
        <v>889</v>
      </c>
      <c r="B465" s="3" t="s">
        <v>890</v>
      </c>
      <c r="C465" s="1" t="s">
        <v>443</v>
      </c>
    </row>
    <row r="466" customFormat="false" ht="15.75" hidden="false" customHeight="false" outlineLevel="0" collapsed="false">
      <c r="A466" s="3" t="s">
        <v>891</v>
      </c>
      <c r="B466" s="3" t="s">
        <v>892</v>
      </c>
      <c r="C466" s="1" t="s">
        <v>443</v>
      </c>
    </row>
    <row r="467" customFormat="false" ht="15.75" hidden="false" customHeight="false" outlineLevel="0" collapsed="false">
      <c r="A467" s="3" t="s">
        <v>893</v>
      </c>
      <c r="B467" s="3" t="s">
        <v>894</v>
      </c>
      <c r="C467" s="1" t="s">
        <v>443</v>
      </c>
    </row>
    <row r="468" customFormat="false" ht="15.75" hidden="false" customHeight="false" outlineLevel="0" collapsed="false">
      <c r="A468" s="3" t="s">
        <v>895</v>
      </c>
      <c r="B468" s="3" t="s">
        <v>896</v>
      </c>
      <c r="C468" s="1" t="s">
        <v>443</v>
      </c>
    </row>
    <row r="469" customFormat="false" ht="15.75" hidden="false" customHeight="false" outlineLevel="0" collapsed="false">
      <c r="A469" s="3" t="s">
        <v>897</v>
      </c>
      <c r="B469" s="3" t="s">
        <v>898</v>
      </c>
      <c r="C469" s="1" t="s">
        <v>443</v>
      </c>
    </row>
    <row r="470" customFormat="false" ht="15.75" hidden="false" customHeight="false" outlineLevel="0" collapsed="false">
      <c r="A470" s="3" t="s">
        <v>899</v>
      </c>
      <c r="B470" s="3" t="s">
        <v>900</v>
      </c>
      <c r="C470" s="1" t="s">
        <v>443</v>
      </c>
    </row>
    <row r="471" customFormat="false" ht="15.75" hidden="false" customHeight="false" outlineLevel="0" collapsed="false">
      <c r="A471" s="3" t="s">
        <v>901</v>
      </c>
      <c r="B471" s="3" t="s">
        <v>902</v>
      </c>
      <c r="C471" s="1" t="s">
        <v>443</v>
      </c>
    </row>
    <row r="472" customFormat="false" ht="15.75" hidden="false" customHeight="false" outlineLevel="0" collapsed="false">
      <c r="A472" s="3" t="s">
        <v>903</v>
      </c>
      <c r="B472" s="3" t="s">
        <v>904</v>
      </c>
      <c r="C472" s="1" t="s">
        <v>443</v>
      </c>
    </row>
    <row r="473" customFormat="false" ht="15.75" hidden="false" customHeight="false" outlineLevel="0" collapsed="false">
      <c r="A473" s="3" t="s">
        <v>905</v>
      </c>
      <c r="B473" s="3" t="s">
        <v>906</v>
      </c>
      <c r="C473" s="1" t="s">
        <v>443</v>
      </c>
    </row>
    <row r="474" customFormat="false" ht="15.75" hidden="false" customHeight="false" outlineLevel="0" collapsed="false">
      <c r="A474" s="3" t="s">
        <v>907</v>
      </c>
      <c r="B474" s="3" t="s">
        <v>908</v>
      </c>
      <c r="C474" s="1" t="s">
        <v>443</v>
      </c>
    </row>
    <row r="475" customFormat="false" ht="15.75" hidden="false" customHeight="false" outlineLevel="0" collapsed="false">
      <c r="A475" s="3" t="s">
        <v>909</v>
      </c>
      <c r="B475" s="3" t="s">
        <v>910</v>
      </c>
      <c r="C475" s="1" t="s">
        <v>443</v>
      </c>
    </row>
    <row r="476" customFormat="false" ht="15.75" hidden="false" customHeight="false" outlineLevel="0" collapsed="false">
      <c r="A476" s="3" t="s">
        <v>911</v>
      </c>
      <c r="B476" s="3" t="s">
        <v>912</v>
      </c>
      <c r="C476" s="1" t="s">
        <v>443</v>
      </c>
    </row>
    <row r="477" customFormat="false" ht="15.75" hidden="false" customHeight="false" outlineLevel="0" collapsed="false">
      <c r="A477" s="3" t="s">
        <v>913</v>
      </c>
      <c r="B477" s="3" t="s">
        <v>914</v>
      </c>
      <c r="C477" s="1" t="s">
        <v>443</v>
      </c>
    </row>
    <row r="478" customFormat="false" ht="15.75" hidden="false" customHeight="false" outlineLevel="0" collapsed="false">
      <c r="A478" s="3" t="s">
        <v>915</v>
      </c>
      <c r="B478" s="3" t="s">
        <v>916</v>
      </c>
      <c r="C478" s="1" t="s">
        <v>443</v>
      </c>
    </row>
    <row r="479" customFormat="false" ht="15.75" hidden="false" customHeight="false" outlineLevel="0" collapsed="false">
      <c r="A479" s="3" t="s">
        <v>917</v>
      </c>
      <c r="B479" s="3" t="s">
        <v>918</v>
      </c>
      <c r="C479" s="1" t="s">
        <v>443</v>
      </c>
    </row>
    <row r="480" customFormat="false" ht="15.75" hidden="false" customHeight="false" outlineLevel="0" collapsed="false">
      <c r="A480" s="3" t="s">
        <v>919</v>
      </c>
      <c r="B480" s="3" t="s">
        <v>920</v>
      </c>
      <c r="C480" s="1" t="s">
        <v>443</v>
      </c>
    </row>
    <row r="481" customFormat="false" ht="15.75" hidden="false" customHeight="false" outlineLevel="0" collapsed="false">
      <c r="A481" s="3" t="s">
        <v>921</v>
      </c>
      <c r="B481" s="3" t="s">
        <v>922</v>
      </c>
      <c r="C481" s="1" t="s">
        <v>443</v>
      </c>
    </row>
    <row r="482" customFormat="false" ht="15.75" hidden="false" customHeight="false" outlineLevel="0" collapsed="false">
      <c r="A482" s="3" t="s">
        <v>923</v>
      </c>
      <c r="B482" s="3" t="s">
        <v>924</v>
      </c>
      <c r="C482" s="1" t="s">
        <v>443</v>
      </c>
    </row>
    <row r="483" customFormat="false" ht="15.75" hidden="false" customHeight="false" outlineLevel="0" collapsed="false">
      <c r="A483" s="3" t="s">
        <v>925</v>
      </c>
      <c r="B483" s="3" t="s">
        <v>926</v>
      </c>
      <c r="C483" s="1" t="s">
        <v>443</v>
      </c>
    </row>
    <row r="484" customFormat="false" ht="15.75" hidden="false" customHeight="false" outlineLevel="0" collapsed="false">
      <c r="A484" s="3" t="s">
        <v>927</v>
      </c>
      <c r="B484" s="3" t="s">
        <v>928</v>
      </c>
      <c r="C484" s="1" t="s">
        <v>443</v>
      </c>
    </row>
    <row r="485" customFormat="false" ht="15.75" hidden="false" customHeight="false" outlineLevel="0" collapsed="false">
      <c r="A485" s="3" t="s">
        <v>929</v>
      </c>
      <c r="B485" s="3" t="s">
        <v>930</v>
      </c>
      <c r="C485" s="1" t="s">
        <v>443</v>
      </c>
    </row>
    <row r="486" customFormat="false" ht="15.75" hidden="false" customHeight="false" outlineLevel="0" collapsed="false">
      <c r="A486" s="3" t="s">
        <v>931</v>
      </c>
      <c r="B486" s="3" t="s">
        <v>932</v>
      </c>
      <c r="C486" s="1" t="s">
        <v>443</v>
      </c>
    </row>
    <row r="487" customFormat="false" ht="15.75" hidden="false" customHeight="false" outlineLevel="0" collapsed="false">
      <c r="A487" s="3" t="s">
        <v>933</v>
      </c>
      <c r="B487" s="3" t="s">
        <v>934</v>
      </c>
      <c r="C487" s="1" t="s">
        <v>443</v>
      </c>
    </row>
    <row r="488" customFormat="false" ht="15.75" hidden="false" customHeight="false" outlineLevel="0" collapsed="false">
      <c r="A488" s="3" t="s">
        <v>935</v>
      </c>
      <c r="B488" s="3" t="s">
        <v>936</v>
      </c>
      <c r="C488" s="1" t="s">
        <v>443</v>
      </c>
    </row>
    <row r="489" customFormat="false" ht="15.75" hidden="false" customHeight="false" outlineLevel="0" collapsed="false">
      <c r="A489" s="3" t="s">
        <v>937</v>
      </c>
      <c r="B489" s="3" t="s">
        <v>938</v>
      </c>
      <c r="C489" s="1" t="s">
        <v>443</v>
      </c>
    </row>
    <row r="490" customFormat="false" ht="15.75" hidden="false" customHeight="false" outlineLevel="0" collapsed="false">
      <c r="A490" s="3" t="s">
        <v>939</v>
      </c>
      <c r="B490" s="3" t="s">
        <v>940</v>
      </c>
      <c r="C490" s="1" t="s">
        <v>443</v>
      </c>
    </row>
    <row r="491" customFormat="false" ht="15.75" hidden="false" customHeight="false" outlineLevel="0" collapsed="false">
      <c r="A491" s="3" t="s">
        <v>941</v>
      </c>
      <c r="B491" s="3" t="s">
        <v>942</v>
      </c>
      <c r="C491" s="1" t="s">
        <v>443</v>
      </c>
    </row>
    <row r="492" customFormat="false" ht="15.75" hidden="false" customHeight="false" outlineLevel="0" collapsed="false">
      <c r="A492" s="3" t="s">
        <v>943</v>
      </c>
      <c r="B492" s="3" t="s">
        <v>944</v>
      </c>
      <c r="C492" s="1" t="s">
        <v>443</v>
      </c>
    </row>
    <row r="493" customFormat="false" ht="15.75" hidden="false" customHeight="false" outlineLevel="0" collapsed="false">
      <c r="A493" s="3" t="s">
        <v>945</v>
      </c>
      <c r="B493" s="3" t="s">
        <v>946</v>
      </c>
      <c r="C493" s="1" t="s">
        <v>443</v>
      </c>
    </row>
    <row r="494" customFormat="false" ht="15.75" hidden="false" customHeight="false" outlineLevel="0" collapsed="false">
      <c r="A494" s="3" t="s">
        <v>947</v>
      </c>
      <c r="B494" s="3" t="s">
        <v>948</v>
      </c>
      <c r="C494" s="1" t="s">
        <v>443</v>
      </c>
    </row>
    <row r="495" customFormat="false" ht="15.75" hidden="false" customHeight="false" outlineLevel="0" collapsed="false">
      <c r="A495" s="3" t="s">
        <v>949</v>
      </c>
      <c r="B495" s="3" t="s">
        <v>950</v>
      </c>
      <c r="C495" s="1" t="s">
        <v>443</v>
      </c>
    </row>
    <row r="496" customFormat="false" ht="15.75" hidden="false" customHeight="false" outlineLevel="0" collapsed="false">
      <c r="A496" s="3" t="s">
        <v>951</v>
      </c>
      <c r="B496" s="3" t="s">
        <v>952</v>
      </c>
      <c r="C496" s="1" t="s">
        <v>443</v>
      </c>
    </row>
    <row r="497" customFormat="false" ht="15.75" hidden="false" customHeight="false" outlineLevel="0" collapsed="false">
      <c r="A497" s="3" t="s">
        <v>953</v>
      </c>
      <c r="B497" s="3" t="s">
        <v>954</v>
      </c>
      <c r="C497" s="1" t="s">
        <v>443</v>
      </c>
    </row>
    <row r="498" customFormat="false" ht="15.75" hidden="false" customHeight="false" outlineLevel="0" collapsed="false">
      <c r="A498" s="3" t="s">
        <v>955</v>
      </c>
      <c r="B498" s="3" t="s">
        <v>956</v>
      </c>
      <c r="C498" s="1" t="s">
        <v>443</v>
      </c>
    </row>
    <row r="499" customFormat="false" ht="15.75" hidden="false" customHeight="false" outlineLevel="0" collapsed="false">
      <c r="A499" s="3" t="s">
        <v>957</v>
      </c>
      <c r="B499" s="3" t="s">
        <v>958</v>
      </c>
      <c r="C499" s="1" t="s">
        <v>443</v>
      </c>
    </row>
    <row r="500" customFormat="false" ht="15.75" hidden="false" customHeight="false" outlineLevel="0" collapsed="false">
      <c r="A500" s="3" t="s">
        <v>959</v>
      </c>
      <c r="B500" s="3" t="s">
        <v>960</v>
      </c>
      <c r="C500" s="1" t="s">
        <v>443</v>
      </c>
    </row>
    <row r="501" customFormat="false" ht="15.75" hidden="false" customHeight="false" outlineLevel="0" collapsed="false">
      <c r="A501" s="3" t="s">
        <v>961</v>
      </c>
      <c r="B501" s="3" t="s">
        <v>962</v>
      </c>
      <c r="C501" s="1" t="s">
        <v>443</v>
      </c>
    </row>
    <row r="502" customFormat="false" ht="15.75" hidden="false" customHeight="false" outlineLevel="0" collapsed="false">
      <c r="A502" s="3" t="s">
        <v>963</v>
      </c>
      <c r="B502" s="3" t="s">
        <v>964</v>
      </c>
      <c r="C502" s="1" t="s">
        <v>443</v>
      </c>
    </row>
    <row r="503" customFormat="false" ht="15.75" hidden="false" customHeight="false" outlineLevel="0" collapsed="false">
      <c r="A503" s="3" t="s">
        <v>965</v>
      </c>
      <c r="B503" s="3" t="s">
        <v>966</v>
      </c>
      <c r="C503" s="1" t="s">
        <v>443</v>
      </c>
    </row>
    <row r="504" customFormat="false" ht="15.75" hidden="false" customHeight="false" outlineLevel="0" collapsed="false">
      <c r="A504" s="3" t="s">
        <v>967</v>
      </c>
      <c r="B504" s="3" t="s">
        <v>968</v>
      </c>
      <c r="C504" s="1" t="s">
        <v>443</v>
      </c>
    </row>
    <row r="505" customFormat="false" ht="15.75" hidden="false" customHeight="false" outlineLevel="0" collapsed="false">
      <c r="A505" s="3" t="s">
        <v>969</v>
      </c>
      <c r="B505" s="3" t="s">
        <v>970</v>
      </c>
      <c r="C505" s="1" t="s">
        <v>443</v>
      </c>
    </row>
    <row r="506" customFormat="false" ht="15.75" hidden="false" customHeight="false" outlineLevel="0" collapsed="false">
      <c r="A506" s="3" t="s">
        <v>971</v>
      </c>
      <c r="B506" s="3" t="s">
        <v>972</v>
      </c>
      <c r="C506" s="1" t="s">
        <v>443</v>
      </c>
    </row>
    <row r="507" customFormat="false" ht="15.75" hidden="false" customHeight="false" outlineLevel="0" collapsed="false">
      <c r="A507" s="3" t="s">
        <v>353</v>
      </c>
      <c r="B507" s="3" t="s">
        <v>973</v>
      </c>
      <c r="C507" s="1" t="s">
        <v>443</v>
      </c>
    </row>
    <row r="508" customFormat="false" ht="15.75" hidden="false" customHeight="false" outlineLevel="0" collapsed="false">
      <c r="A508" s="3" t="s">
        <v>974</v>
      </c>
      <c r="B508" s="3" t="s">
        <v>975</v>
      </c>
      <c r="C508" s="1" t="s">
        <v>443</v>
      </c>
    </row>
    <row r="509" customFormat="false" ht="15.75" hidden="false" customHeight="false" outlineLevel="0" collapsed="false">
      <c r="A509" s="3" t="s">
        <v>976</v>
      </c>
      <c r="B509" s="3" t="s">
        <v>977</v>
      </c>
      <c r="C509" s="1" t="s">
        <v>443</v>
      </c>
    </row>
    <row r="510" customFormat="false" ht="15.75" hidden="false" customHeight="false" outlineLevel="0" collapsed="false">
      <c r="A510" s="3" t="s">
        <v>978</v>
      </c>
      <c r="B510" s="3" t="s">
        <v>979</v>
      </c>
      <c r="C510" s="1" t="s">
        <v>443</v>
      </c>
    </row>
    <row r="511" customFormat="false" ht="15.75" hidden="false" customHeight="false" outlineLevel="0" collapsed="false">
      <c r="A511" s="3" t="s">
        <v>980</v>
      </c>
      <c r="B511" s="3" t="s">
        <v>981</v>
      </c>
      <c r="C511" s="1" t="s">
        <v>443</v>
      </c>
    </row>
    <row r="512" customFormat="false" ht="15.75" hidden="false" customHeight="false" outlineLevel="0" collapsed="false">
      <c r="A512" s="3" t="s">
        <v>982</v>
      </c>
      <c r="B512" s="3" t="s">
        <v>983</v>
      </c>
      <c r="C512" s="1" t="s">
        <v>443</v>
      </c>
    </row>
    <row r="513" customFormat="false" ht="15.75" hidden="false" customHeight="false" outlineLevel="0" collapsed="false">
      <c r="A513" s="3" t="s">
        <v>984</v>
      </c>
      <c r="B513" s="3" t="s">
        <v>985</v>
      </c>
      <c r="C513" s="1" t="s">
        <v>443</v>
      </c>
    </row>
    <row r="514" customFormat="false" ht="15.75" hidden="false" customHeight="false" outlineLevel="0" collapsed="false">
      <c r="A514" s="3" t="s">
        <v>986</v>
      </c>
      <c r="B514" s="3" t="s">
        <v>987</v>
      </c>
      <c r="C514" s="1" t="s">
        <v>443</v>
      </c>
    </row>
    <row r="515" customFormat="false" ht="15.75" hidden="false" customHeight="false" outlineLevel="0" collapsed="false">
      <c r="A515" s="3" t="s">
        <v>988</v>
      </c>
      <c r="B515" s="3" t="s">
        <v>989</v>
      </c>
      <c r="C515" s="1" t="s">
        <v>443</v>
      </c>
    </row>
    <row r="516" customFormat="false" ht="15.75" hidden="false" customHeight="false" outlineLevel="0" collapsed="false">
      <c r="A516" s="3" t="s">
        <v>990</v>
      </c>
      <c r="B516" s="3" t="s">
        <v>991</v>
      </c>
      <c r="C516" s="1" t="s">
        <v>443</v>
      </c>
    </row>
    <row r="517" customFormat="false" ht="15.75" hidden="false" customHeight="false" outlineLevel="0" collapsed="false">
      <c r="A517" s="3" t="s">
        <v>992</v>
      </c>
      <c r="B517" s="3" t="s">
        <v>993</v>
      </c>
      <c r="C517" s="1" t="s">
        <v>443</v>
      </c>
    </row>
    <row r="518" customFormat="false" ht="15.75" hidden="false" customHeight="false" outlineLevel="0" collapsed="false">
      <c r="A518" s="3" t="s">
        <v>994</v>
      </c>
      <c r="B518" s="3" t="s">
        <v>995</v>
      </c>
      <c r="C518" s="1" t="s">
        <v>443</v>
      </c>
    </row>
    <row r="519" customFormat="false" ht="15.75" hidden="false" customHeight="false" outlineLevel="0" collapsed="false">
      <c r="A519" s="3" t="s">
        <v>996</v>
      </c>
      <c r="B519" s="3" t="s">
        <v>997</v>
      </c>
      <c r="C519" s="1" t="s">
        <v>443</v>
      </c>
    </row>
    <row r="520" customFormat="false" ht="15.75" hidden="false" customHeight="false" outlineLevel="0" collapsed="false">
      <c r="A520" s="3" t="s">
        <v>998</v>
      </c>
      <c r="B520" s="3" t="s">
        <v>999</v>
      </c>
      <c r="C520" s="1" t="s">
        <v>443</v>
      </c>
    </row>
    <row r="521" customFormat="false" ht="15.75" hidden="false" customHeight="false" outlineLevel="0" collapsed="false">
      <c r="A521" s="3" t="s">
        <v>1000</v>
      </c>
      <c r="B521" s="3" t="s">
        <v>1001</v>
      </c>
      <c r="C521" s="1" t="s">
        <v>443</v>
      </c>
    </row>
    <row r="522" customFormat="false" ht="15.75" hidden="false" customHeight="false" outlineLevel="0" collapsed="false">
      <c r="A522" s="3" t="s">
        <v>1002</v>
      </c>
      <c r="B522" s="3" t="s">
        <v>1003</v>
      </c>
      <c r="C522" s="1" t="s">
        <v>443</v>
      </c>
    </row>
    <row r="523" customFormat="false" ht="15.75" hidden="false" customHeight="false" outlineLevel="0" collapsed="false">
      <c r="A523" s="3" t="s">
        <v>1004</v>
      </c>
      <c r="B523" s="3" t="s">
        <v>1005</v>
      </c>
      <c r="C523" s="1" t="s">
        <v>443</v>
      </c>
    </row>
    <row r="524" customFormat="false" ht="15.75" hidden="false" customHeight="false" outlineLevel="0" collapsed="false">
      <c r="A524" s="3" t="s">
        <v>1006</v>
      </c>
      <c r="B524" s="3" t="s">
        <v>1007</v>
      </c>
      <c r="C524" s="1" t="s">
        <v>443</v>
      </c>
    </row>
    <row r="525" customFormat="false" ht="15.75" hidden="false" customHeight="false" outlineLevel="0" collapsed="false">
      <c r="A525" s="3" t="s">
        <v>1008</v>
      </c>
      <c r="B525" s="3" t="s">
        <v>1009</v>
      </c>
      <c r="C525" s="1" t="s">
        <v>443</v>
      </c>
    </row>
    <row r="526" customFormat="false" ht="15.75" hidden="false" customHeight="false" outlineLevel="0" collapsed="false">
      <c r="A526" s="3" t="s">
        <v>1010</v>
      </c>
      <c r="B526" s="3" t="s">
        <v>1011</v>
      </c>
      <c r="C526" s="1" t="s">
        <v>443</v>
      </c>
    </row>
    <row r="527" customFormat="false" ht="15.75" hidden="false" customHeight="false" outlineLevel="0" collapsed="false">
      <c r="A527" s="3" t="s">
        <v>1012</v>
      </c>
      <c r="B527" s="3" t="s">
        <v>1013</v>
      </c>
      <c r="C527" s="1" t="s">
        <v>443</v>
      </c>
    </row>
    <row r="528" customFormat="false" ht="15.75" hidden="false" customHeight="false" outlineLevel="0" collapsed="false">
      <c r="A528" s="3" t="s">
        <v>1014</v>
      </c>
      <c r="B528" s="3" t="s">
        <v>1015</v>
      </c>
      <c r="C528" s="1" t="s">
        <v>443</v>
      </c>
    </row>
    <row r="529" customFormat="false" ht="15.75" hidden="false" customHeight="false" outlineLevel="0" collapsed="false">
      <c r="A529" s="3" t="s">
        <v>1016</v>
      </c>
      <c r="B529" s="3" t="s">
        <v>1017</v>
      </c>
      <c r="C529" s="1" t="s">
        <v>443</v>
      </c>
    </row>
    <row r="530" customFormat="false" ht="15.75" hidden="false" customHeight="false" outlineLevel="0" collapsed="false">
      <c r="A530" s="3" t="s">
        <v>1018</v>
      </c>
      <c r="B530" s="3" t="s">
        <v>1019</v>
      </c>
      <c r="C530" s="1" t="s">
        <v>443</v>
      </c>
    </row>
    <row r="531" customFormat="false" ht="15.75" hidden="false" customHeight="false" outlineLevel="0" collapsed="false">
      <c r="A531" s="3" t="s">
        <v>1020</v>
      </c>
      <c r="B531" s="3" t="s">
        <v>1021</v>
      </c>
      <c r="C531" s="1" t="s">
        <v>443</v>
      </c>
    </row>
    <row r="532" customFormat="false" ht="15.75" hidden="false" customHeight="false" outlineLevel="0" collapsed="false">
      <c r="A532" s="3" t="s">
        <v>1022</v>
      </c>
      <c r="B532" s="3" t="s">
        <v>1023</v>
      </c>
      <c r="C532" s="1" t="s">
        <v>443</v>
      </c>
    </row>
    <row r="533" customFormat="false" ht="15.75" hidden="false" customHeight="false" outlineLevel="0" collapsed="false">
      <c r="A533" s="3" t="s">
        <v>1024</v>
      </c>
      <c r="B533" s="3" t="s">
        <v>1025</v>
      </c>
      <c r="C533" s="1" t="s">
        <v>443</v>
      </c>
    </row>
    <row r="534" customFormat="false" ht="15.75" hidden="false" customHeight="false" outlineLevel="0" collapsed="false">
      <c r="A534" s="3" t="s">
        <v>1026</v>
      </c>
      <c r="B534" s="3" t="s">
        <v>1027</v>
      </c>
      <c r="C534" s="1" t="s">
        <v>443</v>
      </c>
    </row>
    <row r="535" customFormat="false" ht="15.75" hidden="false" customHeight="false" outlineLevel="0" collapsed="false">
      <c r="A535" s="3" t="s">
        <v>1028</v>
      </c>
      <c r="B535" s="3" t="s">
        <v>1029</v>
      </c>
      <c r="C535" s="1" t="s">
        <v>443</v>
      </c>
    </row>
    <row r="536" customFormat="false" ht="15.75" hidden="false" customHeight="false" outlineLevel="0" collapsed="false">
      <c r="A536" s="3" t="s">
        <v>1030</v>
      </c>
      <c r="B536" s="3" t="s">
        <v>1031</v>
      </c>
      <c r="C536" s="1" t="s">
        <v>443</v>
      </c>
    </row>
    <row r="537" customFormat="false" ht="15.75" hidden="false" customHeight="false" outlineLevel="0" collapsed="false">
      <c r="A537" s="3" t="s">
        <v>1032</v>
      </c>
      <c r="B537" s="3" t="s">
        <v>1033</v>
      </c>
      <c r="C537" s="1" t="s">
        <v>443</v>
      </c>
    </row>
    <row r="538" customFormat="false" ht="15.75" hidden="false" customHeight="false" outlineLevel="0" collapsed="false">
      <c r="A538" s="3" t="s">
        <v>1034</v>
      </c>
      <c r="B538" s="3" t="s">
        <v>1035</v>
      </c>
      <c r="C538" s="1" t="s">
        <v>443</v>
      </c>
    </row>
    <row r="539" customFormat="false" ht="15.75" hidden="false" customHeight="false" outlineLevel="0" collapsed="false">
      <c r="A539" s="3" t="s">
        <v>1036</v>
      </c>
      <c r="B539" s="3" t="s">
        <v>1037</v>
      </c>
      <c r="C539" s="1" t="s">
        <v>443</v>
      </c>
    </row>
    <row r="540" customFormat="false" ht="15.75" hidden="false" customHeight="false" outlineLevel="0" collapsed="false">
      <c r="A540" s="3" t="s">
        <v>1038</v>
      </c>
      <c r="B540" s="3" t="s">
        <v>1039</v>
      </c>
      <c r="C540" s="1" t="s">
        <v>443</v>
      </c>
    </row>
    <row r="541" customFormat="false" ht="15.75" hidden="false" customHeight="false" outlineLevel="0" collapsed="false">
      <c r="A541" s="3" t="s">
        <v>1040</v>
      </c>
      <c r="B541" s="3" t="s">
        <v>1041</v>
      </c>
      <c r="C541" s="1" t="s">
        <v>443</v>
      </c>
    </row>
    <row r="542" customFormat="false" ht="15.75" hidden="false" customHeight="false" outlineLevel="0" collapsed="false">
      <c r="A542" s="3" t="s">
        <v>1042</v>
      </c>
      <c r="B542" s="3" t="s">
        <v>1043</v>
      </c>
      <c r="C542" s="1" t="s">
        <v>443</v>
      </c>
    </row>
    <row r="543" customFormat="false" ht="15.75" hidden="false" customHeight="false" outlineLevel="0" collapsed="false">
      <c r="A543" s="3" t="s">
        <v>1044</v>
      </c>
      <c r="B543" s="3" t="s">
        <v>1045</v>
      </c>
      <c r="C543" s="1" t="s">
        <v>443</v>
      </c>
    </row>
    <row r="544" customFormat="false" ht="15.75" hidden="false" customHeight="false" outlineLevel="0" collapsed="false">
      <c r="A544" s="3" t="s">
        <v>1046</v>
      </c>
      <c r="B544" s="3" t="s">
        <v>1047</v>
      </c>
      <c r="C544" s="1" t="s">
        <v>443</v>
      </c>
    </row>
    <row r="545" customFormat="false" ht="15.75" hidden="false" customHeight="false" outlineLevel="0" collapsed="false">
      <c r="A545" s="3" t="s">
        <v>1048</v>
      </c>
      <c r="B545" s="3" t="s">
        <v>1049</v>
      </c>
      <c r="C545" s="1" t="s">
        <v>443</v>
      </c>
    </row>
    <row r="546" customFormat="false" ht="15.75" hidden="false" customHeight="false" outlineLevel="0" collapsed="false">
      <c r="A546" s="3" t="s">
        <v>1050</v>
      </c>
      <c r="B546" s="3" t="s">
        <v>1051</v>
      </c>
      <c r="C546" s="1" t="s">
        <v>443</v>
      </c>
    </row>
    <row r="547" customFormat="false" ht="15.75" hidden="false" customHeight="false" outlineLevel="0" collapsed="false">
      <c r="A547" s="3" t="s">
        <v>1052</v>
      </c>
      <c r="B547" s="3" t="s">
        <v>1053</v>
      </c>
      <c r="C547" s="1" t="s">
        <v>443</v>
      </c>
    </row>
    <row r="548" customFormat="false" ht="15.75" hidden="false" customHeight="false" outlineLevel="0" collapsed="false">
      <c r="A548" s="3" t="s">
        <v>1054</v>
      </c>
      <c r="B548" s="3" t="s">
        <v>1055</v>
      </c>
      <c r="C548" s="1" t="s">
        <v>443</v>
      </c>
    </row>
    <row r="549" customFormat="false" ht="15.75" hidden="false" customHeight="false" outlineLevel="0" collapsed="false">
      <c r="A549" s="3" t="s">
        <v>1056</v>
      </c>
      <c r="B549" s="3" t="s">
        <v>1057</v>
      </c>
      <c r="C549" s="1" t="s">
        <v>443</v>
      </c>
    </row>
    <row r="550" customFormat="false" ht="15.75" hidden="false" customHeight="false" outlineLevel="0" collapsed="false">
      <c r="A550" s="3" t="s">
        <v>1058</v>
      </c>
      <c r="B550" s="3" t="s">
        <v>1059</v>
      </c>
      <c r="C550" s="1" t="s">
        <v>443</v>
      </c>
    </row>
    <row r="551" customFormat="false" ht="15.75" hidden="false" customHeight="false" outlineLevel="0" collapsed="false">
      <c r="A551" s="3" t="s">
        <v>1060</v>
      </c>
      <c r="B551" s="3" t="s">
        <v>1061</v>
      </c>
      <c r="C551" s="1" t="s">
        <v>443</v>
      </c>
    </row>
    <row r="552" customFormat="false" ht="15.75" hidden="false" customHeight="false" outlineLevel="0" collapsed="false">
      <c r="A552" s="3" t="s">
        <v>1062</v>
      </c>
      <c r="B552" s="3" t="s">
        <v>1063</v>
      </c>
      <c r="C552" s="1" t="s">
        <v>443</v>
      </c>
    </row>
    <row r="553" customFormat="false" ht="15.75" hidden="false" customHeight="false" outlineLevel="0" collapsed="false">
      <c r="A553" s="3" t="s">
        <v>1064</v>
      </c>
      <c r="B553" s="3" t="s">
        <v>1065</v>
      </c>
      <c r="C553" s="1" t="s">
        <v>443</v>
      </c>
    </row>
    <row r="554" customFormat="false" ht="15.75" hidden="false" customHeight="false" outlineLevel="0" collapsed="false">
      <c r="A554" s="3" t="s">
        <v>1066</v>
      </c>
      <c r="B554" s="3" t="s">
        <v>1067</v>
      </c>
      <c r="C554" s="1" t="s">
        <v>443</v>
      </c>
    </row>
    <row r="555" customFormat="false" ht="15.75" hidden="false" customHeight="false" outlineLevel="0" collapsed="false">
      <c r="A555" s="3" t="s">
        <v>1068</v>
      </c>
      <c r="B555" s="3" t="s">
        <v>1069</v>
      </c>
      <c r="C555" s="1" t="s">
        <v>443</v>
      </c>
    </row>
    <row r="556" customFormat="false" ht="15.75" hidden="false" customHeight="false" outlineLevel="0" collapsed="false">
      <c r="A556" s="3" t="s">
        <v>1070</v>
      </c>
      <c r="B556" s="3" t="s">
        <v>1071</v>
      </c>
      <c r="C556" s="1" t="s">
        <v>443</v>
      </c>
    </row>
    <row r="557" customFormat="false" ht="15.75" hidden="false" customHeight="false" outlineLevel="0" collapsed="false">
      <c r="A557" s="3" t="s">
        <v>1072</v>
      </c>
      <c r="B557" s="3" t="s">
        <v>1073</v>
      </c>
      <c r="C557" s="1" t="s">
        <v>443</v>
      </c>
    </row>
    <row r="558" customFormat="false" ht="15.75" hidden="false" customHeight="false" outlineLevel="0" collapsed="false">
      <c r="A558" s="3" t="s">
        <v>1074</v>
      </c>
      <c r="B558" s="3" t="s">
        <v>1075</v>
      </c>
      <c r="C558" s="1" t="s">
        <v>443</v>
      </c>
    </row>
    <row r="559" customFormat="false" ht="15.75" hidden="false" customHeight="false" outlineLevel="0" collapsed="false">
      <c r="A559" s="3" t="s">
        <v>1076</v>
      </c>
      <c r="B559" s="3" t="s">
        <v>1077</v>
      </c>
      <c r="C559" s="1" t="s">
        <v>443</v>
      </c>
    </row>
    <row r="560" customFormat="false" ht="15.75" hidden="false" customHeight="false" outlineLevel="0" collapsed="false">
      <c r="A560" s="3" t="s">
        <v>1078</v>
      </c>
      <c r="B560" s="3" t="s">
        <v>1079</v>
      </c>
      <c r="C560" s="1" t="s">
        <v>443</v>
      </c>
    </row>
    <row r="561" customFormat="false" ht="15.75" hidden="false" customHeight="false" outlineLevel="0" collapsed="false">
      <c r="A561" s="3" t="s">
        <v>1080</v>
      </c>
      <c r="B561" s="3" t="s">
        <v>1081</v>
      </c>
      <c r="C561" s="1" t="s">
        <v>443</v>
      </c>
    </row>
    <row r="562" customFormat="false" ht="15.75" hidden="false" customHeight="false" outlineLevel="0" collapsed="false">
      <c r="A562" s="3" t="s">
        <v>1082</v>
      </c>
      <c r="B562" s="3" t="s">
        <v>1083</v>
      </c>
      <c r="C562" s="1" t="s">
        <v>443</v>
      </c>
    </row>
    <row r="563" customFormat="false" ht="15.75" hidden="false" customHeight="false" outlineLevel="0" collapsed="false">
      <c r="A563" s="3" t="s">
        <v>1084</v>
      </c>
      <c r="B563" s="3" t="s">
        <v>1085</v>
      </c>
      <c r="C563" s="1" t="s">
        <v>443</v>
      </c>
    </row>
    <row r="564" customFormat="false" ht="15.75" hidden="false" customHeight="false" outlineLevel="0" collapsed="false">
      <c r="A564" s="3" t="s">
        <v>1086</v>
      </c>
      <c r="B564" s="3" t="s">
        <v>1087</v>
      </c>
      <c r="C564" s="1" t="s">
        <v>443</v>
      </c>
    </row>
    <row r="565" customFormat="false" ht="15.75" hidden="false" customHeight="false" outlineLevel="0" collapsed="false">
      <c r="A565" s="3" t="s">
        <v>1088</v>
      </c>
      <c r="B565" s="3" t="s">
        <v>1089</v>
      </c>
      <c r="C565" s="1" t="s">
        <v>443</v>
      </c>
    </row>
    <row r="566" customFormat="false" ht="15.75" hidden="false" customHeight="false" outlineLevel="0" collapsed="false">
      <c r="A566" s="3" t="s">
        <v>1090</v>
      </c>
      <c r="B566" s="3" t="s">
        <v>1091</v>
      </c>
      <c r="C566" s="1" t="s">
        <v>443</v>
      </c>
    </row>
    <row r="567" customFormat="false" ht="15.75" hidden="false" customHeight="false" outlineLevel="0" collapsed="false">
      <c r="A567" s="3" t="s">
        <v>1092</v>
      </c>
      <c r="B567" s="3" t="s">
        <v>1093</v>
      </c>
      <c r="C567" s="1" t="s">
        <v>443</v>
      </c>
    </row>
    <row r="568" customFormat="false" ht="15.75" hidden="false" customHeight="false" outlineLevel="0" collapsed="false">
      <c r="A568" s="3" t="s">
        <v>1094</v>
      </c>
      <c r="B568" s="3" t="s">
        <v>1095</v>
      </c>
      <c r="C568" s="1" t="s">
        <v>443</v>
      </c>
    </row>
    <row r="569" customFormat="false" ht="15.75" hidden="false" customHeight="false" outlineLevel="0" collapsed="false">
      <c r="A569" s="3" t="s">
        <v>1096</v>
      </c>
      <c r="B569" s="3" t="s">
        <v>1097</v>
      </c>
      <c r="C569" s="1" t="s">
        <v>443</v>
      </c>
    </row>
    <row r="570" customFormat="false" ht="15.75" hidden="false" customHeight="false" outlineLevel="0" collapsed="false">
      <c r="A570" s="3" t="s">
        <v>1098</v>
      </c>
      <c r="B570" s="3" t="s">
        <v>1099</v>
      </c>
      <c r="C570" s="1" t="s">
        <v>443</v>
      </c>
    </row>
    <row r="571" customFormat="false" ht="15.75" hidden="false" customHeight="false" outlineLevel="0" collapsed="false">
      <c r="A571" s="3" t="s">
        <v>1100</v>
      </c>
      <c r="B571" s="3" t="s">
        <v>1101</v>
      </c>
      <c r="C571" s="1" t="s">
        <v>443</v>
      </c>
    </row>
    <row r="572" customFormat="false" ht="15.75" hidden="false" customHeight="false" outlineLevel="0" collapsed="false">
      <c r="A572" s="3" t="s">
        <v>1102</v>
      </c>
      <c r="B572" s="3" t="s">
        <v>1103</v>
      </c>
      <c r="C572" s="1" t="s">
        <v>443</v>
      </c>
    </row>
    <row r="573" customFormat="false" ht="15.75" hidden="false" customHeight="false" outlineLevel="0" collapsed="false">
      <c r="A573" s="3" t="s">
        <v>1104</v>
      </c>
      <c r="B573" s="3" t="s">
        <v>1105</v>
      </c>
      <c r="C573" s="1" t="s">
        <v>443</v>
      </c>
    </row>
    <row r="574" customFormat="false" ht="15.75" hidden="false" customHeight="false" outlineLevel="0" collapsed="false">
      <c r="A574" s="3" t="s">
        <v>1106</v>
      </c>
      <c r="B574" s="3" t="s">
        <v>1107</v>
      </c>
      <c r="C574" s="1" t="s">
        <v>443</v>
      </c>
    </row>
    <row r="575" customFormat="false" ht="15.75" hidden="false" customHeight="false" outlineLevel="0" collapsed="false">
      <c r="A575" s="3" t="s">
        <v>1108</v>
      </c>
      <c r="B575" s="3" t="s">
        <v>1109</v>
      </c>
      <c r="C575" s="1" t="s">
        <v>443</v>
      </c>
    </row>
    <row r="576" customFormat="false" ht="15.75" hidden="false" customHeight="false" outlineLevel="0" collapsed="false">
      <c r="A576" s="3" t="s">
        <v>1110</v>
      </c>
      <c r="B576" s="3" t="s">
        <v>1111</v>
      </c>
      <c r="C576" s="1" t="s">
        <v>443</v>
      </c>
    </row>
    <row r="577" customFormat="false" ht="15.75" hidden="false" customHeight="false" outlineLevel="0" collapsed="false">
      <c r="A577" s="3" t="s">
        <v>1112</v>
      </c>
      <c r="B577" s="3" t="s">
        <v>1113</v>
      </c>
      <c r="C577" s="1" t="s">
        <v>443</v>
      </c>
    </row>
    <row r="578" customFormat="false" ht="15.75" hidden="false" customHeight="false" outlineLevel="0" collapsed="false">
      <c r="A578" s="3" t="s">
        <v>1114</v>
      </c>
      <c r="B578" s="3" t="s">
        <v>1115</v>
      </c>
      <c r="C578" s="1" t="s">
        <v>443</v>
      </c>
    </row>
    <row r="579" customFormat="false" ht="15.75" hidden="false" customHeight="false" outlineLevel="0" collapsed="false">
      <c r="A579" s="3" t="s">
        <v>1116</v>
      </c>
      <c r="B579" s="3" t="s">
        <v>1117</v>
      </c>
      <c r="C579" s="1" t="s">
        <v>443</v>
      </c>
    </row>
    <row r="580" customFormat="false" ht="15.75" hidden="false" customHeight="false" outlineLevel="0" collapsed="false">
      <c r="A580" s="3" t="s">
        <v>1118</v>
      </c>
      <c r="B580" s="3" t="s">
        <v>1119</v>
      </c>
      <c r="C580" s="1" t="s">
        <v>443</v>
      </c>
    </row>
    <row r="581" customFormat="false" ht="15.75" hidden="false" customHeight="false" outlineLevel="0" collapsed="false">
      <c r="A581" s="3" t="s">
        <v>1120</v>
      </c>
      <c r="B581" s="3" t="s">
        <v>1121</v>
      </c>
      <c r="C581" s="1" t="s">
        <v>443</v>
      </c>
    </row>
    <row r="582" customFormat="false" ht="15.75" hidden="false" customHeight="false" outlineLevel="0" collapsed="false">
      <c r="A582" s="3" t="s">
        <v>1122</v>
      </c>
      <c r="B582" s="3" t="s">
        <v>1123</v>
      </c>
      <c r="C582" s="1" t="s">
        <v>443</v>
      </c>
    </row>
    <row r="583" customFormat="false" ht="15.75" hidden="false" customHeight="false" outlineLevel="0" collapsed="false">
      <c r="A583" s="3" t="s">
        <v>1124</v>
      </c>
      <c r="B583" s="3" t="s">
        <v>1125</v>
      </c>
      <c r="C583" s="1" t="s">
        <v>443</v>
      </c>
    </row>
    <row r="584" customFormat="false" ht="15.75" hidden="false" customHeight="false" outlineLevel="0" collapsed="false">
      <c r="A584" s="3" t="s">
        <v>1126</v>
      </c>
      <c r="B584" s="3" t="s">
        <v>1127</v>
      </c>
      <c r="C584" s="1" t="s">
        <v>443</v>
      </c>
    </row>
    <row r="585" customFormat="false" ht="15.75" hidden="false" customHeight="false" outlineLevel="0" collapsed="false">
      <c r="A585" s="3" t="s">
        <v>1128</v>
      </c>
      <c r="B585" s="3" t="s">
        <v>1129</v>
      </c>
      <c r="C585" s="1" t="s">
        <v>443</v>
      </c>
    </row>
    <row r="586" customFormat="false" ht="15.75" hidden="false" customHeight="false" outlineLevel="0" collapsed="false">
      <c r="A586" s="3" t="s">
        <v>1130</v>
      </c>
      <c r="B586" s="3" t="s">
        <v>1131</v>
      </c>
      <c r="C586" s="1" t="s">
        <v>443</v>
      </c>
    </row>
    <row r="587" customFormat="false" ht="15.75" hidden="false" customHeight="false" outlineLevel="0" collapsed="false">
      <c r="A587" s="3" t="s">
        <v>1132</v>
      </c>
      <c r="B587" s="3" t="s">
        <v>1133</v>
      </c>
      <c r="C587" s="1" t="s">
        <v>443</v>
      </c>
    </row>
    <row r="588" customFormat="false" ht="15.75" hidden="false" customHeight="false" outlineLevel="0" collapsed="false">
      <c r="A588" s="3" t="s">
        <v>1134</v>
      </c>
      <c r="B588" s="3" t="s">
        <v>1135</v>
      </c>
      <c r="C588" s="1" t="s">
        <v>443</v>
      </c>
    </row>
    <row r="589" customFormat="false" ht="15.75" hidden="false" customHeight="false" outlineLevel="0" collapsed="false">
      <c r="A589" s="3" t="s">
        <v>1136</v>
      </c>
      <c r="B589" s="3" t="s">
        <v>1137</v>
      </c>
      <c r="C589" s="1" t="s">
        <v>443</v>
      </c>
    </row>
    <row r="590" customFormat="false" ht="15.75" hidden="false" customHeight="false" outlineLevel="0" collapsed="false">
      <c r="A590" s="3" t="s">
        <v>1138</v>
      </c>
      <c r="B590" s="3" t="s">
        <v>1139</v>
      </c>
      <c r="C590" s="1" t="s">
        <v>443</v>
      </c>
    </row>
    <row r="591" customFormat="false" ht="15.75" hidden="false" customHeight="false" outlineLevel="0" collapsed="false">
      <c r="A591" s="3" t="s">
        <v>1140</v>
      </c>
      <c r="B591" s="3" t="s">
        <v>1141</v>
      </c>
      <c r="C591" s="1" t="s">
        <v>443</v>
      </c>
    </row>
    <row r="592" customFormat="false" ht="15.75" hidden="false" customHeight="false" outlineLevel="0" collapsed="false">
      <c r="A592" s="3" t="s">
        <v>1142</v>
      </c>
      <c r="B592" s="3" t="s">
        <v>1143</v>
      </c>
      <c r="C592" s="1" t="s">
        <v>443</v>
      </c>
    </row>
    <row r="593" customFormat="false" ht="15.75" hidden="false" customHeight="false" outlineLevel="0" collapsed="false">
      <c r="A593" s="3" t="s">
        <v>1144</v>
      </c>
      <c r="B593" s="3" t="s">
        <v>1145</v>
      </c>
      <c r="C593" s="1" t="s">
        <v>443</v>
      </c>
    </row>
    <row r="594" customFormat="false" ht="15.75" hidden="false" customHeight="false" outlineLevel="0" collapsed="false">
      <c r="A594" s="3" t="s">
        <v>1146</v>
      </c>
      <c r="B594" s="3" t="s">
        <v>1147</v>
      </c>
      <c r="C594" s="1" t="s">
        <v>443</v>
      </c>
    </row>
    <row r="595" customFormat="false" ht="15.75" hidden="false" customHeight="false" outlineLevel="0" collapsed="false">
      <c r="A595" s="3" t="s">
        <v>1148</v>
      </c>
      <c r="B595" s="3" t="s">
        <v>1149</v>
      </c>
      <c r="C595" s="1" t="s">
        <v>443</v>
      </c>
    </row>
    <row r="596" customFormat="false" ht="15.75" hidden="false" customHeight="false" outlineLevel="0" collapsed="false">
      <c r="A596" s="3" t="s">
        <v>1150</v>
      </c>
      <c r="B596" s="3" t="s">
        <v>1151</v>
      </c>
      <c r="C596" s="1" t="s">
        <v>443</v>
      </c>
    </row>
    <row r="597" customFormat="false" ht="15.75" hidden="false" customHeight="false" outlineLevel="0" collapsed="false">
      <c r="A597" s="3" t="s">
        <v>1152</v>
      </c>
      <c r="B597" s="3" t="s">
        <v>1153</v>
      </c>
      <c r="C597" s="1" t="s">
        <v>443</v>
      </c>
    </row>
    <row r="598" customFormat="false" ht="15.75" hidden="false" customHeight="false" outlineLevel="0" collapsed="false">
      <c r="A598" s="3" t="s">
        <v>1154</v>
      </c>
      <c r="B598" s="3" t="s">
        <v>1155</v>
      </c>
      <c r="C598" s="1" t="s">
        <v>443</v>
      </c>
    </row>
    <row r="599" customFormat="false" ht="15.75" hidden="false" customHeight="false" outlineLevel="0" collapsed="false">
      <c r="A599" s="3" t="s">
        <v>1156</v>
      </c>
      <c r="B599" s="3" t="s">
        <v>1157</v>
      </c>
      <c r="C599" s="1" t="s">
        <v>443</v>
      </c>
    </row>
    <row r="600" customFormat="false" ht="15.75" hidden="false" customHeight="false" outlineLevel="0" collapsed="false">
      <c r="A600" s="3" t="s">
        <v>1158</v>
      </c>
      <c r="B600" s="3" t="s">
        <v>1159</v>
      </c>
      <c r="C600" s="1" t="s">
        <v>443</v>
      </c>
    </row>
    <row r="601" customFormat="false" ht="15.75" hidden="false" customHeight="false" outlineLevel="0" collapsed="false">
      <c r="A601" s="3" t="s">
        <v>1160</v>
      </c>
      <c r="B601" s="3" t="s">
        <v>1161</v>
      </c>
      <c r="C601" s="1" t="s">
        <v>443</v>
      </c>
    </row>
    <row r="602" customFormat="false" ht="15.75" hidden="false" customHeight="false" outlineLevel="0" collapsed="false">
      <c r="A602" s="3" t="s">
        <v>1162</v>
      </c>
      <c r="B602" s="3" t="s">
        <v>1163</v>
      </c>
      <c r="C602" s="1" t="s">
        <v>443</v>
      </c>
    </row>
    <row r="603" customFormat="false" ht="15.75" hidden="false" customHeight="false" outlineLevel="0" collapsed="false">
      <c r="A603" s="3" t="s">
        <v>1164</v>
      </c>
      <c r="B603" s="3" t="s">
        <v>1165</v>
      </c>
      <c r="C603" s="1" t="s">
        <v>443</v>
      </c>
    </row>
    <row r="604" customFormat="false" ht="15.75" hidden="false" customHeight="false" outlineLevel="0" collapsed="false">
      <c r="A604" s="3" t="s">
        <v>1166</v>
      </c>
      <c r="B604" s="3" t="s">
        <v>1167</v>
      </c>
      <c r="C604" s="1" t="s">
        <v>443</v>
      </c>
    </row>
    <row r="605" customFormat="false" ht="15.75" hidden="false" customHeight="false" outlineLevel="0" collapsed="false">
      <c r="A605" s="3" t="s">
        <v>1168</v>
      </c>
      <c r="B605" s="3" t="s">
        <v>1169</v>
      </c>
      <c r="C605" s="1" t="s">
        <v>443</v>
      </c>
    </row>
    <row r="606" customFormat="false" ht="15.75" hidden="false" customHeight="false" outlineLevel="0" collapsed="false">
      <c r="A606" s="3" t="s">
        <v>1170</v>
      </c>
      <c r="B606" s="3" t="s">
        <v>1171</v>
      </c>
      <c r="C606" s="1" t="s">
        <v>443</v>
      </c>
    </row>
    <row r="607" customFormat="false" ht="15.75" hidden="false" customHeight="false" outlineLevel="0" collapsed="false">
      <c r="A607" s="3" t="s">
        <v>1172</v>
      </c>
      <c r="B607" s="3" t="s">
        <v>1173</v>
      </c>
      <c r="C607" s="1" t="s">
        <v>443</v>
      </c>
    </row>
    <row r="608" customFormat="false" ht="15.75" hidden="false" customHeight="false" outlineLevel="0" collapsed="false">
      <c r="A608" s="3" t="s">
        <v>1174</v>
      </c>
      <c r="B608" s="3" t="s">
        <v>1175</v>
      </c>
      <c r="C608" s="1" t="s">
        <v>443</v>
      </c>
    </row>
    <row r="609" customFormat="false" ht="15.75" hidden="false" customHeight="false" outlineLevel="0" collapsed="false">
      <c r="A609" s="3" t="s">
        <v>1176</v>
      </c>
      <c r="B609" s="3" t="s">
        <v>1177</v>
      </c>
      <c r="C609" s="1" t="s">
        <v>443</v>
      </c>
    </row>
    <row r="610" customFormat="false" ht="15.75" hidden="false" customHeight="false" outlineLevel="0" collapsed="false">
      <c r="A610" s="3" t="s">
        <v>1178</v>
      </c>
      <c r="B610" s="3" t="s">
        <v>1179</v>
      </c>
      <c r="C610" s="1" t="s">
        <v>443</v>
      </c>
    </row>
    <row r="611" customFormat="false" ht="15.75" hidden="false" customHeight="false" outlineLevel="0" collapsed="false">
      <c r="A611" s="3" t="s">
        <v>1180</v>
      </c>
      <c r="B611" s="3" t="s">
        <v>1181</v>
      </c>
      <c r="C611" s="1" t="s">
        <v>443</v>
      </c>
    </row>
    <row r="612" customFormat="false" ht="15.75" hidden="false" customHeight="false" outlineLevel="0" collapsed="false">
      <c r="A612" s="3" t="s">
        <v>1182</v>
      </c>
      <c r="B612" s="3" t="s">
        <v>1183</v>
      </c>
      <c r="C612" s="1" t="s">
        <v>443</v>
      </c>
    </row>
    <row r="613" customFormat="false" ht="15.75" hidden="false" customHeight="false" outlineLevel="0" collapsed="false">
      <c r="A613" s="3" t="s">
        <v>1184</v>
      </c>
      <c r="B613" s="3" t="s">
        <v>1185</v>
      </c>
      <c r="C613" s="1" t="s">
        <v>443</v>
      </c>
    </row>
    <row r="614" customFormat="false" ht="15.75" hidden="false" customHeight="false" outlineLevel="0" collapsed="false">
      <c r="A614" s="3" t="s">
        <v>1186</v>
      </c>
      <c r="B614" s="3" t="s">
        <v>1187</v>
      </c>
      <c r="C614" s="1" t="s">
        <v>443</v>
      </c>
    </row>
    <row r="615" customFormat="false" ht="15.75" hidden="false" customHeight="false" outlineLevel="0" collapsed="false">
      <c r="A615" s="3" t="s">
        <v>1188</v>
      </c>
      <c r="B615" s="3" t="s">
        <v>1189</v>
      </c>
      <c r="C615" s="1" t="s">
        <v>443</v>
      </c>
    </row>
    <row r="616" customFormat="false" ht="15.75" hidden="false" customHeight="false" outlineLevel="0" collapsed="false">
      <c r="A616" s="3" t="s">
        <v>1190</v>
      </c>
      <c r="B616" s="3" t="s">
        <v>1191</v>
      </c>
      <c r="C616" s="1" t="s">
        <v>443</v>
      </c>
    </row>
    <row r="617" customFormat="false" ht="15.75" hidden="false" customHeight="false" outlineLevel="0" collapsed="false">
      <c r="A617" s="3" t="s">
        <v>1192</v>
      </c>
      <c r="B617" s="3" t="s">
        <v>1193</v>
      </c>
      <c r="C617" s="1" t="s">
        <v>443</v>
      </c>
    </row>
    <row r="618" customFormat="false" ht="15.75" hidden="false" customHeight="false" outlineLevel="0" collapsed="false">
      <c r="A618" s="3" t="s">
        <v>1194</v>
      </c>
      <c r="B618" s="3" t="s">
        <v>1195</v>
      </c>
      <c r="C618" s="1" t="s">
        <v>443</v>
      </c>
    </row>
    <row r="619" customFormat="false" ht="15.75" hidden="false" customHeight="false" outlineLevel="0" collapsed="false">
      <c r="A619" s="3" t="s">
        <v>1196</v>
      </c>
      <c r="B619" s="3" t="s">
        <v>1197</v>
      </c>
      <c r="C619" s="1" t="s">
        <v>443</v>
      </c>
    </row>
    <row r="620" customFormat="false" ht="15.75" hidden="false" customHeight="false" outlineLevel="0" collapsed="false">
      <c r="A620" s="3" t="s">
        <v>1198</v>
      </c>
      <c r="B620" s="3" t="s">
        <v>1199</v>
      </c>
      <c r="C620" s="1" t="s">
        <v>443</v>
      </c>
    </row>
    <row r="621" customFormat="false" ht="15.75" hidden="false" customHeight="false" outlineLevel="0" collapsed="false">
      <c r="A621" s="3" t="s">
        <v>1200</v>
      </c>
      <c r="B621" s="3" t="s">
        <v>1201</v>
      </c>
      <c r="C621" s="1" t="s">
        <v>443</v>
      </c>
    </row>
    <row r="622" customFormat="false" ht="15.75" hidden="false" customHeight="false" outlineLevel="0" collapsed="false">
      <c r="A622" s="3" t="s">
        <v>1202</v>
      </c>
      <c r="B622" s="3" t="s">
        <v>1203</v>
      </c>
      <c r="C622" s="1" t="s">
        <v>443</v>
      </c>
    </row>
    <row r="623" customFormat="false" ht="15.75" hidden="false" customHeight="false" outlineLevel="0" collapsed="false">
      <c r="A623" s="3" t="s">
        <v>1204</v>
      </c>
      <c r="B623" s="3" t="s">
        <v>1205</v>
      </c>
      <c r="C623" s="1" t="s">
        <v>443</v>
      </c>
    </row>
    <row r="624" customFormat="false" ht="15.75" hidden="false" customHeight="false" outlineLevel="0" collapsed="false">
      <c r="A624" s="3" t="s">
        <v>1206</v>
      </c>
      <c r="B624" s="3" t="s">
        <v>1207</v>
      </c>
      <c r="C624" s="1" t="s">
        <v>443</v>
      </c>
    </row>
    <row r="625" customFormat="false" ht="15.75" hidden="false" customHeight="false" outlineLevel="0" collapsed="false">
      <c r="A625" s="3" t="s">
        <v>1208</v>
      </c>
      <c r="B625" s="3" t="s">
        <v>1209</v>
      </c>
      <c r="C625" s="1" t="s">
        <v>443</v>
      </c>
    </row>
    <row r="626" customFormat="false" ht="15.75" hidden="false" customHeight="false" outlineLevel="0" collapsed="false">
      <c r="A626" s="3" t="s">
        <v>1210</v>
      </c>
      <c r="B626" s="3" t="s">
        <v>1211</v>
      </c>
      <c r="C626" s="1" t="s">
        <v>443</v>
      </c>
    </row>
    <row r="627" customFormat="false" ht="15.75" hidden="false" customHeight="false" outlineLevel="0" collapsed="false">
      <c r="A627" s="3" t="s">
        <v>1212</v>
      </c>
      <c r="B627" s="3" t="s">
        <v>1213</v>
      </c>
      <c r="C627" s="1" t="s">
        <v>443</v>
      </c>
    </row>
    <row r="628" customFormat="false" ht="15.75" hidden="false" customHeight="false" outlineLevel="0" collapsed="false">
      <c r="A628" s="3" t="s">
        <v>1214</v>
      </c>
      <c r="B628" s="3" t="s">
        <v>1215</v>
      </c>
      <c r="C628" s="1" t="s">
        <v>443</v>
      </c>
    </row>
    <row r="629" customFormat="false" ht="15.75" hidden="false" customHeight="false" outlineLevel="0" collapsed="false">
      <c r="A629" s="3" t="s">
        <v>1216</v>
      </c>
      <c r="B629" s="3" t="s">
        <v>1217</v>
      </c>
      <c r="C629" s="1" t="s">
        <v>443</v>
      </c>
    </row>
    <row r="630" customFormat="false" ht="15.75" hidden="false" customHeight="false" outlineLevel="0" collapsed="false">
      <c r="A630" s="3" t="s">
        <v>1218</v>
      </c>
      <c r="B630" s="3" t="s">
        <v>1219</v>
      </c>
      <c r="C630" s="1" t="s">
        <v>443</v>
      </c>
    </row>
    <row r="631" customFormat="false" ht="15.75" hidden="false" customHeight="false" outlineLevel="0" collapsed="false">
      <c r="A631" s="3" t="s">
        <v>1220</v>
      </c>
      <c r="B631" s="3" t="s">
        <v>1221</v>
      </c>
      <c r="C631" s="1" t="s">
        <v>443</v>
      </c>
    </row>
    <row r="632" customFormat="false" ht="15.75" hidden="false" customHeight="false" outlineLevel="0" collapsed="false">
      <c r="A632" s="3" t="s">
        <v>1222</v>
      </c>
      <c r="B632" s="3" t="s">
        <v>1223</v>
      </c>
      <c r="C632" s="1" t="s">
        <v>443</v>
      </c>
    </row>
    <row r="633" customFormat="false" ht="15.75" hidden="false" customHeight="false" outlineLevel="0" collapsed="false">
      <c r="A633" s="3" t="s">
        <v>1224</v>
      </c>
      <c r="B633" s="3" t="s">
        <v>1225</v>
      </c>
      <c r="C633" s="1" t="s">
        <v>443</v>
      </c>
    </row>
    <row r="634" customFormat="false" ht="15.75" hidden="false" customHeight="false" outlineLevel="0" collapsed="false">
      <c r="A634" s="3" t="s">
        <v>1226</v>
      </c>
      <c r="B634" s="3" t="s">
        <v>1227</v>
      </c>
      <c r="C634" s="1" t="s">
        <v>443</v>
      </c>
    </row>
    <row r="635" customFormat="false" ht="15.75" hidden="false" customHeight="false" outlineLevel="0" collapsed="false">
      <c r="A635" s="3" t="s">
        <v>1228</v>
      </c>
      <c r="B635" s="3" t="s">
        <v>1229</v>
      </c>
      <c r="C635" s="1" t="s">
        <v>443</v>
      </c>
    </row>
    <row r="636" customFormat="false" ht="15.75" hidden="false" customHeight="false" outlineLevel="0" collapsed="false">
      <c r="A636" s="3" t="s">
        <v>1230</v>
      </c>
      <c r="B636" s="3" t="s">
        <v>1231</v>
      </c>
      <c r="C636" s="1" t="s">
        <v>443</v>
      </c>
    </row>
    <row r="637" customFormat="false" ht="15.75" hidden="false" customHeight="false" outlineLevel="0" collapsed="false">
      <c r="A637" s="3" t="s">
        <v>1232</v>
      </c>
      <c r="B637" s="3" t="s">
        <v>1233</v>
      </c>
      <c r="C637" s="1" t="s">
        <v>443</v>
      </c>
    </row>
    <row r="638" customFormat="false" ht="15.75" hidden="false" customHeight="false" outlineLevel="0" collapsed="false">
      <c r="A638" s="3" t="s">
        <v>1234</v>
      </c>
      <c r="B638" s="3" t="s">
        <v>1235</v>
      </c>
      <c r="C638" s="1" t="s">
        <v>443</v>
      </c>
    </row>
    <row r="639" customFormat="false" ht="15.75" hidden="false" customHeight="false" outlineLevel="0" collapsed="false">
      <c r="A639" s="3" t="s">
        <v>1236</v>
      </c>
      <c r="B639" s="3" t="s">
        <v>1237</v>
      </c>
      <c r="C639" s="1" t="s">
        <v>443</v>
      </c>
    </row>
    <row r="640" customFormat="false" ht="15.75" hidden="false" customHeight="false" outlineLevel="0" collapsed="false">
      <c r="A640" s="3" t="s">
        <v>1238</v>
      </c>
      <c r="B640" s="3" t="s">
        <v>1239</v>
      </c>
      <c r="C640" s="1" t="s">
        <v>443</v>
      </c>
    </row>
    <row r="641" customFormat="false" ht="15.75" hidden="false" customHeight="false" outlineLevel="0" collapsed="false">
      <c r="A641" s="3" t="s">
        <v>1240</v>
      </c>
      <c r="B641" s="3" t="s">
        <v>1241</v>
      </c>
      <c r="C641" s="1" t="s">
        <v>443</v>
      </c>
    </row>
    <row r="642" customFormat="false" ht="15.75" hidden="false" customHeight="false" outlineLevel="0" collapsed="false">
      <c r="A642" s="3" t="s">
        <v>1242</v>
      </c>
      <c r="B642" s="3" t="s">
        <v>1243</v>
      </c>
      <c r="C642" s="1" t="s">
        <v>443</v>
      </c>
    </row>
    <row r="643" customFormat="false" ht="15.75" hidden="false" customHeight="false" outlineLevel="0" collapsed="false">
      <c r="A643" s="3" t="s">
        <v>1244</v>
      </c>
      <c r="B643" s="3" t="s">
        <v>1245</v>
      </c>
      <c r="C643" s="1" t="s">
        <v>443</v>
      </c>
    </row>
    <row r="644" customFormat="false" ht="15.75" hidden="false" customHeight="false" outlineLevel="0" collapsed="false">
      <c r="A644" s="3" t="s">
        <v>1246</v>
      </c>
      <c r="B644" s="3" t="s">
        <v>1247</v>
      </c>
      <c r="C644" s="1" t="s">
        <v>443</v>
      </c>
    </row>
    <row r="645" customFormat="false" ht="15.75" hidden="false" customHeight="false" outlineLevel="0" collapsed="false">
      <c r="A645" s="3" t="s">
        <v>1248</v>
      </c>
      <c r="B645" s="3" t="s">
        <v>1249</v>
      </c>
      <c r="C645" s="1" t="s">
        <v>443</v>
      </c>
    </row>
    <row r="646" customFormat="false" ht="15.75" hidden="false" customHeight="false" outlineLevel="0" collapsed="false">
      <c r="A646" s="3" t="s">
        <v>1250</v>
      </c>
      <c r="B646" s="3" t="s">
        <v>1251</v>
      </c>
      <c r="C646" s="1" t="s">
        <v>443</v>
      </c>
    </row>
    <row r="647" customFormat="false" ht="15.75" hidden="false" customHeight="false" outlineLevel="0" collapsed="false">
      <c r="A647" s="3" t="s">
        <v>1252</v>
      </c>
      <c r="B647" s="3" t="s">
        <v>1253</v>
      </c>
      <c r="C647" s="1" t="s">
        <v>443</v>
      </c>
    </row>
    <row r="648" customFormat="false" ht="15.75" hidden="false" customHeight="false" outlineLevel="0" collapsed="false">
      <c r="A648" s="3" t="s">
        <v>1254</v>
      </c>
      <c r="B648" s="3" t="s">
        <v>1255</v>
      </c>
      <c r="C648" s="1" t="s">
        <v>443</v>
      </c>
    </row>
    <row r="649" customFormat="false" ht="15.75" hidden="false" customHeight="false" outlineLevel="0" collapsed="false">
      <c r="A649" s="3" t="s">
        <v>1256</v>
      </c>
      <c r="B649" s="3" t="s">
        <v>1257</v>
      </c>
      <c r="C649" s="1" t="s">
        <v>443</v>
      </c>
    </row>
    <row r="650" customFormat="false" ht="15.75" hidden="false" customHeight="false" outlineLevel="0" collapsed="false">
      <c r="A650" s="3" t="s">
        <v>1258</v>
      </c>
      <c r="B650" s="3" t="s">
        <v>1259</v>
      </c>
      <c r="C650" s="1" t="s">
        <v>443</v>
      </c>
    </row>
    <row r="651" customFormat="false" ht="15.75" hidden="false" customHeight="false" outlineLevel="0" collapsed="false">
      <c r="A651" s="3" t="s">
        <v>1260</v>
      </c>
      <c r="B651" s="3" t="s">
        <v>1261</v>
      </c>
      <c r="C651" s="1" t="s">
        <v>443</v>
      </c>
    </row>
    <row r="652" customFormat="false" ht="15.75" hidden="false" customHeight="false" outlineLevel="0" collapsed="false">
      <c r="A652" s="3" t="s">
        <v>1262</v>
      </c>
      <c r="B652" s="3" t="s">
        <v>1263</v>
      </c>
      <c r="C652" s="1" t="s">
        <v>443</v>
      </c>
    </row>
    <row r="653" customFormat="false" ht="15.75" hidden="false" customHeight="false" outlineLevel="0" collapsed="false">
      <c r="A653" s="3" t="s">
        <v>1264</v>
      </c>
      <c r="B653" s="3" t="s">
        <v>1265</v>
      </c>
      <c r="C653" s="1" t="s">
        <v>443</v>
      </c>
    </row>
    <row r="654" customFormat="false" ht="15.75" hidden="false" customHeight="false" outlineLevel="0" collapsed="false">
      <c r="A654" s="3" t="s">
        <v>1266</v>
      </c>
      <c r="B654" s="3" t="s">
        <v>1267</v>
      </c>
      <c r="C654" s="1" t="s">
        <v>443</v>
      </c>
    </row>
    <row r="655" customFormat="false" ht="15.75" hidden="false" customHeight="false" outlineLevel="0" collapsed="false">
      <c r="A655" s="3" t="s">
        <v>1268</v>
      </c>
      <c r="B655" s="3" t="s">
        <v>1269</v>
      </c>
      <c r="C655" s="1" t="s">
        <v>443</v>
      </c>
    </row>
    <row r="656" customFormat="false" ht="15.75" hidden="false" customHeight="false" outlineLevel="0" collapsed="false">
      <c r="A656" s="3" t="s">
        <v>1270</v>
      </c>
      <c r="B656" s="3" t="s">
        <v>1271</v>
      </c>
      <c r="C656" s="1" t="s">
        <v>443</v>
      </c>
    </row>
    <row r="657" customFormat="false" ht="15.75" hidden="false" customHeight="false" outlineLevel="0" collapsed="false">
      <c r="A657" s="3" t="s">
        <v>1272</v>
      </c>
      <c r="B657" s="3" t="s">
        <v>1273</v>
      </c>
      <c r="C657" s="1" t="s">
        <v>443</v>
      </c>
    </row>
    <row r="658" customFormat="false" ht="15.75" hidden="false" customHeight="false" outlineLevel="0" collapsed="false">
      <c r="A658" s="3" t="s">
        <v>1274</v>
      </c>
      <c r="B658" s="3" t="s">
        <v>1275</v>
      </c>
      <c r="C658" s="1" t="s">
        <v>443</v>
      </c>
    </row>
    <row r="659" customFormat="false" ht="15.75" hidden="false" customHeight="false" outlineLevel="0" collapsed="false">
      <c r="A659" s="3" t="s">
        <v>1276</v>
      </c>
      <c r="B659" s="3" t="s">
        <v>1277</v>
      </c>
      <c r="C659" s="1" t="s">
        <v>443</v>
      </c>
    </row>
    <row r="660" customFormat="false" ht="15.75" hidden="false" customHeight="false" outlineLevel="0" collapsed="false">
      <c r="A660" s="3" t="s">
        <v>1278</v>
      </c>
      <c r="B660" s="3" t="s">
        <v>1279</v>
      </c>
      <c r="C660" s="1" t="s">
        <v>443</v>
      </c>
    </row>
    <row r="661" customFormat="false" ht="15.75" hidden="false" customHeight="false" outlineLevel="0" collapsed="false">
      <c r="A661" s="3" t="s">
        <v>1280</v>
      </c>
      <c r="B661" s="3" t="s">
        <v>1281</v>
      </c>
      <c r="C661" s="1" t="s">
        <v>443</v>
      </c>
    </row>
    <row r="662" customFormat="false" ht="15.75" hidden="false" customHeight="false" outlineLevel="0" collapsed="false">
      <c r="A662" s="3" t="s">
        <v>1282</v>
      </c>
      <c r="B662" s="3" t="s">
        <v>1283</v>
      </c>
      <c r="C662" s="1" t="s">
        <v>443</v>
      </c>
    </row>
    <row r="663" customFormat="false" ht="15.75" hidden="false" customHeight="false" outlineLevel="0" collapsed="false">
      <c r="A663" s="3" t="s">
        <v>1284</v>
      </c>
      <c r="B663" s="3" t="s">
        <v>1285</v>
      </c>
      <c r="C663" s="1" t="s">
        <v>443</v>
      </c>
    </row>
    <row r="664" customFormat="false" ht="15.75" hidden="false" customHeight="false" outlineLevel="0" collapsed="false">
      <c r="A664" s="3" t="s">
        <v>1286</v>
      </c>
      <c r="B664" s="3" t="s">
        <v>1287</v>
      </c>
      <c r="C664" s="1" t="s">
        <v>443</v>
      </c>
    </row>
    <row r="665" customFormat="false" ht="15.75" hidden="false" customHeight="false" outlineLevel="0" collapsed="false">
      <c r="A665" s="3" t="s">
        <v>1288</v>
      </c>
      <c r="B665" s="3" t="s">
        <v>1289</v>
      </c>
      <c r="C665" s="1" t="s">
        <v>443</v>
      </c>
    </row>
    <row r="666" customFormat="false" ht="15.75" hidden="false" customHeight="false" outlineLevel="0" collapsed="false">
      <c r="A666" s="3" t="s">
        <v>1290</v>
      </c>
      <c r="B666" s="3" t="s">
        <v>1291</v>
      </c>
      <c r="C666" s="1" t="s">
        <v>443</v>
      </c>
    </row>
    <row r="667" customFormat="false" ht="15.75" hidden="false" customHeight="false" outlineLevel="0" collapsed="false">
      <c r="A667" s="3" t="s">
        <v>1292</v>
      </c>
      <c r="B667" s="3" t="s">
        <v>1293</v>
      </c>
      <c r="C667" s="1" t="s">
        <v>443</v>
      </c>
    </row>
    <row r="668" customFormat="false" ht="15.75" hidden="false" customHeight="false" outlineLevel="0" collapsed="false">
      <c r="A668" s="3" t="s">
        <v>1294</v>
      </c>
      <c r="B668" s="3" t="s">
        <v>1295</v>
      </c>
      <c r="C668" s="1" t="s">
        <v>443</v>
      </c>
    </row>
    <row r="669" customFormat="false" ht="15.75" hidden="false" customHeight="false" outlineLevel="0" collapsed="false">
      <c r="A669" s="3" t="s">
        <v>1296</v>
      </c>
      <c r="B669" s="3" t="s">
        <v>1297</v>
      </c>
      <c r="C669" s="1" t="s">
        <v>443</v>
      </c>
    </row>
    <row r="670" customFormat="false" ht="15.75" hidden="false" customHeight="false" outlineLevel="0" collapsed="false">
      <c r="A670" s="3" t="s">
        <v>1298</v>
      </c>
      <c r="B670" s="3" t="s">
        <v>1299</v>
      </c>
      <c r="C670" s="1" t="s">
        <v>443</v>
      </c>
    </row>
    <row r="671" customFormat="false" ht="15.75" hidden="false" customHeight="false" outlineLevel="0" collapsed="false">
      <c r="A671" s="3" t="s">
        <v>1300</v>
      </c>
      <c r="B671" s="3" t="s">
        <v>1301</v>
      </c>
      <c r="C671" s="1" t="s">
        <v>443</v>
      </c>
    </row>
    <row r="672" customFormat="false" ht="15.75" hidden="false" customHeight="false" outlineLevel="0" collapsed="false">
      <c r="A672" s="3" t="s">
        <v>1302</v>
      </c>
      <c r="B672" s="3" t="s">
        <v>1303</v>
      </c>
      <c r="C672" s="1" t="s">
        <v>443</v>
      </c>
    </row>
    <row r="673" customFormat="false" ht="15.75" hidden="false" customHeight="false" outlineLevel="0" collapsed="false">
      <c r="A673" s="3" t="s">
        <v>1304</v>
      </c>
      <c r="B673" s="3" t="s">
        <v>1305</v>
      </c>
      <c r="C673" s="1" t="s">
        <v>443</v>
      </c>
    </row>
    <row r="674" customFormat="false" ht="15.75" hidden="false" customHeight="false" outlineLevel="0" collapsed="false">
      <c r="A674" s="3" t="s">
        <v>1306</v>
      </c>
      <c r="B674" s="3" t="s">
        <v>1307</v>
      </c>
      <c r="C674" s="1" t="s">
        <v>443</v>
      </c>
    </row>
    <row r="675" customFormat="false" ht="15.75" hidden="false" customHeight="false" outlineLevel="0" collapsed="false">
      <c r="A675" s="3" t="s">
        <v>1308</v>
      </c>
      <c r="B675" s="3" t="s">
        <v>1309</v>
      </c>
      <c r="C675" s="1" t="s">
        <v>443</v>
      </c>
    </row>
    <row r="676" customFormat="false" ht="15.75" hidden="false" customHeight="false" outlineLevel="0" collapsed="false">
      <c r="A676" s="3" t="s">
        <v>1310</v>
      </c>
      <c r="B676" s="3" t="s">
        <v>1311</v>
      </c>
      <c r="C676" s="1" t="s">
        <v>443</v>
      </c>
    </row>
    <row r="677" customFormat="false" ht="15.75" hidden="false" customHeight="false" outlineLevel="0" collapsed="false">
      <c r="A677" s="3" t="s">
        <v>1312</v>
      </c>
      <c r="B677" s="3" t="s">
        <v>1313</v>
      </c>
      <c r="C677" s="1" t="s">
        <v>443</v>
      </c>
    </row>
    <row r="678" customFormat="false" ht="15.75" hidden="false" customHeight="false" outlineLevel="0" collapsed="false">
      <c r="A678" s="3" t="s">
        <v>1314</v>
      </c>
      <c r="B678" s="3" t="s">
        <v>1315</v>
      </c>
      <c r="C678" s="1" t="s">
        <v>443</v>
      </c>
    </row>
    <row r="679" customFormat="false" ht="15.75" hidden="false" customHeight="false" outlineLevel="0" collapsed="false">
      <c r="A679" s="3" t="s">
        <v>1316</v>
      </c>
      <c r="B679" s="3" t="s">
        <v>1317</v>
      </c>
      <c r="C679" s="1" t="s">
        <v>443</v>
      </c>
    </row>
    <row r="680" customFormat="false" ht="15.75" hidden="false" customHeight="false" outlineLevel="0" collapsed="false">
      <c r="A680" s="3" t="s">
        <v>1318</v>
      </c>
      <c r="B680" s="3" t="s">
        <v>1319</v>
      </c>
      <c r="C680" s="1" t="s">
        <v>443</v>
      </c>
    </row>
    <row r="681" customFormat="false" ht="15.75" hidden="false" customHeight="false" outlineLevel="0" collapsed="false">
      <c r="A681" s="3" t="s">
        <v>1320</v>
      </c>
      <c r="B681" s="3" t="s">
        <v>1321</v>
      </c>
      <c r="C681" s="1" t="s">
        <v>443</v>
      </c>
    </row>
    <row r="682" customFormat="false" ht="15.75" hidden="false" customHeight="false" outlineLevel="0" collapsed="false">
      <c r="A682" s="3" t="s">
        <v>1322</v>
      </c>
      <c r="B682" s="3" t="s">
        <v>1323</v>
      </c>
      <c r="C682" s="1" t="s">
        <v>443</v>
      </c>
    </row>
    <row r="683" customFormat="false" ht="15.75" hidden="false" customHeight="false" outlineLevel="0" collapsed="false">
      <c r="A683" s="3" t="s">
        <v>1324</v>
      </c>
      <c r="B683" s="3" t="s">
        <v>1325</v>
      </c>
      <c r="C683" s="1" t="s">
        <v>443</v>
      </c>
    </row>
    <row r="684" customFormat="false" ht="15.75" hidden="false" customHeight="false" outlineLevel="0" collapsed="false">
      <c r="A684" s="3" t="s">
        <v>1326</v>
      </c>
      <c r="B684" s="3" t="s">
        <v>1327</v>
      </c>
      <c r="C684" s="1" t="s">
        <v>443</v>
      </c>
    </row>
    <row r="685" customFormat="false" ht="15.75" hidden="false" customHeight="false" outlineLevel="0" collapsed="false">
      <c r="A685" s="3" t="s">
        <v>1328</v>
      </c>
      <c r="B685" s="3" t="s">
        <v>1329</v>
      </c>
      <c r="C685" s="1" t="s">
        <v>443</v>
      </c>
    </row>
    <row r="686" customFormat="false" ht="15.75" hidden="false" customHeight="false" outlineLevel="0" collapsed="false">
      <c r="A686" s="3" t="s">
        <v>1330</v>
      </c>
      <c r="B686" s="3" t="s">
        <v>1331</v>
      </c>
      <c r="C686" s="1" t="s">
        <v>443</v>
      </c>
    </row>
    <row r="687" customFormat="false" ht="15.75" hidden="false" customHeight="false" outlineLevel="0" collapsed="false">
      <c r="A687" s="3" t="s">
        <v>1332</v>
      </c>
      <c r="B687" s="3" t="s">
        <v>1333</v>
      </c>
      <c r="C687" s="1" t="s">
        <v>443</v>
      </c>
    </row>
    <row r="688" customFormat="false" ht="15.75" hidden="false" customHeight="false" outlineLevel="0" collapsed="false">
      <c r="A688" s="3" t="s">
        <v>1334</v>
      </c>
      <c r="B688" s="3" t="s">
        <v>1335</v>
      </c>
      <c r="C688" s="1" t="s">
        <v>443</v>
      </c>
    </row>
    <row r="689" customFormat="false" ht="15.75" hidden="false" customHeight="false" outlineLevel="0" collapsed="false">
      <c r="A689" s="3" t="s">
        <v>1336</v>
      </c>
      <c r="B689" s="3" t="s">
        <v>1337</v>
      </c>
      <c r="C689" s="1" t="s">
        <v>443</v>
      </c>
    </row>
    <row r="690" customFormat="false" ht="15.75" hidden="false" customHeight="false" outlineLevel="0" collapsed="false">
      <c r="A690" s="3" t="s">
        <v>1338</v>
      </c>
      <c r="B690" s="3" t="s">
        <v>1339</v>
      </c>
      <c r="C690" s="1" t="s">
        <v>443</v>
      </c>
    </row>
    <row r="691" customFormat="false" ht="15.75" hidden="false" customHeight="false" outlineLevel="0" collapsed="false">
      <c r="A691" s="3" t="s">
        <v>1340</v>
      </c>
      <c r="B691" s="3" t="s">
        <v>1341</v>
      </c>
      <c r="C691" s="1" t="s">
        <v>443</v>
      </c>
    </row>
    <row r="692" customFormat="false" ht="15.75" hidden="false" customHeight="false" outlineLevel="0" collapsed="false">
      <c r="A692" s="3" t="s">
        <v>1342</v>
      </c>
      <c r="B692" s="3" t="s">
        <v>1343</v>
      </c>
      <c r="C692" s="1" t="s">
        <v>443</v>
      </c>
    </row>
    <row r="693" customFormat="false" ht="15.75" hidden="false" customHeight="false" outlineLevel="0" collapsed="false">
      <c r="A693" s="3" t="s">
        <v>1344</v>
      </c>
      <c r="B693" s="3" t="s">
        <v>1345</v>
      </c>
      <c r="C693" s="1" t="s">
        <v>443</v>
      </c>
    </row>
    <row r="694" customFormat="false" ht="15.75" hidden="false" customHeight="false" outlineLevel="0" collapsed="false">
      <c r="A694" s="3" t="s">
        <v>1346</v>
      </c>
      <c r="B694" s="3" t="s">
        <v>1347</v>
      </c>
      <c r="C694" s="1" t="s">
        <v>443</v>
      </c>
    </row>
    <row r="695" customFormat="false" ht="15.75" hidden="false" customHeight="false" outlineLevel="0" collapsed="false">
      <c r="A695" s="3" t="s">
        <v>1348</v>
      </c>
      <c r="B695" s="3" t="s">
        <v>1349</v>
      </c>
      <c r="C695" s="1" t="s">
        <v>443</v>
      </c>
    </row>
    <row r="696" customFormat="false" ht="15.75" hidden="false" customHeight="false" outlineLevel="0" collapsed="false">
      <c r="A696" s="3" t="s">
        <v>1350</v>
      </c>
      <c r="B696" s="3" t="s">
        <v>377</v>
      </c>
      <c r="C696" s="1" t="s">
        <v>443</v>
      </c>
    </row>
    <row r="697" customFormat="false" ht="15.75" hidden="false" customHeight="false" outlineLevel="0" collapsed="false">
      <c r="A697" s="3" t="s">
        <v>1351</v>
      </c>
      <c r="B697" s="3" t="s">
        <v>1352</v>
      </c>
      <c r="C697" s="1" t="s">
        <v>443</v>
      </c>
    </row>
    <row r="698" customFormat="false" ht="15.75" hidden="false" customHeight="false" outlineLevel="0" collapsed="false">
      <c r="A698" s="3" t="s">
        <v>1353</v>
      </c>
      <c r="B698" s="3" t="s">
        <v>1354</v>
      </c>
      <c r="C698" s="1" t="s">
        <v>443</v>
      </c>
    </row>
    <row r="699" customFormat="false" ht="15.75" hidden="false" customHeight="false" outlineLevel="0" collapsed="false">
      <c r="A699" s="3" t="s">
        <v>1355</v>
      </c>
      <c r="B699" s="3" t="s">
        <v>1356</v>
      </c>
      <c r="C699" s="1" t="s">
        <v>443</v>
      </c>
    </row>
    <row r="700" customFormat="false" ht="15.75" hidden="false" customHeight="false" outlineLevel="0" collapsed="false">
      <c r="A700" s="3" t="s">
        <v>1357</v>
      </c>
      <c r="B700" s="3" t="s">
        <v>1358</v>
      </c>
      <c r="C700" s="1" t="s">
        <v>443</v>
      </c>
    </row>
    <row r="701" customFormat="false" ht="15.75" hidden="false" customHeight="false" outlineLevel="0" collapsed="false">
      <c r="A701" s="3" t="s">
        <v>1359</v>
      </c>
      <c r="B701" s="3" t="s">
        <v>1360</v>
      </c>
      <c r="C701" s="1" t="s">
        <v>443</v>
      </c>
    </row>
    <row r="702" customFormat="false" ht="15.75" hidden="false" customHeight="false" outlineLevel="0" collapsed="false">
      <c r="A702" s="3" t="s">
        <v>1361</v>
      </c>
      <c r="B702" s="3" t="s">
        <v>1362</v>
      </c>
      <c r="C702" s="1" t="s">
        <v>443</v>
      </c>
    </row>
    <row r="703" customFormat="false" ht="15.75" hidden="false" customHeight="false" outlineLevel="0" collapsed="false">
      <c r="A703" s="3" t="s">
        <v>1363</v>
      </c>
      <c r="B703" s="3" t="s">
        <v>1364</v>
      </c>
      <c r="C703" s="1" t="s">
        <v>443</v>
      </c>
    </row>
    <row r="704" customFormat="false" ht="15.75" hidden="false" customHeight="false" outlineLevel="0" collapsed="false">
      <c r="A704" s="3" t="s">
        <v>1365</v>
      </c>
      <c r="B704" s="3" t="s">
        <v>1366</v>
      </c>
      <c r="C704" s="1" t="s">
        <v>443</v>
      </c>
    </row>
    <row r="705" customFormat="false" ht="15.75" hidden="false" customHeight="false" outlineLevel="0" collapsed="false">
      <c r="A705" s="3" t="s">
        <v>1367</v>
      </c>
      <c r="B705" s="3" t="s">
        <v>1368</v>
      </c>
      <c r="C705" s="1" t="s">
        <v>443</v>
      </c>
    </row>
    <row r="706" customFormat="false" ht="15.75" hidden="false" customHeight="false" outlineLevel="0" collapsed="false">
      <c r="A706" s="3" t="s">
        <v>1369</v>
      </c>
      <c r="B706" s="3" t="s">
        <v>1370</v>
      </c>
      <c r="C706" s="1" t="s">
        <v>443</v>
      </c>
    </row>
    <row r="707" customFormat="false" ht="15.75" hidden="false" customHeight="false" outlineLevel="0" collapsed="false">
      <c r="A707" s="3" t="s">
        <v>1371</v>
      </c>
      <c r="B707" s="3" t="s">
        <v>1372</v>
      </c>
      <c r="C707" s="1" t="s">
        <v>443</v>
      </c>
    </row>
    <row r="708" customFormat="false" ht="15.75" hidden="false" customHeight="false" outlineLevel="0" collapsed="false">
      <c r="A708" s="3" t="s">
        <v>1373</v>
      </c>
      <c r="B708" s="3" t="s">
        <v>1374</v>
      </c>
      <c r="C708" s="1" t="s">
        <v>443</v>
      </c>
    </row>
    <row r="709" customFormat="false" ht="15.75" hidden="false" customHeight="false" outlineLevel="0" collapsed="false">
      <c r="A709" s="3" t="s">
        <v>1375</v>
      </c>
      <c r="B709" s="3" t="s">
        <v>1376</v>
      </c>
      <c r="C709" s="1" t="s">
        <v>443</v>
      </c>
    </row>
    <row r="710" customFormat="false" ht="15.75" hidden="false" customHeight="false" outlineLevel="0" collapsed="false">
      <c r="A710" s="3" t="s">
        <v>1377</v>
      </c>
      <c r="B710" s="3" t="s">
        <v>1378</v>
      </c>
      <c r="C710" s="1" t="s">
        <v>443</v>
      </c>
    </row>
    <row r="711" customFormat="false" ht="15.75" hidden="false" customHeight="false" outlineLevel="0" collapsed="false">
      <c r="A711" s="3" t="s">
        <v>1379</v>
      </c>
      <c r="B711" s="3" t="s">
        <v>1380</v>
      </c>
      <c r="C711" s="1" t="s">
        <v>443</v>
      </c>
    </row>
    <row r="712" customFormat="false" ht="15.75" hidden="false" customHeight="false" outlineLevel="0" collapsed="false">
      <c r="A712" s="3" t="s">
        <v>1381</v>
      </c>
      <c r="B712" s="3" t="s">
        <v>1382</v>
      </c>
      <c r="C712" s="1" t="s">
        <v>443</v>
      </c>
    </row>
    <row r="713" customFormat="false" ht="15.75" hidden="false" customHeight="false" outlineLevel="0" collapsed="false">
      <c r="A713" s="3" t="s">
        <v>1383</v>
      </c>
      <c r="B713" s="3" t="s">
        <v>356</v>
      </c>
      <c r="C713" s="1" t="s">
        <v>443</v>
      </c>
    </row>
    <row r="714" customFormat="false" ht="15.75" hidden="false" customHeight="false" outlineLevel="0" collapsed="false">
      <c r="A714" s="3" t="s">
        <v>1384</v>
      </c>
      <c r="B714" s="3" t="s">
        <v>1385</v>
      </c>
      <c r="C714" s="1" t="s">
        <v>443</v>
      </c>
    </row>
    <row r="715" customFormat="false" ht="15.75" hidden="false" customHeight="false" outlineLevel="0" collapsed="false">
      <c r="A715" s="3" t="s">
        <v>1386</v>
      </c>
      <c r="B715" s="3" t="s">
        <v>1387</v>
      </c>
      <c r="C715" s="1" t="s">
        <v>443</v>
      </c>
    </row>
    <row r="716" customFormat="false" ht="15.75" hidden="false" customHeight="false" outlineLevel="0" collapsed="false">
      <c r="A716" s="3" t="s">
        <v>1388</v>
      </c>
      <c r="B716" s="3" t="s">
        <v>1389</v>
      </c>
      <c r="C716" s="1" t="s">
        <v>443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0.5234375" defaultRowHeight="15.75" zeroHeight="false" outlineLevelRow="0" outlineLevelCol="0"/>
  <cols>
    <col collapsed="false" customWidth="true" hidden="false" outlineLevel="0" max="1" min="1" style="0" width="48.5"/>
    <col collapsed="false" customWidth="true" hidden="false" outlineLevel="0" max="7" min="6" style="0" width="12.16"/>
  </cols>
  <sheetData>
    <row r="1" customFormat="false" ht="15.75" hidden="false" customHeight="false" outlineLevel="0" collapsed="false">
      <c r="A1" s="5" t="s">
        <v>0</v>
      </c>
      <c r="B1" s="5" t="s">
        <v>1390</v>
      </c>
      <c r="C1" s="5" t="s">
        <v>1391</v>
      </c>
      <c r="D1" s="5" t="s">
        <v>1392</v>
      </c>
      <c r="E1" s="5" t="s">
        <v>1393</v>
      </c>
      <c r="F1" s="5" t="s">
        <v>1394</v>
      </c>
      <c r="G1" s="5" t="s">
        <v>1395</v>
      </c>
    </row>
    <row r="2" customFormat="false" ht="15.75" hidden="false" customHeight="false" outlineLevel="0" collapsed="false">
      <c r="A2" s="3" t="s">
        <v>441</v>
      </c>
      <c r="B2" s="3" t="n">
        <v>-5.04076329665404</v>
      </c>
      <c r="C2" s="3" t="n">
        <v>0.00646880881325263</v>
      </c>
      <c r="D2" s="3" t="n">
        <v>1839.10577682896</v>
      </c>
      <c r="E2" s="3" t="n">
        <v>15291.1750954249</v>
      </c>
      <c r="F2" s="3" t="n">
        <v>4.71079541785369E-005</v>
      </c>
      <c r="G2" s="3" t="n">
        <v>0.999397308772721</v>
      </c>
    </row>
    <row r="3" customFormat="false" ht="15.75" hidden="false" customHeight="false" outlineLevel="0" collapsed="false">
      <c r="A3" s="3" t="s">
        <v>444</v>
      </c>
      <c r="B3" s="3" t="n">
        <v>-5.05348754917786</v>
      </c>
      <c r="C3" s="3" t="n">
        <v>0.00638701951375074</v>
      </c>
      <c r="D3" s="3" t="n">
        <v>1911.88581112137</v>
      </c>
      <c r="E3" s="3" t="n">
        <v>15896.3019249078</v>
      </c>
      <c r="F3" s="3" t="n">
        <v>7.94573668447476E-005</v>
      </c>
      <c r="G3" s="3" t="n">
        <v>0.999590991242723</v>
      </c>
    </row>
    <row r="4" customFormat="false" ht="15.75" hidden="false" customHeight="false" outlineLevel="0" collapsed="false">
      <c r="A4" s="3" t="s">
        <v>1396</v>
      </c>
      <c r="B4" s="3" t="n">
        <v>-4.94699819840287</v>
      </c>
      <c r="C4" s="3" t="n">
        <v>0.0071047038628813</v>
      </c>
      <c r="D4" s="3" t="n">
        <v>1104.26471848697</v>
      </c>
      <c r="E4" s="3" t="n">
        <v>9181.36703980064</v>
      </c>
      <c r="F4" s="3" t="n">
        <v>5.81695476788668E-005</v>
      </c>
      <c r="G4" s="3"/>
    </row>
    <row r="5" customFormat="false" ht="15.75" hidden="false" customHeight="false" outlineLevel="0" collapsed="false">
      <c r="A5" s="3" t="s">
        <v>1397</v>
      </c>
      <c r="B5" s="3" t="n">
        <v>-6.32944696029639</v>
      </c>
      <c r="C5" s="3" t="n">
        <v>0.00178301957709934</v>
      </c>
      <c r="D5" s="3" t="n">
        <v>2563.47149099575</v>
      </c>
      <c r="E5" s="3" t="n">
        <v>21313.8862999675</v>
      </c>
      <c r="F5" s="3" t="n">
        <v>3.36081523502153E-006</v>
      </c>
      <c r="G5" s="3"/>
    </row>
    <row r="6" customFormat="false" ht="15.75" hidden="false" customHeight="false" outlineLevel="0" collapsed="false">
      <c r="A6" s="3" t="s">
        <v>3</v>
      </c>
      <c r="B6" s="3" t="n">
        <v>-4.20006568671725</v>
      </c>
      <c r="C6" s="3" t="n">
        <v>0.0149945918426134</v>
      </c>
      <c r="D6" s="3" t="n">
        <v>1125.87919500114</v>
      </c>
      <c r="E6" s="3" t="n">
        <v>9361.07978342758</v>
      </c>
      <c r="F6" s="3" t="n">
        <v>2.65365259012469E-006</v>
      </c>
      <c r="G6" s="3"/>
    </row>
    <row r="7" customFormat="false" ht="15.75" hidden="false" customHeight="false" outlineLevel="0" collapsed="false">
      <c r="A7" s="3" t="s">
        <v>446</v>
      </c>
      <c r="B7" s="3" t="n">
        <v>-3.95809212553034</v>
      </c>
      <c r="C7" s="3" t="n">
        <v>0.0190995190374807</v>
      </c>
      <c r="D7" s="3" t="n">
        <v>951.174273456909</v>
      </c>
      <c r="E7" s="3" t="n">
        <v>7908.50235203508</v>
      </c>
      <c r="F7" s="3" t="n">
        <v>1.26038955430852E-006</v>
      </c>
      <c r="G7" s="3" t="n">
        <v>0.999966840485264</v>
      </c>
    </row>
    <row r="8" customFormat="false" ht="15.75" hidden="false" customHeight="false" outlineLevel="0" collapsed="false">
      <c r="A8" s="3" t="s">
        <v>448</v>
      </c>
      <c r="B8" s="3" t="n">
        <v>-4.29054350690662</v>
      </c>
      <c r="C8" s="3" t="n">
        <v>0.0136974785996603</v>
      </c>
      <c r="D8" s="3" t="n">
        <v>1158.61517400879</v>
      </c>
      <c r="E8" s="3" t="n">
        <v>9633.26183691946</v>
      </c>
      <c r="F8" s="3" t="n">
        <v>1.52762927022144E-007</v>
      </c>
      <c r="G8" s="3" t="n">
        <v>0.999992778223517</v>
      </c>
    </row>
    <row r="9" customFormat="false" ht="15.75" hidden="false" customHeight="false" outlineLevel="0" collapsed="false">
      <c r="A9" s="3" t="s">
        <v>450</v>
      </c>
      <c r="B9" s="3" t="n">
        <v>-5.81613593121931</v>
      </c>
      <c r="C9" s="3" t="n">
        <v>0.00297909435843473</v>
      </c>
      <c r="D9" s="3" t="n">
        <v>2946.02175767277</v>
      </c>
      <c r="E9" s="3" t="n">
        <v>24494.5859553435</v>
      </c>
      <c r="F9" s="3" t="n">
        <v>0.00122606721626734</v>
      </c>
      <c r="G9" s="3" t="n">
        <v>0.995195672529822</v>
      </c>
    </row>
    <row r="10" customFormat="false" ht="15.75" hidden="false" customHeight="false" outlineLevel="0" collapsed="false">
      <c r="A10" s="3" t="s">
        <v>222</v>
      </c>
      <c r="B10" s="3" t="n">
        <v>-10.1946837878953</v>
      </c>
      <c r="C10" s="3" t="n">
        <v>3.73684501701191E-005</v>
      </c>
      <c r="D10" s="3" t="n">
        <v>4364.59029879696</v>
      </c>
      <c r="E10" s="3" t="n">
        <v>36289.2201849159</v>
      </c>
      <c r="F10" s="3" t="n">
        <v>1.5686774027101</v>
      </c>
      <c r="G10" s="3"/>
    </row>
    <row r="11" customFormat="false" ht="15.75" hidden="false" customHeight="false" outlineLevel="0" collapsed="false">
      <c r="A11" s="3" t="s">
        <v>224</v>
      </c>
      <c r="B11" s="3" t="n">
        <v>-5.79682598959134</v>
      </c>
      <c r="C11" s="3" t="n">
        <v>0.0030371795021092</v>
      </c>
      <c r="D11" s="3" t="n">
        <v>2250.12986223108</v>
      </c>
      <c r="E11" s="3" t="n">
        <v>18708.6192345856</v>
      </c>
      <c r="F11" s="3" t="n">
        <v>0.056676080613539</v>
      </c>
      <c r="G11" s="3"/>
    </row>
    <row r="12" customFormat="false" ht="15.75" hidden="false" customHeight="false" outlineLevel="0" collapsed="false">
      <c r="A12" s="3" t="s">
        <v>452</v>
      </c>
      <c r="B12" s="3" t="n">
        <v>-7.3951597948028</v>
      </c>
      <c r="C12" s="3" t="n">
        <v>0.000614218521575311</v>
      </c>
      <c r="D12" s="3" t="n">
        <v>2345.40195407084</v>
      </c>
      <c r="E12" s="3" t="n">
        <v>19500.7554218477</v>
      </c>
      <c r="F12" s="3" t="n">
        <v>0.0497790520581567</v>
      </c>
      <c r="G12" s="3" t="n">
        <v>0.913708050905077</v>
      </c>
    </row>
    <row r="13" customFormat="false" ht="15.75" hidden="false" customHeight="false" outlineLevel="0" collapsed="false">
      <c r="A13" s="3" t="s">
        <v>454</v>
      </c>
      <c r="B13" s="3" t="n">
        <v>-3.87421102067377</v>
      </c>
      <c r="C13" s="3" t="n">
        <v>0.0207707190785779</v>
      </c>
      <c r="D13" s="3" t="n">
        <v>1276.19815117979</v>
      </c>
      <c r="E13" s="3" t="n">
        <v>10610.9010324546</v>
      </c>
      <c r="F13" s="3" t="n">
        <v>0.000401798280245217</v>
      </c>
      <c r="G13" s="3" t="n">
        <v>0.997853579966403</v>
      </c>
    </row>
    <row r="14" customFormat="false" ht="15.75" hidden="false" customHeight="false" outlineLevel="0" collapsed="false">
      <c r="A14" s="3" t="s">
        <v>6</v>
      </c>
      <c r="B14" s="3" t="n">
        <v>-5.38744814349345</v>
      </c>
      <c r="C14" s="3" t="n">
        <v>0.00457362970343798</v>
      </c>
      <c r="D14" s="3" t="n">
        <v>1807.91972810104</v>
      </c>
      <c r="E14" s="3" t="n">
        <v>15031.8798783464</v>
      </c>
      <c r="F14" s="3" t="n">
        <v>7.09181726517485E-007</v>
      </c>
      <c r="G14" s="3"/>
    </row>
    <row r="15" customFormat="false" ht="15.75" hidden="false" customHeight="false" outlineLevel="0" collapsed="false">
      <c r="A15" s="3" t="s">
        <v>8</v>
      </c>
      <c r="B15" s="3" t="n">
        <v>-8.14022927655129</v>
      </c>
      <c r="C15" s="3" t="n">
        <v>0.000291570340329304</v>
      </c>
      <c r="D15" s="3" t="n">
        <v>3321.16716500805</v>
      </c>
      <c r="E15" s="3" t="n">
        <v>27613.7181891072</v>
      </c>
      <c r="F15" s="3" t="n">
        <v>0.00740194155684177</v>
      </c>
      <c r="G15" s="3"/>
    </row>
    <row r="16" customFormat="false" ht="15.75" hidden="false" customHeight="false" outlineLevel="0" collapsed="false">
      <c r="A16" s="3" t="s">
        <v>456</v>
      </c>
      <c r="B16" s="3" t="n">
        <v>-8.61316774062448</v>
      </c>
      <c r="C16" s="3" t="n">
        <v>0.000181697427498286</v>
      </c>
      <c r="D16" s="3" t="n">
        <v>3545.60694003406</v>
      </c>
      <c r="E16" s="3" t="n">
        <v>29479.8141698494</v>
      </c>
      <c r="F16" s="3" t="n">
        <v>0.0219643065004228</v>
      </c>
      <c r="G16" s="3" t="n">
        <v>0.977643933668002</v>
      </c>
    </row>
    <row r="17" customFormat="false" ht="15.75" hidden="false" customHeight="false" outlineLevel="0" collapsed="false">
      <c r="A17" s="3" t="s">
        <v>458</v>
      </c>
      <c r="B17" s="3" t="n">
        <v>-10.5584692948916</v>
      </c>
      <c r="C17" s="3" t="n">
        <v>2.59725773231089E-005</v>
      </c>
      <c r="D17" s="3" t="n">
        <v>4112.32481079808</v>
      </c>
      <c r="E17" s="3" t="n">
        <v>34191.7683710378</v>
      </c>
      <c r="F17" s="3" t="n">
        <v>0.0933968538072921</v>
      </c>
      <c r="G17" s="3" t="n">
        <v>0.938176924410172</v>
      </c>
    </row>
    <row r="18" customFormat="false" ht="15.75" hidden="false" customHeight="false" outlineLevel="0" collapsed="false">
      <c r="A18" s="3" t="s">
        <v>460</v>
      </c>
      <c r="B18" s="3" t="n">
        <v>-9.96070292900696</v>
      </c>
      <c r="C18" s="3" t="n">
        <v>4.72195323968187E-005</v>
      </c>
      <c r="D18" s="3" t="n">
        <v>3838.94630324649</v>
      </c>
      <c r="E18" s="3" t="n">
        <v>31918.7731583834</v>
      </c>
      <c r="F18" s="3" t="n">
        <v>0.0896125219604772</v>
      </c>
      <c r="G18" s="3" t="n">
        <v>0.930206917938904</v>
      </c>
    </row>
    <row r="19" customFormat="false" ht="15.75" hidden="false" customHeight="false" outlineLevel="0" collapsed="false">
      <c r="A19" s="3" t="s">
        <v>462</v>
      </c>
      <c r="B19" s="3" t="n">
        <v>-3.90418440630463</v>
      </c>
      <c r="C19" s="3" t="n">
        <v>0.0201573880274237</v>
      </c>
      <c r="D19" s="3" t="n">
        <v>1302.56555670483</v>
      </c>
      <c r="E19" s="3" t="n">
        <v>10830.1318237312</v>
      </c>
      <c r="F19" s="3" t="n">
        <v>0.000581289671116204</v>
      </c>
      <c r="G19" s="3" t="n">
        <v>0.997697556752543</v>
      </c>
    </row>
    <row r="20" customFormat="false" ht="15.75" hidden="false" customHeight="false" outlineLevel="0" collapsed="false">
      <c r="A20" s="3" t="s">
        <v>464</v>
      </c>
      <c r="B20" s="3" t="n">
        <v>-3.34308635274623</v>
      </c>
      <c r="C20" s="3" t="n">
        <v>0.0353277553749825</v>
      </c>
      <c r="D20" s="3" t="n">
        <v>968.652950927157</v>
      </c>
      <c r="E20" s="3" t="n">
        <v>8053.82815167171</v>
      </c>
      <c r="F20" s="3" t="n">
        <v>9.13509057864738E-006</v>
      </c>
      <c r="G20" s="3" t="n">
        <v>0.999856788709741</v>
      </c>
    </row>
    <row r="21" customFormat="false" ht="15.75" hidden="false" customHeight="false" outlineLevel="0" collapsed="false">
      <c r="A21" s="3" t="s">
        <v>466</v>
      </c>
      <c r="B21" s="3" t="n">
        <v>-4.09817549819435</v>
      </c>
      <c r="C21" s="3" t="n">
        <v>0.016602939878357</v>
      </c>
      <c r="D21" s="3" t="n">
        <v>1410.73706861464</v>
      </c>
      <c r="E21" s="3" t="n">
        <v>11729.5197489878</v>
      </c>
      <c r="F21" s="3" t="n">
        <v>0.00656747384803106</v>
      </c>
      <c r="G21" s="3" t="n">
        <v>0.976639822018695</v>
      </c>
    </row>
    <row r="22" customFormat="false" ht="15.75" hidden="false" customHeight="false" outlineLevel="0" collapsed="false">
      <c r="A22" s="3" t="s">
        <v>468</v>
      </c>
      <c r="B22" s="3" t="n">
        <v>-3.76745583104024</v>
      </c>
      <c r="C22" s="3" t="n">
        <v>0.0231107863000574</v>
      </c>
      <c r="D22" s="3" t="n">
        <v>1194.64697078123</v>
      </c>
      <c r="E22" s="3" t="n">
        <v>9932.84684197563</v>
      </c>
      <c r="F22" s="3" t="n">
        <v>7.02732025793821E-005</v>
      </c>
      <c r="G22" s="3" t="n">
        <v>0.999774400788608</v>
      </c>
    </row>
    <row r="23" customFormat="false" ht="15.75" hidden="false" customHeight="false" outlineLevel="0" collapsed="false">
      <c r="A23" s="3" t="s">
        <v>470</v>
      </c>
      <c r="B23" s="3" t="n">
        <v>-4.14846696287925</v>
      </c>
      <c r="C23" s="3" t="n">
        <v>0.0157886024547707</v>
      </c>
      <c r="D23" s="3" t="n">
        <v>1162.73413765464</v>
      </c>
      <c r="E23" s="3" t="n">
        <v>9667.50880363229</v>
      </c>
      <c r="F23" s="3" t="n">
        <v>4.9206658321963E-005</v>
      </c>
      <c r="G23" s="3" t="n">
        <v>0.999704088113262</v>
      </c>
    </row>
    <row r="24" customFormat="false" ht="15.75" hidden="false" customHeight="false" outlineLevel="0" collapsed="false">
      <c r="A24" s="3" t="s">
        <v>472</v>
      </c>
      <c r="B24" s="3" t="n">
        <v>-4.11311510415838</v>
      </c>
      <c r="C24" s="3" t="n">
        <v>0.016356742126524</v>
      </c>
      <c r="D24" s="3" t="n">
        <v>924.659527958624</v>
      </c>
      <c r="E24" s="3" t="n">
        <v>7688.04650814992</v>
      </c>
      <c r="F24" s="3" t="n">
        <v>5.1369064762045E-007</v>
      </c>
      <c r="G24" s="3" t="n">
        <v>0.999997461232968</v>
      </c>
    </row>
    <row r="25" customFormat="false" ht="15.75" hidden="false" customHeight="false" outlineLevel="0" collapsed="false">
      <c r="A25" s="3" t="s">
        <v>1398</v>
      </c>
      <c r="B25" s="3"/>
      <c r="C25" s="3"/>
      <c r="D25" s="3"/>
      <c r="E25" s="3"/>
      <c r="F25" s="3"/>
      <c r="G25" s="3"/>
    </row>
    <row r="26" customFormat="false" ht="15.75" hidden="false" customHeight="false" outlineLevel="0" collapsed="false">
      <c r="A26" s="3" t="s">
        <v>10</v>
      </c>
      <c r="B26" s="3"/>
      <c r="C26" s="3"/>
      <c r="D26" s="3"/>
      <c r="E26" s="3"/>
      <c r="F26" s="3"/>
      <c r="G26" s="3"/>
    </row>
    <row r="27" customFormat="false" ht="15.75" hidden="false" customHeight="false" outlineLevel="0" collapsed="false">
      <c r="A27" s="3" t="s">
        <v>474</v>
      </c>
      <c r="B27" s="3" t="n">
        <v>-5.29704469588626</v>
      </c>
      <c r="C27" s="3" t="n">
        <v>0.00500636740425375</v>
      </c>
      <c r="D27" s="3" t="n">
        <v>989.162894639894</v>
      </c>
      <c r="E27" s="3" t="n">
        <v>8224.3572992934</v>
      </c>
      <c r="F27" s="3" t="n">
        <v>0.000120149672546265</v>
      </c>
      <c r="G27" s="3" t="n">
        <v>0.998597960578524</v>
      </c>
    </row>
    <row r="28" customFormat="false" ht="15.75" hidden="false" customHeight="false" outlineLevel="0" collapsed="false">
      <c r="A28" s="3" t="s">
        <v>476</v>
      </c>
      <c r="B28" s="3" t="n">
        <v>-4.33015905465778</v>
      </c>
      <c r="C28" s="3" t="n">
        <v>0.0131654532968699</v>
      </c>
      <c r="D28" s="3" t="n">
        <v>1121.06478883158</v>
      </c>
      <c r="E28" s="3" t="n">
        <v>9321.05058627823</v>
      </c>
      <c r="F28" s="3" t="n">
        <v>6.76633683921435E-007</v>
      </c>
      <c r="G28" s="3" t="n">
        <v>0.999871855023271</v>
      </c>
    </row>
    <row r="29" customFormat="false" ht="15.75" hidden="false" customHeight="false" outlineLevel="0" collapsed="false">
      <c r="A29" s="3" t="s">
        <v>478</v>
      </c>
      <c r="B29" s="3" t="n">
        <v>-3.73262612485356</v>
      </c>
      <c r="C29" s="3" t="n">
        <v>0.0239299103155124</v>
      </c>
      <c r="D29" s="3" t="n">
        <v>1119.36249711531</v>
      </c>
      <c r="E29" s="3" t="n">
        <v>9306.89694649039</v>
      </c>
      <c r="F29" s="3" t="n">
        <v>1.70369038950481E-006</v>
      </c>
      <c r="G29" s="3" t="n">
        <v>0.999984844322786</v>
      </c>
    </row>
    <row r="30" customFormat="false" ht="15.75" hidden="false" customHeight="false" outlineLevel="0" collapsed="false">
      <c r="A30" s="3" t="s">
        <v>480</v>
      </c>
      <c r="B30" s="3" t="n">
        <v>-3.95666756159793</v>
      </c>
      <c r="C30" s="3" t="n">
        <v>0.0191267469127478</v>
      </c>
      <c r="D30" s="3" t="n">
        <v>998.363113522537</v>
      </c>
      <c r="E30" s="3" t="n">
        <v>8300.85216958482</v>
      </c>
      <c r="F30" s="3" t="n">
        <v>8.04290500306289E-005</v>
      </c>
      <c r="G30" s="3" t="n">
        <v>0.996478046599302</v>
      </c>
    </row>
    <row r="31" customFormat="false" ht="15.75" hidden="false" customHeight="false" outlineLevel="0" collapsed="false">
      <c r="A31" s="3" t="s">
        <v>482</v>
      </c>
      <c r="B31" s="3" t="n">
        <v>-4.57893201802536</v>
      </c>
      <c r="C31" s="3" t="n">
        <v>0.0102658541911759</v>
      </c>
      <c r="D31" s="3" t="n">
        <v>1567.3701031979</v>
      </c>
      <c r="E31" s="3" t="n">
        <v>13031.839162975</v>
      </c>
      <c r="F31" s="3" t="n">
        <v>0.00147432131570726</v>
      </c>
      <c r="G31" s="3" t="n">
        <v>0.997742564240843</v>
      </c>
    </row>
    <row r="32" customFormat="false" ht="15.75" hidden="false" customHeight="false" outlineLevel="0" collapsed="false">
      <c r="A32" s="3" t="s">
        <v>1399</v>
      </c>
      <c r="B32" s="3" t="n">
        <v>-4.53325157188016</v>
      </c>
      <c r="C32" s="3" t="n">
        <v>0.0107456788583895</v>
      </c>
      <c r="D32" s="3" t="n">
        <v>1653.84867201832</v>
      </c>
      <c r="E32" s="3" t="n">
        <v>13750.8619372468</v>
      </c>
      <c r="F32" s="3" t="n">
        <v>0.00239455823751131</v>
      </c>
      <c r="G32" s="3" t="n">
        <v>0.788990283989544</v>
      </c>
    </row>
    <row r="33" customFormat="false" ht="15.75" hidden="false" customHeight="false" outlineLevel="0" collapsed="false">
      <c r="A33" s="3" t="s">
        <v>484</v>
      </c>
      <c r="B33" s="3" t="n">
        <v>-4.9566226776915</v>
      </c>
      <c r="C33" s="3" t="n">
        <v>0.00703665279106689</v>
      </c>
      <c r="D33" s="3" t="n">
        <v>2262.56860098241</v>
      </c>
      <c r="E33" s="3" t="n">
        <v>18812.0406552614</v>
      </c>
      <c r="F33" s="3" t="n">
        <v>0.0126835596251771</v>
      </c>
      <c r="G33" s="3" t="n">
        <v>0.915345871937113</v>
      </c>
    </row>
    <row r="34" customFormat="false" ht="15.75" hidden="false" customHeight="false" outlineLevel="0" collapsed="false">
      <c r="A34" s="3" t="s">
        <v>12</v>
      </c>
      <c r="B34" s="3"/>
      <c r="C34" s="3"/>
      <c r="D34" s="3"/>
      <c r="E34" s="3"/>
      <c r="F34" s="3"/>
      <c r="G34" s="3"/>
    </row>
    <row r="35" customFormat="false" ht="15.75" hidden="false" customHeight="false" outlineLevel="0" collapsed="false">
      <c r="A35" s="3" t="s">
        <v>14</v>
      </c>
      <c r="B35" s="3" t="n">
        <v>-4.82925071811386</v>
      </c>
      <c r="C35" s="3" t="n">
        <v>0.00799250766414317</v>
      </c>
      <c r="D35" s="3" t="n">
        <v>1791.24203653796</v>
      </c>
      <c r="E35" s="3" t="n">
        <v>14893.2138455975</v>
      </c>
      <c r="F35" s="3" t="n">
        <v>0.000297343846837435</v>
      </c>
      <c r="G35" s="3"/>
    </row>
    <row r="36" customFormat="false" ht="15.75" hidden="false" customHeight="false" outlineLevel="0" collapsed="false">
      <c r="A36" s="3" t="s">
        <v>486</v>
      </c>
      <c r="B36" s="3" t="n">
        <v>-3.7781817044205</v>
      </c>
      <c r="C36" s="3" t="n">
        <v>0.0228642275750786</v>
      </c>
      <c r="D36" s="3" t="n">
        <v>1152.34284201128</v>
      </c>
      <c r="E36" s="3" t="n">
        <v>9581.11077087481</v>
      </c>
      <c r="F36" s="3" t="n">
        <v>3.9609925156188E-006</v>
      </c>
      <c r="G36" s="3" t="n">
        <v>0.999936486550978</v>
      </c>
    </row>
    <row r="37" customFormat="false" ht="15.75" hidden="false" customHeight="false" outlineLevel="0" collapsed="false">
      <c r="A37" s="3" t="s">
        <v>1400</v>
      </c>
      <c r="B37" s="3"/>
      <c r="C37" s="3"/>
      <c r="D37" s="3"/>
      <c r="E37" s="3"/>
      <c r="F37" s="3"/>
      <c r="G37" s="3"/>
    </row>
    <row r="38" customFormat="false" ht="15.75" hidden="false" customHeight="false" outlineLevel="0" collapsed="false">
      <c r="A38" s="3" t="s">
        <v>488</v>
      </c>
      <c r="B38" s="3" t="n">
        <v>-3.99209170110101</v>
      </c>
      <c r="C38" s="3" t="n">
        <v>0.0184610586893235</v>
      </c>
      <c r="D38" s="3" t="n">
        <v>1039.9991486677</v>
      </c>
      <c r="E38" s="3" t="n">
        <v>8647.03340162992</v>
      </c>
      <c r="F38" s="3" t="n">
        <v>8.96589116715219E-005</v>
      </c>
      <c r="G38" s="3" t="n">
        <v>0.99644151820659</v>
      </c>
    </row>
    <row r="39" customFormat="false" ht="15.75" hidden="false" customHeight="false" outlineLevel="0" collapsed="false">
      <c r="A39" s="3" t="s">
        <v>490</v>
      </c>
      <c r="B39" s="3" t="n">
        <v>-4.44850129163296</v>
      </c>
      <c r="C39" s="3" t="n">
        <v>0.0116960828587547</v>
      </c>
      <c r="D39" s="3" t="n">
        <v>1505.24368574233</v>
      </c>
      <c r="E39" s="3" t="n">
        <v>12515.2914258445</v>
      </c>
      <c r="F39" s="3" t="n">
        <v>0.000497906773125036</v>
      </c>
      <c r="G39" s="3" t="n">
        <v>0.997725820848305</v>
      </c>
    </row>
    <row r="40" customFormat="false" ht="15.75" hidden="false" customHeight="false" outlineLevel="0" collapsed="false">
      <c r="A40" s="3" t="s">
        <v>492</v>
      </c>
      <c r="B40" s="3" t="n">
        <v>-9.63846750655302</v>
      </c>
      <c r="C40" s="3" t="n">
        <v>6.51728552297787E-005</v>
      </c>
      <c r="D40" s="3" t="n">
        <v>3721.49407123636</v>
      </c>
      <c r="E40" s="3" t="n">
        <v>30942.22103852</v>
      </c>
      <c r="F40" s="3" t="n">
        <v>0.0930150415231803</v>
      </c>
      <c r="G40" s="3" t="n">
        <v>0.920612139885858</v>
      </c>
    </row>
    <row r="41" customFormat="false" ht="15.75" hidden="false" customHeight="false" outlineLevel="0" collapsed="false">
      <c r="A41" s="3" t="s">
        <v>1401</v>
      </c>
      <c r="B41" s="3" t="n">
        <v>-11.6124908561636</v>
      </c>
      <c r="C41" s="3" t="n">
        <v>9.05230753813843E-006</v>
      </c>
      <c r="D41" s="3" t="n">
        <v>4458.10553284286</v>
      </c>
      <c r="E41" s="3" t="n">
        <v>37066.7490448117</v>
      </c>
      <c r="F41" s="3" t="n">
        <v>0.177790723187805</v>
      </c>
      <c r="G41" s="3" t="n">
        <v>0.88618254700435</v>
      </c>
    </row>
    <row r="42" customFormat="false" ht="15.75" hidden="false" customHeight="false" outlineLevel="0" collapsed="false">
      <c r="A42" s="3" t="s">
        <v>226</v>
      </c>
      <c r="B42" s="3"/>
      <c r="C42" s="3"/>
      <c r="D42" s="3"/>
      <c r="E42" s="3"/>
      <c r="F42" s="3"/>
      <c r="G42" s="3"/>
    </row>
    <row r="43" customFormat="false" ht="15.75" hidden="false" customHeight="false" outlineLevel="0" collapsed="false">
      <c r="A43" s="3" t="s">
        <v>494</v>
      </c>
      <c r="B43" s="3" t="n">
        <v>-4.00159920403427</v>
      </c>
      <c r="C43" s="3" t="n">
        <v>0.018286371853351</v>
      </c>
      <c r="D43" s="3" t="n">
        <v>1041.92164083226</v>
      </c>
      <c r="E43" s="3" t="n">
        <v>8663.01788967749</v>
      </c>
      <c r="F43" s="3" t="n">
        <v>1.79674246169917E-005</v>
      </c>
      <c r="G43" s="3" t="n">
        <v>0.99988109344415</v>
      </c>
    </row>
    <row r="44" customFormat="false" ht="15.75" hidden="false" customHeight="false" outlineLevel="0" collapsed="false">
      <c r="A44" s="3" t="s">
        <v>1402</v>
      </c>
      <c r="B44" s="3" t="n">
        <v>-5.58617862836454</v>
      </c>
      <c r="C44" s="3" t="n">
        <v>0.00374932810008276</v>
      </c>
      <c r="D44" s="3" t="n">
        <v>2027.15368917769</v>
      </c>
      <c r="E44" s="3" t="n">
        <v>16854.6923168277</v>
      </c>
      <c r="F44" s="3" t="n">
        <v>2.199767818218E-005</v>
      </c>
      <c r="G44" s="3"/>
    </row>
    <row r="45" customFormat="false" ht="15.75" hidden="false" customHeight="false" outlineLevel="0" collapsed="false">
      <c r="A45" s="3" t="s">
        <v>496</v>
      </c>
      <c r="B45" s="3" t="n">
        <v>-3.75640734098606</v>
      </c>
      <c r="C45" s="3" t="n">
        <v>0.0233675413586766</v>
      </c>
      <c r="D45" s="3" t="n">
        <v>906.860413503826</v>
      </c>
      <c r="E45" s="3" t="n">
        <v>7540.05644738185</v>
      </c>
      <c r="F45" s="3" t="n">
        <v>2.20926523888371E-005</v>
      </c>
      <c r="G45" s="3" t="n">
        <v>0.999232132993462</v>
      </c>
    </row>
    <row r="46" customFormat="false" ht="15.75" hidden="false" customHeight="false" outlineLevel="0" collapsed="false">
      <c r="A46" s="3" t="s">
        <v>1403</v>
      </c>
      <c r="B46" s="3" t="n">
        <v>-4.0827083044867</v>
      </c>
      <c r="C46" s="3" t="n">
        <v>0.0168617370390754</v>
      </c>
      <c r="D46" s="3" t="n">
        <v>1017.35843765164</v>
      </c>
      <c r="E46" s="3" t="n">
        <v>8458.78807023392</v>
      </c>
      <c r="F46" s="3" t="n">
        <v>0.000428769761713283</v>
      </c>
      <c r="G46" s="3" t="n">
        <v>0.857352565286263</v>
      </c>
    </row>
    <row r="47" customFormat="false" ht="15.75" hidden="false" customHeight="false" outlineLevel="0" collapsed="false">
      <c r="A47" s="3" t="s">
        <v>498</v>
      </c>
      <c r="B47" s="3" t="n">
        <v>-6.84397841148221</v>
      </c>
      <c r="C47" s="3" t="n">
        <v>0.00106585454543665</v>
      </c>
      <c r="D47" s="3" t="n">
        <v>2320.5173116964</v>
      </c>
      <c r="E47" s="3" t="n">
        <v>19293.8530084419</v>
      </c>
      <c r="F47" s="3" t="n">
        <v>0.00193070805532426</v>
      </c>
      <c r="G47" s="3" t="n">
        <v>0.995874547989605</v>
      </c>
    </row>
    <row r="48" customFormat="false" ht="15.75" hidden="false" customHeight="false" outlineLevel="0" collapsed="false">
      <c r="A48" s="3" t="s">
        <v>500</v>
      </c>
      <c r="B48" s="3" t="n">
        <v>-4.20891818727565</v>
      </c>
      <c r="C48" s="3" t="n">
        <v>0.0148624380188907</v>
      </c>
      <c r="D48" s="3" t="n">
        <v>1003.5397574161</v>
      </c>
      <c r="E48" s="3" t="n">
        <v>8343.89317852536</v>
      </c>
      <c r="F48" s="3" t="n">
        <v>1.93687828547556E-005</v>
      </c>
      <c r="G48" s="3" t="n">
        <v>0.999781281190413</v>
      </c>
    </row>
    <row r="49" customFormat="false" ht="15.75" hidden="false" customHeight="false" outlineLevel="0" collapsed="false">
      <c r="A49" s="3" t="s">
        <v>16</v>
      </c>
      <c r="B49" s="3"/>
      <c r="C49" s="3"/>
      <c r="D49" s="3"/>
      <c r="E49" s="3"/>
      <c r="F49" s="3"/>
      <c r="G49" s="3"/>
    </row>
    <row r="50" customFormat="false" ht="15.75" hidden="false" customHeight="false" outlineLevel="0" collapsed="false">
      <c r="A50" s="3" t="s">
        <v>502</v>
      </c>
      <c r="B50" s="3" t="n">
        <v>-3.33776255951045</v>
      </c>
      <c r="C50" s="3" t="n">
        <v>0.0355163345730078</v>
      </c>
      <c r="D50" s="3" t="n">
        <v>644.722235160153</v>
      </c>
      <c r="E50" s="3" t="n">
        <v>5360.51852479416</v>
      </c>
      <c r="F50" s="3" t="n">
        <v>1.18404175600433E-006</v>
      </c>
      <c r="G50" s="3" t="n">
        <v>0.999978485363319</v>
      </c>
    </row>
    <row r="51" customFormat="false" ht="15.75" hidden="false" customHeight="false" outlineLevel="0" collapsed="false">
      <c r="A51" s="3" t="s">
        <v>504</v>
      </c>
      <c r="B51" s="3" t="n">
        <v>-3.98403056946949</v>
      </c>
      <c r="C51" s="3" t="n">
        <v>0.0186104771452731</v>
      </c>
      <c r="D51" s="3" t="n">
        <v>861.442784794021</v>
      </c>
      <c r="E51" s="3" t="n">
        <v>7162.43329934407</v>
      </c>
      <c r="F51" s="3" t="n">
        <v>2.01280443044447E-005</v>
      </c>
      <c r="G51" s="3" t="n">
        <v>0.999398802438331</v>
      </c>
    </row>
    <row r="52" customFormat="false" ht="15.75" hidden="false" customHeight="false" outlineLevel="0" collapsed="false">
      <c r="A52" s="3" t="s">
        <v>506</v>
      </c>
      <c r="B52" s="3" t="n">
        <v>-4.65653802772115</v>
      </c>
      <c r="C52" s="3" t="n">
        <v>0.00949929182661422</v>
      </c>
      <c r="D52" s="3" t="n">
        <v>1651.52910062298</v>
      </c>
      <c r="E52" s="3" t="n">
        <v>13731.5759490239</v>
      </c>
      <c r="F52" s="3" t="n">
        <v>3.44046802378748E-005</v>
      </c>
      <c r="G52" s="3" t="n">
        <v>0.999419182013724</v>
      </c>
    </row>
    <row r="53" customFormat="false" ht="15.75" hidden="false" customHeight="false" outlineLevel="0" collapsed="false">
      <c r="A53" s="3" t="s">
        <v>1404</v>
      </c>
      <c r="B53" s="3" t="n">
        <v>-4.51238050595307</v>
      </c>
      <c r="C53" s="3" t="n">
        <v>0.0109723094142549</v>
      </c>
      <c r="D53" s="3" t="n">
        <v>1569.90478124601</v>
      </c>
      <c r="E53" s="3" t="n">
        <v>13052.9136472883</v>
      </c>
      <c r="F53" s="3" t="n">
        <v>0.000565624071381927</v>
      </c>
      <c r="G53" s="3" t="n">
        <v>0.742336191585545</v>
      </c>
    </row>
    <row r="54" customFormat="false" ht="15.75" hidden="false" customHeight="false" outlineLevel="0" collapsed="false">
      <c r="A54" s="3" t="s">
        <v>508</v>
      </c>
      <c r="B54" s="3" t="n">
        <v>-4.95801310693987</v>
      </c>
      <c r="C54" s="3" t="n">
        <v>0.0070268756220217</v>
      </c>
      <c r="D54" s="3" t="n">
        <v>1748.08844464667</v>
      </c>
      <c r="E54" s="3" t="n">
        <v>14534.4149456539</v>
      </c>
      <c r="F54" s="3" t="n">
        <v>0.000142410538605542</v>
      </c>
      <c r="G54" s="3" t="n">
        <v>0.996220460201855</v>
      </c>
    </row>
    <row r="55" customFormat="false" ht="15.75" hidden="false" customHeight="false" outlineLevel="0" collapsed="false">
      <c r="A55" s="3" t="s">
        <v>18</v>
      </c>
      <c r="B55" s="3" t="n">
        <v>-4.24507746538597</v>
      </c>
      <c r="C55" s="3" t="n">
        <v>0.0143346231988813</v>
      </c>
      <c r="D55" s="3" t="n">
        <v>1033.87906652227</v>
      </c>
      <c r="E55" s="3" t="n">
        <v>8596.14821119485</v>
      </c>
      <c r="F55" s="3" t="n">
        <v>1.13282140870818E-006</v>
      </c>
      <c r="G55" s="3"/>
    </row>
    <row r="56" customFormat="false" ht="15.75" hidden="false" customHeight="false" outlineLevel="0" collapsed="false">
      <c r="A56" s="3" t="s">
        <v>510</v>
      </c>
      <c r="B56" s="3" t="n">
        <v>-4.1509961230001</v>
      </c>
      <c r="C56" s="3" t="n">
        <v>0.0157487210056226</v>
      </c>
      <c r="D56" s="3" t="n">
        <v>926.869650928664</v>
      </c>
      <c r="E56" s="3" t="n">
        <v>7706.42249159964</v>
      </c>
      <c r="F56" s="3" t="n">
        <v>2.8031978348764E-005</v>
      </c>
      <c r="G56" s="3" t="n">
        <v>0.998597176997482</v>
      </c>
    </row>
    <row r="57" customFormat="false" ht="15.75" hidden="false" customHeight="false" outlineLevel="0" collapsed="false">
      <c r="A57" s="3" t="s">
        <v>512</v>
      </c>
      <c r="B57" s="3" t="n">
        <v>-8.68292115948901</v>
      </c>
      <c r="C57" s="3" t="n">
        <v>0.000169455337830614</v>
      </c>
      <c r="D57" s="3" t="n">
        <v>3116.18070174502</v>
      </c>
      <c r="E57" s="3" t="n">
        <v>25909.3660297923</v>
      </c>
      <c r="F57" s="3" t="n">
        <v>0.000111414945259783</v>
      </c>
      <c r="G57" s="3" t="n">
        <v>0.984906407712285</v>
      </c>
    </row>
    <row r="58" customFormat="false" ht="15.75" hidden="false" customHeight="false" outlineLevel="0" collapsed="false">
      <c r="A58" s="3" t="s">
        <v>514</v>
      </c>
      <c r="B58" s="3" t="n">
        <v>-3.91005633413395</v>
      </c>
      <c r="C58" s="3" t="n">
        <v>0.0200393721292118</v>
      </c>
      <c r="D58" s="3" t="n">
        <v>840.11361974665</v>
      </c>
      <c r="E58" s="3" t="n">
        <v>6985.09276706598</v>
      </c>
      <c r="F58" s="3" t="n">
        <v>7.53828620550336E-005</v>
      </c>
      <c r="G58" s="3" t="n">
        <v>0.998155488620852</v>
      </c>
    </row>
    <row r="59" customFormat="false" ht="15.75" hidden="false" customHeight="false" outlineLevel="0" collapsed="false">
      <c r="A59" s="3" t="s">
        <v>516</v>
      </c>
      <c r="B59" s="3" t="n">
        <v>-4.11554107827502</v>
      </c>
      <c r="C59" s="3" t="n">
        <v>0.016317109187173</v>
      </c>
      <c r="D59" s="3" t="n">
        <v>1150.90089672066</v>
      </c>
      <c r="E59" s="3" t="n">
        <v>9569.12177154988</v>
      </c>
      <c r="F59" s="3" t="n">
        <v>1.08016678737682E-006</v>
      </c>
      <c r="G59" s="3" t="n">
        <v>0.99998841202851</v>
      </c>
    </row>
    <row r="60" customFormat="false" ht="15.75" hidden="false" customHeight="false" outlineLevel="0" collapsed="false">
      <c r="A60" s="3" t="s">
        <v>1405</v>
      </c>
      <c r="B60" s="3" t="n">
        <v>-6.60366062897955</v>
      </c>
      <c r="C60" s="3" t="n">
        <v>0.0013553973383802</v>
      </c>
      <c r="D60" s="3" t="n">
        <v>2410.5065033629</v>
      </c>
      <c r="E60" s="3" t="n">
        <v>20042.0647229637</v>
      </c>
      <c r="F60" s="3" t="n">
        <v>0.0021159931934166</v>
      </c>
      <c r="G60" s="3" t="n">
        <v>0.738789760597574</v>
      </c>
    </row>
    <row r="61" customFormat="false" ht="15.75" hidden="false" customHeight="false" outlineLevel="0" collapsed="false">
      <c r="A61" s="3" t="s">
        <v>517</v>
      </c>
      <c r="B61" s="3" t="n">
        <v>-4.53901377101357</v>
      </c>
      <c r="C61" s="3" t="n">
        <v>0.0106839381688885</v>
      </c>
      <c r="D61" s="3" t="n">
        <v>1041.68579521915</v>
      </c>
      <c r="E61" s="3" t="n">
        <v>8661.05696028939</v>
      </c>
      <c r="F61" s="3" t="n">
        <v>2.67586095219444E-005</v>
      </c>
      <c r="G61" s="3" t="n">
        <v>0.998949527215794</v>
      </c>
    </row>
    <row r="62" customFormat="false" ht="15.75" hidden="false" customHeight="false" outlineLevel="0" collapsed="false">
      <c r="A62" s="3" t="s">
        <v>519</v>
      </c>
      <c r="B62" s="3" t="n">
        <v>-3.82126490761669</v>
      </c>
      <c r="C62" s="3" t="n">
        <v>0.0219000817866441</v>
      </c>
      <c r="D62" s="3" t="n">
        <v>1080.60500465412</v>
      </c>
      <c r="E62" s="3" t="n">
        <v>8984.6492482065</v>
      </c>
      <c r="F62" s="3" t="n">
        <v>8.13648919352645E-005</v>
      </c>
      <c r="G62" s="3" t="n">
        <v>0.999697566376429</v>
      </c>
    </row>
    <row r="63" customFormat="false" ht="15.75" hidden="false" customHeight="false" outlineLevel="0" collapsed="false">
      <c r="A63" s="3" t="s">
        <v>521</v>
      </c>
      <c r="B63" s="3" t="n">
        <v>-3.63641797585754</v>
      </c>
      <c r="C63" s="3" t="n">
        <v>0.0263465491174051</v>
      </c>
      <c r="D63" s="3" t="n">
        <v>977.534567375267</v>
      </c>
      <c r="E63" s="3" t="n">
        <v>8127.6740141281</v>
      </c>
      <c r="F63" s="3" t="n">
        <v>0.00111628708846253</v>
      </c>
      <c r="G63" s="3" t="n">
        <v>0.993719059658102</v>
      </c>
    </row>
    <row r="64" customFormat="false" ht="15.75" hidden="false" customHeight="false" outlineLevel="0" collapsed="false">
      <c r="A64" s="3" t="s">
        <v>523</v>
      </c>
      <c r="B64" s="3" t="n">
        <v>-4.16127174880991</v>
      </c>
      <c r="C64" s="3" t="n">
        <v>0.0155877216428269</v>
      </c>
      <c r="D64" s="3" t="n">
        <v>814.626024046066</v>
      </c>
      <c r="E64" s="3" t="n">
        <v>6773.1771211421</v>
      </c>
      <c r="F64" s="3" t="n">
        <v>3.0808157126755E-006</v>
      </c>
      <c r="G64" s="3" t="n">
        <v>0.999692925178785</v>
      </c>
    </row>
    <row r="65" customFormat="false" ht="15.75" hidden="false" customHeight="false" outlineLevel="0" collapsed="false">
      <c r="A65" s="3" t="s">
        <v>20</v>
      </c>
      <c r="B65" s="3" t="n">
        <v>-8.16423429086101</v>
      </c>
      <c r="C65" s="3" t="n">
        <v>0.000284654529303196</v>
      </c>
      <c r="D65" s="3" t="n">
        <v>3405.66731035184</v>
      </c>
      <c r="E65" s="3" t="n">
        <v>28316.2914365626</v>
      </c>
      <c r="F65" s="3" t="n">
        <v>0.576556398538175</v>
      </c>
      <c r="G65" s="3"/>
    </row>
    <row r="66" customFormat="false" ht="15.75" hidden="false" customHeight="false" outlineLevel="0" collapsed="false">
      <c r="A66" s="3" t="s">
        <v>228</v>
      </c>
      <c r="B66" s="3" t="n">
        <v>-6.31939251822844</v>
      </c>
      <c r="C66" s="3" t="n">
        <v>0.001801037271288</v>
      </c>
      <c r="D66" s="3" t="n">
        <v>2501.16973089745</v>
      </c>
      <c r="E66" s="3" t="n">
        <v>20795.8806830971</v>
      </c>
      <c r="F66" s="3" t="n">
        <v>0.0994240396773677</v>
      </c>
      <c r="G66" s="3"/>
    </row>
    <row r="67" customFormat="false" ht="15.75" hidden="false" customHeight="false" outlineLevel="0" collapsed="false">
      <c r="A67" s="3" t="s">
        <v>525</v>
      </c>
      <c r="B67" s="3" t="n">
        <v>-4.4881849621824</v>
      </c>
      <c r="C67" s="3" t="n">
        <v>0.0112410281960613</v>
      </c>
      <c r="D67" s="3" t="n">
        <v>1471.17992657393</v>
      </c>
      <c r="E67" s="3" t="n">
        <v>12232.0695946618</v>
      </c>
      <c r="F67" s="3" t="n">
        <v>0.000203294625246673</v>
      </c>
      <c r="G67" s="3" t="n">
        <v>0.999244555762748</v>
      </c>
    </row>
    <row r="68" customFormat="false" ht="15.75" hidden="false" customHeight="false" outlineLevel="0" collapsed="false">
      <c r="A68" s="3" t="s">
        <v>526</v>
      </c>
      <c r="B68" s="3" t="n">
        <v>-8.04054479973869</v>
      </c>
      <c r="C68" s="3" t="n">
        <v>0.000322133404110268</v>
      </c>
      <c r="D68" s="3" t="n">
        <v>3066.40855725449</v>
      </c>
      <c r="E68" s="3" t="n">
        <v>25495.5374257673</v>
      </c>
      <c r="F68" s="3" t="n">
        <v>0.00102915788129429</v>
      </c>
      <c r="G68" s="3" t="n">
        <v>0.979911386370149</v>
      </c>
    </row>
    <row r="69" customFormat="false" ht="15.75" hidden="false" customHeight="false" outlineLevel="0" collapsed="false">
      <c r="A69" s="3" t="s">
        <v>528</v>
      </c>
      <c r="B69" s="3" t="n">
        <v>-4.44571656626635</v>
      </c>
      <c r="C69" s="3" t="n">
        <v>0.0117286986292861</v>
      </c>
      <c r="D69" s="3" t="n">
        <v>1395.04179061826</v>
      </c>
      <c r="E69" s="3" t="n">
        <v>11599.0219565075</v>
      </c>
      <c r="F69" s="3" t="n">
        <v>0.000212274688197161</v>
      </c>
      <c r="G69" s="3" t="n">
        <v>0.999376547633075</v>
      </c>
    </row>
    <row r="70" customFormat="false" ht="15.75" hidden="false" customHeight="false" outlineLevel="0" collapsed="false">
      <c r="A70" s="3" t="s">
        <v>22</v>
      </c>
      <c r="B70" s="3"/>
      <c r="C70" s="3"/>
      <c r="D70" s="3"/>
      <c r="E70" s="3"/>
      <c r="F70" s="3"/>
      <c r="G70" s="3"/>
    </row>
    <row r="71" customFormat="false" ht="15.75" hidden="false" customHeight="false" outlineLevel="0" collapsed="false">
      <c r="A71" s="3" t="s">
        <v>24</v>
      </c>
      <c r="B71" s="3" t="n">
        <v>-7.48147645739641</v>
      </c>
      <c r="C71" s="3" t="n">
        <v>0.000563424928255234</v>
      </c>
      <c r="D71" s="3" t="n">
        <v>3076.57027731435</v>
      </c>
      <c r="E71" s="3" t="n">
        <v>25580.0266610597</v>
      </c>
      <c r="F71" s="3" t="n">
        <v>0.38240844164254</v>
      </c>
      <c r="G71" s="3"/>
    </row>
    <row r="72" customFormat="false" ht="15.75" hidden="false" customHeight="false" outlineLevel="0" collapsed="false">
      <c r="A72" s="3" t="s">
        <v>529</v>
      </c>
      <c r="B72" s="3" t="n">
        <v>-6.81225848512551</v>
      </c>
      <c r="C72" s="3" t="n">
        <v>0.00110020529461237</v>
      </c>
      <c r="D72" s="3" t="n">
        <v>2381.07521963703</v>
      </c>
      <c r="E72" s="3" t="n">
        <v>19797.3594328137</v>
      </c>
      <c r="F72" s="3" t="n">
        <v>0.000660167232942294</v>
      </c>
      <c r="G72" s="3" t="n">
        <v>0.97207025728628</v>
      </c>
    </row>
    <row r="73" customFormat="false" ht="15.75" hidden="false" customHeight="false" outlineLevel="0" collapsed="false">
      <c r="A73" s="3" t="s">
        <v>531</v>
      </c>
      <c r="B73" s="3" t="n">
        <v>-4.00313831011814</v>
      </c>
      <c r="C73" s="3" t="n">
        <v>0.0182582488348856</v>
      </c>
      <c r="D73" s="3" t="n">
        <v>705.148240508229</v>
      </c>
      <c r="E73" s="3" t="n">
        <v>5862.92825007253</v>
      </c>
      <c r="F73" s="3" t="n">
        <v>4.39997729335175E-005</v>
      </c>
      <c r="G73" s="3" t="n">
        <v>0.999765384836019</v>
      </c>
    </row>
    <row r="74" customFormat="false" ht="15.75" hidden="false" customHeight="false" outlineLevel="0" collapsed="false">
      <c r="A74" s="3" t="s">
        <v>230</v>
      </c>
      <c r="B74" s="3" t="n">
        <v>-6.05334593505969</v>
      </c>
      <c r="C74" s="3" t="n">
        <v>0.00234998593709306</v>
      </c>
      <c r="D74" s="3" t="n">
        <v>2461.54636304458</v>
      </c>
      <c r="E74" s="3" t="n">
        <v>20466.4336967724</v>
      </c>
      <c r="F74" s="3" t="n">
        <v>0.0882420091265019</v>
      </c>
      <c r="G74" s="3"/>
    </row>
    <row r="75" customFormat="false" ht="15.75" hidden="false" customHeight="false" outlineLevel="0" collapsed="false">
      <c r="A75" s="3" t="s">
        <v>26</v>
      </c>
      <c r="B75" s="3" t="n">
        <v>-4.96153986254263</v>
      </c>
      <c r="C75" s="3" t="n">
        <v>0.00700213719788117</v>
      </c>
      <c r="D75" s="3" t="n">
        <v>1187.07691432707</v>
      </c>
      <c r="E75" s="3" t="n">
        <v>9869.90589524969</v>
      </c>
      <c r="F75" s="3" t="n">
        <v>6.86854517212488E-005</v>
      </c>
      <c r="G75" s="3"/>
    </row>
    <row r="76" customFormat="false" ht="15.75" hidden="false" customHeight="false" outlineLevel="0" collapsed="false">
      <c r="A76" s="3" t="s">
        <v>28</v>
      </c>
      <c r="B76" s="3" t="n">
        <v>-3.894216673786</v>
      </c>
      <c r="C76" s="3" t="n">
        <v>0.0203593161906247</v>
      </c>
      <c r="D76" s="3" t="n">
        <v>876.013964158573</v>
      </c>
      <c r="E76" s="3" t="n">
        <v>7283.58481646581</v>
      </c>
      <c r="F76" s="3" t="n">
        <v>1.00765735709169E-006</v>
      </c>
      <c r="G76" s="3"/>
    </row>
    <row r="77" customFormat="false" ht="15.75" hidden="false" customHeight="false" outlineLevel="0" collapsed="false">
      <c r="A77" s="3" t="s">
        <v>533</v>
      </c>
      <c r="B77" s="3" t="n">
        <v>-6.70423098768529</v>
      </c>
      <c r="C77" s="3" t="n">
        <v>0.00122571493148484</v>
      </c>
      <c r="D77" s="3" t="n">
        <v>2199.97234055527</v>
      </c>
      <c r="E77" s="3" t="n">
        <v>18291.5864265979</v>
      </c>
      <c r="F77" s="3" t="n">
        <v>0.000654668321335876</v>
      </c>
      <c r="G77" s="3" t="n">
        <v>0.997822112915031</v>
      </c>
    </row>
    <row r="78" customFormat="false" ht="15.75" hidden="false" customHeight="false" outlineLevel="0" collapsed="false">
      <c r="A78" s="3" t="s">
        <v>535</v>
      </c>
      <c r="B78" s="3" t="n">
        <v>-6.79100775434544</v>
      </c>
      <c r="C78" s="3" t="n">
        <v>0.00112383565305395</v>
      </c>
      <c r="D78" s="3" t="n">
        <v>2277.95105242146</v>
      </c>
      <c r="E78" s="3" t="n">
        <v>18939.9374632183</v>
      </c>
      <c r="F78" s="3" t="n">
        <v>0.000130856001040471</v>
      </c>
      <c r="G78" s="3" t="n">
        <v>0.998823098243718</v>
      </c>
    </row>
    <row r="79" customFormat="false" ht="15.75" hidden="false" customHeight="false" outlineLevel="0" collapsed="false">
      <c r="A79" s="1" t="s">
        <v>537</v>
      </c>
      <c r="B79" s="3" t="n">
        <v>-4.35772859843139</v>
      </c>
      <c r="C79" s="1" t="n">
        <v>0.0128074454878039</v>
      </c>
      <c r="D79" s="3" t="n">
        <v>988.394086248088</v>
      </c>
      <c r="E79" s="1" t="n">
        <v>8217.9037907011</v>
      </c>
      <c r="F79" s="3" t="n">
        <v>7.13092703928072E-005</v>
      </c>
      <c r="G79" s="3" t="n">
        <v>0.991651719657881</v>
      </c>
    </row>
    <row r="80" customFormat="false" ht="15.75" hidden="false" customHeight="false" outlineLevel="0" collapsed="false">
      <c r="A80" s="3" t="s">
        <v>539</v>
      </c>
      <c r="B80" s="3" t="n">
        <v>-4.76502780744042</v>
      </c>
      <c r="C80" s="3" t="n">
        <v>0.0085226512459888</v>
      </c>
      <c r="D80" s="3" t="n">
        <v>1011.82683295601</v>
      </c>
      <c r="E80" s="3" t="n">
        <v>8412.79575319307</v>
      </c>
      <c r="F80" s="3" t="n">
        <v>7.07095455441314E-007</v>
      </c>
      <c r="G80" s="3" t="n">
        <v>0.999948764911046</v>
      </c>
    </row>
    <row r="81" customFormat="false" ht="15.75" hidden="false" customHeight="false" outlineLevel="0" collapsed="false">
      <c r="A81" s="3" t="s">
        <v>232</v>
      </c>
      <c r="B81" s="3" t="n">
        <v>-10.2249276989301</v>
      </c>
      <c r="C81" s="3" t="n">
        <v>3.62552014409751E-005</v>
      </c>
      <c r="D81" s="3" t="n">
        <v>4346.08788779137</v>
      </c>
      <c r="E81" s="3" t="n">
        <v>36135.3825917016</v>
      </c>
      <c r="F81" s="3" t="n">
        <v>1.47863897126855</v>
      </c>
      <c r="G81" s="3"/>
    </row>
    <row r="82" customFormat="false" ht="15.75" hidden="false" customHeight="false" outlineLevel="0" collapsed="false">
      <c r="A82" s="3" t="s">
        <v>1406</v>
      </c>
      <c r="B82" s="3"/>
      <c r="C82" s="3"/>
      <c r="D82" s="3"/>
      <c r="E82" s="3"/>
      <c r="F82" s="3"/>
      <c r="G82" s="3"/>
    </row>
    <row r="83" customFormat="false" ht="15.75" hidden="false" customHeight="false" outlineLevel="0" collapsed="false">
      <c r="A83" s="3" t="s">
        <v>541</v>
      </c>
      <c r="B83" s="3" t="n">
        <v>-7.8825119018844</v>
      </c>
      <c r="C83" s="3" t="n">
        <v>0.00037728416471537</v>
      </c>
      <c r="D83" s="3" t="n">
        <v>3007.02695838161</v>
      </c>
      <c r="E83" s="3" t="n">
        <v>25001.8113784395</v>
      </c>
      <c r="F83" s="3" t="n">
        <v>7.11192788539853E-005</v>
      </c>
      <c r="G83" s="3" t="n">
        <v>0.988550402872644</v>
      </c>
    </row>
    <row r="84" customFormat="false" ht="15.75" hidden="false" customHeight="false" outlineLevel="0" collapsed="false">
      <c r="A84" s="3" t="s">
        <v>543</v>
      </c>
      <c r="B84" s="3" t="n">
        <v>-4.31810467134141</v>
      </c>
      <c r="C84" s="3" t="n">
        <v>0.0133251150963681</v>
      </c>
      <c r="D84" s="3" t="n">
        <v>1135.85654118107</v>
      </c>
      <c r="E84" s="3" t="n">
        <v>9444.03604910143</v>
      </c>
      <c r="F84" s="3" t="n">
        <v>0.000172442536384972</v>
      </c>
      <c r="G84" s="3" t="n">
        <v>0.9542139988727</v>
      </c>
    </row>
    <row r="85" customFormat="false" ht="15.75" hidden="false" customHeight="false" outlineLevel="0" collapsed="false">
      <c r="A85" s="3" t="s">
        <v>545</v>
      </c>
      <c r="B85" s="3" t="n">
        <v>-5.09843322107201</v>
      </c>
      <c r="C85" s="3" t="n">
        <v>0.00610630630660864</v>
      </c>
      <c r="D85" s="3" t="n">
        <v>1742.5128296599</v>
      </c>
      <c r="E85" s="3" t="n">
        <v>14488.0567067197</v>
      </c>
      <c r="F85" s="3" t="n">
        <v>0.000234387711672753</v>
      </c>
      <c r="G85" s="3" t="n">
        <v>0.99627926355255</v>
      </c>
    </row>
    <row r="86" customFormat="false" ht="15.75" hidden="false" customHeight="false" outlineLevel="0" collapsed="false">
      <c r="A86" s="3" t="s">
        <v>547</v>
      </c>
      <c r="B86" s="3" t="n">
        <v>-5.72506972643663</v>
      </c>
      <c r="C86" s="3" t="n">
        <v>0.00326312574191342</v>
      </c>
      <c r="D86" s="3" t="n">
        <v>2091.2597366801</v>
      </c>
      <c r="E86" s="3" t="n">
        <v>17387.6996127567</v>
      </c>
      <c r="F86" s="3" t="n">
        <v>0.00122043050886242</v>
      </c>
      <c r="G86" s="3" t="n">
        <v>0.980029368394782</v>
      </c>
    </row>
    <row r="87" customFormat="false" ht="15.75" hidden="false" customHeight="false" outlineLevel="0" collapsed="false">
      <c r="A87" s="3" t="s">
        <v>1407</v>
      </c>
      <c r="B87" s="3" t="n">
        <v>-6.03979441651026</v>
      </c>
      <c r="C87" s="3" t="n">
        <v>0.0023820485731406</v>
      </c>
      <c r="D87" s="3" t="n">
        <v>2142.36376887115</v>
      </c>
      <c r="E87" s="3" t="n">
        <v>17812.602146456</v>
      </c>
      <c r="F87" s="3" t="n">
        <v>0.00163152046794251</v>
      </c>
      <c r="G87" s="3" t="n">
        <v>0.654106843449782</v>
      </c>
    </row>
    <row r="88" customFormat="false" ht="15.75" hidden="false" customHeight="false" outlineLevel="0" collapsed="false">
      <c r="A88" s="3" t="s">
        <v>549</v>
      </c>
      <c r="B88" s="3" t="n">
        <v>-6.53471192299928</v>
      </c>
      <c r="C88" s="3" t="n">
        <v>0.00145214729774131</v>
      </c>
      <c r="D88" s="3" t="n">
        <v>2485.84541993909</v>
      </c>
      <c r="E88" s="3" t="n">
        <v>20668.4672819576</v>
      </c>
      <c r="F88" s="3" t="n">
        <v>0.0155801779480938</v>
      </c>
      <c r="G88" s="3" t="n">
        <v>0.9571868825688</v>
      </c>
    </row>
    <row r="89" customFormat="false" ht="15.75" hidden="false" customHeight="false" outlineLevel="0" collapsed="false">
      <c r="A89" s="3" t="s">
        <v>234</v>
      </c>
      <c r="B89" s="3" t="n">
        <v>-7.63144329106626</v>
      </c>
      <c r="C89" s="3" t="n">
        <v>0.000484960413956464</v>
      </c>
      <c r="D89" s="3" t="n">
        <v>3114.77936575003</v>
      </c>
      <c r="E89" s="3" t="n">
        <v>25897.7146749127</v>
      </c>
      <c r="F89" s="3" t="n">
        <v>0.00577207669327006</v>
      </c>
      <c r="G89" s="3"/>
    </row>
    <row r="90" customFormat="false" ht="15.75" hidden="false" customHeight="false" outlineLevel="0" collapsed="false">
      <c r="A90" s="3" t="s">
        <v>30</v>
      </c>
      <c r="B90" s="3" t="n">
        <v>-5.12910537698989</v>
      </c>
      <c r="C90" s="3" t="n">
        <v>0.00592185593318912</v>
      </c>
      <c r="D90" s="3" t="n">
        <v>1476.3154592102</v>
      </c>
      <c r="E90" s="3" t="n">
        <v>12274.7687856158</v>
      </c>
      <c r="F90" s="3" t="n">
        <v>0.000419985489166256</v>
      </c>
      <c r="G90" s="3"/>
    </row>
    <row r="91" customFormat="false" ht="15.75" hidden="false" customHeight="false" outlineLevel="0" collapsed="false">
      <c r="A91" s="3" t="s">
        <v>32</v>
      </c>
      <c r="B91" s="3" t="n">
        <v>-5.08102328017487</v>
      </c>
      <c r="C91" s="3" t="n">
        <v>0.00621354756168715</v>
      </c>
      <c r="D91" s="3" t="n">
        <v>1454.14892220327</v>
      </c>
      <c r="E91" s="3" t="n">
        <v>12090.465956</v>
      </c>
      <c r="F91" s="3" t="n">
        <v>0.00145316191631105</v>
      </c>
      <c r="G91" s="3"/>
    </row>
    <row r="92" customFormat="false" ht="15.75" hidden="false" customHeight="false" outlineLevel="0" collapsed="false">
      <c r="A92" s="3" t="s">
        <v>1408</v>
      </c>
      <c r="B92" s="3" t="n">
        <v>-13.9683924713567</v>
      </c>
      <c r="C92" s="3" t="n">
        <v>8.58231061422454E-007</v>
      </c>
      <c r="D92" s="3" t="n">
        <v>5538.51774960428</v>
      </c>
      <c r="E92" s="3" t="n">
        <v>46049.7953654103</v>
      </c>
      <c r="F92" s="3" t="n">
        <v>0.0530366987409231</v>
      </c>
      <c r="G92" s="3" t="n">
        <v>0.624190934979536</v>
      </c>
    </row>
    <row r="93" customFormat="false" ht="15.75" hidden="false" customHeight="false" outlineLevel="0" collapsed="false">
      <c r="A93" s="3" t="s">
        <v>1409</v>
      </c>
      <c r="B93" s="3" t="n">
        <v>-9.42722636087482</v>
      </c>
      <c r="C93" s="3" t="n">
        <v>8.05021745488978E-005</v>
      </c>
      <c r="D93" s="3" t="n">
        <v>3797.12995281317</v>
      </c>
      <c r="E93" s="3" t="n">
        <v>31571.0927017269</v>
      </c>
      <c r="F93" s="3" t="n">
        <v>0.0129416036355284</v>
      </c>
      <c r="G93" s="3" t="n">
        <v>0.791120631894867</v>
      </c>
    </row>
    <row r="94" customFormat="false" ht="15.75" hidden="false" customHeight="false" outlineLevel="0" collapsed="false">
      <c r="A94" s="3" t="s">
        <v>34</v>
      </c>
      <c r="B94" s="3" t="n">
        <v>-2.74341269644082</v>
      </c>
      <c r="C94" s="3" t="n">
        <v>0.0643503634819488</v>
      </c>
      <c r="D94" s="3" t="n">
        <v>1201.26325893773</v>
      </c>
      <c r="E94" s="3" t="n">
        <v>9987.85771843393</v>
      </c>
      <c r="F94" s="3" t="n">
        <v>0.00872544893427049</v>
      </c>
      <c r="G94" s="3"/>
    </row>
    <row r="95" customFormat="false" ht="15.75" hidden="false" customHeight="false" outlineLevel="0" collapsed="false">
      <c r="A95" s="3" t="s">
        <v>551</v>
      </c>
      <c r="B95" s="3" t="n">
        <v>-3.87972415528521</v>
      </c>
      <c r="C95" s="3" t="n">
        <v>0.0206565223884311</v>
      </c>
      <c r="D95" s="3" t="n">
        <v>923.191573430755</v>
      </c>
      <c r="E95" s="3" t="n">
        <v>7675.84125601022</v>
      </c>
      <c r="F95" s="3" t="n">
        <v>0.000766424358435376</v>
      </c>
      <c r="G95" s="3" t="n">
        <v>0.98704441079248</v>
      </c>
    </row>
    <row r="96" customFormat="false" ht="15.75" hidden="false" customHeight="false" outlineLevel="0" collapsed="false">
      <c r="A96" s="3" t="s">
        <v>1410</v>
      </c>
      <c r="B96" s="3" t="n">
        <v>-3.70343396883981</v>
      </c>
      <c r="C96" s="3" t="n">
        <v>0.0246387722557821</v>
      </c>
      <c r="D96" s="3" t="n">
        <v>1264.48060251966</v>
      </c>
      <c r="E96" s="3" t="n">
        <v>10513.4759193869</v>
      </c>
      <c r="F96" s="3" t="n">
        <v>0.000421178739451156</v>
      </c>
      <c r="G96" s="3" t="n">
        <v>0.724779654730641</v>
      </c>
    </row>
    <row r="97" customFormat="false" ht="15.75" hidden="false" customHeight="false" outlineLevel="0" collapsed="false">
      <c r="A97" s="3" t="s">
        <v>553</v>
      </c>
      <c r="B97" s="3" t="n">
        <v>-4.13885435433595</v>
      </c>
      <c r="C97" s="3" t="n">
        <v>0.0159411039036917</v>
      </c>
      <c r="D97" s="3" t="n">
        <v>1338.05995657465</v>
      </c>
      <c r="E97" s="3" t="n">
        <v>11125.2486626616</v>
      </c>
      <c r="F97" s="3" t="n">
        <v>8.61893510090495E-005</v>
      </c>
      <c r="G97" s="3" t="n">
        <v>0.999345246074456</v>
      </c>
    </row>
    <row r="98" customFormat="false" ht="15.75" hidden="false" customHeight="false" outlineLevel="0" collapsed="false">
      <c r="A98" s="3" t="s">
        <v>555</v>
      </c>
      <c r="B98" s="3" t="n">
        <v>-3.79904247677805</v>
      </c>
      <c r="C98" s="3" t="n">
        <v>0.022392202648314</v>
      </c>
      <c r="D98" s="3" t="n">
        <v>916.029490586531</v>
      </c>
      <c r="E98" s="3" t="n">
        <v>7616.29239036107</v>
      </c>
      <c r="F98" s="3" t="n">
        <v>9.59302901541619E-005</v>
      </c>
      <c r="G98" s="3" t="n">
        <v>0.995816544582915</v>
      </c>
    </row>
    <row r="99" customFormat="false" ht="15.75" hidden="false" customHeight="false" outlineLevel="0" collapsed="false">
      <c r="A99" s="3" t="s">
        <v>556</v>
      </c>
      <c r="B99" s="3" t="n">
        <v>-9.4875543769764</v>
      </c>
      <c r="C99" s="3" t="n">
        <v>7.57892287015194E-005</v>
      </c>
      <c r="D99" s="3" t="n">
        <v>3171.378955091</v>
      </c>
      <c r="E99" s="3" t="n">
        <v>26368.3098097039</v>
      </c>
      <c r="F99" s="3" t="n">
        <v>0.00271489654316007</v>
      </c>
      <c r="G99" s="3" t="n">
        <v>0.996143784589073</v>
      </c>
    </row>
    <row r="100" customFormat="false" ht="15.75" hidden="false" customHeight="false" outlineLevel="0" collapsed="false">
      <c r="A100" s="3" t="s">
        <v>36</v>
      </c>
      <c r="B100" s="3" t="n">
        <v>-9.76699759366085</v>
      </c>
      <c r="C100" s="3" t="n">
        <v>5.73121684072683E-005</v>
      </c>
      <c r="D100" s="3" t="n">
        <v>3253.57345060223</v>
      </c>
      <c r="E100" s="3" t="n">
        <v>27051.7128192412</v>
      </c>
      <c r="F100" s="3" t="n">
        <v>0.00752710801908618</v>
      </c>
      <c r="G100" s="3"/>
    </row>
    <row r="101" customFormat="false" ht="15.75" hidden="false" customHeight="false" outlineLevel="0" collapsed="false">
      <c r="A101" s="3" t="s">
        <v>558</v>
      </c>
      <c r="B101" s="3" t="n">
        <v>-9.90802105222521</v>
      </c>
      <c r="C101" s="3" t="n">
        <v>4.97738380554502E-005</v>
      </c>
      <c r="D101" s="3" t="n">
        <v>3887.85546056043</v>
      </c>
      <c r="E101" s="3" t="n">
        <v>32325.4264883222</v>
      </c>
      <c r="F101" s="3" t="n">
        <v>0.0766760585875769</v>
      </c>
      <c r="G101" s="3" t="n">
        <v>0.947049874355487</v>
      </c>
    </row>
    <row r="102" customFormat="false" ht="15.75" hidden="false" customHeight="false" outlineLevel="0" collapsed="false">
      <c r="A102" s="3" t="s">
        <v>560</v>
      </c>
      <c r="B102" s="3" t="n">
        <v>-11.7761195157819</v>
      </c>
      <c r="C102" s="3" t="n">
        <v>7.68592736794864E-006</v>
      </c>
      <c r="D102" s="3" t="n">
        <v>4495.58255404141</v>
      </c>
      <c r="E102" s="3" t="n">
        <v>37378.3503134403</v>
      </c>
      <c r="F102" s="3" t="n">
        <v>0.157673439326415</v>
      </c>
      <c r="G102" s="3" t="n">
        <v>0.904771039983477</v>
      </c>
    </row>
    <row r="103" customFormat="false" ht="15.75" hidden="false" customHeight="false" outlineLevel="0" collapsed="false">
      <c r="A103" s="3" t="s">
        <v>562</v>
      </c>
      <c r="B103" s="3" t="n">
        <v>-10.7540584175012</v>
      </c>
      <c r="C103" s="3" t="n">
        <v>2.13585502684872E-005</v>
      </c>
      <c r="D103" s="3" t="n">
        <v>4130.92785506221</v>
      </c>
      <c r="E103" s="3" t="n">
        <v>34346.4426756563</v>
      </c>
      <c r="F103" s="3" t="n">
        <v>0.118543405323461</v>
      </c>
      <c r="G103" s="3" t="n">
        <v>0.917282023422304</v>
      </c>
    </row>
    <row r="104" customFormat="false" ht="15.75" hidden="false" customHeight="false" outlineLevel="0" collapsed="false">
      <c r="A104" s="3" t="s">
        <v>564</v>
      </c>
      <c r="B104" s="3" t="n">
        <v>-5.69140627512735</v>
      </c>
      <c r="C104" s="3" t="n">
        <v>0.00337484367203536</v>
      </c>
      <c r="D104" s="3" t="n">
        <v>2068.56086791125</v>
      </c>
      <c r="E104" s="3" t="n">
        <v>17198.9707309352</v>
      </c>
      <c r="F104" s="3" t="n">
        <v>0.010747718246185</v>
      </c>
      <c r="G104" s="3" t="n">
        <v>0.970191559089554</v>
      </c>
    </row>
    <row r="105" customFormat="false" ht="15.75" hidden="false" customHeight="false" outlineLevel="0" collapsed="false">
      <c r="A105" s="3" t="s">
        <v>566</v>
      </c>
      <c r="B105" s="3" t="n">
        <v>-4.39803954852677</v>
      </c>
      <c r="C105" s="3" t="n">
        <v>0.0123014326407738</v>
      </c>
      <c r="D105" s="3" t="n">
        <v>1503.05158467262</v>
      </c>
      <c r="E105" s="3" t="n">
        <v>12497.0652848003</v>
      </c>
      <c r="F105" s="3" t="n">
        <v>0.00511489500973351</v>
      </c>
      <c r="G105" s="3" t="n">
        <v>0.993442990058081</v>
      </c>
    </row>
    <row r="106" customFormat="false" ht="15.75" hidden="false" customHeight="false" outlineLevel="0" collapsed="false">
      <c r="A106" s="3" t="s">
        <v>1411</v>
      </c>
      <c r="B106" s="3" t="n">
        <v>-5.73630671658482</v>
      </c>
      <c r="C106" s="3" t="n">
        <v>0.00322666327794871</v>
      </c>
      <c r="D106" s="3" t="n">
        <v>1947.76315305124</v>
      </c>
      <c r="E106" s="3" t="n">
        <v>16194.6027210448</v>
      </c>
      <c r="F106" s="3" t="n">
        <v>0.000553114367444822</v>
      </c>
      <c r="G106" s="3" t="n">
        <v>0.854508763571275</v>
      </c>
    </row>
    <row r="107" customFormat="false" ht="15.75" hidden="false" customHeight="false" outlineLevel="0" collapsed="false">
      <c r="A107" s="3" t="s">
        <v>1412</v>
      </c>
      <c r="B107" s="3" t="n">
        <v>-4.64522058475085</v>
      </c>
      <c r="C107" s="3" t="n">
        <v>0.00960741017773522</v>
      </c>
      <c r="D107" s="3" t="n">
        <v>1707.41803286448</v>
      </c>
      <c r="E107" s="3" t="n">
        <v>14196.2623523665</v>
      </c>
      <c r="F107" s="3" t="n">
        <v>0.00963845122055634</v>
      </c>
      <c r="G107" s="3" t="n">
        <v>0.810959291056408</v>
      </c>
    </row>
    <row r="108" customFormat="false" ht="15.75" hidden="false" customHeight="false" outlineLevel="0" collapsed="false">
      <c r="A108" s="3" t="s">
        <v>568</v>
      </c>
      <c r="B108" s="3" t="n">
        <v>-4.23391915062012</v>
      </c>
      <c r="C108" s="3" t="n">
        <v>0.0144954691525941</v>
      </c>
      <c r="D108" s="3" t="n">
        <v>907.774310584001</v>
      </c>
      <c r="E108" s="3" t="n">
        <v>7547.65500992687</v>
      </c>
      <c r="F108" s="3" t="n">
        <v>4.20126850405785E-005</v>
      </c>
      <c r="G108" s="3" t="n">
        <v>0.995088084262862</v>
      </c>
    </row>
    <row r="109" customFormat="false" ht="15.75" hidden="false" customHeight="false" outlineLevel="0" collapsed="false">
      <c r="A109" s="3" t="s">
        <v>570</v>
      </c>
      <c r="B109" s="3" t="n">
        <v>-3.93806302670147</v>
      </c>
      <c r="C109" s="3" t="n">
        <v>0.0194859219251621</v>
      </c>
      <c r="D109" s="3" t="n">
        <v>1161.2648094566</v>
      </c>
      <c r="E109" s="3" t="n">
        <v>9655.29213016413</v>
      </c>
      <c r="F109" s="3" t="n">
        <v>0.000210619966330254</v>
      </c>
      <c r="G109" s="3" t="n">
        <v>0.999299748362251</v>
      </c>
    </row>
    <row r="110" customFormat="false" ht="15.75" hidden="false" customHeight="false" outlineLevel="0" collapsed="false">
      <c r="A110" s="3" t="s">
        <v>1413</v>
      </c>
      <c r="B110" s="3" t="n">
        <v>-4.10322434083865</v>
      </c>
      <c r="C110" s="3" t="n">
        <v>0.0165193255030068</v>
      </c>
      <c r="D110" s="3" t="n">
        <v>1410.91413483478</v>
      </c>
      <c r="E110" s="3" t="n">
        <v>11730.9919593466</v>
      </c>
      <c r="F110" s="3" t="n">
        <v>0.00127737581870798</v>
      </c>
      <c r="G110" s="3" t="n">
        <v>0.828639090959087</v>
      </c>
    </row>
    <row r="111" customFormat="false" ht="15.75" hidden="false" customHeight="false" outlineLevel="0" collapsed="false">
      <c r="A111" s="3" t="s">
        <v>572</v>
      </c>
      <c r="B111" s="3" t="n">
        <v>-7.56132585719922</v>
      </c>
      <c r="C111" s="3" t="n">
        <v>0.000520185095313339</v>
      </c>
      <c r="D111" s="3" t="n">
        <v>2770.27940788889</v>
      </c>
      <c r="E111" s="3" t="n">
        <v>23033.3828662747</v>
      </c>
      <c r="F111" s="3" t="n">
        <v>0.00493935893681963</v>
      </c>
      <c r="G111" s="3" t="n">
        <v>0.99217141613159</v>
      </c>
    </row>
    <row r="112" customFormat="false" ht="15.75" hidden="false" customHeight="false" outlineLevel="0" collapsed="false">
      <c r="A112" s="3" t="s">
        <v>574</v>
      </c>
      <c r="B112" s="3" t="n">
        <v>-6.38594903384333</v>
      </c>
      <c r="C112" s="3" t="n">
        <v>0.00168506854944294</v>
      </c>
      <c r="D112" s="3" t="n">
        <v>2086.70650019259</v>
      </c>
      <c r="E112" s="3" t="n">
        <v>17349.8419010043</v>
      </c>
      <c r="F112" s="3" t="n">
        <v>5.65531318416936E-005</v>
      </c>
      <c r="G112" s="3" t="n">
        <v>0.997807996510779</v>
      </c>
    </row>
    <row r="113" customFormat="false" ht="15.75" hidden="false" customHeight="false" outlineLevel="0" collapsed="false">
      <c r="A113" s="3" t="s">
        <v>576</v>
      </c>
      <c r="B113" s="3" t="n">
        <v>-4.45590740490538</v>
      </c>
      <c r="C113" s="3" t="n">
        <v>0.0116097803219187</v>
      </c>
      <c r="D113" s="3" t="n">
        <v>1389.33572857842</v>
      </c>
      <c r="E113" s="3" t="n">
        <v>11551.5791205076</v>
      </c>
      <c r="F113" s="3" t="n">
        <v>0.00196060581455398</v>
      </c>
      <c r="G113" s="3" t="n">
        <v>0.99029327508655</v>
      </c>
    </row>
    <row r="114" customFormat="false" ht="15.75" hidden="false" customHeight="false" outlineLevel="0" collapsed="false">
      <c r="A114" s="3" t="s">
        <v>1414</v>
      </c>
      <c r="B114" s="3"/>
      <c r="C114" s="3"/>
      <c r="D114" s="3"/>
      <c r="E114" s="3"/>
      <c r="F114" s="3"/>
      <c r="G114" s="3"/>
    </row>
    <row r="115" customFormat="false" ht="15.75" hidden="false" customHeight="false" outlineLevel="0" collapsed="false">
      <c r="A115" s="3" t="s">
        <v>578</v>
      </c>
      <c r="B115" s="3" t="n">
        <v>-9.03276738616647</v>
      </c>
      <c r="C115" s="3" t="n">
        <v>0.00011943152227851</v>
      </c>
      <c r="D115" s="3" t="n">
        <v>3259.49193068014</v>
      </c>
      <c r="E115" s="3" t="n">
        <v>27100.9217969467</v>
      </c>
      <c r="F115" s="3" t="n">
        <v>0.00246121029608044</v>
      </c>
      <c r="G115" s="3" t="n">
        <v>0.997016705453389</v>
      </c>
    </row>
    <row r="116" customFormat="false" ht="15.75" hidden="false" customHeight="false" outlineLevel="0" collapsed="false">
      <c r="A116" s="3" t="s">
        <v>580</v>
      </c>
      <c r="B116" s="3" t="n">
        <v>-4.24423413646267</v>
      </c>
      <c r="C116" s="3" t="n">
        <v>0.0143467171000811</v>
      </c>
      <c r="D116" s="3" t="n">
        <v>1027.16714776655</v>
      </c>
      <c r="E116" s="3" t="n">
        <v>8540.34221775332</v>
      </c>
      <c r="F116" s="3" t="n">
        <v>6.44342882839032E-005</v>
      </c>
      <c r="G116" s="3" t="n">
        <v>0.978546311123123</v>
      </c>
    </row>
    <row r="117" customFormat="false" ht="15.75" hidden="false" customHeight="false" outlineLevel="0" collapsed="false">
      <c r="A117" s="3" t="s">
        <v>582</v>
      </c>
      <c r="B117" s="3" t="n">
        <v>-5.93527652538371</v>
      </c>
      <c r="C117" s="3" t="n">
        <v>0.00264449138443013</v>
      </c>
      <c r="D117" s="3" t="n">
        <v>2158.20039347037</v>
      </c>
      <c r="E117" s="3" t="n">
        <v>17944.2751598945</v>
      </c>
      <c r="F117" s="3" t="n">
        <v>0.00301031331434634</v>
      </c>
      <c r="G117" s="3" t="n">
        <v>0.961710606735183</v>
      </c>
    </row>
    <row r="118" customFormat="false" ht="15.75" hidden="false" customHeight="false" outlineLevel="0" collapsed="false">
      <c r="A118" s="3" t="s">
        <v>584</v>
      </c>
      <c r="B118" s="3" t="n">
        <v>-5.59817504382964</v>
      </c>
      <c r="C118" s="3" t="n">
        <v>0.00370461831723998</v>
      </c>
      <c r="D118" s="3" t="n">
        <v>1919.05813503678</v>
      </c>
      <c r="E118" s="3" t="n">
        <v>15955.9359395542</v>
      </c>
      <c r="F118" s="3" t="n">
        <v>0.000188815400311348</v>
      </c>
      <c r="G118" s="3" t="n">
        <v>0.997561343812416</v>
      </c>
    </row>
    <row r="119" customFormat="false" ht="15.75" hidden="false" customHeight="false" outlineLevel="0" collapsed="false">
      <c r="A119" s="3" t="s">
        <v>586</v>
      </c>
      <c r="B119" s="3" t="n">
        <v>-5.96715448781991</v>
      </c>
      <c r="C119" s="3" t="n">
        <v>0.00256151989464607</v>
      </c>
      <c r="D119" s="3" t="n">
        <v>1940.34841782811</v>
      </c>
      <c r="E119" s="3" t="n">
        <v>16132.9531867919</v>
      </c>
      <c r="F119" s="3" t="n">
        <v>0.000320146056978115</v>
      </c>
      <c r="G119" s="3" t="n">
        <v>0.995758037014617</v>
      </c>
    </row>
    <row r="120" customFormat="false" ht="15.75" hidden="false" customHeight="false" outlineLevel="0" collapsed="false">
      <c r="A120" s="3" t="s">
        <v>1415</v>
      </c>
      <c r="B120" s="3" t="n">
        <v>-4.89310862662174</v>
      </c>
      <c r="C120" s="3" t="n">
        <v>0.00749807748508233</v>
      </c>
      <c r="D120" s="3" t="n">
        <v>1551.57107456124</v>
      </c>
      <c r="E120" s="3" t="n">
        <v>12900.4787397386</v>
      </c>
      <c r="F120" s="3" t="n">
        <v>3.65075072786871E-006</v>
      </c>
      <c r="G120" s="3"/>
    </row>
    <row r="121" customFormat="false" ht="15.75" hidden="false" customHeight="false" outlineLevel="0" collapsed="false">
      <c r="A121" s="3" t="s">
        <v>588</v>
      </c>
      <c r="B121" s="3" t="n">
        <v>-4.09886726782434</v>
      </c>
      <c r="C121" s="3" t="n">
        <v>0.0165914584404934</v>
      </c>
      <c r="D121" s="3" t="n">
        <v>1088.49982782555</v>
      </c>
      <c r="E121" s="3" t="n">
        <v>9050.29045546211</v>
      </c>
      <c r="F121" s="3" t="n">
        <v>6.47236705417631E-006</v>
      </c>
      <c r="G121" s="3" t="n">
        <v>0.999754466861194</v>
      </c>
    </row>
    <row r="122" customFormat="false" ht="15.75" hidden="false" customHeight="false" outlineLevel="0" collapsed="false">
      <c r="A122" s="3" t="s">
        <v>590</v>
      </c>
      <c r="B122" s="3" t="n">
        <v>-4.47318470945163</v>
      </c>
      <c r="C122" s="3" t="n">
        <v>0.0114109174654251</v>
      </c>
      <c r="D122" s="3" t="n">
        <v>1454.83374882085</v>
      </c>
      <c r="E122" s="3" t="n">
        <v>12096.1599208885</v>
      </c>
      <c r="F122" s="3" t="n">
        <v>0.000984601123985219</v>
      </c>
      <c r="G122" s="3" t="n">
        <v>0.994771659575226</v>
      </c>
    </row>
    <row r="123" customFormat="false" ht="15.75" hidden="false" customHeight="false" outlineLevel="0" collapsed="false">
      <c r="A123" s="3" t="s">
        <v>592</v>
      </c>
      <c r="B123" s="3" t="n">
        <v>-4.22001475037146</v>
      </c>
      <c r="C123" s="3" t="n">
        <v>0.0146984276960344</v>
      </c>
      <c r="D123" s="3" t="n">
        <v>1206.9381451903</v>
      </c>
      <c r="E123" s="3" t="n">
        <v>10035.0413445352</v>
      </c>
      <c r="F123" s="3" t="n">
        <v>1.84074279548774E-006</v>
      </c>
      <c r="G123" s="3" t="n">
        <v>0.999993048105527</v>
      </c>
    </row>
    <row r="124" customFormat="false" ht="15.75" hidden="false" customHeight="false" outlineLevel="0" collapsed="false">
      <c r="A124" s="3" t="s">
        <v>594</v>
      </c>
      <c r="B124" s="3" t="n">
        <v>-7.25431765940336</v>
      </c>
      <c r="C124" s="3" t="n">
        <v>0.000707114707798114</v>
      </c>
      <c r="D124" s="3" t="n">
        <v>2538.93507945273</v>
      </c>
      <c r="E124" s="3" t="n">
        <v>21109.8792385767</v>
      </c>
      <c r="F124" s="3" t="n">
        <v>0.000516008827896867</v>
      </c>
      <c r="G124" s="3" t="n">
        <v>0.99900971410976</v>
      </c>
    </row>
    <row r="125" customFormat="false" ht="15.75" hidden="false" customHeight="false" outlineLevel="0" collapsed="false">
      <c r="A125" s="3" t="s">
        <v>410</v>
      </c>
      <c r="B125" s="3" t="n">
        <v>-6.59059830101218</v>
      </c>
      <c r="C125" s="3" t="n">
        <v>0.00137321811999965</v>
      </c>
      <c r="D125" s="3" t="n">
        <v>1857.12628118839</v>
      </c>
      <c r="E125" s="3" t="n">
        <v>15441.0058941422</v>
      </c>
      <c r="F125" s="3" t="n">
        <v>0.00197271047134797</v>
      </c>
      <c r="G125" s="3" t="n">
        <v>0.974835042016406</v>
      </c>
    </row>
    <row r="126" customFormat="false" ht="15.75" hidden="false" customHeight="false" outlineLevel="0" collapsed="false">
      <c r="A126" s="3" t="s">
        <v>1416</v>
      </c>
      <c r="B126" s="3" t="n">
        <v>-9.60535495869731</v>
      </c>
      <c r="C126" s="3" t="n">
        <v>6.73670212537677E-005</v>
      </c>
      <c r="D126" s="3" t="n">
        <v>3863.47667882425</v>
      </c>
      <c r="E126" s="3" t="n">
        <v>32122.7300339704</v>
      </c>
      <c r="F126" s="3" t="n">
        <v>0.00911736336419392</v>
      </c>
      <c r="G126" s="3" t="n">
        <v>0.893508047876283</v>
      </c>
    </row>
    <row r="127" customFormat="false" ht="15.75" hidden="false" customHeight="false" outlineLevel="0" collapsed="false">
      <c r="A127" s="3" t="s">
        <v>1417</v>
      </c>
      <c r="B127" s="3" t="n">
        <v>-9.60748691258943</v>
      </c>
      <c r="C127" s="3" t="n">
        <v>6.72235508610785E-005</v>
      </c>
      <c r="D127" s="3" t="n">
        <v>3866.23490163205</v>
      </c>
      <c r="E127" s="3" t="n">
        <v>32145.6631726934</v>
      </c>
      <c r="F127" s="3" t="n">
        <v>0.0133214899722431</v>
      </c>
      <c r="G127" s="3" t="n">
        <v>0.786776939052872</v>
      </c>
    </row>
    <row r="128" customFormat="false" ht="15.75" hidden="false" customHeight="false" outlineLevel="0" collapsed="false">
      <c r="A128" s="3" t="s">
        <v>597</v>
      </c>
      <c r="B128" s="3" t="n">
        <v>-6.7909320058469</v>
      </c>
      <c r="C128" s="3" t="n">
        <v>0.00112392078514154</v>
      </c>
      <c r="D128" s="3" t="n">
        <v>2583.54413884747</v>
      </c>
      <c r="E128" s="3" t="n">
        <v>21480.77956777</v>
      </c>
      <c r="F128" s="3" t="n">
        <v>0.00218491240844365</v>
      </c>
      <c r="G128" s="3" t="n">
        <v>0.995864900354909</v>
      </c>
    </row>
    <row r="129" customFormat="false" ht="15.75" hidden="false" customHeight="false" outlineLevel="0" collapsed="false">
      <c r="A129" s="3" t="s">
        <v>599</v>
      </c>
      <c r="B129" s="3" t="n">
        <v>-4.12673225647888</v>
      </c>
      <c r="C129" s="3" t="n">
        <v>0.0161355195069475</v>
      </c>
      <c r="D129" s="3" t="n">
        <v>1105.8286241824</v>
      </c>
      <c r="E129" s="3" t="n">
        <v>9194.37007427684</v>
      </c>
      <c r="F129" s="3" t="n">
        <v>3.55397045536885E-006</v>
      </c>
      <c r="G129" s="3" t="n">
        <v>0.99995808520136</v>
      </c>
    </row>
    <row r="130" customFormat="false" ht="15.75" hidden="false" customHeight="false" outlineLevel="0" collapsed="false">
      <c r="A130" s="3" t="s">
        <v>38</v>
      </c>
      <c r="B130" s="3"/>
      <c r="C130" s="3"/>
      <c r="D130" s="3"/>
      <c r="E130" s="3"/>
      <c r="F130" s="3"/>
      <c r="G130" s="3"/>
    </row>
    <row r="131" customFormat="false" ht="15.75" hidden="false" customHeight="false" outlineLevel="0" collapsed="false">
      <c r="A131" s="3" t="s">
        <v>601</v>
      </c>
      <c r="B131" s="3" t="n">
        <v>-4.44079146560029</v>
      </c>
      <c r="C131" s="3" t="n">
        <v>0.0117866061338085</v>
      </c>
      <c r="D131" s="3" t="n">
        <v>1593.45353427802</v>
      </c>
      <c r="E131" s="3" t="n">
        <v>13248.7088595203</v>
      </c>
      <c r="F131" s="3" t="n">
        <v>0.00193219092261267</v>
      </c>
      <c r="G131" s="3" t="n">
        <v>0.995370435293391</v>
      </c>
    </row>
    <row r="132" customFormat="false" ht="15.75" hidden="false" customHeight="false" outlineLevel="0" collapsed="false">
      <c r="A132" s="3" t="s">
        <v>603</v>
      </c>
      <c r="B132" s="3" t="n">
        <v>-3.71888909582448</v>
      </c>
      <c r="C132" s="3" t="n">
        <v>0.024260904420967</v>
      </c>
      <c r="D132" s="3" t="n">
        <v>981.325158058881</v>
      </c>
      <c r="E132" s="3" t="n">
        <v>8159.19073632456</v>
      </c>
      <c r="F132" s="3" t="n">
        <v>4.1382148158149E-005</v>
      </c>
      <c r="G132" s="3" t="n">
        <v>0.999585377127957</v>
      </c>
    </row>
    <row r="133" customFormat="false" ht="15.75" hidden="false" customHeight="false" outlineLevel="0" collapsed="false">
      <c r="A133" s="3" t="s">
        <v>40</v>
      </c>
      <c r="B133" s="3" t="n">
        <v>-6.16153321251412</v>
      </c>
      <c r="C133" s="3" t="n">
        <v>0.00210901721999495</v>
      </c>
      <c r="D133" s="3" t="n">
        <v>1970.77957676117</v>
      </c>
      <c r="E133" s="3" t="n">
        <v>16385.9719013568</v>
      </c>
      <c r="F133" s="3" t="n">
        <v>0.00248644165684282</v>
      </c>
      <c r="G133" s="3"/>
    </row>
    <row r="134" customFormat="false" ht="15.75" hidden="false" customHeight="false" outlineLevel="0" collapsed="false">
      <c r="A134" s="3" t="s">
        <v>605</v>
      </c>
      <c r="B134" s="3" t="n">
        <v>-5.02856173466662</v>
      </c>
      <c r="C134" s="3" t="n">
        <v>0.00654822188147302</v>
      </c>
      <c r="D134" s="3" t="n">
        <v>1861.17747403571</v>
      </c>
      <c r="E134" s="3" t="n">
        <v>15474.6893831259</v>
      </c>
      <c r="F134" s="3" t="n">
        <v>0.0112396305038862</v>
      </c>
      <c r="G134" s="3" t="n">
        <v>0.978031101822676</v>
      </c>
    </row>
    <row r="135" customFormat="false" ht="15.75" hidden="false" customHeight="false" outlineLevel="0" collapsed="false">
      <c r="A135" s="3" t="s">
        <v>607</v>
      </c>
      <c r="B135" s="3" t="n">
        <v>-5.35239088461222</v>
      </c>
      <c r="C135" s="3" t="n">
        <v>0.00473681227843857</v>
      </c>
      <c r="D135" s="3" t="n">
        <v>1954.48115842844</v>
      </c>
      <c r="E135" s="3" t="n">
        <v>16250.4593214693</v>
      </c>
      <c r="F135" s="3" t="n">
        <v>0.0570009412892531</v>
      </c>
      <c r="G135" s="3" t="n">
        <v>0.958492021701987</v>
      </c>
    </row>
    <row r="136" customFormat="false" ht="15.75" hidden="false" customHeight="false" outlineLevel="0" collapsed="false">
      <c r="A136" s="3" t="s">
        <v>609</v>
      </c>
      <c r="B136" s="3" t="n">
        <v>-4.34384904249016</v>
      </c>
      <c r="C136" s="3" t="n">
        <v>0.0129864464975959</v>
      </c>
      <c r="D136" s="3" t="n">
        <v>1428.86714818351</v>
      </c>
      <c r="E136" s="3" t="n">
        <v>11880.2616066202</v>
      </c>
      <c r="F136" s="3" t="n">
        <v>0.000195378254091959</v>
      </c>
      <c r="G136" s="3" t="n">
        <v>0.999013427402224</v>
      </c>
    </row>
    <row r="137" customFormat="false" ht="15.75" hidden="false" customHeight="false" outlineLevel="0" collapsed="false">
      <c r="A137" s="3" t="s">
        <v>611</v>
      </c>
      <c r="B137" s="3" t="n">
        <v>-4.22972876247851</v>
      </c>
      <c r="C137" s="3" t="n">
        <v>0.0145563382381168</v>
      </c>
      <c r="D137" s="3" t="n">
        <v>800.111118955126</v>
      </c>
      <c r="E137" s="3" t="n">
        <v>6652.49349432987</v>
      </c>
      <c r="F137" s="3" t="n">
        <v>1.19918096906817E-005</v>
      </c>
      <c r="G137" s="3" t="n">
        <v>0.998865930987772</v>
      </c>
    </row>
    <row r="138" customFormat="false" ht="15.75" hidden="false" customHeight="false" outlineLevel="0" collapsed="false">
      <c r="A138" s="3" t="s">
        <v>42</v>
      </c>
      <c r="B138" s="3" t="n">
        <v>-11.5102519675077</v>
      </c>
      <c r="C138" s="3" t="n">
        <v>1.00267707444385E-005</v>
      </c>
      <c r="D138" s="3" t="n">
        <v>4246.88975086917</v>
      </c>
      <c r="E138" s="3" t="n">
        <v>35310.6034517912</v>
      </c>
      <c r="F138" s="3" t="n">
        <v>0.00535995380849879</v>
      </c>
      <c r="G138" s="3"/>
    </row>
    <row r="139" customFormat="false" ht="15.75" hidden="false" customHeight="false" outlineLevel="0" collapsed="false">
      <c r="A139" s="3" t="s">
        <v>613</v>
      </c>
      <c r="B139" s="3" t="n">
        <v>-4.72291379342474</v>
      </c>
      <c r="C139" s="3" t="n">
        <v>0.00888923936886254</v>
      </c>
      <c r="D139" s="3" t="n">
        <v>1541.6155645055</v>
      </c>
      <c r="E139" s="3" t="n">
        <v>12817.7040296896</v>
      </c>
      <c r="F139" s="3" t="n">
        <v>0.000397723196223871</v>
      </c>
      <c r="G139" s="3" t="n">
        <v>0.923920933146095</v>
      </c>
    </row>
    <row r="140" customFormat="false" ht="15.75" hidden="false" customHeight="false" outlineLevel="0" collapsed="false">
      <c r="A140" s="3" t="s">
        <v>615</v>
      </c>
      <c r="B140" s="3" t="n">
        <v>-5.52230504261656</v>
      </c>
      <c r="C140" s="3" t="n">
        <v>0.00399662492567503</v>
      </c>
      <c r="D140" s="3" t="n">
        <v>1698.42623303131</v>
      </c>
      <c r="E140" s="3" t="n">
        <v>14121.500374342</v>
      </c>
      <c r="F140" s="3" t="n">
        <v>4.9332152934263E-006</v>
      </c>
      <c r="G140" s="3" t="n">
        <v>0.999930739530492</v>
      </c>
    </row>
    <row r="141" customFormat="false" ht="15.75" hidden="false" customHeight="false" outlineLevel="0" collapsed="false">
      <c r="A141" s="3" t="s">
        <v>617</v>
      </c>
      <c r="B141" s="3" t="n">
        <v>-4.22221321825583</v>
      </c>
      <c r="C141" s="3" t="n">
        <v>0.0146661491694468</v>
      </c>
      <c r="D141" s="3" t="n">
        <v>884.300994340259</v>
      </c>
      <c r="E141" s="3" t="n">
        <v>7352.4870140043</v>
      </c>
      <c r="F141" s="3" t="n">
        <v>1.25996872725752E-005</v>
      </c>
      <c r="G141" s="3" t="n">
        <v>0.999750649572777</v>
      </c>
    </row>
    <row r="142" customFormat="false" ht="15.75" hidden="false" customHeight="false" outlineLevel="0" collapsed="false">
      <c r="A142" s="3" t="s">
        <v>1418</v>
      </c>
      <c r="B142" s="3" t="n">
        <v>-4.17025408342691</v>
      </c>
      <c r="C142" s="3" t="n">
        <v>0.0154483344594479</v>
      </c>
      <c r="D142" s="3" t="n">
        <v>720.4052163781</v>
      </c>
      <c r="E142" s="3" t="n">
        <v>5989.78179617749</v>
      </c>
      <c r="F142" s="3" t="n">
        <v>8.24670459165372E-006</v>
      </c>
      <c r="G142" s="3" t="n">
        <v>0.999882942518708</v>
      </c>
    </row>
    <row r="143" customFormat="false" ht="15.75" hidden="false" customHeight="false" outlineLevel="0" collapsed="false">
      <c r="A143" s="3" t="s">
        <v>619</v>
      </c>
      <c r="B143" s="3" t="n">
        <v>-4.32844153510577</v>
      </c>
      <c r="C143" s="3" t="n">
        <v>0.0131880846496505</v>
      </c>
      <c r="D143" s="3" t="n">
        <v>1350.18701087327</v>
      </c>
      <c r="E143" s="3" t="n">
        <v>11226.0785947994</v>
      </c>
      <c r="F143" s="3" t="n">
        <v>0.000114628555977117</v>
      </c>
      <c r="G143" s="3" t="n">
        <v>0.999567517178</v>
      </c>
    </row>
    <row r="144" customFormat="false" ht="15.75" hidden="false" customHeight="false" outlineLevel="0" collapsed="false">
      <c r="A144" s="3" t="s">
        <v>1419</v>
      </c>
      <c r="B144" s="3" t="n">
        <v>-4.09960167733518</v>
      </c>
      <c r="C144" s="3" t="n">
        <v>0.0165792779888833</v>
      </c>
      <c r="D144" s="3" t="n">
        <v>751.857572021194</v>
      </c>
      <c r="E144" s="3" t="n">
        <v>6251.29121198248</v>
      </c>
      <c r="F144" s="3" t="n">
        <v>1.42130583451884E-006</v>
      </c>
      <c r="G144" s="3"/>
    </row>
    <row r="145" customFormat="false" ht="15.75" hidden="false" customHeight="false" outlineLevel="0" collapsed="false">
      <c r="A145" s="3" t="s">
        <v>621</v>
      </c>
      <c r="B145" s="3" t="n">
        <v>-8.12291082150975</v>
      </c>
      <c r="C145" s="3" t="n">
        <v>0.000296663866857492</v>
      </c>
      <c r="D145" s="3" t="n">
        <v>2848.21991921299</v>
      </c>
      <c r="E145" s="3" t="n">
        <v>23681.4162859395</v>
      </c>
      <c r="F145" s="3" t="n">
        <v>0.00295860018778844</v>
      </c>
      <c r="G145" s="3" t="n">
        <v>0.996909089208963</v>
      </c>
    </row>
    <row r="146" customFormat="false" ht="15.75" hidden="false" customHeight="false" outlineLevel="0" collapsed="false">
      <c r="A146" s="3" t="s">
        <v>623</v>
      </c>
      <c r="B146" s="3" t="n">
        <v>-7.37395106552269</v>
      </c>
      <c r="C146" s="3" t="n">
        <v>0.000627384438593164</v>
      </c>
      <c r="D146" s="3" t="n">
        <v>2570.79361393418</v>
      </c>
      <c r="E146" s="3" t="n">
        <v>21374.7658128984</v>
      </c>
      <c r="F146" s="3" t="n">
        <v>0.000738530146463925</v>
      </c>
      <c r="G146" s="3" t="n">
        <v>0.998516508907955</v>
      </c>
    </row>
    <row r="147" customFormat="false" ht="15.75" hidden="false" customHeight="false" outlineLevel="0" collapsed="false">
      <c r="A147" s="3" t="s">
        <v>1420</v>
      </c>
      <c r="B147" s="3"/>
      <c r="C147" s="3"/>
      <c r="D147" s="3"/>
      <c r="E147" s="3"/>
      <c r="F147" s="3"/>
      <c r="G147" s="3"/>
    </row>
    <row r="148" customFormat="false" ht="15.75" hidden="false" customHeight="false" outlineLevel="0" collapsed="false">
      <c r="A148" s="3" t="s">
        <v>625</v>
      </c>
      <c r="B148" s="3" t="n">
        <v>-8.12368764776437</v>
      </c>
      <c r="C148" s="3" t="n">
        <v>0.000296433500065991</v>
      </c>
      <c r="D148" s="3" t="n">
        <v>2782.15051706809</v>
      </c>
      <c r="E148" s="3" t="n">
        <v>23132.084752443</v>
      </c>
      <c r="F148" s="3" t="n">
        <v>0.000144086065450724</v>
      </c>
      <c r="G148" s="3" t="n">
        <v>0.999786059122887</v>
      </c>
    </row>
    <row r="149" customFormat="false" ht="15.75" hidden="false" customHeight="false" outlineLevel="0" collapsed="false">
      <c r="A149" s="3" t="s">
        <v>627</v>
      </c>
      <c r="B149" s="3" t="n">
        <v>-4.62612078239229</v>
      </c>
      <c r="C149" s="3" t="n">
        <v>0.009792673427024</v>
      </c>
      <c r="D149" s="3" t="n">
        <v>1237.23711599639</v>
      </c>
      <c r="E149" s="3" t="n">
        <v>10286.9609859416</v>
      </c>
      <c r="F149" s="3" t="n">
        <v>5.14799788724818E-006</v>
      </c>
      <c r="G149" s="3" t="n">
        <v>0.999074928705543</v>
      </c>
    </row>
    <row r="150" customFormat="false" ht="15.75" hidden="false" customHeight="false" outlineLevel="0" collapsed="false">
      <c r="A150" s="3" t="s">
        <v>629</v>
      </c>
      <c r="B150" s="3" t="n">
        <v>-4.06711265559427</v>
      </c>
      <c r="C150" s="3" t="n">
        <v>0.0171267680632429</v>
      </c>
      <c r="D150" s="3" t="n">
        <v>736.410566743553</v>
      </c>
      <c r="E150" s="3" t="n">
        <v>6122.85767358773</v>
      </c>
      <c r="F150" s="3" t="n">
        <v>1.21745105583978E-006</v>
      </c>
      <c r="G150" s="3" t="n">
        <v>0.999845165890958</v>
      </c>
    </row>
    <row r="151" customFormat="false" ht="15.75" hidden="false" customHeight="false" outlineLevel="0" collapsed="false">
      <c r="A151" s="3" t="s">
        <v>631</v>
      </c>
      <c r="B151" s="3" t="n">
        <v>-7.77991839743689</v>
      </c>
      <c r="C151" s="3" t="n">
        <v>0.000418046286867676</v>
      </c>
      <c r="D151" s="3" t="n">
        <v>2691.46154862332</v>
      </c>
      <c r="E151" s="3" t="n">
        <v>22378.0547704897</v>
      </c>
      <c r="F151" s="3" t="n">
        <v>0.000686179325683928</v>
      </c>
      <c r="G151" s="3" t="n">
        <v>0.998752038266418</v>
      </c>
    </row>
    <row r="152" customFormat="false" ht="15.75" hidden="false" customHeight="false" outlineLevel="0" collapsed="false">
      <c r="A152" s="3" t="s">
        <v>44</v>
      </c>
      <c r="B152" s="3" t="n">
        <v>-5.02068414237865</v>
      </c>
      <c r="C152" s="3" t="n">
        <v>0.00660000981797664</v>
      </c>
      <c r="D152" s="3" t="n">
        <v>1337.02442380411</v>
      </c>
      <c r="E152" s="3" t="n">
        <v>11116.6387647912</v>
      </c>
      <c r="F152" s="3" t="n">
        <v>1.46554487043446E-005</v>
      </c>
      <c r="G152" s="3"/>
    </row>
    <row r="153" customFormat="false" ht="15.75" hidden="false" customHeight="false" outlineLevel="0" collapsed="false">
      <c r="A153" s="3" t="s">
        <v>633</v>
      </c>
      <c r="B153" s="3" t="n">
        <v>-10.934802773174</v>
      </c>
      <c r="C153" s="3" t="n">
        <v>1.78268863143839E-005</v>
      </c>
      <c r="D153" s="3" t="n">
        <v>3662.37150683018</v>
      </c>
      <c r="E153" s="3" t="n">
        <v>30450.6487234223</v>
      </c>
      <c r="F153" s="3" t="n">
        <v>0.0160027951963405</v>
      </c>
      <c r="G153" s="3" t="n">
        <v>0.942200878270696</v>
      </c>
    </row>
    <row r="154" customFormat="false" ht="15.75" hidden="false" customHeight="false" outlineLevel="0" collapsed="false">
      <c r="A154" s="3" t="s">
        <v>635</v>
      </c>
      <c r="B154" s="3" t="n">
        <v>-11.4262326005657</v>
      </c>
      <c r="C154" s="3" t="n">
        <v>1.09056167796505E-005</v>
      </c>
      <c r="D154" s="3" t="n">
        <v>4015.68351413359</v>
      </c>
      <c r="E154" s="3" t="n">
        <v>33388.2479822902</v>
      </c>
      <c r="F154" s="3" t="n">
        <v>0.0140465509055643</v>
      </c>
      <c r="G154" s="3" t="n">
        <v>0.98978592401898</v>
      </c>
    </row>
    <row r="155" customFormat="false" ht="15.75" hidden="false" customHeight="false" outlineLevel="0" collapsed="false">
      <c r="A155" s="3" t="s">
        <v>637</v>
      </c>
      <c r="B155" s="3" t="n">
        <v>-11.81615009321</v>
      </c>
      <c r="C155" s="3" t="n">
        <v>7.38433204788268E-006</v>
      </c>
      <c r="D155" s="3" t="n">
        <v>4127.70174328322</v>
      </c>
      <c r="E155" s="3" t="n">
        <v>34319.6192918621</v>
      </c>
      <c r="F155" s="3" t="n">
        <v>0.0431080001405694</v>
      </c>
      <c r="G155" s="3" t="n">
        <v>0.984062905906244</v>
      </c>
    </row>
    <row r="156" customFormat="false" ht="15.75" hidden="false" customHeight="false" outlineLevel="0" collapsed="false">
      <c r="A156" s="3" t="s">
        <v>639</v>
      </c>
      <c r="B156" s="3" t="n">
        <v>-5.9547141336592</v>
      </c>
      <c r="C156" s="3" t="n">
        <v>0.00259358514733478</v>
      </c>
      <c r="D156" s="3" t="n">
        <v>1882.41099328219</v>
      </c>
      <c r="E156" s="3" t="n">
        <v>15651.2346720271</v>
      </c>
      <c r="F156" s="3" t="n">
        <v>0.000152119879186587</v>
      </c>
      <c r="G156" s="3" t="n">
        <v>0.999415302247732</v>
      </c>
    </row>
    <row r="157" customFormat="false" ht="15.75" hidden="false" customHeight="false" outlineLevel="0" collapsed="false">
      <c r="A157" s="3" t="s">
        <v>641</v>
      </c>
      <c r="B157" s="3" t="n">
        <v>-5.60579812398396</v>
      </c>
      <c r="C157" s="3" t="n">
        <v>0.00367648508205811</v>
      </c>
      <c r="D157" s="3" t="n">
        <v>2023.99810042972</v>
      </c>
      <c r="E157" s="3" t="n">
        <v>16828.4552940951</v>
      </c>
      <c r="F157" s="3" t="n">
        <v>0.00144862457219052</v>
      </c>
      <c r="G157" s="3" t="n">
        <v>0.976846986508811</v>
      </c>
    </row>
    <row r="158" customFormat="false" ht="15.75" hidden="false" customHeight="false" outlineLevel="0" collapsed="false">
      <c r="A158" s="3" t="s">
        <v>643</v>
      </c>
      <c r="B158" s="3" t="n">
        <v>-8.34838318117469</v>
      </c>
      <c r="C158" s="3" t="n">
        <v>0.000236779037918901</v>
      </c>
      <c r="D158" s="3" t="n">
        <v>3115.25145136845</v>
      </c>
      <c r="E158" s="3" t="n">
        <v>25901.6398128479</v>
      </c>
      <c r="F158" s="3" t="n">
        <v>0.000889066237369891</v>
      </c>
      <c r="G158" s="3" t="n">
        <v>0.998776811644098</v>
      </c>
    </row>
    <row r="159" customFormat="false" ht="15.75" hidden="false" customHeight="false" outlineLevel="0" collapsed="false">
      <c r="A159" s="3" t="s">
        <v>46</v>
      </c>
      <c r="B159" s="3" t="n">
        <v>-3.76549514223478</v>
      </c>
      <c r="C159" s="3" t="n">
        <v>0.0231561438114931</v>
      </c>
      <c r="D159" s="3" t="n">
        <v>1075.85852234791</v>
      </c>
      <c r="E159" s="3" t="n">
        <v>8945.18480143785</v>
      </c>
      <c r="F159" s="3" t="n">
        <v>6.90379443103552E-005</v>
      </c>
      <c r="G159" s="3"/>
    </row>
    <row r="160" customFormat="false" ht="15.75" hidden="false" customHeight="false" outlineLevel="0" collapsed="false">
      <c r="A160" s="3" t="s">
        <v>48</v>
      </c>
      <c r="B160" s="3" t="n">
        <v>-4.12606034154319</v>
      </c>
      <c r="C160" s="3" t="n">
        <v>0.0161463648466642</v>
      </c>
      <c r="D160" s="3" t="n">
        <v>1335.02426777006</v>
      </c>
      <c r="E160" s="3" t="n">
        <v>11100.008543452</v>
      </c>
      <c r="F160" s="3" t="n">
        <v>0.000141606430980976</v>
      </c>
      <c r="G160" s="3"/>
    </row>
    <row r="161" customFormat="false" ht="15.75" hidden="false" customHeight="false" outlineLevel="0" collapsed="false">
      <c r="A161" s="3" t="s">
        <v>50</v>
      </c>
      <c r="B161" s="3" t="n">
        <v>-4.02875718413924</v>
      </c>
      <c r="C161" s="3" t="n">
        <v>0.0177964339055662</v>
      </c>
      <c r="D161" s="3" t="n">
        <v>1259.40555404569</v>
      </c>
      <c r="E161" s="3" t="n">
        <v>10471.2796217019</v>
      </c>
      <c r="F161" s="3" t="n">
        <v>7.90451812146108E-005</v>
      </c>
      <c r="G161" s="3"/>
    </row>
    <row r="162" customFormat="false" ht="15.75" hidden="false" customHeight="false" outlineLevel="0" collapsed="false">
      <c r="A162" s="3" t="s">
        <v>52</v>
      </c>
      <c r="B162" s="3" t="n">
        <v>-4.55430284747894</v>
      </c>
      <c r="C162" s="3" t="n">
        <v>0.0105218329981887</v>
      </c>
      <c r="D162" s="3" t="n">
        <v>1589.19891083562</v>
      </c>
      <c r="E162" s="3" t="n">
        <v>13213.3339545842</v>
      </c>
      <c r="F162" s="3" t="n">
        <v>0.000213729309640572</v>
      </c>
      <c r="G162" s="3"/>
    </row>
    <row r="163" customFormat="false" ht="15.75" hidden="false" customHeight="false" outlineLevel="0" collapsed="false">
      <c r="A163" s="3" t="s">
        <v>54</v>
      </c>
      <c r="B163" s="3"/>
      <c r="C163" s="3"/>
      <c r="D163" s="3"/>
      <c r="E163" s="3"/>
      <c r="F163" s="3"/>
      <c r="G163" s="3"/>
    </row>
    <row r="164" customFormat="false" ht="15.75" hidden="false" customHeight="false" outlineLevel="0" collapsed="false">
      <c r="A164" s="3" t="s">
        <v>56</v>
      </c>
      <c r="B164" s="3" t="n">
        <v>-3.85672944599816</v>
      </c>
      <c r="C164" s="3" t="n">
        <v>0.0211370163533076</v>
      </c>
      <c r="D164" s="3" t="n">
        <v>1125.07401533626</v>
      </c>
      <c r="E164" s="3" t="n">
        <v>9354.38514770075</v>
      </c>
      <c r="F164" s="3" t="n">
        <v>5.38440159957766E-005</v>
      </c>
      <c r="G164" s="3"/>
    </row>
    <row r="165" customFormat="false" ht="15.75" hidden="false" customHeight="false" outlineLevel="0" collapsed="false">
      <c r="A165" s="3" t="s">
        <v>645</v>
      </c>
      <c r="B165" s="3" t="n">
        <v>-4.70822134273435</v>
      </c>
      <c r="C165" s="3" t="n">
        <v>0.00902080824781261</v>
      </c>
      <c r="D165" s="3" t="n">
        <v>1795.60003499339</v>
      </c>
      <c r="E165" s="3" t="n">
        <v>14929.4482581512</v>
      </c>
      <c r="F165" s="3" t="n">
        <v>0.00377177049892965</v>
      </c>
      <c r="G165" s="3" t="n">
        <v>0.981848410498337</v>
      </c>
    </row>
    <row r="166" customFormat="false" ht="15.75" hidden="false" customHeight="false" outlineLevel="0" collapsed="false">
      <c r="A166" s="3" t="s">
        <v>647</v>
      </c>
      <c r="B166" s="3" t="n">
        <v>-4.38663483414334</v>
      </c>
      <c r="C166" s="3" t="n">
        <v>0.0124425300248865</v>
      </c>
      <c r="D166" s="3" t="n">
        <v>1707.05637932254</v>
      </c>
      <c r="E166" s="3" t="n">
        <v>14193.2553977349</v>
      </c>
      <c r="F166" s="3" t="n">
        <v>0.0505142188752224</v>
      </c>
      <c r="G166" s="3" t="n">
        <v>0.938336048352038</v>
      </c>
    </row>
    <row r="167" customFormat="false" ht="15.75" hidden="false" customHeight="false" outlineLevel="0" collapsed="false">
      <c r="A167" s="3" t="s">
        <v>649</v>
      </c>
      <c r="B167" s="3" t="n">
        <v>-5.35970598278628</v>
      </c>
      <c r="C167" s="3" t="n">
        <v>0.00470228845810646</v>
      </c>
      <c r="D167" s="3" t="n">
        <v>2257.46052177537</v>
      </c>
      <c r="E167" s="3" t="n">
        <v>18769.5697248015</v>
      </c>
      <c r="F167" s="3" t="n">
        <v>0.00295754201071806</v>
      </c>
      <c r="G167" s="3" t="n">
        <v>0.99153564176535</v>
      </c>
    </row>
    <row r="168" customFormat="false" ht="15.75" hidden="false" customHeight="false" outlineLevel="0" collapsed="false">
      <c r="A168" s="3" t="s">
        <v>651</v>
      </c>
      <c r="B168" s="3" t="n">
        <v>-4.31374529965045</v>
      </c>
      <c r="C168" s="3" t="n">
        <v>0.0133833310261409</v>
      </c>
      <c r="D168" s="3" t="n">
        <v>1513.22483113862</v>
      </c>
      <c r="E168" s="3" t="n">
        <v>12581.6503559585</v>
      </c>
      <c r="F168" s="3" t="n">
        <v>0.00359611163551308</v>
      </c>
      <c r="G168" s="3" t="n">
        <v>0.996111975880647</v>
      </c>
    </row>
    <row r="169" customFormat="false" ht="15.75" hidden="false" customHeight="false" outlineLevel="0" collapsed="false">
      <c r="A169" s="3" t="s">
        <v>653</v>
      </c>
      <c r="B169" s="3" t="n">
        <v>-4.54237955174236</v>
      </c>
      <c r="C169" s="3" t="n">
        <v>0.0106480388242437</v>
      </c>
      <c r="D169" s="3" t="n">
        <v>1450.27188317081</v>
      </c>
      <c r="E169" s="3" t="n">
        <v>12058.2304622921</v>
      </c>
      <c r="F169" s="3" t="n">
        <v>0.000134288377354309</v>
      </c>
      <c r="G169" s="3" t="n">
        <v>0.999481785572982</v>
      </c>
    </row>
    <row r="170" customFormat="false" ht="15.75" hidden="false" customHeight="false" outlineLevel="0" collapsed="false">
      <c r="A170" s="3" t="s">
        <v>655</v>
      </c>
      <c r="B170" s="3" t="n">
        <v>-4.31733160776888</v>
      </c>
      <c r="C170" s="3" t="n">
        <v>0.0133354202402013</v>
      </c>
      <c r="D170" s="3" t="n">
        <v>1315.12944112532</v>
      </c>
      <c r="E170" s="3" t="n">
        <v>10934.5937633177</v>
      </c>
      <c r="F170" s="3" t="n">
        <v>0.000661000981465303</v>
      </c>
      <c r="G170" s="3" t="n">
        <v>0.994829854336136</v>
      </c>
    </row>
    <row r="171" customFormat="false" ht="15.75" hidden="false" customHeight="false" outlineLevel="0" collapsed="false">
      <c r="A171" s="3" t="s">
        <v>657</v>
      </c>
      <c r="B171" s="3" t="n">
        <v>-4.05342354024617</v>
      </c>
      <c r="C171" s="3" t="n">
        <v>0.0173628304229003</v>
      </c>
      <c r="D171" s="3" t="n">
        <v>1011.17899071295</v>
      </c>
      <c r="E171" s="3" t="n">
        <v>8407.40929348114</v>
      </c>
      <c r="F171" s="3" t="n">
        <v>1.3543997529266E-005</v>
      </c>
      <c r="G171" s="3" t="n">
        <v>0.999806218110205</v>
      </c>
    </row>
    <row r="172" customFormat="false" ht="15.75" hidden="false" customHeight="false" outlineLevel="0" collapsed="false">
      <c r="A172" s="3" t="s">
        <v>659</v>
      </c>
      <c r="B172" s="3" t="n">
        <v>-8.81820460947451</v>
      </c>
      <c r="C172" s="3" t="n">
        <v>0.000148013864508763</v>
      </c>
      <c r="D172" s="3" t="n">
        <v>2982.50362590343</v>
      </c>
      <c r="E172" s="3" t="n">
        <v>24797.9130624363</v>
      </c>
      <c r="F172" s="3" t="n">
        <v>0.00692606282159473</v>
      </c>
      <c r="G172" s="3" t="n">
        <v>0.99227405441103</v>
      </c>
    </row>
    <row r="173" customFormat="false" ht="15.75" hidden="false" customHeight="false" outlineLevel="0" collapsed="false">
      <c r="A173" s="3" t="s">
        <v>661</v>
      </c>
      <c r="B173" s="3" t="n">
        <v>-4.12312371986569</v>
      </c>
      <c r="C173" s="3" t="n">
        <v>0.0161938503009677</v>
      </c>
      <c r="D173" s="3" t="n">
        <v>1002.66759628569</v>
      </c>
      <c r="E173" s="3" t="n">
        <v>8336.64162794871</v>
      </c>
      <c r="F173" s="3" t="n">
        <v>0.000144463416470144</v>
      </c>
      <c r="G173" s="3" t="n">
        <v>0.998662099792289</v>
      </c>
    </row>
    <row r="174" customFormat="false" ht="15.75" hidden="false" customHeight="false" outlineLevel="0" collapsed="false">
      <c r="A174" s="3" t="s">
        <v>58</v>
      </c>
      <c r="B174" s="3" t="n">
        <v>-5.13020656189694</v>
      </c>
      <c r="C174" s="3" t="n">
        <v>0.00591533846394171</v>
      </c>
      <c r="D174" s="3" t="n">
        <v>1051.52548543552</v>
      </c>
      <c r="E174" s="3" t="n">
        <v>8742.86869068518</v>
      </c>
      <c r="F174" s="3" t="n">
        <v>2.78596419712098E-006</v>
      </c>
      <c r="G174" s="3"/>
    </row>
    <row r="175" customFormat="false" ht="15.75" hidden="false" customHeight="false" outlineLevel="0" collapsed="false">
      <c r="A175" s="3" t="s">
        <v>236</v>
      </c>
      <c r="B175" s="3" t="n">
        <v>-9.36043016377091</v>
      </c>
      <c r="C175" s="3" t="n">
        <v>8.60630695380775E-005</v>
      </c>
      <c r="D175" s="3" t="n">
        <v>3593.82070332802</v>
      </c>
      <c r="E175" s="3" t="n">
        <v>29880.6856726341</v>
      </c>
      <c r="F175" s="3" t="n">
        <v>0.000862887054992304</v>
      </c>
      <c r="G175" s="3"/>
    </row>
    <row r="176" customFormat="false" ht="15.75" hidden="false" customHeight="false" outlineLevel="0" collapsed="false">
      <c r="A176" s="3" t="s">
        <v>1421</v>
      </c>
      <c r="B176" s="3"/>
      <c r="C176" s="3"/>
      <c r="D176" s="3"/>
      <c r="E176" s="3"/>
      <c r="F176" s="3"/>
      <c r="G176" s="3"/>
    </row>
    <row r="177" customFormat="false" ht="15.75" hidden="false" customHeight="false" outlineLevel="0" collapsed="false">
      <c r="A177" s="3" t="s">
        <v>663</v>
      </c>
      <c r="B177" s="3" t="n">
        <v>-4.19518245876321</v>
      </c>
      <c r="C177" s="3" t="n">
        <v>0.0150679929239052</v>
      </c>
      <c r="D177" s="3" t="n">
        <v>1169.97503174986</v>
      </c>
      <c r="E177" s="3" t="n">
        <v>9727.71294243297</v>
      </c>
      <c r="F177" s="3" t="n">
        <v>1.72863670155264E-005</v>
      </c>
      <c r="G177" s="3" t="n">
        <v>0.99980756991782</v>
      </c>
    </row>
    <row r="178" customFormat="false" ht="15.75" hidden="false" customHeight="false" outlineLevel="0" collapsed="false">
      <c r="A178" s="3" t="s">
        <v>60</v>
      </c>
      <c r="B178" s="3" t="n">
        <v>-5.43010214493497</v>
      </c>
      <c r="C178" s="3" t="n">
        <v>0.00438264811449799</v>
      </c>
      <c r="D178" s="3" t="n">
        <v>2183.02749289986</v>
      </c>
      <c r="E178" s="3" t="n">
        <v>18150.6991346712</v>
      </c>
      <c r="F178" s="3" t="n">
        <v>0.00153337229440858</v>
      </c>
      <c r="G178" s="3"/>
    </row>
    <row r="179" customFormat="false" ht="15.75" hidden="false" customHeight="false" outlineLevel="0" collapsed="false">
      <c r="A179" s="3" t="s">
        <v>62</v>
      </c>
      <c r="B179" s="3" t="n">
        <v>-4.76566209716896</v>
      </c>
      <c r="C179" s="3" t="n">
        <v>0.00851724712991241</v>
      </c>
      <c r="D179" s="3" t="n">
        <v>1977.14012944976</v>
      </c>
      <c r="E179" s="3" t="n">
        <v>16438.8564749851</v>
      </c>
      <c r="F179" s="3" t="n">
        <v>0.781052680361358</v>
      </c>
      <c r="G179" s="3"/>
    </row>
    <row r="180" customFormat="false" ht="15.75" hidden="false" customHeight="false" outlineLevel="0" collapsed="false">
      <c r="A180" s="3" t="s">
        <v>1422</v>
      </c>
      <c r="B180" s="3" t="n">
        <v>-5.01457043316413</v>
      </c>
      <c r="C180" s="3" t="n">
        <v>0.00664048395630468</v>
      </c>
      <c r="D180" s="3" t="n">
        <v>1157.19696430746</v>
      </c>
      <c r="E180" s="3" t="n">
        <v>9621.47018624976</v>
      </c>
      <c r="F180" s="3" t="n">
        <v>0.000586438917042118</v>
      </c>
      <c r="G180" s="3"/>
    </row>
    <row r="181" customFormat="false" ht="15.75" hidden="false" customHeight="false" outlineLevel="0" collapsed="false">
      <c r="A181" s="3" t="s">
        <v>665</v>
      </c>
      <c r="B181" s="3" t="n">
        <v>-4.18350785187186</v>
      </c>
      <c r="C181" s="3" t="n">
        <v>0.0152449366826165</v>
      </c>
      <c r="D181" s="3" t="n">
        <v>940.389177780015</v>
      </c>
      <c r="E181" s="3" t="n">
        <v>7818.83008386318</v>
      </c>
      <c r="F181" s="3" t="n">
        <v>7.09961197186331E-007</v>
      </c>
      <c r="G181" s="3" t="n">
        <v>0.99997181917158</v>
      </c>
    </row>
    <row r="182" customFormat="false" ht="15.75" hidden="false" customHeight="false" outlineLevel="0" collapsed="false">
      <c r="A182" s="3" t="s">
        <v>667</v>
      </c>
      <c r="B182" s="3" t="n">
        <v>-8.05385500015218</v>
      </c>
      <c r="C182" s="3" t="n">
        <v>0.000317874152568569</v>
      </c>
      <c r="D182" s="3" t="n">
        <v>2611.74469213607</v>
      </c>
      <c r="E182" s="3" t="n">
        <v>21715.251996467</v>
      </c>
      <c r="F182" s="3" t="n">
        <v>0.000286317023194951</v>
      </c>
      <c r="G182" s="3" t="n">
        <v>0.99945038924632</v>
      </c>
    </row>
    <row r="183" customFormat="false" ht="15.75" hidden="false" customHeight="false" outlineLevel="0" collapsed="false">
      <c r="A183" s="3" t="s">
        <v>1423</v>
      </c>
      <c r="B183" s="3" t="n">
        <v>-9.06319037546245</v>
      </c>
      <c r="C183" s="3" t="n">
        <v>0.00011585277251175</v>
      </c>
      <c r="D183" s="3" t="n">
        <v>3657.16503571362</v>
      </c>
      <c r="E183" s="3" t="n">
        <v>30407.3597171696</v>
      </c>
      <c r="F183" s="3" t="n">
        <v>0.017346476742673</v>
      </c>
      <c r="G183" s="3" t="n">
        <v>0.715246490908511</v>
      </c>
    </row>
    <row r="184" customFormat="false" ht="15.75" hidden="false" customHeight="false" outlineLevel="0" collapsed="false">
      <c r="A184" s="3" t="s">
        <v>64</v>
      </c>
      <c r="B184" s="3"/>
      <c r="C184" s="3"/>
      <c r="D184" s="3"/>
      <c r="E184" s="3"/>
      <c r="F184" s="3"/>
      <c r="G184" s="3"/>
    </row>
    <row r="185" customFormat="false" ht="15.75" hidden="false" customHeight="false" outlineLevel="0" collapsed="false">
      <c r="A185" s="3" t="s">
        <v>1424</v>
      </c>
      <c r="B185" s="3" t="n">
        <v>-5.55908041111971</v>
      </c>
      <c r="C185" s="3" t="n">
        <v>0.00385231731743422</v>
      </c>
      <c r="D185" s="3" t="n">
        <v>2410.24961221078</v>
      </c>
      <c r="E185" s="3" t="n">
        <v>20039.9288112413</v>
      </c>
      <c r="F185" s="3" t="n">
        <v>0.0322486944886454</v>
      </c>
      <c r="G185" s="3"/>
    </row>
    <row r="186" customFormat="false" ht="15.75" hidden="false" customHeight="false" outlineLevel="0" collapsed="false">
      <c r="A186" s="3" t="s">
        <v>669</v>
      </c>
      <c r="B186" s="3" t="n">
        <v>-3.84199892549151</v>
      </c>
      <c r="C186" s="3" t="n">
        <v>0.0214506801498842</v>
      </c>
      <c r="D186" s="3" t="n">
        <v>1192.96941294164</v>
      </c>
      <c r="E186" s="3" t="n">
        <v>9918.89885106556</v>
      </c>
      <c r="F186" s="3" t="n">
        <v>3.42560059128363E-005</v>
      </c>
      <c r="G186" s="3" t="n">
        <v>0.999668189047192</v>
      </c>
    </row>
    <row r="187" customFormat="false" ht="15.75" hidden="false" customHeight="false" outlineLevel="0" collapsed="false">
      <c r="A187" s="3" t="s">
        <v>1425</v>
      </c>
      <c r="B187" s="3" t="n">
        <v>-5.75697824694232</v>
      </c>
      <c r="C187" s="3" t="n">
        <v>0.00316064788044047</v>
      </c>
      <c r="D187" s="3" t="n">
        <v>2188.23495107275</v>
      </c>
      <c r="E187" s="3" t="n">
        <v>18193.9963477662</v>
      </c>
      <c r="F187" s="3" t="n">
        <v>0.00574753953240373</v>
      </c>
      <c r="G187" s="3" t="n">
        <v>0.783622550985448</v>
      </c>
    </row>
    <row r="188" customFormat="false" ht="15.75" hidden="false" customHeight="false" outlineLevel="0" collapsed="false">
      <c r="A188" s="3" t="s">
        <v>66</v>
      </c>
      <c r="B188" s="3" t="n">
        <v>-3.63475160309497</v>
      </c>
      <c r="C188" s="3" t="n">
        <v>0.0263904888890936</v>
      </c>
      <c r="D188" s="3" t="n">
        <v>1341.76483616489</v>
      </c>
      <c r="E188" s="3" t="n">
        <v>11156.0527432292</v>
      </c>
      <c r="F188" s="3" t="n">
        <v>2.48731683694364E-005</v>
      </c>
      <c r="G188" s="3"/>
    </row>
    <row r="189" customFormat="false" ht="15.75" hidden="false" customHeight="false" outlineLevel="0" collapsed="false">
      <c r="A189" s="3" t="s">
        <v>671</v>
      </c>
      <c r="B189" s="3" t="n">
        <v>-12.9852370006763</v>
      </c>
      <c r="C189" s="3" t="n">
        <v>2.29394618013568E-006</v>
      </c>
      <c r="D189" s="3" t="n">
        <v>4627.19021240723</v>
      </c>
      <c r="E189" s="3" t="n">
        <v>38472.5971878318</v>
      </c>
      <c r="F189" s="3" t="n">
        <v>0.0251417721042561</v>
      </c>
      <c r="G189" s="3" t="n">
        <v>0.912935731902737</v>
      </c>
    </row>
    <row r="190" customFormat="false" ht="15.75" hidden="false" customHeight="false" outlineLevel="0" collapsed="false">
      <c r="A190" s="3" t="s">
        <v>673</v>
      </c>
      <c r="B190" s="3" t="n">
        <v>-3.96935063149863</v>
      </c>
      <c r="C190" s="3" t="n">
        <v>0.018885692928273</v>
      </c>
      <c r="D190" s="3" t="n">
        <v>1169.30740288829</v>
      </c>
      <c r="E190" s="3" t="n">
        <v>9722.16196763341</v>
      </c>
      <c r="F190" s="3" t="n">
        <v>0.000208223081441244</v>
      </c>
      <c r="G190" s="3" t="n">
        <v>0.998717084531183</v>
      </c>
    </row>
    <row r="191" customFormat="false" ht="15.75" hidden="false" customHeight="false" outlineLevel="0" collapsed="false">
      <c r="A191" s="3" t="s">
        <v>675</v>
      </c>
      <c r="B191" s="3" t="n">
        <v>-4.67079962682775</v>
      </c>
      <c r="C191" s="3" t="n">
        <v>0.0093647782043858</v>
      </c>
      <c r="D191" s="3" t="n">
        <v>1685.53560313326</v>
      </c>
      <c r="E191" s="3" t="n">
        <v>14014.3217218986</v>
      </c>
      <c r="F191" s="3" t="n">
        <v>0.000465367854634445</v>
      </c>
      <c r="G191" s="3" t="n">
        <v>0.997005668018544</v>
      </c>
    </row>
    <row r="192" customFormat="false" ht="15.75" hidden="false" customHeight="false" outlineLevel="0" collapsed="false">
      <c r="A192" s="3" t="s">
        <v>677</v>
      </c>
      <c r="B192" s="3" t="n">
        <v>-9.99469488117942</v>
      </c>
      <c r="C192" s="3" t="n">
        <v>4.56414217898859E-005</v>
      </c>
      <c r="D192" s="3" t="n">
        <v>3797.85857103365</v>
      </c>
      <c r="E192" s="3" t="n">
        <v>31577.1507702336</v>
      </c>
      <c r="F192" s="3" t="n">
        <v>0.0263896843176637</v>
      </c>
      <c r="G192" s="3" t="n">
        <v>0.961990369062577</v>
      </c>
    </row>
    <row r="193" customFormat="false" ht="15.75" hidden="false" customHeight="false" outlineLevel="0" collapsed="false">
      <c r="A193" s="3" t="s">
        <v>679</v>
      </c>
      <c r="B193" s="3" t="n">
        <v>-4.37261761672413</v>
      </c>
      <c r="C193" s="3" t="n">
        <v>0.0126181677739472</v>
      </c>
      <c r="D193" s="3" t="n">
        <v>1329.0054805601</v>
      </c>
      <c r="E193" s="3" t="n">
        <v>11049.9655659087</v>
      </c>
      <c r="F193" s="3" t="n">
        <v>0.000714750806035655</v>
      </c>
      <c r="G193" s="3" t="n">
        <v>0.998240892904967</v>
      </c>
    </row>
    <row r="194" customFormat="false" ht="15.75" hidden="false" customHeight="false" outlineLevel="0" collapsed="false">
      <c r="A194" s="3" t="s">
        <v>681</v>
      </c>
      <c r="B194" s="3" t="n">
        <v>-5.80427273698703</v>
      </c>
      <c r="C194" s="3" t="n">
        <v>0.00301464639686225</v>
      </c>
      <c r="D194" s="3" t="n">
        <v>1998.640487697</v>
      </c>
      <c r="E194" s="3" t="n">
        <v>16617.6203866181</v>
      </c>
      <c r="F194" s="3" t="n">
        <v>0.000397502240491463</v>
      </c>
      <c r="G194" s="3" t="n">
        <v>0.995024687273569</v>
      </c>
    </row>
    <row r="195" customFormat="false" ht="15.75" hidden="false" customHeight="false" outlineLevel="0" collapsed="false">
      <c r="A195" s="3" t="s">
        <v>1426</v>
      </c>
      <c r="B195" s="3" t="n">
        <v>-4.07895927495385</v>
      </c>
      <c r="C195" s="3" t="n">
        <v>0.0169250708351651</v>
      </c>
      <c r="D195" s="3" t="n">
        <v>1251.48345530763</v>
      </c>
      <c r="E195" s="3" t="n">
        <v>10405.411632784</v>
      </c>
      <c r="F195" s="3" t="n">
        <v>0.00306563549298097</v>
      </c>
      <c r="G195" s="3" t="n">
        <v>0.648949045118923</v>
      </c>
    </row>
    <row r="196" customFormat="false" ht="15.75" hidden="false" customHeight="false" outlineLevel="0" collapsed="false">
      <c r="A196" s="3" t="s">
        <v>683</v>
      </c>
      <c r="B196" s="3" t="n">
        <v>-3.74226288004299</v>
      </c>
      <c r="C196" s="3" t="n">
        <v>0.0237004112174814</v>
      </c>
      <c r="D196" s="3" t="n">
        <v>949.261603704279</v>
      </c>
      <c r="E196" s="3" t="n">
        <v>7892.59953205828</v>
      </c>
      <c r="F196" s="3" t="n">
        <v>0.00073667888303994</v>
      </c>
      <c r="G196" s="3" t="n">
        <v>0.967312139569424</v>
      </c>
    </row>
    <row r="197" customFormat="false" ht="15.75" hidden="false" customHeight="false" outlineLevel="0" collapsed="false">
      <c r="A197" s="3" t="s">
        <v>685</v>
      </c>
      <c r="B197" s="3" t="n">
        <v>-7.91301354859622</v>
      </c>
      <c r="C197" s="3" t="n">
        <v>0.000365950108804569</v>
      </c>
      <c r="D197" s="3" t="n">
        <v>2775.05956860177</v>
      </c>
      <c r="E197" s="3" t="n">
        <v>23073.1273308758</v>
      </c>
      <c r="F197" s="3" t="n">
        <v>0.00134196907135014</v>
      </c>
      <c r="G197" s="3" t="n">
        <v>0.997026609225904</v>
      </c>
    </row>
    <row r="198" customFormat="false" ht="15.75" hidden="false" customHeight="false" outlineLevel="0" collapsed="false">
      <c r="A198" s="3" t="s">
        <v>1427</v>
      </c>
      <c r="B198" s="3"/>
      <c r="C198" s="3"/>
      <c r="D198" s="3"/>
      <c r="E198" s="3"/>
      <c r="F198" s="3"/>
      <c r="G198" s="3"/>
    </row>
    <row r="199" customFormat="false" ht="15.75" hidden="false" customHeight="false" outlineLevel="0" collapsed="false">
      <c r="A199" s="3" t="s">
        <v>1428</v>
      </c>
      <c r="B199" s="3" t="n">
        <v>-5.07144017497686</v>
      </c>
      <c r="C199" s="3" t="n">
        <v>0.00627337886858995</v>
      </c>
      <c r="D199" s="3" t="n">
        <v>1895.03315519434</v>
      </c>
      <c r="E199" s="3" t="n">
        <v>15756.1811576035</v>
      </c>
      <c r="F199" s="3" t="n">
        <v>0.00264752229048557</v>
      </c>
      <c r="G199" s="3" t="n">
        <v>0.85724892554649</v>
      </c>
    </row>
    <row r="200" customFormat="false" ht="15.75" hidden="false" customHeight="false" outlineLevel="0" collapsed="false">
      <c r="A200" s="3" t="s">
        <v>1429</v>
      </c>
      <c r="B200" s="3" t="n">
        <v>-4.99823763971223</v>
      </c>
      <c r="C200" s="3" t="n">
        <v>0.00674983215918865</v>
      </c>
      <c r="D200" s="3" t="n">
        <v>2113.52623222136</v>
      </c>
      <c r="E200" s="3" t="n">
        <v>17572.8335438077</v>
      </c>
      <c r="F200" s="3" t="n">
        <v>0.000226619747087115</v>
      </c>
      <c r="G200" s="3"/>
    </row>
    <row r="201" customFormat="false" ht="15.75" hidden="false" customHeight="false" outlineLevel="0" collapsed="false">
      <c r="A201" s="3" t="s">
        <v>687</v>
      </c>
      <c r="B201" s="3" t="n">
        <v>-5.94694221212014</v>
      </c>
      <c r="C201" s="3" t="n">
        <v>0.00261382082078043</v>
      </c>
      <c r="D201" s="3" t="n">
        <v>2510.19225864748</v>
      </c>
      <c r="E201" s="3" t="n">
        <v>20870.8981472187</v>
      </c>
      <c r="F201" s="3" t="n">
        <v>0.0415828545057069</v>
      </c>
      <c r="G201" s="3" t="n">
        <v>0.977660700141146</v>
      </c>
    </row>
    <row r="202" customFormat="false" ht="15.75" hidden="false" customHeight="false" outlineLevel="0" collapsed="false">
      <c r="A202" s="3" t="s">
        <v>1430</v>
      </c>
      <c r="B202" s="3" t="n">
        <v>-4.84883538571741</v>
      </c>
      <c r="C202" s="3" t="n">
        <v>0.00783749990050831</v>
      </c>
      <c r="D202" s="3" t="n">
        <v>1709.3277834534</v>
      </c>
      <c r="E202" s="3" t="n">
        <v>14212.1409010675</v>
      </c>
      <c r="F202" s="3" t="n">
        <v>0.229292361809438</v>
      </c>
      <c r="G202" s="3" t="n">
        <v>0.779847655932795</v>
      </c>
    </row>
    <row r="203" customFormat="false" ht="15.75" hidden="false" customHeight="false" outlineLevel="0" collapsed="false">
      <c r="A203" s="3" t="s">
        <v>689</v>
      </c>
      <c r="B203" s="3" t="n">
        <v>-4.37328872621942</v>
      </c>
      <c r="C203" s="3" t="n">
        <v>0.0126097024426409</v>
      </c>
      <c r="D203" s="3" t="n">
        <v>1419.15103201591</v>
      </c>
      <c r="E203" s="3" t="n">
        <v>11799.4773279571</v>
      </c>
      <c r="F203" s="3" t="n">
        <v>9.51502691920506E-005</v>
      </c>
      <c r="G203" s="3" t="n">
        <v>0.999517267547459</v>
      </c>
    </row>
    <row r="204" customFormat="false" ht="15.75" hidden="false" customHeight="false" outlineLevel="0" collapsed="false">
      <c r="A204" s="3" t="s">
        <v>1431</v>
      </c>
      <c r="B204" s="3" t="n">
        <v>-10.7567144074434</v>
      </c>
      <c r="C204" s="3" t="n">
        <v>2.13018974417662E-005</v>
      </c>
      <c r="D204" s="3" t="n">
        <v>4069.04598745069</v>
      </c>
      <c r="E204" s="3" t="n">
        <v>33831.9282389113</v>
      </c>
      <c r="F204" s="3" t="n">
        <v>0.0064321950336172</v>
      </c>
      <c r="G204" s="3"/>
    </row>
    <row r="205" customFormat="false" ht="15.75" hidden="false" customHeight="false" outlineLevel="0" collapsed="false">
      <c r="A205" s="3" t="s">
        <v>691</v>
      </c>
      <c r="B205" s="3" t="n">
        <v>-4.84685021253871</v>
      </c>
      <c r="C205" s="3" t="n">
        <v>0.00785307414877413</v>
      </c>
      <c r="D205" s="3" t="n">
        <v>1590.63649039295</v>
      </c>
      <c r="E205" s="3" t="n">
        <v>13225.2866551855</v>
      </c>
      <c r="F205" s="3" t="n">
        <v>0.00103065393792886</v>
      </c>
      <c r="G205" s="3" t="n">
        <v>0.906154915496117</v>
      </c>
    </row>
    <row r="206" customFormat="false" ht="15.75" hidden="false" customHeight="false" outlineLevel="0" collapsed="false">
      <c r="A206" s="3" t="s">
        <v>68</v>
      </c>
      <c r="B206" s="3" t="n">
        <v>-4.18106400343337</v>
      </c>
      <c r="C206" s="3" t="n">
        <v>0.015282238558824</v>
      </c>
      <c r="D206" s="3" t="n">
        <v>930.478446961914</v>
      </c>
      <c r="E206" s="3" t="n">
        <v>7736.42768908385</v>
      </c>
      <c r="F206" s="3" t="n">
        <v>0.000328811879688913</v>
      </c>
      <c r="G206" s="3"/>
    </row>
    <row r="207" customFormat="false" ht="15.75" hidden="false" customHeight="false" outlineLevel="0" collapsed="false">
      <c r="A207" s="3" t="s">
        <v>693</v>
      </c>
      <c r="B207" s="3" t="n">
        <v>-4.10043823387155</v>
      </c>
      <c r="C207" s="3" t="n">
        <v>0.0165654142852078</v>
      </c>
      <c r="D207" s="3" t="n">
        <v>870.206194486706</v>
      </c>
      <c r="E207" s="3" t="n">
        <v>7235.29633622433</v>
      </c>
      <c r="F207" s="3" t="n">
        <v>0.000148881826261005</v>
      </c>
      <c r="G207" s="3" t="n">
        <v>0.940131826256434</v>
      </c>
    </row>
    <row r="208" customFormat="false" ht="15.75" hidden="false" customHeight="false" outlineLevel="0" collapsed="false">
      <c r="A208" s="3" t="s">
        <v>1432</v>
      </c>
      <c r="B208" s="3" t="n">
        <v>-4.38557194221538</v>
      </c>
      <c r="C208" s="3" t="n">
        <v>0.0124557621205114</v>
      </c>
      <c r="D208" s="3" t="n">
        <v>1879.27394641966</v>
      </c>
      <c r="E208" s="3" t="n">
        <v>15625.1518150963</v>
      </c>
      <c r="F208" s="3" t="n">
        <v>0.00496313100765313</v>
      </c>
      <c r="G208" s="3" t="n">
        <v>0.627486209922172</v>
      </c>
    </row>
    <row r="209" customFormat="false" ht="15.75" hidden="false" customHeight="false" outlineLevel="0" collapsed="false">
      <c r="A209" s="3" t="s">
        <v>695</v>
      </c>
      <c r="B209" s="3" t="n">
        <v>-5.84379109010076</v>
      </c>
      <c r="C209" s="3" t="n">
        <v>0.00289783581841129</v>
      </c>
      <c r="D209" s="3" t="n">
        <v>1933.23773721184</v>
      </c>
      <c r="E209" s="3" t="n">
        <v>16073.8317030139</v>
      </c>
      <c r="F209" s="3" t="n">
        <v>0.000112490170739295</v>
      </c>
      <c r="G209" s="3" t="n">
        <v>0.999585784882455</v>
      </c>
    </row>
    <row r="210" customFormat="false" ht="15.75" hidden="false" customHeight="false" outlineLevel="0" collapsed="false">
      <c r="A210" s="3" t="s">
        <v>697</v>
      </c>
      <c r="B210" s="3" t="n">
        <v>-9.03901519761526</v>
      </c>
      <c r="C210" s="3" t="n">
        <v>0.000118687662812836</v>
      </c>
      <c r="D210" s="3" t="n">
        <v>3092.37919082467</v>
      </c>
      <c r="E210" s="3" t="n">
        <v>25711.4692717024</v>
      </c>
      <c r="F210" s="3" t="n">
        <v>0.000176481918506221</v>
      </c>
      <c r="G210" s="3" t="n">
        <v>0.99971467413517</v>
      </c>
    </row>
    <row r="211" customFormat="false" ht="15.75" hidden="false" customHeight="false" outlineLevel="0" collapsed="false">
      <c r="A211" s="3" t="s">
        <v>699</v>
      </c>
      <c r="B211" s="3" t="n">
        <v>-6.16691053266932</v>
      </c>
      <c r="C211" s="3" t="n">
        <v>0.00209770679632871</v>
      </c>
      <c r="D211" s="3" t="n">
        <v>1982.25325278267</v>
      </c>
      <c r="E211" s="3" t="n">
        <v>16481.3693446379</v>
      </c>
      <c r="F211" s="3" t="n">
        <v>0.00301707296704892</v>
      </c>
      <c r="G211" s="3" t="n">
        <v>0.995502097163335</v>
      </c>
    </row>
    <row r="212" customFormat="false" ht="15.75" hidden="false" customHeight="false" outlineLevel="0" collapsed="false">
      <c r="A212" s="3" t="s">
        <v>701</v>
      </c>
      <c r="B212" s="3" t="n">
        <v>-4.1404636807426</v>
      </c>
      <c r="C212" s="3" t="n">
        <v>0.0159154700963425</v>
      </c>
      <c r="D212" s="3" t="n">
        <v>1504.25578227076</v>
      </c>
      <c r="E212" s="3" t="n">
        <v>12507.0775399705</v>
      </c>
      <c r="F212" s="3" t="n">
        <v>0.000714383653867216</v>
      </c>
      <c r="G212" s="3" t="n">
        <v>0.93288890228518</v>
      </c>
    </row>
    <row r="213" customFormat="false" ht="15.75" hidden="false" customHeight="false" outlineLevel="0" collapsed="false">
      <c r="A213" s="3" t="s">
        <v>703</v>
      </c>
      <c r="B213" s="3" t="n">
        <v>-10.2243995353632</v>
      </c>
      <c r="C213" s="3" t="n">
        <v>3.62743551751952E-005</v>
      </c>
      <c r="D213" s="3" t="n">
        <v>3550.23550976736</v>
      </c>
      <c r="E213" s="3" t="n">
        <v>29518.2982370113</v>
      </c>
      <c r="F213" s="3" t="n">
        <v>0.0092409583392067</v>
      </c>
      <c r="G213" s="3" t="n">
        <v>0.991260870985791</v>
      </c>
    </row>
    <row r="214" customFormat="false" ht="15.75" hidden="false" customHeight="false" outlineLevel="0" collapsed="false">
      <c r="A214" s="3" t="s">
        <v>1433</v>
      </c>
      <c r="B214" s="3"/>
      <c r="C214" s="3"/>
      <c r="D214" s="3"/>
      <c r="E214" s="3"/>
      <c r="F214" s="3"/>
      <c r="G214" s="3"/>
    </row>
    <row r="215" customFormat="false" ht="15.75" hidden="false" customHeight="false" outlineLevel="0" collapsed="false">
      <c r="A215" s="3" t="s">
        <v>705</v>
      </c>
      <c r="B215" s="3" t="n">
        <v>-6.69902946243148</v>
      </c>
      <c r="C215" s="3" t="n">
        <v>0.00123210712883069</v>
      </c>
      <c r="D215" s="3" t="n">
        <v>2200.97329102881</v>
      </c>
      <c r="E215" s="3" t="n">
        <v>18299.9087912739</v>
      </c>
      <c r="F215" s="3" t="n">
        <v>0.000789777734180734</v>
      </c>
      <c r="G215" s="3" t="n">
        <v>0.997869992952229</v>
      </c>
    </row>
    <row r="216" customFormat="false" ht="15.75" hidden="false" customHeight="false" outlineLevel="0" collapsed="false">
      <c r="A216" s="3" t="s">
        <v>707</v>
      </c>
      <c r="B216" s="3" t="n">
        <v>-5.37526641073113</v>
      </c>
      <c r="C216" s="3" t="n">
        <v>0.00462968517141202</v>
      </c>
      <c r="D216" s="3" t="n">
        <v>1656.26531906111</v>
      </c>
      <c r="E216" s="3" t="n">
        <v>13770.9550572515</v>
      </c>
      <c r="F216" s="3" t="n">
        <v>0.000107259832852069</v>
      </c>
      <c r="G216" s="3" t="n">
        <v>0.999465183792591</v>
      </c>
    </row>
    <row r="217" customFormat="false" ht="15.75" hidden="false" customHeight="false" outlineLevel="0" collapsed="false">
      <c r="A217" s="3" t="s">
        <v>709</v>
      </c>
      <c r="B217" s="3" t="n">
        <v>-6.72973520049973</v>
      </c>
      <c r="C217" s="3" t="n">
        <v>0.00119484931175484</v>
      </c>
      <c r="D217" s="3" t="n">
        <v>2247.84933771819</v>
      </c>
      <c r="E217" s="3" t="n">
        <v>18689.6579001831</v>
      </c>
      <c r="F217" s="3" t="n">
        <v>0.00189494250292621</v>
      </c>
      <c r="G217" s="3" t="n">
        <v>0.99781289380809</v>
      </c>
    </row>
    <row r="218" customFormat="false" ht="15.75" hidden="false" customHeight="false" outlineLevel="0" collapsed="false">
      <c r="A218" s="3" t="s">
        <v>711</v>
      </c>
      <c r="B218" s="3" t="n">
        <v>-7.84165455102244</v>
      </c>
      <c r="C218" s="3" t="n">
        <v>0.000393018233686493</v>
      </c>
      <c r="D218" s="3" t="n">
        <v>2839.41416781484</v>
      </c>
      <c r="E218" s="3" t="n">
        <v>23608.2012005581</v>
      </c>
      <c r="F218" s="3" t="n">
        <v>0.000998188274919996</v>
      </c>
      <c r="G218" s="3" t="n">
        <v>0.998363864211101</v>
      </c>
    </row>
    <row r="219" customFormat="false" ht="15.75" hidden="false" customHeight="false" outlineLevel="0" collapsed="false">
      <c r="A219" s="3" t="s">
        <v>70</v>
      </c>
      <c r="B219" s="3" t="n">
        <v>-4.42895732101041</v>
      </c>
      <c r="C219" s="3" t="n">
        <v>0.011926919139689</v>
      </c>
      <c r="D219" s="3" t="n">
        <v>1431.78176481051</v>
      </c>
      <c r="E219" s="3" t="n">
        <v>11904.4950758099</v>
      </c>
      <c r="F219" s="3" t="n">
        <v>9.49561005344067E-005</v>
      </c>
      <c r="G219" s="3"/>
    </row>
    <row r="220" customFormat="false" ht="15.75" hidden="false" customHeight="false" outlineLevel="0" collapsed="false">
      <c r="A220" s="3" t="s">
        <v>72</v>
      </c>
      <c r="B220" s="3" t="n">
        <v>-4.16440278517163</v>
      </c>
      <c r="C220" s="3" t="n">
        <v>0.0155389922461329</v>
      </c>
      <c r="D220" s="3" t="n">
        <v>1285.70427296991</v>
      </c>
      <c r="E220" s="3" t="n">
        <v>10689.9393208459</v>
      </c>
      <c r="F220" s="3" t="n">
        <v>0.000250687671790217</v>
      </c>
      <c r="G220" s="3"/>
    </row>
    <row r="221" customFormat="false" ht="15.75" hidden="false" customHeight="false" outlineLevel="0" collapsed="false">
      <c r="A221" s="3" t="s">
        <v>74</v>
      </c>
      <c r="B221" s="3" t="n">
        <v>-4.87906436122672</v>
      </c>
      <c r="C221" s="3" t="n">
        <v>0.00760412541478893</v>
      </c>
      <c r="D221" s="3" t="n">
        <v>1690.33928112611</v>
      </c>
      <c r="E221" s="3" t="n">
        <v>14054.2617200303</v>
      </c>
      <c r="F221" s="3" t="n">
        <v>0.00022849815956642</v>
      </c>
      <c r="G221" s="3"/>
    </row>
    <row r="222" customFormat="false" ht="15.75" hidden="false" customHeight="false" outlineLevel="0" collapsed="false">
      <c r="A222" s="3" t="s">
        <v>76</v>
      </c>
      <c r="B222" s="3" t="n">
        <v>-4.63734691084784</v>
      </c>
      <c r="C222" s="3" t="n">
        <v>0.00968335438012461</v>
      </c>
      <c r="D222" s="3" t="n">
        <v>1557.99850393598</v>
      </c>
      <c r="E222" s="3" t="n">
        <v>12953.9193570325</v>
      </c>
      <c r="F222" s="3" t="n">
        <v>0.000158768040017356</v>
      </c>
      <c r="G222" s="3"/>
    </row>
    <row r="223" customFormat="false" ht="15.75" hidden="false" customHeight="false" outlineLevel="0" collapsed="false">
      <c r="A223" s="3" t="s">
        <v>78</v>
      </c>
      <c r="B223" s="3" t="n">
        <v>-3.97922627756143</v>
      </c>
      <c r="C223" s="3" t="n">
        <v>0.0187001024306557</v>
      </c>
      <c r="D223" s="3" t="n">
        <v>1180.10741786187</v>
      </c>
      <c r="E223" s="3" t="n">
        <v>9811.9582817306</v>
      </c>
      <c r="F223" s="3" t="n">
        <v>7.13673487783134E-005</v>
      </c>
      <c r="G223" s="3"/>
    </row>
    <row r="224" customFormat="false" ht="15.75" hidden="false" customHeight="false" outlineLevel="0" collapsed="false">
      <c r="A224" s="3" t="s">
        <v>80</v>
      </c>
      <c r="B224" s="3" t="n">
        <v>-4.31840974688635</v>
      </c>
      <c r="C224" s="3" t="n">
        <v>0.013321050549647</v>
      </c>
      <c r="D224" s="3" t="n">
        <v>1384.14285390192</v>
      </c>
      <c r="E224" s="3" t="n">
        <v>11508.403161339</v>
      </c>
      <c r="F224" s="3" t="n">
        <v>7.62696938310268E-005</v>
      </c>
      <c r="G224" s="3"/>
    </row>
    <row r="225" customFormat="false" ht="15.75" hidden="false" customHeight="false" outlineLevel="0" collapsed="false">
      <c r="A225" s="3" t="s">
        <v>82</v>
      </c>
      <c r="B225" s="3" t="n">
        <v>-3.98248997594785</v>
      </c>
      <c r="C225" s="3" t="n">
        <v>0.0186391704224612</v>
      </c>
      <c r="D225" s="3" t="n">
        <v>1203.14667003167</v>
      </c>
      <c r="E225" s="3" t="n">
        <v>10003.5172684049</v>
      </c>
      <c r="F225" s="3" t="n">
        <v>9.34243239540213E-005</v>
      </c>
      <c r="G225" s="3"/>
    </row>
    <row r="226" customFormat="false" ht="15.75" hidden="false" customHeight="false" outlineLevel="0" collapsed="false">
      <c r="A226" s="3" t="s">
        <v>84</v>
      </c>
      <c r="B226" s="3" t="n">
        <v>-4.72328430313429</v>
      </c>
      <c r="C226" s="3" t="n">
        <v>0.00888594642943658</v>
      </c>
      <c r="D226" s="3" t="n">
        <v>1625.29799002906</v>
      </c>
      <c r="E226" s="3" t="n">
        <v>13513.478376773</v>
      </c>
      <c r="F226" s="3" t="n">
        <v>0.000135403433330886</v>
      </c>
      <c r="G226" s="3"/>
    </row>
    <row r="227" customFormat="false" ht="15.75" hidden="false" customHeight="false" outlineLevel="0" collapsed="false">
      <c r="A227" s="3" t="s">
        <v>86</v>
      </c>
      <c r="B227" s="3" t="n">
        <v>-4.38868325114378</v>
      </c>
      <c r="C227" s="3" t="n">
        <v>0.0124170686215438</v>
      </c>
      <c r="D227" s="3" t="n">
        <v>1456.71632152861</v>
      </c>
      <c r="E227" s="3" t="n">
        <v>12111.8125001294</v>
      </c>
      <c r="F227" s="3" t="n">
        <v>0.000158737441972231</v>
      </c>
      <c r="G227" s="3"/>
    </row>
    <row r="228" customFormat="false" ht="15.75" hidden="false" customHeight="false" outlineLevel="0" collapsed="false">
      <c r="A228" s="3" t="s">
        <v>713</v>
      </c>
      <c r="B228" s="3" t="n">
        <v>-6.84685533121985</v>
      </c>
      <c r="C228" s="3" t="n">
        <v>0.00106279257409224</v>
      </c>
      <c r="D228" s="3" t="n">
        <v>2998.6531348986</v>
      </c>
      <c r="E228" s="3" t="n">
        <v>24932.1875412953</v>
      </c>
      <c r="F228" s="3" t="n">
        <v>0.000115820561869536</v>
      </c>
      <c r="G228" s="3" t="n">
        <v>0.99854016001374</v>
      </c>
    </row>
    <row r="229" customFormat="false" ht="15.75" hidden="false" customHeight="false" outlineLevel="0" collapsed="false">
      <c r="A229" s="3" t="s">
        <v>715</v>
      </c>
      <c r="B229" s="3" t="n">
        <v>-4.82745547199474</v>
      </c>
      <c r="C229" s="3" t="n">
        <v>0.00800686906978097</v>
      </c>
      <c r="D229" s="3" t="n">
        <v>1661.90461814587</v>
      </c>
      <c r="E229" s="3" t="n">
        <v>13817.8427951984</v>
      </c>
      <c r="F229" s="3" t="n">
        <v>0.000821083521644101</v>
      </c>
      <c r="G229" s="3" t="n">
        <v>0.993792722835928</v>
      </c>
    </row>
    <row r="230" customFormat="false" ht="15.75" hidden="false" customHeight="false" outlineLevel="0" collapsed="false">
      <c r="A230" s="3" t="s">
        <v>1434</v>
      </c>
      <c r="B230" s="3"/>
      <c r="C230" s="3"/>
      <c r="D230" s="3"/>
      <c r="E230" s="3"/>
      <c r="F230" s="3"/>
      <c r="G230" s="3"/>
    </row>
    <row r="231" customFormat="false" ht="15.75" hidden="false" customHeight="false" outlineLevel="0" collapsed="false">
      <c r="A231" s="3" t="s">
        <v>717</v>
      </c>
      <c r="B231" s="3" t="n">
        <v>-9.78181533715009</v>
      </c>
      <c r="C231" s="3" t="n">
        <v>5.64691923226755E-005</v>
      </c>
      <c r="D231" s="3" t="n">
        <v>3316.64714284786</v>
      </c>
      <c r="E231" s="3" t="n">
        <v>27576.1366366171</v>
      </c>
      <c r="F231" s="3" t="n">
        <v>0.00222440541326451</v>
      </c>
      <c r="G231" s="3" t="n">
        <v>0.996305996742861</v>
      </c>
    </row>
    <row r="232" customFormat="false" ht="15.75" hidden="false" customHeight="false" outlineLevel="0" collapsed="false">
      <c r="A232" s="3" t="s">
        <v>719</v>
      </c>
      <c r="B232" s="3" t="n">
        <v>-4.10697255554181</v>
      </c>
      <c r="C232" s="3" t="n">
        <v>0.0164575234203628</v>
      </c>
      <c r="D232" s="3" t="n">
        <v>985.339318078908</v>
      </c>
      <c r="E232" s="3" t="n">
        <v>8192.56631727299</v>
      </c>
      <c r="F232" s="3" t="n">
        <v>0.000325430811880173</v>
      </c>
      <c r="G232" s="3" t="n">
        <v>0.998010159255587</v>
      </c>
    </row>
    <row r="233" customFormat="false" ht="15.75" hidden="false" customHeight="false" outlineLevel="0" collapsed="false">
      <c r="A233" s="3" t="s">
        <v>721</v>
      </c>
      <c r="B233" s="3" t="n">
        <v>-6.46481115028657</v>
      </c>
      <c r="C233" s="3" t="n">
        <v>0.00155728532434867</v>
      </c>
      <c r="D233" s="3" t="n">
        <v>2620.80548583324</v>
      </c>
      <c r="E233" s="3" t="n">
        <v>21790.587621352</v>
      </c>
      <c r="F233" s="3" t="n">
        <v>0.00684870772942278</v>
      </c>
      <c r="G233" s="3" t="n">
        <v>0.986051136406373</v>
      </c>
    </row>
    <row r="234" customFormat="false" ht="15.75" hidden="false" customHeight="false" outlineLevel="0" collapsed="false">
      <c r="A234" s="3" t="s">
        <v>1435</v>
      </c>
      <c r="B234" s="3" t="n">
        <v>-5.9515408791989</v>
      </c>
      <c r="C234" s="3" t="n">
        <v>0.00260182832490465</v>
      </c>
      <c r="D234" s="3" t="n">
        <v>2286.36622450503</v>
      </c>
      <c r="E234" s="3" t="n">
        <v>19009.9050917306</v>
      </c>
      <c r="F234" s="3" t="n">
        <v>0.00507582086558306</v>
      </c>
      <c r="G234" s="3" t="n">
        <v>0.819119150272725</v>
      </c>
    </row>
    <row r="235" customFormat="false" ht="15.75" hidden="false" customHeight="false" outlineLevel="0" collapsed="false">
      <c r="A235" s="3" t="s">
        <v>88</v>
      </c>
      <c r="B235" s="3" t="n">
        <v>-4.48789435939927</v>
      </c>
      <c r="C235" s="3" t="n">
        <v>0.0112442953448387</v>
      </c>
      <c r="D235" s="3" t="n">
        <v>1795.32963816746</v>
      </c>
      <c r="E235" s="3" t="n">
        <v>14927.2000540171</v>
      </c>
      <c r="F235" s="3" t="n">
        <v>0.00012158931716776</v>
      </c>
      <c r="G235" s="3"/>
    </row>
    <row r="236" customFormat="false" ht="15.75" hidden="false" customHeight="false" outlineLevel="0" collapsed="false">
      <c r="A236" s="3" t="s">
        <v>723</v>
      </c>
      <c r="B236" s="3" t="n">
        <v>-3.81826109198046</v>
      </c>
      <c r="C236" s="3" t="n">
        <v>0.0219659644949666</v>
      </c>
      <c r="D236" s="3" t="n">
        <v>1184.79300183832</v>
      </c>
      <c r="E236" s="3" t="n">
        <v>9850.91639165064</v>
      </c>
      <c r="F236" s="3" t="n">
        <v>0.00031231335144685</v>
      </c>
      <c r="G236" s="3" t="n">
        <v>0.996226321014666</v>
      </c>
    </row>
    <row r="237" customFormat="false" ht="15.75" hidden="false" customHeight="false" outlineLevel="0" collapsed="false">
      <c r="A237" s="3" t="s">
        <v>725</v>
      </c>
      <c r="B237" s="3" t="n">
        <v>-4.17800663868839</v>
      </c>
      <c r="C237" s="3" t="n">
        <v>0.0153290334342682</v>
      </c>
      <c r="D237" s="3" t="n">
        <v>1569.33278233629</v>
      </c>
      <c r="E237" s="3" t="n">
        <v>13048.1577840894</v>
      </c>
      <c r="F237" s="3" t="n">
        <v>0.00103927340366382</v>
      </c>
      <c r="G237" s="3" t="n">
        <v>0.9961543355548</v>
      </c>
    </row>
    <row r="238" customFormat="false" ht="15.75" hidden="false" customHeight="false" outlineLevel="0" collapsed="false">
      <c r="A238" s="3" t="s">
        <v>90</v>
      </c>
      <c r="B238" s="3" t="n">
        <v>-1.21683326166181</v>
      </c>
      <c r="C238" s="3" t="n">
        <v>0.296166565494293</v>
      </c>
      <c r="D238" s="3" t="n">
        <v>262.88047535906</v>
      </c>
      <c r="E238" s="3" t="n">
        <v>2185.70972291484</v>
      </c>
      <c r="F238" s="3" t="n">
        <v>1.96245599044434E-006</v>
      </c>
      <c r="G238" s="3"/>
    </row>
    <row r="239" customFormat="false" ht="15.75" hidden="false" customHeight="false" outlineLevel="0" collapsed="false">
      <c r="A239" s="3" t="s">
        <v>92</v>
      </c>
      <c r="B239" s="3" t="n">
        <v>-3.74222360944774</v>
      </c>
      <c r="C239" s="3" t="n">
        <v>0.0237013419650131</v>
      </c>
      <c r="D239" s="3" t="n">
        <v>1264.48219136576</v>
      </c>
      <c r="E239" s="3" t="n">
        <v>10513.4891297873</v>
      </c>
      <c r="F239" s="3" t="n">
        <v>1.84131766367805E-005</v>
      </c>
      <c r="G239" s="3"/>
    </row>
    <row r="240" customFormat="false" ht="15.75" hidden="false" customHeight="false" outlineLevel="0" collapsed="false">
      <c r="A240" s="3" t="s">
        <v>727</v>
      </c>
      <c r="B240" s="3" t="n">
        <v>-5.06199527830684</v>
      </c>
      <c r="C240" s="3" t="n">
        <v>0.00633291097853768</v>
      </c>
      <c r="D240" s="3" t="n">
        <v>2016.14841944929</v>
      </c>
      <c r="E240" s="3" t="n">
        <v>16763.1894198712</v>
      </c>
      <c r="F240" s="3" t="n">
        <v>0.000707535246999942</v>
      </c>
      <c r="G240" s="3" t="n">
        <v>0.997956277405343</v>
      </c>
    </row>
    <row r="241" customFormat="false" ht="15.75" hidden="false" customHeight="false" outlineLevel="0" collapsed="false">
      <c r="A241" s="3" t="s">
        <v>729</v>
      </c>
      <c r="B241" s="3" t="n">
        <v>-3.93344039069453</v>
      </c>
      <c r="C241" s="3" t="n">
        <v>0.0195762067656862</v>
      </c>
      <c r="D241" s="3" t="n">
        <v>1118.48209022561</v>
      </c>
      <c r="E241" s="3" t="n">
        <v>9299.57683686139</v>
      </c>
      <c r="F241" s="3" t="n">
        <v>0.000152956329817532</v>
      </c>
      <c r="G241" s="3" t="n">
        <v>0.999185123396066</v>
      </c>
    </row>
    <row r="242" customFormat="false" ht="15.75" hidden="false" customHeight="false" outlineLevel="0" collapsed="false">
      <c r="A242" s="3" t="s">
        <v>731</v>
      </c>
      <c r="B242" s="3" t="n">
        <v>-4.40411743051047</v>
      </c>
      <c r="C242" s="3" t="n">
        <v>0.0122268927367851</v>
      </c>
      <c r="D242" s="3" t="n">
        <v>1546.814281164</v>
      </c>
      <c r="E242" s="3" t="n">
        <v>12860.9285617954</v>
      </c>
      <c r="F242" s="3" t="n">
        <v>3.11070104517486E-005</v>
      </c>
      <c r="G242" s="3" t="n">
        <v>0.999057485731828</v>
      </c>
    </row>
    <row r="243" customFormat="false" ht="15.75" hidden="false" customHeight="false" outlineLevel="0" collapsed="false">
      <c r="A243" s="3" t="s">
        <v>733</v>
      </c>
      <c r="B243" s="3" t="n">
        <v>-4.40645001613951</v>
      </c>
      <c r="C243" s="3" t="n">
        <v>0.0121984056996427</v>
      </c>
      <c r="D243" s="3" t="n">
        <v>1348.75171548482</v>
      </c>
      <c r="E243" s="3" t="n">
        <v>11214.1448858334</v>
      </c>
      <c r="F243" s="3" t="n">
        <v>0.000882219321734637</v>
      </c>
      <c r="G243" s="3" t="n">
        <v>0.996653191808683</v>
      </c>
    </row>
    <row r="244" customFormat="false" ht="15.75" hidden="false" customHeight="false" outlineLevel="0" collapsed="false">
      <c r="A244" s="3" t="s">
        <v>735</v>
      </c>
      <c r="B244" s="3" t="n">
        <v>-5.9034864125864</v>
      </c>
      <c r="C244" s="3" t="n">
        <v>0.00272991061361629</v>
      </c>
      <c r="D244" s="3" t="n">
        <v>2054.79707919291</v>
      </c>
      <c r="E244" s="3" t="n">
        <v>17084.5322326605</v>
      </c>
      <c r="F244" s="3" t="n">
        <v>0.00047184403277149</v>
      </c>
      <c r="G244" s="3" t="n">
        <v>0.994195389980379</v>
      </c>
    </row>
    <row r="245" customFormat="false" ht="15.75" hidden="false" customHeight="false" outlineLevel="0" collapsed="false">
      <c r="A245" s="3" t="s">
        <v>737</v>
      </c>
      <c r="B245" s="3" t="n">
        <v>-5.04332672309098</v>
      </c>
      <c r="C245" s="3" t="n">
        <v>0.00645224773334905</v>
      </c>
      <c r="D245" s="3" t="n">
        <v>1564.6405997906</v>
      </c>
      <c r="E245" s="3" t="n">
        <v>13009.1448106162</v>
      </c>
      <c r="F245" s="3" t="n">
        <v>0.000123691535455947</v>
      </c>
      <c r="G245" s="3" t="n">
        <v>0.997473548376765</v>
      </c>
    </row>
    <row r="246" customFormat="false" ht="15.75" hidden="false" customHeight="false" outlineLevel="0" collapsed="false">
      <c r="A246" s="3" t="s">
        <v>94</v>
      </c>
      <c r="B246" s="3" t="n">
        <v>-4.04224926599113</v>
      </c>
      <c r="C246" s="3" t="n">
        <v>0.0175579355005771</v>
      </c>
      <c r="D246" s="3" t="n">
        <v>1045.57781558616</v>
      </c>
      <c r="E246" s="3" t="n">
        <v>8693.41701573418</v>
      </c>
      <c r="F246" s="3" t="n">
        <v>9.40870667115015E-009</v>
      </c>
      <c r="G246" s="3"/>
    </row>
    <row r="247" customFormat="false" ht="15.75" hidden="false" customHeight="false" outlineLevel="0" collapsed="false">
      <c r="A247" s="3" t="s">
        <v>739</v>
      </c>
      <c r="B247" s="3" t="n">
        <v>-8.14676935729051</v>
      </c>
      <c r="C247" s="3" t="n">
        <v>0.00028966966880971</v>
      </c>
      <c r="D247" s="3" t="n">
        <v>2831.67223663679</v>
      </c>
      <c r="E247" s="3" t="n">
        <v>23543.8312079716</v>
      </c>
      <c r="F247" s="3" t="n">
        <v>0.00591213022767971</v>
      </c>
      <c r="G247" s="3" t="n">
        <v>0.993411072572665</v>
      </c>
    </row>
    <row r="248" customFormat="false" ht="15.75" hidden="false" customHeight="false" outlineLevel="0" collapsed="false">
      <c r="A248" s="3" t="s">
        <v>741</v>
      </c>
      <c r="B248" s="3" t="n">
        <v>-6.95457990105026</v>
      </c>
      <c r="C248" s="3" t="n">
        <v>0.000954254738138482</v>
      </c>
      <c r="D248" s="3" t="n">
        <v>3418.79660445614</v>
      </c>
      <c r="E248" s="3" t="n">
        <v>28425.4544534796</v>
      </c>
      <c r="F248" s="3" t="n">
        <v>0.000419652891886879</v>
      </c>
      <c r="G248" s="3" t="n">
        <v>0.985489399211474</v>
      </c>
    </row>
    <row r="249" customFormat="false" ht="15.75" hidden="false" customHeight="false" outlineLevel="0" collapsed="false">
      <c r="A249" s="3" t="s">
        <v>743</v>
      </c>
      <c r="B249" s="3" t="n">
        <v>-5.85709982226659</v>
      </c>
      <c r="C249" s="3" t="n">
        <v>0.00285952479867038</v>
      </c>
      <c r="D249" s="3" t="n">
        <v>2485.89469170335</v>
      </c>
      <c r="E249" s="3" t="n">
        <v>20668.8769501692</v>
      </c>
      <c r="F249" s="3" t="n">
        <v>0.0120845502163156</v>
      </c>
      <c r="G249" s="3" t="n">
        <v>0.990396859375893</v>
      </c>
    </row>
    <row r="250" customFormat="false" ht="15.75" hidden="false" customHeight="false" outlineLevel="0" collapsed="false">
      <c r="A250" s="3" t="s">
        <v>745</v>
      </c>
      <c r="B250" s="3" t="n">
        <v>-6.89077377588012</v>
      </c>
      <c r="C250" s="3" t="n">
        <v>0.00101712650846598</v>
      </c>
      <c r="D250" s="3" t="n">
        <v>2619.61271287982</v>
      </c>
      <c r="E250" s="3" t="n">
        <v>21780.6703559562</v>
      </c>
      <c r="F250" s="3" t="n">
        <v>0.0147178476206391</v>
      </c>
      <c r="G250" s="3" t="n">
        <v>0.951854407641073</v>
      </c>
    </row>
    <row r="251" customFormat="false" ht="15.75" hidden="false" customHeight="false" outlineLevel="0" collapsed="false">
      <c r="A251" s="3" t="s">
        <v>747</v>
      </c>
      <c r="B251" s="3" t="n">
        <v>-4.28139555817183</v>
      </c>
      <c r="C251" s="3" t="n">
        <v>0.0138233573198804</v>
      </c>
      <c r="D251" s="3" t="n">
        <v>1401.67074318256</v>
      </c>
      <c r="E251" s="3" t="n">
        <v>11654.1381307032</v>
      </c>
      <c r="F251" s="3" t="n">
        <v>2.65795857470665E-005</v>
      </c>
      <c r="G251" s="3" t="n">
        <v>0.999800424954605</v>
      </c>
    </row>
    <row r="252" customFormat="false" ht="15.75" hidden="false" customHeight="false" outlineLevel="0" collapsed="false">
      <c r="A252" s="3" t="s">
        <v>1436</v>
      </c>
      <c r="B252" s="3" t="n">
        <v>-11.2812037582723</v>
      </c>
      <c r="C252" s="3" t="n">
        <v>1.26076881648526E-005</v>
      </c>
      <c r="D252" s="3" t="n">
        <v>4316.02799131736</v>
      </c>
      <c r="E252" s="3" t="n">
        <v>35885.4507247445</v>
      </c>
      <c r="F252" s="3" t="n">
        <v>0.0152035981735782</v>
      </c>
      <c r="G252" s="3"/>
    </row>
    <row r="253" customFormat="false" ht="15.75" hidden="false" customHeight="false" outlineLevel="0" collapsed="false">
      <c r="A253" s="3" t="s">
        <v>749</v>
      </c>
      <c r="B253" s="3" t="n">
        <v>-4.35309296889865</v>
      </c>
      <c r="C253" s="3" t="n">
        <v>0.0128669538832187</v>
      </c>
      <c r="D253" s="3" t="n">
        <v>1437.17576744575</v>
      </c>
      <c r="E253" s="3" t="n">
        <v>11949.3433057486</v>
      </c>
      <c r="F253" s="3" t="n">
        <v>0.000877550764948293</v>
      </c>
      <c r="G253" s="3" t="n">
        <v>0.977925577135235</v>
      </c>
    </row>
    <row r="254" customFormat="false" ht="15.75" hidden="false" customHeight="false" outlineLevel="0" collapsed="false">
      <c r="A254" s="3" t="s">
        <v>96</v>
      </c>
      <c r="B254" s="3"/>
      <c r="C254" s="3"/>
      <c r="D254" s="3"/>
      <c r="E254" s="3"/>
      <c r="F254" s="3"/>
      <c r="G254" s="3"/>
    </row>
    <row r="255" customFormat="false" ht="15.75" hidden="false" customHeight="false" outlineLevel="0" collapsed="false">
      <c r="A255" s="3" t="s">
        <v>751</v>
      </c>
      <c r="B255" s="3" t="n">
        <v>-4.45663686880229</v>
      </c>
      <c r="C255" s="3" t="n">
        <v>0.011601314494456</v>
      </c>
      <c r="D255" s="3" t="n">
        <v>1148.1433721118</v>
      </c>
      <c r="E255" s="3" t="n">
        <v>9546.19443797542</v>
      </c>
      <c r="F255" s="3" t="n">
        <v>0.000102571978984543</v>
      </c>
      <c r="G255" s="3" t="n">
        <v>0.978680411928153</v>
      </c>
    </row>
    <row r="256" customFormat="false" ht="15.75" hidden="false" customHeight="false" outlineLevel="0" collapsed="false">
      <c r="A256" s="3" t="s">
        <v>753</v>
      </c>
      <c r="B256" s="3" t="n">
        <v>-5.41331846512964</v>
      </c>
      <c r="C256" s="3" t="n">
        <v>0.00445682582334462</v>
      </c>
      <c r="D256" s="3" t="n">
        <v>1643.8165751654</v>
      </c>
      <c r="E256" s="3" t="n">
        <v>13667.4504491828</v>
      </c>
      <c r="F256" s="3" t="n">
        <v>0.000270842097951228</v>
      </c>
      <c r="G256" s="3" t="n">
        <v>0.99866734491831</v>
      </c>
    </row>
    <row r="257" customFormat="false" ht="15.75" hidden="false" customHeight="false" outlineLevel="0" collapsed="false">
      <c r="A257" s="3" t="s">
        <v>98</v>
      </c>
      <c r="B257" s="3" t="n">
        <v>-4.24199138216737</v>
      </c>
      <c r="C257" s="3" t="n">
        <v>0.0143789293700821</v>
      </c>
      <c r="D257" s="3" t="n">
        <v>1347.51153169023</v>
      </c>
      <c r="E257" s="3" t="n">
        <v>11203.8334248003</v>
      </c>
      <c r="F257" s="3" t="n">
        <v>6.44822717710488E-005</v>
      </c>
      <c r="G257" s="3"/>
    </row>
    <row r="258" customFormat="false" ht="15.75" hidden="false" customHeight="false" outlineLevel="0" collapsed="false">
      <c r="A258" s="3" t="s">
        <v>100</v>
      </c>
      <c r="B258" s="3" t="n">
        <v>-4.77987699726446</v>
      </c>
      <c r="C258" s="3" t="n">
        <v>0.00839703176184899</v>
      </c>
      <c r="D258" s="3" t="n">
        <v>1639.26728251145</v>
      </c>
      <c r="E258" s="3" t="n">
        <v>13629.6255282847</v>
      </c>
      <c r="F258" s="3" t="n">
        <v>0.00018929186487436</v>
      </c>
      <c r="G258" s="3"/>
    </row>
    <row r="259" customFormat="false" ht="15.75" hidden="false" customHeight="false" outlineLevel="0" collapsed="false">
      <c r="A259" s="3" t="s">
        <v>102</v>
      </c>
      <c r="B259" s="3" t="n">
        <v>-4.48470710864259</v>
      </c>
      <c r="C259" s="3" t="n">
        <v>0.011280190907377</v>
      </c>
      <c r="D259" s="3" t="n">
        <v>1478.74063513253</v>
      </c>
      <c r="E259" s="3" t="n">
        <v>12294.9328186653</v>
      </c>
      <c r="F259" s="3" t="n">
        <v>0.000134281956443608</v>
      </c>
      <c r="G259" s="3"/>
    </row>
    <row r="260" customFormat="false" ht="15.75" hidden="false" customHeight="false" outlineLevel="0" collapsed="false">
      <c r="A260" s="3" t="s">
        <v>104</v>
      </c>
      <c r="B260" s="3" t="n">
        <v>-4.69262381969297</v>
      </c>
      <c r="C260" s="3" t="n">
        <v>0.00916261354310347</v>
      </c>
      <c r="D260" s="3" t="n">
        <v>1608.74851406488</v>
      </c>
      <c r="E260" s="3" t="n">
        <v>13375.8783877489</v>
      </c>
      <c r="F260" s="3" t="n">
        <v>0.00016530957270239</v>
      </c>
      <c r="G260" s="3"/>
    </row>
    <row r="261" customFormat="false" ht="15.75" hidden="false" customHeight="false" outlineLevel="0" collapsed="false">
      <c r="A261" s="3" t="s">
        <v>106</v>
      </c>
      <c r="B261" s="3" t="n">
        <v>-4.58097452126233</v>
      </c>
      <c r="C261" s="3" t="n">
        <v>0.0102449075498336</v>
      </c>
      <c r="D261" s="3" t="n">
        <v>1527.81326121295</v>
      </c>
      <c r="E261" s="3" t="n">
        <v>12702.9453034511</v>
      </c>
      <c r="F261" s="3" t="n">
        <v>0.000170520534477235</v>
      </c>
      <c r="G261" s="3"/>
    </row>
    <row r="262" customFormat="false" ht="15.75" hidden="false" customHeight="false" outlineLevel="0" collapsed="false">
      <c r="A262" s="3" t="s">
        <v>755</v>
      </c>
      <c r="B262" s="3" t="n">
        <v>-5.72026395984137</v>
      </c>
      <c r="C262" s="3" t="n">
        <v>0.00327884530462059</v>
      </c>
      <c r="D262" s="3" t="n">
        <v>2734.10049459103</v>
      </c>
      <c r="E262" s="3" t="n">
        <v>22732.5746664584</v>
      </c>
      <c r="F262" s="3" t="n">
        <v>0.000340688128228701</v>
      </c>
      <c r="G262" s="3" t="n">
        <v>0.997833354594594</v>
      </c>
    </row>
    <row r="263" customFormat="false" ht="15.75" hidden="false" customHeight="false" outlineLevel="0" collapsed="false">
      <c r="A263" s="3" t="s">
        <v>757</v>
      </c>
      <c r="B263" s="3" t="n">
        <v>-3.94479263866001</v>
      </c>
      <c r="C263" s="3" t="n">
        <v>0.019355229479902</v>
      </c>
      <c r="D263" s="3" t="n">
        <v>1364.03092297526</v>
      </c>
      <c r="E263" s="3" t="n">
        <v>11341.1832759027</v>
      </c>
      <c r="F263" s="3" t="n">
        <v>0.00027429396164075</v>
      </c>
      <c r="G263" s="3" t="n">
        <v>0.998972492499399</v>
      </c>
    </row>
    <row r="264" customFormat="false" ht="15.75" hidden="false" customHeight="false" outlineLevel="0" collapsed="false">
      <c r="A264" s="3" t="s">
        <v>108</v>
      </c>
      <c r="B264" s="3" t="n">
        <v>-4.80907419233477</v>
      </c>
      <c r="C264" s="3" t="n">
        <v>0.00815540654156722</v>
      </c>
      <c r="D264" s="3" t="n">
        <v>1652.16309383219</v>
      </c>
      <c r="E264" s="3" t="n">
        <v>13736.8472614702</v>
      </c>
      <c r="F264" s="3" t="n">
        <v>0.00022659631273786</v>
      </c>
      <c r="G264" s="3"/>
    </row>
    <row r="265" customFormat="false" ht="15.75" hidden="false" customHeight="false" outlineLevel="0" collapsed="false">
      <c r="A265" s="3" t="s">
        <v>759</v>
      </c>
      <c r="B265" s="3" t="n">
        <v>-10.3623516630766</v>
      </c>
      <c r="C265" s="3" t="n">
        <v>3.1600056067767E-005</v>
      </c>
      <c r="D265" s="3" t="n">
        <v>4000.6820449813</v>
      </c>
      <c r="E265" s="3" t="n">
        <v>33263.5188370793</v>
      </c>
      <c r="F265" s="3" t="n">
        <v>0.100082447010601</v>
      </c>
      <c r="G265" s="3" t="n">
        <v>0.927743967761765</v>
      </c>
    </row>
    <row r="266" customFormat="false" ht="15.75" hidden="false" customHeight="false" outlineLevel="0" collapsed="false">
      <c r="A266" s="3" t="s">
        <v>238</v>
      </c>
      <c r="B266" s="3" t="n">
        <v>-6.79059091241619</v>
      </c>
      <c r="C266" s="3" t="n">
        <v>0.00112430421252655</v>
      </c>
      <c r="D266" s="3" t="n">
        <v>2973.88049157359</v>
      </c>
      <c r="E266" s="3" t="n">
        <v>24726.21633973</v>
      </c>
      <c r="F266" s="3" t="n">
        <v>0.00305398214181861</v>
      </c>
      <c r="G266" s="3"/>
    </row>
    <row r="267" customFormat="false" ht="15.75" hidden="false" customHeight="false" outlineLevel="0" collapsed="false">
      <c r="A267" s="3" t="s">
        <v>761</v>
      </c>
      <c r="B267" s="3" t="n">
        <v>-3.99591904995688</v>
      </c>
      <c r="C267" s="3" t="n">
        <v>0.0183905368194569</v>
      </c>
      <c r="D267" s="3" t="n">
        <v>733.04292758925</v>
      </c>
      <c r="E267" s="3" t="n">
        <v>6094.85756580957</v>
      </c>
      <c r="F267" s="3" t="n">
        <v>5.31642122793367E-005</v>
      </c>
      <c r="G267" s="3" t="n">
        <v>0.985758510065839</v>
      </c>
    </row>
    <row r="268" customFormat="false" ht="15.75" hidden="false" customHeight="false" outlineLevel="0" collapsed="false">
      <c r="A268" s="3" t="s">
        <v>763</v>
      </c>
      <c r="B268" s="3" t="n">
        <v>-5.74168307390722</v>
      </c>
      <c r="C268" s="3" t="n">
        <v>0.00320936213344927</v>
      </c>
      <c r="D268" s="3" t="n">
        <v>2359.57741112764</v>
      </c>
      <c r="E268" s="3" t="n">
        <v>19618.6167208792</v>
      </c>
      <c r="F268" s="3" t="n">
        <v>4.0290840664623E-005</v>
      </c>
      <c r="G268" s="3" t="n">
        <v>0.999850103465733</v>
      </c>
    </row>
    <row r="269" customFormat="false" ht="15.75" hidden="false" customHeight="false" outlineLevel="0" collapsed="false">
      <c r="A269" s="3" t="s">
        <v>1437</v>
      </c>
      <c r="B269" s="3" t="n">
        <v>-4.36553997487115</v>
      </c>
      <c r="C269" s="3" t="n">
        <v>0.0127077914342503</v>
      </c>
      <c r="D269" s="3" t="n">
        <v>1336.98777968135</v>
      </c>
      <c r="E269" s="3" t="n">
        <v>11116.3340886249</v>
      </c>
      <c r="F269" s="3" t="n">
        <v>0.0209080510593922</v>
      </c>
      <c r="G269" s="3" t="n">
        <v>0.801513708415173</v>
      </c>
    </row>
    <row r="270" customFormat="false" ht="15.75" hidden="false" customHeight="false" outlineLevel="0" collapsed="false">
      <c r="A270" s="3" t="s">
        <v>765</v>
      </c>
      <c r="B270" s="3" t="n">
        <v>-4.19525835706202</v>
      </c>
      <c r="C270" s="3" t="n">
        <v>0.0150668493322745</v>
      </c>
      <c r="D270" s="3" t="n">
        <v>1200.27295909202</v>
      </c>
      <c r="E270" s="3" t="n">
        <v>9979.62390799813</v>
      </c>
      <c r="F270" s="3" t="n">
        <v>7.94042899515623E-005</v>
      </c>
      <c r="G270" s="3" t="n">
        <v>0.999762800046023</v>
      </c>
    </row>
    <row r="271" customFormat="false" ht="15.75" hidden="false" customHeight="false" outlineLevel="0" collapsed="false">
      <c r="A271" s="3" t="s">
        <v>767</v>
      </c>
      <c r="B271" s="3" t="n">
        <v>-4.0537191436441</v>
      </c>
      <c r="C271" s="3" t="n">
        <v>0.0173576986697487</v>
      </c>
      <c r="D271" s="3" t="n">
        <v>855.196472927104</v>
      </c>
      <c r="E271" s="3" t="n">
        <v>7110.49857668644</v>
      </c>
      <c r="F271" s="3" t="n">
        <v>0.000927012558597531</v>
      </c>
      <c r="G271" s="3" t="n">
        <v>0.997910327240677</v>
      </c>
    </row>
    <row r="272" customFormat="false" ht="15.75" hidden="false" customHeight="false" outlineLevel="0" collapsed="false">
      <c r="A272" s="3" t="s">
        <v>1438</v>
      </c>
      <c r="B272" s="3" t="n">
        <v>-3.59464427107515</v>
      </c>
      <c r="C272" s="3" t="n">
        <v>0.0274704534730036</v>
      </c>
      <c r="D272" s="3" t="n">
        <v>751.683604191991</v>
      </c>
      <c r="E272" s="3" t="n">
        <v>6249.84476307735</v>
      </c>
      <c r="F272" s="3" t="n">
        <v>0.0029300154227422</v>
      </c>
      <c r="G272" s="3" t="n">
        <v>0.810644429543934</v>
      </c>
    </row>
    <row r="273" customFormat="false" ht="15.75" hidden="false" customHeight="false" outlineLevel="0" collapsed="false">
      <c r="A273" s="3" t="s">
        <v>769</v>
      </c>
      <c r="B273" s="3" t="n">
        <v>-4.16935180008724</v>
      </c>
      <c r="C273" s="3" t="n">
        <v>0.0154622795245103</v>
      </c>
      <c r="D273" s="3" t="n">
        <v>1384.0946442984</v>
      </c>
      <c r="E273" s="3" t="n">
        <v>11508.0023244226</v>
      </c>
      <c r="F273" s="3" t="n">
        <v>9.32853983742607E-005</v>
      </c>
      <c r="G273" s="3" t="n">
        <v>0.999810951903877</v>
      </c>
    </row>
    <row r="274" customFormat="false" ht="15.75" hidden="false" customHeight="false" outlineLevel="0" collapsed="false">
      <c r="A274" s="3" t="s">
        <v>771</v>
      </c>
      <c r="B274" s="3" t="n">
        <v>-3.9051300083319</v>
      </c>
      <c r="C274" s="3" t="n">
        <v>0.0201383361695979</v>
      </c>
      <c r="D274" s="3" t="n">
        <v>866.348407605821</v>
      </c>
      <c r="E274" s="3" t="n">
        <v>7203.22091379911</v>
      </c>
      <c r="F274" s="3" t="n">
        <v>7.87428967889535E-006</v>
      </c>
      <c r="G274" s="3" t="n">
        <v>0.99696522864569</v>
      </c>
    </row>
    <row r="275" customFormat="false" ht="15.75" hidden="false" customHeight="false" outlineLevel="0" collapsed="false">
      <c r="A275" s="3" t="s">
        <v>773</v>
      </c>
      <c r="B275" s="3" t="n">
        <v>-5.9614761482867</v>
      </c>
      <c r="C275" s="3" t="n">
        <v>0.00257610644883912</v>
      </c>
      <c r="D275" s="3" t="n">
        <v>1838.45482105036</v>
      </c>
      <c r="E275" s="3" t="n">
        <v>15285.76274834</v>
      </c>
      <c r="F275" s="3" t="n">
        <v>0.000282940505004528</v>
      </c>
      <c r="G275" s="3" t="n">
        <v>0.999076764463226</v>
      </c>
    </row>
    <row r="276" customFormat="false" ht="15.75" hidden="false" customHeight="false" outlineLevel="0" collapsed="false">
      <c r="A276" s="3" t="s">
        <v>775</v>
      </c>
      <c r="B276" s="3" t="n">
        <v>-3.76363117437106</v>
      </c>
      <c r="C276" s="3" t="n">
        <v>0.0231993463709882</v>
      </c>
      <c r="D276" s="3" t="n">
        <v>897.756990428118</v>
      </c>
      <c r="E276" s="3" t="n">
        <v>7464.36638214895</v>
      </c>
      <c r="F276" s="3" t="n">
        <v>2.83701140550728E-006</v>
      </c>
      <c r="G276" s="3" t="n">
        <v>0.999960758728058</v>
      </c>
    </row>
    <row r="277" customFormat="false" ht="15.75" hidden="false" customHeight="false" outlineLevel="0" collapsed="false">
      <c r="A277" s="3" t="s">
        <v>777</v>
      </c>
      <c r="B277" s="3" t="n">
        <v>-3.99464662403623</v>
      </c>
      <c r="C277" s="3" t="n">
        <v>0.0184139523092796</v>
      </c>
      <c r="D277" s="3" t="n">
        <v>845.270819932711</v>
      </c>
      <c r="E277" s="3" t="n">
        <v>7027.97211203937</v>
      </c>
      <c r="F277" s="3" t="n">
        <v>5.37567247578279E-006</v>
      </c>
      <c r="G277" s="3" t="n">
        <v>0.999353009469645</v>
      </c>
    </row>
    <row r="278" customFormat="false" ht="15.75" hidden="false" customHeight="false" outlineLevel="0" collapsed="false">
      <c r="A278" s="3" t="s">
        <v>779</v>
      </c>
      <c r="B278" s="3" t="n">
        <v>-4.56792822983926</v>
      </c>
      <c r="C278" s="3" t="n">
        <v>0.0103794412742231</v>
      </c>
      <c r="D278" s="3" t="n">
        <v>1101.85154792793</v>
      </c>
      <c r="E278" s="3" t="n">
        <v>9161.30282488793</v>
      </c>
      <c r="F278" s="3" t="n">
        <v>4.73953518336611E-005</v>
      </c>
      <c r="G278" s="3" t="n">
        <v>0.939457377521547</v>
      </c>
    </row>
    <row r="279" customFormat="false" ht="15.75" hidden="false" customHeight="false" outlineLevel="0" collapsed="false">
      <c r="A279" s="3" t="s">
        <v>781</v>
      </c>
      <c r="B279" s="3" t="n">
        <v>-3.65589422787807</v>
      </c>
      <c r="C279" s="3" t="n">
        <v>0.0258383817480553</v>
      </c>
      <c r="D279" s="3" t="n">
        <v>978.602960981969</v>
      </c>
      <c r="E279" s="3" t="n">
        <v>8136.55713217207</v>
      </c>
      <c r="F279" s="3" t="n">
        <v>1.56741460704856E-005</v>
      </c>
      <c r="G279" s="3" t="n">
        <v>0.999905250724071</v>
      </c>
    </row>
    <row r="280" customFormat="false" ht="15.75" hidden="false" customHeight="false" outlineLevel="0" collapsed="false">
      <c r="A280" s="3" t="s">
        <v>1439</v>
      </c>
      <c r="B280" s="3" t="n">
        <v>-4.99898968503112</v>
      </c>
      <c r="C280" s="3" t="n">
        <v>0.0067447578877902</v>
      </c>
      <c r="D280" s="3" t="n">
        <v>867.402614251251</v>
      </c>
      <c r="E280" s="3" t="n">
        <v>7211.98607489268</v>
      </c>
      <c r="F280" s="3" t="n">
        <v>9.94557144387525E-007</v>
      </c>
      <c r="G280" s="3" t="n">
        <v>0.999982067375293</v>
      </c>
    </row>
    <row r="281" customFormat="false" ht="15.75" hidden="false" customHeight="false" outlineLevel="0" collapsed="false">
      <c r="A281" s="3" t="s">
        <v>783</v>
      </c>
      <c r="B281" s="3" t="n">
        <v>-4.95456995247463</v>
      </c>
      <c r="C281" s="3" t="n">
        <v>0.0070511119409471</v>
      </c>
      <c r="D281" s="3" t="n">
        <v>1368.22877355329</v>
      </c>
      <c r="E281" s="3" t="n">
        <v>11376.0861450155</v>
      </c>
      <c r="F281" s="3" t="n">
        <v>0.000122688232295361</v>
      </c>
      <c r="G281" s="3" t="n">
        <v>0.998538937298536</v>
      </c>
    </row>
    <row r="282" customFormat="false" ht="15.75" hidden="false" customHeight="false" outlineLevel="0" collapsed="false">
      <c r="A282" s="3" t="s">
        <v>785</v>
      </c>
      <c r="B282" s="3" t="n">
        <v>-4.63226723201562</v>
      </c>
      <c r="C282" s="3" t="n">
        <v>0.00973266785265871</v>
      </c>
      <c r="D282" s="3" t="n">
        <v>1417.47934535498</v>
      </c>
      <c r="E282" s="3" t="n">
        <v>11785.5781527389</v>
      </c>
      <c r="F282" s="3" t="n">
        <v>0.00115029777071744</v>
      </c>
      <c r="G282" s="3" t="n">
        <v>0.996906690170162</v>
      </c>
    </row>
    <row r="283" customFormat="false" ht="15.75" hidden="false" customHeight="false" outlineLevel="0" collapsed="false">
      <c r="A283" s="3" t="s">
        <v>787</v>
      </c>
      <c r="B283" s="3" t="n">
        <v>-5.59630498521208</v>
      </c>
      <c r="C283" s="3" t="n">
        <v>0.00371155265243469</v>
      </c>
      <c r="D283" s="3" t="n">
        <v>2058.39361852091</v>
      </c>
      <c r="E283" s="3" t="n">
        <v>17114.4355222346</v>
      </c>
      <c r="F283" s="3" t="n">
        <v>0.00484594854676236</v>
      </c>
      <c r="G283" s="3" t="n">
        <v>0.99484876918031</v>
      </c>
    </row>
    <row r="284" customFormat="false" ht="15.75" hidden="false" customHeight="false" outlineLevel="0" collapsed="false">
      <c r="A284" s="3" t="s">
        <v>789</v>
      </c>
      <c r="B284" s="3" t="n">
        <v>-4.47886650143004</v>
      </c>
      <c r="C284" s="3" t="n">
        <v>0.011346266845715</v>
      </c>
      <c r="D284" s="3" t="n">
        <v>1354.1623335587</v>
      </c>
      <c r="E284" s="3" t="n">
        <v>11259.1312642052</v>
      </c>
      <c r="F284" s="3" t="n">
        <v>8.68130395005145E-006</v>
      </c>
      <c r="G284" s="3" t="n">
        <v>0.999941717938568</v>
      </c>
    </row>
    <row r="285" customFormat="false" ht="15.75" hidden="false" customHeight="false" outlineLevel="0" collapsed="false">
      <c r="A285" s="3" t="s">
        <v>1440</v>
      </c>
      <c r="B285" s="3"/>
      <c r="C285" s="3"/>
      <c r="D285" s="3"/>
      <c r="E285" s="3"/>
      <c r="F285" s="3"/>
      <c r="G285" s="3"/>
    </row>
    <row r="286" customFormat="false" ht="15.75" hidden="false" customHeight="false" outlineLevel="0" collapsed="false">
      <c r="A286" s="3" t="s">
        <v>791</v>
      </c>
      <c r="B286" s="3" t="n">
        <v>-4.5865044168957</v>
      </c>
      <c r="C286" s="3" t="n">
        <v>0.0101884106353017</v>
      </c>
      <c r="D286" s="3" t="n">
        <v>1217.58898499611</v>
      </c>
      <c r="E286" s="3" t="n">
        <v>10123.5973473688</v>
      </c>
      <c r="F286" s="3" t="n">
        <v>1.07071714145493E-005</v>
      </c>
      <c r="G286" s="3" t="n">
        <v>0.999852830081468</v>
      </c>
    </row>
    <row r="287" customFormat="false" ht="15.75" hidden="false" customHeight="false" outlineLevel="0" collapsed="false">
      <c r="A287" s="3" t="s">
        <v>793</v>
      </c>
      <c r="B287" s="3" t="n">
        <v>-3.97812539429514</v>
      </c>
      <c r="C287" s="3" t="n">
        <v>0.0187207003963971</v>
      </c>
      <c r="D287" s="3" t="n">
        <v>1253.76640150942</v>
      </c>
      <c r="E287" s="3" t="n">
        <v>10424.3931022268</v>
      </c>
      <c r="F287" s="3" t="n">
        <v>0.00244552360811857</v>
      </c>
      <c r="G287" s="3" t="n">
        <v>0.991103951716246</v>
      </c>
    </row>
    <row r="288" customFormat="false" ht="15.75" hidden="false" customHeight="false" outlineLevel="0" collapsed="false">
      <c r="A288" s="3" t="s">
        <v>795</v>
      </c>
      <c r="B288" s="3" t="n">
        <v>-5.67255561112207</v>
      </c>
      <c r="C288" s="3" t="n">
        <v>0.00343906512293038</v>
      </c>
      <c r="D288" s="3" t="n">
        <v>2157.84932741489</v>
      </c>
      <c r="E288" s="3" t="n">
        <v>17941.3562345167</v>
      </c>
      <c r="F288" s="3" t="n">
        <v>0.0144598062186713</v>
      </c>
      <c r="G288" s="3" t="n">
        <v>0.990922781877766</v>
      </c>
    </row>
    <row r="289" customFormat="false" ht="15.75" hidden="false" customHeight="false" outlineLevel="0" collapsed="false">
      <c r="A289" s="3" t="s">
        <v>797</v>
      </c>
      <c r="B289" s="3" t="n">
        <v>-4.43166400076804</v>
      </c>
      <c r="C289" s="3" t="n">
        <v>0.0118946804386845</v>
      </c>
      <c r="D289" s="3" t="n">
        <v>1449.82462131994</v>
      </c>
      <c r="E289" s="3" t="n">
        <v>12054.511720629</v>
      </c>
      <c r="F289" s="3" t="n">
        <v>0.00264338888339018</v>
      </c>
      <c r="G289" s="3" t="n">
        <v>0.996267335562563</v>
      </c>
    </row>
    <row r="290" customFormat="false" ht="15.75" hidden="false" customHeight="false" outlineLevel="0" collapsed="false">
      <c r="A290" s="3" t="s">
        <v>799</v>
      </c>
      <c r="B290" s="3" t="n">
        <v>-6.57486327658783</v>
      </c>
      <c r="C290" s="3" t="n">
        <v>0.00139499663403783</v>
      </c>
      <c r="D290" s="3" t="n">
        <v>2609.49720974197</v>
      </c>
      <c r="E290" s="3" t="n">
        <v>21696.5653895057</v>
      </c>
      <c r="F290" s="3" t="n">
        <v>0.000676908582706476</v>
      </c>
      <c r="G290" s="3" t="n">
        <v>0.998712263461973</v>
      </c>
    </row>
    <row r="291" customFormat="false" ht="15.75" hidden="false" customHeight="false" outlineLevel="0" collapsed="false">
      <c r="A291" s="3" t="s">
        <v>1441</v>
      </c>
      <c r="B291" s="3" t="n">
        <v>-4.43349812465854</v>
      </c>
      <c r="C291" s="3" t="n">
        <v>0.0118728841158106</v>
      </c>
      <c r="D291" s="3" t="n">
        <v>1394.23787104103</v>
      </c>
      <c r="E291" s="3" t="n">
        <v>11592.3377977315</v>
      </c>
      <c r="F291" s="3" t="n">
        <v>1.64955325861974E-005</v>
      </c>
      <c r="G291" s="3"/>
    </row>
    <row r="292" customFormat="false" ht="15.75" hidden="false" customHeight="false" outlineLevel="0" collapsed="false">
      <c r="A292" s="3" t="s">
        <v>801</v>
      </c>
      <c r="B292" s="3" t="n">
        <v>-4.15484244629857</v>
      </c>
      <c r="C292" s="3" t="n">
        <v>0.0156882626787691</v>
      </c>
      <c r="D292" s="3" t="n">
        <v>1434.22852308888</v>
      </c>
      <c r="E292" s="3" t="n">
        <v>11924.8385545386</v>
      </c>
      <c r="F292" s="3" t="n">
        <v>0.000526269730778752</v>
      </c>
      <c r="G292" s="3" t="n">
        <v>0.998899820951575</v>
      </c>
    </row>
    <row r="293" customFormat="false" ht="15.75" hidden="false" customHeight="false" outlineLevel="0" collapsed="false">
      <c r="A293" s="3" t="s">
        <v>803</v>
      </c>
      <c r="B293" s="3" t="n">
        <v>-5.70968355239781</v>
      </c>
      <c r="C293" s="3" t="n">
        <v>0.00331372099806506</v>
      </c>
      <c r="D293" s="3" t="n">
        <v>2174.78216891827</v>
      </c>
      <c r="E293" s="3" t="n">
        <v>18082.1437017486</v>
      </c>
      <c r="F293" s="3" t="n">
        <v>0.00111331097310587</v>
      </c>
      <c r="G293" s="3" t="n">
        <v>0.996953505815389</v>
      </c>
    </row>
    <row r="294" customFormat="false" ht="15.75" hidden="false" customHeight="false" outlineLevel="0" collapsed="false">
      <c r="A294" s="3" t="s">
        <v>1442</v>
      </c>
      <c r="B294" s="3"/>
      <c r="C294" s="3"/>
      <c r="D294" s="3"/>
      <c r="E294" s="3"/>
      <c r="F294" s="3"/>
      <c r="G294" s="3"/>
    </row>
    <row r="295" customFormat="false" ht="15.75" hidden="false" customHeight="false" outlineLevel="0" collapsed="false">
      <c r="A295" s="3" t="s">
        <v>805</v>
      </c>
      <c r="B295" s="3" t="n">
        <v>-4.06376001375295</v>
      </c>
      <c r="C295" s="3" t="n">
        <v>0.017184284344329</v>
      </c>
      <c r="D295" s="3" t="n">
        <v>1472.77040651585</v>
      </c>
      <c r="E295" s="3" t="n">
        <v>12245.2935797006</v>
      </c>
      <c r="F295" s="3" t="n">
        <v>0.0113249111160147</v>
      </c>
      <c r="G295" s="3" t="n">
        <v>0.971115562596593</v>
      </c>
    </row>
    <row r="296" customFormat="false" ht="15.75" hidden="false" customHeight="false" outlineLevel="0" collapsed="false">
      <c r="A296" s="3" t="s">
        <v>807</v>
      </c>
      <c r="B296" s="3" t="n">
        <v>-3.04925894470669</v>
      </c>
      <c r="C296" s="3" t="n">
        <v>0.0473940329798427</v>
      </c>
      <c r="D296" s="3" t="n">
        <v>541.375040738389</v>
      </c>
      <c r="E296" s="3" t="n">
        <v>4501.24220396779</v>
      </c>
      <c r="F296" s="3" t="n">
        <v>2.41231760150133E-005</v>
      </c>
      <c r="G296" s="3" t="n">
        <v>0.998932923077883</v>
      </c>
    </row>
    <row r="297" customFormat="false" ht="15.75" hidden="false" customHeight="false" outlineLevel="0" collapsed="false">
      <c r="A297" s="3" t="s">
        <v>240</v>
      </c>
      <c r="B297" s="3" t="n">
        <v>-16.0124445334163</v>
      </c>
      <c r="C297" s="3" t="n">
        <v>1.11143404901445E-007</v>
      </c>
      <c r="D297" s="3" t="n">
        <v>6202.98821452322</v>
      </c>
      <c r="E297" s="3" t="n">
        <v>51574.5097961012</v>
      </c>
      <c r="F297" s="3" t="n">
        <v>0.0473193458416577</v>
      </c>
      <c r="G297" s="3"/>
    </row>
    <row r="298" customFormat="false" ht="15.75" hidden="false" customHeight="false" outlineLevel="0" collapsed="false">
      <c r="A298" s="3" t="s">
        <v>809</v>
      </c>
      <c r="B298" s="3" t="n">
        <v>-3.10813475298833</v>
      </c>
      <c r="C298" s="3" t="n">
        <v>0.0446842247738294</v>
      </c>
      <c r="D298" s="3" t="n">
        <v>909.642571498298</v>
      </c>
      <c r="E298" s="3" t="n">
        <v>7563.18859430488</v>
      </c>
      <c r="F298" s="3" t="n">
        <v>6.01691236106486E-006</v>
      </c>
      <c r="G298" s="3" t="n">
        <v>0.999755301150184</v>
      </c>
    </row>
    <row r="299" customFormat="false" ht="15.75" hidden="false" customHeight="false" outlineLevel="0" collapsed="false">
      <c r="A299" s="3" t="s">
        <v>811</v>
      </c>
      <c r="B299" s="3" t="n">
        <v>-3.5719890177134</v>
      </c>
      <c r="C299" s="3" t="n">
        <v>0.0280999068466603</v>
      </c>
      <c r="D299" s="3" t="n">
        <v>1085.00732120769</v>
      </c>
      <c r="E299" s="3" t="n">
        <v>9021.25214190312</v>
      </c>
      <c r="F299" s="3" t="n">
        <v>0.000143328210421328</v>
      </c>
      <c r="G299" s="3" t="n">
        <v>0.998640081445961</v>
      </c>
    </row>
    <row r="300" customFormat="false" ht="15.75" hidden="false" customHeight="false" outlineLevel="0" collapsed="false">
      <c r="A300" s="3" t="s">
        <v>1443</v>
      </c>
      <c r="B300" s="3" t="n">
        <v>-3.36278854470128</v>
      </c>
      <c r="C300" s="3" t="n">
        <v>0.0346385330473832</v>
      </c>
      <c r="D300" s="3" t="n">
        <v>1181.40835785456</v>
      </c>
      <c r="E300" s="3" t="n">
        <v>9822.7748978641</v>
      </c>
      <c r="F300" s="3" t="n">
        <v>0.000880535242219994</v>
      </c>
      <c r="G300" s="3"/>
    </row>
    <row r="301" customFormat="false" ht="15.75" hidden="false" customHeight="false" outlineLevel="0" collapsed="false">
      <c r="A301" s="3" t="s">
        <v>813</v>
      </c>
      <c r="B301" s="3" t="n">
        <v>-3.91462372831247</v>
      </c>
      <c r="C301" s="3" t="n">
        <v>0.0199480531213112</v>
      </c>
      <c r="D301" s="3" t="n">
        <v>637.120067005306</v>
      </c>
      <c r="E301" s="3" t="n">
        <v>5297.31058655307</v>
      </c>
      <c r="F301" s="3" t="n">
        <v>0.000174610161631191</v>
      </c>
      <c r="G301" s="3" t="n">
        <v>0.999578788070214</v>
      </c>
    </row>
    <row r="302" customFormat="false" ht="15.75" hidden="false" customHeight="false" outlineLevel="0" collapsed="false">
      <c r="A302" s="3" t="s">
        <v>815</v>
      </c>
      <c r="B302" s="3" t="n">
        <v>-4.42163670884217</v>
      </c>
      <c r="C302" s="3" t="n">
        <v>0.0120145518602904</v>
      </c>
      <c r="D302" s="3" t="n">
        <v>1421.34630440606</v>
      </c>
      <c r="E302" s="3" t="n">
        <v>11817.7298368246</v>
      </c>
      <c r="F302" s="3" t="n">
        <v>0.000388365368331974</v>
      </c>
      <c r="G302" s="3" t="n">
        <v>0.999409786505425</v>
      </c>
    </row>
    <row r="303" customFormat="false" ht="15.75" hidden="false" customHeight="false" outlineLevel="0" collapsed="false">
      <c r="A303" s="3" t="s">
        <v>817</v>
      </c>
      <c r="B303" s="3" t="n">
        <v>-4.45034803956207</v>
      </c>
      <c r="C303" s="3" t="n">
        <v>0.0116745030743009</v>
      </c>
      <c r="D303" s="3" t="n">
        <v>1214.70810542784</v>
      </c>
      <c r="E303" s="3" t="n">
        <v>10099.6443836718</v>
      </c>
      <c r="F303" s="3" t="n">
        <v>1.0947001309786E-005</v>
      </c>
      <c r="G303" s="3" t="n">
        <v>0.999939138087584</v>
      </c>
    </row>
    <row r="304" customFormat="false" ht="15.75" hidden="false" customHeight="false" outlineLevel="0" collapsed="false">
      <c r="A304" s="3" t="s">
        <v>110</v>
      </c>
      <c r="B304" s="3" t="n">
        <v>-4.52172838405086</v>
      </c>
      <c r="C304" s="3" t="n">
        <v>0.0108702195088023</v>
      </c>
      <c r="D304" s="3" t="n">
        <v>1286.28731402876</v>
      </c>
      <c r="E304" s="3" t="n">
        <v>10694.7869935742</v>
      </c>
      <c r="F304" s="3" t="n">
        <v>3.4925308532213E-006</v>
      </c>
      <c r="G304" s="3"/>
    </row>
    <row r="305" customFormat="false" ht="15.75" hidden="false" customHeight="false" outlineLevel="0" collapsed="false">
      <c r="A305" s="3" t="s">
        <v>819</v>
      </c>
      <c r="B305" s="3" t="n">
        <v>-4.632692312159</v>
      </c>
      <c r="C305" s="3" t="n">
        <v>0.00972853156800094</v>
      </c>
      <c r="D305" s="3" t="n">
        <v>1211.07230770184</v>
      </c>
      <c r="E305" s="3" t="n">
        <v>10069.4146816393</v>
      </c>
      <c r="F305" s="3" t="n">
        <v>0.00861874045901405</v>
      </c>
      <c r="G305" s="3" t="n">
        <v>0.925056124602553</v>
      </c>
    </row>
    <row r="306" customFormat="false" ht="15.75" hidden="false" customHeight="false" outlineLevel="0" collapsed="false">
      <c r="A306" s="3" t="s">
        <v>821</v>
      </c>
      <c r="B306" s="3" t="n">
        <v>-4.32208008164136</v>
      </c>
      <c r="C306" s="3" t="n">
        <v>0.0132722474514822</v>
      </c>
      <c r="D306" s="3" t="n">
        <v>1273.46229743202</v>
      </c>
      <c r="E306" s="3" t="n">
        <v>10588.1538804312</v>
      </c>
      <c r="F306" s="3" t="n">
        <v>4.19042394996643E-006</v>
      </c>
      <c r="G306" s="3" t="n">
        <v>0.999937406528512</v>
      </c>
    </row>
    <row r="307" customFormat="false" ht="15.75" hidden="false" customHeight="false" outlineLevel="0" collapsed="false">
      <c r="A307" s="3" t="s">
        <v>823</v>
      </c>
      <c r="B307" s="3" t="n">
        <v>-4.49809779003076</v>
      </c>
      <c r="C307" s="3" t="n">
        <v>0.0111301482933674</v>
      </c>
      <c r="D307" s="3" t="n">
        <v>1324.73726690289</v>
      </c>
      <c r="E307" s="3" t="n">
        <v>11014.4776656479</v>
      </c>
      <c r="F307" s="3" t="n">
        <v>0.000179073451161835</v>
      </c>
      <c r="G307" s="3" t="n">
        <v>0.999416209658034</v>
      </c>
    </row>
    <row r="308" customFormat="false" ht="15.75" hidden="false" customHeight="false" outlineLevel="0" collapsed="false">
      <c r="A308" s="3" t="s">
        <v>112</v>
      </c>
      <c r="B308" s="3" t="n">
        <v>-3.75298421433045</v>
      </c>
      <c r="C308" s="3" t="n">
        <v>0.0234476684767717</v>
      </c>
      <c r="D308" s="3" t="n">
        <v>1061.36992719488</v>
      </c>
      <c r="E308" s="3" t="n">
        <v>8824.71992760457</v>
      </c>
      <c r="F308" s="3" t="n">
        <v>0.000775846536547196</v>
      </c>
      <c r="G308" s="3"/>
    </row>
    <row r="309" customFormat="false" ht="15.75" hidden="false" customHeight="false" outlineLevel="0" collapsed="false">
      <c r="A309" s="3" t="s">
        <v>825</v>
      </c>
      <c r="B309" s="3" t="n">
        <v>-7.18853982452184</v>
      </c>
      <c r="C309" s="3" t="n">
        <v>0.000755191027228439</v>
      </c>
      <c r="D309" s="3" t="n">
        <v>2705.49497679828</v>
      </c>
      <c r="E309" s="3" t="n">
        <v>22494.7351757802</v>
      </c>
      <c r="F309" s="3" t="n">
        <v>0.016792593600761</v>
      </c>
      <c r="G309" s="3" t="n">
        <v>0.985054085274387</v>
      </c>
    </row>
    <row r="310" customFormat="false" ht="15.75" hidden="false" customHeight="false" outlineLevel="0" collapsed="false">
      <c r="A310" s="3" t="s">
        <v>827</v>
      </c>
      <c r="B310" s="3" t="n">
        <v>-4.40961242928469</v>
      </c>
      <c r="C310" s="3" t="n">
        <v>0.0121598902341141</v>
      </c>
      <c r="D310" s="3" t="n">
        <v>1186.33557010083</v>
      </c>
      <c r="E310" s="3" t="n">
        <v>9863.74201685166</v>
      </c>
      <c r="F310" s="3" t="n">
        <v>2.00528464319886E-006</v>
      </c>
      <c r="G310" s="3" t="n">
        <v>0.999979636521557</v>
      </c>
    </row>
    <row r="311" customFormat="false" ht="15.75" hidden="false" customHeight="false" outlineLevel="0" collapsed="false">
      <c r="A311" s="3" t="s">
        <v>829</v>
      </c>
      <c r="B311" s="3" t="n">
        <v>-4.47074552653655</v>
      </c>
      <c r="C311" s="3" t="n">
        <v>0.0114387847532417</v>
      </c>
      <c r="D311" s="3" t="n">
        <v>1202.56289729559</v>
      </c>
      <c r="E311" s="3" t="n">
        <v>9998.6635121741</v>
      </c>
      <c r="F311" s="3" t="n">
        <v>8.26916403226642E-006</v>
      </c>
      <c r="G311" s="3" t="n">
        <v>0.999968165988384</v>
      </c>
    </row>
    <row r="312" customFormat="false" ht="15.75" hidden="false" customHeight="false" outlineLevel="0" collapsed="false">
      <c r="A312" s="3" t="s">
        <v>831</v>
      </c>
      <c r="B312" s="3" t="n">
        <v>-4.53785062204542</v>
      </c>
      <c r="C312" s="3" t="n">
        <v>0.0106963724105813</v>
      </c>
      <c r="D312" s="3" t="n">
        <v>1482.75399519116</v>
      </c>
      <c r="E312" s="3" t="n">
        <v>12328.3017483651</v>
      </c>
      <c r="F312" s="3" t="n">
        <v>0.00308161072048723</v>
      </c>
      <c r="G312" s="3" t="n">
        <v>0.995234882167315</v>
      </c>
    </row>
    <row r="313" customFormat="false" ht="15.75" hidden="false" customHeight="false" outlineLevel="0" collapsed="false">
      <c r="A313" s="3" t="s">
        <v>833</v>
      </c>
      <c r="B313" s="3" t="n">
        <v>-4.36722690440072</v>
      </c>
      <c r="C313" s="3" t="n">
        <v>0.0126863723569408</v>
      </c>
      <c r="D313" s="3" t="n">
        <v>1229.19142410074</v>
      </c>
      <c r="E313" s="3" t="n">
        <v>10220.0653864115</v>
      </c>
      <c r="F313" s="3" t="n">
        <v>4.92038235450316E-006</v>
      </c>
      <c r="G313" s="3" t="n">
        <v>0.999953257878102</v>
      </c>
    </row>
    <row r="314" customFormat="false" ht="15.75" hidden="false" customHeight="false" outlineLevel="0" collapsed="false">
      <c r="A314" s="3" t="s">
        <v>1444</v>
      </c>
      <c r="B314" s="3" t="n">
        <v>-4.37620548202578</v>
      </c>
      <c r="C314" s="3" t="n">
        <v>0.0125729766060104</v>
      </c>
      <c r="D314" s="3" t="n">
        <v>1876.31743311767</v>
      </c>
      <c r="E314" s="3" t="n">
        <v>15600.5699975944</v>
      </c>
      <c r="F314" s="3" t="n">
        <v>0.00496023085428078</v>
      </c>
      <c r="G314" s="3" t="n">
        <v>0.627703884435071</v>
      </c>
    </row>
    <row r="315" customFormat="false" ht="15.75" hidden="false" customHeight="false" outlineLevel="0" collapsed="false">
      <c r="A315" s="3" t="s">
        <v>835</v>
      </c>
      <c r="B315" s="3" t="n">
        <v>-4.51118572881739</v>
      </c>
      <c r="C315" s="3" t="n">
        <v>0.0109854267132326</v>
      </c>
      <c r="D315" s="3" t="n">
        <v>1385.47367151354</v>
      </c>
      <c r="E315" s="3" t="n">
        <v>11519.4681937998</v>
      </c>
      <c r="F315" s="3" t="n">
        <v>2.23374288856443E-005</v>
      </c>
      <c r="G315" s="3" t="n">
        <v>0.99983764618214</v>
      </c>
    </row>
    <row r="316" customFormat="false" ht="15.75" hidden="false" customHeight="false" outlineLevel="0" collapsed="false">
      <c r="A316" s="3" t="s">
        <v>837</v>
      </c>
      <c r="B316" s="3" t="n">
        <v>-4.20354563648153</v>
      </c>
      <c r="C316" s="3" t="n">
        <v>0.0149425021036701</v>
      </c>
      <c r="D316" s="3" t="n">
        <v>999.244220537481</v>
      </c>
      <c r="E316" s="3" t="n">
        <v>8308.17810037851</v>
      </c>
      <c r="F316" s="3" t="n">
        <v>2.28921209231962E-005</v>
      </c>
      <c r="G316" s="3" t="n">
        <v>0.998101154930805</v>
      </c>
    </row>
    <row r="317" customFormat="false" ht="15.75" hidden="false" customHeight="false" outlineLevel="0" collapsed="false">
      <c r="A317" s="3" t="s">
        <v>839</v>
      </c>
      <c r="B317" s="3" t="n">
        <v>-6.4594209242396</v>
      </c>
      <c r="C317" s="3" t="n">
        <v>0.00156570210807116</v>
      </c>
      <c r="D317" s="3" t="n">
        <v>2693.51005056891</v>
      </c>
      <c r="E317" s="3" t="n">
        <v>22395.0869620733</v>
      </c>
      <c r="F317" s="3" t="n">
        <v>2.51180117371E-007</v>
      </c>
      <c r="G317" s="3" t="n">
        <v>0.99998923336111</v>
      </c>
    </row>
    <row r="318" customFormat="false" ht="15.75" hidden="false" customHeight="false" outlineLevel="0" collapsed="false">
      <c r="A318" s="3" t="s">
        <v>841</v>
      </c>
      <c r="B318" s="3" t="n">
        <v>-4.44459349543837</v>
      </c>
      <c r="C318" s="3" t="n">
        <v>0.0117418781879705</v>
      </c>
      <c r="D318" s="3" t="n">
        <v>1433.65643903401</v>
      </c>
      <c r="E318" s="3" t="n">
        <v>11920.0819834036</v>
      </c>
      <c r="F318" s="3" t="n">
        <v>4.74162061523825E-005</v>
      </c>
      <c r="G318" s="3" t="n">
        <v>0.999759912145449</v>
      </c>
    </row>
    <row r="319" customFormat="false" ht="15.75" hidden="false" customHeight="false" outlineLevel="0" collapsed="false">
      <c r="A319" s="3" t="s">
        <v>843</v>
      </c>
      <c r="B319" s="3" t="n">
        <v>-4.18724591946248</v>
      </c>
      <c r="C319" s="3" t="n">
        <v>0.0151880564561807</v>
      </c>
      <c r="D319" s="3" t="n">
        <v>1071.88766352397</v>
      </c>
      <c r="E319" s="3" t="n">
        <v>8912.16924663886</v>
      </c>
      <c r="F319" s="3" t="n">
        <v>2.54907491849176E-005</v>
      </c>
      <c r="G319" s="3" t="n">
        <v>0.999831448153632</v>
      </c>
    </row>
    <row r="320" customFormat="false" ht="15.75" hidden="false" customHeight="false" outlineLevel="0" collapsed="false">
      <c r="A320" s="3" t="s">
        <v>845</v>
      </c>
      <c r="B320" s="3" t="n">
        <v>-3.98640530612219</v>
      </c>
      <c r="C320" s="3" t="n">
        <v>0.0185663345972801</v>
      </c>
      <c r="D320" s="3" t="n">
        <v>1006.29493811472</v>
      </c>
      <c r="E320" s="3" t="n">
        <v>8366.80102374719</v>
      </c>
      <c r="F320" s="3" t="n">
        <v>1.65633368097973E-005</v>
      </c>
      <c r="G320" s="3" t="n">
        <v>0.999043365530274</v>
      </c>
    </row>
    <row r="321" customFormat="false" ht="15.75" hidden="false" customHeight="false" outlineLevel="0" collapsed="false">
      <c r="A321" s="3" t="s">
        <v>847</v>
      </c>
      <c r="B321" s="3" t="n">
        <v>-7.52092802400007</v>
      </c>
      <c r="C321" s="3" t="n">
        <v>0.000541629687191108</v>
      </c>
      <c r="D321" s="3" t="n">
        <v>3209.81487417399</v>
      </c>
      <c r="E321" s="3" t="n">
        <v>26687.8837983544</v>
      </c>
      <c r="F321" s="3" t="n">
        <v>4.39633392832207E-005</v>
      </c>
      <c r="G321" s="3" t="n">
        <v>0.976922267776193</v>
      </c>
    </row>
    <row r="322" customFormat="false" ht="15.75" hidden="false" customHeight="false" outlineLevel="0" collapsed="false">
      <c r="A322" s="3" t="s">
        <v>849</v>
      </c>
      <c r="B322" s="3" t="n">
        <v>-3.22689674798838</v>
      </c>
      <c r="C322" s="3" t="n">
        <v>0.0396804463460491</v>
      </c>
      <c r="D322" s="3" t="n">
        <v>652.19537648425</v>
      </c>
      <c r="E322" s="3" t="n">
        <v>5422.65367435399</v>
      </c>
      <c r="F322" s="3" t="n">
        <v>1.31862081641921E-005</v>
      </c>
      <c r="G322" s="3" t="n">
        <v>0.999291739330959</v>
      </c>
    </row>
    <row r="323" customFormat="false" ht="15.75" hidden="false" customHeight="false" outlineLevel="0" collapsed="false">
      <c r="A323" s="3" t="s">
        <v>851</v>
      </c>
      <c r="B323" s="3" t="n">
        <v>-4.41568014102033</v>
      </c>
      <c r="C323" s="3" t="n">
        <v>0.0120863309194815</v>
      </c>
      <c r="D323" s="3" t="n">
        <v>1287.91765253086</v>
      </c>
      <c r="E323" s="3" t="n">
        <v>10708.342381097</v>
      </c>
      <c r="F323" s="3" t="n">
        <v>0.000122813938889439</v>
      </c>
      <c r="G323" s="3" t="n">
        <v>0.999467389438732</v>
      </c>
    </row>
    <row r="324" customFormat="false" ht="15.75" hidden="false" customHeight="false" outlineLevel="0" collapsed="false">
      <c r="A324" s="3" t="s">
        <v>1445</v>
      </c>
      <c r="B324" s="3" t="n">
        <v>-4.79169793906407</v>
      </c>
      <c r="C324" s="3" t="n">
        <v>0.00829835531143213</v>
      </c>
      <c r="D324" s="3" t="n">
        <v>1506.35759180841</v>
      </c>
      <c r="E324" s="3" t="n">
        <v>12524.5529555025</v>
      </c>
      <c r="F324" s="3" t="n">
        <v>0.000225717647245558</v>
      </c>
      <c r="G324" s="3" t="n">
        <v>0.998021560703618</v>
      </c>
    </row>
    <row r="325" customFormat="false" ht="15.75" hidden="false" customHeight="false" outlineLevel="0" collapsed="false">
      <c r="A325" s="3" t="s">
        <v>853</v>
      </c>
      <c r="B325" s="3" t="n">
        <v>-4.81997846037926</v>
      </c>
      <c r="C325" s="3" t="n">
        <v>0.00806696089650652</v>
      </c>
      <c r="D325" s="3" t="n">
        <v>1365.72290234032</v>
      </c>
      <c r="E325" s="3" t="n">
        <v>11355.2511740383</v>
      </c>
      <c r="F325" s="3" t="n">
        <v>6.00423051373933E-005</v>
      </c>
      <c r="G325" s="3" t="n">
        <v>0.997102767320558</v>
      </c>
    </row>
    <row r="326" customFormat="false" ht="15.75" hidden="false" customHeight="false" outlineLevel="0" collapsed="false">
      <c r="A326" s="3" t="s">
        <v>1446</v>
      </c>
      <c r="B326" s="3" t="n">
        <v>-3.75985838904154</v>
      </c>
      <c r="C326" s="3" t="n">
        <v>0.0232870378411612</v>
      </c>
      <c r="D326" s="3" t="n">
        <v>622.082405237386</v>
      </c>
      <c r="E326" s="3" t="n">
        <v>5172.28051921485</v>
      </c>
      <c r="F326" s="3" t="n">
        <v>4.22663350553336E-005</v>
      </c>
      <c r="G326" s="3" t="n">
        <v>0.999497975588065</v>
      </c>
    </row>
    <row r="327" customFormat="false" ht="15.75" hidden="false" customHeight="false" outlineLevel="0" collapsed="false">
      <c r="A327" s="3" t="s">
        <v>855</v>
      </c>
      <c r="B327" s="3" t="n">
        <v>-3.83254606532913</v>
      </c>
      <c r="C327" s="3" t="n">
        <v>0.0216544118362385</v>
      </c>
      <c r="D327" s="3" t="n">
        <v>723.567757205656</v>
      </c>
      <c r="E327" s="3" t="n">
        <v>6016.07662171165</v>
      </c>
      <c r="F327" s="3" t="n">
        <v>1.77282414823846E-005</v>
      </c>
      <c r="G327" s="3" t="n">
        <v>0.999896835250867</v>
      </c>
    </row>
    <row r="328" customFormat="false" ht="15.75" hidden="false" customHeight="false" outlineLevel="0" collapsed="false">
      <c r="A328" s="3" t="s">
        <v>857</v>
      </c>
      <c r="B328" s="3" t="n">
        <v>-3.64719613658584</v>
      </c>
      <c r="C328" s="3" t="n">
        <v>0.0260641066159641</v>
      </c>
      <c r="D328" s="3" t="n">
        <v>903.901996035953</v>
      </c>
      <c r="E328" s="3" t="n">
        <v>7515.45879776508</v>
      </c>
      <c r="F328" s="3" t="n">
        <v>9.14504287885028E-005</v>
      </c>
      <c r="G328" s="3" t="n">
        <v>0.99911592387438</v>
      </c>
    </row>
    <row r="329" customFormat="false" ht="15.75" hidden="false" customHeight="false" outlineLevel="0" collapsed="false">
      <c r="A329" s="3" t="s">
        <v>859</v>
      </c>
      <c r="B329" s="3" t="n">
        <v>-3.65607669873355</v>
      </c>
      <c r="C329" s="3" t="n">
        <v>0.0258336674265597</v>
      </c>
      <c r="D329" s="3" t="n">
        <v>847.950641555397</v>
      </c>
      <c r="E329" s="3" t="n">
        <v>7050.25338708797</v>
      </c>
      <c r="F329" s="3" t="n">
        <v>5.82778483584129E-005</v>
      </c>
      <c r="G329" s="3" t="n">
        <v>0.999579309722043</v>
      </c>
    </row>
    <row r="330" customFormat="false" ht="15.75" hidden="false" customHeight="false" outlineLevel="0" collapsed="false">
      <c r="A330" s="3" t="s">
        <v>861</v>
      </c>
      <c r="B330" s="3" t="n">
        <v>-4.8049179560858</v>
      </c>
      <c r="C330" s="3" t="n">
        <v>0.00818937287501822</v>
      </c>
      <c r="D330" s="3" t="n">
        <v>1771.90772476547</v>
      </c>
      <c r="E330" s="3" t="n">
        <v>14732.4594450689</v>
      </c>
      <c r="F330" s="3" t="n">
        <v>0.0196525168014235</v>
      </c>
      <c r="G330" s="3" t="n">
        <v>0.989195555793605</v>
      </c>
    </row>
    <row r="331" customFormat="false" ht="15.75" hidden="false" customHeight="false" outlineLevel="0" collapsed="false">
      <c r="A331" s="3" t="s">
        <v>863</v>
      </c>
      <c r="B331" s="3" t="n">
        <v>-4.4089880995827</v>
      </c>
      <c r="C331" s="3" t="n">
        <v>0.0121674843851405</v>
      </c>
      <c r="D331" s="3" t="n">
        <v>1223.75083638175</v>
      </c>
      <c r="E331" s="3" t="n">
        <v>10174.8298265643</v>
      </c>
      <c r="F331" s="3" t="n">
        <v>3.72968230401896E-005</v>
      </c>
      <c r="G331" s="3" t="n">
        <v>0.999085168947113</v>
      </c>
    </row>
    <row r="332" customFormat="false" ht="15.75" hidden="false" customHeight="false" outlineLevel="0" collapsed="false">
      <c r="A332" s="3" t="s">
        <v>865</v>
      </c>
      <c r="B332" s="3" t="n">
        <v>-5.07470821796961</v>
      </c>
      <c r="C332" s="3" t="n">
        <v>0.00625291066044657</v>
      </c>
      <c r="D332" s="3" t="n">
        <v>1479.5557746768</v>
      </c>
      <c r="E332" s="3" t="n">
        <v>12301.7102654309</v>
      </c>
      <c r="F332" s="3" t="n">
        <v>2.10336325163558E-005</v>
      </c>
      <c r="G332" s="3" t="n">
        <v>0.999790621748594</v>
      </c>
    </row>
    <row r="333" customFormat="false" ht="15.75" hidden="false" customHeight="false" outlineLevel="0" collapsed="false">
      <c r="A333" s="3" t="s">
        <v>867</v>
      </c>
      <c r="B333" s="3" t="n">
        <v>-9.66067684561092</v>
      </c>
      <c r="C333" s="3" t="n">
        <v>6.37413642650318E-005</v>
      </c>
      <c r="D333" s="3" t="n">
        <v>3904.71392397718</v>
      </c>
      <c r="E333" s="3" t="n">
        <v>32465.5955417792</v>
      </c>
      <c r="F333" s="3" t="n">
        <v>0.0129064436950933</v>
      </c>
      <c r="G333" s="3" t="n">
        <v>0.929390100243089</v>
      </c>
    </row>
    <row r="334" customFormat="false" ht="15.75" hidden="false" customHeight="false" outlineLevel="0" collapsed="false">
      <c r="A334" s="3" t="s">
        <v>869</v>
      </c>
      <c r="B334" s="3" t="n">
        <v>-4.73044841664496</v>
      </c>
      <c r="C334" s="3" t="n">
        <v>0.00882251399046596</v>
      </c>
      <c r="D334" s="3" t="n">
        <v>1616.1330990337</v>
      </c>
      <c r="E334" s="3" t="n">
        <v>13437.2772388579</v>
      </c>
      <c r="F334" s="3" t="n">
        <v>0.00172926939677882</v>
      </c>
      <c r="G334" s="3" t="n">
        <v>0.961141715670695</v>
      </c>
    </row>
    <row r="335" customFormat="false" ht="15.75" hidden="false" customHeight="false" outlineLevel="0" collapsed="false">
      <c r="A335" s="3" t="s">
        <v>871</v>
      </c>
      <c r="B335" s="3" t="n">
        <v>-4.23218129278541</v>
      </c>
      <c r="C335" s="3" t="n">
        <v>0.0145206821191589</v>
      </c>
      <c r="D335" s="3" t="n">
        <v>1125.23431703543</v>
      </c>
      <c r="E335" s="3" t="n">
        <v>9355.71797008701</v>
      </c>
      <c r="F335" s="3" t="n">
        <v>0.00033558425072359</v>
      </c>
      <c r="G335" s="3" t="n">
        <v>0.936222076005171</v>
      </c>
    </row>
    <row r="336" customFormat="false" ht="15.75" hidden="false" customHeight="false" outlineLevel="0" collapsed="false">
      <c r="A336" s="3" t="s">
        <v>873</v>
      </c>
      <c r="B336" s="3" t="n">
        <v>-5.46319090238803</v>
      </c>
      <c r="C336" s="3" t="n">
        <v>0.00424000469516762</v>
      </c>
      <c r="D336" s="3" t="n">
        <v>1828.79745195215</v>
      </c>
      <c r="E336" s="3" t="n">
        <v>15205.466919953</v>
      </c>
      <c r="F336" s="3" t="n">
        <v>0.00173585077302212</v>
      </c>
      <c r="G336" s="3" t="n">
        <v>0.995047203186033</v>
      </c>
    </row>
    <row r="337" customFormat="false" ht="15.75" hidden="false" customHeight="false" outlineLevel="0" collapsed="false">
      <c r="A337" s="3" t="s">
        <v>875</v>
      </c>
      <c r="B337" s="3" t="n">
        <v>-4.17067267694304</v>
      </c>
      <c r="C337" s="3" t="n">
        <v>0.0154418692400522</v>
      </c>
      <c r="D337" s="3" t="n">
        <v>1440.83542100006</v>
      </c>
      <c r="E337" s="3" t="n">
        <v>11979.771356159</v>
      </c>
      <c r="F337" s="3" t="n">
        <v>0.0107767577586954</v>
      </c>
      <c r="G337" s="3" t="n">
        <v>0.966586834739234</v>
      </c>
    </row>
    <row r="338" customFormat="false" ht="15.75" hidden="false" customHeight="false" outlineLevel="0" collapsed="false">
      <c r="A338" s="3" t="s">
        <v>877</v>
      </c>
      <c r="B338" s="3" t="n">
        <v>-4.10136980434689</v>
      </c>
      <c r="C338" s="3" t="n">
        <v>0.0165499896200447</v>
      </c>
      <c r="D338" s="3" t="n">
        <v>959.940599431201</v>
      </c>
      <c r="E338" s="3" t="n">
        <v>7981.38963622794</v>
      </c>
      <c r="F338" s="3" t="n">
        <v>9.25764691184924E-005</v>
      </c>
      <c r="G338" s="3" t="n">
        <v>0.987219920239898</v>
      </c>
    </row>
    <row r="339" customFormat="false" ht="15.75" hidden="false" customHeight="false" outlineLevel="0" collapsed="false">
      <c r="A339" s="3" t="s">
        <v>114</v>
      </c>
      <c r="B339" s="3" t="n">
        <v>-4.79726046635999</v>
      </c>
      <c r="C339" s="3" t="n">
        <v>0.00825232362843918</v>
      </c>
      <c r="D339" s="3" t="n">
        <v>1698.6645532017</v>
      </c>
      <c r="E339" s="3" t="n">
        <v>14123.4818783425</v>
      </c>
      <c r="F339" s="3" t="n">
        <v>0.000339682729713356</v>
      </c>
      <c r="G339" s="3"/>
    </row>
    <row r="340" customFormat="false" ht="15.75" hidden="false" customHeight="false" outlineLevel="0" collapsed="false">
      <c r="A340" s="3" t="s">
        <v>879</v>
      </c>
      <c r="B340" s="3" t="n">
        <v>-4.49232390326003</v>
      </c>
      <c r="C340" s="3" t="n">
        <v>0.0111945983940949</v>
      </c>
      <c r="D340" s="3" t="n">
        <v>1296.24925694542</v>
      </c>
      <c r="E340" s="3" t="n">
        <v>10777.6151894009</v>
      </c>
      <c r="F340" s="3" t="n">
        <v>0.000263967842390599</v>
      </c>
      <c r="G340" s="3" t="n">
        <v>0.999435592969518</v>
      </c>
    </row>
    <row r="341" customFormat="false" ht="15.75" hidden="false" customHeight="false" outlineLevel="0" collapsed="false">
      <c r="A341" s="3" t="s">
        <v>116</v>
      </c>
      <c r="B341" s="3" t="n">
        <v>-4.81163951294256</v>
      </c>
      <c r="C341" s="3" t="n">
        <v>0.00813451212100367</v>
      </c>
      <c r="D341" s="3" t="n">
        <v>2014.09483830308</v>
      </c>
      <c r="E341" s="3" t="n">
        <v>16746.1149974671</v>
      </c>
      <c r="F341" s="3" t="n">
        <v>0.00219216539879468</v>
      </c>
      <c r="G341" s="3"/>
    </row>
    <row r="342" customFormat="false" ht="15.75" hidden="false" customHeight="false" outlineLevel="0" collapsed="false">
      <c r="A342" s="3" t="s">
        <v>881</v>
      </c>
      <c r="B342" s="3" t="n">
        <v>-4.40160352720525</v>
      </c>
      <c r="C342" s="3" t="n">
        <v>0.0122576686304512</v>
      </c>
      <c r="D342" s="3" t="n">
        <v>1236.09997912031</v>
      </c>
      <c r="E342" s="3" t="n">
        <v>10277.5063045966</v>
      </c>
      <c r="F342" s="3" t="n">
        <v>5.59849063551744E-005</v>
      </c>
      <c r="G342" s="3" t="n">
        <v>0.999614318902998</v>
      </c>
    </row>
    <row r="343" customFormat="false" ht="15.75" hidden="false" customHeight="false" outlineLevel="0" collapsed="false">
      <c r="A343" s="3" t="s">
        <v>883</v>
      </c>
      <c r="B343" s="3" t="n">
        <v>-6.27916079934192</v>
      </c>
      <c r="C343" s="3" t="n">
        <v>0.00187497341309696</v>
      </c>
      <c r="D343" s="3" t="n">
        <v>1905.34882323859</v>
      </c>
      <c r="E343" s="3" t="n">
        <v>15841.950387562</v>
      </c>
      <c r="F343" s="3" t="n">
        <v>0.00201650777924343</v>
      </c>
      <c r="G343" s="3" t="n">
        <v>0.992647526171641</v>
      </c>
    </row>
    <row r="344" customFormat="false" ht="15.75" hidden="false" customHeight="false" outlineLevel="0" collapsed="false">
      <c r="A344" s="3" t="s">
        <v>885</v>
      </c>
      <c r="B344" s="3" t="n">
        <v>-4.88189105242967</v>
      </c>
      <c r="C344" s="3" t="n">
        <v>0.00758266125094628</v>
      </c>
      <c r="D344" s="3" t="n">
        <v>1430.08208972567</v>
      </c>
      <c r="E344" s="3" t="n">
        <v>11890.3631919047</v>
      </c>
      <c r="F344" s="3" t="n">
        <v>0.00087099297870035</v>
      </c>
      <c r="G344" s="3" t="n">
        <v>0.998203760282318</v>
      </c>
    </row>
    <row r="345" customFormat="false" ht="15.75" hidden="false" customHeight="false" outlineLevel="0" collapsed="false">
      <c r="A345" s="3" t="s">
        <v>887</v>
      </c>
      <c r="B345" s="3" t="n">
        <v>-3.86745207758117</v>
      </c>
      <c r="C345" s="3" t="n">
        <v>0.0209115826951471</v>
      </c>
      <c r="D345" s="3" t="n">
        <v>1306.47058670367</v>
      </c>
      <c r="E345" s="3" t="n">
        <v>10862.6000472654</v>
      </c>
      <c r="F345" s="3" t="n">
        <v>0.000155970105431306</v>
      </c>
      <c r="G345" s="3" t="n">
        <v>0.999312998054739</v>
      </c>
    </row>
    <row r="346" customFormat="false" ht="15.75" hidden="false" customHeight="false" outlineLevel="0" collapsed="false">
      <c r="A346" s="3" t="s">
        <v>889</v>
      </c>
      <c r="B346" s="3" t="n">
        <v>-4.79909932936706</v>
      </c>
      <c r="C346" s="3" t="n">
        <v>0.00823716267952263</v>
      </c>
      <c r="D346" s="3" t="n">
        <v>1907.27441087918</v>
      </c>
      <c r="E346" s="3" t="n">
        <v>15857.9606128274</v>
      </c>
      <c r="F346" s="3" t="n">
        <v>0.00118951754703864</v>
      </c>
      <c r="G346" s="3" t="n">
        <v>0.993723778161846</v>
      </c>
    </row>
    <row r="347" customFormat="false" ht="15.75" hidden="false" customHeight="false" outlineLevel="0" collapsed="false">
      <c r="A347" s="3" t="s">
        <v>891</v>
      </c>
      <c r="B347" s="3" t="n">
        <v>-3.95805478170149</v>
      </c>
      <c r="C347" s="3" t="n">
        <v>0.0191002322999685</v>
      </c>
      <c r="D347" s="3" t="n">
        <v>803.408957736713</v>
      </c>
      <c r="E347" s="3" t="n">
        <v>6679.91324956151</v>
      </c>
      <c r="F347" s="3" t="n">
        <v>0.00575491048353449</v>
      </c>
      <c r="G347" s="3" t="n">
        <v>0.950627537892755</v>
      </c>
    </row>
    <row r="348" customFormat="false" ht="15.75" hidden="false" customHeight="false" outlineLevel="0" collapsed="false">
      <c r="A348" s="3" t="s">
        <v>893</v>
      </c>
      <c r="B348" s="3" t="n">
        <v>-3.69964657071664</v>
      </c>
      <c r="C348" s="3" t="n">
        <v>0.0247322660328997</v>
      </c>
      <c r="D348" s="3" t="n">
        <v>840.545690739951</v>
      </c>
      <c r="E348" s="3" t="n">
        <v>6988.68520492108</v>
      </c>
      <c r="F348" s="3" t="n">
        <v>4.27339788545884E-005</v>
      </c>
      <c r="G348" s="3" t="n">
        <v>0.999631793468968</v>
      </c>
    </row>
    <row r="349" customFormat="false" ht="15.75" hidden="false" customHeight="false" outlineLevel="0" collapsed="false">
      <c r="A349" s="3" t="s">
        <v>895</v>
      </c>
      <c r="B349" s="3" t="n">
        <v>-3.49926500793595</v>
      </c>
      <c r="C349" s="3" t="n">
        <v>0.0302195864180024</v>
      </c>
      <c r="D349" s="3" t="n">
        <v>947.636622597192</v>
      </c>
      <c r="E349" s="3" t="n">
        <v>7879.08868839269</v>
      </c>
      <c r="F349" s="3" t="n">
        <v>0.00120961826306027</v>
      </c>
      <c r="G349" s="3" t="n">
        <v>0.980591652639271</v>
      </c>
    </row>
    <row r="350" customFormat="false" ht="15.75" hidden="false" customHeight="false" outlineLevel="0" collapsed="false">
      <c r="A350" s="3" t="s">
        <v>897</v>
      </c>
      <c r="B350" s="3" t="n">
        <v>-4.85805386586681</v>
      </c>
      <c r="C350" s="3" t="n">
        <v>0.0077655820591508</v>
      </c>
      <c r="D350" s="3" t="n">
        <v>1107.20345182111</v>
      </c>
      <c r="E350" s="3" t="n">
        <v>9205.80102643547</v>
      </c>
      <c r="F350" s="3" t="n">
        <v>7.1805032536997E-006</v>
      </c>
      <c r="G350" s="3" t="n">
        <v>0.999056247004259</v>
      </c>
    </row>
    <row r="351" customFormat="false" ht="15.75" hidden="false" customHeight="false" outlineLevel="0" collapsed="false">
      <c r="A351" s="3" t="s">
        <v>899</v>
      </c>
      <c r="B351" s="3" t="n">
        <v>-7.19224612130825</v>
      </c>
      <c r="C351" s="3" t="n">
        <v>0.000752397245641051</v>
      </c>
      <c r="D351" s="3" t="n">
        <v>2722.24846431635</v>
      </c>
      <c r="E351" s="3" t="n">
        <v>22634.0314111166</v>
      </c>
      <c r="F351" s="3" t="n">
        <v>0.000415443917138209</v>
      </c>
      <c r="G351" s="3" t="n">
        <v>0.998219395256095</v>
      </c>
    </row>
    <row r="352" customFormat="false" ht="15.75" hidden="false" customHeight="false" outlineLevel="0" collapsed="false">
      <c r="A352" s="3" t="s">
        <v>1447</v>
      </c>
      <c r="B352" s="3" t="n">
        <v>-4.54573878769299</v>
      </c>
      <c r="C352" s="3" t="n">
        <v>0.0106123295609221</v>
      </c>
      <c r="D352" s="3" t="n">
        <v>791.946576302673</v>
      </c>
      <c r="E352" s="3" t="n">
        <v>6584.60971469867</v>
      </c>
      <c r="F352" s="3" t="n">
        <v>0.000280141290599391</v>
      </c>
      <c r="G352" s="3" t="n">
        <v>0.997432838172719</v>
      </c>
    </row>
    <row r="353" customFormat="false" ht="15.75" hidden="false" customHeight="false" outlineLevel="0" collapsed="false">
      <c r="A353" s="3" t="s">
        <v>901</v>
      </c>
      <c r="B353" s="3" t="n">
        <v>-5.80720330775754</v>
      </c>
      <c r="C353" s="3" t="n">
        <v>0.00300582469487275</v>
      </c>
      <c r="D353" s="3" t="n">
        <v>2024.69071050364</v>
      </c>
      <c r="E353" s="3" t="n">
        <v>16834.2139742355</v>
      </c>
      <c r="F353" s="3" t="n">
        <v>0.000370013935991943</v>
      </c>
      <c r="G353" s="3" t="n">
        <v>0.995711103014975</v>
      </c>
    </row>
    <row r="354" customFormat="false" ht="15.75" hidden="false" customHeight="false" outlineLevel="0" collapsed="false">
      <c r="A354" s="3" t="s">
        <v>118</v>
      </c>
      <c r="B354" s="3" t="n">
        <v>-5.14670054849267</v>
      </c>
      <c r="C354" s="3" t="n">
        <v>0.00581857118351918</v>
      </c>
      <c r="D354" s="3" t="n">
        <v>1532.96159618844</v>
      </c>
      <c r="E354" s="3" t="n">
        <v>12745.7509389682</v>
      </c>
      <c r="F354" s="3" t="n">
        <v>1.53552967218476E-005</v>
      </c>
      <c r="G354" s="3"/>
    </row>
    <row r="355" customFormat="false" ht="15.75" hidden="false" customHeight="false" outlineLevel="0" collapsed="false">
      <c r="A355" s="3" t="s">
        <v>903</v>
      </c>
      <c r="B355" s="3" t="n">
        <v>-5.007198730155</v>
      </c>
      <c r="C355" s="3" t="n">
        <v>0.00668961650464816</v>
      </c>
      <c r="D355" s="3" t="n">
        <v>1817.1670809478</v>
      </c>
      <c r="E355" s="3" t="n">
        <v>15108.7666421914</v>
      </c>
      <c r="F355" s="3" t="n">
        <v>0.000319864688313936</v>
      </c>
      <c r="G355" s="3" t="n">
        <v>0.998933084338791</v>
      </c>
    </row>
    <row r="356" customFormat="false" ht="15.75" hidden="false" customHeight="false" outlineLevel="0" collapsed="false">
      <c r="A356" s="3" t="s">
        <v>905</v>
      </c>
      <c r="B356" s="3" t="n">
        <v>-4.69772669524898</v>
      </c>
      <c r="C356" s="3" t="n">
        <v>0.0091159769579692</v>
      </c>
      <c r="D356" s="3" t="n">
        <v>1305.41584475073</v>
      </c>
      <c r="E356" s="3" t="n">
        <v>10853.8304353778</v>
      </c>
      <c r="F356" s="3" t="n">
        <v>0.000453686647029942</v>
      </c>
      <c r="G356" s="3" t="n">
        <v>0.997356029437739</v>
      </c>
    </row>
    <row r="357" customFormat="false" ht="15.75" hidden="false" customHeight="false" outlineLevel="0" collapsed="false">
      <c r="A357" s="3" t="s">
        <v>907</v>
      </c>
      <c r="B357" s="3" t="n">
        <v>-4.92397234945225</v>
      </c>
      <c r="C357" s="3" t="n">
        <v>0.00727019366072635</v>
      </c>
      <c r="D357" s="3" t="n">
        <v>1543.40074323128</v>
      </c>
      <c r="E357" s="3" t="n">
        <v>12832.5468303682</v>
      </c>
      <c r="F357" s="3" t="n">
        <v>0.000777699378705303</v>
      </c>
      <c r="G357" s="3" t="n">
        <v>0.998402169976706</v>
      </c>
    </row>
    <row r="358" customFormat="false" ht="15.75" hidden="false" customHeight="false" outlineLevel="0" collapsed="false">
      <c r="A358" s="3" t="s">
        <v>909</v>
      </c>
      <c r="B358" s="3" t="n">
        <v>-4.41096960660405</v>
      </c>
      <c r="C358" s="3" t="n">
        <v>0.0121433983006528</v>
      </c>
      <c r="D358" s="3" t="n">
        <v>1036.97520654174</v>
      </c>
      <c r="E358" s="3" t="n">
        <v>8621.89094973344</v>
      </c>
      <c r="F358" s="3" t="n">
        <v>5.07509625146873E-005</v>
      </c>
      <c r="G358" s="3" t="n">
        <v>0.999442305208278</v>
      </c>
    </row>
    <row r="359" customFormat="false" ht="15.75" hidden="false" customHeight="false" outlineLevel="0" collapsed="false">
      <c r="A359" s="3" t="s">
        <v>1448</v>
      </c>
      <c r="B359" s="3"/>
      <c r="C359" s="3"/>
      <c r="D359" s="3"/>
      <c r="E359" s="3"/>
      <c r="F359" s="3"/>
      <c r="G359" s="3"/>
    </row>
    <row r="360" customFormat="false" ht="15.75" hidden="false" customHeight="false" outlineLevel="0" collapsed="false">
      <c r="A360" s="3" t="s">
        <v>1449</v>
      </c>
      <c r="B360" s="3" t="n">
        <v>-5.00241302611892</v>
      </c>
      <c r="C360" s="3" t="n">
        <v>0.00672170775772524</v>
      </c>
      <c r="D360" s="3" t="n">
        <v>989.978578076422</v>
      </c>
      <c r="E360" s="3" t="n">
        <v>8231.13926823045</v>
      </c>
      <c r="F360" s="3" t="n">
        <v>6.82223806365037E-005</v>
      </c>
      <c r="G360" s="3"/>
    </row>
    <row r="361" customFormat="false" ht="15.75" hidden="false" customHeight="false" outlineLevel="0" collapsed="false">
      <c r="A361" s="3" t="s">
        <v>911</v>
      </c>
      <c r="B361" s="3" t="n">
        <v>-3.66141412403451</v>
      </c>
      <c r="C361" s="3" t="n">
        <v>0.0256961494787762</v>
      </c>
      <c r="D361" s="3" t="n">
        <v>926.112329521942</v>
      </c>
      <c r="E361" s="3" t="n">
        <v>7700.12577154167</v>
      </c>
      <c r="F361" s="3" t="n">
        <v>2.05692909285705E-005</v>
      </c>
      <c r="G361" s="3" t="n">
        <v>0.999453473516457</v>
      </c>
    </row>
    <row r="362" customFormat="false" ht="15.75" hidden="false" customHeight="false" outlineLevel="0" collapsed="false">
      <c r="A362" s="3" t="s">
        <v>913</v>
      </c>
      <c r="B362" s="3" t="n">
        <v>-4.93424755771317</v>
      </c>
      <c r="C362" s="3" t="n">
        <v>0.007195873388794</v>
      </c>
      <c r="D362" s="3" t="n">
        <v>1576.60676508002</v>
      </c>
      <c r="E362" s="3" t="n">
        <v>13108.6370372008</v>
      </c>
      <c r="F362" s="3" t="n">
        <v>0.0024286684136569</v>
      </c>
      <c r="G362" s="3" t="n">
        <v>0.995379769791227</v>
      </c>
    </row>
    <row r="363" customFormat="false" ht="15.75" hidden="false" customHeight="false" outlineLevel="0" collapsed="false">
      <c r="A363" s="3" t="s">
        <v>915</v>
      </c>
      <c r="B363" s="3" t="n">
        <v>-9.2159530118086</v>
      </c>
      <c r="C363" s="3" t="n">
        <v>9.94403081603856E-005</v>
      </c>
      <c r="D363" s="3" t="n">
        <v>3577.59194563219</v>
      </c>
      <c r="E363" s="3" t="n">
        <v>29745.7522834649</v>
      </c>
      <c r="F363" s="3" t="n">
        <v>0.0748150158289613</v>
      </c>
      <c r="G363" s="3" t="n">
        <v>0.932330770165705</v>
      </c>
    </row>
    <row r="364" customFormat="false" ht="15.75" hidden="false" customHeight="false" outlineLevel="0" collapsed="false">
      <c r="A364" s="3" t="s">
        <v>917</v>
      </c>
      <c r="B364" s="3" t="n">
        <v>-4.33527477478432</v>
      </c>
      <c r="C364" s="3" t="n">
        <v>0.0130982745029273</v>
      </c>
      <c r="D364" s="3" t="n">
        <v>1590.68531188942</v>
      </c>
      <c r="E364" s="3" t="n">
        <v>13225.6925796627</v>
      </c>
      <c r="F364" s="3" t="n">
        <v>9.4153113986279E-006</v>
      </c>
      <c r="G364" s="3" t="n">
        <v>0.999946098711171</v>
      </c>
    </row>
    <row r="365" customFormat="false" ht="15.75" hidden="false" customHeight="false" outlineLevel="0" collapsed="false">
      <c r="A365" s="3" t="s">
        <v>919</v>
      </c>
      <c r="B365" s="3" t="n">
        <v>-4.55528525767692</v>
      </c>
      <c r="C365" s="3" t="n">
        <v>0.0105115013179549</v>
      </c>
      <c r="D365" s="3" t="n">
        <v>1152.11084442053</v>
      </c>
      <c r="E365" s="3" t="n">
        <v>9579.18183572243</v>
      </c>
      <c r="F365" s="3" t="n">
        <v>0.00169767104602756</v>
      </c>
      <c r="G365" s="3" t="n">
        <v>0.983143607559613</v>
      </c>
    </row>
    <row r="366" customFormat="false" ht="15.75" hidden="false" customHeight="false" outlineLevel="0" collapsed="false">
      <c r="A366" s="3" t="s">
        <v>921</v>
      </c>
      <c r="B366" s="3" t="n">
        <v>-4.63546176936766</v>
      </c>
      <c r="C366" s="3" t="n">
        <v>0.009701626090102</v>
      </c>
      <c r="D366" s="3" t="n">
        <v>1478.70683793986</v>
      </c>
      <c r="E366" s="3" t="n">
        <v>12294.6518131911</v>
      </c>
      <c r="F366" s="3" t="n">
        <v>0.000549078424379738</v>
      </c>
      <c r="G366" s="3" t="n">
        <v>0.99901797440698</v>
      </c>
    </row>
    <row r="367" customFormat="false" ht="15.75" hidden="false" customHeight="false" outlineLevel="0" collapsed="false">
      <c r="A367" s="3" t="s">
        <v>1450</v>
      </c>
      <c r="B367" s="3" t="n">
        <v>-5.3200395733953</v>
      </c>
      <c r="C367" s="3" t="n">
        <v>0.00489256010619331</v>
      </c>
      <c r="D367" s="3" t="n">
        <v>2321.35723763889</v>
      </c>
      <c r="E367" s="3" t="n">
        <v>19300.8365407735</v>
      </c>
      <c r="F367" s="3" t="n">
        <v>0.00261765857404139</v>
      </c>
      <c r="G367" s="3" t="n">
        <v>0.829637922167664</v>
      </c>
    </row>
    <row r="368" customFormat="false" ht="15.75" hidden="false" customHeight="false" outlineLevel="0" collapsed="false">
      <c r="A368" s="3" t="s">
        <v>1451</v>
      </c>
      <c r="B368" s="3" t="n">
        <v>-4.80448203862849</v>
      </c>
      <c r="C368" s="3" t="n">
        <v>0.00819294354382067</v>
      </c>
      <c r="D368" s="3" t="n">
        <v>2329.50543408232</v>
      </c>
      <c r="E368" s="3" t="n">
        <v>19368.584410471</v>
      </c>
      <c r="F368" s="3" t="n">
        <v>0.000415929542455398</v>
      </c>
      <c r="G368" s="3"/>
    </row>
    <row r="369" customFormat="false" ht="15.75" hidden="false" customHeight="false" outlineLevel="0" collapsed="false">
      <c r="A369" s="3" t="s">
        <v>923</v>
      </c>
      <c r="B369" s="3" t="n">
        <v>-4.53525115536756</v>
      </c>
      <c r="C369" s="3" t="n">
        <v>0.0107242134444792</v>
      </c>
      <c r="D369" s="3" t="n">
        <v>1808.43438891109</v>
      </c>
      <c r="E369" s="3" t="n">
        <v>15036.1590060945</v>
      </c>
      <c r="F369" s="3" t="n">
        <v>0.00737553429949509</v>
      </c>
      <c r="G369" s="3" t="n">
        <v>0.989149077543681</v>
      </c>
    </row>
    <row r="370" customFormat="false" ht="15.75" hidden="false" customHeight="false" outlineLevel="0" collapsed="false">
      <c r="A370" s="3" t="s">
        <v>1452</v>
      </c>
      <c r="B370" s="3" t="n">
        <v>-3.82035286703251</v>
      </c>
      <c r="C370" s="3" t="n">
        <v>0.0219200646612417</v>
      </c>
      <c r="D370" s="3" t="n">
        <v>372.673221382868</v>
      </c>
      <c r="E370" s="3" t="n">
        <v>3098.57733760544</v>
      </c>
      <c r="F370" s="3" t="n">
        <v>0.00040949482991573</v>
      </c>
      <c r="G370" s="3" t="n">
        <v>0.998673322913533</v>
      </c>
    </row>
    <row r="371" customFormat="false" ht="15.75" hidden="false" customHeight="false" outlineLevel="0" collapsed="false">
      <c r="A371" s="3" t="s">
        <v>120</v>
      </c>
      <c r="B371" s="3" t="n">
        <v>-3.81426582728278</v>
      </c>
      <c r="C371" s="3" t="n">
        <v>0.0220538998830699</v>
      </c>
      <c r="D371" s="3" t="n">
        <v>765.418262654984</v>
      </c>
      <c r="E371" s="3" t="n">
        <v>6364.04105895089</v>
      </c>
      <c r="F371" s="3" t="n">
        <v>3.13853631966038E-006</v>
      </c>
      <c r="G371" s="3"/>
    </row>
    <row r="372" customFormat="false" ht="15.75" hidden="false" customHeight="false" outlineLevel="0" collapsed="false">
      <c r="A372" s="3" t="s">
        <v>925</v>
      </c>
      <c r="B372" s="3" t="n">
        <v>-5.46667636524999</v>
      </c>
      <c r="C372" s="3" t="n">
        <v>0.00422525204111712</v>
      </c>
      <c r="D372" s="3" t="n">
        <v>1648.08777102568</v>
      </c>
      <c r="E372" s="3" t="n">
        <v>13702.9631448577</v>
      </c>
      <c r="F372" s="3" t="n">
        <v>0.000347034498471936</v>
      </c>
      <c r="G372" s="3" t="n">
        <v>0.999471489108813</v>
      </c>
    </row>
    <row r="373" customFormat="false" ht="15.75" hidden="false" customHeight="false" outlineLevel="0" collapsed="false">
      <c r="A373" s="3" t="s">
        <v>927</v>
      </c>
      <c r="B373" s="3" t="n">
        <v>-4.17041307769209</v>
      </c>
      <c r="C373" s="3" t="n">
        <v>0.0154458784581125</v>
      </c>
      <c r="D373" s="3" t="n">
        <v>795.989126040097</v>
      </c>
      <c r="E373" s="3" t="n">
        <v>6618.22134087359</v>
      </c>
      <c r="F373" s="3" t="n">
        <v>0.000116427626600997</v>
      </c>
      <c r="G373" s="3" t="n">
        <v>0.991739036928982</v>
      </c>
    </row>
    <row r="374" customFormat="false" ht="15.75" hidden="false" customHeight="false" outlineLevel="0" collapsed="false">
      <c r="A374" s="3" t="s">
        <v>929</v>
      </c>
      <c r="B374" s="3" t="n">
        <v>-4.59205726231541</v>
      </c>
      <c r="C374" s="3" t="n">
        <v>0.0101319927508332</v>
      </c>
      <c r="D374" s="3" t="n">
        <v>1422.38680287576</v>
      </c>
      <c r="E374" s="3" t="n">
        <v>11826.381021812</v>
      </c>
      <c r="F374" s="3" t="n">
        <v>0.000292500319135468</v>
      </c>
      <c r="G374" s="3" t="n">
        <v>0.998470506778758</v>
      </c>
    </row>
    <row r="375" customFormat="false" ht="15.75" hidden="false" customHeight="false" outlineLevel="0" collapsed="false">
      <c r="A375" s="3" t="s">
        <v>931</v>
      </c>
      <c r="B375" s="3" t="n">
        <v>-4.70509035626647</v>
      </c>
      <c r="C375" s="3" t="n">
        <v>0.00904909653838398</v>
      </c>
      <c r="D375" s="3" t="n">
        <v>1150.79891666406</v>
      </c>
      <c r="E375" s="3" t="n">
        <v>9568.27386224453</v>
      </c>
      <c r="F375" s="3" t="n">
        <v>0.00139747828156158</v>
      </c>
      <c r="G375" s="3" t="n">
        <v>0.974819343793921</v>
      </c>
    </row>
    <row r="376" customFormat="false" ht="15.75" hidden="false" customHeight="false" outlineLevel="0" collapsed="false">
      <c r="A376" s="3" t="s">
        <v>933</v>
      </c>
      <c r="B376" s="3" t="n">
        <v>-4.0692133521938</v>
      </c>
      <c r="C376" s="3" t="n">
        <v>0.0170908276829457</v>
      </c>
      <c r="D376" s="3" t="n">
        <v>1071.44197127942</v>
      </c>
      <c r="E376" s="3" t="n">
        <v>8908.46355540786</v>
      </c>
      <c r="F376" s="3" t="n">
        <v>0.000105493963798614</v>
      </c>
      <c r="G376" s="3" t="n">
        <v>0.998506274686972</v>
      </c>
    </row>
    <row r="377" customFormat="false" ht="15.75" hidden="false" customHeight="false" outlineLevel="0" collapsed="false">
      <c r="A377" s="3" t="s">
        <v>1453</v>
      </c>
      <c r="B377" s="3"/>
      <c r="C377" s="3"/>
      <c r="D377" s="3"/>
      <c r="E377" s="3"/>
      <c r="F377" s="3"/>
      <c r="G377" s="3"/>
    </row>
    <row r="378" customFormat="false" ht="15.75" hidden="false" customHeight="false" outlineLevel="0" collapsed="false">
      <c r="A378" s="3" t="s">
        <v>935</v>
      </c>
      <c r="B378" s="3" t="n">
        <v>-5.25168995895641</v>
      </c>
      <c r="C378" s="3" t="n">
        <v>0.00523865779759904</v>
      </c>
      <c r="D378" s="3" t="n">
        <v>1792.11854990712</v>
      </c>
      <c r="E378" s="3" t="n">
        <v>14900.5015826978</v>
      </c>
      <c r="F378" s="3" t="n">
        <v>0.00232590875411995</v>
      </c>
      <c r="G378" s="3" t="n">
        <v>0.975672055228756</v>
      </c>
    </row>
    <row r="379" customFormat="false" ht="15.75" hidden="false" customHeight="false" outlineLevel="0" collapsed="false">
      <c r="A379" s="3" t="s">
        <v>937</v>
      </c>
      <c r="B379" s="3" t="n">
        <v>-4.33589660593434</v>
      </c>
      <c r="C379" s="3" t="n">
        <v>0.013090132119686</v>
      </c>
      <c r="D379" s="3" t="n">
        <v>1274.22109273605</v>
      </c>
      <c r="E379" s="3" t="n">
        <v>10594.4628551524</v>
      </c>
      <c r="F379" s="3" t="n">
        <v>4.03843511487025E-006</v>
      </c>
      <c r="G379" s="3" t="n">
        <v>0.999929387383354</v>
      </c>
    </row>
    <row r="380" customFormat="false" ht="15.75" hidden="false" customHeight="false" outlineLevel="0" collapsed="false">
      <c r="A380" s="3" t="s">
        <v>1454</v>
      </c>
      <c r="B380" s="3"/>
      <c r="C380" s="3"/>
      <c r="D380" s="3"/>
      <c r="E380" s="3"/>
      <c r="F380" s="3"/>
      <c r="G380" s="3"/>
    </row>
    <row r="381" customFormat="false" ht="15.75" hidden="false" customHeight="false" outlineLevel="0" collapsed="false">
      <c r="A381" s="3" t="s">
        <v>122</v>
      </c>
      <c r="B381" s="3" t="n">
        <v>-5.25564253732161</v>
      </c>
      <c r="C381" s="3" t="n">
        <v>0.00521799245971364</v>
      </c>
      <c r="D381" s="3" t="n">
        <v>1597.1635888786</v>
      </c>
      <c r="E381" s="3" t="n">
        <v>13279.5559675147</v>
      </c>
      <c r="F381" s="3" t="n">
        <v>0.000110586789836682</v>
      </c>
      <c r="G381" s="3"/>
    </row>
    <row r="382" customFormat="false" ht="15.75" hidden="false" customHeight="false" outlineLevel="0" collapsed="false">
      <c r="A382" s="3" t="s">
        <v>939</v>
      </c>
      <c r="B382" s="3" t="n">
        <v>-4.57503154988664</v>
      </c>
      <c r="C382" s="3" t="n">
        <v>0.0103059740205594</v>
      </c>
      <c r="D382" s="3" t="n">
        <v>1603.35317313437</v>
      </c>
      <c r="E382" s="3" t="n">
        <v>13331.0190306052</v>
      </c>
      <c r="F382" s="3" t="n">
        <v>8.64591864479713E-006</v>
      </c>
      <c r="G382" s="3" t="n">
        <v>0.999920147391439</v>
      </c>
    </row>
    <row r="383" customFormat="false" ht="15.75" hidden="false" customHeight="false" outlineLevel="0" collapsed="false">
      <c r="A383" s="3" t="s">
        <v>1455</v>
      </c>
      <c r="B383" s="3" t="n">
        <v>-4.00515425876721</v>
      </c>
      <c r="C383" s="3" t="n">
        <v>0.0182214782191022</v>
      </c>
      <c r="D383" s="3" t="n">
        <v>1121.7946952231</v>
      </c>
      <c r="E383" s="3" t="n">
        <v>9327.11936523402</v>
      </c>
      <c r="F383" s="3" t="n">
        <v>0.000605934085790181</v>
      </c>
      <c r="G383" s="3" t="n">
        <v>0.684234420533594</v>
      </c>
    </row>
    <row r="384" customFormat="false" ht="15.75" hidden="false" customHeight="false" outlineLevel="0" collapsed="false">
      <c r="A384" s="3" t="s">
        <v>941</v>
      </c>
      <c r="B384" s="3" t="n">
        <v>-4.75210362688152</v>
      </c>
      <c r="C384" s="3" t="n">
        <v>0.00863351439404455</v>
      </c>
      <c r="D384" s="3" t="n">
        <v>1380.36468741697</v>
      </c>
      <c r="E384" s="3" t="n">
        <v>11476.9897396703</v>
      </c>
      <c r="F384" s="3" t="n">
        <v>0.000136990567618721</v>
      </c>
      <c r="G384" s="3" t="n">
        <v>0.996416038493983</v>
      </c>
    </row>
    <row r="385" customFormat="false" ht="15.75" hidden="false" customHeight="false" outlineLevel="0" collapsed="false">
      <c r="A385" s="3" t="s">
        <v>943</v>
      </c>
      <c r="B385" s="3" t="n">
        <v>-4.05976455572301</v>
      </c>
      <c r="C385" s="3" t="n">
        <v>0.0172530807763093</v>
      </c>
      <c r="D385" s="3" t="n">
        <v>922.469128639402</v>
      </c>
      <c r="E385" s="3" t="n">
        <v>7669.83451624542</v>
      </c>
      <c r="F385" s="3" t="n">
        <v>1.00883898697365E-006</v>
      </c>
      <c r="G385" s="3" t="n">
        <v>0.999953611633154</v>
      </c>
    </row>
    <row r="386" customFormat="false" ht="15.75" hidden="false" customHeight="false" outlineLevel="0" collapsed="false">
      <c r="A386" s="3" t="s">
        <v>945</v>
      </c>
      <c r="B386" s="3" t="n">
        <v>-4.61306681714741</v>
      </c>
      <c r="C386" s="3" t="n">
        <v>0.00992134465326191</v>
      </c>
      <c r="D386" s="3" t="n">
        <v>1420.73240817587</v>
      </c>
      <c r="E386" s="3" t="n">
        <v>11812.6256199468</v>
      </c>
      <c r="F386" s="3" t="n">
        <v>0.000464876366846422</v>
      </c>
      <c r="G386" s="3" t="n">
        <v>0.998659887384398</v>
      </c>
    </row>
    <row r="387" customFormat="false" ht="15.75" hidden="false" customHeight="false" outlineLevel="0" collapsed="false">
      <c r="A387" s="3" t="s">
        <v>947</v>
      </c>
      <c r="B387" s="3" t="n">
        <v>-6.61661329709064</v>
      </c>
      <c r="C387" s="3" t="n">
        <v>0.00133795453578058</v>
      </c>
      <c r="D387" s="3" t="n">
        <v>2239.26648942415</v>
      </c>
      <c r="E387" s="3" t="n">
        <v>18618.2961341905</v>
      </c>
      <c r="F387" s="3" t="n">
        <v>0.00056262406766593</v>
      </c>
      <c r="G387" s="3" t="n">
        <v>0.998504083578587</v>
      </c>
    </row>
    <row r="388" customFormat="false" ht="15.75" hidden="false" customHeight="false" outlineLevel="0" collapsed="false">
      <c r="A388" s="3" t="s">
        <v>949</v>
      </c>
      <c r="B388" s="3" t="n">
        <v>-5.26797166646248</v>
      </c>
      <c r="C388" s="3" t="n">
        <v>0.00515405411877614</v>
      </c>
      <c r="D388" s="3" t="n">
        <v>2083.01623603921</v>
      </c>
      <c r="E388" s="3" t="n">
        <v>17319.1593399311</v>
      </c>
      <c r="F388" s="3" t="n">
        <v>0.000413867334705642</v>
      </c>
      <c r="G388" s="3" t="n">
        <v>0.997053584678072</v>
      </c>
    </row>
    <row r="389" customFormat="false" ht="15.75" hidden="false" customHeight="false" outlineLevel="0" collapsed="false">
      <c r="A389" s="3" t="s">
        <v>951</v>
      </c>
      <c r="B389" s="3" t="n">
        <v>-4.2750933870173</v>
      </c>
      <c r="C389" s="3" t="n">
        <v>0.0139107495748658</v>
      </c>
      <c r="D389" s="3" t="n">
        <v>1071.09825792242</v>
      </c>
      <c r="E389" s="3" t="n">
        <v>8905.60576376216</v>
      </c>
      <c r="F389" s="3" t="n">
        <v>0.000480071115446207</v>
      </c>
      <c r="G389" s="3" t="n">
        <v>0.995504845056315</v>
      </c>
    </row>
    <row r="390" customFormat="false" ht="15.75" hidden="false" customHeight="false" outlineLevel="0" collapsed="false">
      <c r="A390" s="3" t="s">
        <v>953</v>
      </c>
      <c r="B390" s="3" t="n">
        <v>-5.42093650232467</v>
      </c>
      <c r="C390" s="3" t="n">
        <v>0.0044230025554831</v>
      </c>
      <c r="D390" s="3" t="n">
        <v>2205.49998375388</v>
      </c>
      <c r="E390" s="3" t="n">
        <v>18337.5458059222</v>
      </c>
      <c r="F390" s="3" t="n">
        <v>0.000642388113162733</v>
      </c>
      <c r="G390" s="3" t="n">
        <v>0.995899724043182</v>
      </c>
    </row>
    <row r="391" customFormat="false" ht="15.75" hidden="false" customHeight="false" outlineLevel="0" collapsed="false">
      <c r="A391" s="3" t="s">
        <v>955</v>
      </c>
      <c r="B391" s="3" t="n">
        <v>-4.02813707861268</v>
      </c>
      <c r="C391" s="3" t="n">
        <v>0.0178074729949304</v>
      </c>
      <c r="D391" s="3" t="n">
        <v>943.195009798111</v>
      </c>
      <c r="E391" s="3" t="n">
        <v>7842.15906755603</v>
      </c>
      <c r="F391" s="3" t="n">
        <v>2.1064548291416E-005</v>
      </c>
      <c r="G391" s="3" t="n">
        <v>0.999622724104606</v>
      </c>
    </row>
    <row r="392" customFormat="false" ht="15.75" hidden="false" customHeight="false" outlineLevel="0" collapsed="false">
      <c r="A392" s="3" t="s">
        <v>1456</v>
      </c>
      <c r="B392" s="3" t="n">
        <v>-8.99252424133677</v>
      </c>
      <c r="C392" s="3" t="n">
        <v>0.000124335843108038</v>
      </c>
      <c r="D392" s="3" t="n">
        <v>3654.56847278004</v>
      </c>
      <c r="E392" s="3" t="n">
        <v>30385.7706933277</v>
      </c>
      <c r="F392" s="3" t="n">
        <v>0.0136690911363266</v>
      </c>
      <c r="G392" s="3" t="n">
        <v>0.841807386771387</v>
      </c>
    </row>
    <row r="393" customFormat="false" ht="15.75" hidden="false" customHeight="false" outlineLevel="0" collapsed="false">
      <c r="A393" s="3" t="s">
        <v>957</v>
      </c>
      <c r="B393" s="3" t="n">
        <v>-4.37155456322206</v>
      </c>
      <c r="C393" s="3" t="n">
        <v>0.0126315886937031</v>
      </c>
      <c r="D393" s="3" t="n">
        <v>1227.48622889678</v>
      </c>
      <c r="E393" s="3" t="n">
        <v>10205.8876056856</v>
      </c>
      <c r="F393" s="3" t="n">
        <v>0.000129941769143957</v>
      </c>
      <c r="G393" s="3" t="n">
        <v>0.999279774599669</v>
      </c>
    </row>
    <row r="394" customFormat="false" ht="15.75" hidden="false" customHeight="false" outlineLevel="0" collapsed="false">
      <c r="A394" s="3" t="s">
        <v>1457</v>
      </c>
      <c r="B394" s="3"/>
      <c r="C394" s="3"/>
      <c r="D394" s="3"/>
      <c r="E394" s="3"/>
      <c r="F394" s="3"/>
      <c r="G394" s="3"/>
    </row>
    <row r="395" customFormat="false" ht="15.75" hidden="false" customHeight="false" outlineLevel="0" collapsed="false">
      <c r="A395" s="3" t="s">
        <v>959</v>
      </c>
      <c r="B395" s="3" t="n">
        <v>-5.77454133376501</v>
      </c>
      <c r="C395" s="3" t="n">
        <v>0.00310562177587435</v>
      </c>
      <c r="D395" s="3" t="n">
        <v>2114.38055949589</v>
      </c>
      <c r="E395" s="3" t="n">
        <v>17579.9368154673</v>
      </c>
      <c r="F395" s="3" t="n">
        <v>0.00113724849721687</v>
      </c>
      <c r="G395" s="3" t="n">
        <v>0.989119338011652</v>
      </c>
    </row>
    <row r="396" customFormat="false" ht="15.75" hidden="false" customHeight="false" outlineLevel="0" collapsed="false">
      <c r="A396" s="3" t="s">
        <v>961</v>
      </c>
      <c r="B396" s="3" t="n">
        <v>-4.15733204733205</v>
      </c>
      <c r="C396" s="3" t="n">
        <v>0.0156492537422833</v>
      </c>
      <c r="D396" s="3" t="n">
        <v>1447.56291976268</v>
      </c>
      <c r="E396" s="3" t="n">
        <v>12035.7068889759</v>
      </c>
      <c r="F396" s="3" t="n">
        <v>0.000314952368999075</v>
      </c>
      <c r="G396" s="3" t="n">
        <v>0.956577473828084</v>
      </c>
    </row>
    <row r="397" customFormat="false" ht="15.75" hidden="false" customHeight="false" outlineLevel="0" collapsed="false">
      <c r="A397" s="3" t="s">
        <v>963</v>
      </c>
      <c r="B397" s="3" t="n">
        <v>-5.37376908021184</v>
      </c>
      <c r="C397" s="3" t="n">
        <v>0.00463662253277923</v>
      </c>
      <c r="D397" s="3" t="n">
        <v>1722.64722138854</v>
      </c>
      <c r="E397" s="3" t="n">
        <v>14322.8848616406</v>
      </c>
      <c r="F397" s="3" t="n">
        <v>0.000254560067814811</v>
      </c>
      <c r="G397" s="3" t="n">
        <v>0.997570745071275</v>
      </c>
    </row>
    <row r="398" customFormat="false" ht="15.75" hidden="false" customHeight="false" outlineLevel="0" collapsed="false">
      <c r="A398" s="3" t="s">
        <v>965</v>
      </c>
      <c r="B398" s="3" t="n">
        <v>-8.5459609047573</v>
      </c>
      <c r="C398" s="3" t="n">
        <v>0.000194328427552202</v>
      </c>
      <c r="D398" s="3" t="n">
        <v>3181.350809152</v>
      </c>
      <c r="E398" s="3" t="n">
        <v>26451.2204113636</v>
      </c>
      <c r="F398" s="3" t="n">
        <v>0.00724175784856397</v>
      </c>
      <c r="G398" s="3" t="n">
        <v>0.991404738887998</v>
      </c>
    </row>
    <row r="399" customFormat="false" ht="15.75" hidden="false" customHeight="false" outlineLevel="0" collapsed="false">
      <c r="A399" s="3" t="s">
        <v>1458</v>
      </c>
      <c r="B399" s="3" t="n">
        <v>-3.68379537831176</v>
      </c>
      <c r="C399" s="3" t="n">
        <v>0.0251274255411369</v>
      </c>
      <c r="D399" s="3" t="n">
        <v>193.534811214713</v>
      </c>
      <c r="E399" s="3" t="n">
        <v>1609.1378335219</v>
      </c>
      <c r="F399" s="3" t="n">
        <v>9.53129953153065E-005</v>
      </c>
      <c r="G399" s="3" t="n">
        <v>0.986930269662207</v>
      </c>
    </row>
    <row r="400" customFormat="false" ht="15.75" hidden="false" customHeight="false" outlineLevel="0" collapsed="false">
      <c r="A400" s="3" t="s">
        <v>967</v>
      </c>
      <c r="B400" s="3" t="n">
        <v>-3.84821040089529</v>
      </c>
      <c r="C400" s="3" t="n">
        <v>0.0213178527319252</v>
      </c>
      <c r="D400" s="3" t="n">
        <v>964.404685494946</v>
      </c>
      <c r="E400" s="3" t="n">
        <v>8018.50611016968</v>
      </c>
      <c r="F400" s="3" t="n">
        <v>0.000386934851635874</v>
      </c>
      <c r="G400" s="3" t="n">
        <v>0.994439411973315</v>
      </c>
    </row>
    <row r="401" customFormat="false" ht="15.75" hidden="false" customHeight="false" outlineLevel="0" collapsed="false">
      <c r="A401" s="3" t="s">
        <v>969</v>
      </c>
      <c r="B401" s="3" t="n">
        <v>-4.70988453820343</v>
      </c>
      <c r="C401" s="3" t="n">
        <v>0.00900581735025953</v>
      </c>
      <c r="D401" s="3" t="n">
        <v>1404.56355306413</v>
      </c>
      <c r="E401" s="3" t="n">
        <v>11678.1902885367</v>
      </c>
      <c r="F401" s="3" t="n">
        <v>7.98480095563778E-005</v>
      </c>
      <c r="G401" s="3" t="n">
        <v>0.998057249134441</v>
      </c>
    </row>
    <row r="402" customFormat="false" ht="15.75" hidden="false" customHeight="false" outlineLevel="0" collapsed="false">
      <c r="A402" s="3" t="s">
        <v>971</v>
      </c>
      <c r="B402" s="3" t="n">
        <v>-6.89347530899383</v>
      </c>
      <c r="C402" s="3" t="n">
        <v>0.00101438241582003</v>
      </c>
      <c r="D402" s="3" t="n">
        <v>2417.018423672</v>
      </c>
      <c r="E402" s="3" t="n">
        <v>20096.2078369207</v>
      </c>
      <c r="F402" s="3" t="n">
        <v>0.000128852139598065</v>
      </c>
      <c r="G402" s="3" t="n">
        <v>0.999126776081872</v>
      </c>
    </row>
    <row r="403" customFormat="false" ht="15.75" hidden="false" customHeight="false" outlineLevel="0" collapsed="false">
      <c r="A403" s="3" t="s">
        <v>353</v>
      </c>
      <c r="B403" s="3" t="n">
        <v>-5.0704649659335</v>
      </c>
      <c r="C403" s="3" t="n">
        <v>0.00627949970845913</v>
      </c>
      <c r="D403" s="3" t="n">
        <v>1651.98533917781</v>
      </c>
      <c r="E403" s="3" t="n">
        <v>13735.369327151</v>
      </c>
      <c r="F403" s="3" t="n">
        <v>0.00662134453464249</v>
      </c>
      <c r="G403" s="3" t="n">
        <v>0.983620987379834</v>
      </c>
    </row>
    <row r="404" customFormat="false" ht="15.75" hidden="false" customHeight="false" outlineLevel="0" collapsed="false">
      <c r="A404" s="3" t="s">
        <v>974</v>
      </c>
      <c r="B404" s="3" t="n">
        <v>-4.63050995021085</v>
      </c>
      <c r="C404" s="3" t="n">
        <v>0.00974978592902506</v>
      </c>
      <c r="D404" s="3" t="n">
        <v>1207.93802674687</v>
      </c>
      <c r="E404" s="3" t="n">
        <v>10043.3548217418</v>
      </c>
      <c r="F404" s="3" t="n">
        <v>0.00164538541639342</v>
      </c>
      <c r="G404" s="3" t="n">
        <v>0.968767347194937</v>
      </c>
    </row>
    <row r="405" customFormat="false" ht="15.75" hidden="false" customHeight="false" outlineLevel="0" collapsed="false">
      <c r="A405" s="3" t="s">
        <v>976</v>
      </c>
      <c r="B405" s="3" t="n">
        <v>-4.26495916433922</v>
      </c>
      <c r="C405" s="3" t="n">
        <v>0.0140524409620419</v>
      </c>
      <c r="D405" s="3" t="n">
        <v>966.196823158213</v>
      </c>
      <c r="E405" s="3" t="n">
        <v>8033.40677066968</v>
      </c>
      <c r="F405" s="3" t="n">
        <v>8.04815449470668E-005</v>
      </c>
      <c r="G405" s="3" t="n">
        <v>0.99821697730326</v>
      </c>
    </row>
    <row r="406" customFormat="false" ht="15.75" hidden="false" customHeight="false" outlineLevel="0" collapsed="false">
      <c r="A406" s="3" t="s">
        <v>978</v>
      </c>
      <c r="B406" s="3" t="n">
        <v>-4.39200655578119</v>
      </c>
      <c r="C406" s="3" t="n">
        <v>0.0123758714131639</v>
      </c>
      <c r="D406" s="3" t="n">
        <v>1115.8450343854</v>
      </c>
      <c r="E406" s="3" t="n">
        <v>9277.65113628612</v>
      </c>
      <c r="F406" s="3" t="n">
        <v>2.84094342729011E-006</v>
      </c>
      <c r="G406" s="3" t="n">
        <v>0.999623000177582</v>
      </c>
    </row>
    <row r="407" customFormat="false" ht="15.75" hidden="false" customHeight="false" outlineLevel="0" collapsed="false">
      <c r="A407" s="3" t="s">
        <v>124</v>
      </c>
      <c r="B407" s="3"/>
      <c r="C407" s="3"/>
      <c r="D407" s="3"/>
      <c r="E407" s="3"/>
      <c r="F407" s="3"/>
      <c r="G407" s="3"/>
    </row>
    <row r="408" customFormat="false" ht="15.75" hidden="false" customHeight="false" outlineLevel="0" collapsed="false">
      <c r="A408" s="3" t="s">
        <v>980</v>
      </c>
      <c r="B408" s="3" t="n">
        <v>-6.66347478708475</v>
      </c>
      <c r="C408" s="3" t="n">
        <v>0.00127670238494577</v>
      </c>
      <c r="D408" s="3" t="n">
        <v>2554.65235236941</v>
      </c>
      <c r="E408" s="3" t="n">
        <v>21240.5599069861</v>
      </c>
      <c r="F408" s="3" t="n">
        <v>0.288283383089696</v>
      </c>
      <c r="G408" s="3" t="n">
        <v>0.912423706795242</v>
      </c>
    </row>
    <row r="409" customFormat="false" ht="15.75" hidden="false" customHeight="false" outlineLevel="0" collapsed="false">
      <c r="A409" s="3" t="s">
        <v>1459</v>
      </c>
      <c r="B409" s="3"/>
      <c r="C409" s="3"/>
      <c r="D409" s="3"/>
      <c r="E409" s="3"/>
      <c r="F409" s="3"/>
      <c r="G409" s="3"/>
    </row>
    <row r="410" customFormat="false" ht="15.75" hidden="false" customHeight="false" outlineLevel="0" collapsed="false">
      <c r="A410" s="3" t="s">
        <v>1460</v>
      </c>
      <c r="B410" s="3"/>
      <c r="C410" s="3"/>
      <c r="D410" s="3"/>
      <c r="E410" s="3"/>
      <c r="F410" s="3"/>
      <c r="G410" s="3"/>
    </row>
    <row r="411" customFormat="false" ht="15.75" hidden="false" customHeight="false" outlineLevel="0" collapsed="false">
      <c r="A411" s="3" t="s">
        <v>982</v>
      </c>
      <c r="B411" s="3" t="n">
        <v>-4.99890646414157</v>
      </c>
      <c r="C411" s="3" t="n">
        <v>0.00674531921589825</v>
      </c>
      <c r="D411" s="3" t="n">
        <v>1305.37316380676</v>
      </c>
      <c r="E411" s="3" t="n">
        <v>10853.4755662911</v>
      </c>
      <c r="F411" s="3" t="n">
        <v>0.000312322415421167</v>
      </c>
      <c r="G411" s="3" t="n">
        <v>0.999600952080881</v>
      </c>
    </row>
    <row r="412" customFormat="false" ht="15.75" hidden="false" customHeight="false" outlineLevel="0" collapsed="false">
      <c r="A412" s="3" t="s">
        <v>984</v>
      </c>
      <c r="B412" s="3" t="n">
        <v>-4.58759503914402</v>
      </c>
      <c r="C412" s="3" t="n">
        <v>0.0101773049851233</v>
      </c>
      <c r="D412" s="3" t="n">
        <v>1067.6155514876</v>
      </c>
      <c r="E412" s="3" t="n">
        <v>8876.64893345265</v>
      </c>
      <c r="F412" s="3" t="n">
        <v>0.00135176629658888</v>
      </c>
      <c r="G412" s="3" t="n">
        <v>0.993245039560711</v>
      </c>
    </row>
    <row r="413" customFormat="false" ht="15.75" hidden="false" customHeight="false" outlineLevel="0" collapsed="false">
      <c r="A413" s="3" t="s">
        <v>1461</v>
      </c>
      <c r="B413" s="3" t="n">
        <v>-3.60960529331891</v>
      </c>
      <c r="C413" s="3" t="n">
        <v>0.0270625265185707</v>
      </c>
      <c r="D413" s="3" t="n">
        <v>653.141829264314</v>
      </c>
      <c r="E413" s="3" t="n">
        <v>5430.52292002863</v>
      </c>
      <c r="F413" s="3" t="n">
        <v>0.0412183053929191</v>
      </c>
      <c r="G413" s="3" t="n">
        <v>0.781591495776566</v>
      </c>
    </row>
    <row r="414" customFormat="false" ht="15.75" hidden="false" customHeight="false" outlineLevel="0" collapsed="false">
      <c r="A414" s="3" t="s">
        <v>126</v>
      </c>
      <c r="B414" s="3" t="n">
        <v>-5.45784755128703</v>
      </c>
      <c r="C414" s="3" t="n">
        <v>0.00426272116591437</v>
      </c>
      <c r="D414" s="3" t="n">
        <v>1810.55305980338</v>
      </c>
      <c r="E414" s="3" t="n">
        <v>15053.774614719</v>
      </c>
      <c r="F414" s="3" t="n">
        <v>4.46845646568183E-005</v>
      </c>
      <c r="G414" s="3"/>
    </row>
    <row r="415" customFormat="false" ht="15.75" hidden="false" customHeight="false" outlineLevel="0" collapsed="false">
      <c r="A415" s="3" t="s">
        <v>1462</v>
      </c>
      <c r="B415" s="3" t="n">
        <v>-5.04729976184916</v>
      </c>
      <c r="C415" s="3" t="n">
        <v>0.00642666356013685</v>
      </c>
      <c r="D415" s="3" t="n">
        <v>1931.77361638521</v>
      </c>
      <c r="E415" s="3" t="n">
        <v>16061.6583260374</v>
      </c>
      <c r="F415" s="3" t="n">
        <v>0.00305707318683754</v>
      </c>
      <c r="G415" s="3"/>
    </row>
    <row r="416" customFormat="false" ht="15.75" hidden="false" customHeight="false" outlineLevel="0" collapsed="false">
      <c r="A416" s="3" t="s">
        <v>986</v>
      </c>
      <c r="B416" s="3" t="n">
        <v>-4.29025917651585</v>
      </c>
      <c r="C416" s="3" t="n">
        <v>0.0137013737628335</v>
      </c>
      <c r="D416" s="3" t="n">
        <v>1166.85467080706</v>
      </c>
      <c r="E416" s="3" t="n">
        <v>9701.7688199478</v>
      </c>
      <c r="F416" s="3" t="n">
        <v>0.000143205736246473</v>
      </c>
      <c r="G416" s="3" t="n">
        <v>0.999167821292413</v>
      </c>
    </row>
    <row r="417" customFormat="false" ht="15.75" hidden="false" customHeight="false" outlineLevel="0" collapsed="false">
      <c r="A417" s="3" t="s">
        <v>988</v>
      </c>
      <c r="B417" s="3" t="n">
        <v>-4.07495221720951</v>
      </c>
      <c r="C417" s="3" t="n">
        <v>0.0169930266318015</v>
      </c>
      <c r="D417" s="3" t="n">
        <v>995.201951638441</v>
      </c>
      <c r="E417" s="3" t="n">
        <v>8274.56880922365</v>
      </c>
      <c r="F417" s="3" t="n">
        <v>0.000113609378262727</v>
      </c>
      <c r="G417" s="3" t="n">
        <v>0.996753639511214</v>
      </c>
    </row>
    <row r="418" customFormat="false" ht="15.75" hidden="false" customHeight="false" outlineLevel="0" collapsed="false">
      <c r="A418" s="3" t="s">
        <v>990</v>
      </c>
      <c r="B418" s="3" t="n">
        <v>-4.08477452996073</v>
      </c>
      <c r="C418" s="3" t="n">
        <v>0.0168269328574945</v>
      </c>
      <c r="D418" s="3" t="n">
        <v>942.229563133051</v>
      </c>
      <c r="E418" s="3" t="n">
        <v>7834.13189794636</v>
      </c>
      <c r="F418" s="3" t="n">
        <v>0.000887036684899037</v>
      </c>
      <c r="G418" s="3" t="n">
        <v>0.993945508729217</v>
      </c>
    </row>
    <row r="419" customFormat="false" ht="15.75" hidden="false" customHeight="false" outlineLevel="0" collapsed="false">
      <c r="A419" s="3" t="s">
        <v>992</v>
      </c>
      <c r="B419" s="3" t="n">
        <v>-3.96293920184265</v>
      </c>
      <c r="C419" s="3" t="n">
        <v>0.0190071662125851</v>
      </c>
      <c r="D419" s="3" t="n">
        <v>851.357619696379</v>
      </c>
      <c r="E419" s="3" t="n">
        <v>7078.580577376</v>
      </c>
      <c r="F419" s="3" t="n">
        <v>6.21414721224626E-005</v>
      </c>
      <c r="G419" s="3" t="n">
        <v>0.989989593426887</v>
      </c>
    </row>
    <row r="420" customFormat="false" ht="15.75" hidden="false" customHeight="false" outlineLevel="0" collapsed="false">
      <c r="A420" s="3" t="s">
        <v>994</v>
      </c>
      <c r="B420" s="3" t="n">
        <v>-4.18591791054577</v>
      </c>
      <c r="C420" s="3" t="n">
        <v>0.0152082397293992</v>
      </c>
      <c r="D420" s="3" t="n">
        <v>1034.31454400731</v>
      </c>
      <c r="E420" s="3" t="n">
        <v>8599.7689721961</v>
      </c>
      <c r="F420" s="3" t="n">
        <v>5.90396245327413E-005</v>
      </c>
      <c r="G420" s="3" t="n">
        <v>0.999535802383477</v>
      </c>
    </row>
    <row r="421" customFormat="false" ht="15.75" hidden="false" customHeight="false" outlineLevel="0" collapsed="false">
      <c r="A421" s="3" t="s">
        <v>996</v>
      </c>
      <c r="B421" s="3" t="n">
        <v>-4.10550279119472</v>
      </c>
      <c r="C421" s="3" t="n">
        <v>0.0164817298860701</v>
      </c>
      <c r="D421" s="3" t="n">
        <v>976.652614040257</v>
      </c>
      <c r="E421" s="3" t="n">
        <v>8120.34104663838</v>
      </c>
      <c r="F421" s="3" t="n">
        <v>0.00662010725390083</v>
      </c>
      <c r="G421" s="3" t="n">
        <v>0.934384985740181</v>
      </c>
    </row>
    <row r="422" customFormat="false" ht="15.75" hidden="false" customHeight="false" outlineLevel="0" collapsed="false">
      <c r="A422" s="3" t="s">
        <v>998</v>
      </c>
      <c r="B422" s="3" t="n">
        <v>-4.26285273840609</v>
      </c>
      <c r="C422" s="3" t="n">
        <v>0.0140820725855618</v>
      </c>
      <c r="D422" s="3" t="n">
        <v>1512.56508121542</v>
      </c>
      <c r="E422" s="3" t="n">
        <v>12576.1648902925</v>
      </c>
      <c r="F422" s="3" t="n">
        <v>0.00012511144433149</v>
      </c>
      <c r="G422" s="3" t="n">
        <v>0.998708198222067</v>
      </c>
    </row>
    <row r="423" customFormat="false" ht="15.75" hidden="false" customHeight="false" outlineLevel="0" collapsed="false">
      <c r="A423" s="3" t="s">
        <v>1000</v>
      </c>
      <c r="B423" s="3" t="n">
        <v>-3.83729676824592</v>
      </c>
      <c r="C423" s="3" t="n">
        <v>0.0215517821334031</v>
      </c>
      <c r="D423" s="3" t="n">
        <v>764.805342599459</v>
      </c>
      <c r="E423" s="3" t="n">
        <v>6358.94495844019</v>
      </c>
      <c r="F423" s="3" t="n">
        <v>5.95727771216834E-008</v>
      </c>
      <c r="G423" s="3" t="n">
        <v>0.99999327568306</v>
      </c>
    </row>
    <row r="424" customFormat="false" ht="15.75" hidden="false" customHeight="false" outlineLevel="0" collapsed="false">
      <c r="A424" s="3" t="s">
        <v>242</v>
      </c>
      <c r="B424" s="3" t="n">
        <v>-3.70138291124631</v>
      </c>
      <c r="C424" s="3" t="n">
        <v>0.0246893596578148</v>
      </c>
      <c r="D424" s="3" t="n">
        <v>806.0816010169</v>
      </c>
      <c r="E424" s="3" t="n">
        <v>6702.13484055418</v>
      </c>
      <c r="F424" s="3" t="n">
        <v>0.000107065939936179</v>
      </c>
      <c r="G424" s="3"/>
    </row>
    <row r="425" customFormat="false" ht="15.75" hidden="false" customHeight="false" outlineLevel="0" collapsed="false">
      <c r="A425" s="3" t="s">
        <v>1002</v>
      </c>
      <c r="B425" s="3" t="n">
        <v>-3.92306187744761</v>
      </c>
      <c r="C425" s="3" t="n">
        <v>0.0197804366550441</v>
      </c>
      <c r="D425" s="3" t="n">
        <v>1082.94480518111</v>
      </c>
      <c r="E425" s="3" t="n">
        <v>9004.10343077577</v>
      </c>
      <c r="F425" s="3" t="n">
        <v>6.6891758288144E-006</v>
      </c>
      <c r="G425" s="3" t="n">
        <v>0.999919676032299</v>
      </c>
    </row>
    <row r="426" customFormat="false" ht="15.75" hidden="false" customHeight="false" outlineLevel="0" collapsed="false">
      <c r="A426" s="3" t="s">
        <v>1463</v>
      </c>
      <c r="B426" s="3"/>
      <c r="C426" s="3"/>
      <c r="D426" s="3"/>
      <c r="E426" s="3"/>
      <c r="F426" s="3"/>
      <c r="G426" s="3"/>
    </row>
    <row r="427" customFormat="false" ht="15.75" hidden="false" customHeight="false" outlineLevel="0" collapsed="false">
      <c r="A427" s="3" t="s">
        <v>1464</v>
      </c>
      <c r="B427" s="3" t="n">
        <v>-8.34329158988998</v>
      </c>
      <c r="C427" s="3" t="n">
        <v>0.000237987694386008</v>
      </c>
      <c r="D427" s="3" t="n">
        <v>3321.41090364022</v>
      </c>
      <c r="E427" s="3" t="n">
        <v>27615.7447447023</v>
      </c>
      <c r="F427" s="3" t="n">
        <v>0.00608816465161418</v>
      </c>
      <c r="G427" s="3" t="n">
        <v>0.855556138354169</v>
      </c>
    </row>
    <row r="428" customFormat="false" ht="15.75" hidden="false" customHeight="false" outlineLevel="0" collapsed="false">
      <c r="A428" s="3" t="s">
        <v>1004</v>
      </c>
      <c r="B428" s="3" t="n">
        <v>-4.01057380961724</v>
      </c>
      <c r="C428" s="3" t="n">
        <v>0.018122993104928</v>
      </c>
      <c r="D428" s="3" t="n">
        <v>1033.61643738964</v>
      </c>
      <c r="E428" s="3" t="n">
        <v>8593.96459125152</v>
      </c>
      <c r="F428" s="3" t="n">
        <v>2.8333149976655E-005</v>
      </c>
      <c r="G428" s="3" t="n">
        <v>0.999883350087303</v>
      </c>
    </row>
    <row r="429" customFormat="false" ht="15.75" hidden="false" customHeight="false" outlineLevel="0" collapsed="false">
      <c r="A429" s="3" t="s">
        <v>1006</v>
      </c>
      <c r="B429" s="3" t="n">
        <v>-4.84592511459507</v>
      </c>
      <c r="C429" s="3" t="n">
        <v>0.00786034237291169</v>
      </c>
      <c r="D429" s="3" t="n">
        <v>1660.84524826404</v>
      </c>
      <c r="E429" s="3" t="n">
        <v>13809.0347045719</v>
      </c>
      <c r="F429" s="3" t="n">
        <v>0.00588739062501362</v>
      </c>
      <c r="G429" s="3" t="n">
        <v>0.977595107039848</v>
      </c>
    </row>
    <row r="430" customFormat="false" ht="15.75" hidden="false" customHeight="false" outlineLevel="0" collapsed="false">
      <c r="A430" s="3" t="s">
        <v>1008</v>
      </c>
      <c r="B430" s="3" t="n">
        <v>-4.47216698449502</v>
      </c>
      <c r="C430" s="3" t="n">
        <v>0.0114225365524221</v>
      </c>
      <c r="D430" s="3" t="n">
        <v>1533.38333095628</v>
      </c>
      <c r="E430" s="3" t="n">
        <v>12749.2574366694</v>
      </c>
      <c r="F430" s="3" t="n">
        <v>3.01314705528309E-006</v>
      </c>
      <c r="G430" s="3" t="n">
        <v>0.999951048123384</v>
      </c>
    </row>
    <row r="431" customFormat="false" ht="15.75" hidden="false" customHeight="false" outlineLevel="0" collapsed="false">
      <c r="A431" s="3" t="s">
        <v>1010</v>
      </c>
      <c r="B431" s="3" t="n">
        <v>-4.65397819630583</v>
      </c>
      <c r="C431" s="3" t="n">
        <v>0.0095236395620089</v>
      </c>
      <c r="D431" s="3" t="n">
        <v>1586.06039011207</v>
      </c>
      <c r="E431" s="3" t="n">
        <v>13187.238843292</v>
      </c>
      <c r="F431" s="3" t="n">
        <v>8.21857286752446E-005</v>
      </c>
      <c r="G431" s="3" t="n">
        <v>0.999688465504935</v>
      </c>
    </row>
    <row r="432" customFormat="false" ht="15.75" hidden="false" customHeight="false" outlineLevel="0" collapsed="false">
      <c r="A432" s="3" t="s">
        <v>1012</v>
      </c>
      <c r="B432" s="3" t="n">
        <v>-4.20485503253122</v>
      </c>
      <c r="C432" s="3" t="n">
        <v>0.0149229492544485</v>
      </c>
      <c r="D432" s="3" t="n">
        <v>1330.93879063458</v>
      </c>
      <c r="E432" s="3" t="n">
        <v>11066.0399990571</v>
      </c>
      <c r="F432" s="3" t="n">
        <v>0.00174006723618351</v>
      </c>
      <c r="G432" s="3" t="n">
        <v>0.993287676740462</v>
      </c>
    </row>
    <row r="433" customFormat="false" ht="15.75" hidden="false" customHeight="false" outlineLevel="0" collapsed="false">
      <c r="A433" s="3" t="s">
        <v>1465</v>
      </c>
      <c r="B433" s="3" t="n">
        <v>-4.14062289020296</v>
      </c>
      <c r="C433" s="3" t="n">
        <v>0.0159129364046362</v>
      </c>
      <c r="D433" s="3" t="n">
        <v>1421.05226462316</v>
      </c>
      <c r="E433" s="3" t="n">
        <v>11815.2850542232</v>
      </c>
      <c r="F433" s="3" t="n">
        <v>0.000955654613261473</v>
      </c>
      <c r="G433" s="3" t="n">
        <v>0.874216923755659</v>
      </c>
    </row>
    <row r="434" customFormat="false" ht="15.75" hidden="false" customHeight="false" outlineLevel="0" collapsed="false">
      <c r="A434" s="3" t="s">
        <v>1014</v>
      </c>
      <c r="B434" s="3" t="n">
        <v>-4.0931097860725</v>
      </c>
      <c r="C434" s="3" t="n">
        <v>0.0166872589799924</v>
      </c>
      <c r="D434" s="3" t="n">
        <v>1155.24721208712</v>
      </c>
      <c r="E434" s="3" t="n">
        <v>9605.25904550434</v>
      </c>
      <c r="F434" s="3" t="n">
        <v>0.000487079754790513</v>
      </c>
      <c r="G434" s="3" t="n">
        <v>0.982693245083506</v>
      </c>
    </row>
    <row r="435" customFormat="false" ht="15.75" hidden="false" customHeight="false" outlineLevel="0" collapsed="false">
      <c r="A435" s="3" t="s">
        <v>1016</v>
      </c>
      <c r="B435" s="3" t="n">
        <v>-4.39799729918899</v>
      </c>
      <c r="C435" s="3" t="n">
        <v>0.0123019523791359</v>
      </c>
      <c r="D435" s="3" t="n">
        <v>1397.83660308666</v>
      </c>
      <c r="E435" s="3" t="n">
        <v>11622.2593185731</v>
      </c>
      <c r="F435" s="3" t="n">
        <v>1.30823469319032E-005</v>
      </c>
      <c r="G435" s="3" t="n">
        <v>0.999867101509146</v>
      </c>
    </row>
    <row r="436" customFormat="false" ht="15.75" hidden="false" customHeight="false" outlineLevel="0" collapsed="false">
      <c r="A436" s="3" t="s">
        <v>1018</v>
      </c>
      <c r="B436" s="3" t="n">
        <v>-4.19101009873778</v>
      </c>
      <c r="C436" s="3" t="n">
        <v>0.0151309933540868</v>
      </c>
      <c r="D436" s="3" t="n">
        <v>1325.39188929336</v>
      </c>
      <c r="E436" s="3" t="n">
        <v>11019.9204986378</v>
      </c>
      <c r="F436" s="3" t="n">
        <v>3.54508590905332E-006</v>
      </c>
      <c r="G436" s="3" t="n">
        <v>0.999951510109141</v>
      </c>
    </row>
    <row r="437" customFormat="false" ht="15.75" hidden="false" customHeight="false" outlineLevel="0" collapsed="false">
      <c r="A437" s="3" t="s">
        <v>1466</v>
      </c>
      <c r="B437" s="3" t="n">
        <v>-7.14566335230765</v>
      </c>
      <c r="C437" s="3" t="n">
        <v>0.000788275151276445</v>
      </c>
      <c r="D437" s="3" t="n">
        <v>2809.8727790145</v>
      </c>
      <c r="E437" s="3" t="n">
        <v>23362.5804459504</v>
      </c>
      <c r="F437" s="3" t="n">
        <v>0.00643485712257877</v>
      </c>
      <c r="G437" s="3" t="n">
        <v>0.808210185063464</v>
      </c>
    </row>
    <row r="438" customFormat="false" ht="15.75" hidden="false" customHeight="false" outlineLevel="0" collapsed="false">
      <c r="A438" s="3" t="s">
        <v>1020</v>
      </c>
      <c r="B438" s="3" t="n">
        <v>-4.51551535317447</v>
      </c>
      <c r="C438" s="3" t="n">
        <v>0.0109379667581898</v>
      </c>
      <c r="D438" s="3" t="n">
        <v>1577.54005419692</v>
      </c>
      <c r="E438" s="3" t="n">
        <v>13116.3968340982</v>
      </c>
      <c r="F438" s="3" t="n">
        <v>2.48596971155161E-006</v>
      </c>
      <c r="G438" s="3" t="n">
        <v>0.999972491007728</v>
      </c>
    </row>
    <row r="439" customFormat="false" ht="15.75" hidden="false" customHeight="false" outlineLevel="0" collapsed="false">
      <c r="A439" s="3" t="s">
        <v>244</v>
      </c>
      <c r="B439" s="3"/>
      <c r="C439" s="3"/>
      <c r="D439" s="3"/>
      <c r="E439" s="3"/>
      <c r="F439" s="3"/>
      <c r="G439" s="3"/>
    </row>
    <row r="440" customFormat="false" ht="15.75" hidden="false" customHeight="false" outlineLevel="0" collapsed="false">
      <c r="A440" s="3" t="s">
        <v>1022</v>
      </c>
      <c r="B440" s="3" t="n">
        <v>-4.54462429737242</v>
      </c>
      <c r="C440" s="3" t="n">
        <v>0.0106241634926727</v>
      </c>
      <c r="D440" s="3" t="n">
        <v>1584.97538032116</v>
      </c>
      <c r="E440" s="3" t="n">
        <v>13178.2175706158</v>
      </c>
      <c r="F440" s="3" t="n">
        <v>0.000292008135315425</v>
      </c>
      <c r="G440" s="3" t="n">
        <v>0.965208250604864</v>
      </c>
    </row>
    <row r="441" customFormat="false" ht="15.75" hidden="false" customHeight="false" outlineLevel="0" collapsed="false">
      <c r="A441" s="3" t="s">
        <v>1024</v>
      </c>
      <c r="B441" s="3" t="n">
        <v>-5.00063137124599</v>
      </c>
      <c r="C441" s="3" t="n">
        <v>0.00673369419578335</v>
      </c>
      <c r="D441" s="3" t="n">
        <v>1695.05396549095</v>
      </c>
      <c r="E441" s="3" t="n">
        <v>14093.4617840238</v>
      </c>
      <c r="F441" s="3" t="n">
        <v>0.00206645064735892</v>
      </c>
      <c r="G441" s="3" t="n">
        <v>0.971858033964507</v>
      </c>
    </row>
    <row r="442" customFormat="false" ht="15.75" hidden="false" customHeight="false" outlineLevel="0" collapsed="false">
      <c r="A442" s="3" t="s">
        <v>1026</v>
      </c>
      <c r="B442" s="3" t="n">
        <v>-4.41620520002687</v>
      </c>
      <c r="C442" s="3" t="n">
        <v>0.0120799865483066</v>
      </c>
      <c r="D442" s="3" t="n">
        <v>1437.27337772082</v>
      </c>
      <c r="E442" s="3" t="n">
        <v>11950.1548826714</v>
      </c>
      <c r="F442" s="3" t="n">
        <v>1.02970014129476E-005</v>
      </c>
      <c r="G442" s="3" t="n">
        <v>0.999821451614214</v>
      </c>
    </row>
    <row r="443" customFormat="false" ht="15.75" hidden="false" customHeight="false" outlineLevel="0" collapsed="false">
      <c r="A443" s="3" t="s">
        <v>246</v>
      </c>
      <c r="B443" s="3"/>
      <c r="C443" s="3"/>
      <c r="D443" s="3"/>
      <c r="E443" s="3"/>
      <c r="F443" s="3"/>
      <c r="G443" s="3"/>
    </row>
    <row r="444" customFormat="false" ht="15.75" hidden="false" customHeight="false" outlineLevel="0" collapsed="false">
      <c r="A444" s="3" t="s">
        <v>1028</v>
      </c>
      <c r="B444" s="3" t="n">
        <v>-5.08819611261183</v>
      </c>
      <c r="C444" s="3" t="n">
        <v>0.00616913828673488</v>
      </c>
      <c r="D444" s="3" t="n">
        <v>1489.08595452494</v>
      </c>
      <c r="E444" s="3" t="n">
        <v>12380.9485836313</v>
      </c>
      <c r="F444" s="3" t="n">
        <v>0.000706078662695997</v>
      </c>
      <c r="G444" s="3" t="n">
        <v>0.994818872823844</v>
      </c>
    </row>
    <row r="445" customFormat="false" ht="15.75" hidden="false" customHeight="false" outlineLevel="0" collapsed="false">
      <c r="A445" s="3" t="s">
        <v>1030</v>
      </c>
      <c r="B445" s="3" t="n">
        <v>-4.01216639930574</v>
      </c>
      <c r="C445" s="3" t="n">
        <v>0.018094153583842</v>
      </c>
      <c r="D445" s="3" t="n">
        <v>1371.90435420973</v>
      </c>
      <c r="E445" s="3" t="n">
        <v>11406.6466207114</v>
      </c>
      <c r="F445" s="3" t="n">
        <v>0.00865460823420316</v>
      </c>
      <c r="G445" s="3" t="n">
        <v>0.971805696880799</v>
      </c>
    </row>
    <row r="446" customFormat="false" ht="15.75" hidden="false" customHeight="false" outlineLevel="0" collapsed="false">
      <c r="A446" s="3" t="s">
        <v>1032</v>
      </c>
      <c r="B446" s="3" t="n">
        <v>-3.84476460676109</v>
      </c>
      <c r="C446" s="3" t="n">
        <v>0.0213914363680458</v>
      </c>
      <c r="D446" s="3" t="n">
        <v>874.44320889965</v>
      </c>
      <c r="E446" s="3" t="n">
        <v>7270.52483155421</v>
      </c>
      <c r="F446" s="3" t="n">
        <v>7.15779934173511E-005</v>
      </c>
      <c r="G446" s="3" t="n">
        <v>0.997796262667715</v>
      </c>
    </row>
    <row r="447" customFormat="false" ht="15.75" hidden="false" customHeight="false" outlineLevel="0" collapsed="false">
      <c r="A447" s="3" t="s">
        <v>1467</v>
      </c>
      <c r="B447" s="3" t="n">
        <v>-4.06877559441766</v>
      </c>
      <c r="C447" s="3" t="n">
        <v>0.0170983109634772</v>
      </c>
      <c r="D447" s="3" t="n">
        <v>1072.98684976273</v>
      </c>
      <c r="E447" s="3" t="n">
        <v>8921.30838885193</v>
      </c>
      <c r="F447" s="3" t="n">
        <v>0.000903924201798406</v>
      </c>
      <c r="G447" s="3"/>
    </row>
    <row r="448" customFormat="false" ht="15.75" hidden="false" customHeight="false" outlineLevel="0" collapsed="false">
      <c r="A448" s="3" t="s">
        <v>1468</v>
      </c>
      <c r="B448" s="3" t="n">
        <v>-2.3260760963258</v>
      </c>
      <c r="C448" s="3" t="n">
        <v>0.0976782762419777</v>
      </c>
      <c r="D448" s="3" t="n">
        <v>306.138463038065</v>
      </c>
      <c r="E448" s="3" t="n">
        <v>2545.3766176684</v>
      </c>
      <c r="F448" s="3" t="n">
        <v>0.000529926809721979</v>
      </c>
      <c r="G448" s="3" t="n">
        <v>0.95283290487975</v>
      </c>
    </row>
    <row r="449" customFormat="false" ht="15.75" hidden="false" customHeight="false" outlineLevel="0" collapsed="false">
      <c r="A449" s="3" t="s">
        <v>1034</v>
      </c>
      <c r="B449" s="3" t="n">
        <v>-4.96321317797806</v>
      </c>
      <c r="C449" s="3" t="n">
        <v>0.0069904302110994</v>
      </c>
      <c r="D449" s="3" t="n">
        <v>1689.91914429653</v>
      </c>
      <c r="E449" s="3" t="n">
        <v>14050.768508326</v>
      </c>
      <c r="F449" s="3" t="n">
        <v>0.0165176442808757</v>
      </c>
      <c r="G449" s="3" t="n">
        <v>0.984261966494268</v>
      </c>
    </row>
    <row r="450" customFormat="false" ht="15.75" hidden="false" customHeight="false" outlineLevel="0" collapsed="false">
      <c r="A450" s="3" t="s">
        <v>1469</v>
      </c>
      <c r="B450" s="3" t="n">
        <v>-6.46422284496248</v>
      </c>
      <c r="C450" s="3" t="n">
        <v>0.00155820175313966</v>
      </c>
      <c r="D450" s="3" t="n">
        <v>2521.75419924204</v>
      </c>
      <c r="E450" s="3" t="n">
        <v>20967.0294629384</v>
      </c>
      <c r="F450" s="3" t="n">
        <v>7.01848720312895E-006</v>
      </c>
      <c r="G450" s="3"/>
    </row>
    <row r="451" customFormat="false" ht="15.75" hidden="false" customHeight="false" outlineLevel="0" collapsed="false">
      <c r="A451" s="3" t="s">
        <v>1470</v>
      </c>
      <c r="B451" s="3" t="n">
        <v>-10.0706962908428</v>
      </c>
      <c r="C451" s="3" t="n">
        <v>4.23011497748569E-005</v>
      </c>
      <c r="D451" s="3" t="n">
        <v>4246.21830763507</v>
      </c>
      <c r="E451" s="3" t="n">
        <v>35305.0207625361</v>
      </c>
      <c r="F451" s="3" t="n">
        <v>0.00848573521328554</v>
      </c>
      <c r="G451" s="3" t="n">
        <v>0.875732256428271</v>
      </c>
    </row>
    <row r="452" customFormat="false" ht="15.75" hidden="false" customHeight="false" outlineLevel="0" collapsed="false">
      <c r="A452" s="3" t="s">
        <v>1036</v>
      </c>
      <c r="B452" s="3" t="n">
        <v>-5.95932032684785</v>
      </c>
      <c r="C452" s="3" t="n">
        <v>0.00258166606496689</v>
      </c>
      <c r="D452" s="3" t="n">
        <v>2260.57153687169</v>
      </c>
      <c r="E452" s="3" t="n">
        <v>18795.4361416013</v>
      </c>
      <c r="F452" s="3" t="n">
        <v>7.64973308701347E-005</v>
      </c>
      <c r="G452" s="3" t="n">
        <v>0.999227397762593</v>
      </c>
    </row>
    <row r="453" customFormat="false" ht="15.75" hidden="false" customHeight="false" outlineLevel="0" collapsed="false">
      <c r="A453" s="3" t="s">
        <v>1038</v>
      </c>
      <c r="B453" s="3" t="n">
        <v>-6.43512774939561</v>
      </c>
      <c r="C453" s="3" t="n">
        <v>0.0016042037532482</v>
      </c>
      <c r="D453" s="3" t="n">
        <v>2678.58180230028</v>
      </c>
      <c r="E453" s="3" t="n">
        <v>22270.9666091172</v>
      </c>
      <c r="F453" s="3" t="n">
        <v>9.48720893637475E-007</v>
      </c>
      <c r="G453" s="3" t="n">
        <v>0.999985660306717</v>
      </c>
    </row>
    <row r="454" customFormat="false" ht="15.75" hidden="false" customHeight="false" outlineLevel="0" collapsed="false">
      <c r="A454" s="3" t="s">
        <v>1040</v>
      </c>
      <c r="B454" s="3" t="n">
        <v>-4.52241206308896</v>
      </c>
      <c r="C454" s="3" t="n">
        <v>0.0108627903074686</v>
      </c>
      <c r="D454" s="3" t="n">
        <v>1239.12045100862</v>
      </c>
      <c r="E454" s="3" t="n">
        <v>10302.619903334</v>
      </c>
      <c r="F454" s="3" t="n">
        <v>0.00424133544149893</v>
      </c>
      <c r="G454" s="3" t="n">
        <v>0.993230614158156</v>
      </c>
    </row>
    <row r="455" customFormat="false" ht="15.75" hidden="false" customHeight="false" outlineLevel="0" collapsed="false">
      <c r="A455" s="3" t="s">
        <v>1042</v>
      </c>
      <c r="B455" s="3" t="n">
        <v>-6.19187515653018</v>
      </c>
      <c r="C455" s="3" t="n">
        <v>0.00204598660881531</v>
      </c>
      <c r="D455" s="3" t="n">
        <v>2428.54231539443</v>
      </c>
      <c r="E455" s="3" t="n">
        <v>20192.022796739</v>
      </c>
      <c r="F455" s="3" t="n">
        <v>0.0014800128610086</v>
      </c>
      <c r="G455" s="3" t="n">
        <v>0.996963179496351</v>
      </c>
    </row>
    <row r="456" customFormat="false" ht="15.75" hidden="false" customHeight="false" outlineLevel="0" collapsed="false">
      <c r="A456" s="3" t="s">
        <v>1471</v>
      </c>
      <c r="B456" s="3" t="n">
        <v>-4.59112908535395</v>
      </c>
      <c r="C456" s="3" t="n">
        <v>0.0101414013988479</v>
      </c>
      <c r="D456" s="3" t="n">
        <v>2163.08668410467</v>
      </c>
      <c r="E456" s="3" t="n">
        <v>17984.9020376943</v>
      </c>
      <c r="F456" s="3" t="n">
        <v>0.000501788320519138</v>
      </c>
      <c r="G456" s="3"/>
    </row>
    <row r="457" customFormat="false" ht="15.75" hidden="false" customHeight="false" outlineLevel="0" collapsed="false">
      <c r="A457" s="3" t="s">
        <v>248</v>
      </c>
      <c r="B457" s="3"/>
      <c r="C457" s="3"/>
      <c r="D457" s="3"/>
      <c r="E457" s="3"/>
      <c r="F457" s="3"/>
      <c r="G457" s="3"/>
    </row>
    <row r="458" customFormat="false" ht="15.75" hidden="false" customHeight="false" outlineLevel="0" collapsed="false">
      <c r="A458" s="3" t="s">
        <v>1044</v>
      </c>
      <c r="B458" s="3" t="n">
        <v>-4.33195224007416</v>
      </c>
      <c r="C458" s="3" t="n">
        <v>0.0131418663522208</v>
      </c>
      <c r="D458" s="3" t="n">
        <v>1576.26447477521</v>
      </c>
      <c r="E458" s="3" t="n">
        <v>13105.7910774685</v>
      </c>
      <c r="F458" s="3" t="n">
        <v>0.00169067940546658</v>
      </c>
      <c r="G458" s="3" t="n">
        <v>0.993718212802095</v>
      </c>
    </row>
    <row r="459" customFormat="false" ht="15.75" hidden="false" customHeight="false" outlineLevel="0" collapsed="false">
      <c r="A459" s="3" t="s">
        <v>1046</v>
      </c>
      <c r="B459" s="3" t="n">
        <v>-4.83077192237828</v>
      </c>
      <c r="C459" s="3" t="n">
        <v>0.00798035867029445</v>
      </c>
      <c r="D459" s="3" t="n">
        <v>1814.51613464607</v>
      </c>
      <c r="E459" s="3" t="n">
        <v>15086.7254499017</v>
      </c>
      <c r="F459" s="3" t="n">
        <v>0.000134745673133065</v>
      </c>
      <c r="G459" s="3" t="n">
        <v>0.99895893172255</v>
      </c>
    </row>
    <row r="460" customFormat="false" ht="15.75" hidden="false" customHeight="false" outlineLevel="0" collapsed="false">
      <c r="A460" s="3" t="s">
        <v>1048</v>
      </c>
      <c r="B460" s="3" t="n">
        <v>-7.15031672854236</v>
      </c>
      <c r="C460" s="3" t="n">
        <v>0.000784615531817948</v>
      </c>
      <c r="D460" s="3" t="n">
        <v>2727.97928770094</v>
      </c>
      <c r="E460" s="3" t="n">
        <v>22681.6801243765</v>
      </c>
      <c r="F460" s="3" t="n">
        <v>0.0283357955318272</v>
      </c>
      <c r="G460" s="3" t="n">
        <v>0.946424023995134</v>
      </c>
    </row>
    <row r="461" customFormat="false" ht="15.75" hidden="false" customHeight="false" outlineLevel="0" collapsed="false">
      <c r="A461" s="3" t="s">
        <v>1050</v>
      </c>
      <c r="B461" s="3" t="n">
        <v>-5.13027713823697</v>
      </c>
      <c r="C461" s="3" t="n">
        <v>0.00591492099573479</v>
      </c>
      <c r="D461" s="3" t="n">
        <v>1955.5776017445</v>
      </c>
      <c r="E461" s="3" t="n">
        <v>16259.5756577558</v>
      </c>
      <c r="F461" s="3" t="n">
        <v>8.55780156298688E-005</v>
      </c>
      <c r="G461" s="3" t="n">
        <v>0.999346363134778</v>
      </c>
    </row>
    <row r="462" customFormat="false" ht="15.75" hidden="false" customHeight="false" outlineLevel="0" collapsed="false">
      <c r="A462" s="3" t="s">
        <v>250</v>
      </c>
      <c r="B462" s="3" t="n">
        <v>-1.53772320505817</v>
      </c>
      <c r="C462" s="3" t="n">
        <v>0.214869759310137</v>
      </c>
      <c r="D462" s="3" t="n">
        <v>1231.2313761239</v>
      </c>
      <c r="E462" s="3" t="n">
        <v>10237.0264899899</v>
      </c>
      <c r="F462" s="3" t="n">
        <v>0.103613516472992</v>
      </c>
      <c r="G462" s="3"/>
    </row>
    <row r="463" customFormat="false" ht="15.75" hidden="false" customHeight="false" outlineLevel="0" collapsed="false">
      <c r="A463" s="3" t="s">
        <v>1052</v>
      </c>
      <c r="B463" s="3" t="n">
        <v>-4.40973271415628</v>
      </c>
      <c r="C463" s="3" t="n">
        <v>0.0121584276712426</v>
      </c>
      <c r="D463" s="3" t="n">
        <v>1118.25677063007</v>
      </c>
      <c r="E463" s="3" t="n">
        <v>9297.70342564643</v>
      </c>
      <c r="F463" s="3" t="n">
        <v>0.000137948565337437</v>
      </c>
      <c r="G463" s="3" t="n">
        <v>0.999636310382761</v>
      </c>
    </row>
    <row r="464" customFormat="false" ht="15.75" hidden="false" customHeight="false" outlineLevel="0" collapsed="false">
      <c r="A464" s="3" t="s">
        <v>128</v>
      </c>
      <c r="B464" s="3" t="n">
        <v>-6.06119874920909</v>
      </c>
      <c r="C464" s="3" t="n">
        <v>0.00233160420290816</v>
      </c>
      <c r="D464" s="3" t="n">
        <v>2287.10712773766</v>
      </c>
      <c r="E464" s="3" t="n">
        <v>19016.0653035039</v>
      </c>
      <c r="F464" s="3" t="n">
        <v>7.46833996570177E-005</v>
      </c>
      <c r="G464" s="3"/>
    </row>
    <row r="465" customFormat="false" ht="15.75" hidden="false" customHeight="false" outlineLevel="0" collapsed="false">
      <c r="A465" s="3" t="s">
        <v>1472</v>
      </c>
      <c r="B465" s="3" t="n">
        <v>-4.93363488563172</v>
      </c>
      <c r="C465" s="3" t="n">
        <v>0.00720028345034384</v>
      </c>
      <c r="D465" s="3" t="n">
        <v>2196.79901861971</v>
      </c>
      <c r="E465" s="3" t="n">
        <v>18265.2019619509</v>
      </c>
      <c r="F465" s="3" t="n">
        <v>0.000171016257532821</v>
      </c>
      <c r="G465" s="3"/>
    </row>
    <row r="466" customFormat="false" ht="15.75" hidden="false" customHeight="false" outlineLevel="0" collapsed="false">
      <c r="A466" s="3" t="s">
        <v>1054</v>
      </c>
      <c r="B466" s="3" t="n">
        <v>-5.1753168231496</v>
      </c>
      <c r="C466" s="3" t="n">
        <v>0.00565442517734243</v>
      </c>
      <c r="D466" s="3" t="n">
        <v>1659.3676448269</v>
      </c>
      <c r="E466" s="3" t="n">
        <v>13796.7492269427</v>
      </c>
      <c r="F466" s="3" t="n">
        <v>0.000796863426255842</v>
      </c>
      <c r="G466" s="3" t="n">
        <v>0.998610542985008</v>
      </c>
    </row>
    <row r="467" customFormat="false" ht="15.75" hidden="false" customHeight="false" outlineLevel="0" collapsed="false">
      <c r="A467" s="3" t="s">
        <v>1056</v>
      </c>
      <c r="B467" s="3" t="n">
        <v>-4.47561995950459</v>
      </c>
      <c r="C467" s="3" t="n">
        <v>0.0113831628365104</v>
      </c>
      <c r="D467" s="3" t="n">
        <v>1272.5605737868</v>
      </c>
      <c r="E467" s="3" t="n">
        <v>10580.6565334485</v>
      </c>
      <c r="F467" s="3" t="n">
        <v>2.16672729322093E-007</v>
      </c>
      <c r="G467" s="3" t="n">
        <v>0.995201525745149</v>
      </c>
    </row>
    <row r="468" customFormat="false" ht="15.75" hidden="false" customHeight="false" outlineLevel="0" collapsed="false">
      <c r="A468" s="3" t="s">
        <v>1058</v>
      </c>
      <c r="B468" s="3" t="n">
        <v>-3.70747798949168</v>
      </c>
      <c r="C468" s="3" t="n">
        <v>0.0245393337531411</v>
      </c>
      <c r="D468" s="3" t="n">
        <v>701.112712085861</v>
      </c>
      <c r="E468" s="3" t="n">
        <v>5829.37500235483</v>
      </c>
      <c r="F468" s="3" t="n">
        <v>0.000871890328923435</v>
      </c>
      <c r="G468" s="3" t="n">
        <v>0.990712588038798</v>
      </c>
    </row>
    <row r="469" customFormat="false" ht="15.75" hidden="false" customHeight="false" outlineLevel="0" collapsed="false">
      <c r="A469" s="3" t="s">
        <v>1060</v>
      </c>
      <c r="B469" s="3" t="n">
        <v>-4.19694712396452</v>
      </c>
      <c r="C469" s="3" t="n">
        <v>0.0150414264085355</v>
      </c>
      <c r="D469" s="3" t="n">
        <v>1167.30345551987</v>
      </c>
      <c r="E469" s="3" t="n">
        <v>9705.50022338867</v>
      </c>
      <c r="F469" s="3" t="n">
        <v>7.00013153453766E-005</v>
      </c>
      <c r="G469" s="3" t="n">
        <v>0.999759922745099</v>
      </c>
    </row>
    <row r="470" customFormat="false" ht="15.75" hidden="false" customHeight="false" outlineLevel="0" collapsed="false">
      <c r="A470" s="3" t="s">
        <v>130</v>
      </c>
      <c r="B470" s="3" t="n">
        <v>-6.17583470322355</v>
      </c>
      <c r="C470" s="3" t="n">
        <v>0.00207906978672042</v>
      </c>
      <c r="D470" s="3" t="n">
        <v>2825.95955173992</v>
      </c>
      <c r="E470" s="3" t="n">
        <v>23496.3333064786</v>
      </c>
      <c r="F470" s="3" t="n">
        <v>0.00015143786551965</v>
      </c>
      <c r="G470" s="3"/>
    </row>
    <row r="471" customFormat="false" ht="15.75" hidden="false" customHeight="false" outlineLevel="0" collapsed="false">
      <c r="A471" s="3" t="s">
        <v>1062</v>
      </c>
      <c r="B471" s="3" t="n">
        <v>-5.15051675585166</v>
      </c>
      <c r="C471" s="3" t="n">
        <v>0.00579640862470673</v>
      </c>
      <c r="D471" s="3" t="n">
        <v>1544.17458272824</v>
      </c>
      <c r="E471" s="3" t="n">
        <v>12838.9808894598</v>
      </c>
      <c r="F471" s="3" t="n">
        <v>0.00658284292838344</v>
      </c>
      <c r="G471" s="3" t="n">
        <v>0.988688892644576</v>
      </c>
    </row>
    <row r="472" customFormat="false" ht="15.75" hidden="false" customHeight="false" outlineLevel="0" collapsed="false">
      <c r="A472" s="3" t="s">
        <v>1064</v>
      </c>
      <c r="B472" s="3" t="n">
        <v>-8.01359936287717</v>
      </c>
      <c r="C472" s="3" t="n">
        <v>0.000330931430427402</v>
      </c>
      <c r="D472" s="3" t="n">
        <v>3165.77614440608</v>
      </c>
      <c r="E472" s="3" t="n">
        <v>26321.7254531708</v>
      </c>
      <c r="F472" s="3" t="n">
        <v>0.0322759175096541</v>
      </c>
      <c r="G472" s="3" t="n">
        <v>0.97108544899714</v>
      </c>
    </row>
    <row r="473" customFormat="false" ht="15.75" hidden="false" customHeight="false" outlineLevel="0" collapsed="false">
      <c r="A473" s="3" t="s">
        <v>132</v>
      </c>
      <c r="B473" s="3"/>
      <c r="C473" s="3"/>
      <c r="D473" s="3"/>
      <c r="E473" s="3"/>
      <c r="F473" s="3"/>
      <c r="G473" s="3"/>
    </row>
    <row r="474" customFormat="false" ht="15.75" hidden="false" customHeight="false" outlineLevel="0" collapsed="false">
      <c r="A474" s="3" t="s">
        <v>1066</v>
      </c>
      <c r="B474" s="3" t="n">
        <v>-4.51318241438925</v>
      </c>
      <c r="C474" s="3" t="n">
        <v>0.0109635141537393</v>
      </c>
      <c r="D474" s="3" t="n">
        <v>1591.02403439749</v>
      </c>
      <c r="E474" s="3" t="n">
        <v>13228.5088750847</v>
      </c>
      <c r="F474" s="3" t="n">
        <v>0.000167524254805369</v>
      </c>
      <c r="G474" s="3" t="n">
        <v>0.996610272982926</v>
      </c>
    </row>
    <row r="475" customFormat="false" ht="15.75" hidden="false" customHeight="false" outlineLevel="0" collapsed="false">
      <c r="A475" s="3" t="s">
        <v>1068</v>
      </c>
      <c r="B475" s="3" t="n">
        <v>-4.93423681734958</v>
      </c>
      <c r="C475" s="3" t="n">
        <v>0.00719595067550563</v>
      </c>
      <c r="D475" s="3" t="n">
        <v>1743.96108009837</v>
      </c>
      <c r="E475" s="3" t="n">
        <v>14500.0981299569</v>
      </c>
      <c r="F475" s="3" t="n">
        <v>0.000535120099651094</v>
      </c>
      <c r="G475" s="3" t="n">
        <v>0.998069879680182</v>
      </c>
    </row>
    <row r="476" customFormat="false" ht="15.75" hidden="false" customHeight="false" outlineLevel="0" collapsed="false">
      <c r="A476" s="3" t="s">
        <v>1070</v>
      </c>
      <c r="B476" s="3" t="n">
        <v>-4.60361876820166</v>
      </c>
      <c r="C476" s="3" t="n">
        <v>0.010015526218576</v>
      </c>
      <c r="D476" s="3" t="n">
        <v>1375.90934206981</v>
      </c>
      <c r="E476" s="3" t="n">
        <v>11439.9459400844</v>
      </c>
      <c r="F476" s="3" t="n">
        <v>3.93829263614676E-005</v>
      </c>
      <c r="G476" s="3" t="n">
        <v>0.999711829244229</v>
      </c>
    </row>
    <row r="477" customFormat="false" ht="15.75" hidden="false" customHeight="false" outlineLevel="0" collapsed="false">
      <c r="A477" s="3" t="s">
        <v>252</v>
      </c>
      <c r="B477" s="3" t="n">
        <v>-4.59640579650469</v>
      </c>
      <c r="C477" s="3" t="n">
        <v>0.010088029091966</v>
      </c>
      <c r="D477" s="3" t="n">
        <v>1584.0666402554</v>
      </c>
      <c r="E477" s="3" t="n">
        <v>13170.6618858712</v>
      </c>
      <c r="F477" s="3" t="n">
        <v>1.84548998127054E-005</v>
      </c>
      <c r="G477" s="3"/>
    </row>
    <row r="478" customFormat="false" ht="15.75" hidden="false" customHeight="false" outlineLevel="0" collapsed="false">
      <c r="A478" s="3" t="s">
        <v>254</v>
      </c>
      <c r="B478" s="3" t="n">
        <v>-5.16944659273277</v>
      </c>
      <c r="C478" s="3" t="n">
        <v>0.00568771557155272</v>
      </c>
      <c r="D478" s="3" t="n">
        <v>1670.71499706592</v>
      </c>
      <c r="E478" s="3" t="n">
        <v>13891.0963559347</v>
      </c>
      <c r="F478" s="3" t="n">
        <v>1.95421708241629E-006</v>
      </c>
      <c r="G478" s="3"/>
    </row>
    <row r="479" customFormat="false" ht="15.75" hidden="false" customHeight="false" outlineLevel="0" collapsed="false">
      <c r="A479" s="3" t="s">
        <v>1072</v>
      </c>
      <c r="B479" s="3" t="n">
        <v>-6.24120114194312</v>
      </c>
      <c r="C479" s="3" t="n">
        <v>0.0019475148755998</v>
      </c>
      <c r="D479" s="3" t="n">
        <v>2396.17175363376</v>
      </c>
      <c r="E479" s="3" t="n">
        <v>19922.8789910613</v>
      </c>
      <c r="F479" s="3" t="n">
        <v>0.0140085045407773</v>
      </c>
      <c r="G479" s="3" t="n">
        <v>0.966650725638722</v>
      </c>
    </row>
    <row r="480" customFormat="false" ht="15.75" hidden="false" customHeight="false" outlineLevel="0" collapsed="false">
      <c r="A480" s="3" t="s">
        <v>1473</v>
      </c>
      <c r="B480" s="3"/>
      <c r="C480" s="3"/>
      <c r="D480" s="3"/>
      <c r="E480" s="3"/>
      <c r="F480" s="3"/>
      <c r="G480" s="3"/>
    </row>
    <row r="481" customFormat="false" ht="15.75" hidden="false" customHeight="false" outlineLevel="0" collapsed="false">
      <c r="A481" s="3" t="s">
        <v>1074</v>
      </c>
      <c r="B481" s="3" t="n">
        <v>-4.19620882734579</v>
      </c>
      <c r="C481" s="3" t="n">
        <v>0.0150525355432074</v>
      </c>
      <c r="D481" s="3" t="n">
        <v>1362.97685712482</v>
      </c>
      <c r="E481" s="3" t="n">
        <v>11332.4192854437</v>
      </c>
      <c r="F481" s="3" t="n">
        <v>0.000286703773205791</v>
      </c>
      <c r="G481" s="3" t="n">
        <v>0.997943714451129</v>
      </c>
    </row>
    <row r="482" customFormat="false" ht="15.75" hidden="false" customHeight="false" outlineLevel="0" collapsed="false">
      <c r="A482" s="3" t="s">
        <v>1076</v>
      </c>
      <c r="B482" s="3" t="n">
        <v>-5.44595221381216</v>
      </c>
      <c r="C482" s="3" t="n">
        <v>0.00431373045763476</v>
      </c>
      <c r="D482" s="3" t="n">
        <v>1855.9440894672</v>
      </c>
      <c r="E482" s="3" t="n">
        <v>15431.1766059996</v>
      </c>
      <c r="F482" s="3" t="n">
        <v>0.00552054342316287</v>
      </c>
      <c r="G482" s="3" t="n">
        <v>0.989874145055535</v>
      </c>
    </row>
    <row r="483" customFormat="false" ht="15.75" hidden="false" customHeight="false" outlineLevel="0" collapsed="false">
      <c r="A483" s="3" t="s">
        <v>1474</v>
      </c>
      <c r="B483" s="3"/>
      <c r="C483" s="3"/>
      <c r="D483" s="3"/>
      <c r="E483" s="3"/>
      <c r="F483" s="3"/>
      <c r="G483" s="3"/>
    </row>
    <row r="484" customFormat="false" ht="15.75" hidden="false" customHeight="false" outlineLevel="0" collapsed="false">
      <c r="A484" s="3" t="s">
        <v>1078</v>
      </c>
      <c r="B484" s="3" t="n">
        <v>-3.12949470471676</v>
      </c>
      <c r="C484" s="3" t="n">
        <v>0.0437398932315232</v>
      </c>
      <c r="D484" s="3" t="n">
        <v>743.895862531769</v>
      </c>
      <c r="E484" s="3" t="n">
        <v>6185.09388097762</v>
      </c>
      <c r="F484" s="3" t="n">
        <v>0.000139119635872843</v>
      </c>
      <c r="G484" s="3" t="n">
        <v>0.999277687821457</v>
      </c>
    </row>
    <row r="485" customFormat="false" ht="15.75" hidden="false" customHeight="false" outlineLevel="0" collapsed="false">
      <c r="A485" s="3" t="s">
        <v>1080</v>
      </c>
      <c r="B485" s="3" t="n">
        <v>-3.86975497574735</v>
      </c>
      <c r="C485" s="3" t="n">
        <v>0.0208634808577816</v>
      </c>
      <c r="D485" s="3" t="n">
        <v>1160.3668297318</v>
      </c>
      <c r="E485" s="3" t="n">
        <v>9647.8259118655</v>
      </c>
      <c r="F485" s="3" t="n">
        <v>0.000132484648287902</v>
      </c>
      <c r="G485" s="3" t="n">
        <v>0.998211381471216</v>
      </c>
    </row>
    <row r="486" customFormat="false" ht="15.75" hidden="false" customHeight="false" outlineLevel="0" collapsed="false">
      <c r="A486" s="3" t="s">
        <v>1082</v>
      </c>
      <c r="B486" s="3" t="n">
        <v>-4.3725957030649</v>
      </c>
      <c r="C486" s="3" t="n">
        <v>0.0126184442872056</v>
      </c>
      <c r="D486" s="3" t="n">
        <v>1183.40276025046</v>
      </c>
      <c r="E486" s="3" t="n">
        <v>9839.35728079758</v>
      </c>
      <c r="F486" s="3" t="n">
        <v>3.79695992701187E-006</v>
      </c>
      <c r="G486" s="3" t="n">
        <v>0.999124758033177</v>
      </c>
    </row>
    <row r="487" customFormat="false" ht="15.75" hidden="false" customHeight="false" outlineLevel="0" collapsed="false">
      <c r="A487" s="3" t="s">
        <v>1084</v>
      </c>
      <c r="B487" s="3" t="n">
        <v>-3.99778855993412</v>
      </c>
      <c r="C487" s="3" t="n">
        <v>0.0183561876454524</v>
      </c>
      <c r="D487" s="3" t="n">
        <v>954.881222601275</v>
      </c>
      <c r="E487" s="3" t="n">
        <v>7939.32363983185</v>
      </c>
      <c r="F487" s="3" t="n">
        <v>5.17769807073448E-006</v>
      </c>
      <c r="G487" s="3" t="n">
        <v>0.999217426883488</v>
      </c>
    </row>
    <row r="488" customFormat="false" ht="15.75" hidden="false" customHeight="false" outlineLevel="0" collapsed="false">
      <c r="A488" s="3" t="s">
        <v>1086</v>
      </c>
      <c r="B488" s="3" t="n">
        <v>-7.24509988144147</v>
      </c>
      <c r="C488" s="3" t="n">
        <v>0.000713662867544526</v>
      </c>
      <c r="D488" s="3" t="n">
        <v>2797.02612286174</v>
      </c>
      <c r="E488" s="3" t="n">
        <v>23255.7674115413</v>
      </c>
      <c r="F488" s="3" t="n">
        <v>0.000512041137356564</v>
      </c>
      <c r="G488" s="3" t="n">
        <v>0.994271008160824</v>
      </c>
    </row>
    <row r="489" customFormat="false" ht="15.75" hidden="false" customHeight="false" outlineLevel="0" collapsed="false">
      <c r="A489" s="3" t="s">
        <v>1088</v>
      </c>
      <c r="B489" s="3" t="n">
        <v>-4.355075012</v>
      </c>
      <c r="C489" s="3" t="n">
        <v>0.0128414762832305</v>
      </c>
      <c r="D489" s="3" t="n">
        <v>1022.9607021973</v>
      </c>
      <c r="E489" s="3" t="n">
        <v>8505.36788591278</v>
      </c>
      <c r="F489" s="3" t="n">
        <v>4.98829693926696E-005</v>
      </c>
      <c r="G489" s="3" t="n">
        <v>0.999663703387747</v>
      </c>
    </row>
    <row r="490" customFormat="false" ht="15.75" hidden="false" customHeight="false" outlineLevel="0" collapsed="false">
      <c r="A490" s="3" t="s">
        <v>1090</v>
      </c>
      <c r="B490" s="3" t="n">
        <v>-4.24450198352489</v>
      </c>
      <c r="C490" s="3" t="n">
        <v>0.0143428748886389</v>
      </c>
      <c r="D490" s="3" t="n">
        <v>1050.46670389895</v>
      </c>
      <c r="E490" s="3" t="n">
        <v>8734.06549183311</v>
      </c>
      <c r="F490" s="3" t="n">
        <v>9.11796739547017E-006</v>
      </c>
      <c r="G490" s="3" t="n">
        <v>0.999816469903447</v>
      </c>
    </row>
    <row r="491" customFormat="false" ht="15.75" hidden="false" customHeight="false" outlineLevel="0" collapsed="false">
      <c r="A491" s="3" t="s">
        <v>134</v>
      </c>
      <c r="B491" s="3" t="n">
        <v>-5.23777617969646</v>
      </c>
      <c r="C491" s="3" t="n">
        <v>0.00531205677023987</v>
      </c>
      <c r="D491" s="3" t="n">
        <v>2117.56506351938</v>
      </c>
      <c r="E491" s="3" t="n">
        <v>17606.4142531595</v>
      </c>
      <c r="F491" s="3" t="n">
        <v>0.000429327925659827</v>
      </c>
      <c r="G491" s="3"/>
    </row>
    <row r="492" customFormat="false" ht="15.75" hidden="false" customHeight="false" outlineLevel="0" collapsed="false">
      <c r="A492" s="3" t="s">
        <v>1092</v>
      </c>
      <c r="B492" s="3" t="n">
        <v>-5.67952617700201</v>
      </c>
      <c r="C492" s="3" t="n">
        <v>0.00341517624913742</v>
      </c>
      <c r="D492" s="3" t="n">
        <v>1999.56024541296</v>
      </c>
      <c r="E492" s="3" t="n">
        <v>16625.2676771968</v>
      </c>
      <c r="F492" s="3" t="n">
        <v>0.00199960094117782</v>
      </c>
      <c r="G492" s="3" t="n">
        <v>0.991191685744698</v>
      </c>
    </row>
    <row r="493" customFormat="false" ht="15.75" hidden="false" customHeight="false" outlineLevel="0" collapsed="false">
      <c r="A493" s="3" t="s">
        <v>1094</v>
      </c>
      <c r="B493" s="3" t="n">
        <v>-3.73254806072949</v>
      </c>
      <c r="C493" s="3" t="n">
        <v>0.0239317784559169</v>
      </c>
      <c r="D493" s="3" t="n">
        <v>1059.26802283589</v>
      </c>
      <c r="E493" s="3" t="n">
        <v>8807.24372368413</v>
      </c>
      <c r="F493" s="3" t="n">
        <v>3.9104547348289E-006</v>
      </c>
      <c r="G493" s="3" t="n">
        <v>0.999906319285157</v>
      </c>
    </row>
    <row r="494" customFormat="false" ht="15.75" hidden="false" customHeight="false" outlineLevel="0" collapsed="false">
      <c r="A494" s="3" t="s">
        <v>1096</v>
      </c>
      <c r="B494" s="3" t="n">
        <v>-4.54230101942252</v>
      </c>
      <c r="C494" s="3" t="n">
        <v>0.0106488750722702</v>
      </c>
      <c r="D494" s="3" t="n">
        <v>1557.65053246797</v>
      </c>
      <c r="E494" s="3" t="n">
        <v>12951.0261614847</v>
      </c>
      <c r="F494" s="3" t="n">
        <v>5.46603393990171E-006</v>
      </c>
      <c r="G494" s="3" t="n">
        <v>0.999902178958099</v>
      </c>
    </row>
    <row r="495" customFormat="false" ht="15.75" hidden="false" customHeight="false" outlineLevel="0" collapsed="false">
      <c r="A495" s="3" t="s">
        <v>136</v>
      </c>
      <c r="B495" s="3" t="n">
        <v>-4.76761841852375</v>
      </c>
      <c r="C495" s="3" t="n">
        <v>0.00850060094542022</v>
      </c>
      <c r="D495" s="3" t="n">
        <v>1688.9881158696</v>
      </c>
      <c r="E495" s="3" t="n">
        <v>14043.0275078494</v>
      </c>
      <c r="F495" s="3" t="n">
        <v>0.000262807040696264</v>
      </c>
      <c r="G495" s="3"/>
    </row>
    <row r="496" customFormat="false" ht="15.75" hidden="false" customHeight="false" outlineLevel="0" collapsed="false">
      <c r="A496" s="3" t="s">
        <v>1098</v>
      </c>
      <c r="B496" s="3" t="n">
        <v>-6.08482025288327</v>
      </c>
      <c r="C496" s="3" t="n">
        <v>0.00227717360285987</v>
      </c>
      <c r="D496" s="3" t="n">
        <v>2195.30465920386</v>
      </c>
      <c r="E496" s="3" t="n">
        <v>18252.7771673735</v>
      </c>
      <c r="F496" s="3" t="n">
        <v>0.00100783410353814</v>
      </c>
      <c r="G496" s="3" t="n">
        <v>0.990945976147165</v>
      </c>
    </row>
    <row r="497" customFormat="false" ht="15.75" hidden="false" customHeight="false" outlineLevel="0" collapsed="false">
      <c r="A497" s="3" t="s">
        <v>1100</v>
      </c>
      <c r="B497" s="3" t="n">
        <v>-4.14638064644024</v>
      </c>
      <c r="C497" s="3" t="n">
        <v>0.0158215768611836</v>
      </c>
      <c r="D497" s="3" t="n">
        <v>1086.78413797405</v>
      </c>
      <c r="E497" s="3" t="n">
        <v>9036.02541738803</v>
      </c>
      <c r="F497" s="3" t="n">
        <v>0.00036901025690995</v>
      </c>
      <c r="G497" s="3" t="n">
        <v>0.993352197367915</v>
      </c>
    </row>
    <row r="498" customFormat="false" ht="15.75" hidden="false" customHeight="false" outlineLevel="0" collapsed="false">
      <c r="A498" s="3" t="s">
        <v>1102</v>
      </c>
      <c r="B498" s="3" t="n">
        <v>-4.91115242085403</v>
      </c>
      <c r="C498" s="3" t="n">
        <v>0.00736399701579322</v>
      </c>
      <c r="D498" s="3" t="n">
        <v>2336.32611588183</v>
      </c>
      <c r="E498" s="3" t="n">
        <v>19425.294710107</v>
      </c>
      <c r="F498" s="3" t="n">
        <v>1.21536168376078E-007</v>
      </c>
      <c r="G498" s="3" t="n">
        <v>0.99996264451545</v>
      </c>
    </row>
    <row r="499" customFormat="false" ht="15.75" hidden="false" customHeight="false" outlineLevel="0" collapsed="false">
      <c r="A499" s="3" t="s">
        <v>1104</v>
      </c>
      <c r="B499" s="3" t="n">
        <v>-4.23056421871101</v>
      </c>
      <c r="C499" s="3" t="n">
        <v>0.0145441821332673</v>
      </c>
      <c r="D499" s="3" t="n">
        <v>1228.21071665707</v>
      </c>
      <c r="E499" s="3" t="n">
        <v>10211.911331638</v>
      </c>
      <c r="F499" s="3" t="n">
        <v>0.000344479289412305</v>
      </c>
      <c r="G499" s="3" t="n">
        <v>0.997011810540612</v>
      </c>
    </row>
    <row r="500" customFormat="false" ht="15.75" hidden="false" customHeight="false" outlineLevel="0" collapsed="false">
      <c r="A500" s="3" t="s">
        <v>1106</v>
      </c>
      <c r="B500" s="3" t="n">
        <v>-4.41653686233634</v>
      </c>
      <c r="C500" s="3" t="n">
        <v>0.0120759807363948</v>
      </c>
      <c r="D500" s="3" t="n">
        <v>1887.41759009834</v>
      </c>
      <c r="E500" s="3" t="n">
        <v>15692.8618310042</v>
      </c>
      <c r="F500" s="3" t="n">
        <v>8.77947473417864E-005</v>
      </c>
      <c r="G500" s="3" t="n">
        <v>0.957758074882445</v>
      </c>
    </row>
    <row r="501" customFormat="false" ht="15.75" hidden="false" customHeight="false" outlineLevel="0" collapsed="false">
      <c r="A501" s="3" t="s">
        <v>1108</v>
      </c>
      <c r="B501" s="3" t="n">
        <v>-5.40730778786332</v>
      </c>
      <c r="C501" s="3" t="n">
        <v>0.00448369503518659</v>
      </c>
      <c r="D501" s="3" t="n">
        <v>1684.68606981449</v>
      </c>
      <c r="E501" s="3" t="n">
        <v>14007.2583094019</v>
      </c>
      <c r="F501" s="3" t="n">
        <v>0.000602693433755268</v>
      </c>
      <c r="G501" s="3" t="n">
        <v>0.997969720644686</v>
      </c>
    </row>
    <row r="502" customFormat="false" ht="15.75" hidden="false" customHeight="false" outlineLevel="0" collapsed="false">
      <c r="A502" s="3" t="s">
        <v>1110</v>
      </c>
      <c r="B502" s="3" t="n">
        <v>-5.29192767168977</v>
      </c>
      <c r="C502" s="3" t="n">
        <v>0.00503205076253979</v>
      </c>
      <c r="D502" s="3" t="n">
        <v>1481.78695921495</v>
      </c>
      <c r="E502" s="3" t="n">
        <v>12320.2613644883</v>
      </c>
      <c r="F502" s="3" t="n">
        <v>0.0304997232006631</v>
      </c>
      <c r="G502" s="3" t="n">
        <v>0.955076054668917</v>
      </c>
    </row>
    <row r="503" customFormat="false" ht="15.75" hidden="false" customHeight="false" outlineLevel="0" collapsed="false">
      <c r="A503" s="3" t="s">
        <v>1112</v>
      </c>
      <c r="B503" s="3" t="n">
        <v>-4.24128323030146</v>
      </c>
      <c r="C503" s="3" t="n">
        <v>0.0143891154419625</v>
      </c>
      <c r="D503" s="3" t="n">
        <v>1494.52757999924</v>
      </c>
      <c r="E503" s="3" t="n">
        <v>12426.1927718556</v>
      </c>
      <c r="F503" s="3" t="n">
        <v>0.000179801316026479</v>
      </c>
      <c r="G503" s="3" t="n">
        <v>0.9991875907181</v>
      </c>
    </row>
    <row r="504" customFormat="false" ht="15.75" hidden="false" customHeight="false" outlineLevel="0" collapsed="false">
      <c r="A504" s="3" t="s">
        <v>1475</v>
      </c>
      <c r="B504" s="3" t="n">
        <v>-4.64938574388013</v>
      </c>
      <c r="C504" s="3" t="n">
        <v>0.00956747700726132</v>
      </c>
      <c r="D504" s="3" t="n">
        <v>1598.02695311781</v>
      </c>
      <c r="E504" s="3" t="n">
        <v>13286.7343766738</v>
      </c>
      <c r="F504" s="3" t="n">
        <v>9.51269081034635E-005</v>
      </c>
      <c r="G504" s="3"/>
    </row>
    <row r="505" customFormat="false" ht="15.75" hidden="false" customHeight="false" outlineLevel="0" collapsed="false">
      <c r="A505" s="3" t="s">
        <v>1114</v>
      </c>
      <c r="B505" s="3" t="n">
        <v>-5.0561097341372</v>
      </c>
      <c r="C505" s="3" t="n">
        <v>0.00637029350617335</v>
      </c>
      <c r="D505" s="3" t="n">
        <v>1823.66226400694</v>
      </c>
      <c r="E505" s="3" t="n">
        <v>15162.7705949197</v>
      </c>
      <c r="F505" s="3" t="n">
        <v>0.00263519864025748</v>
      </c>
      <c r="G505" s="3" t="n">
        <v>0.99303232603968</v>
      </c>
    </row>
    <row r="506" customFormat="false" ht="15.75" hidden="false" customHeight="false" outlineLevel="0" collapsed="false">
      <c r="A506" s="3" t="s">
        <v>1116</v>
      </c>
      <c r="B506" s="3" t="n">
        <v>-5.6980949064806</v>
      </c>
      <c r="C506" s="3" t="n">
        <v>0.00335234591033037</v>
      </c>
      <c r="D506" s="3" t="n">
        <v>2122.22487151803</v>
      </c>
      <c r="E506" s="3" t="n">
        <v>17645.1580496915</v>
      </c>
      <c r="F506" s="3" t="n">
        <v>0.00822827085473543</v>
      </c>
      <c r="G506" s="3" t="n">
        <v>0.982625798303611</v>
      </c>
    </row>
    <row r="507" customFormat="false" ht="15.75" hidden="false" customHeight="false" outlineLevel="0" collapsed="false">
      <c r="A507" s="3" t="s">
        <v>1118</v>
      </c>
      <c r="B507" s="3" t="n">
        <v>-4.34603312579228</v>
      </c>
      <c r="C507" s="3" t="n">
        <v>0.0129581139682116</v>
      </c>
      <c r="D507" s="3" t="n">
        <v>1187.27962363364</v>
      </c>
      <c r="E507" s="3" t="n">
        <v>9871.59131407617</v>
      </c>
      <c r="F507" s="3" t="n">
        <v>0.000695104345261728</v>
      </c>
      <c r="G507" s="3" t="n">
        <v>0.997818642374478</v>
      </c>
    </row>
    <row r="508" customFormat="false" ht="15.75" hidden="false" customHeight="false" outlineLevel="0" collapsed="false">
      <c r="A508" s="3" t="s">
        <v>256</v>
      </c>
      <c r="B508" s="3" t="n">
        <v>-4.93366767328418</v>
      </c>
      <c r="C508" s="3" t="n">
        <v>0.0072000473738227</v>
      </c>
      <c r="D508" s="3" t="n">
        <v>1676.75415501876</v>
      </c>
      <c r="E508" s="3" t="n">
        <v>13941.3087052456</v>
      </c>
      <c r="F508" s="3" t="n">
        <v>2.01844917521616E-005</v>
      </c>
      <c r="G508" s="3"/>
    </row>
    <row r="509" customFormat="false" ht="15.75" hidden="false" customHeight="false" outlineLevel="0" collapsed="false">
      <c r="A509" s="3" t="s">
        <v>258</v>
      </c>
      <c r="B509" s="3" t="n">
        <v>-10.9882273426167</v>
      </c>
      <c r="C509" s="3" t="n">
        <v>1.68994861365854E-005</v>
      </c>
      <c r="D509" s="3" t="n">
        <v>3747.74257043383</v>
      </c>
      <c r="E509" s="3" t="n">
        <v>31160.4631876544</v>
      </c>
      <c r="F509" s="3" t="n">
        <v>0.0306344729548893</v>
      </c>
      <c r="G509" s="3"/>
    </row>
    <row r="510" customFormat="false" ht="15.75" hidden="false" customHeight="false" outlineLevel="0" collapsed="false">
      <c r="A510" s="3" t="s">
        <v>138</v>
      </c>
      <c r="B510" s="3" t="n">
        <v>-2.11744770360671</v>
      </c>
      <c r="C510" s="3" t="n">
        <v>0.120338376092841</v>
      </c>
      <c r="D510" s="3" t="n">
        <v>566.99902300939</v>
      </c>
      <c r="E510" s="3" t="n">
        <v>4714.2918308487</v>
      </c>
      <c r="F510" s="3" t="n">
        <v>0.000358482191306383</v>
      </c>
      <c r="G510" s="3"/>
    </row>
    <row r="511" customFormat="false" ht="15.75" hidden="false" customHeight="false" outlineLevel="0" collapsed="false">
      <c r="A511" s="3" t="s">
        <v>1120</v>
      </c>
      <c r="B511" s="3" t="n">
        <v>-5.06913277858586</v>
      </c>
      <c r="C511" s="3" t="n">
        <v>0.00628787075318212</v>
      </c>
      <c r="D511" s="3" t="n">
        <v>1731.92372758923</v>
      </c>
      <c r="E511" s="3" t="n">
        <v>14400.014019939</v>
      </c>
      <c r="F511" s="3" t="n">
        <v>0.000470766913963035</v>
      </c>
      <c r="G511" s="3" t="n">
        <v>0.997752482180779</v>
      </c>
    </row>
    <row r="512" customFormat="false" ht="15.75" hidden="false" customHeight="false" outlineLevel="0" collapsed="false">
      <c r="A512" s="3" t="s">
        <v>1476</v>
      </c>
      <c r="B512" s="3" t="n">
        <v>-4.63449000955709</v>
      </c>
      <c r="C512" s="3" t="n">
        <v>0.00971105832262351</v>
      </c>
      <c r="D512" s="3" t="n">
        <v>2205.54679247212</v>
      </c>
      <c r="E512" s="3" t="n">
        <v>18337.9349952314</v>
      </c>
      <c r="F512" s="3" t="n">
        <v>0.000467286737349433</v>
      </c>
      <c r="G512" s="3"/>
    </row>
    <row r="513" customFormat="false" ht="15.75" hidden="false" customHeight="false" outlineLevel="0" collapsed="false">
      <c r="A513" s="3" t="s">
        <v>1477</v>
      </c>
      <c r="B513" s="3" t="n">
        <v>-4.71573327571486</v>
      </c>
      <c r="C513" s="3" t="n">
        <v>0.0089532984229248</v>
      </c>
      <c r="D513" s="3" t="n">
        <v>2285.92465577822</v>
      </c>
      <c r="E513" s="3" t="n">
        <v>19006.2336853311</v>
      </c>
      <c r="F513" s="3" t="n">
        <v>0.000540058438960995</v>
      </c>
      <c r="G513" s="3"/>
    </row>
    <row r="514" customFormat="false" ht="15.75" hidden="false" customHeight="false" outlineLevel="0" collapsed="false">
      <c r="A514" s="3" t="s">
        <v>1478</v>
      </c>
      <c r="B514" s="3"/>
      <c r="C514" s="3"/>
      <c r="D514" s="3"/>
      <c r="E514" s="3"/>
      <c r="F514" s="3"/>
      <c r="G514" s="3"/>
    </row>
    <row r="515" customFormat="false" ht="15.75" hidden="false" customHeight="false" outlineLevel="0" collapsed="false">
      <c r="A515" s="3" t="s">
        <v>1122</v>
      </c>
      <c r="B515" s="3" t="n">
        <v>-3.72425550613893</v>
      </c>
      <c r="C515" s="3" t="n">
        <v>0.024131059166312</v>
      </c>
      <c r="D515" s="3" t="n">
        <v>1125.45292197826</v>
      </c>
      <c r="E515" s="3" t="n">
        <v>9357.53555257716</v>
      </c>
      <c r="F515" s="3" t="n">
        <v>0.00145174834162978</v>
      </c>
      <c r="G515" s="3" t="n">
        <v>0.99634816843092</v>
      </c>
    </row>
    <row r="516" customFormat="false" ht="15.75" hidden="false" customHeight="false" outlineLevel="0" collapsed="false">
      <c r="A516" s="3" t="s">
        <v>1124</v>
      </c>
      <c r="B516" s="3" t="n">
        <v>-5.00982495839562</v>
      </c>
      <c r="C516" s="3" t="n">
        <v>0.00667207109407542</v>
      </c>
      <c r="D516" s="3" t="n">
        <v>1323.5981145844</v>
      </c>
      <c r="E516" s="3" t="n">
        <v>11005.0062269836</v>
      </c>
      <c r="F516" s="3" t="n">
        <v>0.0201894441282138</v>
      </c>
      <c r="G516" s="3" t="n">
        <v>0.983574230989182</v>
      </c>
    </row>
    <row r="517" customFormat="false" ht="15.75" hidden="false" customHeight="false" outlineLevel="0" collapsed="false">
      <c r="A517" s="3" t="s">
        <v>1126</v>
      </c>
      <c r="B517" s="3" t="n">
        <v>-3.79868686254149</v>
      </c>
      <c r="C517" s="3" t="n">
        <v>0.0224001670504071</v>
      </c>
      <c r="D517" s="3" t="n">
        <v>847.394842782678</v>
      </c>
      <c r="E517" s="3" t="n">
        <v>7045.63221931255</v>
      </c>
      <c r="F517" s="3" t="n">
        <v>1.53246864370854E-005</v>
      </c>
      <c r="G517" s="3" t="n">
        <v>0.99986480803962</v>
      </c>
    </row>
    <row r="518" customFormat="false" ht="15.75" hidden="false" customHeight="false" outlineLevel="0" collapsed="false">
      <c r="A518" s="3" t="s">
        <v>1128</v>
      </c>
      <c r="B518" s="3" t="n">
        <v>-4.32305346496014</v>
      </c>
      <c r="C518" s="3" t="n">
        <v>0.0132593347527325</v>
      </c>
      <c r="D518" s="3" t="n">
        <v>1072.41805350224</v>
      </c>
      <c r="E518" s="3" t="n">
        <v>8916.57915395835</v>
      </c>
      <c r="F518" s="3" t="n">
        <v>0.000193344765816464</v>
      </c>
      <c r="G518" s="3" t="n">
        <v>0.941591877857351</v>
      </c>
    </row>
    <row r="519" customFormat="false" ht="15.75" hidden="false" customHeight="false" outlineLevel="0" collapsed="false">
      <c r="A519" s="3" t="s">
        <v>1130</v>
      </c>
      <c r="B519" s="3" t="n">
        <v>-4.42925186925958</v>
      </c>
      <c r="C519" s="3" t="n">
        <v>0.0119234066038695</v>
      </c>
      <c r="D519" s="3" t="n">
        <v>1520.78530476609</v>
      </c>
      <c r="E519" s="3" t="n">
        <v>12644.5116266361</v>
      </c>
      <c r="F519" s="3" t="n">
        <v>0.00689833700216151</v>
      </c>
      <c r="G519" s="3" t="n">
        <v>0.98978729599015</v>
      </c>
    </row>
    <row r="520" customFormat="false" ht="15.75" hidden="false" customHeight="false" outlineLevel="0" collapsed="false">
      <c r="A520" s="3" t="s">
        <v>1132</v>
      </c>
      <c r="B520" s="3" t="n">
        <v>-4.4982095449853</v>
      </c>
      <c r="C520" s="3" t="n">
        <v>0.0111289045136514</v>
      </c>
      <c r="D520" s="3" t="n">
        <v>1485.59770871218</v>
      </c>
      <c r="E520" s="3" t="n">
        <v>12351.9456963745</v>
      </c>
      <c r="F520" s="3" t="n">
        <v>8.65840864559943E-005</v>
      </c>
      <c r="G520" s="3" t="n">
        <v>0.99984494906284</v>
      </c>
    </row>
    <row r="521" customFormat="false" ht="15.75" hidden="false" customHeight="false" outlineLevel="0" collapsed="false">
      <c r="A521" s="3" t="s">
        <v>1134</v>
      </c>
      <c r="B521" s="3" t="n">
        <v>-7.54683010258912</v>
      </c>
      <c r="C521" s="3" t="n">
        <v>0.000527780488283932</v>
      </c>
      <c r="D521" s="3" t="n">
        <v>2638.61874907003</v>
      </c>
      <c r="E521" s="3" t="n">
        <v>21938.6953216303</v>
      </c>
      <c r="F521" s="3" t="n">
        <v>0.178295628190543</v>
      </c>
      <c r="G521" s="3" t="n">
        <v>0.959070453096589</v>
      </c>
    </row>
    <row r="522" customFormat="false" ht="15.75" hidden="false" customHeight="false" outlineLevel="0" collapsed="false">
      <c r="A522" s="3" t="s">
        <v>140</v>
      </c>
      <c r="B522" s="3" t="n">
        <v>-2.47855181515933</v>
      </c>
      <c r="C522" s="3" t="n">
        <v>0.0838645891192065</v>
      </c>
      <c r="D522" s="3" t="n">
        <v>550.206165878328</v>
      </c>
      <c r="E522" s="3" t="n">
        <v>4574.66825836106</v>
      </c>
      <c r="F522" s="3" t="n">
        <v>2.98246024891522E-006</v>
      </c>
      <c r="G522" s="3"/>
    </row>
    <row r="523" customFormat="false" ht="15.75" hidden="false" customHeight="false" outlineLevel="0" collapsed="false">
      <c r="A523" s="3" t="s">
        <v>1136</v>
      </c>
      <c r="B523" s="3" t="n">
        <v>-4.56047851508885</v>
      </c>
      <c r="C523" s="3" t="n">
        <v>0.0104570538879547</v>
      </c>
      <c r="D523" s="3" t="n">
        <v>1513.86454664074</v>
      </c>
      <c r="E523" s="3" t="n">
        <v>12586.9692461916</v>
      </c>
      <c r="F523" s="3" t="n">
        <v>0.00307801057264903</v>
      </c>
      <c r="G523" s="3" t="n">
        <v>0.988469401997676</v>
      </c>
    </row>
    <row r="524" customFormat="false" ht="15.75" hidden="false" customHeight="false" outlineLevel="0" collapsed="false">
      <c r="A524" s="3" t="s">
        <v>1479</v>
      </c>
      <c r="B524" s="3"/>
      <c r="C524" s="3"/>
      <c r="D524" s="3"/>
      <c r="E524" s="3"/>
      <c r="F524" s="3"/>
      <c r="G524" s="3"/>
    </row>
    <row r="525" customFormat="false" ht="15.75" hidden="false" customHeight="false" outlineLevel="0" collapsed="false">
      <c r="A525" s="3" t="s">
        <v>1480</v>
      </c>
      <c r="B525" s="3" t="n">
        <v>-4.7880478405652</v>
      </c>
      <c r="C525" s="3" t="n">
        <v>0.00832870047342131</v>
      </c>
      <c r="D525" s="3" t="n">
        <v>2336.5809414446</v>
      </c>
      <c r="E525" s="3" t="n">
        <v>19427.4134475654</v>
      </c>
      <c r="F525" s="3" t="n">
        <v>0.000418704803334281</v>
      </c>
      <c r="G525" s="3"/>
    </row>
    <row r="526" customFormat="false" ht="15.75" hidden="false" customHeight="false" outlineLevel="0" collapsed="false">
      <c r="A526" s="3" t="s">
        <v>1138</v>
      </c>
      <c r="B526" s="3" t="n">
        <v>-4.15059576671146</v>
      </c>
      <c r="C526" s="3" t="n">
        <v>0.0157550273674267</v>
      </c>
      <c r="D526" s="3" t="n">
        <v>1041.44328870304</v>
      </c>
      <c r="E526" s="3" t="n">
        <v>8659.04064907646</v>
      </c>
      <c r="F526" s="3" t="n">
        <v>5.53618322879967E-006</v>
      </c>
      <c r="G526" s="3" t="n">
        <v>0.993909493080045</v>
      </c>
    </row>
    <row r="527" customFormat="false" ht="15.75" hidden="false" customHeight="false" outlineLevel="0" collapsed="false">
      <c r="A527" s="3" t="s">
        <v>1140</v>
      </c>
      <c r="B527" s="3" t="n">
        <v>-4.16392552289621</v>
      </c>
      <c r="C527" s="3" t="n">
        <v>0.0155464101909417</v>
      </c>
      <c r="D527" s="3" t="n">
        <v>1206.14197445722</v>
      </c>
      <c r="E527" s="3" t="n">
        <v>10028.4216132296</v>
      </c>
      <c r="F527" s="3" t="n">
        <v>5.14363051608507E-005</v>
      </c>
      <c r="G527" s="3" t="n">
        <v>0.998462824813441</v>
      </c>
    </row>
    <row r="528" customFormat="false" ht="15.75" hidden="false" customHeight="false" outlineLevel="0" collapsed="false">
      <c r="A528" s="3" t="s">
        <v>1481</v>
      </c>
      <c r="B528" s="3" t="n">
        <v>-4.86072306688144</v>
      </c>
      <c r="C528" s="3" t="n">
        <v>0.00774488179850778</v>
      </c>
      <c r="D528" s="3" t="n">
        <v>1393.34862490553</v>
      </c>
      <c r="E528" s="3" t="n">
        <v>11584.9441945293</v>
      </c>
      <c r="F528" s="3" t="n">
        <v>0.000664846292867105</v>
      </c>
      <c r="G528" s="3" t="n">
        <v>0.889724730041081</v>
      </c>
    </row>
    <row r="529" customFormat="false" ht="15.75" hidden="false" customHeight="false" outlineLevel="0" collapsed="false">
      <c r="A529" s="3" t="s">
        <v>1142</v>
      </c>
      <c r="B529" s="3" t="n">
        <v>-4.08316041283266</v>
      </c>
      <c r="C529" s="3" t="n">
        <v>0.0168541154300589</v>
      </c>
      <c r="D529" s="3" t="n">
        <v>838.719959603135</v>
      </c>
      <c r="E529" s="3" t="n">
        <v>6973.5052327618</v>
      </c>
      <c r="F529" s="3" t="n">
        <v>0.000235045772410522</v>
      </c>
      <c r="G529" s="3" t="n">
        <v>0.993054896396417</v>
      </c>
    </row>
    <row r="530" customFormat="false" ht="15.75" hidden="false" customHeight="false" outlineLevel="0" collapsed="false">
      <c r="A530" s="3" t="s">
        <v>1144</v>
      </c>
      <c r="B530" s="3" t="n">
        <v>-5.38182648373328</v>
      </c>
      <c r="C530" s="3" t="n">
        <v>0.00459941349946016</v>
      </c>
      <c r="D530" s="3" t="n">
        <v>2015.00683832084</v>
      </c>
      <c r="E530" s="3" t="n">
        <v>16753.6977869588</v>
      </c>
      <c r="F530" s="3" t="n">
        <v>0.000373647818187513</v>
      </c>
      <c r="G530" s="3" t="n">
        <v>0.999203472019045</v>
      </c>
    </row>
    <row r="531" customFormat="false" ht="15.75" hidden="false" customHeight="false" outlineLevel="0" collapsed="false">
      <c r="A531" s="3" t="s">
        <v>1146</v>
      </c>
      <c r="B531" s="3" t="n">
        <v>-4.76130682414346</v>
      </c>
      <c r="C531" s="3" t="n">
        <v>0.00855442296327712</v>
      </c>
      <c r="D531" s="3" t="n">
        <v>1578.04698879509</v>
      </c>
      <c r="E531" s="3" t="n">
        <v>13120.6117225512</v>
      </c>
      <c r="F531" s="3" t="n">
        <v>0.00196415832926632</v>
      </c>
      <c r="G531" s="3" t="n">
        <v>0.994561211744282</v>
      </c>
    </row>
    <row r="532" customFormat="false" ht="15.75" hidden="false" customHeight="false" outlineLevel="0" collapsed="false">
      <c r="A532" s="3" t="s">
        <v>1148</v>
      </c>
      <c r="B532" s="3" t="n">
        <v>-4.65776016144383</v>
      </c>
      <c r="C532" s="3" t="n">
        <v>0.00948768951296487</v>
      </c>
      <c r="D532" s="3" t="n">
        <v>1324.10935915988</v>
      </c>
      <c r="E532" s="3" t="n">
        <v>11009.2569505791</v>
      </c>
      <c r="F532" s="3" t="n">
        <v>1.72929756019886E-005</v>
      </c>
      <c r="G532" s="3" t="n">
        <v>0.999880415101947</v>
      </c>
    </row>
    <row r="533" customFormat="false" ht="15.75" hidden="false" customHeight="false" outlineLevel="0" collapsed="false">
      <c r="A533" s="3" t="s">
        <v>1150</v>
      </c>
      <c r="B533" s="3" t="n">
        <v>-6.15452105447535</v>
      </c>
      <c r="C533" s="3" t="n">
        <v>0.00212385795402394</v>
      </c>
      <c r="D533" s="3" t="n">
        <v>2912.02887411928</v>
      </c>
      <c r="E533" s="3" t="n">
        <v>24211.9534167676</v>
      </c>
      <c r="F533" s="3" t="n">
        <v>0.00446328151396385</v>
      </c>
      <c r="G533" s="3" t="n">
        <v>0.922769710224785</v>
      </c>
    </row>
    <row r="534" customFormat="false" ht="15.75" hidden="false" customHeight="false" outlineLevel="0" collapsed="false">
      <c r="A534" s="3" t="s">
        <v>1152</v>
      </c>
      <c r="B534" s="3" t="n">
        <v>-3.99955420930968</v>
      </c>
      <c r="C534" s="3" t="n">
        <v>0.0183238056502359</v>
      </c>
      <c r="D534" s="3" t="n">
        <v>900.029307808423</v>
      </c>
      <c r="E534" s="3" t="n">
        <v>7483.25947865944</v>
      </c>
      <c r="F534" s="3" t="n">
        <v>3.17465828029735E-007</v>
      </c>
      <c r="G534" s="3" t="n">
        <v>0.999982134326484</v>
      </c>
    </row>
    <row r="535" customFormat="false" ht="15.75" hidden="false" customHeight="false" outlineLevel="0" collapsed="false">
      <c r="A535" s="3" t="s">
        <v>1482</v>
      </c>
      <c r="B535" s="3" t="n">
        <v>-3.67986045040501</v>
      </c>
      <c r="C535" s="3" t="n">
        <v>0.0252264949367585</v>
      </c>
      <c r="D535" s="3" t="n">
        <v>909.673807035787</v>
      </c>
      <c r="E535" s="3" t="n">
        <v>7563.44830099439</v>
      </c>
      <c r="F535" s="3" t="n">
        <v>0.0241351520660337</v>
      </c>
      <c r="G535" s="3" t="n">
        <v>0.87623903508823</v>
      </c>
    </row>
    <row r="536" customFormat="false" ht="15.75" hidden="false" customHeight="false" outlineLevel="0" collapsed="false">
      <c r="A536" s="3" t="s">
        <v>1154</v>
      </c>
      <c r="B536" s="3" t="n">
        <v>-5.83540377344178</v>
      </c>
      <c r="C536" s="3" t="n">
        <v>0.00292224309775482</v>
      </c>
      <c r="D536" s="3" t="n">
        <v>2015.52998568323</v>
      </c>
      <c r="E536" s="3" t="n">
        <v>16758.0474758238</v>
      </c>
      <c r="F536" s="3" t="n">
        <v>3.01235599975776E-005</v>
      </c>
      <c r="G536" s="3" t="n">
        <v>0.998771226489591</v>
      </c>
    </row>
    <row r="537" customFormat="false" ht="15.75" hidden="false" customHeight="false" outlineLevel="0" collapsed="false">
      <c r="A537" s="3" t="s">
        <v>142</v>
      </c>
      <c r="B537" s="3" t="n">
        <v>-7.93477190585142</v>
      </c>
      <c r="C537" s="3" t="n">
        <v>0.000358073635896881</v>
      </c>
      <c r="D537" s="3" t="n">
        <v>3460.18230478928</v>
      </c>
      <c r="E537" s="3" t="n">
        <v>28769.5542862429</v>
      </c>
      <c r="F537" s="3" t="n">
        <v>0.0018057823856992</v>
      </c>
      <c r="G537" s="3"/>
    </row>
    <row r="538" customFormat="false" ht="15.75" hidden="false" customHeight="false" outlineLevel="0" collapsed="false">
      <c r="A538" s="3" t="s">
        <v>260</v>
      </c>
      <c r="B538" s="3" t="n">
        <v>-15.3885734473308</v>
      </c>
      <c r="C538" s="3" t="n">
        <v>2.07408937850884E-007</v>
      </c>
      <c r="D538" s="3" t="n">
        <v>5911.32105761266</v>
      </c>
      <c r="E538" s="3" t="n">
        <v>49149.4543033203</v>
      </c>
      <c r="F538" s="3" t="n">
        <v>0.000568409556271725</v>
      </c>
      <c r="G538" s="3"/>
    </row>
    <row r="539" customFormat="false" ht="15.75" hidden="false" customHeight="false" outlineLevel="0" collapsed="false">
      <c r="A539" s="3" t="s">
        <v>262</v>
      </c>
      <c r="B539" s="3" t="n">
        <v>-8.65707988399762</v>
      </c>
      <c r="C539" s="3" t="n">
        <v>0.000173891349143437</v>
      </c>
      <c r="D539" s="3" t="n">
        <v>3148.31121830552</v>
      </c>
      <c r="E539" s="3" t="n">
        <v>26176.513988775</v>
      </c>
      <c r="F539" s="3" t="n">
        <v>7.15081302061826E-006</v>
      </c>
      <c r="G539" s="3"/>
    </row>
    <row r="540" customFormat="false" ht="15.75" hidden="false" customHeight="false" outlineLevel="0" collapsed="false">
      <c r="A540" s="3" t="s">
        <v>1156</v>
      </c>
      <c r="B540" s="3" t="n">
        <v>-6.36648314926624</v>
      </c>
      <c r="C540" s="3" t="n">
        <v>0.00171819123461489</v>
      </c>
      <c r="D540" s="3" t="n">
        <v>2792.19748192738</v>
      </c>
      <c r="E540" s="3" t="n">
        <v>23215.6198599809</v>
      </c>
      <c r="F540" s="3" t="n">
        <v>8.68409161650743E-005</v>
      </c>
      <c r="G540" s="3" t="n">
        <v>0.999053683487132</v>
      </c>
    </row>
    <row r="541" customFormat="false" ht="15.75" hidden="false" customHeight="false" outlineLevel="0" collapsed="false">
      <c r="A541" s="3" t="s">
        <v>1483</v>
      </c>
      <c r="B541" s="3" t="n">
        <v>-6.35173354073538</v>
      </c>
      <c r="C541" s="3" t="n">
        <v>0.00174372170206038</v>
      </c>
      <c r="D541" s="3" t="n">
        <v>2674.11129375169</v>
      </c>
      <c r="E541" s="3" t="n">
        <v>22233.7967356693</v>
      </c>
      <c r="F541" s="3" t="n">
        <v>0.0135189575685449</v>
      </c>
      <c r="G541" s="3" t="n">
        <v>0.671075501272204</v>
      </c>
    </row>
    <row r="542" customFormat="false" ht="15.75" hidden="false" customHeight="false" outlineLevel="0" collapsed="false">
      <c r="A542" s="3" t="s">
        <v>1158</v>
      </c>
      <c r="B542" s="3" t="n">
        <v>-4.45320119860399</v>
      </c>
      <c r="C542" s="3" t="n">
        <v>0.0116412413333769</v>
      </c>
      <c r="D542" s="3" t="n">
        <v>1332.66471284873</v>
      </c>
      <c r="E542" s="3" t="n">
        <v>11080.3901137217</v>
      </c>
      <c r="F542" s="3" t="n">
        <v>6.78357620854008E-005</v>
      </c>
      <c r="G542" s="3" t="n">
        <v>0.999356705607653</v>
      </c>
    </row>
    <row r="543" customFormat="false" ht="15.75" hidden="false" customHeight="false" outlineLevel="0" collapsed="false">
      <c r="A543" s="3" t="s">
        <v>1160</v>
      </c>
      <c r="B543" s="3" t="n">
        <v>-11.5575558801446</v>
      </c>
      <c r="C543" s="3" t="n">
        <v>9.56350869294988E-006</v>
      </c>
      <c r="D543" s="3" t="n">
        <v>4257.71338465531</v>
      </c>
      <c r="E543" s="3" t="n">
        <v>35400.596143608</v>
      </c>
      <c r="F543" s="3" t="n">
        <v>0.0713664531572125</v>
      </c>
      <c r="G543" s="3" t="n">
        <v>0.991564153475851</v>
      </c>
    </row>
    <row r="544" customFormat="false" ht="15.75" hidden="false" customHeight="false" outlineLevel="0" collapsed="false">
      <c r="A544" s="3" t="s">
        <v>1162</v>
      </c>
      <c r="B544" s="3" t="n">
        <v>-4.46877066612304</v>
      </c>
      <c r="C544" s="3" t="n">
        <v>0.0114613970771721</v>
      </c>
      <c r="D544" s="3" t="n">
        <v>1358.32517397215</v>
      </c>
      <c r="E544" s="3" t="n">
        <v>11293.7430426348</v>
      </c>
      <c r="F544" s="3" t="n">
        <v>0.001160510769002</v>
      </c>
      <c r="G544" s="3" t="n">
        <v>0.997542180777645</v>
      </c>
    </row>
    <row r="545" customFormat="false" ht="15.75" hidden="false" customHeight="false" outlineLevel="0" collapsed="false">
      <c r="A545" s="3" t="s">
        <v>1484</v>
      </c>
      <c r="B545" s="3" t="n">
        <v>-4.71380700733185</v>
      </c>
      <c r="C545" s="3" t="n">
        <v>0.00897056149992239</v>
      </c>
      <c r="D545" s="3" t="n">
        <v>2258.58918244031</v>
      </c>
      <c r="E545" s="3" t="n">
        <v>18778.953931011</v>
      </c>
      <c r="F545" s="3" t="n">
        <v>0.000399313434570808</v>
      </c>
      <c r="G545" s="3"/>
    </row>
    <row r="546" customFormat="false" ht="15.75" hidden="false" customHeight="false" outlineLevel="0" collapsed="false">
      <c r="A546" s="3" t="s">
        <v>1485</v>
      </c>
      <c r="B546" s="3" t="n">
        <v>-4.73070099634406</v>
      </c>
      <c r="C546" s="3" t="n">
        <v>0.00882028588393599</v>
      </c>
      <c r="D546" s="3" t="n">
        <v>2320.20875768257</v>
      </c>
      <c r="E546" s="3" t="n">
        <v>19291.2875478189</v>
      </c>
      <c r="F546" s="3" t="n">
        <v>0.000738409418608799</v>
      </c>
      <c r="G546" s="3"/>
    </row>
    <row r="547" customFormat="false" ht="15.75" hidden="false" customHeight="false" outlineLevel="0" collapsed="false">
      <c r="A547" s="3" t="s">
        <v>1164</v>
      </c>
      <c r="B547" s="3" t="n">
        <v>-4.21271454126718</v>
      </c>
      <c r="C547" s="3" t="n">
        <v>0.014806121908576</v>
      </c>
      <c r="D547" s="3" t="n">
        <v>1152.16166365907</v>
      </c>
      <c r="E547" s="3" t="n">
        <v>9579.6043703501</v>
      </c>
      <c r="F547" s="3" t="n">
        <v>0.00055969501552768</v>
      </c>
      <c r="G547" s="3" t="n">
        <v>0.996912032600271</v>
      </c>
    </row>
    <row r="548" customFormat="false" ht="15.75" hidden="false" customHeight="false" outlineLevel="0" collapsed="false">
      <c r="A548" s="3" t="s">
        <v>1166</v>
      </c>
      <c r="B548" s="3" t="n">
        <v>-6.25989280213806</v>
      </c>
      <c r="C548" s="3" t="n">
        <v>0.0019114506890775</v>
      </c>
      <c r="D548" s="3" t="n">
        <v>1839.55795077868</v>
      </c>
      <c r="E548" s="3" t="n">
        <v>15294.9346785472</v>
      </c>
      <c r="F548" s="3" t="n">
        <v>0.00139367396969752</v>
      </c>
      <c r="G548" s="3" t="n">
        <v>0.994789586275287</v>
      </c>
    </row>
    <row r="549" customFormat="false" ht="15.75" hidden="false" customHeight="false" outlineLevel="0" collapsed="false">
      <c r="A549" s="3" t="s">
        <v>1168</v>
      </c>
      <c r="B549" s="3" t="n">
        <v>-3.89092013504934</v>
      </c>
      <c r="C549" s="3" t="n">
        <v>0.0204265422108091</v>
      </c>
      <c r="D549" s="3" t="n">
        <v>977.149097613597</v>
      </c>
      <c r="E549" s="3" t="n">
        <v>8124.46904044255</v>
      </c>
      <c r="F549" s="3" t="n">
        <v>5.77909429507805E-005</v>
      </c>
      <c r="G549" s="3" t="n">
        <v>0.997005348900967</v>
      </c>
    </row>
    <row r="550" customFormat="false" ht="15.75" hidden="false" customHeight="false" outlineLevel="0" collapsed="false">
      <c r="A550" s="3" t="s">
        <v>1170</v>
      </c>
      <c r="B550" s="3" t="n">
        <v>-4.39137814475233</v>
      </c>
      <c r="C550" s="3" t="n">
        <v>0.0123836509913822</v>
      </c>
      <c r="D550" s="3" t="n">
        <v>1321.53307575354</v>
      </c>
      <c r="E550" s="3" t="n">
        <v>10987.836540096</v>
      </c>
      <c r="F550" s="3" t="n">
        <v>0.000206799721869438</v>
      </c>
      <c r="G550" s="3" t="n">
        <v>0.999530085294898</v>
      </c>
    </row>
    <row r="551" customFormat="false" ht="15.75" hidden="false" customHeight="false" outlineLevel="0" collapsed="false">
      <c r="A551" s="3" t="s">
        <v>1486</v>
      </c>
      <c r="B551" s="3" t="n">
        <v>-3.90730604727943</v>
      </c>
      <c r="C551" s="3" t="n">
        <v>0.0200945620101652</v>
      </c>
      <c r="D551" s="3" t="n">
        <v>526.906999270532</v>
      </c>
      <c r="E551" s="3" t="n">
        <v>4380.94822296887</v>
      </c>
      <c r="F551" s="3" t="n">
        <v>0.000976635989881957</v>
      </c>
      <c r="G551" s="3" t="n">
        <v>0.998917995001896</v>
      </c>
    </row>
    <row r="552" customFormat="false" ht="15.75" hidden="false" customHeight="false" outlineLevel="0" collapsed="false">
      <c r="A552" s="3" t="s">
        <v>1172</v>
      </c>
      <c r="B552" s="3" t="n">
        <v>-5.03114756918933</v>
      </c>
      <c r="C552" s="3" t="n">
        <v>0.00653131113688597</v>
      </c>
      <c r="D552" s="3" t="n">
        <v>947.014266526721</v>
      </c>
      <c r="E552" s="3" t="n">
        <v>7873.9141324943</v>
      </c>
      <c r="F552" s="3" t="n">
        <v>0.000242397492615724</v>
      </c>
      <c r="G552" s="3" t="n">
        <v>0.99497753316877</v>
      </c>
    </row>
    <row r="553" customFormat="false" ht="15.75" hidden="false" customHeight="false" outlineLevel="0" collapsed="false">
      <c r="A553" s="3" t="s">
        <v>1487</v>
      </c>
      <c r="B553" s="3" t="n">
        <v>-4.53404184560224</v>
      </c>
      <c r="C553" s="3" t="n">
        <v>0.0107371901853913</v>
      </c>
      <c r="D553" s="3" t="n">
        <v>619.435004217534</v>
      </c>
      <c r="E553" s="3" t="n">
        <v>5150.26880403653</v>
      </c>
      <c r="F553" s="3" t="n">
        <v>2.68066504038383E-009</v>
      </c>
      <c r="G553" s="3" t="n">
        <v>0.999888425758683</v>
      </c>
    </row>
    <row r="554" customFormat="false" ht="15.75" hidden="false" customHeight="false" outlineLevel="0" collapsed="false">
      <c r="A554" s="3" t="s">
        <v>1174</v>
      </c>
      <c r="B554" s="3" t="n">
        <v>-6.21431790293402</v>
      </c>
      <c r="C554" s="3" t="n">
        <v>0.00200058047519792</v>
      </c>
      <c r="D554" s="3" t="n">
        <v>1372.08334084961</v>
      </c>
      <c r="E554" s="3" t="n">
        <v>11408.1347983271</v>
      </c>
      <c r="F554" s="3" t="n">
        <v>0.000148071934984114</v>
      </c>
      <c r="G554" s="3" t="n">
        <v>0.994235716916294</v>
      </c>
    </row>
    <row r="555" customFormat="false" ht="15.75" hidden="false" customHeight="false" outlineLevel="0" collapsed="false">
      <c r="A555" s="3" t="s">
        <v>1176</v>
      </c>
      <c r="B555" s="3" t="n">
        <v>-4.71349824518956</v>
      </c>
      <c r="C555" s="3" t="n">
        <v>0.00897333169735267</v>
      </c>
      <c r="D555" s="3" t="n">
        <v>820.686157857161</v>
      </c>
      <c r="E555" s="3" t="n">
        <v>6823.56387342937</v>
      </c>
      <c r="F555" s="3" t="n">
        <v>1.00894453723918E-005</v>
      </c>
      <c r="G555" s="3" t="n">
        <v>0.998885270887865</v>
      </c>
    </row>
    <row r="556" customFormat="false" ht="15.75" hidden="false" customHeight="false" outlineLevel="0" collapsed="false">
      <c r="A556" s="3" t="s">
        <v>1178</v>
      </c>
      <c r="B556" s="3" t="n">
        <v>-4.05322721664713</v>
      </c>
      <c r="C556" s="3" t="n">
        <v>0.0173662394908877</v>
      </c>
      <c r="D556" s="3" t="n">
        <v>844.333885862321</v>
      </c>
      <c r="E556" s="3" t="n">
        <v>7020.18200931461</v>
      </c>
      <c r="F556" s="3" t="n">
        <v>0.000140744027278951</v>
      </c>
      <c r="G556" s="3" t="n">
        <v>0.999657958927393</v>
      </c>
    </row>
    <row r="557" customFormat="false" ht="15.75" hidden="false" customHeight="false" outlineLevel="0" collapsed="false">
      <c r="A557" s="3" t="s">
        <v>1180</v>
      </c>
      <c r="B557" s="3" t="n">
        <v>-4.58164365198099</v>
      </c>
      <c r="C557" s="3" t="n">
        <v>0.0102380546604773</v>
      </c>
      <c r="D557" s="3" t="n">
        <v>1057.00344424381</v>
      </c>
      <c r="E557" s="3" t="n">
        <v>8788.41497103428</v>
      </c>
      <c r="F557" s="3" t="n">
        <v>0.0127824251955533</v>
      </c>
      <c r="G557" s="3" t="n">
        <v>0.982078811392967</v>
      </c>
    </row>
    <row r="558" customFormat="false" ht="15.75" hidden="false" customHeight="false" outlineLevel="0" collapsed="false">
      <c r="A558" s="3" t="s">
        <v>1488</v>
      </c>
      <c r="B558" s="3" t="n">
        <v>-4.05376544785036</v>
      </c>
      <c r="C558" s="3" t="n">
        <v>0.0173568949538973</v>
      </c>
      <c r="D558" s="3" t="n">
        <v>377.570083308661</v>
      </c>
      <c r="E558" s="3" t="n">
        <v>3139.2921100067</v>
      </c>
      <c r="F558" s="3" t="n">
        <v>1.30706953352366E-006</v>
      </c>
      <c r="G558" s="3" t="n">
        <v>0.999923352135246</v>
      </c>
    </row>
    <row r="559" customFormat="false" ht="15.75" hidden="false" customHeight="false" outlineLevel="0" collapsed="false">
      <c r="A559" s="3" t="s">
        <v>1489</v>
      </c>
      <c r="B559" s="3" t="n">
        <v>-4.25428428358834</v>
      </c>
      <c r="C559" s="3" t="n">
        <v>0.0142032526096292</v>
      </c>
      <c r="D559" s="3" t="n">
        <v>585.867142446593</v>
      </c>
      <c r="E559" s="3" t="n">
        <v>4871.17009292079</v>
      </c>
      <c r="F559" s="3" t="n">
        <v>1.62773472948756E-005</v>
      </c>
      <c r="G559" s="3" t="n">
        <v>0.999949701231446</v>
      </c>
    </row>
    <row r="560" customFormat="false" ht="15.75" hidden="false" customHeight="false" outlineLevel="0" collapsed="false">
      <c r="A560" s="3" t="s">
        <v>1490</v>
      </c>
      <c r="B560" s="3" t="n">
        <v>-4.53698855054116</v>
      </c>
      <c r="C560" s="3" t="n">
        <v>0.0107055974241747</v>
      </c>
      <c r="D560" s="3" t="n">
        <v>670.847234257125</v>
      </c>
      <c r="E560" s="3" t="n">
        <v>5577.73383703596</v>
      </c>
      <c r="F560" s="3" t="n">
        <v>0.000833250162072439</v>
      </c>
      <c r="G560" s="3" t="n">
        <v>0.996774193672736</v>
      </c>
    </row>
    <row r="561" customFormat="false" ht="15.75" hidden="false" customHeight="false" outlineLevel="0" collapsed="false">
      <c r="A561" s="3" t="s">
        <v>1491</v>
      </c>
      <c r="B561" s="3" t="n">
        <v>-4.20636986747198</v>
      </c>
      <c r="C561" s="3" t="n">
        <v>0.0149003605628878</v>
      </c>
      <c r="D561" s="3" t="n">
        <v>769.382188160964</v>
      </c>
      <c r="E561" s="3" t="n">
        <v>6396.99896694119</v>
      </c>
      <c r="F561" s="3" t="n">
        <v>1.47887718274555E-005</v>
      </c>
      <c r="G561" s="3" t="n">
        <v>0.999865086945868</v>
      </c>
    </row>
    <row r="562" customFormat="false" ht="15.75" hidden="false" customHeight="false" outlineLevel="0" collapsed="false">
      <c r="A562" s="3" t="s">
        <v>1492</v>
      </c>
      <c r="B562" s="3" t="n">
        <v>-4.05105847430721</v>
      </c>
      <c r="C562" s="3" t="n">
        <v>0.0174039432598587</v>
      </c>
      <c r="D562" s="3" t="n">
        <v>612.210422879149</v>
      </c>
      <c r="E562" s="3" t="n">
        <v>5090.20029703262</v>
      </c>
      <c r="F562" s="3" t="n">
        <v>7.94080846322935E-007</v>
      </c>
      <c r="G562" s="3" t="n">
        <v>0.999946997916325</v>
      </c>
    </row>
    <row r="563" customFormat="false" ht="15.75" hidden="false" customHeight="false" outlineLevel="0" collapsed="false">
      <c r="A563" s="3" t="s">
        <v>1182</v>
      </c>
      <c r="B563" s="3" t="n">
        <v>-3.81292606456698</v>
      </c>
      <c r="C563" s="3" t="n">
        <v>0.0220834666776933</v>
      </c>
      <c r="D563" s="3" t="n">
        <v>884.067411171106</v>
      </c>
      <c r="E563" s="3" t="n">
        <v>7350.54489562054</v>
      </c>
      <c r="F563" s="3" t="n">
        <v>0.000186591255450669</v>
      </c>
      <c r="G563" s="3" t="n">
        <v>0.999168781754164</v>
      </c>
    </row>
    <row r="564" customFormat="false" ht="15.75" hidden="false" customHeight="false" outlineLevel="0" collapsed="false">
      <c r="A564" s="3" t="s">
        <v>1184</v>
      </c>
      <c r="B564" s="3" t="n">
        <v>-4.17127950263687</v>
      </c>
      <c r="C564" s="3" t="n">
        <v>0.0154325015595985</v>
      </c>
      <c r="D564" s="3" t="n">
        <v>846.453236247103</v>
      </c>
      <c r="E564" s="3" t="n">
        <v>7037.80326755356</v>
      </c>
      <c r="F564" s="3" t="n">
        <v>0.00134745539319225</v>
      </c>
      <c r="G564" s="3" t="n">
        <v>0.998863799872711</v>
      </c>
    </row>
    <row r="565" customFormat="false" ht="15.75" hidden="false" customHeight="false" outlineLevel="0" collapsed="false">
      <c r="A565" s="3" t="s">
        <v>1493</v>
      </c>
      <c r="B565" s="3" t="n">
        <v>-4.24975912717651</v>
      </c>
      <c r="C565" s="3" t="n">
        <v>0.0142676701891325</v>
      </c>
      <c r="D565" s="3" t="n">
        <v>757.654267238597</v>
      </c>
      <c r="E565" s="3" t="n">
        <v>6299.48761409316</v>
      </c>
      <c r="F565" s="3" t="n">
        <v>2.82027393544223E-006</v>
      </c>
      <c r="G565" s="3" t="n">
        <v>0.999967969431188</v>
      </c>
    </row>
    <row r="566" customFormat="false" ht="15.75" hidden="false" customHeight="false" outlineLevel="0" collapsed="false">
      <c r="A566" s="3" t="s">
        <v>1494</v>
      </c>
      <c r="B566" s="3" t="n">
        <v>-4.71585538510174</v>
      </c>
      <c r="C566" s="3" t="n">
        <v>0.00895220520789112</v>
      </c>
      <c r="D566" s="3" t="n">
        <v>919.350242930425</v>
      </c>
      <c r="E566" s="3" t="n">
        <v>7643.90265953579</v>
      </c>
      <c r="F566" s="3" t="n">
        <v>0.000364658887720309</v>
      </c>
      <c r="G566" s="3" t="n">
        <v>0.99857789480065</v>
      </c>
    </row>
    <row r="567" customFormat="false" ht="15.75" hidden="false" customHeight="false" outlineLevel="0" collapsed="false">
      <c r="A567" s="3" t="s">
        <v>1186</v>
      </c>
      <c r="B567" s="3" t="n">
        <v>-4.23207886257666</v>
      </c>
      <c r="C567" s="3" t="n">
        <v>0.0145221695518373</v>
      </c>
      <c r="D567" s="3" t="n">
        <v>991.210985167765</v>
      </c>
      <c r="E567" s="3" t="n">
        <v>8241.38607015994</v>
      </c>
      <c r="F567" s="3" t="n">
        <v>0.000283275544662634</v>
      </c>
      <c r="G567" s="3" t="n">
        <v>0.999528357662896</v>
      </c>
    </row>
    <row r="568" customFormat="false" ht="15.75" hidden="false" customHeight="false" outlineLevel="0" collapsed="false">
      <c r="A568" s="3" t="s">
        <v>1495</v>
      </c>
      <c r="B568" s="3" t="n">
        <v>-4.39724365195488</v>
      </c>
      <c r="C568" s="3" t="n">
        <v>0.0123112272060555</v>
      </c>
      <c r="D568" s="3" t="n">
        <v>718.468421789389</v>
      </c>
      <c r="E568" s="3" t="n">
        <v>5973.67839116784</v>
      </c>
      <c r="F568" s="3" t="n">
        <v>2.09410914841517E-005</v>
      </c>
      <c r="G568" s="3" t="n">
        <v>0.999838919571617</v>
      </c>
    </row>
    <row r="569" customFormat="false" ht="15.75" hidden="false" customHeight="false" outlineLevel="0" collapsed="false">
      <c r="A569" s="3" t="s">
        <v>1496</v>
      </c>
      <c r="B569" s="3" t="n">
        <v>-4.67074158297427</v>
      </c>
      <c r="C569" s="3" t="n">
        <v>0.00936532178797546</v>
      </c>
      <c r="D569" s="3" t="n">
        <v>903.34008590449</v>
      </c>
      <c r="E569" s="3" t="n">
        <v>7510.78681732962</v>
      </c>
      <c r="F569" s="3" t="n">
        <v>0.000405283174934651</v>
      </c>
      <c r="G569" s="3" t="n">
        <v>0.999474723471779</v>
      </c>
    </row>
    <row r="570" customFormat="false" ht="15.75" hidden="false" customHeight="false" outlineLevel="0" collapsed="false">
      <c r="A570" s="3" t="s">
        <v>1188</v>
      </c>
      <c r="B570" s="3" t="n">
        <v>-3.68619565404845</v>
      </c>
      <c r="C570" s="3" t="n">
        <v>0.0250671851170212</v>
      </c>
      <c r="D570" s="3" t="n">
        <v>739.563231853698</v>
      </c>
      <c r="E570" s="3" t="n">
        <v>6149.07038784477</v>
      </c>
      <c r="F570" s="3" t="n">
        <v>0.000369203315645114</v>
      </c>
      <c r="G570" s="3" t="n">
        <v>0.998896805048468</v>
      </c>
    </row>
    <row r="571" customFormat="false" ht="15.75" hidden="false" customHeight="false" outlineLevel="0" collapsed="false">
      <c r="A571" s="3" t="s">
        <v>1190</v>
      </c>
      <c r="B571" s="3" t="n">
        <v>-5.19314846653756</v>
      </c>
      <c r="C571" s="3" t="n">
        <v>0.00555449112616531</v>
      </c>
      <c r="D571" s="3" t="n">
        <v>1256.55484446228</v>
      </c>
      <c r="E571" s="3" t="n">
        <v>10447.5775051975</v>
      </c>
      <c r="F571" s="3" t="n">
        <v>1.68634091325954E-005</v>
      </c>
      <c r="G571" s="3" t="n">
        <v>0.999599380500971</v>
      </c>
    </row>
    <row r="572" customFormat="false" ht="15.75" hidden="false" customHeight="false" outlineLevel="0" collapsed="false">
      <c r="A572" s="3" t="s">
        <v>1192</v>
      </c>
      <c r="B572" s="3" t="n">
        <v>-4.36451835682795</v>
      </c>
      <c r="C572" s="3" t="n">
        <v>0.0127207805771104</v>
      </c>
      <c r="D572" s="3" t="n">
        <v>941.020672136935</v>
      </c>
      <c r="E572" s="3" t="n">
        <v>7824.08061969701</v>
      </c>
      <c r="F572" s="3" t="n">
        <v>1.33893718385294E-005</v>
      </c>
      <c r="G572" s="3" t="n">
        <v>0.999950627192421</v>
      </c>
    </row>
    <row r="573" customFormat="false" ht="15.75" hidden="false" customHeight="false" outlineLevel="0" collapsed="false">
      <c r="A573" s="3" t="s">
        <v>1194</v>
      </c>
      <c r="B573" s="3" t="n">
        <v>-8.06006421456199</v>
      </c>
      <c r="C573" s="3" t="n">
        <v>0.000315906518851482</v>
      </c>
      <c r="D573" s="3" t="n">
        <v>2112.52936545016</v>
      </c>
      <c r="E573" s="3" t="n">
        <v>17564.5451329195</v>
      </c>
      <c r="F573" s="3" t="n">
        <v>0.0559784179925914</v>
      </c>
      <c r="G573" s="3" t="n">
        <v>0.93271486368627</v>
      </c>
    </row>
    <row r="574" customFormat="false" ht="15.75" hidden="false" customHeight="false" outlineLevel="0" collapsed="false">
      <c r="A574" s="3" t="s">
        <v>1196</v>
      </c>
      <c r="B574" s="3" t="n">
        <v>-4.44332949102069</v>
      </c>
      <c r="C574" s="3" t="n">
        <v>0.0117567293578668</v>
      </c>
      <c r="D574" s="3" t="n">
        <v>1072.6418130001</v>
      </c>
      <c r="E574" s="3" t="n">
        <v>8918.43959380045</v>
      </c>
      <c r="F574" s="3" t="n">
        <v>0.00126103525355329</v>
      </c>
      <c r="G574" s="3" t="n">
        <v>0.997633399746916</v>
      </c>
    </row>
    <row r="575" customFormat="false" ht="15.75" hidden="false" customHeight="false" outlineLevel="0" collapsed="false">
      <c r="A575" s="3" t="s">
        <v>1198</v>
      </c>
      <c r="B575" s="3" t="n">
        <v>-5.08603945192292</v>
      </c>
      <c r="C575" s="3" t="n">
        <v>0.00618245738198442</v>
      </c>
      <c r="D575" s="3" t="n">
        <v>1212.57713438874</v>
      </c>
      <c r="E575" s="3" t="n">
        <v>10081.926505944</v>
      </c>
      <c r="F575" s="3" t="n">
        <v>1.27930154635236E-007</v>
      </c>
      <c r="G575" s="3" t="n">
        <v>0.999996795062697</v>
      </c>
    </row>
    <row r="576" customFormat="false" ht="15.75" hidden="false" customHeight="false" outlineLevel="0" collapsed="false">
      <c r="A576" s="3" t="s">
        <v>1200</v>
      </c>
      <c r="B576" s="3" t="n">
        <v>-5.78870280472952</v>
      </c>
      <c r="C576" s="3" t="n">
        <v>0.00306195155040973</v>
      </c>
      <c r="D576" s="3" t="n">
        <v>1306.29400712842</v>
      </c>
      <c r="E576" s="3" t="n">
        <v>10861.131883097</v>
      </c>
      <c r="F576" s="3" t="n">
        <v>0.000715888883148792</v>
      </c>
      <c r="G576" s="3" t="n">
        <v>0.996441338226051</v>
      </c>
    </row>
    <row r="577" customFormat="false" ht="15.75" hidden="false" customHeight="false" outlineLevel="0" collapsed="false">
      <c r="A577" s="3" t="s">
        <v>1202</v>
      </c>
      <c r="B577" s="3" t="n">
        <v>-5.603571825601</v>
      </c>
      <c r="C577" s="3" t="n">
        <v>0.00368467915268994</v>
      </c>
      <c r="D577" s="3" t="n">
        <v>1386.30264391726</v>
      </c>
      <c r="E577" s="3" t="n">
        <v>11526.3606533496</v>
      </c>
      <c r="F577" s="3" t="n">
        <v>0.0317781688734239</v>
      </c>
      <c r="G577" s="3" t="n">
        <v>0.977985255295442</v>
      </c>
    </row>
    <row r="578" customFormat="false" ht="15.75" hidden="false" customHeight="false" outlineLevel="0" collapsed="false">
      <c r="A578" s="3" t="s">
        <v>1204</v>
      </c>
      <c r="B578" s="3" t="n">
        <v>-3.52149647238981</v>
      </c>
      <c r="C578" s="3" t="n">
        <v>0.0295551735568088</v>
      </c>
      <c r="D578" s="3" t="n">
        <v>698.013628471733</v>
      </c>
      <c r="E578" s="3" t="n">
        <v>5803.60778941034</v>
      </c>
      <c r="F578" s="3" t="n">
        <v>2.44990578628978E-005</v>
      </c>
      <c r="G578" s="3" t="n">
        <v>0.999635771443653</v>
      </c>
    </row>
    <row r="579" customFormat="false" ht="15.75" hidden="false" customHeight="false" outlineLevel="0" collapsed="false">
      <c r="A579" s="3" t="s">
        <v>1497</v>
      </c>
      <c r="B579" s="3" t="n">
        <v>-5.73393902355707</v>
      </c>
      <c r="C579" s="3" t="n">
        <v>0.00323431207752627</v>
      </c>
      <c r="D579" s="3" t="n">
        <v>955.713719459974</v>
      </c>
      <c r="E579" s="3" t="n">
        <v>7946.24540332861</v>
      </c>
      <c r="F579" s="3" t="n">
        <v>0.00028598906381136</v>
      </c>
      <c r="G579" s="3" t="n">
        <v>0.991623249876413</v>
      </c>
    </row>
    <row r="580" customFormat="false" ht="15.75" hidden="false" customHeight="false" outlineLevel="0" collapsed="false">
      <c r="A580" s="3" t="s">
        <v>1498</v>
      </c>
      <c r="B580" s="3" t="n">
        <v>-4.60682365476327</v>
      </c>
      <c r="C580" s="3" t="n">
        <v>0.0099834789745121</v>
      </c>
      <c r="D580" s="3" t="n">
        <v>833.000092218052</v>
      </c>
      <c r="E580" s="3" t="n">
        <v>6925.94761274349</v>
      </c>
      <c r="F580" s="3" t="n">
        <v>1.33115762102966E-005</v>
      </c>
      <c r="G580" s="3" t="n">
        <v>0.997808394908006</v>
      </c>
    </row>
    <row r="581" customFormat="false" ht="15.75" hidden="false" customHeight="false" outlineLevel="0" collapsed="false">
      <c r="A581" s="3" t="s">
        <v>1499</v>
      </c>
      <c r="B581" s="3" t="n">
        <v>-3.23625273197702</v>
      </c>
      <c r="C581" s="3" t="n">
        <v>0.0393109280245838</v>
      </c>
      <c r="D581" s="3" t="n">
        <v>477.146730985348</v>
      </c>
      <c r="E581" s="3" t="n">
        <v>3967.21836320189</v>
      </c>
      <c r="F581" s="3" t="n">
        <v>7.16654993103967E-005</v>
      </c>
      <c r="G581" s="3" t="n">
        <v>0.999573101546165</v>
      </c>
    </row>
    <row r="582" customFormat="false" ht="15.75" hidden="false" customHeight="false" outlineLevel="0" collapsed="false">
      <c r="A582" s="3" t="s">
        <v>1500</v>
      </c>
      <c r="B582" s="3"/>
      <c r="C582" s="3"/>
      <c r="D582" s="3"/>
      <c r="E582" s="3"/>
      <c r="F582" s="3"/>
      <c r="G582" s="3"/>
    </row>
    <row r="583" customFormat="false" ht="15.75" hidden="false" customHeight="false" outlineLevel="0" collapsed="false">
      <c r="A583" s="3" t="s">
        <v>1206</v>
      </c>
      <c r="B583" s="3" t="n">
        <v>-4.77516716967751</v>
      </c>
      <c r="C583" s="3" t="n">
        <v>0.00843667361355335</v>
      </c>
      <c r="D583" s="3" t="n">
        <v>1305.05378318177</v>
      </c>
      <c r="E583" s="3" t="n">
        <v>10850.820088221</v>
      </c>
      <c r="F583" s="3" t="n">
        <v>6.86118337989804E-006</v>
      </c>
      <c r="G583" s="3" t="n">
        <v>0.999811764447261</v>
      </c>
    </row>
    <row r="584" customFormat="false" ht="15.75" hidden="false" customHeight="false" outlineLevel="0" collapsed="false">
      <c r="A584" s="3" t="s">
        <v>1208</v>
      </c>
      <c r="B584" s="3" t="n">
        <v>-4.8808943812377</v>
      </c>
      <c r="C584" s="3" t="n">
        <v>0.00759022243835645</v>
      </c>
      <c r="D584" s="3" t="n">
        <v>1468.06249770317</v>
      </c>
      <c r="E584" s="3" t="n">
        <v>12206.1498507781</v>
      </c>
      <c r="F584" s="3" t="n">
        <v>0.000163507663928539</v>
      </c>
      <c r="G584" s="3" t="n">
        <v>0.99664085514767</v>
      </c>
    </row>
    <row r="585" customFormat="false" ht="15.75" hidden="false" customHeight="false" outlineLevel="0" collapsed="false">
      <c r="A585" s="3" t="s">
        <v>1501</v>
      </c>
      <c r="B585" s="3" t="n">
        <v>-5.74727979572581</v>
      </c>
      <c r="C585" s="3" t="n">
        <v>0.00319145039663189</v>
      </c>
      <c r="D585" s="3" t="n">
        <v>2505.63074578477</v>
      </c>
      <c r="E585" s="3" t="n">
        <v>20832.9716218591</v>
      </c>
      <c r="F585" s="3" t="n">
        <v>0.000307956267090869</v>
      </c>
      <c r="G585" s="3"/>
    </row>
    <row r="586" customFormat="false" ht="15.75" hidden="false" customHeight="false" outlineLevel="0" collapsed="false">
      <c r="A586" s="3" t="s">
        <v>1210</v>
      </c>
      <c r="B586" s="3" t="n">
        <v>-6.43362610824797</v>
      </c>
      <c r="C586" s="3" t="n">
        <v>0.00160661450119944</v>
      </c>
      <c r="D586" s="3" t="n">
        <v>2538.20239690547</v>
      </c>
      <c r="E586" s="3" t="n">
        <v>21103.7873773795</v>
      </c>
      <c r="F586" s="3" t="n">
        <v>0.000179465739754305</v>
      </c>
      <c r="G586" s="3" t="n">
        <v>0.998817189243547</v>
      </c>
    </row>
    <row r="587" customFormat="false" ht="15.75" hidden="false" customHeight="false" outlineLevel="0" collapsed="false">
      <c r="A587" s="3" t="s">
        <v>1212</v>
      </c>
      <c r="B587" s="3" t="n">
        <v>-5.06994749286383</v>
      </c>
      <c r="C587" s="3" t="n">
        <v>0.00628275002135139</v>
      </c>
      <c r="D587" s="3" t="n">
        <v>2180.67634479107</v>
      </c>
      <c r="E587" s="3" t="n">
        <v>18131.1506030643</v>
      </c>
      <c r="F587" s="3" t="n">
        <v>0.00020120114908832</v>
      </c>
      <c r="G587" s="3" t="n">
        <v>0.997478482284035</v>
      </c>
    </row>
    <row r="588" customFormat="false" ht="15.75" hidden="false" customHeight="false" outlineLevel="0" collapsed="false">
      <c r="A588" s="3" t="s">
        <v>1502</v>
      </c>
      <c r="B588" s="3" t="n">
        <v>-3.91948128086899</v>
      </c>
      <c r="C588" s="3" t="n">
        <v>0.019851389369573</v>
      </c>
      <c r="D588" s="3" t="n">
        <v>1077.86555183878</v>
      </c>
      <c r="E588" s="3" t="n">
        <v>8961.87217187253</v>
      </c>
      <c r="F588" s="3" t="n">
        <v>5.02619197207991E-006</v>
      </c>
      <c r="G588" s="3"/>
    </row>
    <row r="589" customFormat="false" ht="15.75" hidden="false" customHeight="false" outlineLevel="0" collapsed="false">
      <c r="A589" s="3" t="s">
        <v>1503</v>
      </c>
      <c r="B589" s="3" t="n">
        <v>-13.7926023721621</v>
      </c>
      <c r="C589" s="3" t="n">
        <v>1.02317259346357E-006</v>
      </c>
      <c r="D589" s="3" t="n">
        <v>5125.70797746459</v>
      </c>
      <c r="E589" s="3" t="n">
        <v>42617.5042017262</v>
      </c>
      <c r="F589" s="3" t="n">
        <v>0.00186439550280864</v>
      </c>
      <c r="G589" s="3"/>
    </row>
    <row r="590" customFormat="false" ht="15.75" hidden="false" customHeight="false" outlineLevel="0" collapsed="false">
      <c r="A590" s="3" t="s">
        <v>1504</v>
      </c>
      <c r="B590" s="3"/>
      <c r="C590" s="3"/>
      <c r="D590" s="3"/>
      <c r="E590" s="3"/>
      <c r="F590" s="3"/>
      <c r="G590" s="3"/>
    </row>
    <row r="591" customFormat="false" ht="15.75" hidden="false" customHeight="false" outlineLevel="0" collapsed="false">
      <c r="A591" s="3" t="s">
        <v>1505</v>
      </c>
      <c r="B591" s="3" t="n">
        <v>-5.80013447336726</v>
      </c>
      <c r="C591" s="3" t="n">
        <v>0.00302714764726717</v>
      </c>
      <c r="D591" s="3" t="n">
        <v>2250.11432617604</v>
      </c>
      <c r="E591" s="3" t="n">
        <v>18708.4900606463</v>
      </c>
      <c r="F591" s="3" t="n">
        <v>0.0575402218063922</v>
      </c>
      <c r="G591" s="3" t="n">
        <v>0.636354574167351</v>
      </c>
    </row>
    <row r="592" customFormat="false" ht="15.75" hidden="false" customHeight="false" outlineLevel="0" collapsed="false">
      <c r="A592" s="3" t="s">
        <v>1506</v>
      </c>
      <c r="B592" s="3" t="n">
        <v>-4.48209095276225</v>
      </c>
      <c r="C592" s="3" t="n">
        <v>0.011309740281181</v>
      </c>
      <c r="D592" s="3" t="n">
        <v>1642.65383377712</v>
      </c>
      <c r="E592" s="3" t="n">
        <v>13657.7828800942</v>
      </c>
      <c r="F592" s="3" t="n">
        <v>0.00157245997171626</v>
      </c>
      <c r="G592" s="3" t="n">
        <v>0.883795492586852</v>
      </c>
    </row>
    <row r="593" customFormat="false" ht="15.75" hidden="false" customHeight="false" outlineLevel="0" collapsed="false">
      <c r="A593" s="3" t="s">
        <v>1214</v>
      </c>
      <c r="B593" s="3" t="n">
        <v>-6.10434847672961</v>
      </c>
      <c r="C593" s="3" t="n">
        <v>0.0022331358361693</v>
      </c>
      <c r="D593" s="3" t="n">
        <v>2899.68211877419</v>
      </c>
      <c r="E593" s="3" t="n">
        <v>24109.2967886275</v>
      </c>
      <c r="F593" s="3" t="n">
        <v>0.00145119279272504</v>
      </c>
      <c r="G593" s="3" t="n">
        <v>0.996587392513048</v>
      </c>
    </row>
    <row r="594" customFormat="false" ht="15.75" hidden="false" customHeight="false" outlineLevel="0" collapsed="false">
      <c r="A594" s="3" t="s">
        <v>1216</v>
      </c>
      <c r="B594" s="3" t="n">
        <v>-7.97070076325632</v>
      </c>
      <c r="C594" s="3" t="n">
        <v>0.000345436831618626</v>
      </c>
      <c r="D594" s="3" t="n">
        <v>2785.44261310509</v>
      </c>
      <c r="E594" s="3" t="n">
        <v>23159.4567598429</v>
      </c>
      <c r="F594" s="3" t="n">
        <v>0.00273624340047035</v>
      </c>
      <c r="G594" s="3" t="n">
        <v>0.997944586873009</v>
      </c>
    </row>
    <row r="595" customFormat="false" ht="15.75" hidden="false" customHeight="false" outlineLevel="0" collapsed="false">
      <c r="A595" s="3" t="s">
        <v>144</v>
      </c>
      <c r="B595" s="3" t="n">
        <v>-4.14330956797459</v>
      </c>
      <c r="C595" s="3" t="n">
        <v>0.0158702408523944</v>
      </c>
      <c r="D595" s="3" t="n">
        <v>1117.11216236179</v>
      </c>
      <c r="E595" s="3" t="n">
        <v>9288.18662369489</v>
      </c>
      <c r="F595" s="3" t="n">
        <v>0.00518794268435794</v>
      </c>
      <c r="G595" s="3"/>
    </row>
    <row r="596" customFormat="false" ht="15.75" hidden="false" customHeight="false" outlineLevel="0" collapsed="false">
      <c r="A596" s="3" t="s">
        <v>1507</v>
      </c>
      <c r="B596" s="3" t="n">
        <v>-5.78897894295268</v>
      </c>
      <c r="C596" s="3" t="n">
        <v>0.00306110614527891</v>
      </c>
      <c r="D596" s="3" t="n">
        <v>2032.36204861918</v>
      </c>
      <c r="E596" s="3" t="n">
        <v>16897.9970234863</v>
      </c>
      <c r="F596" s="3" t="n">
        <v>0.00603184160502246</v>
      </c>
      <c r="G596" s="3" t="n">
        <v>0.841048408448991</v>
      </c>
    </row>
    <row r="597" customFormat="false" ht="15.75" hidden="false" customHeight="false" outlineLevel="0" collapsed="false">
      <c r="A597" s="3" t="s">
        <v>1218</v>
      </c>
      <c r="B597" s="3" t="n">
        <v>-5.16433472931965</v>
      </c>
      <c r="C597" s="3" t="n">
        <v>0.00571686483674304</v>
      </c>
      <c r="D597" s="3" t="n">
        <v>1289.11162149932</v>
      </c>
      <c r="E597" s="3" t="n">
        <v>10718.2695907145</v>
      </c>
      <c r="F597" s="3" t="n">
        <v>0.00140141871363862</v>
      </c>
      <c r="G597" s="3" t="n">
        <v>0.941974437493751</v>
      </c>
    </row>
    <row r="598" customFormat="false" ht="15.75" hidden="false" customHeight="false" outlineLevel="0" collapsed="false">
      <c r="A598" s="3" t="s">
        <v>1220</v>
      </c>
      <c r="B598" s="3" t="n">
        <v>-6.29874686944189</v>
      </c>
      <c r="C598" s="3" t="n">
        <v>0.00183860734906938</v>
      </c>
      <c r="D598" s="3" t="n">
        <v>3092.56837153704</v>
      </c>
      <c r="E598" s="3" t="n">
        <v>25713.0422075466</v>
      </c>
      <c r="F598" s="3" t="n">
        <v>0.00132622485774628</v>
      </c>
      <c r="G598" s="3" t="n">
        <v>0.995937696586428</v>
      </c>
    </row>
    <row r="599" customFormat="false" ht="15.75" hidden="false" customHeight="false" outlineLevel="0" collapsed="false">
      <c r="A599" s="3" t="s">
        <v>1222</v>
      </c>
      <c r="B599" s="3" t="n">
        <v>-4.67110345421769</v>
      </c>
      <c r="C599" s="3" t="n">
        <v>0.00936193336045922</v>
      </c>
      <c r="D599" s="3" t="n">
        <v>1601.588087496</v>
      </c>
      <c r="E599" s="3" t="n">
        <v>13316.3432931382</v>
      </c>
      <c r="F599" s="3" t="n">
        <v>0.00507144617160949</v>
      </c>
      <c r="G599" s="3" t="n">
        <v>0.988891943990244</v>
      </c>
    </row>
    <row r="600" customFormat="false" ht="15.75" hidden="false" customHeight="false" outlineLevel="0" collapsed="false">
      <c r="A600" s="3" t="s">
        <v>146</v>
      </c>
      <c r="B600" s="3" t="n">
        <v>-5.09614501917205</v>
      </c>
      <c r="C600" s="3" t="n">
        <v>0.00612029476640785</v>
      </c>
      <c r="D600" s="3" t="n">
        <v>2408.30750462209</v>
      </c>
      <c r="E600" s="3" t="n">
        <v>20023.7812314952</v>
      </c>
      <c r="F600" s="3" t="n">
        <v>8.4922619802952E-005</v>
      </c>
      <c r="G600" s="3"/>
    </row>
    <row r="601" customFormat="false" ht="15.75" hidden="false" customHeight="false" outlineLevel="0" collapsed="false">
      <c r="A601" s="3" t="s">
        <v>1224</v>
      </c>
      <c r="B601" s="3" t="n">
        <v>-4.63215858268845</v>
      </c>
      <c r="C601" s="3" t="n">
        <v>0.00973372535792008</v>
      </c>
      <c r="D601" s="3" t="n">
        <v>1572.3110822872</v>
      </c>
      <c r="E601" s="3" t="n">
        <v>13072.9207458558</v>
      </c>
      <c r="F601" s="3" t="n">
        <v>0.00577267151444628</v>
      </c>
      <c r="G601" s="3" t="n">
        <v>0.99407901554384</v>
      </c>
    </row>
    <row r="602" customFormat="false" ht="15.75" hidden="false" customHeight="false" outlineLevel="0" collapsed="false">
      <c r="A602" s="3" t="s">
        <v>1226</v>
      </c>
      <c r="B602" s="3" t="n">
        <v>-5.2101708688832</v>
      </c>
      <c r="C602" s="3" t="n">
        <v>0.00546074053728284</v>
      </c>
      <c r="D602" s="3" t="n">
        <v>1665.04459491695</v>
      </c>
      <c r="E602" s="3" t="n">
        <v>13843.9500127424</v>
      </c>
      <c r="F602" s="3" t="n">
        <v>0.00880305439778149</v>
      </c>
      <c r="G602" s="3" t="n">
        <v>0.944738024020511</v>
      </c>
    </row>
    <row r="603" customFormat="false" ht="15.75" hidden="false" customHeight="false" outlineLevel="0" collapsed="false">
      <c r="A603" s="3" t="s">
        <v>1508</v>
      </c>
      <c r="B603" s="3" t="n">
        <v>-4.47417080569467</v>
      </c>
      <c r="C603" s="3" t="n">
        <v>0.0113996707486668</v>
      </c>
      <c r="D603" s="3" t="n">
        <v>1692.0697833173</v>
      </c>
      <c r="E603" s="3" t="n">
        <v>14068.6499147399</v>
      </c>
      <c r="F603" s="3" t="n">
        <v>0.00355244701909367</v>
      </c>
      <c r="G603" s="3" t="n">
        <v>0.670917376326865</v>
      </c>
    </row>
    <row r="604" customFormat="false" ht="15.75" hidden="false" customHeight="false" outlineLevel="0" collapsed="false">
      <c r="A604" s="3" t="s">
        <v>264</v>
      </c>
      <c r="B604" s="3"/>
      <c r="C604" s="3"/>
      <c r="D604" s="3"/>
      <c r="E604" s="3"/>
      <c r="F604" s="3"/>
      <c r="G604" s="3"/>
    </row>
    <row r="605" customFormat="false" ht="15.75" hidden="false" customHeight="false" outlineLevel="0" collapsed="false">
      <c r="A605" s="3" t="s">
        <v>266</v>
      </c>
      <c r="B605" s="3"/>
      <c r="C605" s="3"/>
      <c r="D605" s="3"/>
      <c r="E605" s="3"/>
      <c r="F605" s="3"/>
      <c r="G605" s="3"/>
    </row>
    <row r="606" customFormat="false" ht="15.75" hidden="false" customHeight="false" outlineLevel="0" collapsed="false">
      <c r="A606" s="3" t="s">
        <v>1228</v>
      </c>
      <c r="B606" s="3" t="n">
        <v>-4.00134756467299</v>
      </c>
      <c r="C606" s="3" t="n">
        <v>0.0182909740033011</v>
      </c>
      <c r="D606" s="3" t="n">
        <v>738.95410536632</v>
      </c>
      <c r="E606" s="3" t="n">
        <v>6144.00582881226</v>
      </c>
      <c r="F606" s="3" t="n">
        <v>0.000676362902243112</v>
      </c>
      <c r="G606" s="3" t="n">
        <v>0.998810436207848</v>
      </c>
    </row>
    <row r="607" customFormat="false" ht="15.75" hidden="false" customHeight="false" outlineLevel="0" collapsed="false">
      <c r="A607" s="3" t="s">
        <v>1230</v>
      </c>
      <c r="B607" s="3" t="n">
        <v>-4.36261047063706</v>
      </c>
      <c r="C607" s="3" t="n">
        <v>0.0127450735454514</v>
      </c>
      <c r="D607" s="3" t="n">
        <v>1017.10888647101</v>
      </c>
      <c r="E607" s="3" t="n">
        <v>8456.71318642548</v>
      </c>
      <c r="F607" s="3" t="n">
        <v>0.000778545188697257</v>
      </c>
      <c r="G607" s="3" t="n">
        <v>0.998839219706843</v>
      </c>
    </row>
    <row r="608" customFormat="false" ht="15.75" hidden="false" customHeight="false" outlineLevel="0" collapsed="false">
      <c r="A608" s="3" t="s">
        <v>1509</v>
      </c>
      <c r="B608" s="3" t="n">
        <v>-3.88914637563304</v>
      </c>
      <c r="C608" s="3" t="n">
        <v>0.0204628061346283</v>
      </c>
      <c r="D608" s="3" t="n">
        <v>364.841831300923</v>
      </c>
      <c r="E608" s="3" t="n">
        <v>3033.46354236193</v>
      </c>
      <c r="F608" s="3" t="n">
        <v>3.16503184782533E-006</v>
      </c>
      <c r="G608" s="3" t="n">
        <v>0.999981306722447</v>
      </c>
    </row>
    <row r="609" customFormat="false" ht="15.75" hidden="false" customHeight="false" outlineLevel="0" collapsed="false">
      <c r="A609" s="3" t="s">
        <v>1510</v>
      </c>
      <c r="B609" s="3" t="n">
        <v>-4.2061719704987</v>
      </c>
      <c r="C609" s="3" t="n">
        <v>0.0149033095909363</v>
      </c>
      <c r="D609" s="3" t="n">
        <v>562.793166789864</v>
      </c>
      <c r="E609" s="3" t="n">
        <v>4679.32239913398</v>
      </c>
      <c r="F609" s="3" t="n">
        <v>0.00492920567540285</v>
      </c>
      <c r="G609" s="3" t="n">
        <v>0.995752087713746</v>
      </c>
    </row>
    <row r="610" customFormat="false" ht="15.75" hidden="false" customHeight="false" outlineLevel="0" collapsed="false">
      <c r="A610" s="3" t="s">
        <v>1511</v>
      </c>
      <c r="B610" s="3" t="n">
        <v>-3.71273335345123</v>
      </c>
      <c r="C610" s="3" t="n">
        <v>0.0244107089041802</v>
      </c>
      <c r="D610" s="3" t="n">
        <v>491.039182405124</v>
      </c>
      <c r="E610" s="3" t="n">
        <v>4082.72662261847</v>
      </c>
      <c r="F610" s="3" t="n">
        <v>0.000119695996320851</v>
      </c>
      <c r="G610" s="3" t="n">
        <v>0.999738410004048</v>
      </c>
    </row>
    <row r="611" customFormat="false" ht="15.75" hidden="false" customHeight="false" outlineLevel="0" collapsed="false">
      <c r="A611" s="3" t="s">
        <v>148</v>
      </c>
      <c r="B611" s="3"/>
      <c r="C611" s="3"/>
      <c r="D611" s="3"/>
      <c r="E611" s="3"/>
      <c r="F611" s="3"/>
      <c r="G611" s="3"/>
    </row>
    <row r="612" customFormat="false" ht="15.75" hidden="false" customHeight="false" outlineLevel="0" collapsed="false">
      <c r="A612" s="3" t="s">
        <v>150</v>
      </c>
      <c r="B612" s="3"/>
      <c r="C612" s="3"/>
      <c r="D612" s="3"/>
      <c r="E612" s="3"/>
      <c r="F612" s="3"/>
      <c r="G612" s="3"/>
    </row>
    <row r="613" customFormat="false" ht="15.75" hidden="false" customHeight="false" outlineLevel="0" collapsed="false">
      <c r="A613" s="3" t="s">
        <v>268</v>
      </c>
      <c r="B613" s="3"/>
      <c r="C613" s="3"/>
      <c r="D613" s="3"/>
      <c r="E613" s="3"/>
      <c r="F613" s="3"/>
      <c r="G613" s="3"/>
    </row>
    <row r="614" customFormat="false" ht="15.75" hidden="false" customHeight="false" outlineLevel="0" collapsed="false">
      <c r="A614" s="3" t="s">
        <v>1512</v>
      </c>
      <c r="B614" s="3" t="n">
        <v>-7.04784837411279</v>
      </c>
      <c r="C614" s="3" t="n">
        <v>0.000869277306147419</v>
      </c>
      <c r="D614" s="3" t="n">
        <v>2384.33132108333</v>
      </c>
      <c r="E614" s="3" t="n">
        <v>19824.4321645571</v>
      </c>
      <c r="F614" s="3" t="n">
        <v>0.00251394451066018</v>
      </c>
      <c r="G614" s="3" t="n">
        <v>0.821367127858122</v>
      </c>
    </row>
    <row r="615" customFormat="false" ht="15.75" hidden="false" customHeight="false" outlineLevel="0" collapsed="false">
      <c r="A615" s="3" t="s">
        <v>1513</v>
      </c>
      <c r="B615" s="3"/>
      <c r="C615" s="3"/>
      <c r="D615" s="3"/>
      <c r="E615" s="3"/>
      <c r="F615" s="3"/>
      <c r="G615" s="3"/>
    </row>
    <row r="616" customFormat="false" ht="15.75" hidden="false" customHeight="false" outlineLevel="0" collapsed="false">
      <c r="A616" s="3" t="s">
        <v>1232</v>
      </c>
      <c r="B616" s="3" t="n">
        <v>-8.25796388971913</v>
      </c>
      <c r="C616" s="3" t="n">
        <v>0.000259186185984535</v>
      </c>
      <c r="D616" s="3" t="n">
        <v>3850.93987803806</v>
      </c>
      <c r="E616" s="3" t="n">
        <v>32018.4932802321</v>
      </c>
      <c r="F616" s="3" t="n">
        <v>0.016067698791297</v>
      </c>
      <c r="G616" s="3" t="n">
        <v>0.988048155669573</v>
      </c>
    </row>
    <row r="617" customFormat="false" ht="15.75" hidden="false" customHeight="false" outlineLevel="0" collapsed="false">
      <c r="A617" s="3" t="s">
        <v>270</v>
      </c>
      <c r="B617" s="3" t="n">
        <v>-6.53853081170087</v>
      </c>
      <c r="C617" s="3" t="n">
        <v>0.0014466122843598</v>
      </c>
      <c r="D617" s="3" t="n">
        <v>2164.23285074818</v>
      </c>
      <c r="E617" s="3" t="n">
        <v>17994.4317966974</v>
      </c>
      <c r="F617" s="3" t="n">
        <v>0.00563462149927833</v>
      </c>
      <c r="G617" s="3"/>
    </row>
    <row r="618" customFormat="false" ht="15.75" hidden="false" customHeight="false" outlineLevel="0" collapsed="false">
      <c r="A618" s="3" t="s">
        <v>272</v>
      </c>
      <c r="B618" s="3"/>
      <c r="C618" s="3"/>
      <c r="D618" s="3"/>
      <c r="E618" s="3"/>
      <c r="F618" s="3"/>
      <c r="G618" s="3"/>
    </row>
    <row r="619" customFormat="false" ht="15.75" hidden="false" customHeight="false" outlineLevel="0" collapsed="false">
      <c r="A619" s="3" t="s">
        <v>1234</v>
      </c>
      <c r="B619" s="3" t="n">
        <v>-22.3400663752713</v>
      </c>
      <c r="C619" s="3" t="n">
        <v>1.98532882368459E-010</v>
      </c>
      <c r="D619" s="3" t="n">
        <v>8692.04992229295</v>
      </c>
      <c r="E619" s="3" t="n">
        <v>72269.7187810077</v>
      </c>
      <c r="F619" s="3" t="n">
        <v>0.0794143825945722</v>
      </c>
      <c r="G619" s="3" t="n">
        <v>0.994042119559048</v>
      </c>
    </row>
    <row r="620" customFormat="false" ht="15.75" hidden="false" customHeight="false" outlineLevel="0" collapsed="false">
      <c r="A620" s="3" t="s">
        <v>1236</v>
      </c>
      <c r="B620" s="3" t="n">
        <v>-7.52074265231344</v>
      </c>
      <c r="C620" s="3" t="n">
        <v>0.000541730099306244</v>
      </c>
      <c r="D620" s="3" t="n">
        <v>3346.19657160215</v>
      </c>
      <c r="E620" s="3" t="n">
        <v>27821.8242391164</v>
      </c>
      <c r="F620" s="3" t="n">
        <v>0.0249829134252464</v>
      </c>
      <c r="G620" s="3" t="n">
        <v>0.989464911552765</v>
      </c>
    </row>
    <row r="621" customFormat="false" ht="15.75" hidden="false" customHeight="false" outlineLevel="0" collapsed="false">
      <c r="A621" s="3" t="s">
        <v>152</v>
      </c>
      <c r="B621" s="3"/>
      <c r="C621" s="3"/>
      <c r="D621" s="3"/>
      <c r="E621" s="3"/>
      <c r="F621" s="3"/>
      <c r="G621" s="3"/>
    </row>
    <row r="622" customFormat="false" ht="15.75" hidden="false" customHeight="false" outlineLevel="0" collapsed="false">
      <c r="A622" s="3" t="s">
        <v>1238</v>
      </c>
      <c r="B622" s="3" t="n">
        <v>-8.65951705218551</v>
      </c>
      <c r="C622" s="3" t="n">
        <v>0.000173468062698802</v>
      </c>
      <c r="D622" s="3" t="n">
        <v>3221.97161670798</v>
      </c>
      <c r="E622" s="3" t="n">
        <v>26788.9605721971</v>
      </c>
      <c r="F622" s="3" t="n">
        <v>0.0443565690010632</v>
      </c>
      <c r="G622" s="3" t="n">
        <v>0.953252118344605</v>
      </c>
    </row>
    <row r="623" customFormat="false" ht="15.75" hidden="false" customHeight="false" outlineLevel="0" collapsed="false">
      <c r="A623" s="3" t="s">
        <v>154</v>
      </c>
      <c r="B623" s="3"/>
      <c r="C623" s="3"/>
      <c r="D623" s="3"/>
      <c r="E623" s="3"/>
      <c r="F623" s="3"/>
      <c r="G623" s="3"/>
    </row>
    <row r="624" customFormat="false" ht="15.75" hidden="false" customHeight="false" outlineLevel="0" collapsed="false">
      <c r="A624" s="3" t="s">
        <v>1514</v>
      </c>
      <c r="B624" s="3"/>
      <c r="C624" s="3"/>
      <c r="D624" s="3"/>
      <c r="E624" s="3"/>
      <c r="F624" s="3"/>
      <c r="G624" s="3"/>
    </row>
    <row r="625" customFormat="false" ht="15.75" hidden="false" customHeight="false" outlineLevel="0" collapsed="false">
      <c r="A625" s="3" t="s">
        <v>1240</v>
      </c>
      <c r="B625" s="3" t="n">
        <v>-4.90058971793821</v>
      </c>
      <c r="C625" s="3" t="n">
        <v>0.00744219298189342</v>
      </c>
      <c r="D625" s="3" t="n">
        <v>2309.95002600994</v>
      </c>
      <c r="E625" s="3" t="n">
        <v>19205.9917131586</v>
      </c>
      <c r="F625" s="3" t="n">
        <v>0.0058453394243881</v>
      </c>
      <c r="G625" s="3" t="n">
        <v>0.99543258616716</v>
      </c>
    </row>
    <row r="626" customFormat="false" ht="15.75" hidden="false" customHeight="false" outlineLevel="0" collapsed="false">
      <c r="A626" s="3" t="s">
        <v>1242</v>
      </c>
      <c r="B626" s="3" t="n">
        <v>-4.82311400636488</v>
      </c>
      <c r="C626" s="3" t="n">
        <v>0.00804170618399882</v>
      </c>
      <c r="D626" s="3" t="n">
        <v>1748.19107735119</v>
      </c>
      <c r="E626" s="3" t="n">
        <v>14535.2682813755</v>
      </c>
      <c r="F626" s="3" t="n">
        <v>0.00226047353801287</v>
      </c>
      <c r="G626" s="3" t="n">
        <v>0.986624810653746</v>
      </c>
    </row>
    <row r="627" customFormat="false" ht="15.75" hidden="false" customHeight="false" outlineLevel="0" collapsed="false">
      <c r="A627" s="3" t="s">
        <v>1515</v>
      </c>
      <c r="B627" s="3" t="n">
        <v>-4.1516850782124</v>
      </c>
      <c r="C627" s="3" t="n">
        <v>0.0157378745789788</v>
      </c>
      <c r="D627" s="3" t="n">
        <v>1090.02254758255</v>
      </c>
      <c r="E627" s="3" t="n">
        <v>9062.95105101829</v>
      </c>
      <c r="F627" s="3" t="n">
        <v>2.81723250313707E-006</v>
      </c>
      <c r="G627" s="3"/>
    </row>
    <row r="628" customFormat="false" ht="15.75" hidden="false" customHeight="false" outlineLevel="0" collapsed="false">
      <c r="A628" s="3" t="s">
        <v>1244</v>
      </c>
      <c r="B628" s="3" t="n">
        <v>-5.42634853810907</v>
      </c>
      <c r="C628" s="3" t="n">
        <v>0.00439912976584398</v>
      </c>
      <c r="D628" s="3" t="n">
        <v>1950.69837736082</v>
      </c>
      <c r="E628" s="3" t="n">
        <v>16219.0075320282</v>
      </c>
      <c r="F628" s="3" t="n">
        <v>0.00514907993341098</v>
      </c>
      <c r="G628" s="3" t="n">
        <v>0.983444752298642</v>
      </c>
    </row>
    <row r="629" customFormat="false" ht="15.75" hidden="false" customHeight="false" outlineLevel="0" collapsed="false">
      <c r="A629" s="3" t="s">
        <v>156</v>
      </c>
      <c r="B629" s="3" t="n">
        <v>-4.15878834266419</v>
      </c>
      <c r="C629" s="3" t="n">
        <v>0.0156264803934926</v>
      </c>
      <c r="D629" s="3" t="n">
        <v>1115.84319222033</v>
      </c>
      <c r="E629" s="3" t="n">
        <v>9277.63581967461</v>
      </c>
      <c r="F629" s="3" t="n">
        <v>1.1134968244744E-006</v>
      </c>
      <c r="G629" s="3"/>
    </row>
    <row r="630" customFormat="false" ht="15.75" hidden="false" customHeight="false" outlineLevel="0" collapsed="false">
      <c r="A630" s="3" t="s">
        <v>1516</v>
      </c>
      <c r="B630" s="3" t="n">
        <v>-5.84100618011695</v>
      </c>
      <c r="C630" s="3" t="n">
        <v>0.00290591727815929</v>
      </c>
      <c r="D630" s="3" t="n">
        <v>2379.07166492437</v>
      </c>
      <c r="E630" s="3" t="n">
        <v>19780.7009532904</v>
      </c>
      <c r="F630" s="3" t="n">
        <v>0.0227732152731248</v>
      </c>
      <c r="G630" s="3" t="n">
        <v>0.68945010282507</v>
      </c>
    </row>
    <row r="631" customFormat="false" ht="15.75" hidden="false" customHeight="false" outlineLevel="0" collapsed="false">
      <c r="A631" s="3" t="s">
        <v>1517</v>
      </c>
      <c r="B631" s="3"/>
      <c r="C631" s="3"/>
      <c r="D631" s="3"/>
      <c r="E631" s="3"/>
      <c r="F631" s="3"/>
      <c r="G631" s="3"/>
    </row>
    <row r="632" customFormat="false" ht="15.75" hidden="false" customHeight="false" outlineLevel="0" collapsed="false">
      <c r="A632" s="3" t="s">
        <v>1246</v>
      </c>
      <c r="B632" s="3" t="n">
        <v>-8.83749875669405</v>
      </c>
      <c r="C632" s="3" t="n">
        <v>0.000145185437007662</v>
      </c>
      <c r="D632" s="3" t="n">
        <v>3272.56167856547</v>
      </c>
      <c r="E632" s="3" t="n">
        <v>27209.5897190888</v>
      </c>
      <c r="F632" s="3" t="n">
        <v>0.00684067683050466</v>
      </c>
      <c r="G632" s="3" t="n">
        <v>0.987911421681714</v>
      </c>
    </row>
    <row r="633" customFormat="false" ht="15.75" hidden="false" customHeight="false" outlineLevel="0" collapsed="false">
      <c r="A633" s="3" t="s">
        <v>158</v>
      </c>
      <c r="B633" s="3"/>
      <c r="C633" s="3"/>
      <c r="D633" s="3"/>
      <c r="E633" s="3"/>
      <c r="F633" s="3"/>
      <c r="G633" s="3"/>
    </row>
    <row r="634" customFormat="false" ht="15.75" hidden="false" customHeight="false" outlineLevel="0" collapsed="false">
      <c r="A634" s="3" t="s">
        <v>1248</v>
      </c>
      <c r="B634" s="3" t="n">
        <v>-6.63004386031162</v>
      </c>
      <c r="C634" s="3" t="n">
        <v>0.00132010518452596</v>
      </c>
      <c r="D634" s="3" t="n">
        <v>2630.00509235342</v>
      </c>
      <c r="E634" s="3" t="n">
        <v>21867.077400179</v>
      </c>
      <c r="F634" s="3" t="n">
        <v>3.90051943137522E-005</v>
      </c>
      <c r="G634" s="3" t="n">
        <v>0.999945123137718</v>
      </c>
    </row>
    <row r="635" customFormat="false" ht="15.75" hidden="false" customHeight="false" outlineLevel="0" collapsed="false">
      <c r="A635" s="3" t="s">
        <v>1250</v>
      </c>
      <c r="B635" s="3" t="n">
        <v>-10.0331715246682</v>
      </c>
      <c r="C635" s="3" t="n">
        <v>4.39186488700666E-005</v>
      </c>
      <c r="D635" s="3" t="n">
        <v>3881.65239935089</v>
      </c>
      <c r="E635" s="3" t="n">
        <v>32273.8513716118</v>
      </c>
      <c r="F635" s="3" t="n">
        <v>0.171447782366911</v>
      </c>
      <c r="G635" s="3" t="n">
        <v>0.966197803754465</v>
      </c>
    </row>
    <row r="636" customFormat="false" ht="15.75" hidden="false" customHeight="false" outlineLevel="0" collapsed="false">
      <c r="A636" s="3" t="s">
        <v>1518</v>
      </c>
      <c r="B636" s="3"/>
      <c r="C636" s="3"/>
      <c r="D636" s="3"/>
      <c r="E636" s="3"/>
      <c r="F636" s="3"/>
      <c r="G636" s="3"/>
    </row>
    <row r="637" customFormat="false" ht="15.75" hidden="false" customHeight="false" outlineLevel="0" collapsed="false">
      <c r="A637" s="3" t="s">
        <v>1519</v>
      </c>
      <c r="B637" s="3"/>
      <c r="C637" s="3"/>
      <c r="D637" s="3"/>
      <c r="E637" s="3"/>
      <c r="F637" s="3"/>
      <c r="G637" s="3"/>
    </row>
    <row r="638" customFormat="false" ht="15.75" hidden="false" customHeight="false" outlineLevel="0" collapsed="false">
      <c r="A638" s="3" t="s">
        <v>1520</v>
      </c>
      <c r="B638" s="3"/>
      <c r="C638" s="3"/>
      <c r="D638" s="3"/>
      <c r="E638" s="3"/>
      <c r="F638" s="3"/>
      <c r="G638" s="3"/>
    </row>
    <row r="639" customFormat="false" ht="15.75" hidden="false" customHeight="false" outlineLevel="0" collapsed="false">
      <c r="A639" s="3" t="s">
        <v>1252</v>
      </c>
      <c r="B639" s="3" t="n">
        <v>-6.9050346480953</v>
      </c>
      <c r="C639" s="3" t="n">
        <v>0.00100272433516161</v>
      </c>
      <c r="D639" s="3" t="n">
        <v>2753.44986347571</v>
      </c>
      <c r="E639" s="3" t="n">
        <v>22893.454258774</v>
      </c>
      <c r="F639" s="3" t="n">
        <v>0.0132353342615877</v>
      </c>
      <c r="G639" s="3" t="n">
        <v>0.987036312271888</v>
      </c>
    </row>
    <row r="640" customFormat="false" ht="15.75" hidden="false" customHeight="false" outlineLevel="0" collapsed="false">
      <c r="A640" s="3" t="s">
        <v>160</v>
      </c>
      <c r="B640" s="3" t="n">
        <v>-10.2887816447929</v>
      </c>
      <c r="C640" s="3" t="n">
        <v>3.40125275182312E-005</v>
      </c>
      <c r="D640" s="3" t="n">
        <v>4408.64737010289</v>
      </c>
      <c r="E640" s="3" t="n">
        <v>36655.5310301205</v>
      </c>
      <c r="F640" s="3" t="n">
        <v>0.010146071897256</v>
      </c>
      <c r="G640" s="3"/>
    </row>
    <row r="641" customFormat="false" ht="15.75" hidden="false" customHeight="false" outlineLevel="0" collapsed="false">
      <c r="A641" s="3" t="s">
        <v>1254</v>
      </c>
      <c r="B641" s="3" t="n">
        <v>-9.74610511010368</v>
      </c>
      <c r="C641" s="3" t="n">
        <v>5.85221577721713E-005</v>
      </c>
      <c r="D641" s="3" t="n">
        <v>4101.92625274336</v>
      </c>
      <c r="E641" s="3" t="n">
        <v>34105.3099552371</v>
      </c>
      <c r="F641" s="3" t="n">
        <v>0.0101261327066311</v>
      </c>
      <c r="G641" s="3" t="n">
        <v>0.991589161518622</v>
      </c>
    </row>
    <row r="642" customFormat="false" ht="15.75" hidden="false" customHeight="false" outlineLevel="0" collapsed="false">
      <c r="A642" s="3" t="s">
        <v>1256</v>
      </c>
      <c r="B642" s="3" t="n">
        <v>-8.36695434596293</v>
      </c>
      <c r="C642" s="3" t="n">
        <v>0.000232422354939392</v>
      </c>
      <c r="D642" s="3" t="n">
        <v>3295.36117196063</v>
      </c>
      <c r="E642" s="3" t="n">
        <v>27399.1552405421</v>
      </c>
      <c r="F642" s="3" t="n">
        <v>0.00838357243210413</v>
      </c>
      <c r="G642" s="3" t="n">
        <v>0.983065327052105</v>
      </c>
    </row>
    <row r="643" customFormat="false" ht="15.75" hidden="false" customHeight="false" outlineLevel="0" collapsed="false">
      <c r="A643" s="3" t="s">
        <v>1258</v>
      </c>
      <c r="B643" s="3" t="n">
        <v>-5.04891830292333</v>
      </c>
      <c r="C643" s="3" t="n">
        <v>0.00641627015454078</v>
      </c>
      <c r="D643" s="3" t="n">
        <v>1713.2350154583</v>
      </c>
      <c r="E643" s="3" t="n">
        <v>14244.6274330975</v>
      </c>
      <c r="F643" s="3" t="n">
        <v>0.00103943452207209</v>
      </c>
      <c r="G643" s="3" t="n">
        <v>0.971531543926268</v>
      </c>
    </row>
    <row r="644" customFormat="false" ht="15.75" hidden="false" customHeight="false" outlineLevel="0" collapsed="false">
      <c r="A644" s="3" t="s">
        <v>1260</v>
      </c>
      <c r="B644" s="3" t="n">
        <v>-4.96464949769058</v>
      </c>
      <c r="C644" s="3" t="n">
        <v>0.00698039692561595</v>
      </c>
      <c r="D644" s="3" t="n">
        <v>1738.42780770486</v>
      </c>
      <c r="E644" s="3" t="n">
        <v>14454.0919469053</v>
      </c>
      <c r="F644" s="3" t="n">
        <v>4.83521116216759E-005</v>
      </c>
      <c r="G644" s="3" t="n">
        <v>0.999594637891792</v>
      </c>
    </row>
    <row r="645" customFormat="false" ht="15.75" hidden="false" customHeight="false" outlineLevel="0" collapsed="false">
      <c r="A645" s="3" t="s">
        <v>1262</v>
      </c>
      <c r="B645" s="3" t="n">
        <v>-15.274121966139</v>
      </c>
      <c r="C645" s="3" t="n">
        <v>2.3255898012356E-007</v>
      </c>
      <c r="D645" s="3" t="n">
        <v>6635.96052050855</v>
      </c>
      <c r="E645" s="3" t="n">
        <v>55174.4415812686</v>
      </c>
      <c r="F645" s="3" t="n">
        <v>0.647113797272088</v>
      </c>
      <c r="G645" s="3" t="n">
        <v>0.957649547936466</v>
      </c>
    </row>
    <row r="646" customFormat="false" ht="15.75" hidden="false" customHeight="false" outlineLevel="0" collapsed="false">
      <c r="A646" s="3" t="s">
        <v>1521</v>
      </c>
      <c r="B646" s="3"/>
      <c r="C646" s="3"/>
      <c r="D646" s="3"/>
      <c r="E646" s="3"/>
      <c r="F646" s="3"/>
      <c r="G646" s="3"/>
    </row>
    <row r="647" customFormat="false" ht="15.75" hidden="false" customHeight="false" outlineLevel="0" collapsed="false">
      <c r="A647" s="3" t="s">
        <v>1522</v>
      </c>
      <c r="B647" s="3"/>
      <c r="C647" s="3"/>
      <c r="D647" s="3"/>
      <c r="E647" s="3"/>
      <c r="F647" s="3"/>
      <c r="G647" s="3"/>
    </row>
    <row r="648" customFormat="false" ht="15.75" hidden="false" customHeight="false" outlineLevel="0" collapsed="false">
      <c r="A648" s="3" t="s">
        <v>1523</v>
      </c>
      <c r="B648" s="3"/>
      <c r="C648" s="3"/>
      <c r="D648" s="3"/>
      <c r="E648" s="3"/>
      <c r="F648" s="3"/>
      <c r="G648" s="3"/>
    </row>
    <row r="649" customFormat="false" ht="15.75" hidden="false" customHeight="false" outlineLevel="0" collapsed="false">
      <c r="A649" s="3" t="s">
        <v>1524</v>
      </c>
      <c r="B649" s="3"/>
      <c r="C649" s="3"/>
      <c r="D649" s="3"/>
      <c r="E649" s="3"/>
      <c r="F649" s="3"/>
      <c r="G649" s="3"/>
    </row>
    <row r="650" customFormat="false" ht="15.75" hidden="false" customHeight="false" outlineLevel="0" collapsed="false">
      <c r="A650" s="3" t="s">
        <v>1525</v>
      </c>
      <c r="B650" s="3"/>
      <c r="C650" s="3"/>
      <c r="D650" s="3"/>
      <c r="E650" s="3"/>
      <c r="F650" s="3"/>
      <c r="G650" s="3"/>
    </row>
    <row r="651" customFormat="false" ht="15.75" hidden="false" customHeight="false" outlineLevel="0" collapsed="false">
      <c r="A651" s="3" t="s">
        <v>1526</v>
      </c>
      <c r="B651" s="3"/>
      <c r="C651" s="3"/>
      <c r="D651" s="3"/>
      <c r="E651" s="3"/>
      <c r="F651" s="3"/>
      <c r="G651" s="3"/>
    </row>
    <row r="652" customFormat="false" ht="15.75" hidden="false" customHeight="false" outlineLevel="0" collapsed="false">
      <c r="A652" s="3" t="s">
        <v>1264</v>
      </c>
      <c r="B652" s="3" t="n">
        <v>-4.20621373410846</v>
      </c>
      <c r="C652" s="3" t="n">
        <v>0.0149026871879273</v>
      </c>
      <c r="D652" s="3" t="n">
        <v>1136.24687106406</v>
      </c>
      <c r="E652" s="3" t="n">
        <v>9447.28143208106</v>
      </c>
      <c r="F652" s="3" t="n">
        <v>0.000238109554939457</v>
      </c>
      <c r="G652" s="3" t="n">
        <v>0.994313762192177</v>
      </c>
    </row>
    <row r="653" customFormat="false" ht="15.75" hidden="false" customHeight="false" outlineLevel="0" collapsed="false">
      <c r="A653" s="3" t="s">
        <v>1266</v>
      </c>
      <c r="B653" s="3" t="n">
        <v>-5.22392711076814</v>
      </c>
      <c r="C653" s="3" t="n">
        <v>0.00538613558792587</v>
      </c>
      <c r="D653" s="3" t="n">
        <v>2142.06788713915</v>
      </c>
      <c r="E653" s="3" t="n">
        <v>17810.1420490388</v>
      </c>
      <c r="F653" s="3" t="n">
        <v>0.00155866222648148</v>
      </c>
      <c r="G653" s="3" t="n">
        <v>0.992161018203217</v>
      </c>
    </row>
    <row r="654" customFormat="false" ht="15.75" hidden="false" customHeight="false" outlineLevel="0" collapsed="false">
      <c r="A654" s="3" t="s">
        <v>1268</v>
      </c>
      <c r="B654" s="3" t="n">
        <v>-5.36583592967942</v>
      </c>
      <c r="C654" s="3" t="n">
        <v>0.00467355184651797</v>
      </c>
      <c r="D654" s="3" t="n">
        <v>1817.42324738004</v>
      </c>
      <c r="E654" s="3" t="n">
        <v>15110.896528258</v>
      </c>
      <c r="F654" s="3" t="n">
        <v>0.00143012356649144</v>
      </c>
      <c r="G654" s="3" t="n">
        <v>0.991113931445754</v>
      </c>
    </row>
    <row r="655" customFormat="false" ht="15.75" hidden="false" customHeight="false" outlineLevel="0" collapsed="false">
      <c r="A655" s="3" t="s">
        <v>1270</v>
      </c>
      <c r="B655" s="3" t="n">
        <v>-4.83646558476954</v>
      </c>
      <c r="C655" s="3" t="n">
        <v>0.00793505030991805</v>
      </c>
      <c r="D655" s="3" t="n">
        <v>1708.91627553737</v>
      </c>
      <c r="E655" s="3" t="n">
        <v>14208.719434137</v>
      </c>
      <c r="F655" s="3" t="n">
        <v>7.84216827066897E-005</v>
      </c>
      <c r="G655" s="3" t="n">
        <v>0.999538433371418</v>
      </c>
    </row>
    <row r="656" customFormat="false" ht="15.75" hidden="false" customHeight="false" outlineLevel="0" collapsed="false">
      <c r="A656" s="3" t="s">
        <v>1527</v>
      </c>
      <c r="B656" s="3"/>
      <c r="C656" s="3"/>
      <c r="D656" s="3"/>
      <c r="E656" s="3"/>
      <c r="F656" s="3"/>
      <c r="G656" s="3"/>
    </row>
    <row r="657" customFormat="false" ht="15.75" hidden="false" customHeight="false" outlineLevel="0" collapsed="false">
      <c r="A657" s="3" t="s">
        <v>1528</v>
      </c>
      <c r="B657" s="3"/>
      <c r="C657" s="3"/>
      <c r="D657" s="3"/>
      <c r="E657" s="3"/>
      <c r="F657" s="3"/>
      <c r="G657" s="3"/>
    </row>
    <row r="658" customFormat="false" ht="15.75" hidden="false" customHeight="false" outlineLevel="0" collapsed="false">
      <c r="A658" s="3" t="s">
        <v>1529</v>
      </c>
      <c r="B658" s="3"/>
      <c r="C658" s="3"/>
      <c r="D658" s="3"/>
      <c r="E658" s="3"/>
      <c r="F658" s="3"/>
      <c r="G658" s="3"/>
    </row>
    <row r="659" customFormat="false" ht="15.75" hidden="false" customHeight="false" outlineLevel="0" collapsed="false">
      <c r="A659" s="3" t="s">
        <v>162</v>
      </c>
      <c r="B659" s="3" t="n">
        <v>-5.39278096949953</v>
      </c>
      <c r="C659" s="3" t="n">
        <v>0.00454930425136434</v>
      </c>
      <c r="D659" s="3" t="n">
        <v>1802.67565774684</v>
      </c>
      <c r="E659" s="3" t="n">
        <v>14988.2782546611</v>
      </c>
      <c r="F659" s="3" t="n">
        <v>7.95691904426139E-005</v>
      </c>
      <c r="G659" s="3"/>
    </row>
    <row r="660" customFormat="false" ht="15.75" hidden="false" customHeight="false" outlineLevel="0" collapsed="false">
      <c r="A660" s="3" t="s">
        <v>1272</v>
      </c>
      <c r="B660" s="3" t="n">
        <v>-4.81810833380348</v>
      </c>
      <c r="C660" s="3" t="n">
        <v>0.00808206124984997</v>
      </c>
      <c r="D660" s="3" t="n">
        <v>1617.75274320821</v>
      </c>
      <c r="E660" s="3" t="n">
        <v>13450.7437088004</v>
      </c>
      <c r="F660" s="3" t="n">
        <v>0.00268116840423696</v>
      </c>
      <c r="G660" s="3" t="n">
        <v>0.99686405933003</v>
      </c>
    </row>
    <row r="661" customFormat="false" ht="15.75" hidden="false" customHeight="false" outlineLevel="0" collapsed="false">
      <c r="A661" s="3" t="s">
        <v>164</v>
      </c>
      <c r="B661" s="3" t="n">
        <v>-9.03951960849917</v>
      </c>
      <c r="C661" s="3" t="n">
        <v>0.00011862781056026</v>
      </c>
      <c r="D661" s="3" t="n">
        <v>3250.94398904126</v>
      </c>
      <c r="E661" s="3" t="n">
        <v>27029.850261012</v>
      </c>
      <c r="F661" s="3" t="n">
        <v>0.0264014093166726</v>
      </c>
      <c r="G661" s="3"/>
    </row>
    <row r="662" customFormat="false" ht="15.75" hidden="false" customHeight="false" outlineLevel="0" collapsed="false">
      <c r="A662" s="3" t="s">
        <v>1530</v>
      </c>
      <c r="B662" s="3"/>
      <c r="C662" s="3"/>
      <c r="D662" s="3"/>
      <c r="E662" s="3"/>
      <c r="F662" s="3"/>
      <c r="G662" s="3"/>
    </row>
    <row r="663" customFormat="false" ht="15.75" hidden="false" customHeight="false" outlineLevel="0" collapsed="false">
      <c r="A663" s="3" t="s">
        <v>166</v>
      </c>
      <c r="B663" s="3"/>
      <c r="C663" s="3"/>
      <c r="D663" s="3"/>
      <c r="E663" s="3"/>
      <c r="F663" s="3"/>
      <c r="G663" s="3"/>
    </row>
    <row r="664" customFormat="false" ht="15.75" hidden="false" customHeight="false" outlineLevel="0" collapsed="false">
      <c r="A664" s="3" t="s">
        <v>1531</v>
      </c>
      <c r="B664" s="3"/>
      <c r="C664" s="3"/>
      <c r="D664" s="3"/>
      <c r="E664" s="3"/>
      <c r="F664" s="3"/>
      <c r="G664" s="3"/>
    </row>
    <row r="665" customFormat="false" ht="15.75" hidden="false" customHeight="false" outlineLevel="0" collapsed="false">
      <c r="A665" s="3" t="s">
        <v>1532</v>
      </c>
      <c r="B665" s="3"/>
      <c r="C665" s="3"/>
      <c r="D665" s="3"/>
      <c r="E665" s="3"/>
      <c r="F665" s="3"/>
      <c r="G665" s="3"/>
    </row>
    <row r="666" customFormat="false" ht="15.75" hidden="false" customHeight="false" outlineLevel="0" collapsed="false">
      <c r="A666" s="3" t="s">
        <v>1274</v>
      </c>
      <c r="B666" s="3" t="n">
        <v>-4.22526127606172</v>
      </c>
      <c r="C666" s="3" t="n">
        <v>0.014621513958897</v>
      </c>
      <c r="D666" s="3" t="n">
        <v>1428.00387725883</v>
      </c>
      <c r="E666" s="3" t="n">
        <v>11873.0839733212</v>
      </c>
      <c r="F666" s="3" t="n">
        <v>1.31539777615535E-005</v>
      </c>
      <c r="G666" s="3" t="n">
        <v>0.999499965757067</v>
      </c>
    </row>
    <row r="667" customFormat="false" ht="15.75" hidden="false" customHeight="false" outlineLevel="0" collapsed="false">
      <c r="A667" s="3" t="s">
        <v>1276</v>
      </c>
      <c r="B667" s="3" t="n">
        <v>-4.52070638745936</v>
      </c>
      <c r="C667" s="3" t="n">
        <v>0.010881334514871</v>
      </c>
      <c r="D667" s="3" t="n">
        <v>1438.59972581657</v>
      </c>
      <c r="E667" s="3" t="n">
        <v>11961.1827535123</v>
      </c>
      <c r="F667" s="3" t="n">
        <v>0.00511196639387599</v>
      </c>
      <c r="G667" s="3" t="n">
        <v>0.988519581133236</v>
      </c>
    </row>
    <row r="668" customFormat="false" ht="15.75" hidden="false" customHeight="false" outlineLevel="0" collapsed="false">
      <c r="A668" s="3" t="s">
        <v>1533</v>
      </c>
      <c r="B668" s="3"/>
      <c r="C668" s="3"/>
      <c r="D668" s="3"/>
      <c r="E668" s="3"/>
      <c r="F668" s="3"/>
      <c r="G668" s="3"/>
    </row>
    <row r="669" customFormat="false" ht="15.75" hidden="false" customHeight="false" outlineLevel="0" collapsed="false">
      <c r="A669" s="3" t="s">
        <v>1278</v>
      </c>
      <c r="B669" s="3" t="n">
        <v>-4.50321906696679</v>
      </c>
      <c r="C669" s="3" t="n">
        <v>0.0110732934306298</v>
      </c>
      <c r="D669" s="3" t="n">
        <v>1360.44359470422</v>
      </c>
      <c r="E669" s="3" t="n">
        <v>11311.3565713116</v>
      </c>
      <c r="F669" s="3" t="n">
        <v>0.00015780938144148</v>
      </c>
      <c r="G669" s="3" t="n">
        <v>0.998547195980509</v>
      </c>
    </row>
    <row r="670" customFormat="false" ht="15.75" hidden="false" customHeight="false" outlineLevel="0" collapsed="false">
      <c r="A670" s="3" t="s">
        <v>1534</v>
      </c>
      <c r="B670" s="3"/>
      <c r="C670" s="3"/>
      <c r="D670" s="3"/>
      <c r="E670" s="3"/>
      <c r="F670" s="3"/>
      <c r="G670" s="3"/>
    </row>
    <row r="671" customFormat="false" ht="15.75" hidden="false" customHeight="false" outlineLevel="0" collapsed="false">
      <c r="A671" s="3" t="s">
        <v>1535</v>
      </c>
      <c r="B671" s="3"/>
      <c r="C671" s="3"/>
      <c r="D671" s="3"/>
      <c r="E671" s="3"/>
      <c r="F671" s="3"/>
      <c r="G671" s="3"/>
    </row>
    <row r="672" customFormat="false" ht="15.75" hidden="false" customHeight="false" outlineLevel="0" collapsed="false">
      <c r="A672" s="3" t="s">
        <v>168</v>
      </c>
      <c r="B672" s="3" t="n">
        <v>-4.4388874328336</v>
      </c>
      <c r="C672" s="3" t="n">
        <v>0.0118090695968936</v>
      </c>
      <c r="D672" s="3" t="n">
        <v>1110.7689962898</v>
      </c>
      <c r="E672" s="3" t="n">
        <v>9235.44661042964</v>
      </c>
      <c r="F672" s="3" t="n">
        <v>2.3795692661716E-005</v>
      </c>
      <c r="G672" s="3"/>
    </row>
    <row r="673" customFormat="false" ht="15.75" hidden="false" customHeight="false" outlineLevel="0" collapsed="false">
      <c r="A673" s="3" t="s">
        <v>1280</v>
      </c>
      <c r="B673" s="3" t="n">
        <v>-5.68577635630831</v>
      </c>
      <c r="C673" s="3" t="n">
        <v>0.00339389735294715</v>
      </c>
      <c r="D673" s="3" t="n">
        <v>2169.02285576086</v>
      </c>
      <c r="E673" s="3" t="n">
        <v>18034.2581113551</v>
      </c>
      <c r="F673" s="3" t="n">
        <v>0.00498074142228761</v>
      </c>
      <c r="G673" s="3" t="n">
        <v>0.981904227126485</v>
      </c>
    </row>
    <row r="674" customFormat="false" ht="15.75" hidden="false" customHeight="false" outlineLevel="0" collapsed="false">
      <c r="A674" s="3" t="s">
        <v>1536</v>
      </c>
      <c r="B674" s="3"/>
      <c r="C674" s="3"/>
      <c r="D674" s="3"/>
      <c r="E674" s="3"/>
      <c r="F674" s="3"/>
      <c r="G674" s="3"/>
    </row>
    <row r="675" customFormat="false" ht="15.75" hidden="false" customHeight="false" outlineLevel="0" collapsed="false">
      <c r="A675" s="3" t="s">
        <v>1537</v>
      </c>
      <c r="B675" s="3" t="n">
        <v>-4.53139010911274</v>
      </c>
      <c r="C675" s="3" t="n">
        <v>0.0107657001681752</v>
      </c>
      <c r="D675" s="3" t="n">
        <v>1534.14215207207</v>
      </c>
      <c r="E675" s="3" t="n">
        <v>12755.5666260015</v>
      </c>
      <c r="F675" s="3" t="n">
        <v>0.00354432827662282</v>
      </c>
      <c r="G675" s="3" t="n">
        <v>0.895995732129254</v>
      </c>
    </row>
    <row r="676" customFormat="false" ht="15.75" hidden="false" customHeight="false" outlineLevel="0" collapsed="false">
      <c r="A676" s="3" t="s">
        <v>1282</v>
      </c>
      <c r="B676" s="3" t="n">
        <v>-4.14141656998662</v>
      </c>
      <c r="C676" s="3" t="n">
        <v>0.0159003116393865</v>
      </c>
      <c r="D676" s="3" t="n">
        <v>931.838466343755</v>
      </c>
      <c r="E676" s="3" t="n">
        <v>7747.73551855343</v>
      </c>
      <c r="F676" s="3" t="n">
        <v>1.95161764707834E-005</v>
      </c>
      <c r="G676" s="3" t="n">
        <v>0.999389260435998</v>
      </c>
    </row>
    <row r="677" customFormat="false" ht="15.75" hidden="false" customHeight="false" outlineLevel="0" collapsed="false">
      <c r="A677" s="3" t="s">
        <v>1538</v>
      </c>
      <c r="B677" s="3" t="n">
        <v>-5.3288752496569</v>
      </c>
      <c r="C677" s="3" t="n">
        <v>0.00484952144683401</v>
      </c>
      <c r="D677" s="3" t="n">
        <v>1575.72206815593</v>
      </c>
      <c r="E677" s="3" t="n">
        <v>13101.2812582438</v>
      </c>
      <c r="F677" s="3" t="n">
        <v>0.00304254751295473</v>
      </c>
      <c r="G677" s="3" t="n">
        <v>0.777555810341311</v>
      </c>
    </row>
    <row r="678" customFormat="false" ht="15.75" hidden="false" customHeight="false" outlineLevel="0" collapsed="false">
      <c r="A678" s="3" t="s">
        <v>170</v>
      </c>
      <c r="B678" s="3" t="n">
        <v>-5.17935651492147</v>
      </c>
      <c r="C678" s="3" t="n">
        <v>0.00563162911800645</v>
      </c>
      <c r="D678" s="3" t="n">
        <v>1682.03867636168</v>
      </c>
      <c r="E678" s="3" t="n">
        <v>13985.2466571395</v>
      </c>
      <c r="F678" s="3" t="n">
        <v>0.00176753748155934</v>
      </c>
      <c r="G678" s="3"/>
    </row>
    <row r="679" customFormat="false" ht="15.75" hidden="false" customHeight="false" outlineLevel="0" collapsed="false">
      <c r="A679" s="3" t="s">
        <v>1539</v>
      </c>
      <c r="B679" s="3"/>
      <c r="C679" s="3"/>
      <c r="D679" s="3"/>
      <c r="E679" s="3"/>
      <c r="F679" s="3"/>
      <c r="G679" s="3"/>
    </row>
    <row r="680" customFormat="false" ht="15.75" hidden="false" customHeight="false" outlineLevel="0" collapsed="false">
      <c r="A680" s="3" t="s">
        <v>1284</v>
      </c>
      <c r="B680" s="3" t="n">
        <v>-4.90953659644825</v>
      </c>
      <c r="C680" s="3" t="n">
        <v>0.00737590556036289</v>
      </c>
      <c r="D680" s="3" t="n">
        <v>1422.37215586373</v>
      </c>
      <c r="E680" s="3" t="n">
        <v>11826.2592397871</v>
      </c>
      <c r="F680" s="3" t="n">
        <v>0.00260679297056944</v>
      </c>
      <c r="G680" s="3" t="n">
        <v>0.989096513386106</v>
      </c>
    </row>
    <row r="681" customFormat="false" ht="15.75" hidden="false" customHeight="false" outlineLevel="0" collapsed="false">
      <c r="A681" s="3" t="s">
        <v>1540</v>
      </c>
      <c r="B681" s="3"/>
      <c r="C681" s="3"/>
      <c r="D681" s="3"/>
      <c r="E681" s="3"/>
      <c r="F681" s="3"/>
      <c r="G681" s="3"/>
    </row>
    <row r="682" customFormat="false" ht="15.75" hidden="false" customHeight="false" outlineLevel="0" collapsed="false">
      <c r="A682" s="3" t="s">
        <v>1286</v>
      </c>
      <c r="B682" s="3" t="n">
        <v>-3.78020020664443</v>
      </c>
      <c r="C682" s="3" t="n">
        <v>0.022818122627993</v>
      </c>
      <c r="D682" s="3" t="n">
        <v>1391.66053013684</v>
      </c>
      <c r="E682" s="3" t="n">
        <v>11570.9085947226</v>
      </c>
      <c r="F682" s="3" t="n">
        <v>0.00179708879342157</v>
      </c>
      <c r="G682" s="3" t="n">
        <v>0.998124808755762</v>
      </c>
    </row>
    <row r="683" customFormat="false" ht="15.75" hidden="false" customHeight="false" outlineLevel="0" collapsed="false">
      <c r="A683" s="3" t="s">
        <v>1288</v>
      </c>
      <c r="B683" s="3" t="n">
        <v>-5.14516845144026</v>
      </c>
      <c r="C683" s="3" t="n">
        <v>0.00582749263179583</v>
      </c>
      <c r="D683" s="3" t="n">
        <v>1500.99442478424</v>
      </c>
      <c r="E683" s="3" t="n">
        <v>12479.9611070804</v>
      </c>
      <c r="F683" s="3" t="n">
        <v>0.00416991320980645</v>
      </c>
      <c r="G683" s="3" t="n">
        <v>0.995105366133836</v>
      </c>
    </row>
    <row r="684" customFormat="false" ht="15.75" hidden="false" customHeight="false" outlineLevel="0" collapsed="false">
      <c r="A684" s="3" t="s">
        <v>1290</v>
      </c>
      <c r="B684" s="3" t="n">
        <v>-4.94257222459367</v>
      </c>
      <c r="C684" s="3" t="n">
        <v>0.00713621878676827</v>
      </c>
      <c r="D684" s="3" t="n">
        <v>1301.38472521686</v>
      </c>
      <c r="E684" s="3" t="n">
        <v>10820.313845196</v>
      </c>
      <c r="F684" s="3" t="n">
        <v>0.00706864767741467</v>
      </c>
      <c r="G684" s="3" t="n">
        <v>0.960151483481954</v>
      </c>
    </row>
    <row r="685" customFormat="false" ht="15.75" hidden="false" customHeight="false" outlineLevel="0" collapsed="false">
      <c r="A685" s="3" t="s">
        <v>172</v>
      </c>
      <c r="B685" s="3" t="n">
        <v>-4.38118518719047</v>
      </c>
      <c r="C685" s="3" t="n">
        <v>0.0125105225199958</v>
      </c>
      <c r="D685" s="3" t="n">
        <v>1163.25719404783</v>
      </c>
      <c r="E685" s="3" t="n">
        <v>9671.85773613728</v>
      </c>
      <c r="F685" s="3" t="n">
        <v>0.000290550743026134</v>
      </c>
      <c r="G685" s="3"/>
    </row>
    <row r="686" customFormat="false" ht="15.75" hidden="false" customHeight="false" outlineLevel="0" collapsed="false">
      <c r="A686" s="3" t="s">
        <v>1292</v>
      </c>
      <c r="B686" s="3" t="n">
        <v>-4.05672419799851</v>
      </c>
      <c r="C686" s="3" t="n">
        <v>0.0173056161363942</v>
      </c>
      <c r="D686" s="3" t="n">
        <v>940.557245795439</v>
      </c>
      <c r="E686" s="3" t="n">
        <v>7820.22747899084</v>
      </c>
      <c r="F686" s="3" t="n">
        <v>5.54663666301904E-005</v>
      </c>
      <c r="G686" s="3" t="n">
        <v>0.9986624009312</v>
      </c>
    </row>
    <row r="687" customFormat="false" ht="15.75" hidden="false" customHeight="false" outlineLevel="0" collapsed="false">
      <c r="A687" s="3" t="s">
        <v>1294</v>
      </c>
      <c r="B687" s="3" t="n">
        <v>-4.87630529457862</v>
      </c>
      <c r="C687" s="3" t="n">
        <v>0.00762513467325337</v>
      </c>
      <c r="D687" s="3" t="n">
        <v>1519.85229854508</v>
      </c>
      <c r="E687" s="3" t="n">
        <v>12636.7541818658</v>
      </c>
      <c r="F687" s="3" t="n">
        <v>6.60493845290075E-005</v>
      </c>
      <c r="G687" s="3" t="n">
        <v>0.999117892209424</v>
      </c>
    </row>
    <row r="688" customFormat="false" ht="15.75" hidden="false" customHeight="false" outlineLevel="0" collapsed="false">
      <c r="A688" s="3" t="s">
        <v>174</v>
      </c>
      <c r="B688" s="3" t="n">
        <v>-5.16423250409778</v>
      </c>
      <c r="C688" s="3" t="n">
        <v>0.00571744927439095</v>
      </c>
      <c r="D688" s="3" t="n">
        <v>1904.58452704558</v>
      </c>
      <c r="E688" s="3" t="n">
        <v>15835.5956759084</v>
      </c>
      <c r="F688" s="3" t="n">
        <v>0.000120432833750966</v>
      </c>
      <c r="G688" s="3"/>
    </row>
    <row r="689" customFormat="false" ht="15.75" hidden="false" customHeight="false" outlineLevel="0" collapsed="false">
      <c r="A689" s="3" t="s">
        <v>1296</v>
      </c>
      <c r="B689" s="3" t="n">
        <v>-5.11837182401499</v>
      </c>
      <c r="C689" s="3" t="n">
        <v>0.00598576083736019</v>
      </c>
      <c r="D689" s="3" t="n">
        <v>1529.70593048545</v>
      </c>
      <c r="E689" s="3" t="n">
        <v>12718.6818301959</v>
      </c>
      <c r="F689" s="3" t="n">
        <v>0.000694022351213665</v>
      </c>
      <c r="G689" s="3" t="n">
        <v>0.980064203626765</v>
      </c>
    </row>
    <row r="690" customFormat="false" ht="15.75" hidden="false" customHeight="false" outlineLevel="0" collapsed="false">
      <c r="A690" s="3" t="s">
        <v>1298</v>
      </c>
      <c r="B690" s="3" t="n">
        <v>-4.912957090204</v>
      </c>
      <c r="C690" s="3" t="n">
        <v>0.00735071942052367</v>
      </c>
      <c r="D690" s="3" t="n">
        <v>1393.71434240355</v>
      </c>
      <c r="E690" s="3" t="n">
        <v>11587.9849387693</v>
      </c>
      <c r="F690" s="3" t="n">
        <v>0.00161700460546326</v>
      </c>
      <c r="G690" s="3" t="n">
        <v>0.930862541835613</v>
      </c>
    </row>
    <row r="691" customFormat="false" ht="15.75" hidden="false" customHeight="false" outlineLevel="0" collapsed="false">
      <c r="A691" s="3" t="s">
        <v>1300</v>
      </c>
      <c r="B691" s="3" t="n">
        <v>-4.75310725982701</v>
      </c>
      <c r="C691" s="3" t="n">
        <v>0.00862485386128829</v>
      </c>
      <c r="D691" s="3" t="n">
        <v>1353.68016699489</v>
      </c>
      <c r="E691" s="3" t="n">
        <v>11255.1223086326</v>
      </c>
      <c r="F691" s="3" t="n">
        <v>0.000187361510025843</v>
      </c>
      <c r="G691" s="3" t="n">
        <v>0.993800212725451</v>
      </c>
    </row>
    <row r="692" customFormat="false" ht="15.75" hidden="false" customHeight="false" outlineLevel="0" collapsed="false">
      <c r="A692" s="3" t="s">
        <v>1302</v>
      </c>
      <c r="B692" s="3" t="n">
        <v>-4.83327184444485</v>
      </c>
      <c r="C692" s="3" t="n">
        <v>0.00796043331185421</v>
      </c>
      <c r="D692" s="3" t="n">
        <v>1785.49911654006</v>
      </c>
      <c r="E692" s="3" t="n">
        <v>14845.4645555059</v>
      </c>
      <c r="F692" s="3" t="n">
        <v>0.013112174669472</v>
      </c>
      <c r="G692" s="3" t="n">
        <v>0.987078429965386</v>
      </c>
    </row>
    <row r="693" customFormat="false" ht="15.75" hidden="false" customHeight="false" outlineLevel="0" collapsed="false">
      <c r="A693" s="3" t="s">
        <v>176</v>
      </c>
      <c r="B693" s="3"/>
      <c r="C693" s="3"/>
      <c r="D693" s="3"/>
      <c r="E693" s="3"/>
      <c r="F693" s="3"/>
      <c r="G693" s="3"/>
    </row>
    <row r="694" customFormat="false" ht="15.75" hidden="false" customHeight="false" outlineLevel="0" collapsed="false">
      <c r="A694" s="3" t="s">
        <v>1541</v>
      </c>
      <c r="B694" s="3"/>
      <c r="C694" s="3"/>
      <c r="D694" s="3"/>
      <c r="E694" s="3"/>
      <c r="F694" s="3"/>
      <c r="G694" s="3"/>
    </row>
    <row r="695" customFormat="false" ht="15.75" hidden="false" customHeight="false" outlineLevel="0" collapsed="false">
      <c r="A695" s="3" t="s">
        <v>1304</v>
      </c>
      <c r="B695" s="3" t="n">
        <v>-5.44782369531677</v>
      </c>
      <c r="C695" s="3" t="n">
        <v>0.00430566494045463</v>
      </c>
      <c r="D695" s="3" t="n">
        <v>1869.50932985206</v>
      </c>
      <c r="E695" s="3" t="n">
        <v>15543.9642817005</v>
      </c>
      <c r="F695" s="3" t="n">
        <v>0.000445951782125061</v>
      </c>
      <c r="G695" s="3" t="n">
        <v>0.995611085858118</v>
      </c>
    </row>
    <row r="696" customFormat="false" ht="15.75" hidden="false" customHeight="false" outlineLevel="0" collapsed="false">
      <c r="A696" s="3" t="s">
        <v>1542</v>
      </c>
      <c r="B696" s="3"/>
      <c r="C696" s="3"/>
      <c r="D696" s="3"/>
      <c r="E696" s="3"/>
      <c r="F696" s="3"/>
      <c r="G696" s="3"/>
    </row>
    <row r="697" customFormat="false" ht="15.75" hidden="false" customHeight="false" outlineLevel="0" collapsed="false">
      <c r="A697" s="3" t="s">
        <v>178</v>
      </c>
      <c r="B697" s="3" t="n">
        <v>-4.17868895183171</v>
      </c>
      <c r="C697" s="3" t="n">
        <v>0.0153185778006954</v>
      </c>
      <c r="D697" s="3" t="n">
        <v>913.67494091318</v>
      </c>
      <c r="E697" s="3" t="n">
        <v>7596.71557657489</v>
      </c>
      <c r="F697" s="3" t="n">
        <v>0.0210154434443219</v>
      </c>
      <c r="G697" s="3"/>
    </row>
    <row r="698" customFormat="false" ht="15.75" hidden="false" customHeight="false" outlineLevel="0" collapsed="false">
      <c r="A698" s="3" t="s">
        <v>1306</v>
      </c>
      <c r="B698" s="3" t="n">
        <v>-4.00431100213468</v>
      </c>
      <c r="C698" s="3" t="n">
        <v>0.0182368500817667</v>
      </c>
      <c r="D698" s="3" t="n">
        <v>1006.55165191074</v>
      </c>
      <c r="E698" s="3" t="n">
        <v>8368.93546084909</v>
      </c>
      <c r="F698" s="3" t="n">
        <v>5.00414982186011E-005</v>
      </c>
      <c r="G698" s="3" t="n">
        <v>0.999780769218765</v>
      </c>
    </row>
    <row r="699" customFormat="false" ht="15.75" hidden="false" customHeight="false" outlineLevel="0" collapsed="false">
      <c r="A699" s="3" t="s">
        <v>1308</v>
      </c>
      <c r="B699" s="3" t="n">
        <v>-4.6373732199678</v>
      </c>
      <c r="C699" s="3" t="n">
        <v>0.00968309962294387</v>
      </c>
      <c r="D699" s="3" t="n">
        <v>1483.5328788301</v>
      </c>
      <c r="E699" s="3" t="n">
        <v>12334.7777467835</v>
      </c>
      <c r="F699" s="3" t="n">
        <v>0.00146261247674826</v>
      </c>
      <c r="G699" s="3" t="n">
        <v>0.994301860593034</v>
      </c>
    </row>
    <row r="700" customFormat="false" ht="15.75" hidden="false" customHeight="false" outlineLevel="0" collapsed="false">
      <c r="A700" s="3" t="s">
        <v>1543</v>
      </c>
      <c r="B700" s="3"/>
      <c r="C700" s="3"/>
      <c r="D700" s="3"/>
      <c r="E700" s="3"/>
      <c r="F700" s="3"/>
      <c r="G700" s="3"/>
    </row>
    <row r="701" customFormat="false" ht="15.75" hidden="false" customHeight="false" outlineLevel="0" collapsed="false">
      <c r="A701" s="3" t="s">
        <v>180</v>
      </c>
      <c r="B701" s="3" t="n">
        <v>-4.00363017536529</v>
      </c>
      <c r="C701" s="3" t="n">
        <v>0.0182492704450699</v>
      </c>
      <c r="D701" s="3" t="n">
        <v>1071.60691043452</v>
      </c>
      <c r="E701" s="3" t="n">
        <v>8909.83493574524</v>
      </c>
      <c r="F701" s="3" t="n">
        <v>8.38673245822227E-006</v>
      </c>
      <c r="G701" s="3"/>
    </row>
    <row r="702" customFormat="false" ht="15.75" hidden="false" customHeight="false" outlineLevel="0" collapsed="false">
      <c r="A702" s="3" t="s">
        <v>1310</v>
      </c>
      <c r="B702" s="3" t="n">
        <v>-4.37277714427695</v>
      </c>
      <c r="C702" s="3" t="n">
        <v>0.0126161549890728</v>
      </c>
      <c r="D702" s="3" t="n">
        <v>1364.10220011492</v>
      </c>
      <c r="E702" s="3" t="n">
        <v>11341.7759069719</v>
      </c>
      <c r="F702" s="3" t="n">
        <v>0.0015792589683791</v>
      </c>
      <c r="G702" s="3" t="n">
        <v>0.996720091989308</v>
      </c>
    </row>
    <row r="703" customFormat="false" ht="15.75" hidden="false" customHeight="false" outlineLevel="0" collapsed="false">
      <c r="A703" s="3" t="s">
        <v>182</v>
      </c>
      <c r="B703" s="3" t="n">
        <v>-4.39071525511342</v>
      </c>
      <c r="C703" s="3" t="n">
        <v>0.012391862706746</v>
      </c>
      <c r="D703" s="3" t="n">
        <v>1288.60024800122</v>
      </c>
      <c r="E703" s="3" t="n">
        <v>10714.0177951967</v>
      </c>
      <c r="F703" s="3" t="n">
        <v>0.000280545378466703</v>
      </c>
      <c r="G703" s="3"/>
    </row>
    <row r="704" customFormat="false" ht="15.75" hidden="false" customHeight="false" outlineLevel="0" collapsed="false">
      <c r="A704" s="3" t="s">
        <v>184</v>
      </c>
      <c r="B704" s="3" t="n">
        <v>-4.28577163657431</v>
      </c>
      <c r="C704" s="3" t="n">
        <v>0.013762997390679</v>
      </c>
      <c r="D704" s="3" t="n">
        <v>1831.67134307774</v>
      </c>
      <c r="E704" s="3" t="n">
        <v>15229.3617785088</v>
      </c>
      <c r="F704" s="3" t="n">
        <v>0.000156199567602912</v>
      </c>
      <c r="G704" s="3"/>
    </row>
    <row r="705" customFormat="false" ht="15.75" hidden="false" customHeight="false" outlineLevel="0" collapsed="false">
      <c r="A705" s="3" t="s">
        <v>186</v>
      </c>
      <c r="B705" s="3" t="n">
        <v>-4.34653977115491</v>
      </c>
      <c r="C705" s="3" t="n">
        <v>0.0129515504626864</v>
      </c>
      <c r="D705" s="3" t="n">
        <v>1214.9377492431</v>
      </c>
      <c r="E705" s="3" t="n">
        <v>10101.5537484473</v>
      </c>
      <c r="F705" s="3" t="n">
        <v>1.53871467978027E-005</v>
      </c>
      <c r="G705" s="3"/>
    </row>
    <row r="706" customFormat="false" ht="15.75" hidden="false" customHeight="false" outlineLevel="0" collapsed="false">
      <c r="A706" s="3" t="s">
        <v>1312</v>
      </c>
      <c r="B706" s="3" t="n">
        <v>-4.24139997405514</v>
      </c>
      <c r="C706" s="3" t="n">
        <v>0.0143874357006653</v>
      </c>
      <c r="D706" s="3" t="n">
        <v>1108.064336071</v>
      </c>
      <c r="E706" s="3" t="n">
        <v>9212.95881581752</v>
      </c>
      <c r="F706" s="3" t="n">
        <v>0.000120220355294013</v>
      </c>
      <c r="G706" s="3" t="n">
        <v>0.994087065191781</v>
      </c>
    </row>
    <row r="707" customFormat="false" ht="15.75" hidden="false" customHeight="false" outlineLevel="0" collapsed="false">
      <c r="A707" s="3" t="s">
        <v>1314</v>
      </c>
      <c r="B707" s="3" t="n">
        <v>-4.46154948719811</v>
      </c>
      <c r="C707" s="3" t="n">
        <v>0.0115444614265086</v>
      </c>
      <c r="D707" s="3" t="n">
        <v>1205.15018427613</v>
      </c>
      <c r="E707" s="3" t="n">
        <v>10020.1754114569</v>
      </c>
      <c r="F707" s="3" t="n">
        <v>9.60903047050476E-005</v>
      </c>
      <c r="G707" s="3" t="n">
        <v>0.996108850334125</v>
      </c>
    </row>
    <row r="708" customFormat="false" ht="15.75" hidden="false" customHeight="false" outlineLevel="0" collapsed="false">
      <c r="A708" s="3" t="s">
        <v>188</v>
      </c>
      <c r="B708" s="3"/>
      <c r="C708" s="3"/>
      <c r="D708" s="3"/>
      <c r="E708" s="3"/>
      <c r="F708" s="3"/>
      <c r="G708" s="3"/>
    </row>
    <row r="709" customFormat="false" ht="15.75" hidden="false" customHeight="false" outlineLevel="0" collapsed="false">
      <c r="A709" s="3" t="s">
        <v>1544</v>
      </c>
      <c r="B709" s="3" t="n">
        <v>-4.81293723038264</v>
      </c>
      <c r="C709" s="3" t="n">
        <v>0.00812396266934194</v>
      </c>
      <c r="D709" s="3" t="n">
        <v>1560.67570533327</v>
      </c>
      <c r="E709" s="3" t="n">
        <v>12976.1788463167</v>
      </c>
      <c r="F709" s="3" t="n">
        <v>0.00144353495735201</v>
      </c>
      <c r="G709" s="3"/>
    </row>
    <row r="710" customFormat="false" ht="15.75" hidden="false" customHeight="false" outlineLevel="0" collapsed="false">
      <c r="A710" s="3" t="s">
        <v>1545</v>
      </c>
      <c r="B710" s="3"/>
      <c r="C710" s="3"/>
      <c r="D710" s="3"/>
      <c r="E710" s="3"/>
      <c r="F710" s="3"/>
      <c r="G710" s="3"/>
    </row>
    <row r="711" customFormat="false" ht="15.75" hidden="false" customHeight="false" outlineLevel="0" collapsed="false">
      <c r="A711" s="3" t="s">
        <v>190</v>
      </c>
      <c r="B711" s="3" t="n">
        <v>-5.13020649069903</v>
      </c>
      <c r="C711" s="3" t="n">
        <v>0.00591533888510144</v>
      </c>
      <c r="D711" s="3" t="n">
        <v>1051.52544267326</v>
      </c>
      <c r="E711" s="3" t="n">
        <v>8742.86833514003</v>
      </c>
      <c r="F711" s="3" t="n">
        <v>1.16115416036832E-006</v>
      </c>
      <c r="G711" s="3"/>
    </row>
    <row r="712" customFormat="false" ht="15.75" hidden="false" customHeight="false" outlineLevel="0" collapsed="false">
      <c r="A712" s="3" t="s">
        <v>1546</v>
      </c>
      <c r="B712" s="3"/>
      <c r="C712" s="3"/>
      <c r="D712" s="3"/>
      <c r="E712" s="3"/>
      <c r="F712" s="3"/>
      <c r="G712" s="3"/>
    </row>
    <row r="713" customFormat="false" ht="15.75" hidden="false" customHeight="false" outlineLevel="0" collapsed="false">
      <c r="A713" s="3" t="s">
        <v>1316</v>
      </c>
      <c r="B713" s="3" t="n">
        <v>-4.12546925464864</v>
      </c>
      <c r="C713" s="3" t="n">
        <v>0.0161559115725139</v>
      </c>
      <c r="D713" s="3" t="n">
        <v>759.126757721715</v>
      </c>
      <c r="E713" s="3" t="n">
        <v>6311.73058026041</v>
      </c>
      <c r="F713" s="3" t="n">
        <v>1.13686198767489E-005</v>
      </c>
      <c r="G713" s="3" t="n">
        <v>0.999088978347623</v>
      </c>
    </row>
    <row r="714" customFormat="false" ht="15.75" hidden="false" customHeight="false" outlineLevel="0" collapsed="false">
      <c r="A714" s="3" t="s">
        <v>1547</v>
      </c>
      <c r="B714" s="3"/>
      <c r="C714" s="3"/>
      <c r="D714" s="3"/>
      <c r="E714" s="3"/>
      <c r="F714" s="3"/>
      <c r="G714" s="3"/>
    </row>
    <row r="715" customFormat="false" ht="15.75" hidden="false" customHeight="false" outlineLevel="0" collapsed="false">
      <c r="A715" s="3" t="s">
        <v>192</v>
      </c>
      <c r="B715" s="3"/>
      <c r="C715" s="3"/>
      <c r="D715" s="3"/>
      <c r="E715" s="3"/>
      <c r="F715" s="3"/>
      <c r="G715" s="3"/>
    </row>
    <row r="716" customFormat="false" ht="15.75" hidden="false" customHeight="false" outlineLevel="0" collapsed="false">
      <c r="A716" s="3" t="s">
        <v>1318</v>
      </c>
      <c r="B716" s="3" t="n">
        <v>-10.7617422913474</v>
      </c>
      <c r="C716" s="3" t="n">
        <v>2.11950627757036E-005</v>
      </c>
      <c r="D716" s="3" t="n">
        <v>3556.19032145652</v>
      </c>
      <c r="E716" s="3" t="n">
        <v>29567.809292518</v>
      </c>
      <c r="F716" s="3" t="n">
        <v>0.0615737017790658</v>
      </c>
      <c r="G716" s="3" t="n">
        <v>0.981362518162356</v>
      </c>
    </row>
    <row r="717" customFormat="false" ht="15.75" hidden="false" customHeight="false" outlineLevel="0" collapsed="false">
      <c r="A717" s="3" t="s">
        <v>194</v>
      </c>
      <c r="B717" s="3"/>
      <c r="C717" s="3"/>
      <c r="D717" s="3"/>
      <c r="E717" s="3"/>
      <c r="F717" s="3"/>
      <c r="G717" s="3"/>
    </row>
    <row r="718" customFormat="false" ht="15.75" hidden="false" customHeight="false" outlineLevel="0" collapsed="false">
      <c r="A718" s="3" t="s">
        <v>1548</v>
      </c>
      <c r="B718" s="3" t="n">
        <v>-6.60433174214994</v>
      </c>
      <c r="C718" s="3" t="n">
        <v>0.00135448801853769</v>
      </c>
      <c r="D718" s="3" t="n">
        <v>2126.42805012615</v>
      </c>
      <c r="E718" s="3" t="n">
        <v>17680.105218508</v>
      </c>
      <c r="F718" s="3" t="n">
        <v>7.56255211439413E-005</v>
      </c>
      <c r="G718" s="3"/>
    </row>
    <row r="719" customFormat="false" ht="15.75" hidden="false" customHeight="false" outlineLevel="0" collapsed="false">
      <c r="A719" s="3" t="s">
        <v>196</v>
      </c>
      <c r="B719" s="3"/>
      <c r="C719" s="3"/>
      <c r="D719" s="3"/>
      <c r="E719" s="3"/>
      <c r="F719" s="3"/>
      <c r="G719" s="3"/>
    </row>
    <row r="720" customFormat="false" ht="15.75" hidden="false" customHeight="false" outlineLevel="0" collapsed="false">
      <c r="A720" s="3" t="s">
        <v>1320</v>
      </c>
      <c r="B720" s="3" t="n">
        <v>-4.89721640918847</v>
      </c>
      <c r="C720" s="3" t="n">
        <v>0.00746734018739435</v>
      </c>
      <c r="D720" s="3" t="n">
        <v>1598.7972892179</v>
      </c>
      <c r="E720" s="3" t="n">
        <v>13293.1393069053</v>
      </c>
      <c r="F720" s="3" t="n">
        <v>3.01123060623689E-005</v>
      </c>
      <c r="G720" s="3" t="n">
        <v>0.99969077204887</v>
      </c>
    </row>
    <row r="721" customFormat="false" ht="15.75" hidden="false" customHeight="false" outlineLevel="0" collapsed="false">
      <c r="A721" s="3" t="s">
        <v>1322</v>
      </c>
      <c r="B721" s="3" t="n">
        <v>-4.40587045697212</v>
      </c>
      <c r="C721" s="3" t="n">
        <v>0.0122054774465434</v>
      </c>
      <c r="D721" s="3" t="n">
        <v>1439.50469235729</v>
      </c>
      <c r="E721" s="3" t="n">
        <v>11968.7070634264</v>
      </c>
      <c r="F721" s="3" t="n">
        <v>0.00941176480268132</v>
      </c>
      <c r="G721" s="3" t="n">
        <v>0.960921485433227</v>
      </c>
    </row>
    <row r="722" customFormat="false" ht="15.75" hidden="false" customHeight="false" outlineLevel="0" collapsed="false">
      <c r="A722" s="3" t="s">
        <v>1324</v>
      </c>
      <c r="B722" s="3" t="n">
        <v>-6.44925724310649</v>
      </c>
      <c r="C722" s="3" t="n">
        <v>0.00158169654855776</v>
      </c>
      <c r="D722" s="3" t="n">
        <v>2389.29784695605</v>
      </c>
      <c r="E722" s="3" t="n">
        <v>19865.7261551979</v>
      </c>
      <c r="F722" s="3" t="n">
        <v>0.000636997635564415</v>
      </c>
      <c r="G722" s="3" t="n">
        <v>0.999125539806527</v>
      </c>
    </row>
    <row r="723" customFormat="false" ht="15.75" hidden="false" customHeight="false" outlineLevel="0" collapsed="false">
      <c r="A723" s="3" t="s">
        <v>198</v>
      </c>
      <c r="B723" s="3" t="n">
        <v>-4.99219920119211</v>
      </c>
      <c r="C723" s="3" t="n">
        <v>0.00679071391245826</v>
      </c>
      <c r="D723" s="3" t="n">
        <v>1619.56552598016</v>
      </c>
      <c r="E723" s="3" t="n">
        <v>13465.8160222721</v>
      </c>
      <c r="F723" s="3" t="n">
        <v>6.9805366558478E-005</v>
      </c>
      <c r="G723" s="3"/>
    </row>
    <row r="724" customFormat="false" ht="15.75" hidden="false" customHeight="false" outlineLevel="0" collapsed="false">
      <c r="A724" s="3" t="s">
        <v>1549</v>
      </c>
      <c r="B724" s="3" t="n">
        <v>-6.81684051666723</v>
      </c>
      <c r="C724" s="3" t="n">
        <v>0.00109517565104261</v>
      </c>
      <c r="D724" s="3" t="n">
        <v>2346.48272003714</v>
      </c>
      <c r="E724" s="3" t="n">
        <v>19509.7414094054</v>
      </c>
      <c r="F724" s="3" t="n">
        <v>0.000954339315317469</v>
      </c>
      <c r="G724" s="3" t="n">
        <v>0.67518974049996</v>
      </c>
    </row>
    <row r="725" customFormat="false" ht="15.75" hidden="false" customHeight="false" outlineLevel="0" collapsed="false">
      <c r="A725" s="3" t="s">
        <v>200</v>
      </c>
      <c r="B725" s="3"/>
      <c r="C725" s="3"/>
      <c r="D725" s="3"/>
      <c r="E725" s="3"/>
      <c r="F725" s="3"/>
      <c r="G725" s="3"/>
    </row>
    <row r="726" customFormat="false" ht="15.75" hidden="false" customHeight="false" outlineLevel="0" collapsed="false">
      <c r="A726" s="3" t="s">
        <v>1550</v>
      </c>
      <c r="B726" s="3"/>
      <c r="C726" s="3"/>
      <c r="D726" s="3"/>
      <c r="E726" s="3"/>
      <c r="F726" s="3"/>
      <c r="G726" s="3"/>
    </row>
    <row r="727" customFormat="false" ht="15.75" hidden="false" customHeight="false" outlineLevel="0" collapsed="false">
      <c r="A727" s="3" t="s">
        <v>202</v>
      </c>
      <c r="B727" s="3"/>
      <c r="C727" s="3"/>
      <c r="D727" s="3"/>
      <c r="E727" s="3"/>
      <c r="F727" s="3"/>
      <c r="G727" s="3"/>
    </row>
    <row r="728" customFormat="false" ht="15.75" hidden="false" customHeight="false" outlineLevel="0" collapsed="false">
      <c r="A728" s="3" t="s">
        <v>204</v>
      </c>
      <c r="B728" s="3"/>
      <c r="C728" s="3"/>
      <c r="D728" s="3"/>
      <c r="E728" s="3"/>
      <c r="F728" s="3"/>
      <c r="G728" s="3"/>
    </row>
    <row r="729" customFormat="false" ht="15.75" hidden="false" customHeight="false" outlineLevel="0" collapsed="false">
      <c r="A729" s="3" t="s">
        <v>1326</v>
      </c>
      <c r="B729" s="3" t="n">
        <v>-4.30237999716125</v>
      </c>
      <c r="C729" s="3" t="n">
        <v>0.0135363042785821</v>
      </c>
      <c r="D729" s="3" t="n">
        <v>1522.95999858643</v>
      </c>
      <c r="E729" s="3" t="n">
        <v>12662.593035767</v>
      </c>
      <c r="F729" s="3" t="n">
        <v>0.00465102637680354</v>
      </c>
      <c r="G729" s="3" t="n">
        <v>0.986011361724885</v>
      </c>
    </row>
    <row r="730" customFormat="false" ht="15.75" hidden="false" customHeight="false" outlineLevel="0" collapsed="false">
      <c r="A730" s="3" t="s">
        <v>274</v>
      </c>
      <c r="B730" s="3" t="n">
        <v>-8.92797480233562</v>
      </c>
      <c r="C730" s="3" t="n">
        <v>0.000132626347303703</v>
      </c>
      <c r="D730" s="3" t="n">
        <v>5068.09901925526</v>
      </c>
      <c r="E730" s="3" t="n">
        <v>42138.5167078351</v>
      </c>
      <c r="F730" s="3" t="n">
        <v>13.8590672946621</v>
      </c>
      <c r="G730" s="3"/>
    </row>
    <row r="731" customFormat="false" ht="15.75" hidden="false" customHeight="false" outlineLevel="0" collapsed="false">
      <c r="A731" s="3" t="s">
        <v>1551</v>
      </c>
      <c r="B731" s="3"/>
      <c r="C731" s="3"/>
      <c r="D731" s="3"/>
      <c r="E731" s="3"/>
      <c r="F731" s="3"/>
      <c r="G731" s="3"/>
    </row>
    <row r="732" customFormat="false" ht="15.75" hidden="false" customHeight="false" outlineLevel="0" collapsed="false">
      <c r="A732" s="3" t="s">
        <v>206</v>
      </c>
      <c r="B732" s="3"/>
      <c r="C732" s="3"/>
      <c r="D732" s="3"/>
      <c r="E732" s="3"/>
      <c r="F732" s="3"/>
      <c r="G732" s="3"/>
    </row>
    <row r="733" customFormat="false" ht="15.75" hidden="false" customHeight="false" outlineLevel="0" collapsed="false">
      <c r="A733" s="3" t="s">
        <v>1552</v>
      </c>
      <c r="B733" s="3" t="n">
        <v>-4.58087506322016</v>
      </c>
      <c r="C733" s="3" t="n">
        <v>0.0102459265389533</v>
      </c>
      <c r="D733" s="3" t="n">
        <v>1372.57543887077</v>
      </c>
      <c r="E733" s="3" t="n">
        <v>11412.2263286243</v>
      </c>
      <c r="F733" s="3" t="n">
        <v>0.000238478468456771</v>
      </c>
      <c r="G733" s="3"/>
    </row>
    <row r="734" customFormat="false" ht="15.75" hidden="false" customHeight="false" outlineLevel="0" collapsed="false">
      <c r="A734" s="3" t="s">
        <v>208</v>
      </c>
      <c r="B734" s="3" t="n">
        <v>-4.85432471229427</v>
      </c>
      <c r="C734" s="3" t="n">
        <v>0.00779459517078114</v>
      </c>
      <c r="D734" s="3" t="n">
        <v>1593.12185626539</v>
      </c>
      <c r="E734" s="3" t="n">
        <v>13245.9511352881</v>
      </c>
      <c r="F734" s="3" t="n">
        <v>0.00048455226590707</v>
      </c>
      <c r="G734" s="3"/>
    </row>
    <row r="735" customFormat="false" ht="15.75" hidden="false" customHeight="false" outlineLevel="0" collapsed="false">
      <c r="A735" s="3" t="s">
        <v>210</v>
      </c>
      <c r="B735" s="3" t="n">
        <v>-4.26962981964763</v>
      </c>
      <c r="C735" s="3" t="n">
        <v>0.0139869598928573</v>
      </c>
      <c r="D735" s="3" t="n">
        <v>968.251740575658</v>
      </c>
      <c r="E735" s="3" t="n">
        <v>8050.49230345017</v>
      </c>
      <c r="F735" s="3" t="n">
        <v>0.000149605400742978</v>
      </c>
      <c r="G735" s="3"/>
    </row>
    <row r="736" customFormat="false" ht="15.75" hidden="false" customHeight="false" outlineLevel="0" collapsed="false">
      <c r="A736" s="3" t="s">
        <v>212</v>
      </c>
      <c r="B736" s="3" t="n">
        <v>-4.21675735897378</v>
      </c>
      <c r="C736" s="3" t="n">
        <v>0.0147463842922688</v>
      </c>
      <c r="D736" s="3" t="n">
        <v>1004.00771543101</v>
      </c>
      <c r="E736" s="3" t="n">
        <v>8347.78399765791</v>
      </c>
      <c r="F736" s="3" t="n">
        <v>2.32513914550231E-006</v>
      </c>
      <c r="G736" s="3"/>
    </row>
    <row r="737" customFormat="false" ht="15.75" hidden="false" customHeight="false" outlineLevel="0" collapsed="false">
      <c r="A737" s="3" t="s">
        <v>1553</v>
      </c>
      <c r="B737" s="3"/>
      <c r="C737" s="3"/>
      <c r="D737" s="3"/>
      <c r="E737" s="3"/>
      <c r="F737" s="3"/>
      <c r="G737" s="3"/>
    </row>
    <row r="738" customFormat="false" ht="15.75" hidden="false" customHeight="false" outlineLevel="0" collapsed="false">
      <c r="A738" s="3" t="s">
        <v>1554</v>
      </c>
      <c r="B738" s="3" t="n">
        <v>-4.19875901689813</v>
      </c>
      <c r="C738" s="3" t="n">
        <v>0.0150141976295797</v>
      </c>
      <c r="D738" s="3" t="n">
        <v>876.942761051207</v>
      </c>
      <c r="E738" s="3" t="n">
        <v>7291.30726293534</v>
      </c>
      <c r="F738" s="3" t="n">
        <v>1.072442566179E-005</v>
      </c>
      <c r="G738" s="3"/>
    </row>
    <row r="739" customFormat="false" ht="15.75" hidden="false" customHeight="false" outlineLevel="0" collapsed="false">
      <c r="A739" s="3" t="s">
        <v>214</v>
      </c>
      <c r="B739" s="3"/>
      <c r="C739" s="3"/>
      <c r="D739" s="3"/>
      <c r="E739" s="3"/>
      <c r="F739" s="3"/>
      <c r="G739" s="3"/>
    </row>
    <row r="740" customFormat="false" ht="15.75" hidden="false" customHeight="false" outlineLevel="0" collapsed="false">
      <c r="A740" s="3" t="s">
        <v>216</v>
      </c>
      <c r="B740" s="3"/>
      <c r="C740" s="3"/>
      <c r="D740" s="3"/>
      <c r="E740" s="3"/>
      <c r="F740" s="3"/>
      <c r="G740" s="3"/>
    </row>
    <row r="741" customFormat="false" ht="15.75" hidden="false" customHeight="false" outlineLevel="0" collapsed="false">
      <c r="A741" s="3" t="s">
        <v>218</v>
      </c>
      <c r="B741" s="3" t="n">
        <v>-4.98959468912173</v>
      </c>
      <c r="C741" s="3" t="n">
        <v>0.00680842346116539</v>
      </c>
      <c r="D741" s="3" t="n">
        <v>2027.43792114171</v>
      </c>
      <c r="E741" s="3" t="n">
        <v>16857.0555526918</v>
      </c>
      <c r="F741" s="3" t="n">
        <v>3.06868028897122E-005</v>
      </c>
      <c r="G741" s="3"/>
    </row>
    <row r="742" customFormat="false" ht="15.75" hidden="false" customHeight="false" outlineLevel="0" collapsed="false">
      <c r="A742" s="3" t="s">
        <v>1328</v>
      </c>
      <c r="B742" s="3" t="n">
        <v>-4.70987904111917</v>
      </c>
      <c r="C742" s="3" t="n">
        <v>0.00900586685613237</v>
      </c>
      <c r="D742" s="3" t="n">
        <v>1776.54409066608</v>
      </c>
      <c r="E742" s="3" t="n">
        <v>14771.0083331677</v>
      </c>
      <c r="F742" s="3" t="n">
        <v>0.00324649875246384</v>
      </c>
      <c r="G742" s="3" t="n">
        <v>0.997236515688697</v>
      </c>
    </row>
    <row r="743" customFormat="false" ht="15.75" hidden="false" customHeight="false" outlineLevel="0" collapsed="false">
      <c r="A743" s="3" t="s">
        <v>1330</v>
      </c>
      <c r="B743" s="3" t="n">
        <v>-4.39610009944248</v>
      </c>
      <c r="C743" s="3" t="n">
        <v>0.0123253137936989</v>
      </c>
      <c r="D743" s="3" t="n">
        <v>1959.62590026313</v>
      </c>
      <c r="E743" s="3" t="n">
        <v>16293.2350819536</v>
      </c>
      <c r="F743" s="3" t="n">
        <v>0.0130977736127821</v>
      </c>
      <c r="G743" s="3" t="n">
        <v>0.903088086836291</v>
      </c>
    </row>
    <row r="744" customFormat="false" ht="15.75" hidden="false" customHeight="false" outlineLevel="0" collapsed="false">
      <c r="A744" s="3" t="s">
        <v>1332</v>
      </c>
      <c r="B744" s="3" t="n">
        <v>-4.69886699099854</v>
      </c>
      <c r="C744" s="3" t="n">
        <v>0.00910558797257461</v>
      </c>
      <c r="D744" s="3" t="n">
        <v>1726.5832344473</v>
      </c>
      <c r="E744" s="3" t="n">
        <v>14355.6106926491</v>
      </c>
      <c r="F744" s="3" t="n">
        <v>0.00271789661095291</v>
      </c>
      <c r="G744" s="3" t="n">
        <v>0.997720053425926</v>
      </c>
    </row>
    <row r="745" customFormat="false" ht="15.75" hidden="false" customHeight="false" outlineLevel="0" collapsed="false">
      <c r="A745" s="3" t="s">
        <v>276</v>
      </c>
      <c r="B745" s="3" t="n">
        <v>-5.20233628544687</v>
      </c>
      <c r="C745" s="3" t="n">
        <v>0.00550369119520798</v>
      </c>
      <c r="D745" s="3" t="n">
        <v>2396.2746416755</v>
      </c>
      <c r="E745" s="3" t="n">
        <v>19923.7344497746</v>
      </c>
      <c r="F745" s="3" t="n">
        <v>0.000308725714333709</v>
      </c>
      <c r="G745" s="3"/>
    </row>
    <row r="746" customFormat="false" ht="15.75" hidden="false" customHeight="false" outlineLevel="0" collapsed="false">
      <c r="A746" s="3" t="s">
        <v>1334</v>
      </c>
      <c r="B746" s="3" t="n">
        <v>-5.04694156631241</v>
      </c>
      <c r="C746" s="3" t="n">
        <v>0.00642896597467297</v>
      </c>
      <c r="D746" s="3" t="n">
        <v>2120.12056104374</v>
      </c>
      <c r="E746" s="3" t="n">
        <v>17627.6618402169</v>
      </c>
      <c r="F746" s="3" t="n">
        <v>4.64238731851765E-005</v>
      </c>
      <c r="G746" s="3" t="n">
        <v>0.994650876991079</v>
      </c>
    </row>
    <row r="747" customFormat="false" ht="15.75" hidden="false" customHeight="false" outlineLevel="0" collapsed="false">
      <c r="A747" s="3" t="s">
        <v>1336</v>
      </c>
      <c r="B747" s="3" t="n">
        <v>-4.8808943812377</v>
      </c>
      <c r="C747" s="3" t="n">
        <v>0.00759022243835645</v>
      </c>
      <c r="D747" s="3" t="n">
        <v>1468.06249770317</v>
      </c>
      <c r="E747" s="3" t="n">
        <v>12206.1498507781</v>
      </c>
      <c r="F747" s="3" t="n">
        <v>0.000163507663928539</v>
      </c>
      <c r="G747" s="3" t="n">
        <v>0.99664085514767</v>
      </c>
    </row>
    <row r="748" customFormat="false" ht="15.75" hidden="false" customHeight="false" outlineLevel="0" collapsed="false">
      <c r="A748" s="3" t="s">
        <v>220</v>
      </c>
      <c r="B748" s="3" t="n">
        <v>-6.96603132122742</v>
      </c>
      <c r="C748" s="3" t="n">
        <v>0.000943389496135981</v>
      </c>
      <c r="D748" s="3" t="n">
        <v>2243.97552507508</v>
      </c>
      <c r="E748" s="3" t="n">
        <v>18657.4492321668</v>
      </c>
      <c r="F748" s="3" t="n">
        <v>5.93151884535917E-006</v>
      </c>
      <c r="G748" s="3"/>
    </row>
    <row r="749" customFormat="false" ht="15.75" hidden="false" customHeight="false" outlineLevel="0" collapsed="false">
      <c r="A749" s="3" t="s">
        <v>1338</v>
      </c>
      <c r="B749" s="3" t="n">
        <v>-4.54676505229605</v>
      </c>
      <c r="C749" s="3" t="n">
        <v>0.0106014440893802</v>
      </c>
      <c r="D749" s="3" t="n">
        <v>1468.05485677646</v>
      </c>
      <c r="E749" s="3" t="n">
        <v>12206.0863205833</v>
      </c>
      <c r="F749" s="3" t="n">
        <v>7.41771246427507E-005</v>
      </c>
      <c r="G749" s="3" t="n">
        <v>0.999514112699671</v>
      </c>
    </row>
    <row r="750" customFormat="false" ht="15.75" hidden="false" customHeight="false" outlineLevel="0" collapsed="false">
      <c r="A750" s="3" t="s">
        <v>1340</v>
      </c>
      <c r="B750" s="3" t="n">
        <v>-3.00923777201455</v>
      </c>
      <c r="C750" s="3" t="n">
        <v>0.0493292645801253</v>
      </c>
      <c r="D750" s="3" t="n">
        <v>492.352974410348</v>
      </c>
      <c r="E750" s="3" t="n">
        <v>4093.65009632181</v>
      </c>
      <c r="F750" s="3" t="n">
        <v>4.10598108509065E-007</v>
      </c>
      <c r="G750" s="3" t="n">
        <v>0.999987464327429</v>
      </c>
    </row>
    <row r="751" customFormat="false" ht="15.75" hidden="false" customHeight="false" outlineLevel="0" collapsed="false">
      <c r="A751" s="3" t="s">
        <v>1342</v>
      </c>
      <c r="B751" s="3" t="n">
        <v>-4.25543461307955</v>
      </c>
      <c r="C751" s="3" t="n">
        <v>0.0141869235829623</v>
      </c>
      <c r="D751" s="3" t="n">
        <v>867.664396883938</v>
      </c>
      <c r="E751" s="3" t="n">
        <v>7214.16265664442</v>
      </c>
      <c r="F751" s="3" t="n">
        <v>6.68103859830869E-006</v>
      </c>
      <c r="G751" s="3" t="n">
        <v>0.99986932560963</v>
      </c>
    </row>
    <row r="752" customFormat="false" ht="15.75" hidden="false" customHeight="false" outlineLevel="0" collapsed="false">
      <c r="A752" s="3" t="s">
        <v>1344</v>
      </c>
      <c r="B752" s="3" t="n">
        <v>-7.2294107701578</v>
      </c>
      <c r="C752" s="3" t="n">
        <v>0.000724947898262278</v>
      </c>
      <c r="D752" s="3" t="n">
        <v>2969.72931812087</v>
      </c>
      <c r="E752" s="3" t="n">
        <v>24691.7015658019</v>
      </c>
      <c r="F752" s="3" t="n">
        <v>0.0148167066777213</v>
      </c>
      <c r="G752" s="3" t="n">
        <v>0.990734988065548</v>
      </c>
    </row>
    <row r="753" customFormat="false" ht="15.75" hidden="false" customHeight="false" outlineLevel="0" collapsed="false">
      <c r="A753" s="3" t="s">
        <v>1346</v>
      </c>
      <c r="B753" s="3" t="n">
        <v>-5.13109627251676</v>
      </c>
      <c r="C753" s="3" t="n">
        <v>0.00591007786504289</v>
      </c>
      <c r="D753" s="3" t="n">
        <v>1928.71996376592</v>
      </c>
      <c r="E753" s="3" t="n">
        <v>16036.2688473731</v>
      </c>
      <c r="F753" s="3" t="n">
        <v>0.00109637234749615</v>
      </c>
      <c r="G753" s="3" t="n">
        <v>0.998072422505744</v>
      </c>
    </row>
    <row r="754" customFormat="false" ht="15.75" hidden="false" customHeight="false" outlineLevel="0" collapsed="false">
      <c r="A754" s="3" t="s">
        <v>1348</v>
      </c>
      <c r="B754" s="3" t="n">
        <v>-4.56656559420055</v>
      </c>
      <c r="C754" s="3" t="n">
        <v>0.0103935943113397</v>
      </c>
      <c r="D754" s="3" t="n">
        <v>1398.06623840678</v>
      </c>
      <c r="E754" s="3" t="n">
        <v>11624.1686127161</v>
      </c>
      <c r="F754" s="3" t="n">
        <v>9.87588571192367E-006</v>
      </c>
      <c r="G754" s="3" t="n">
        <v>0.999929190331624</v>
      </c>
    </row>
    <row r="755" customFormat="false" ht="15.75" hidden="false" customHeight="false" outlineLevel="0" collapsed="false">
      <c r="A755" s="3" t="s">
        <v>1350</v>
      </c>
      <c r="B755" s="3" t="n">
        <v>-4.23077794030325</v>
      </c>
      <c r="C755" s="3" t="n">
        <v>0.0145410740596469</v>
      </c>
      <c r="D755" s="3" t="n">
        <v>1257.79013305828</v>
      </c>
      <c r="E755" s="3" t="n">
        <v>10457.848265288</v>
      </c>
      <c r="F755" s="3" t="n">
        <v>1.08194769600912E-005</v>
      </c>
      <c r="G755" s="3" t="n">
        <v>0.999903891259517</v>
      </c>
    </row>
    <row r="756" customFormat="false" ht="15.75" hidden="false" customHeight="false" outlineLevel="0" collapsed="false">
      <c r="A756" s="3" t="s">
        <v>1351</v>
      </c>
      <c r="B756" s="3" t="n">
        <v>-4.1773996057419</v>
      </c>
      <c r="C756" s="3" t="n">
        <v>0.0153383414874623</v>
      </c>
      <c r="D756" s="3" t="n">
        <v>1442.20705715498</v>
      </c>
      <c r="E756" s="3" t="n">
        <v>11991.1757728469</v>
      </c>
      <c r="F756" s="3" t="n">
        <v>0.000186478018297911</v>
      </c>
      <c r="G756" s="3" t="n">
        <v>0.997391363403796</v>
      </c>
    </row>
    <row r="757" customFormat="false" ht="15.75" hidden="false" customHeight="false" outlineLevel="0" collapsed="false">
      <c r="A757" s="3" t="s">
        <v>1353</v>
      </c>
      <c r="B757" s="3" t="n">
        <v>-5.26256679440334</v>
      </c>
      <c r="C757" s="3" t="n">
        <v>0.00518198653945575</v>
      </c>
      <c r="D757" s="3" t="n">
        <v>1651.1903523274</v>
      </c>
      <c r="E757" s="3" t="n">
        <v>13728.7594391928</v>
      </c>
      <c r="F757" s="3" t="n">
        <v>7.48512303521957E-005</v>
      </c>
      <c r="G757" s="3" t="n">
        <v>0.999634358536567</v>
      </c>
    </row>
    <row r="758" customFormat="false" ht="15.75" hidden="false" customHeight="false" outlineLevel="0" collapsed="false">
      <c r="A758" s="3" t="s">
        <v>1555</v>
      </c>
      <c r="B758" s="3" t="n">
        <v>-5.42178567522647</v>
      </c>
      <c r="C758" s="3" t="n">
        <v>0.00441924825581876</v>
      </c>
      <c r="D758" s="3" t="n">
        <v>2165.4886499805</v>
      </c>
      <c r="E758" s="3" t="n">
        <v>18004.8730916941</v>
      </c>
      <c r="F758" s="3" t="n">
        <v>0.00515768575524259</v>
      </c>
      <c r="G758" s="3" t="n">
        <v>0.747644659497228</v>
      </c>
    </row>
    <row r="759" customFormat="false" ht="15.75" hidden="false" customHeight="false" outlineLevel="0" collapsed="false">
      <c r="A759" s="3" t="s">
        <v>1556</v>
      </c>
      <c r="B759" s="3" t="n">
        <v>-3.64005946530236</v>
      </c>
      <c r="C759" s="3" t="n">
        <v>0.0262507829085312</v>
      </c>
      <c r="D759" s="3" t="n">
        <v>2297.04369867497</v>
      </c>
      <c r="E759" s="3" t="n">
        <v>19098.6825449725</v>
      </c>
      <c r="F759" s="3" t="n">
        <v>0.0101462373008664</v>
      </c>
      <c r="G759" s="3"/>
    </row>
    <row r="760" customFormat="false" ht="15.75" hidden="false" customHeight="false" outlineLevel="0" collapsed="false">
      <c r="A760" s="3" t="s">
        <v>1355</v>
      </c>
      <c r="B760" s="3" t="n">
        <v>-4.32995013039861</v>
      </c>
      <c r="C760" s="3" t="n">
        <v>0.0131682041667983</v>
      </c>
      <c r="D760" s="3" t="n">
        <v>1257.77161849522</v>
      </c>
      <c r="E760" s="3" t="n">
        <v>10457.694326657</v>
      </c>
      <c r="F760" s="3" t="n">
        <v>0.000359635192280748</v>
      </c>
      <c r="G760" s="3" t="n">
        <v>0.999067237778007</v>
      </c>
    </row>
    <row r="761" customFormat="false" ht="15.75" hidden="false" customHeight="false" outlineLevel="0" collapsed="false">
      <c r="A761" s="3" t="s">
        <v>1557</v>
      </c>
      <c r="B761" s="3" t="n">
        <v>-3.97247030583586</v>
      </c>
      <c r="C761" s="3" t="n">
        <v>0.0188268675224677</v>
      </c>
      <c r="D761" s="3" t="n">
        <v>1128.93020815688</v>
      </c>
      <c r="E761" s="3" t="n">
        <v>9386.44731637248</v>
      </c>
      <c r="F761" s="3" t="n">
        <v>0.00322142346532479</v>
      </c>
      <c r="G761" s="3" t="n">
        <v>0.889414951305668</v>
      </c>
    </row>
    <row r="762" customFormat="false" ht="15.75" hidden="false" customHeight="false" outlineLevel="0" collapsed="false">
      <c r="A762" s="3" t="s">
        <v>1558</v>
      </c>
      <c r="B762" s="3" t="n">
        <v>-1.19423854053448</v>
      </c>
      <c r="C762" s="3" t="n">
        <v>0.302934538752566</v>
      </c>
      <c r="D762" s="3" t="n">
        <v>205.665748843776</v>
      </c>
      <c r="E762" s="3" t="n">
        <v>1710.00005346312</v>
      </c>
      <c r="F762" s="3" t="n">
        <v>1.56073940098111E-006</v>
      </c>
      <c r="G762" s="3" t="n">
        <v>0.936666447555949</v>
      </c>
    </row>
    <row r="763" customFormat="false" ht="15.75" hidden="false" customHeight="false" outlineLevel="0" collapsed="false">
      <c r="A763" s="3" t="s">
        <v>1357</v>
      </c>
      <c r="B763" s="3" t="n">
        <v>-4.46156988135359</v>
      </c>
      <c r="C763" s="3" t="n">
        <v>0.0115442259893681</v>
      </c>
      <c r="D763" s="3" t="n">
        <v>823.915286775325</v>
      </c>
      <c r="E763" s="3" t="n">
        <v>6850.41234311254</v>
      </c>
      <c r="F763" s="3" t="n">
        <v>2.37459113118596E-006</v>
      </c>
      <c r="G763" s="3" t="n">
        <v>0.999879722284541</v>
      </c>
    </row>
    <row r="764" customFormat="false" ht="15.75" hidden="false" customHeight="false" outlineLevel="0" collapsed="false">
      <c r="A764" s="3" t="s">
        <v>1559</v>
      </c>
      <c r="B764" s="3" t="n">
        <v>-1.24883788019583</v>
      </c>
      <c r="C764" s="3" t="n">
        <v>0.286837943299155</v>
      </c>
      <c r="D764" s="3" t="n">
        <v>367.055114932757</v>
      </c>
      <c r="E764" s="3" t="n">
        <v>3051.86580501404</v>
      </c>
      <c r="F764" s="3" t="n">
        <v>1.38323339809324E-005</v>
      </c>
      <c r="G764" s="3" t="n">
        <v>0.809621220158514</v>
      </c>
    </row>
    <row r="765" customFormat="false" ht="15.75" hidden="false" customHeight="false" outlineLevel="0" collapsed="false">
      <c r="A765" s="3" t="s">
        <v>1359</v>
      </c>
      <c r="B765" s="3" t="n">
        <v>-4.27498329750373</v>
      </c>
      <c r="C765" s="3" t="n">
        <v>0.01391228108682</v>
      </c>
      <c r="D765" s="3" t="n">
        <v>1365.73182541653</v>
      </c>
      <c r="E765" s="3" t="n">
        <v>11355.3253646164</v>
      </c>
      <c r="F765" s="3" t="n">
        <v>0.0018300455654567</v>
      </c>
      <c r="G765" s="3" t="n">
        <v>0.9947829160945</v>
      </c>
    </row>
    <row r="766" customFormat="false" ht="15.75" hidden="false" customHeight="false" outlineLevel="0" collapsed="false">
      <c r="A766" s="3" t="s">
        <v>1361</v>
      </c>
      <c r="B766" s="3" t="n">
        <v>-4.65379161267137</v>
      </c>
      <c r="C766" s="3" t="n">
        <v>0.00952541668307739</v>
      </c>
      <c r="D766" s="3" t="n">
        <v>1532.63156788811</v>
      </c>
      <c r="E766" s="3" t="n">
        <v>12743.0069312062</v>
      </c>
      <c r="F766" s="3" t="n">
        <v>0.00378586089233705</v>
      </c>
      <c r="G766" s="3" t="n">
        <v>0.991837166721431</v>
      </c>
    </row>
    <row r="767" customFormat="false" ht="15.75" hidden="false" customHeight="false" outlineLevel="0" collapsed="false">
      <c r="A767" s="3" t="s">
        <v>1560</v>
      </c>
      <c r="B767" s="3" t="n">
        <v>-4.008502037648</v>
      </c>
      <c r="C767" s="3" t="n">
        <v>0.0181605787350251</v>
      </c>
      <c r="D767" s="3" t="n">
        <v>1408.60647793776</v>
      </c>
      <c r="E767" s="3" t="n">
        <v>11711.8050337673</v>
      </c>
      <c r="F767" s="3" t="n">
        <v>0.00480916517585053</v>
      </c>
      <c r="G767" s="3" t="n">
        <v>0.646928198321668</v>
      </c>
    </row>
    <row r="768" customFormat="false" ht="15.75" hidden="false" customHeight="false" outlineLevel="0" collapsed="false">
      <c r="A768" s="3" t="s">
        <v>1363</v>
      </c>
      <c r="B768" s="3" t="n">
        <v>-3.40894584453107</v>
      </c>
      <c r="C768" s="3" t="n">
        <v>0.0330760493028297</v>
      </c>
      <c r="D768" s="3" t="n">
        <v>1130.6476020097</v>
      </c>
      <c r="E768" s="3" t="n">
        <v>9400.72652230074</v>
      </c>
      <c r="F768" s="3" t="n">
        <v>0.00388739975683665</v>
      </c>
      <c r="G768" s="3" t="n">
        <v>0.987935172531542</v>
      </c>
    </row>
    <row r="769" customFormat="false" ht="15.75" hidden="false" customHeight="false" outlineLevel="0" collapsed="false">
      <c r="A769" s="3" t="s">
        <v>1365</v>
      </c>
      <c r="B769" s="3" t="n">
        <v>-3.48587737475543</v>
      </c>
      <c r="C769" s="3" t="n">
        <v>0.0306268753903751</v>
      </c>
      <c r="D769" s="3" t="n">
        <v>863.261338162738</v>
      </c>
      <c r="E769" s="3" t="n">
        <v>7177.55359222323</v>
      </c>
      <c r="F769" s="3" t="n">
        <v>9.88926550230588E-006</v>
      </c>
      <c r="G769" s="3" t="n">
        <v>0.999835204793583</v>
      </c>
    </row>
    <row r="770" customFormat="false" ht="15.75" hidden="false" customHeight="false" outlineLevel="0" collapsed="false">
      <c r="A770" s="3" t="s">
        <v>1367</v>
      </c>
      <c r="B770" s="3" t="n">
        <v>-3.44302406675956</v>
      </c>
      <c r="C770" s="3" t="n">
        <v>0.0319678660465744</v>
      </c>
      <c r="D770" s="3" t="n">
        <v>798.271320950921</v>
      </c>
      <c r="E770" s="3" t="n">
        <v>6637.19656373624</v>
      </c>
      <c r="F770" s="3" t="n">
        <v>5.19613690895709E-007</v>
      </c>
      <c r="G770" s="3" t="n">
        <v>0.999948179802987</v>
      </c>
    </row>
    <row r="771" customFormat="false" ht="15.75" hidden="false" customHeight="false" outlineLevel="0" collapsed="false">
      <c r="A771" s="3" t="s">
        <v>1369</v>
      </c>
      <c r="B771" s="3" t="n">
        <v>-4.59586111885345</v>
      </c>
      <c r="C771" s="3" t="n">
        <v>0.0100935253126558</v>
      </c>
      <c r="D771" s="3" t="n">
        <v>1353.44715542945</v>
      </c>
      <c r="E771" s="3" t="n">
        <v>11253.1849428262</v>
      </c>
      <c r="F771" s="3" t="n">
        <v>1.86974769584757E-005</v>
      </c>
      <c r="G771" s="3" t="n">
        <v>0.999857207143537</v>
      </c>
    </row>
    <row r="772" customFormat="false" ht="15.75" hidden="false" customHeight="false" outlineLevel="0" collapsed="false">
      <c r="A772" s="3" t="s">
        <v>1371</v>
      </c>
      <c r="B772" s="3" t="n">
        <v>-4.50988034994469</v>
      </c>
      <c r="C772" s="3" t="n">
        <v>0.0109997762209061</v>
      </c>
      <c r="D772" s="3" t="n">
        <v>1224.15597490903</v>
      </c>
      <c r="E772" s="3" t="n">
        <v>10178.1983354541</v>
      </c>
      <c r="F772" s="3" t="n">
        <v>0.000193273546317033</v>
      </c>
      <c r="G772" s="3" t="n">
        <v>0.997403041593118</v>
      </c>
    </row>
    <row r="773" customFormat="false" ht="15.75" hidden="false" customHeight="false" outlineLevel="0" collapsed="false">
      <c r="A773" s="3" t="s">
        <v>1373</v>
      </c>
      <c r="B773" s="3" t="n">
        <v>-4.44169610350847</v>
      </c>
      <c r="C773" s="3" t="n">
        <v>0.0117759483445379</v>
      </c>
      <c r="D773" s="3" t="n">
        <v>1295.01163906702</v>
      </c>
      <c r="E773" s="3" t="n">
        <v>10767.3250625804</v>
      </c>
      <c r="F773" s="3" t="n">
        <v>1.04461323100173E-005</v>
      </c>
      <c r="G773" s="3" t="n">
        <v>0.999934948916726</v>
      </c>
    </row>
    <row r="774" customFormat="false" ht="15.75" hidden="false" customHeight="false" outlineLevel="0" collapsed="false">
      <c r="A774" s="3" t="s">
        <v>1375</v>
      </c>
      <c r="B774" s="3" t="n">
        <v>-4.9074842608666</v>
      </c>
      <c r="C774" s="3" t="n">
        <v>0.00739105893838084</v>
      </c>
      <c r="D774" s="3" t="n">
        <v>1360.78449402126</v>
      </c>
      <c r="E774" s="3" t="n">
        <v>11314.190965729</v>
      </c>
      <c r="F774" s="3" t="n">
        <v>0.00100726985323341</v>
      </c>
      <c r="G774" s="3" t="n">
        <v>0.990960363551435</v>
      </c>
    </row>
    <row r="775" customFormat="false" ht="15.75" hidden="false" customHeight="false" outlineLevel="0" collapsed="false">
      <c r="A775" s="3" t="s">
        <v>1377</v>
      </c>
      <c r="B775" s="3" t="n">
        <v>-9.19329506196805</v>
      </c>
      <c r="C775" s="3" t="n">
        <v>0.000101719141023218</v>
      </c>
      <c r="D775" s="3" t="n">
        <v>3491.72378215302</v>
      </c>
      <c r="E775" s="3" t="n">
        <v>29031.8047012075</v>
      </c>
      <c r="F775" s="3" t="n">
        <v>0.00626746760589547</v>
      </c>
      <c r="G775" s="3" t="n">
        <v>0.993668308754483</v>
      </c>
    </row>
    <row r="776" customFormat="false" ht="15.75" hidden="false" customHeight="false" outlineLevel="0" collapsed="false">
      <c r="A776" s="3" t="s">
        <v>1379</v>
      </c>
      <c r="B776" s="3" t="n">
        <v>-4.4708849203956</v>
      </c>
      <c r="C776" s="3" t="n">
        <v>0.0114371903680185</v>
      </c>
      <c r="D776" s="3" t="n">
        <v>995.202427265442</v>
      </c>
      <c r="E776" s="3" t="n">
        <v>8274.57276380628</v>
      </c>
      <c r="F776" s="3" t="n">
        <v>3.97756912987389E-005</v>
      </c>
      <c r="G776" s="3" t="n">
        <v>0.988806233717966</v>
      </c>
    </row>
    <row r="777" customFormat="false" ht="15.75" hidden="false" customHeight="false" outlineLevel="0" collapsed="false">
      <c r="A777" s="3" t="s">
        <v>1381</v>
      </c>
      <c r="B777" s="3" t="n">
        <v>-5.97197388062615</v>
      </c>
      <c r="C777" s="3" t="n">
        <v>0.00254920462399293</v>
      </c>
      <c r="D777" s="3" t="n">
        <v>2436.37525440041</v>
      </c>
      <c r="E777" s="3" t="n">
        <v>20257.1494704526</v>
      </c>
      <c r="F777" s="3" t="n">
        <v>0.0051974589625899</v>
      </c>
      <c r="G777" s="3" t="n">
        <v>0.982208766725069</v>
      </c>
    </row>
    <row r="778" customFormat="false" ht="15.75" hidden="false" customHeight="false" outlineLevel="0" collapsed="false">
      <c r="A778" s="3" t="s">
        <v>1383</v>
      </c>
      <c r="B778" s="3" t="n">
        <v>-4.09607804328553</v>
      </c>
      <c r="C778" s="3" t="n">
        <v>0.0166378003424513</v>
      </c>
      <c r="D778" s="3" t="n">
        <v>1229.09086928004</v>
      </c>
      <c r="E778" s="3" t="n">
        <v>10219.2293271759</v>
      </c>
      <c r="F778" s="3" t="n">
        <v>5.60711907320731E-005</v>
      </c>
      <c r="G778" s="3" t="n">
        <v>0.999809172970623</v>
      </c>
    </row>
    <row r="779" customFormat="false" ht="15.75" hidden="false" customHeight="false" outlineLevel="0" collapsed="false">
      <c r="A779" s="3" t="s">
        <v>1384</v>
      </c>
      <c r="B779" s="3" t="n">
        <v>-4.09882355219512</v>
      </c>
      <c r="C779" s="3" t="n">
        <v>0.0165921837623927</v>
      </c>
      <c r="D779" s="3" t="n">
        <v>954.903616657162</v>
      </c>
      <c r="E779" s="3" t="n">
        <v>7939.50983435854</v>
      </c>
      <c r="F779" s="3" t="n">
        <v>0.0021881657044731</v>
      </c>
      <c r="G779" s="3" t="n">
        <v>0.958152515223984</v>
      </c>
    </row>
    <row r="780" customFormat="false" ht="15.75" hidden="false" customHeight="false" outlineLevel="0" collapsed="false">
      <c r="A780" s="3" t="s">
        <v>1386</v>
      </c>
      <c r="B780" s="3" t="n">
        <v>-4.53384411524132</v>
      </c>
      <c r="C780" s="3" t="n">
        <v>0.0107393134637932</v>
      </c>
      <c r="D780" s="3" t="n">
        <v>1436.22129977106</v>
      </c>
      <c r="E780" s="3" t="n">
        <v>11941.4074205371</v>
      </c>
      <c r="F780" s="3" t="n">
        <v>0.00418771180655144</v>
      </c>
      <c r="G780" s="3" t="n">
        <v>0.99453453356722</v>
      </c>
    </row>
    <row r="781" customFormat="false" ht="15.75" hidden="false" customHeight="false" outlineLevel="0" collapsed="false">
      <c r="A781" s="3" t="s">
        <v>1561</v>
      </c>
      <c r="B781" s="3" t="n">
        <v>-4.72989076017523</v>
      </c>
      <c r="C781" s="3" t="n">
        <v>0.00882743529454298</v>
      </c>
      <c r="D781" s="3" t="n">
        <v>2131.01166302626</v>
      </c>
      <c r="E781" s="3" t="n">
        <v>17718.2154937886</v>
      </c>
      <c r="F781" s="3" t="n">
        <v>6.86697208875421E-005</v>
      </c>
      <c r="G781" s="3" t="n">
        <v>0.998261704063242</v>
      </c>
    </row>
    <row r="782" customFormat="false" ht="15.75" hidden="false" customHeight="false" outlineLevel="0" collapsed="false">
      <c r="A782" s="3" t="s">
        <v>1388</v>
      </c>
      <c r="B782" s="3" t="n">
        <v>-3.9061880873891</v>
      </c>
      <c r="C782" s="3" t="n">
        <v>0.0201170394866239</v>
      </c>
      <c r="D782" s="3" t="n">
        <v>735.648938430442</v>
      </c>
      <c r="E782" s="3" t="n">
        <v>6116.52514392025</v>
      </c>
      <c r="F782" s="3" t="n">
        <v>0.000291742810401367</v>
      </c>
      <c r="G782" s="3" t="n">
        <v>0.993915379509394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7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0.5234375" defaultRowHeight="15.75" zeroHeight="false" outlineLevelRow="0" outlineLevelCol="0"/>
  <cols>
    <col collapsed="false" customWidth="true" hidden="false" outlineLevel="0" max="1" min="1" style="0" width="48.5"/>
  </cols>
  <sheetData>
    <row r="1" customFormat="false" ht="15.75" hidden="false" customHeight="false" outlineLevel="0" collapsed="false">
      <c r="A1" s="6" t="s">
        <v>0</v>
      </c>
      <c r="B1" s="6" t="s">
        <v>1562</v>
      </c>
      <c r="C1" s="6" t="s">
        <v>1563</v>
      </c>
      <c r="D1" s="6" t="s">
        <v>1564</v>
      </c>
      <c r="E1" s="6" t="s">
        <v>1565</v>
      </c>
    </row>
    <row r="2" customFormat="false" ht="15.75" hidden="false" customHeight="false" outlineLevel="0" collapsed="false">
      <c r="A2" s="1" t="s">
        <v>441</v>
      </c>
      <c r="B2" s="1" t="n">
        <v>298.15</v>
      </c>
      <c r="C2" s="1" t="n">
        <f aca="false">1/B2</f>
        <v>0.00335401643468053</v>
      </c>
      <c r="D2" s="1" t="n">
        <v>3.1282</v>
      </c>
      <c r="E2" s="1" t="n">
        <f aca="false">LN(D2)</f>
        <v>1.140457759258</v>
      </c>
    </row>
    <row r="3" customFormat="false" ht="15.75" hidden="false" customHeight="false" outlineLevel="0" collapsed="false">
      <c r="A3" s="1" t="s">
        <v>441</v>
      </c>
      <c r="B3" s="1" t="n">
        <v>303.15</v>
      </c>
      <c r="C3" s="1" t="n">
        <f aca="false">1/B3</f>
        <v>0.0032986970146792</v>
      </c>
      <c r="D3" s="1" t="n">
        <v>2.8008</v>
      </c>
      <c r="E3" s="1" t="n">
        <f aca="false">LN(D3)</f>
        <v>1.02990509065832</v>
      </c>
    </row>
    <row r="4" customFormat="false" ht="15.75" hidden="false" customHeight="false" outlineLevel="0" collapsed="false">
      <c r="A4" s="1" t="s">
        <v>441</v>
      </c>
      <c r="B4" s="1" t="n">
        <v>308.15</v>
      </c>
      <c r="C4" s="1" t="n">
        <f aca="false">1/B4</f>
        <v>0.00324517280545189</v>
      </c>
      <c r="D4" s="1" t="n">
        <v>2.5215</v>
      </c>
      <c r="E4" s="1" t="n">
        <f aca="false">LN(D4)</f>
        <v>0.924853962534643</v>
      </c>
    </row>
    <row r="5" customFormat="false" ht="15.75" hidden="false" customHeight="false" outlineLevel="0" collapsed="false">
      <c r="A5" s="1" t="s">
        <v>441</v>
      </c>
      <c r="B5" s="1" t="n">
        <v>313.15</v>
      </c>
      <c r="C5" s="1" t="n">
        <f aca="false">1/B5</f>
        <v>0.00319335781574325</v>
      </c>
      <c r="D5" s="1" t="n">
        <v>2.2818</v>
      </c>
      <c r="E5" s="1" t="n">
        <f aca="false">LN(D5)</f>
        <v>0.824964605180132</v>
      </c>
    </row>
    <row r="6" customFormat="false" ht="15.75" hidden="false" customHeight="false" outlineLevel="0" collapsed="false">
      <c r="A6" s="1" t="s">
        <v>441</v>
      </c>
      <c r="B6" s="1" t="n">
        <v>323.15</v>
      </c>
      <c r="C6" s="1" t="n">
        <f aca="false">1/B6</f>
        <v>0.00309453814018258</v>
      </c>
      <c r="D6" s="1" t="n">
        <v>1.8954</v>
      </c>
      <c r="E6" s="1" t="n">
        <f aca="false">LN(D6)</f>
        <v>0.639429898053957</v>
      </c>
    </row>
    <row r="7" customFormat="false" ht="15.75" hidden="false" customHeight="false" outlineLevel="0" collapsed="false">
      <c r="A7" s="1" t="s">
        <v>441</v>
      </c>
      <c r="B7" s="1" t="n">
        <v>333.15</v>
      </c>
      <c r="C7" s="1" t="n">
        <f aca="false">1/B7</f>
        <v>0.0030016509079994</v>
      </c>
      <c r="D7" s="1" t="n">
        <v>1.6012</v>
      </c>
      <c r="E7" s="1" t="n">
        <f aca="false">LN(D7)</f>
        <v>0.470753348136281</v>
      </c>
    </row>
    <row r="8" customFormat="false" ht="15.75" hidden="false" customHeight="false" outlineLevel="0" collapsed="false">
      <c r="A8" s="1" t="s">
        <v>441</v>
      </c>
      <c r="B8" s="1" t="n">
        <v>343.15</v>
      </c>
      <c r="C8" s="1" t="n">
        <f aca="false">1/B8</f>
        <v>0.00291417747340813</v>
      </c>
      <c r="D8" s="1" t="n">
        <v>1.3731</v>
      </c>
      <c r="E8" s="1" t="n">
        <f aca="false">LN(D8)</f>
        <v>0.317070957345569</v>
      </c>
    </row>
    <row r="9" customFormat="false" ht="15.75" hidden="false" customHeight="false" outlineLevel="0" collapsed="false">
      <c r="A9" s="1" t="s">
        <v>441</v>
      </c>
      <c r="B9" s="1" t="n">
        <v>353.15</v>
      </c>
      <c r="C9" s="1" t="n">
        <f aca="false">1/B9</f>
        <v>0.00283165793572137</v>
      </c>
      <c r="D9" s="1" t="n">
        <v>1.1931</v>
      </c>
      <c r="E9" s="1" t="n">
        <f aca="false">LN(D9)</f>
        <v>0.176554961899618</v>
      </c>
    </row>
    <row r="10" customFormat="false" ht="15.75" hidden="false" customHeight="false" outlineLevel="0" collapsed="false">
      <c r="A10" s="1" t="s">
        <v>444</v>
      </c>
      <c r="B10" s="1" t="n">
        <v>298.15</v>
      </c>
      <c r="C10" s="1" t="n">
        <f aca="false">1/B10</f>
        <v>0.00335401643468053</v>
      </c>
      <c r="D10" s="1" t="n">
        <v>3.9129</v>
      </c>
      <c r="E10" s="1" t="n">
        <f aca="false">LN(D10)</f>
        <v>1.36427878706221</v>
      </c>
    </row>
    <row r="11" customFormat="false" ht="15.75" hidden="false" customHeight="false" outlineLevel="0" collapsed="false">
      <c r="A11" s="1" t="s">
        <v>444</v>
      </c>
      <c r="B11" s="1" t="n">
        <v>303.15</v>
      </c>
      <c r="C11" s="1" t="n">
        <f aca="false">1/B11</f>
        <v>0.0032986970146792</v>
      </c>
      <c r="D11" s="1" t="n">
        <v>3.5057</v>
      </c>
      <c r="E11" s="1" t="n">
        <f aca="false">LN(D11)</f>
        <v>1.25439021523952</v>
      </c>
    </row>
    <row r="12" customFormat="false" ht="15.75" hidden="false" customHeight="false" outlineLevel="0" collapsed="false">
      <c r="A12" s="1" t="s">
        <v>444</v>
      </c>
      <c r="B12" s="1" t="n">
        <v>313.15</v>
      </c>
      <c r="C12" s="1" t="n">
        <f aca="false">1/B12</f>
        <v>0.00319335781574325</v>
      </c>
      <c r="D12" s="1" t="n">
        <v>2.8531</v>
      </c>
      <c r="E12" s="1" t="n">
        <f aca="false">LN(D12)</f>
        <v>1.04840612244079</v>
      </c>
    </row>
    <row r="13" customFormat="false" ht="15.75" hidden="false" customHeight="false" outlineLevel="0" collapsed="false">
      <c r="A13" s="1" t="s">
        <v>444</v>
      </c>
      <c r="B13" s="1" t="n">
        <v>323.15</v>
      </c>
      <c r="C13" s="1" t="n">
        <f aca="false">1/B13</f>
        <v>0.00309453814018258</v>
      </c>
      <c r="D13" s="1" t="n">
        <v>2.3609</v>
      </c>
      <c r="E13" s="1" t="n">
        <f aca="false">LN(D13)</f>
        <v>0.85904290227203</v>
      </c>
    </row>
    <row r="14" customFormat="false" ht="15.75" hidden="false" customHeight="false" outlineLevel="0" collapsed="false">
      <c r="A14" s="1" t="s">
        <v>444</v>
      </c>
      <c r="B14" s="1" t="n">
        <v>343.15</v>
      </c>
      <c r="C14" s="1" t="n">
        <f aca="false">1/B14</f>
        <v>0.00291417747340813</v>
      </c>
      <c r="D14" s="1" t="n">
        <v>1.6868</v>
      </c>
      <c r="E14" s="1" t="n">
        <f aca="false">LN(D14)</f>
        <v>0.522833242890268</v>
      </c>
    </row>
    <row r="15" customFormat="false" ht="15.75" hidden="false" customHeight="false" outlineLevel="0" collapsed="false">
      <c r="A15" s="1" t="s">
        <v>444</v>
      </c>
      <c r="B15" s="1" t="n">
        <v>353.15</v>
      </c>
      <c r="C15" s="1" t="n">
        <f aca="false">1/B15</f>
        <v>0.00283165793572137</v>
      </c>
      <c r="D15" s="1" t="n">
        <v>1.4519</v>
      </c>
      <c r="E15" s="1" t="n">
        <f aca="false">LN(D15)</f>
        <v>0.372873043507505</v>
      </c>
    </row>
    <row r="16" customFormat="false" ht="15.75" hidden="false" customHeight="false" outlineLevel="0" collapsed="false">
      <c r="A16" s="1" t="s">
        <v>444</v>
      </c>
      <c r="B16" s="1" t="n">
        <v>308.15</v>
      </c>
      <c r="C16" s="1" t="n">
        <f aca="false">1/B16</f>
        <v>0.00324517280545189</v>
      </c>
      <c r="D16" s="1" t="n">
        <v>3.1556</v>
      </c>
      <c r="E16" s="1" t="n">
        <f aca="false">LN(D16)</f>
        <v>1.1491786522388</v>
      </c>
    </row>
    <row r="17" customFormat="false" ht="15.75" hidden="false" customHeight="false" outlineLevel="0" collapsed="false">
      <c r="A17" s="1" t="s">
        <v>444</v>
      </c>
      <c r="B17" s="1" t="n">
        <v>333.15</v>
      </c>
      <c r="C17" s="1" t="n">
        <f aca="false">1/B17</f>
        <v>0.0030016509079994</v>
      </c>
      <c r="D17" s="1" t="n">
        <v>1.9825</v>
      </c>
      <c r="E17" s="1" t="n">
        <f aca="false">LN(D17)</f>
        <v>0.684358674526866</v>
      </c>
    </row>
    <row r="18" customFormat="false" ht="15.75" hidden="false" customHeight="false" outlineLevel="0" collapsed="false">
      <c r="A18" s="1" t="s">
        <v>1396</v>
      </c>
      <c r="B18" s="1" t="n">
        <v>281.45</v>
      </c>
      <c r="C18" s="1" t="n">
        <f aca="false">1/B18</f>
        <v>0.003553028957186</v>
      </c>
      <c r="D18" s="1" t="n">
        <v>0.3566</v>
      </c>
      <c r="E18" s="1" t="n">
        <f aca="false">LN(D18)</f>
        <v>-1.0311405735531</v>
      </c>
    </row>
    <row r="19" customFormat="false" ht="15.75" hidden="false" customHeight="false" outlineLevel="0" collapsed="false">
      <c r="A19" s="1" t="s">
        <v>1396</v>
      </c>
      <c r="B19" s="1" t="n">
        <v>284.4</v>
      </c>
      <c r="C19" s="1" t="n">
        <f aca="false">1/B19</f>
        <v>0.00351617440225035</v>
      </c>
      <c r="D19" s="1" t="n">
        <v>0.345</v>
      </c>
      <c r="E19" s="1" t="n">
        <f aca="false">LN(D19)</f>
        <v>-1.06421086195078</v>
      </c>
    </row>
    <row r="20" customFormat="false" ht="15.75" hidden="false" customHeight="false" outlineLevel="0" collapsed="false">
      <c r="A20" s="1" t="s">
        <v>1396</v>
      </c>
      <c r="B20" s="1" t="n">
        <v>288.15</v>
      </c>
      <c r="C20" s="1" t="n">
        <f aca="false">1/B20</f>
        <v>0.00347041471455839</v>
      </c>
      <c r="D20" s="1" t="n">
        <v>0.328</v>
      </c>
      <c r="E20" s="1" t="n">
        <f aca="false">LN(D20)</f>
        <v>-1.11474167059799</v>
      </c>
    </row>
    <row r="21" customFormat="false" ht="15.75" hidden="false" customHeight="false" outlineLevel="0" collapsed="false">
      <c r="A21" s="1" t="s">
        <v>1397</v>
      </c>
      <c r="B21" s="1" t="n">
        <v>298.08</v>
      </c>
      <c r="C21" s="1" t="n">
        <f aca="false">1/B21</f>
        <v>0.00335480407944176</v>
      </c>
      <c r="D21" s="1" t="n">
        <v>9.687</v>
      </c>
      <c r="E21" s="1" t="n">
        <f aca="false">LN(D21)</f>
        <v>2.27078478044425</v>
      </c>
    </row>
    <row r="22" customFormat="false" ht="15.75" hidden="false" customHeight="false" outlineLevel="0" collapsed="false">
      <c r="A22" s="1" t="s">
        <v>1397</v>
      </c>
      <c r="B22" s="1" t="n">
        <v>303.1</v>
      </c>
      <c r="C22" s="1" t="n">
        <f aca="false">1/B22</f>
        <v>0.00329924117452986</v>
      </c>
      <c r="D22" s="1" t="n">
        <v>8.414</v>
      </c>
      <c r="E22" s="1" t="n">
        <f aca="false">LN(D22)</f>
        <v>2.12989698516833</v>
      </c>
    </row>
    <row r="23" customFormat="false" ht="15.75" hidden="false" customHeight="false" outlineLevel="0" collapsed="false">
      <c r="A23" s="1" t="s">
        <v>1397</v>
      </c>
      <c r="B23" s="1" t="n">
        <v>308.11</v>
      </c>
      <c r="C23" s="1" t="n">
        <f aca="false">1/B23</f>
        <v>0.0032455941060011</v>
      </c>
      <c r="D23" s="1" t="n">
        <v>7.313</v>
      </c>
      <c r="E23" s="1" t="n">
        <f aca="false">LN(D23)</f>
        <v>1.98965358628881</v>
      </c>
    </row>
    <row r="24" customFormat="false" ht="15.75" hidden="false" customHeight="false" outlineLevel="0" collapsed="false">
      <c r="A24" s="1" t="s">
        <v>1397</v>
      </c>
      <c r="B24" s="1" t="n">
        <v>313.15</v>
      </c>
      <c r="C24" s="1" t="n">
        <f aca="false">1/B24</f>
        <v>0.00319335781574325</v>
      </c>
      <c r="D24" s="1" t="n">
        <v>6.406</v>
      </c>
      <c r="E24" s="1" t="n">
        <f aca="false">LN(D24)</f>
        <v>1.85723505118697</v>
      </c>
    </row>
    <row r="25" customFormat="false" ht="15.75" hidden="false" customHeight="false" outlineLevel="0" collapsed="false">
      <c r="A25" s="1" t="s">
        <v>3</v>
      </c>
      <c r="B25" s="1" t="n">
        <v>293.15</v>
      </c>
      <c r="C25" s="1" t="n">
        <f aca="false">1/B25</f>
        <v>0.00341122292341805</v>
      </c>
      <c r="D25" s="1" t="n">
        <v>0.698</v>
      </c>
      <c r="E25" s="1" t="n">
        <f aca="false">LN(D25)</f>
        <v>-0.359536176219765</v>
      </c>
    </row>
    <row r="26" customFormat="false" ht="15.75" hidden="false" customHeight="false" outlineLevel="0" collapsed="false">
      <c r="A26" s="1" t="s">
        <v>3</v>
      </c>
      <c r="B26" s="1" t="n">
        <v>303.15</v>
      </c>
      <c r="C26" s="1" t="n">
        <f aca="false">1/B26</f>
        <v>0.0032986970146792</v>
      </c>
      <c r="D26" s="1" t="n">
        <v>0.614</v>
      </c>
      <c r="E26" s="1" t="n">
        <f aca="false">LN(D26)</f>
        <v>-0.487760350834995</v>
      </c>
    </row>
    <row r="27" customFormat="false" ht="15.75" hidden="false" customHeight="false" outlineLevel="0" collapsed="false">
      <c r="A27" s="1" t="s">
        <v>3</v>
      </c>
      <c r="B27" s="1" t="n">
        <v>313.15</v>
      </c>
      <c r="C27" s="1" t="n">
        <f aca="false">1/B27</f>
        <v>0.00319335781574325</v>
      </c>
      <c r="D27" s="1" t="n">
        <v>0.5465</v>
      </c>
      <c r="E27" s="1" t="n">
        <f aca="false">LN(D27)</f>
        <v>-0.604220971365544</v>
      </c>
    </row>
    <row r="28" customFormat="false" ht="15.75" hidden="false" customHeight="false" outlineLevel="0" collapsed="false">
      <c r="A28" s="1" t="s">
        <v>3</v>
      </c>
      <c r="B28" s="1" t="n">
        <v>318.15</v>
      </c>
      <c r="C28" s="1" t="n">
        <f aca="false">1/B28</f>
        <v>0.00314317146000314</v>
      </c>
      <c r="D28" s="1" t="n">
        <v>0.516</v>
      </c>
      <c r="E28" s="1" t="n">
        <f aca="false">LN(D28)</f>
        <v>-0.661648513500574</v>
      </c>
    </row>
    <row r="29" customFormat="false" ht="15.75" hidden="false" customHeight="false" outlineLevel="0" collapsed="false">
      <c r="A29" s="1" t="s">
        <v>446</v>
      </c>
      <c r="B29" s="1" t="n">
        <v>280.21</v>
      </c>
      <c r="C29" s="1" t="n">
        <f aca="false">1/B29</f>
        <v>0.003568752007423</v>
      </c>
      <c r="D29" s="1" t="n">
        <v>0.5686</v>
      </c>
      <c r="E29" s="1" t="n">
        <f aca="false">LN(D29)</f>
        <v>-0.564578079765238</v>
      </c>
    </row>
    <row r="30" customFormat="false" ht="15.75" hidden="false" customHeight="false" outlineLevel="0" collapsed="false">
      <c r="A30" s="1" t="s">
        <v>446</v>
      </c>
      <c r="B30" s="1" t="n">
        <v>284.39</v>
      </c>
      <c r="C30" s="1" t="n">
        <f aca="false">1/B30</f>
        <v>0.00351629804142199</v>
      </c>
      <c r="D30" s="1" t="n">
        <v>0.5413</v>
      </c>
      <c r="E30" s="1" t="n">
        <f aca="false">LN(D30)</f>
        <v>-0.613781625179205</v>
      </c>
    </row>
    <row r="31" customFormat="false" ht="15.75" hidden="false" customHeight="false" outlineLevel="0" collapsed="false">
      <c r="A31" s="1" t="s">
        <v>446</v>
      </c>
      <c r="B31" s="1" t="n">
        <v>288.49</v>
      </c>
      <c r="C31" s="1" t="n">
        <f aca="false">1/B31</f>
        <v>0.00346632465596728</v>
      </c>
      <c r="D31" s="1" t="n">
        <v>0.5156</v>
      </c>
      <c r="E31" s="1" t="n">
        <f aca="false">LN(D31)</f>
        <v>-0.662424007917105</v>
      </c>
    </row>
    <row r="32" customFormat="false" ht="15.75" hidden="false" customHeight="false" outlineLevel="0" collapsed="false">
      <c r="A32" s="1" t="s">
        <v>446</v>
      </c>
      <c r="B32" s="1" t="n">
        <v>292.46</v>
      </c>
      <c r="C32" s="1" t="n">
        <f aca="false">1/B32</f>
        <v>0.00341927101142037</v>
      </c>
      <c r="D32" s="1" t="n">
        <v>0.4934</v>
      </c>
      <c r="E32" s="1" t="n">
        <f aca="false">LN(D32)</f>
        <v>-0.706435074886881</v>
      </c>
    </row>
    <row r="33" customFormat="false" ht="15.75" hidden="false" customHeight="false" outlineLevel="0" collapsed="false">
      <c r="A33" s="1" t="s">
        <v>446</v>
      </c>
      <c r="B33" s="1" t="n">
        <v>296.37</v>
      </c>
      <c r="C33" s="1" t="n">
        <f aca="false">1/B33</f>
        <v>0.00337416067753146</v>
      </c>
      <c r="D33" s="1" t="n">
        <v>0.4736</v>
      </c>
      <c r="E33" s="1" t="n">
        <f aca="false">LN(D33)</f>
        <v>-0.747392195412341</v>
      </c>
    </row>
    <row r="34" customFormat="false" ht="15.75" hidden="false" customHeight="false" outlineLevel="0" collapsed="false">
      <c r="A34" s="1" t="s">
        <v>446</v>
      </c>
      <c r="B34" s="1" t="n">
        <v>301</v>
      </c>
      <c r="C34" s="1" t="n">
        <f aca="false">1/B34</f>
        <v>0.00332225913621262</v>
      </c>
      <c r="D34" s="1" t="n">
        <v>0.4506</v>
      </c>
      <c r="E34" s="1" t="n">
        <f aca="false">LN(D34)</f>
        <v>-0.797175250983993</v>
      </c>
    </row>
    <row r="35" customFormat="false" ht="15.75" hidden="false" customHeight="false" outlineLevel="0" collapsed="false">
      <c r="A35" s="1" t="s">
        <v>446</v>
      </c>
      <c r="B35" s="1" t="n">
        <v>304.7</v>
      </c>
      <c r="C35" s="1" t="n">
        <f aca="false">1/B35</f>
        <v>0.00328191663931736</v>
      </c>
      <c r="D35" s="1" t="n">
        <v>0.4337</v>
      </c>
      <c r="E35" s="1" t="n">
        <f aca="false">LN(D35)</f>
        <v>-0.835402228140817</v>
      </c>
    </row>
    <row r="36" customFormat="false" ht="15.75" hidden="false" customHeight="false" outlineLevel="0" collapsed="false">
      <c r="A36" s="1" t="s">
        <v>446</v>
      </c>
      <c r="B36" s="1" t="n">
        <v>308.76</v>
      </c>
      <c r="C36" s="1" t="n">
        <f aca="false">1/B36</f>
        <v>0.00323876149760332</v>
      </c>
      <c r="D36" s="1" t="n">
        <v>0.416</v>
      </c>
      <c r="E36" s="1" t="n">
        <f aca="false">LN(D36)</f>
        <v>-0.877070018720874</v>
      </c>
    </row>
    <row r="37" customFormat="false" ht="15.75" hidden="false" customHeight="false" outlineLevel="0" collapsed="false">
      <c r="A37" s="1" t="s">
        <v>446</v>
      </c>
      <c r="B37" s="1" t="n">
        <v>313.33</v>
      </c>
      <c r="C37" s="1" t="n">
        <f aca="false">1/B37</f>
        <v>0.00319152331407781</v>
      </c>
      <c r="D37" s="1" t="n">
        <v>0.3976</v>
      </c>
      <c r="E37" s="1" t="n">
        <f aca="false">LN(D37)</f>
        <v>-0.922308804199718</v>
      </c>
    </row>
    <row r="38" customFormat="false" ht="15.75" hidden="false" customHeight="false" outlineLevel="0" collapsed="false">
      <c r="A38" s="1" t="s">
        <v>446</v>
      </c>
      <c r="B38" s="1" t="n">
        <v>316.89</v>
      </c>
      <c r="C38" s="1" t="n">
        <f aca="false">1/B38</f>
        <v>0.0031556691596453</v>
      </c>
      <c r="D38" s="1" t="n">
        <v>0.3836</v>
      </c>
      <c r="E38" s="1" t="n">
        <f aca="false">LN(D38)</f>
        <v>-0.958154935972854</v>
      </c>
    </row>
    <row r="39" customFormat="false" ht="15.75" hidden="false" customHeight="false" outlineLevel="0" collapsed="false">
      <c r="A39" s="1" t="s">
        <v>446</v>
      </c>
      <c r="B39" s="1" t="n">
        <v>321.1</v>
      </c>
      <c r="C39" s="1" t="n">
        <f aca="false">1/B39</f>
        <v>0.00311429461227032</v>
      </c>
      <c r="D39" s="1" t="n">
        <v>0.3695</v>
      </c>
      <c r="E39" s="1" t="n">
        <f aca="false">LN(D39)</f>
        <v>-0.995604538593881</v>
      </c>
    </row>
    <row r="40" customFormat="false" ht="15.75" hidden="false" customHeight="false" outlineLevel="0" collapsed="false">
      <c r="A40" s="1" t="s">
        <v>446</v>
      </c>
      <c r="B40" s="1" t="n">
        <v>327.69</v>
      </c>
      <c r="C40" s="1" t="n">
        <f aca="false">1/B40</f>
        <v>0.00305166468308462</v>
      </c>
      <c r="D40" s="1" t="n">
        <v>0.3476</v>
      </c>
      <c r="E40" s="1" t="n">
        <f aca="false">LN(D40)</f>
        <v>-1.0567028855909</v>
      </c>
    </row>
    <row r="41" customFormat="false" ht="15.75" hidden="false" customHeight="false" outlineLevel="0" collapsed="false">
      <c r="A41" s="1" t="s">
        <v>448</v>
      </c>
      <c r="B41" s="1" t="n">
        <v>293.15</v>
      </c>
      <c r="C41" s="1" t="n">
        <f aca="false">1/B41</f>
        <v>0.00341122292341805</v>
      </c>
      <c r="D41" s="1" t="n">
        <v>0.713</v>
      </c>
      <c r="E41" s="1" t="n">
        <f aca="false">LN(D41)</f>
        <v>-0.338273858567841</v>
      </c>
    </row>
    <row r="42" customFormat="false" ht="15.75" hidden="false" customHeight="false" outlineLevel="0" collapsed="false">
      <c r="A42" s="1" t="s">
        <v>448</v>
      </c>
      <c r="B42" s="1" t="n">
        <v>303.15</v>
      </c>
      <c r="C42" s="1" t="n">
        <f aca="false">1/B42</f>
        <v>0.0032986970146792</v>
      </c>
      <c r="D42" s="1" t="n">
        <v>0.626</v>
      </c>
      <c r="E42" s="1" t="n">
        <f aca="false">LN(D42)</f>
        <v>-0.468404907882039</v>
      </c>
    </row>
    <row r="43" customFormat="false" ht="15.75" hidden="false" customHeight="false" outlineLevel="0" collapsed="false">
      <c r="A43" s="1" t="s">
        <v>448</v>
      </c>
      <c r="B43" s="1" t="n">
        <v>313.15</v>
      </c>
      <c r="C43" s="1" t="n">
        <f aca="false">1/B43</f>
        <v>0.00319335781574325</v>
      </c>
      <c r="D43" s="1" t="n">
        <v>0.554</v>
      </c>
      <c r="E43" s="1" t="n">
        <f aca="false">LN(D43)</f>
        <v>-0.590590592234853</v>
      </c>
    </row>
    <row r="44" customFormat="false" ht="15.75" hidden="false" customHeight="false" outlineLevel="0" collapsed="false">
      <c r="A44" s="1" t="s">
        <v>448</v>
      </c>
      <c r="B44" s="1" t="n">
        <v>323.15</v>
      </c>
      <c r="C44" s="1" t="n">
        <f aca="false">1/B44</f>
        <v>0.00309453814018258</v>
      </c>
      <c r="D44" s="1" t="n">
        <v>0.494</v>
      </c>
      <c r="E44" s="1" t="n">
        <f aca="false">LN(D44)</f>
        <v>-0.705219761794215</v>
      </c>
    </row>
    <row r="45" customFormat="false" ht="15.75" hidden="false" customHeight="false" outlineLevel="0" collapsed="false">
      <c r="A45" s="1" t="s">
        <v>448</v>
      </c>
      <c r="B45" s="1" t="n">
        <v>328.15</v>
      </c>
      <c r="C45" s="1" t="n">
        <f aca="false">1/B45</f>
        <v>0.00304738686576261</v>
      </c>
      <c r="D45" s="1" t="n">
        <v>0.468</v>
      </c>
      <c r="E45" s="1" t="n">
        <f aca="false">LN(D45)</f>
        <v>-0.75928698306449</v>
      </c>
    </row>
    <row r="46" customFormat="false" ht="15.75" hidden="false" customHeight="false" outlineLevel="0" collapsed="false">
      <c r="A46" s="1" t="s">
        <v>450</v>
      </c>
      <c r="B46" s="1" t="n">
        <v>278.15</v>
      </c>
      <c r="C46" s="1" t="n">
        <f aca="false">1/B46</f>
        <v>0.00359518245550962</v>
      </c>
      <c r="D46" s="1" t="n">
        <v>119.15</v>
      </c>
      <c r="E46" s="1" t="n">
        <f aca="false">LN(D46)</f>
        <v>4.78038320354475</v>
      </c>
    </row>
    <row r="47" customFormat="false" ht="15.75" hidden="false" customHeight="false" outlineLevel="0" collapsed="false">
      <c r="A47" s="1" t="s">
        <v>450</v>
      </c>
      <c r="B47" s="1" t="n">
        <v>285.15</v>
      </c>
      <c r="C47" s="1" t="n">
        <f aca="false">1/B47</f>
        <v>0.00350692617920393</v>
      </c>
      <c r="D47" s="1" t="n">
        <v>95.69</v>
      </c>
      <c r="E47" s="1" t="n">
        <f aca="false">LN(D47)</f>
        <v>4.56111379979117</v>
      </c>
    </row>
    <row r="48" customFormat="false" ht="15.75" hidden="false" customHeight="false" outlineLevel="0" collapsed="false">
      <c r="A48" s="1" t="s">
        <v>450</v>
      </c>
      <c r="B48" s="1" t="n">
        <v>295.15</v>
      </c>
      <c r="C48" s="1" t="n">
        <f aca="false">1/B48</f>
        <v>0.00338810774182619</v>
      </c>
      <c r="D48" s="1" t="n">
        <v>63.49</v>
      </c>
      <c r="E48" s="1" t="n">
        <f aca="false">LN(D48)</f>
        <v>4.15088241318236</v>
      </c>
    </row>
    <row r="49" customFormat="false" ht="15.75" hidden="false" customHeight="false" outlineLevel="0" collapsed="false">
      <c r="A49" s="1" t="s">
        <v>450</v>
      </c>
      <c r="B49" s="1" t="n">
        <v>305.15</v>
      </c>
      <c r="C49" s="1" t="n">
        <f aca="false">1/B49</f>
        <v>0.00327707684745207</v>
      </c>
      <c r="D49" s="1" t="n">
        <v>46.88</v>
      </c>
      <c r="E49" s="1" t="n">
        <f aca="false">LN(D49)</f>
        <v>3.84759114526876</v>
      </c>
    </row>
    <row r="50" customFormat="false" ht="15.75" hidden="false" customHeight="false" outlineLevel="0" collapsed="false">
      <c r="A50" s="1" t="s">
        <v>450</v>
      </c>
      <c r="B50" s="1" t="n">
        <v>315.15</v>
      </c>
      <c r="C50" s="1" t="n">
        <f aca="false">1/B50</f>
        <v>0.00317309217832778</v>
      </c>
      <c r="D50" s="1" t="n">
        <v>34.84</v>
      </c>
      <c r="E50" s="1" t="n">
        <f aca="false">LN(D50)</f>
        <v>3.5507661519843</v>
      </c>
    </row>
    <row r="51" customFormat="false" ht="15.75" hidden="false" customHeight="false" outlineLevel="0" collapsed="false">
      <c r="A51" s="1" t="s">
        <v>222</v>
      </c>
      <c r="B51" s="1" t="n">
        <v>273.15</v>
      </c>
      <c r="C51" s="1" t="n">
        <f aca="false">1/B51</f>
        <v>0.00366099212886692</v>
      </c>
      <c r="D51" s="1" t="n">
        <v>343.1</v>
      </c>
      <c r="E51" s="1" t="n">
        <f aca="false">LN(D51)</f>
        <v>5.8380219498644</v>
      </c>
    </row>
    <row r="52" customFormat="false" ht="15.75" hidden="false" customHeight="false" outlineLevel="0" collapsed="false">
      <c r="A52" s="1" t="s">
        <v>222</v>
      </c>
      <c r="B52" s="1" t="n">
        <v>323.15</v>
      </c>
      <c r="C52" s="1" t="n">
        <f aca="false">1/B52</f>
        <v>0.00309453814018258</v>
      </c>
      <c r="D52" s="1" t="n">
        <v>7.84</v>
      </c>
      <c r="E52" s="1" t="n">
        <f aca="false">LN(D52)</f>
        <v>2.05923883436232</v>
      </c>
    </row>
    <row r="53" customFormat="false" ht="15.75" hidden="false" customHeight="false" outlineLevel="0" collapsed="false">
      <c r="A53" s="1" t="s">
        <v>222</v>
      </c>
      <c r="B53" s="1" t="n">
        <v>422.95</v>
      </c>
      <c r="C53" s="1" t="n">
        <f aca="false">1/B53</f>
        <v>0.00236434566733656</v>
      </c>
      <c r="D53" s="1" t="n">
        <v>0.812</v>
      </c>
      <c r="E53" s="1" t="n">
        <f aca="false">LN(D53)</f>
        <v>-0.208254938820459</v>
      </c>
    </row>
    <row r="54" customFormat="false" ht="15.75" hidden="false" customHeight="false" outlineLevel="0" collapsed="false">
      <c r="A54" s="1" t="s">
        <v>222</v>
      </c>
      <c r="B54" s="1" t="n">
        <v>473.15</v>
      </c>
      <c r="C54" s="1" t="n">
        <f aca="false">1/B54</f>
        <v>0.00211349466342597</v>
      </c>
      <c r="D54" s="1" t="n">
        <v>0.501</v>
      </c>
      <c r="E54" s="1" t="n">
        <f aca="false">LN(D54)</f>
        <v>-0.691149177897272</v>
      </c>
    </row>
    <row r="55" customFormat="false" ht="15.75" hidden="false" customHeight="false" outlineLevel="0" collapsed="false">
      <c r="A55" s="1" t="s">
        <v>224</v>
      </c>
      <c r="B55" s="1" t="n">
        <v>273.15</v>
      </c>
      <c r="C55" s="1" t="n">
        <f aca="false">1/B55</f>
        <v>0.00366099212886692</v>
      </c>
      <c r="D55" s="1" t="n">
        <v>11.63</v>
      </c>
      <c r="E55" s="1" t="n">
        <f aca="false">LN(D55)</f>
        <v>2.45358796653057</v>
      </c>
    </row>
    <row r="56" customFormat="false" ht="15.75" hidden="false" customHeight="false" outlineLevel="0" collapsed="false">
      <c r="A56" s="1" t="s">
        <v>224</v>
      </c>
      <c r="B56" s="1" t="n">
        <v>323.15</v>
      </c>
      <c r="C56" s="1" t="n">
        <f aca="false">1/B56</f>
        <v>0.00309453814018258</v>
      </c>
      <c r="D56" s="1" t="n">
        <v>2.53</v>
      </c>
      <c r="E56" s="1" t="n">
        <f aca="false">LN(D56)</f>
        <v>0.928219302739429</v>
      </c>
    </row>
    <row r="57" customFormat="false" ht="15.75" hidden="false" customHeight="false" outlineLevel="0" collapsed="false">
      <c r="A57" s="1" t="s">
        <v>224</v>
      </c>
      <c r="B57" s="1" t="n">
        <v>422.95</v>
      </c>
      <c r="C57" s="1" t="n">
        <f aca="false">1/B57</f>
        <v>0.00236434566733656</v>
      </c>
      <c r="D57" s="1" t="n">
        <v>0.574</v>
      </c>
      <c r="E57" s="1" t="n">
        <f aca="false">LN(D57)</f>
        <v>-0.555125882662571</v>
      </c>
    </row>
    <row r="58" customFormat="false" ht="15.75" hidden="false" customHeight="false" outlineLevel="0" collapsed="false">
      <c r="A58" s="1" t="s">
        <v>224</v>
      </c>
      <c r="B58" s="1" t="n">
        <v>473.15</v>
      </c>
      <c r="C58" s="1" t="n">
        <f aca="false">1/B58</f>
        <v>0.00211349466342597</v>
      </c>
      <c r="D58" s="1" t="n">
        <v>0.377</v>
      </c>
      <c r="E58" s="1" t="n">
        <f aca="false">LN(D58)</f>
        <v>-0.975510091534126</v>
      </c>
    </row>
    <row r="59" customFormat="false" ht="15.75" hidden="false" customHeight="false" outlineLevel="0" collapsed="false">
      <c r="A59" s="1" t="s">
        <v>452</v>
      </c>
      <c r="B59" s="1" t="n">
        <v>238.15</v>
      </c>
      <c r="C59" s="1" t="n">
        <f aca="false">1/B59</f>
        <v>0.00419903422212891</v>
      </c>
      <c r="D59" s="1" t="n">
        <v>16.47</v>
      </c>
      <c r="E59" s="1" t="n">
        <f aca="false">LN(D59)</f>
        <v>2.80154054418955</v>
      </c>
    </row>
    <row r="60" customFormat="false" ht="15.75" hidden="false" customHeight="false" outlineLevel="0" collapsed="false">
      <c r="A60" s="1" t="s">
        <v>452</v>
      </c>
      <c r="B60" s="1" t="n">
        <v>243.15</v>
      </c>
      <c r="C60" s="1" t="n">
        <f aca="false">1/B60</f>
        <v>0.00411268764137364</v>
      </c>
      <c r="D60" s="1" t="n">
        <v>13.2</v>
      </c>
      <c r="E60" s="1" t="n">
        <f aca="false">LN(D60)</f>
        <v>2.58021682959233</v>
      </c>
    </row>
    <row r="61" customFormat="false" ht="15.75" hidden="false" customHeight="false" outlineLevel="0" collapsed="false">
      <c r="A61" s="1" t="s">
        <v>452</v>
      </c>
      <c r="B61" s="1" t="n">
        <v>248.15</v>
      </c>
      <c r="C61" s="1" t="n">
        <f aca="false">1/B61</f>
        <v>0.00402982067298005</v>
      </c>
      <c r="D61" s="1" t="n">
        <v>9.372</v>
      </c>
      <c r="E61" s="1" t="n">
        <f aca="false">LN(D61)</f>
        <v>2.23772652064555</v>
      </c>
    </row>
    <row r="62" customFormat="false" ht="15.75" hidden="false" customHeight="false" outlineLevel="0" collapsed="false">
      <c r="A62" s="1" t="s">
        <v>452</v>
      </c>
      <c r="B62" s="1" t="n">
        <v>253.15</v>
      </c>
      <c r="C62" s="1" t="n">
        <f aca="false">1/B62</f>
        <v>0.00395022713806044</v>
      </c>
      <c r="D62" s="1" t="n">
        <v>6.965</v>
      </c>
      <c r="E62" s="1" t="n">
        <f aca="false">LN(D62)</f>
        <v>1.94089760723177</v>
      </c>
    </row>
    <row r="63" customFormat="false" ht="15.75" hidden="false" customHeight="false" outlineLevel="0" collapsed="false">
      <c r="A63" s="1" t="s">
        <v>452</v>
      </c>
      <c r="B63" s="1" t="n">
        <v>263.15</v>
      </c>
      <c r="C63" s="1" t="n">
        <f aca="false">1/B63</f>
        <v>0.0038001140034201</v>
      </c>
      <c r="D63" s="1" t="n">
        <v>4.354</v>
      </c>
      <c r="E63" s="1" t="n">
        <f aca="false">LN(D63)</f>
        <v>1.47109496281236</v>
      </c>
    </row>
    <row r="64" customFormat="false" ht="15.75" hidden="false" customHeight="false" outlineLevel="0" collapsed="false">
      <c r="A64" s="1" t="s">
        <v>452</v>
      </c>
      <c r="B64" s="1" t="n">
        <v>268.15</v>
      </c>
      <c r="C64" s="1" t="n">
        <f aca="false">1/B64</f>
        <v>0.00372925601342532</v>
      </c>
      <c r="D64" s="1" t="n">
        <v>3.61</v>
      </c>
      <c r="E64" s="1" t="n">
        <f aca="false">LN(D64)</f>
        <v>1.28370777234479</v>
      </c>
    </row>
    <row r="65" customFormat="false" ht="15.75" hidden="false" customHeight="false" outlineLevel="0" collapsed="false">
      <c r="A65" s="1" t="s">
        <v>452</v>
      </c>
      <c r="B65" s="1" t="n">
        <v>273.15</v>
      </c>
      <c r="C65" s="1" t="n">
        <f aca="false">1/B65</f>
        <v>0.00366099212886692</v>
      </c>
      <c r="D65" s="1" t="n">
        <v>3.032</v>
      </c>
      <c r="E65" s="1" t="n">
        <f aca="false">LN(D65)</f>
        <v>1.10922246778013</v>
      </c>
    </row>
    <row r="66" customFormat="false" ht="15.75" hidden="false" customHeight="false" outlineLevel="0" collapsed="false">
      <c r="A66" s="1" t="s">
        <v>452</v>
      </c>
      <c r="B66" s="1" t="n">
        <v>278.15</v>
      </c>
      <c r="C66" s="1" t="n">
        <f aca="false">1/B66</f>
        <v>0.00359518245550962</v>
      </c>
      <c r="D66" s="1" t="n">
        <v>2.704</v>
      </c>
      <c r="E66" s="1" t="n">
        <f aca="false">LN(D66)</f>
        <v>0.994732158180718</v>
      </c>
    </row>
    <row r="67" customFormat="false" ht="15.75" hidden="false" customHeight="false" outlineLevel="0" collapsed="false">
      <c r="A67" s="1" t="s">
        <v>452</v>
      </c>
      <c r="B67" s="1" t="n">
        <v>283.15</v>
      </c>
      <c r="C67" s="1" t="n">
        <f aca="false">1/B67</f>
        <v>0.00353169698039908</v>
      </c>
      <c r="D67" s="1" t="n">
        <v>2.206</v>
      </c>
      <c r="E67" s="1" t="n">
        <f aca="false">LN(D67)</f>
        <v>0.791180920831311</v>
      </c>
    </row>
    <row r="68" customFormat="false" ht="15.75" hidden="false" customHeight="false" outlineLevel="0" collapsed="false">
      <c r="A68" s="1" t="s">
        <v>452</v>
      </c>
      <c r="B68" s="1" t="n">
        <v>293.15</v>
      </c>
      <c r="C68" s="1" t="n">
        <f aca="false">1/B68</f>
        <v>0.00341122292341805</v>
      </c>
      <c r="D68" s="1" t="n">
        <v>1.709</v>
      </c>
      <c r="E68" s="1" t="n">
        <f aca="false">LN(D68)</f>
        <v>0.535908404133454</v>
      </c>
    </row>
    <row r="69" customFormat="false" ht="15.75" hidden="false" customHeight="false" outlineLevel="0" collapsed="false">
      <c r="A69" s="1" t="s">
        <v>452</v>
      </c>
      <c r="B69" s="1" t="n">
        <v>298.15</v>
      </c>
      <c r="C69" s="1" t="n">
        <f aca="false">1/B69</f>
        <v>0.00335401643468053</v>
      </c>
      <c r="D69" s="1" t="n">
        <v>1.57</v>
      </c>
      <c r="E69" s="1" t="n">
        <f aca="false">LN(D69)</f>
        <v>0.451075619360217</v>
      </c>
    </row>
    <row r="70" customFormat="false" ht="15.75" hidden="false" customHeight="false" outlineLevel="0" collapsed="false">
      <c r="A70" s="1" t="s">
        <v>452</v>
      </c>
      <c r="B70" s="1" t="n">
        <v>303.15</v>
      </c>
      <c r="C70" s="1" t="n">
        <f aca="false">1/B70</f>
        <v>0.0032986970146792</v>
      </c>
      <c r="D70" s="1" t="n">
        <v>1.395</v>
      </c>
      <c r="E70" s="1" t="n">
        <f aca="false">LN(D70)</f>
        <v>0.332894415273329</v>
      </c>
    </row>
    <row r="71" customFormat="false" ht="15.75" hidden="false" customHeight="false" outlineLevel="0" collapsed="false">
      <c r="A71" s="1" t="s">
        <v>452</v>
      </c>
      <c r="B71" s="1" t="n">
        <v>308.15</v>
      </c>
      <c r="C71" s="1" t="n">
        <f aca="false">1/B71</f>
        <v>0.00324517280545189</v>
      </c>
      <c r="D71" s="1" t="n">
        <v>1.227</v>
      </c>
      <c r="E71" s="1" t="n">
        <f aca="false">LN(D71)</f>
        <v>0.204572165728774</v>
      </c>
    </row>
    <row r="72" customFormat="false" ht="15.75" hidden="false" customHeight="false" outlineLevel="0" collapsed="false">
      <c r="A72" s="1" t="s">
        <v>452</v>
      </c>
      <c r="B72" s="1" t="n">
        <v>313.15</v>
      </c>
      <c r="C72" s="1" t="n">
        <f aca="false">1/B72</f>
        <v>0.00319335781574325</v>
      </c>
      <c r="D72" s="1" t="n">
        <v>1.173</v>
      </c>
      <c r="E72" s="1" t="n">
        <f aca="false">LN(D72)</f>
        <v>0.159564569671338</v>
      </c>
    </row>
    <row r="73" customFormat="false" ht="15.75" hidden="false" customHeight="false" outlineLevel="0" collapsed="false">
      <c r="A73" s="1" t="s">
        <v>452</v>
      </c>
      <c r="B73" s="1" t="n">
        <v>323.15</v>
      </c>
      <c r="C73" s="1" t="n">
        <f aca="false">1/B73</f>
        <v>0.00309453814018258</v>
      </c>
      <c r="D73" s="1" t="n">
        <v>0.94</v>
      </c>
      <c r="E73" s="1" t="n">
        <f aca="false">LN(D73)</f>
        <v>-0.0618754037180875</v>
      </c>
    </row>
    <row r="74" customFormat="false" ht="15.75" hidden="false" customHeight="false" outlineLevel="0" collapsed="false">
      <c r="A74" s="1" t="s">
        <v>452</v>
      </c>
      <c r="B74" s="1" t="n">
        <v>258.15</v>
      </c>
      <c r="C74" s="1" t="n">
        <f aca="false">1/B74</f>
        <v>0.00387371683129963</v>
      </c>
      <c r="D74" s="1" t="n">
        <v>5.322</v>
      </c>
      <c r="E74" s="1" t="n">
        <f aca="false">LN(D74)</f>
        <v>1.6718491725555</v>
      </c>
    </row>
    <row r="75" customFormat="false" ht="15.75" hidden="false" customHeight="false" outlineLevel="0" collapsed="false">
      <c r="A75" s="1" t="s">
        <v>452</v>
      </c>
      <c r="B75" s="1" t="n">
        <v>288.15</v>
      </c>
      <c r="C75" s="1" t="n">
        <f aca="false">1/B75</f>
        <v>0.00347041471455839</v>
      </c>
      <c r="D75" s="1" t="n">
        <v>1.925</v>
      </c>
      <c r="E75" s="1" t="n">
        <f aca="false">LN(D75)</f>
        <v>0.654925967739748</v>
      </c>
    </row>
    <row r="76" customFormat="false" ht="15.75" hidden="false" customHeight="false" outlineLevel="0" collapsed="false">
      <c r="A76" s="1" t="s">
        <v>452</v>
      </c>
      <c r="B76" s="1" t="n">
        <v>318.15</v>
      </c>
      <c r="C76" s="1" t="n">
        <f aca="false">1/B76</f>
        <v>0.00314317146000314</v>
      </c>
      <c r="D76" s="1" t="n">
        <v>1.045</v>
      </c>
      <c r="E76" s="1" t="n">
        <f aca="false">LN(D76)</f>
        <v>0.0440168854167743</v>
      </c>
    </row>
    <row r="77" customFormat="false" ht="15.75" hidden="false" customHeight="false" outlineLevel="0" collapsed="false">
      <c r="A77" s="1" t="s">
        <v>454</v>
      </c>
      <c r="B77" s="1" t="n">
        <v>273.51</v>
      </c>
      <c r="C77" s="1" t="n">
        <f aca="false">1/B77</f>
        <v>0.00365617344886841</v>
      </c>
      <c r="D77" s="1" t="n">
        <v>2.285</v>
      </c>
      <c r="E77" s="1" t="n">
        <f aca="false">LN(D77)</f>
        <v>0.826366024346168</v>
      </c>
    </row>
    <row r="78" customFormat="false" ht="15.75" hidden="false" customHeight="false" outlineLevel="0" collapsed="false">
      <c r="A78" s="1" t="s">
        <v>454</v>
      </c>
      <c r="B78" s="1" t="n">
        <v>286.06</v>
      </c>
      <c r="C78" s="1" t="n">
        <f aca="false">1/B78</f>
        <v>0.00349577011815703</v>
      </c>
      <c r="D78" s="1" t="n">
        <v>1.816</v>
      </c>
      <c r="E78" s="1" t="n">
        <f aca="false">LN(D78)</f>
        <v>0.596636280179102</v>
      </c>
    </row>
    <row r="79" customFormat="false" ht="15.75" hidden="false" customHeight="false" outlineLevel="0" collapsed="false">
      <c r="A79" s="1" t="s">
        <v>454</v>
      </c>
      <c r="B79" s="1" t="n">
        <v>311.17</v>
      </c>
      <c r="C79" s="1" t="n">
        <f aca="false">1/B79</f>
        <v>0.00321367741106148</v>
      </c>
      <c r="D79" s="1" t="n">
        <v>1.247</v>
      </c>
      <c r="E79" s="1" t="n">
        <f aca="false">LN(D79)</f>
        <v>0.220740666697899</v>
      </c>
    </row>
    <row r="80" customFormat="false" ht="15.75" hidden="false" customHeight="false" outlineLevel="0" collapsed="false">
      <c r="A80" s="1" t="s">
        <v>454</v>
      </c>
      <c r="B80" s="1" t="n">
        <v>323.23</v>
      </c>
      <c r="C80" s="1" t="n">
        <f aca="false">1/B80</f>
        <v>0.00309377223648795</v>
      </c>
      <c r="D80" s="1" t="n">
        <v>1.072</v>
      </c>
      <c r="E80" s="1" t="n">
        <f aca="false">LN(D80)</f>
        <v>0.0695260626486103</v>
      </c>
    </row>
    <row r="81" customFormat="false" ht="15.75" hidden="false" customHeight="false" outlineLevel="0" collapsed="false">
      <c r="A81" s="1" t="s">
        <v>454</v>
      </c>
      <c r="B81" s="1" t="n">
        <v>336.34</v>
      </c>
      <c r="C81" s="1" t="n">
        <f aca="false">1/B81</f>
        <v>0.0029731818992686</v>
      </c>
      <c r="D81" s="1" t="n">
        <v>0.918</v>
      </c>
      <c r="E81" s="1" t="n">
        <f aca="false">LN(D81)</f>
        <v>-0.0855578883616465</v>
      </c>
    </row>
    <row r="82" customFormat="false" ht="15.75" hidden="false" customHeight="false" outlineLevel="0" collapsed="false">
      <c r="A82" s="1" t="s">
        <v>454</v>
      </c>
      <c r="B82" s="1" t="n">
        <v>362.28</v>
      </c>
      <c r="C82" s="1" t="n">
        <f aca="false">1/B82</f>
        <v>0.00276029590372088</v>
      </c>
      <c r="D82" s="1" t="n">
        <v>0.704</v>
      </c>
      <c r="E82" s="1" t="n">
        <f aca="false">LN(D82)</f>
        <v>-0.350976922824095</v>
      </c>
    </row>
    <row r="83" customFormat="false" ht="15.75" hidden="false" customHeight="false" outlineLevel="0" collapsed="false">
      <c r="A83" s="1" t="s">
        <v>454</v>
      </c>
      <c r="B83" s="1" t="n">
        <v>374.33</v>
      </c>
      <c r="C83" s="1" t="n">
        <f aca="false">1/B83</f>
        <v>0.00267143963882136</v>
      </c>
      <c r="D83" s="1" t="n">
        <v>0.628</v>
      </c>
      <c r="E83" s="1" t="n">
        <f aca="false">LN(D83)</f>
        <v>-0.465215112513938</v>
      </c>
    </row>
    <row r="84" customFormat="false" ht="15.75" hidden="false" customHeight="false" outlineLevel="0" collapsed="false">
      <c r="A84" s="1" t="s">
        <v>454</v>
      </c>
      <c r="B84" s="1" t="n">
        <v>386.86</v>
      </c>
      <c r="C84" s="1" t="n">
        <f aca="false">1/B84</f>
        <v>0.00258491443933206</v>
      </c>
      <c r="D84" s="1" t="n">
        <v>0.565</v>
      </c>
      <c r="E84" s="1" t="n">
        <f aca="false">LN(D84)</f>
        <v>-0.570929547835696</v>
      </c>
    </row>
    <row r="85" customFormat="false" ht="15.75" hidden="false" customHeight="false" outlineLevel="0" collapsed="false">
      <c r="A85" s="1" t="s">
        <v>454</v>
      </c>
      <c r="B85" s="1" t="n">
        <v>409.82</v>
      </c>
      <c r="C85" s="1" t="n">
        <f aca="false">1/B85</f>
        <v>0.00244009565174955</v>
      </c>
      <c r="D85" s="1" t="n">
        <v>0.468</v>
      </c>
      <c r="E85" s="1" t="n">
        <f aca="false">LN(D85)</f>
        <v>-0.75928698306449</v>
      </c>
    </row>
    <row r="86" customFormat="false" ht="15.75" hidden="false" customHeight="false" outlineLevel="0" collapsed="false">
      <c r="A86" s="1" t="s">
        <v>454</v>
      </c>
      <c r="B86" s="1" t="n">
        <v>298.42</v>
      </c>
      <c r="C86" s="1" t="n">
        <f aca="false">1/B86</f>
        <v>0.00335098183767844</v>
      </c>
      <c r="D86" s="1" t="n">
        <v>1.494</v>
      </c>
      <c r="E86" s="1" t="n">
        <f aca="false">LN(D86)</f>
        <v>0.401457086710626</v>
      </c>
    </row>
    <row r="87" customFormat="false" ht="15.75" hidden="false" customHeight="false" outlineLevel="0" collapsed="false">
      <c r="A87" s="1" t="s">
        <v>454</v>
      </c>
      <c r="B87" s="1" t="n">
        <v>349.61</v>
      </c>
      <c r="C87" s="1" t="n">
        <f aca="false">1/B87</f>
        <v>0.00286033008209147</v>
      </c>
      <c r="D87" s="1" t="n">
        <v>0.797</v>
      </c>
      <c r="E87" s="1" t="n">
        <f aca="false">LN(D87)</f>
        <v>-0.226900600191922</v>
      </c>
    </row>
    <row r="88" customFormat="false" ht="15.75" hidden="false" customHeight="false" outlineLevel="0" collapsed="false">
      <c r="A88" s="1" t="s">
        <v>454</v>
      </c>
      <c r="B88" s="1" t="n">
        <v>401.12</v>
      </c>
      <c r="C88" s="1" t="n">
        <f aca="false">1/B88</f>
        <v>0.00249301954527323</v>
      </c>
      <c r="D88" s="1" t="n">
        <v>0.501</v>
      </c>
      <c r="E88" s="1" t="n">
        <f aca="false">LN(D88)</f>
        <v>-0.691149177897272</v>
      </c>
    </row>
    <row r="89" customFormat="false" ht="15.75" hidden="false" customHeight="false" outlineLevel="0" collapsed="false">
      <c r="A89" s="1" t="s">
        <v>6</v>
      </c>
      <c r="B89" s="1" t="n">
        <v>298.15</v>
      </c>
      <c r="C89" s="1" t="n">
        <f aca="false">1/B89</f>
        <v>0.00335401643468053</v>
      </c>
      <c r="D89" s="1" t="n">
        <v>1.968</v>
      </c>
      <c r="E89" s="1" t="n">
        <f aca="false">LN(D89)</f>
        <v>0.677017798630062</v>
      </c>
    </row>
    <row r="90" customFormat="false" ht="15.75" hidden="false" customHeight="false" outlineLevel="0" collapsed="false">
      <c r="A90" s="1" t="s">
        <v>6</v>
      </c>
      <c r="B90" s="1" t="n">
        <v>303.15</v>
      </c>
      <c r="C90" s="1" t="n">
        <f aca="false">1/B90</f>
        <v>0.0032986970146792</v>
      </c>
      <c r="D90" s="1" t="n">
        <v>1.778</v>
      </c>
      <c r="E90" s="1" t="n">
        <f aca="false">LN(D90)</f>
        <v>0.575489137091713</v>
      </c>
    </row>
    <row r="91" customFormat="false" ht="15.75" hidden="false" customHeight="false" outlineLevel="0" collapsed="false">
      <c r="A91" s="1" t="s">
        <v>6</v>
      </c>
      <c r="B91" s="1" t="n">
        <v>308.15</v>
      </c>
      <c r="C91" s="1" t="n">
        <f aca="false">1/B91</f>
        <v>0.00324517280545189</v>
      </c>
      <c r="D91" s="1" t="n">
        <v>1.612</v>
      </c>
      <c r="E91" s="1" t="n">
        <f aca="false">LN(D91)</f>
        <v>0.477475644084437</v>
      </c>
    </row>
    <row r="92" customFormat="false" ht="15.75" hidden="false" customHeight="false" outlineLevel="0" collapsed="false">
      <c r="A92" s="1" t="s">
        <v>6</v>
      </c>
      <c r="B92" s="1" t="n">
        <v>313.15</v>
      </c>
      <c r="C92" s="1" t="n">
        <f aca="false">1/B92</f>
        <v>0.00319335781574325</v>
      </c>
      <c r="D92" s="1" t="n">
        <v>1.473</v>
      </c>
      <c r="E92" s="1" t="n">
        <f aca="false">LN(D92)</f>
        <v>0.387301137480493</v>
      </c>
    </row>
    <row r="93" customFormat="false" ht="15.75" hidden="false" customHeight="false" outlineLevel="0" collapsed="false">
      <c r="A93" s="1" t="s">
        <v>8</v>
      </c>
      <c r="B93" s="1" t="n">
        <v>293.15</v>
      </c>
      <c r="C93" s="1" t="n">
        <f aca="false">1/B93</f>
        <v>0.00341122292341805</v>
      </c>
      <c r="D93" s="1" t="n">
        <v>25.42</v>
      </c>
      <c r="E93" s="1" t="n">
        <f aca="false">LN(D93)</f>
        <v>3.23553626576131</v>
      </c>
    </row>
    <row r="94" customFormat="false" ht="15.75" hidden="false" customHeight="false" outlineLevel="0" collapsed="false">
      <c r="A94" s="1" t="s">
        <v>8</v>
      </c>
      <c r="B94" s="1" t="n">
        <v>310.95</v>
      </c>
      <c r="C94" s="1" t="n">
        <f aca="false">1/B94</f>
        <v>0.00321595111754301</v>
      </c>
      <c r="D94" s="1" t="n">
        <v>11.64</v>
      </c>
      <c r="E94" s="1" t="n">
        <f aca="false">LN(D94)</f>
        <v>2.45444744230329</v>
      </c>
    </row>
    <row r="95" customFormat="false" ht="15.75" hidden="false" customHeight="false" outlineLevel="0" collapsed="false">
      <c r="A95" s="1" t="s">
        <v>8</v>
      </c>
      <c r="B95" s="1" t="n">
        <v>333.15</v>
      </c>
      <c r="C95" s="1" t="n">
        <f aca="false">1/B95</f>
        <v>0.0030016509079994</v>
      </c>
      <c r="D95" s="1" t="n">
        <v>5.593</v>
      </c>
      <c r="E95" s="1" t="n">
        <f aca="false">LN(D95)</f>
        <v>1.72151581583945</v>
      </c>
    </row>
    <row r="96" customFormat="false" ht="15.75" hidden="false" customHeight="false" outlineLevel="0" collapsed="false">
      <c r="A96" s="1" t="s">
        <v>8</v>
      </c>
      <c r="B96" s="1" t="n">
        <v>372.05</v>
      </c>
      <c r="C96" s="1" t="n">
        <f aca="false">1/B96</f>
        <v>0.00268781077812122</v>
      </c>
      <c r="D96" s="1" t="n">
        <v>2.333</v>
      </c>
      <c r="E96" s="1" t="n">
        <f aca="false">LN(D96)</f>
        <v>0.847154993039293</v>
      </c>
    </row>
    <row r="97" customFormat="false" ht="15.75" hidden="false" customHeight="false" outlineLevel="0" collapsed="false">
      <c r="A97" s="1" t="s">
        <v>456</v>
      </c>
      <c r="B97" s="1" t="n">
        <v>293.15</v>
      </c>
      <c r="C97" s="1" t="n">
        <f aca="false">1/B97</f>
        <v>0.00341122292341805</v>
      </c>
      <c r="D97" s="1" t="n">
        <v>34.36</v>
      </c>
      <c r="E97" s="1" t="n">
        <f aca="false">LN(D97)</f>
        <v>3.53689309711605</v>
      </c>
    </row>
    <row r="98" customFormat="false" ht="15.75" hidden="false" customHeight="false" outlineLevel="0" collapsed="false">
      <c r="A98" s="1" t="s">
        <v>456</v>
      </c>
      <c r="B98" s="1" t="n">
        <v>310.95</v>
      </c>
      <c r="C98" s="1" t="n">
        <f aca="false">1/B98</f>
        <v>0.00321595111754301</v>
      </c>
      <c r="D98" s="1" t="n">
        <v>14.68</v>
      </c>
      <c r="E98" s="1" t="n">
        <f aca="false">LN(D98)</f>
        <v>2.68648602318637</v>
      </c>
    </row>
    <row r="99" customFormat="false" ht="15.75" hidden="false" customHeight="false" outlineLevel="0" collapsed="false">
      <c r="A99" s="1" t="s">
        <v>456</v>
      </c>
      <c r="B99" s="1" t="n">
        <v>333.15</v>
      </c>
      <c r="C99" s="1" t="n">
        <f aca="false">1/B99</f>
        <v>0.0030016509079994</v>
      </c>
      <c r="D99" s="1" t="n">
        <v>6.701</v>
      </c>
      <c r="E99" s="1" t="n">
        <f aca="false">LN(D99)</f>
        <v>1.90225676899103</v>
      </c>
    </row>
    <row r="100" customFormat="false" ht="15.75" hidden="false" customHeight="false" outlineLevel="0" collapsed="false">
      <c r="A100" s="1" t="s">
        <v>456</v>
      </c>
      <c r="B100" s="1" t="n">
        <v>372.05</v>
      </c>
      <c r="C100" s="1" t="n">
        <f aca="false">1/B100</f>
        <v>0.00268781077812122</v>
      </c>
      <c r="D100" s="1" t="n">
        <v>2.688</v>
      </c>
      <c r="E100" s="1" t="n">
        <f aca="false">LN(D100)</f>
        <v>0.988797422660903</v>
      </c>
    </row>
    <row r="101" customFormat="false" ht="15.75" hidden="false" customHeight="false" outlineLevel="0" collapsed="false">
      <c r="A101" s="1" t="s">
        <v>456</v>
      </c>
      <c r="B101" s="1" t="n">
        <v>388.15</v>
      </c>
      <c r="C101" s="1" t="n">
        <f aca="false">1/B101</f>
        <v>0.00257632358624243</v>
      </c>
      <c r="D101" s="1" t="n">
        <v>2.022</v>
      </c>
      <c r="E101" s="1" t="n">
        <f aca="false">LN(D101)</f>
        <v>0.70408712059828</v>
      </c>
    </row>
    <row r="102" customFormat="false" ht="15.75" hidden="false" customHeight="false" outlineLevel="0" collapsed="false">
      <c r="A102" s="1" t="s">
        <v>458</v>
      </c>
      <c r="B102" s="1" t="n">
        <v>273.15</v>
      </c>
      <c r="C102" s="1" t="n">
        <f aca="false">1/B102</f>
        <v>0.00366099212886692</v>
      </c>
      <c r="D102" s="1" t="n">
        <v>92.05</v>
      </c>
      <c r="E102" s="1" t="n">
        <f aca="false">LN(D102)</f>
        <v>4.52233190767909</v>
      </c>
    </row>
    <row r="103" customFormat="false" ht="15.75" hidden="false" customHeight="false" outlineLevel="0" collapsed="false">
      <c r="A103" s="1" t="s">
        <v>458</v>
      </c>
      <c r="B103" s="1" t="n">
        <v>293.15</v>
      </c>
      <c r="C103" s="1" t="n">
        <f aca="false">1/B103</f>
        <v>0.00341122292341805</v>
      </c>
      <c r="D103" s="1" t="n">
        <v>29.21</v>
      </c>
      <c r="E103" s="1" t="n">
        <f aca="false">LN(D103)</f>
        <v>3.37451111639965</v>
      </c>
    </row>
    <row r="104" customFormat="false" ht="15.75" hidden="false" customHeight="false" outlineLevel="0" collapsed="false">
      <c r="A104" s="1" t="s">
        <v>458</v>
      </c>
      <c r="B104" s="1" t="n">
        <v>310.95</v>
      </c>
      <c r="C104" s="1" t="n">
        <f aca="false">1/B104</f>
        <v>0.00321595111754301</v>
      </c>
      <c r="D104" s="1" t="n">
        <v>13.3</v>
      </c>
      <c r="E104" s="1" t="n">
        <f aca="false">LN(D104)</f>
        <v>2.58776403522771</v>
      </c>
    </row>
    <row r="105" customFormat="false" ht="15.75" hidden="false" customHeight="false" outlineLevel="0" collapsed="false">
      <c r="A105" s="1" t="s">
        <v>458</v>
      </c>
      <c r="B105" s="1" t="n">
        <v>333.15</v>
      </c>
      <c r="C105" s="1" t="n">
        <f aca="false">1/B105</f>
        <v>0.0030016509079994</v>
      </c>
      <c r="D105" s="1" t="n">
        <v>6.287</v>
      </c>
      <c r="E105" s="1" t="n">
        <f aca="false">LN(D105)</f>
        <v>1.83848400940092</v>
      </c>
    </row>
    <row r="106" customFormat="false" ht="15.75" hidden="false" customHeight="false" outlineLevel="0" collapsed="false">
      <c r="A106" s="1" t="s">
        <v>458</v>
      </c>
      <c r="B106" s="1" t="n">
        <v>372.05</v>
      </c>
      <c r="C106" s="1" t="n">
        <f aca="false">1/B106</f>
        <v>0.00268781077812122</v>
      </c>
      <c r="D106" s="1" t="n">
        <v>2.5</v>
      </c>
      <c r="E106" s="1" t="n">
        <f aca="false">LN(D106)</f>
        <v>0.916290731874155</v>
      </c>
    </row>
    <row r="107" customFormat="false" ht="15.75" hidden="false" customHeight="false" outlineLevel="0" collapsed="false">
      <c r="A107" s="1" t="s">
        <v>460</v>
      </c>
      <c r="B107" s="1" t="n">
        <v>273.15</v>
      </c>
      <c r="C107" s="1" t="n">
        <f aca="false">1/B107</f>
        <v>0.00366099212886692</v>
      </c>
      <c r="D107" s="1" t="n">
        <v>61.43</v>
      </c>
      <c r="E107" s="1" t="n">
        <f aca="false">LN(D107)</f>
        <v>4.11789831517584</v>
      </c>
    </row>
    <row r="108" customFormat="false" ht="15.75" hidden="false" customHeight="false" outlineLevel="0" collapsed="false">
      <c r="A108" s="1" t="s">
        <v>460</v>
      </c>
      <c r="B108" s="1" t="n">
        <v>293.15</v>
      </c>
      <c r="C108" s="1" t="n">
        <f aca="false">1/B108</f>
        <v>0.00341122292341805</v>
      </c>
      <c r="D108" s="1" t="n">
        <v>20.81</v>
      </c>
      <c r="E108" s="1" t="n">
        <f aca="false">LN(D108)</f>
        <v>3.03543364040554</v>
      </c>
    </row>
    <row r="109" customFormat="false" ht="15.75" hidden="false" customHeight="false" outlineLevel="0" collapsed="false">
      <c r="A109" s="1" t="s">
        <v>460</v>
      </c>
      <c r="B109" s="1" t="n">
        <v>310.95</v>
      </c>
      <c r="C109" s="1" t="n">
        <f aca="false">1/B109</f>
        <v>0.00321595111754301</v>
      </c>
      <c r="D109" s="1" t="n">
        <v>10.08</v>
      </c>
      <c r="E109" s="1" t="n">
        <f aca="false">LN(D109)</f>
        <v>2.31055326264322</v>
      </c>
    </row>
    <row r="110" customFormat="false" ht="15.75" hidden="false" customHeight="false" outlineLevel="0" collapsed="false">
      <c r="A110" s="1" t="s">
        <v>460</v>
      </c>
      <c r="B110" s="1" t="n">
        <v>333.15</v>
      </c>
      <c r="C110" s="1" t="n">
        <f aca="false">1/B110</f>
        <v>0.0030016509079994</v>
      </c>
      <c r="D110" s="1" t="n">
        <v>5.017</v>
      </c>
      <c r="E110" s="1" t="n">
        <f aca="false">LN(D110)</f>
        <v>1.61283214550212</v>
      </c>
    </row>
    <row r="111" customFormat="false" ht="15.75" hidden="false" customHeight="false" outlineLevel="0" collapsed="false">
      <c r="A111" s="1" t="s">
        <v>460</v>
      </c>
      <c r="B111" s="1" t="n">
        <v>372.05</v>
      </c>
      <c r="C111" s="1" t="n">
        <f aca="false">1/B111</f>
        <v>0.00268781077812122</v>
      </c>
      <c r="D111" s="1" t="n">
        <v>2.158</v>
      </c>
      <c r="E111" s="1" t="n">
        <f aca="false">LN(D111)</f>
        <v>0.769181866835943</v>
      </c>
    </row>
    <row r="112" customFormat="false" ht="15.75" hidden="false" customHeight="false" outlineLevel="0" collapsed="false">
      <c r="A112" s="1" t="s">
        <v>462</v>
      </c>
      <c r="B112" s="1" t="n">
        <v>282.64</v>
      </c>
      <c r="C112" s="1" t="n">
        <f aca="false">1/B112</f>
        <v>0.0035380696292103</v>
      </c>
      <c r="D112" s="1" t="n">
        <v>2.053</v>
      </c>
      <c r="E112" s="1" t="n">
        <f aca="false">LN(D112)</f>
        <v>0.719302138036796</v>
      </c>
    </row>
    <row r="113" customFormat="false" ht="15.75" hidden="false" customHeight="false" outlineLevel="0" collapsed="false">
      <c r="A113" s="1" t="s">
        <v>462</v>
      </c>
      <c r="B113" s="1" t="n">
        <v>293.78</v>
      </c>
      <c r="C113" s="1" t="n">
        <f aca="false">1/B113</f>
        <v>0.00340390768602356</v>
      </c>
      <c r="D113" s="1" t="n">
        <v>1.698</v>
      </c>
      <c r="E113" s="1" t="n">
        <f aca="false">LN(D113)</f>
        <v>0.529451087889156</v>
      </c>
    </row>
    <row r="114" customFormat="false" ht="15.75" hidden="false" customHeight="false" outlineLevel="0" collapsed="false">
      <c r="A114" s="1" t="s">
        <v>462</v>
      </c>
      <c r="B114" s="1" t="n">
        <v>304.36</v>
      </c>
      <c r="C114" s="1" t="n">
        <f aca="false">1/B114</f>
        <v>0.00328558286239979</v>
      </c>
      <c r="D114" s="1" t="n">
        <v>1.445</v>
      </c>
      <c r="E114" s="1" t="n">
        <f aca="false">LN(D114)</f>
        <v>0.368109321564395</v>
      </c>
    </row>
    <row r="115" customFormat="false" ht="15.75" hidden="false" customHeight="false" outlineLevel="0" collapsed="false">
      <c r="A115" s="1" t="s">
        <v>462</v>
      </c>
      <c r="B115" s="1" t="n">
        <v>314.79</v>
      </c>
      <c r="C115" s="1" t="n">
        <f aca="false">1/B115</f>
        <v>0.00317672098859557</v>
      </c>
      <c r="D115" s="1" t="n">
        <v>1.252</v>
      </c>
      <c r="E115" s="1" t="n">
        <f aca="false">LN(D115)</f>
        <v>0.224742272677907</v>
      </c>
    </row>
    <row r="116" customFormat="false" ht="15.75" hidden="false" customHeight="false" outlineLevel="0" collapsed="false">
      <c r="A116" s="1" t="s">
        <v>462</v>
      </c>
      <c r="B116" s="1" t="n">
        <v>324.96</v>
      </c>
      <c r="C116" s="1" t="n">
        <f aca="false">1/B116</f>
        <v>0.00307730182176268</v>
      </c>
      <c r="D116" s="1" t="n">
        <v>1.099</v>
      </c>
      <c r="E116" s="1" t="n">
        <f aca="false">LN(D116)</f>
        <v>0.0944006754214843</v>
      </c>
    </row>
    <row r="117" customFormat="false" ht="15.75" hidden="false" customHeight="false" outlineLevel="0" collapsed="false">
      <c r="A117" s="1" t="s">
        <v>462</v>
      </c>
      <c r="B117" s="1" t="n">
        <v>336.02</v>
      </c>
      <c r="C117" s="1" t="n">
        <f aca="false">1/B117</f>
        <v>0.00297601333253973</v>
      </c>
      <c r="D117" s="1" t="n">
        <v>0.967</v>
      </c>
      <c r="E117" s="1" t="n">
        <f aca="false">LN(D117)</f>
        <v>-0.0335567835288428</v>
      </c>
    </row>
    <row r="118" customFormat="false" ht="15.75" hidden="false" customHeight="false" outlineLevel="0" collapsed="false">
      <c r="A118" s="1" t="s">
        <v>462</v>
      </c>
      <c r="B118" s="1" t="n">
        <v>346.63</v>
      </c>
      <c r="C118" s="1" t="n">
        <f aca="false">1/B118</f>
        <v>0.00288492052043966</v>
      </c>
      <c r="D118" s="1" t="n">
        <v>0.862</v>
      </c>
      <c r="E118" s="1" t="n">
        <f aca="false">LN(D118)</f>
        <v>-0.148500008318444</v>
      </c>
    </row>
    <row r="119" customFormat="false" ht="15.75" hidden="false" customHeight="false" outlineLevel="0" collapsed="false">
      <c r="A119" s="1" t="s">
        <v>462</v>
      </c>
      <c r="B119" s="1" t="n">
        <v>359.12</v>
      </c>
      <c r="C119" s="1" t="n">
        <f aca="false">1/B119</f>
        <v>0.00278458453998663</v>
      </c>
      <c r="D119" s="1" t="n">
        <v>0.762</v>
      </c>
      <c r="E119" s="1" t="n">
        <f aca="false">LN(D119)</f>
        <v>-0.271808723295491</v>
      </c>
    </row>
    <row r="120" customFormat="false" ht="15.75" hidden="false" customHeight="false" outlineLevel="0" collapsed="false">
      <c r="A120" s="1" t="s">
        <v>462</v>
      </c>
      <c r="B120" s="1" t="n">
        <v>368.96</v>
      </c>
      <c r="C120" s="1" t="n">
        <f aca="false">1/B120</f>
        <v>0.0027103209019948</v>
      </c>
      <c r="D120" s="1" t="n">
        <v>0.694</v>
      </c>
      <c r="E120" s="1" t="n">
        <f aca="false">LN(D120)</f>
        <v>-0.365283318475333</v>
      </c>
    </row>
    <row r="121" customFormat="false" ht="15.75" hidden="false" customHeight="false" outlineLevel="0" collapsed="false">
      <c r="A121" s="1" t="s">
        <v>462</v>
      </c>
      <c r="B121" s="1" t="n">
        <v>378.86</v>
      </c>
      <c r="C121" s="1" t="n">
        <f aca="false">1/B121</f>
        <v>0.00263949743968748</v>
      </c>
      <c r="D121" s="1" t="n">
        <v>0.634</v>
      </c>
      <c r="E121" s="1" t="n">
        <f aca="false">LN(D121)</f>
        <v>-0.455706324544911</v>
      </c>
    </row>
    <row r="122" customFormat="false" ht="15.75" hidden="false" customHeight="false" outlineLevel="0" collapsed="false">
      <c r="A122" s="1" t="s">
        <v>462</v>
      </c>
      <c r="B122" s="1" t="n">
        <v>390.16</v>
      </c>
      <c r="C122" s="1" t="n">
        <f aca="false">1/B122</f>
        <v>0.00256305105597703</v>
      </c>
      <c r="D122" s="1" t="n">
        <v>0.577</v>
      </c>
      <c r="E122" s="1" t="n">
        <f aca="false">LN(D122)</f>
        <v>-0.549913012474038</v>
      </c>
    </row>
    <row r="123" customFormat="false" ht="15.75" hidden="false" customHeight="false" outlineLevel="0" collapsed="false">
      <c r="A123" s="1" t="s">
        <v>462</v>
      </c>
      <c r="B123" s="1" t="n">
        <v>399.86</v>
      </c>
      <c r="C123" s="1" t="n">
        <f aca="false">1/B123</f>
        <v>0.00250087530635722</v>
      </c>
      <c r="D123" s="1" t="n">
        <v>0.532</v>
      </c>
      <c r="E123" s="1" t="n">
        <f aca="false">LN(D123)</f>
        <v>-0.631111789640493</v>
      </c>
    </row>
    <row r="124" customFormat="false" ht="15.75" hidden="false" customHeight="false" outlineLevel="0" collapsed="false">
      <c r="A124" s="1" t="s">
        <v>462</v>
      </c>
      <c r="B124" s="1" t="n">
        <v>288.15</v>
      </c>
      <c r="C124" s="1" t="n">
        <f aca="false">1/B124</f>
        <v>0.00347041471455839</v>
      </c>
      <c r="D124" s="1" t="n">
        <v>1.88</v>
      </c>
      <c r="E124" s="1" t="n">
        <f aca="false">LN(D124)</f>
        <v>0.631271776841858</v>
      </c>
    </row>
    <row r="125" customFormat="false" ht="15.75" hidden="false" customHeight="false" outlineLevel="0" collapsed="false">
      <c r="A125" s="1" t="s">
        <v>462</v>
      </c>
      <c r="B125" s="1" t="n">
        <v>303.15</v>
      </c>
      <c r="C125" s="1" t="n">
        <f aca="false">1/B125</f>
        <v>0.0032986970146792</v>
      </c>
      <c r="D125" s="1" t="n">
        <v>1.49</v>
      </c>
      <c r="E125" s="1" t="n">
        <f aca="false">LN(D125)</f>
        <v>0.398776119957368</v>
      </c>
    </row>
    <row r="126" customFormat="false" ht="15.75" hidden="false" customHeight="false" outlineLevel="0" collapsed="false">
      <c r="A126" s="1" t="s">
        <v>462</v>
      </c>
      <c r="B126" s="1" t="n">
        <v>340.45</v>
      </c>
      <c r="C126" s="1" t="n">
        <f aca="false">1/B126</f>
        <v>0.00293728888236158</v>
      </c>
      <c r="D126" s="1" t="n">
        <v>0.922</v>
      </c>
      <c r="E126" s="1" t="n">
        <f aca="false">LN(D126)</f>
        <v>-0.0812100554255432</v>
      </c>
    </row>
    <row r="127" customFormat="false" ht="15.75" hidden="false" customHeight="false" outlineLevel="0" collapsed="false">
      <c r="A127" s="1" t="s">
        <v>462</v>
      </c>
      <c r="B127" s="1" t="n">
        <v>355.35</v>
      </c>
      <c r="C127" s="1" t="n">
        <f aca="false">1/B127</f>
        <v>0.00281412691712396</v>
      </c>
      <c r="D127" s="1" t="n">
        <v>0.75</v>
      </c>
      <c r="E127" s="1" t="n">
        <f aca="false">LN(D127)</f>
        <v>-0.287682072451781</v>
      </c>
    </row>
    <row r="128" customFormat="false" ht="15.75" hidden="false" customHeight="false" outlineLevel="0" collapsed="false">
      <c r="A128" s="1" t="s">
        <v>462</v>
      </c>
      <c r="B128" s="1" t="n">
        <v>372.15</v>
      </c>
      <c r="C128" s="1" t="n">
        <f aca="false">1/B128</f>
        <v>0.00268708853956738</v>
      </c>
      <c r="D128" s="1" t="n">
        <v>0.648</v>
      </c>
      <c r="E128" s="1" t="n">
        <f aca="false">LN(D128)</f>
        <v>-0.433864582629862</v>
      </c>
    </row>
    <row r="129" customFormat="false" ht="15.75" hidden="false" customHeight="false" outlineLevel="0" collapsed="false">
      <c r="A129" s="1" t="s">
        <v>464</v>
      </c>
      <c r="B129" s="1" t="n">
        <v>274.01</v>
      </c>
      <c r="C129" s="1" t="n">
        <f aca="false">1/B129</f>
        <v>0.00364950184299843</v>
      </c>
      <c r="D129" s="1" t="n">
        <v>1.217</v>
      </c>
      <c r="E129" s="1" t="n">
        <f aca="false">LN(D129)</f>
        <v>0.19638881400539</v>
      </c>
    </row>
    <row r="130" customFormat="false" ht="15.75" hidden="false" customHeight="false" outlineLevel="0" collapsed="false">
      <c r="A130" s="1" t="s">
        <v>464</v>
      </c>
      <c r="B130" s="1" t="n">
        <v>284.1</v>
      </c>
      <c r="C130" s="1" t="n">
        <f aca="false">1/B130</f>
        <v>0.00351988736360436</v>
      </c>
      <c r="D130" s="1" t="n">
        <v>1.07</v>
      </c>
      <c r="E130" s="1" t="n">
        <f aca="false">LN(D130)</f>
        <v>0.0676586484738149</v>
      </c>
    </row>
    <row r="131" customFormat="false" ht="15.75" hidden="false" customHeight="false" outlineLevel="0" collapsed="false">
      <c r="A131" s="1" t="s">
        <v>464</v>
      </c>
      <c r="B131" s="1" t="n">
        <v>303.29</v>
      </c>
      <c r="C131" s="1" t="n">
        <f aca="false">1/B131</f>
        <v>0.00329717432160638</v>
      </c>
      <c r="D131" s="1" t="n">
        <v>0.859</v>
      </c>
      <c r="E131" s="1" t="n">
        <f aca="false">LN(D131)</f>
        <v>-0.151986356997882</v>
      </c>
    </row>
    <row r="132" customFormat="false" ht="15.75" hidden="false" customHeight="false" outlineLevel="0" collapsed="false">
      <c r="A132" s="1" t="s">
        <v>464</v>
      </c>
      <c r="B132" s="1" t="n">
        <v>312.64</v>
      </c>
      <c r="C132" s="1" t="n">
        <f aca="false">1/B132</f>
        <v>0.0031985670419652</v>
      </c>
      <c r="D132" s="1" t="n">
        <v>0.782</v>
      </c>
      <c r="E132" s="1" t="n">
        <f aca="false">LN(D132)</f>
        <v>-0.245900538436826</v>
      </c>
    </row>
    <row r="133" customFormat="false" ht="15.75" hidden="false" customHeight="false" outlineLevel="0" collapsed="false">
      <c r="A133" s="1" t="s">
        <v>464</v>
      </c>
      <c r="B133" s="1" t="n">
        <v>320.95</v>
      </c>
      <c r="C133" s="1" t="n">
        <f aca="false">1/B133</f>
        <v>0.00311575011684063</v>
      </c>
      <c r="D133" s="1" t="n">
        <v>0.722</v>
      </c>
      <c r="E133" s="1" t="n">
        <f aca="false">LN(D133)</f>
        <v>-0.325730140089311</v>
      </c>
    </row>
    <row r="134" customFormat="false" ht="15.75" hidden="false" customHeight="false" outlineLevel="0" collapsed="false">
      <c r="A134" s="1" t="s">
        <v>464</v>
      </c>
      <c r="B134" s="1" t="n">
        <v>340.34</v>
      </c>
      <c r="C134" s="1" t="n">
        <f aca="false">1/B134</f>
        <v>0.00293823823235588</v>
      </c>
      <c r="D134" s="1" t="n">
        <v>0.61</v>
      </c>
      <c r="E134" s="1" t="n">
        <f aca="false">LN(D134)</f>
        <v>-0.49429632181478</v>
      </c>
    </row>
    <row r="135" customFormat="false" ht="15.75" hidden="false" customHeight="false" outlineLevel="0" collapsed="false">
      <c r="A135" s="1" t="s">
        <v>464</v>
      </c>
      <c r="B135" s="1" t="n">
        <v>349.87</v>
      </c>
      <c r="C135" s="1" t="n">
        <f aca="false">1/B135</f>
        <v>0.00285820447594821</v>
      </c>
      <c r="D135" s="1" t="n">
        <v>0.565</v>
      </c>
      <c r="E135" s="1" t="n">
        <f aca="false">LN(D135)</f>
        <v>-0.570929547835696</v>
      </c>
    </row>
    <row r="136" customFormat="false" ht="15.75" hidden="false" customHeight="false" outlineLevel="0" collapsed="false">
      <c r="A136" s="1" t="s">
        <v>464</v>
      </c>
      <c r="B136" s="1" t="n">
        <v>359.1</v>
      </c>
      <c r="C136" s="1" t="n">
        <f aca="false">1/B136</f>
        <v>0.00278473962684489</v>
      </c>
      <c r="D136" s="1" t="n">
        <v>0.525</v>
      </c>
      <c r="E136" s="1" t="n">
        <f aca="false">LN(D136)</f>
        <v>-0.644357016390513</v>
      </c>
    </row>
    <row r="137" customFormat="false" ht="15.75" hidden="false" customHeight="false" outlineLevel="0" collapsed="false">
      <c r="A137" s="1" t="s">
        <v>464</v>
      </c>
      <c r="B137" s="1" t="n">
        <v>378.87</v>
      </c>
      <c r="C137" s="1" t="n">
        <f aca="false">1/B137</f>
        <v>0.00263942777205902</v>
      </c>
      <c r="D137" s="1" t="n">
        <v>0.454</v>
      </c>
      <c r="E137" s="1" t="n">
        <f aca="false">LN(D137)</f>
        <v>-0.789658080940789</v>
      </c>
    </row>
    <row r="138" customFormat="false" ht="15.75" hidden="false" customHeight="false" outlineLevel="0" collapsed="false">
      <c r="A138" s="1" t="s">
        <v>464</v>
      </c>
      <c r="B138" s="1" t="n">
        <v>293.08</v>
      </c>
      <c r="C138" s="1" t="n">
        <f aca="false">1/B138</f>
        <v>0.00341203766889586</v>
      </c>
      <c r="D138" s="1" t="n">
        <v>0.96</v>
      </c>
      <c r="E138" s="1" t="n">
        <f aca="false">LN(D138)</f>
        <v>-0.0408219945202552</v>
      </c>
    </row>
    <row r="139" customFormat="false" ht="15.75" hidden="false" customHeight="false" outlineLevel="0" collapsed="false">
      <c r="A139" s="1" t="s">
        <v>464</v>
      </c>
      <c r="B139" s="1" t="n">
        <v>331.11</v>
      </c>
      <c r="C139" s="1" t="n">
        <f aca="false">1/B139</f>
        <v>0.00302014436290055</v>
      </c>
      <c r="D139" s="1" t="n">
        <v>0.659</v>
      </c>
      <c r="E139" s="1" t="n">
        <f aca="false">LN(D139)</f>
        <v>-0.41703174447963</v>
      </c>
    </row>
    <row r="140" customFormat="false" ht="15.75" hidden="false" customHeight="false" outlineLevel="0" collapsed="false">
      <c r="A140" s="1" t="s">
        <v>464</v>
      </c>
      <c r="B140" s="1" t="n">
        <v>370.25</v>
      </c>
      <c r="C140" s="1" t="n">
        <f aca="false">1/B140</f>
        <v>0.00270087778528022</v>
      </c>
      <c r="D140" s="1" t="n">
        <v>0.483</v>
      </c>
      <c r="E140" s="1" t="n">
        <f aca="false">LN(D140)</f>
        <v>-0.727738625329564</v>
      </c>
    </row>
    <row r="141" customFormat="false" ht="15.75" hidden="false" customHeight="false" outlineLevel="0" collapsed="false">
      <c r="A141" s="1" t="s">
        <v>466</v>
      </c>
      <c r="B141" s="1" t="n">
        <v>273.54</v>
      </c>
      <c r="C141" s="1" t="n">
        <f aca="false">1/B141</f>
        <v>0.0036557724647218</v>
      </c>
      <c r="D141" s="1" t="n">
        <v>3.2903</v>
      </c>
      <c r="E141" s="1" t="n">
        <f aca="false">LN(D141)</f>
        <v>1.19097874603048</v>
      </c>
    </row>
    <row r="142" customFormat="false" ht="15.75" hidden="false" customHeight="false" outlineLevel="0" collapsed="false">
      <c r="A142" s="1" t="s">
        <v>466</v>
      </c>
      <c r="B142" s="1" t="n">
        <v>286.82</v>
      </c>
      <c r="C142" s="1" t="n">
        <f aca="false">1/B142</f>
        <v>0.00348650721706994</v>
      </c>
      <c r="D142" s="1" t="n">
        <v>2.4558</v>
      </c>
      <c r="E142" s="1" t="n">
        <f aca="false">LN(D142)</f>
        <v>0.898452573744275</v>
      </c>
    </row>
    <row r="143" customFormat="false" ht="15.75" hidden="false" customHeight="false" outlineLevel="0" collapsed="false">
      <c r="A143" s="1" t="s">
        <v>466</v>
      </c>
      <c r="B143" s="1" t="n">
        <v>303.95</v>
      </c>
      <c r="C143" s="1" t="n">
        <f aca="false">1/B143</f>
        <v>0.00329001480506662</v>
      </c>
      <c r="D143" s="1" t="n">
        <v>1.5278</v>
      </c>
      <c r="E143" s="1" t="n">
        <f aca="false">LN(D143)</f>
        <v>0.423828792125122</v>
      </c>
    </row>
    <row r="144" customFormat="false" ht="15.75" hidden="false" customHeight="false" outlineLevel="0" collapsed="false">
      <c r="A144" s="1" t="s">
        <v>466</v>
      </c>
      <c r="B144" s="1" t="n">
        <v>326.33</v>
      </c>
      <c r="C144" s="1" t="n">
        <f aca="false">1/B144</f>
        <v>0.00306438268010909</v>
      </c>
      <c r="D144" s="1" t="n">
        <v>1.2741</v>
      </c>
      <c r="E144" s="1" t="n">
        <f aca="false">LN(D144)</f>
        <v>0.242240047005198</v>
      </c>
    </row>
    <row r="145" customFormat="false" ht="15.75" hidden="false" customHeight="false" outlineLevel="0" collapsed="false">
      <c r="A145" s="1" t="s">
        <v>466</v>
      </c>
      <c r="B145" s="1" t="n">
        <v>340.06</v>
      </c>
      <c r="C145" s="1" t="n">
        <f aca="false">1/B145</f>
        <v>0.00294065753102394</v>
      </c>
      <c r="D145" s="1" t="n">
        <v>1.0648</v>
      </c>
      <c r="E145" s="1" t="n">
        <f aca="false">LN(D145)</f>
        <v>0.0627869880987648</v>
      </c>
    </row>
    <row r="146" customFormat="false" ht="15.75" hidden="false" customHeight="false" outlineLevel="0" collapsed="false">
      <c r="A146" s="1" t="s">
        <v>466</v>
      </c>
      <c r="B146" s="1" t="n">
        <v>366.78</v>
      </c>
      <c r="C146" s="1" t="n">
        <f aca="false">1/B146</f>
        <v>0.00272643001254158</v>
      </c>
      <c r="D146" s="1" t="n">
        <v>0.7815</v>
      </c>
      <c r="E146" s="1" t="n">
        <f aca="false">LN(D146)</f>
        <v>-0.246540129120606</v>
      </c>
    </row>
    <row r="147" customFormat="false" ht="15.75" hidden="false" customHeight="false" outlineLevel="0" collapsed="false">
      <c r="A147" s="1" t="s">
        <v>466</v>
      </c>
      <c r="B147" s="1" t="n">
        <v>380.3</v>
      </c>
      <c r="C147" s="1" t="n">
        <f aca="false">1/B147</f>
        <v>0.00262950302392848</v>
      </c>
      <c r="D147" s="1" t="n">
        <v>0.6808</v>
      </c>
      <c r="E147" s="1" t="n">
        <f aca="false">LN(D147)</f>
        <v>-0.384486701722973</v>
      </c>
    </row>
    <row r="148" customFormat="false" ht="15.75" hidden="false" customHeight="false" outlineLevel="0" collapsed="false">
      <c r="A148" s="1" t="s">
        <v>466</v>
      </c>
      <c r="B148" s="1" t="n">
        <v>394.89</v>
      </c>
      <c r="C148" s="1" t="n">
        <f aca="false">1/B148</f>
        <v>0.00253235078123022</v>
      </c>
      <c r="D148" s="1" t="n">
        <v>0.5928</v>
      </c>
      <c r="E148" s="1" t="n">
        <f aca="false">LN(D148)</f>
        <v>-0.52289820500026</v>
      </c>
    </row>
    <row r="149" customFormat="false" ht="15.75" hidden="false" customHeight="false" outlineLevel="0" collapsed="false">
      <c r="A149" s="1" t="s">
        <v>466</v>
      </c>
      <c r="B149" s="1" t="n">
        <v>415.59</v>
      </c>
      <c r="C149" s="1" t="n">
        <f aca="false">1/B149</f>
        <v>0.00240621766645011</v>
      </c>
      <c r="D149" s="1" t="n">
        <v>0.4941</v>
      </c>
      <c r="E149" s="1" t="n">
        <f aca="false">LN(D149)</f>
        <v>-0.705017353130433</v>
      </c>
    </row>
    <row r="150" customFormat="false" ht="15.75" hidden="false" customHeight="false" outlineLevel="0" collapsed="false">
      <c r="A150" s="1" t="s">
        <v>466</v>
      </c>
      <c r="B150" s="1" t="n">
        <v>300.09</v>
      </c>
      <c r="C150" s="1" t="n">
        <f aca="false">1/B150</f>
        <v>0.00333233363324336</v>
      </c>
      <c r="D150" s="1" t="n">
        <v>1.9163</v>
      </c>
      <c r="E150" s="1" t="n">
        <f aca="false">LN(D150)</f>
        <v>0.650396243492312</v>
      </c>
    </row>
    <row r="151" customFormat="false" ht="15.75" hidden="false" customHeight="false" outlineLevel="0" collapsed="false">
      <c r="A151" s="1" t="s">
        <v>466</v>
      </c>
      <c r="B151" s="1" t="n">
        <v>353.75</v>
      </c>
      <c r="C151" s="1" t="n">
        <f aca="false">1/B151</f>
        <v>0.00282685512367491</v>
      </c>
      <c r="D151" s="1" t="n">
        <v>0.903</v>
      </c>
      <c r="E151" s="1" t="n">
        <f aca="false">LN(D151)</f>
        <v>-0.102032725565152</v>
      </c>
    </row>
    <row r="152" customFormat="false" ht="15.75" hidden="false" customHeight="false" outlineLevel="0" collapsed="false">
      <c r="A152" s="1" t="s">
        <v>466</v>
      </c>
      <c r="B152" s="1" t="n">
        <v>406.91</v>
      </c>
      <c r="C152" s="1" t="n">
        <f aca="false">1/B152</f>
        <v>0.00245754589466958</v>
      </c>
      <c r="D152" s="1" t="n">
        <v>0.5322</v>
      </c>
      <c r="E152" s="1" t="n">
        <f aca="false">LN(D152)</f>
        <v>-0.630735920438548</v>
      </c>
    </row>
    <row r="153" customFormat="false" ht="15.75" hidden="false" customHeight="false" outlineLevel="0" collapsed="false">
      <c r="A153" s="1" t="s">
        <v>468</v>
      </c>
      <c r="B153" s="1" t="n">
        <v>296.45</v>
      </c>
      <c r="C153" s="1" t="n">
        <f aca="false">1/B153</f>
        <v>0.00337325012649688</v>
      </c>
      <c r="D153" s="1" t="n">
        <v>1.319</v>
      </c>
      <c r="E153" s="1" t="n">
        <f aca="false">LN(D153)</f>
        <v>0.276873873735177</v>
      </c>
    </row>
    <row r="154" customFormat="false" ht="15.75" hidden="false" customHeight="false" outlineLevel="0" collapsed="false">
      <c r="A154" s="1" t="s">
        <v>468</v>
      </c>
      <c r="B154" s="1" t="n">
        <v>317.65</v>
      </c>
      <c r="C154" s="1" t="n">
        <f aca="false">1/B154</f>
        <v>0.00314811899889816</v>
      </c>
      <c r="D154" s="1" t="n">
        <v>0.994</v>
      </c>
      <c r="E154" s="1" t="n">
        <f aca="false">LN(D154)</f>
        <v>-0.00601807232556302</v>
      </c>
    </row>
    <row r="155" customFormat="false" ht="15.75" hidden="false" customHeight="false" outlineLevel="0" collapsed="false">
      <c r="A155" s="1" t="s">
        <v>468</v>
      </c>
      <c r="B155" s="1" t="n">
        <v>339.1</v>
      </c>
      <c r="C155" s="1" t="n">
        <f aca="false">1/B155</f>
        <v>0.00294898260100265</v>
      </c>
      <c r="D155" s="1" t="n">
        <v>0.783</v>
      </c>
      <c r="E155" s="1" t="n">
        <f aca="false">LN(D155)</f>
        <v>-0.244622582991334</v>
      </c>
    </row>
    <row r="156" customFormat="false" ht="15.75" hidden="false" customHeight="false" outlineLevel="0" collapsed="false">
      <c r="A156" s="1" t="s">
        <v>468</v>
      </c>
      <c r="B156" s="1" t="n">
        <v>357.65</v>
      </c>
      <c r="C156" s="1" t="n">
        <f aca="false">1/B156</f>
        <v>0.00279602963791416</v>
      </c>
      <c r="D156" s="1" t="n">
        <v>0.6517</v>
      </c>
      <c r="E156" s="1" t="n">
        <f aca="false">LN(D156)</f>
        <v>-0.428170945643802</v>
      </c>
    </row>
    <row r="157" customFormat="false" ht="15.75" hidden="false" customHeight="false" outlineLevel="0" collapsed="false">
      <c r="A157" s="1" t="s">
        <v>468</v>
      </c>
      <c r="B157" s="1" t="n">
        <v>378.15</v>
      </c>
      <c r="C157" s="1" t="n">
        <f aca="false">1/B157</f>
        <v>0.00264445325928864</v>
      </c>
      <c r="D157" s="1" t="n">
        <v>0.5444</v>
      </c>
      <c r="E157" s="1" t="n">
        <f aca="false">LN(D157)</f>
        <v>-0.608071008204826</v>
      </c>
    </row>
    <row r="158" customFormat="false" ht="15.75" hidden="false" customHeight="false" outlineLevel="0" collapsed="false">
      <c r="A158" s="1" t="s">
        <v>468</v>
      </c>
      <c r="B158" s="1" t="n">
        <v>393.15</v>
      </c>
      <c r="C158" s="1" t="n">
        <f aca="false">1/B158</f>
        <v>0.00254355843825512</v>
      </c>
      <c r="D158" s="1" t="n">
        <v>0.4826</v>
      </c>
      <c r="E158" s="1" t="n">
        <f aca="false">LN(D158)</f>
        <v>-0.728567125791206</v>
      </c>
    </row>
    <row r="159" customFormat="false" ht="15.75" hidden="false" customHeight="false" outlineLevel="0" collapsed="false">
      <c r="A159" s="1" t="s">
        <v>468</v>
      </c>
      <c r="B159" s="1" t="n">
        <v>397.95</v>
      </c>
      <c r="C159" s="1" t="n">
        <f aca="false">1/B159</f>
        <v>0.00251287850232441</v>
      </c>
      <c r="D159" s="1" t="n">
        <v>0.466</v>
      </c>
      <c r="E159" s="1" t="n">
        <f aca="false">LN(D159)</f>
        <v>-0.763569644856491</v>
      </c>
    </row>
    <row r="160" customFormat="false" ht="15.75" hidden="false" customHeight="false" outlineLevel="0" collapsed="false">
      <c r="A160" s="1" t="s">
        <v>468</v>
      </c>
      <c r="B160" s="1" t="n">
        <v>417.35</v>
      </c>
      <c r="C160" s="1" t="n">
        <f aca="false">1/B160</f>
        <v>0.00239607044447107</v>
      </c>
      <c r="D160" s="1" t="n">
        <v>0.4036</v>
      </c>
      <c r="E160" s="1" t="n">
        <f aca="false">LN(D160)</f>
        <v>-0.907330990502683</v>
      </c>
    </row>
    <row r="161" customFormat="false" ht="15.75" hidden="false" customHeight="false" outlineLevel="0" collapsed="false">
      <c r="A161" s="1" t="s">
        <v>468</v>
      </c>
      <c r="B161" s="1" t="n">
        <v>427.15</v>
      </c>
      <c r="C161" s="1" t="n">
        <f aca="false">1/B161</f>
        <v>0.00234109797495025</v>
      </c>
      <c r="D161" s="1" t="n">
        <v>0.3787</v>
      </c>
      <c r="E161" s="1" t="n">
        <f aca="false">LN(D161)</f>
        <v>-0.971010944074388</v>
      </c>
    </row>
    <row r="162" customFormat="false" ht="15.75" hidden="false" customHeight="false" outlineLevel="0" collapsed="false">
      <c r="A162" s="1" t="s">
        <v>468</v>
      </c>
      <c r="B162" s="1" t="n">
        <v>436.25</v>
      </c>
      <c r="C162" s="1" t="n">
        <f aca="false">1/B162</f>
        <v>0.00229226361031519</v>
      </c>
      <c r="D162" s="1" t="n">
        <v>0.3577</v>
      </c>
      <c r="E162" s="1" t="n">
        <f aca="false">LN(D162)</f>
        <v>-1.02806063271716</v>
      </c>
    </row>
    <row r="163" customFormat="false" ht="15.75" hidden="false" customHeight="false" outlineLevel="0" collapsed="false">
      <c r="A163" s="1" t="s">
        <v>468</v>
      </c>
      <c r="B163" s="1" t="n">
        <v>451.75</v>
      </c>
      <c r="C163" s="1" t="n">
        <f aca="false">1/B163</f>
        <v>0.00221361372440509</v>
      </c>
      <c r="D163" s="1" t="n">
        <v>0.3257</v>
      </c>
      <c r="E163" s="1" t="n">
        <f aca="false">LN(D163)</f>
        <v>-1.12177856669995</v>
      </c>
    </row>
    <row r="164" customFormat="false" ht="15.75" hidden="false" customHeight="false" outlineLevel="0" collapsed="false">
      <c r="A164" s="1" t="s">
        <v>470</v>
      </c>
      <c r="B164" s="1" t="n">
        <v>273.46</v>
      </c>
      <c r="C164" s="1" t="n">
        <f aca="false">1/B164</f>
        <v>0.00365684195129087</v>
      </c>
      <c r="D164" s="1" t="n">
        <v>1.1211</v>
      </c>
      <c r="E164" s="1" t="n">
        <f aca="false">LN(D164)</f>
        <v>0.114310346177411</v>
      </c>
    </row>
    <row r="165" customFormat="false" ht="15.75" hidden="false" customHeight="false" outlineLevel="0" collapsed="false">
      <c r="A165" s="1" t="s">
        <v>470</v>
      </c>
      <c r="B165" s="1" t="n">
        <v>280.38</v>
      </c>
      <c r="C165" s="1" t="n">
        <f aca="false">1/B165</f>
        <v>0.00356658820172623</v>
      </c>
      <c r="D165" s="1" t="n">
        <v>1.0021</v>
      </c>
      <c r="E165" s="1" t="n">
        <f aca="false">LN(D165)</f>
        <v>0.00209779808214612</v>
      </c>
    </row>
    <row r="166" customFormat="false" ht="15.75" hidden="false" customHeight="false" outlineLevel="0" collapsed="false">
      <c r="A166" s="1" t="s">
        <v>470</v>
      </c>
      <c r="B166" s="1" t="n">
        <v>287.88</v>
      </c>
      <c r="C166" s="1" t="n">
        <f aca="false">1/B166</f>
        <v>0.00347366958454912</v>
      </c>
      <c r="D166" s="1" t="n">
        <v>0.8961</v>
      </c>
      <c r="E166" s="1" t="n">
        <f aca="false">LN(D166)</f>
        <v>-0.109703265091963</v>
      </c>
    </row>
    <row r="167" customFormat="false" ht="15.75" hidden="false" customHeight="false" outlineLevel="0" collapsed="false">
      <c r="A167" s="1" t="s">
        <v>470</v>
      </c>
      <c r="B167" s="1" t="n">
        <v>294.99</v>
      </c>
      <c r="C167" s="1" t="n">
        <f aca="false">1/B167</f>
        <v>0.00338994542187871</v>
      </c>
      <c r="D167" s="1" t="n">
        <v>0.8129</v>
      </c>
      <c r="E167" s="1" t="n">
        <f aca="false">LN(D167)</f>
        <v>-0.20714717822961</v>
      </c>
    </row>
    <row r="168" customFormat="false" ht="15.75" hidden="false" customHeight="false" outlineLevel="0" collapsed="false">
      <c r="A168" s="1" t="s">
        <v>470</v>
      </c>
      <c r="B168" s="1" t="n">
        <v>301.93</v>
      </c>
      <c r="C168" s="1" t="n">
        <f aca="false">1/B168</f>
        <v>0.00331202596628358</v>
      </c>
      <c r="D168" s="1" t="n">
        <v>0.7417</v>
      </c>
      <c r="E168" s="1" t="n">
        <f aca="false">LN(D168)</f>
        <v>-0.298810430239625</v>
      </c>
    </row>
    <row r="169" customFormat="false" ht="15.75" hidden="false" customHeight="false" outlineLevel="0" collapsed="false">
      <c r="A169" s="1" t="s">
        <v>470</v>
      </c>
      <c r="B169" s="1" t="n">
        <v>310.03</v>
      </c>
      <c r="C169" s="1" t="n">
        <f aca="false">1/B169</f>
        <v>0.00322549430700255</v>
      </c>
      <c r="D169" s="1" t="n">
        <v>0.6695</v>
      </c>
      <c r="E169" s="1" t="n">
        <f aca="false">LN(D169)</f>
        <v>-0.40122411385091</v>
      </c>
    </row>
    <row r="170" customFormat="false" ht="15.75" hidden="false" customHeight="false" outlineLevel="0" collapsed="false">
      <c r="A170" s="1" t="s">
        <v>470</v>
      </c>
      <c r="B170" s="1" t="n">
        <v>317.04</v>
      </c>
      <c r="C170" s="1" t="n">
        <f aca="false">1/B170</f>
        <v>0.00315417612919505</v>
      </c>
      <c r="D170" s="1" t="n">
        <v>0.6166</v>
      </c>
      <c r="E170" s="1" t="n">
        <f aca="false">LN(D170)</f>
        <v>-0.483534763530087</v>
      </c>
    </row>
    <row r="171" customFormat="false" ht="15.75" hidden="false" customHeight="false" outlineLevel="0" collapsed="false">
      <c r="A171" s="1" t="s">
        <v>470</v>
      </c>
      <c r="B171" s="1" t="n">
        <v>324.89</v>
      </c>
      <c r="C171" s="1" t="n">
        <f aca="false">1/B171</f>
        <v>0.00307796484964142</v>
      </c>
      <c r="D171" s="1" t="n">
        <v>0.5668</v>
      </c>
      <c r="E171" s="1" t="n">
        <f aca="false">LN(D171)</f>
        <v>-0.567748771165612</v>
      </c>
    </row>
    <row r="172" customFormat="false" ht="15.75" hidden="false" customHeight="false" outlineLevel="0" collapsed="false">
      <c r="A172" s="1" t="s">
        <v>470</v>
      </c>
      <c r="B172" s="1" t="n">
        <v>331.98</v>
      </c>
      <c r="C172" s="1" t="n">
        <f aca="false">1/B172</f>
        <v>0.0030122296523887</v>
      </c>
      <c r="D172" s="1" t="n">
        <v>0.5239</v>
      </c>
      <c r="E172" s="1" t="n">
        <f aca="false">LN(D172)</f>
        <v>-0.646454452567963</v>
      </c>
    </row>
    <row r="173" customFormat="false" ht="15.75" hidden="false" customHeight="false" outlineLevel="0" collapsed="false">
      <c r="A173" s="1" t="s">
        <v>470</v>
      </c>
      <c r="B173" s="1" t="n">
        <v>338.68</v>
      </c>
      <c r="C173" s="1" t="n">
        <f aca="false">1/B173</f>
        <v>0.00295263965985591</v>
      </c>
      <c r="D173" s="1" t="n">
        <v>0.4912</v>
      </c>
      <c r="E173" s="1" t="n">
        <f aca="false">LN(D173)</f>
        <v>-0.710903902149204</v>
      </c>
    </row>
    <row r="174" customFormat="false" ht="15.75" hidden="false" customHeight="false" outlineLevel="0" collapsed="false">
      <c r="A174" s="1" t="s">
        <v>470</v>
      </c>
      <c r="B174" s="1" t="n">
        <v>346.1</v>
      </c>
      <c r="C174" s="1" t="n">
        <f aca="false">1/B174</f>
        <v>0.00288933834151979</v>
      </c>
      <c r="D174" s="1" t="n">
        <v>0.4558</v>
      </c>
      <c r="E174" s="1" t="n">
        <f aca="false">LN(D174)</f>
        <v>-0.785701162170553</v>
      </c>
    </row>
    <row r="175" customFormat="false" ht="15.75" hidden="false" customHeight="false" outlineLevel="0" collapsed="false">
      <c r="A175" s="1" t="s">
        <v>470</v>
      </c>
      <c r="B175" s="1" t="n">
        <v>354.22</v>
      </c>
      <c r="C175" s="1" t="n">
        <f aca="false">1/B175</f>
        <v>0.0028231042854723</v>
      </c>
      <c r="D175" s="1" t="n">
        <v>0.4217</v>
      </c>
      <c r="E175" s="1" t="n">
        <f aca="false">LN(D175)</f>
        <v>-0.863461118229623</v>
      </c>
    </row>
    <row r="176" customFormat="false" ht="15.75" hidden="false" customHeight="false" outlineLevel="0" collapsed="false">
      <c r="A176" s="1" t="s">
        <v>472</v>
      </c>
      <c r="B176" s="1" t="n">
        <v>209</v>
      </c>
      <c r="C176" s="1" t="n">
        <f aca="false">1/B176</f>
        <v>0.00478468899521531</v>
      </c>
      <c r="D176" s="1" t="n">
        <v>1.365</v>
      </c>
      <c r="E176" s="1" t="n">
        <f aca="false">LN(D176)</f>
        <v>0.311154428636923</v>
      </c>
    </row>
    <row r="177" customFormat="false" ht="15.75" hidden="false" customHeight="false" outlineLevel="0" collapsed="false">
      <c r="A177" s="1" t="s">
        <v>472</v>
      </c>
      <c r="B177" s="1" t="n">
        <v>213</v>
      </c>
      <c r="C177" s="1" t="n">
        <f aca="false">1/B177</f>
        <v>0.00469483568075117</v>
      </c>
      <c r="D177" s="1" t="n">
        <v>1.256</v>
      </c>
      <c r="E177" s="1" t="n">
        <f aca="false">LN(D177)</f>
        <v>0.227932068046007</v>
      </c>
    </row>
    <row r="178" customFormat="false" ht="15.75" hidden="false" customHeight="false" outlineLevel="0" collapsed="false">
      <c r="A178" s="1" t="s">
        <v>472</v>
      </c>
      <c r="B178" s="1" t="n">
        <v>217</v>
      </c>
      <c r="C178" s="1" t="n">
        <f aca="false">1/B178</f>
        <v>0.00460829493087558</v>
      </c>
      <c r="D178" s="1" t="n">
        <v>1.161</v>
      </c>
      <c r="E178" s="1" t="n">
        <f aca="false">LN(D178)</f>
        <v>0.149281702715754</v>
      </c>
    </row>
    <row r="179" customFormat="false" ht="15.75" hidden="false" customHeight="false" outlineLevel="0" collapsed="false">
      <c r="A179" s="1" t="s">
        <v>472</v>
      </c>
      <c r="B179" s="1" t="n">
        <v>221</v>
      </c>
      <c r="C179" s="1" t="n">
        <f aca="false">1/B179</f>
        <v>0.00452488687782805</v>
      </c>
      <c r="D179" s="1" t="n">
        <v>1.074</v>
      </c>
      <c r="E179" s="1" t="n">
        <f aca="false">LN(D179)</f>
        <v>0.071389996086673</v>
      </c>
    </row>
    <row r="180" customFormat="false" ht="15.75" hidden="false" customHeight="false" outlineLevel="0" collapsed="false">
      <c r="A180" s="1" t="s">
        <v>472</v>
      </c>
      <c r="B180" s="1" t="n">
        <v>229</v>
      </c>
      <c r="C180" s="1" t="n">
        <f aca="false">1/B180</f>
        <v>0.00436681222707424</v>
      </c>
      <c r="D180" s="1" t="n">
        <v>0.927</v>
      </c>
      <c r="E180" s="1" t="n">
        <f aca="false">LN(D180)</f>
        <v>-0.0758017134162818</v>
      </c>
    </row>
    <row r="181" customFormat="false" ht="15.75" hidden="false" customHeight="false" outlineLevel="0" collapsed="false">
      <c r="A181" s="1" t="s">
        <v>472</v>
      </c>
      <c r="B181" s="1" t="n">
        <v>237</v>
      </c>
      <c r="C181" s="1" t="n">
        <f aca="false">1/B181</f>
        <v>0.00421940928270042</v>
      </c>
      <c r="D181" s="1" t="n">
        <v>0.809</v>
      </c>
      <c r="E181" s="1" t="n">
        <f aca="false">LN(D181)</f>
        <v>-0.211956361923645</v>
      </c>
    </row>
    <row r="182" customFormat="false" ht="15.75" hidden="false" customHeight="false" outlineLevel="0" collapsed="false">
      <c r="A182" s="1" t="s">
        <v>472</v>
      </c>
      <c r="B182" s="1" t="n">
        <v>241</v>
      </c>
      <c r="C182" s="1" t="n">
        <f aca="false">1/B182</f>
        <v>0.004149377593361</v>
      </c>
      <c r="D182" s="1" t="n">
        <v>0.759</v>
      </c>
      <c r="E182" s="1" t="n">
        <f aca="false">LN(D182)</f>
        <v>-0.275753501586507</v>
      </c>
    </row>
    <row r="183" customFormat="false" ht="15.75" hidden="false" customHeight="false" outlineLevel="0" collapsed="false">
      <c r="A183" s="1" t="s">
        <v>472</v>
      </c>
      <c r="B183" s="1" t="n">
        <v>245</v>
      </c>
      <c r="C183" s="1" t="n">
        <f aca="false">1/B183</f>
        <v>0.00408163265306122</v>
      </c>
      <c r="D183" s="1" t="n">
        <v>0.712</v>
      </c>
      <c r="E183" s="1" t="n">
        <f aca="false">LN(D183)</f>
        <v>-0.339677367570161</v>
      </c>
    </row>
    <row r="184" customFormat="false" ht="15.75" hidden="false" customHeight="false" outlineLevel="0" collapsed="false">
      <c r="A184" s="1" t="s">
        <v>472</v>
      </c>
      <c r="B184" s="1" t="n">
        <v>249</v>
      </c>
      <c r="C184" s="1" t="n">
        <f aca="false">1/B184</f>
        <v>0.00401606425702811</v>
      </c>
      <c r="D184" s="1" t="n">
        <v>0.671</v>
      </c>
      <c r="E184" s="1" t="n">
        <f aca="false">LN(D184)</f>
        <v>-0.398986142010455</v>
      </c>
    </row>
    <row r="185" customFormat="false" ht="15.75" hidden="false" customHeight="false" outlineLevel="0" collapsed="false">
      <c r="A185" s="1" t="s">
        <v>472</v>
      </c>
      <c r="B185" s="1" t="n">
        <v>253</v>
      </c>
      <c r="C185" s="1" t="n">
        <f aca="false">1/B185</f>
        <v>0.00395256916996047</v>
      </c>
      <c r="D185" s="1" t="n">
        <v>0.632</v>
      </c>
      <c r="E185" s="1" t="n">
        <f aca="false">LN(D185)</f>
        <v>-0.45886588483528</v>
      </c>
    </row>
    <row r="186" customFormat="false" ht="15.75" hidden="false" customHeight="false" outlineLevel="0" collapsed="false">
      <c r="A186" s="1" t="s">
        <v>472</v>
      </c>
      <c r="B186" s="1" t="n">
        <v>257</v>
      </c>
      <c r="C186" s="1" t="n">
        <f aca="false">1/B186</f>
        <v>0.00389105058365759</v>
      </c>
      <c r="D186" s="1" t="n">
        <v>0.597</v>
      </c>
      <c r="E186" s="1" t="n">
        <f aca="false">LN(D186)</f>
        <v>-0.515838165589535</v>
      </c>
    </row>
    <row r="187" customFormat="false" ht="15.75" hidden="false" customHeight="false" outlineLevel="0" collapsed="false">
      <c r="A187" s="1" t="s">
        <v>472</v>
      </c>
      <c r="B187" s="1" t="n">
        <v>265</v>
      </c>
      <c r="C187" s="1" t="n">
        <f aca="false">1/B187</f>
        <v>0.00377358490566038</v>
      </c>
      <c r="D187" s="1" t="n">
        <v>0.536</v>
      </c>
      <c r="E187" s="1" t="n">
        <f aca="false">LN(D187)</f>
        <v>-0.623621117911335</v>
      </c>
    </row>
    <row r="188" customFormat="false" ht="15.75" hidden="false" customHeight="false" outlineLevel="0" collapsed="false">
      <c r="A188" s="1" t="s">
        <v>472</v>
      </c>
      <c r="B188" s="1" t="n">
        <v>273</v>
      </c>
      <c r="C188" s="1" t="n">
        <f aca="false">1/B188</f>
        <v>0.00366300366300366</v>
      </c>
      <c r="D188" s="1" t="n">
        <v>0.484</v>
      </c>
      <c r="E188" s="1" t="n">
        <f aca="false">LN(D188)</f>
        <v>-0.725670372265505</v>
      </c>
    </row>
    <row r="189" customFormat="false" ht="15.75" hidden="false" customHeight="false" outlineLevel="0" collapsed="false">
      <c r="A189" s="1" t="s">
        <v>472</v>
      </c>
      <c r="B189" s="1" t="n">
        <v>277</v>
      </c>
      <c r="C189" s="1" t="n">
        <f aca="false">1/B189</f>
        <v>0.0036101083032491</v>
      </c>
      <c r="D189" s="1" t="n">
        <v>0.461</v>
      </c>
      <c r="E189" s="1" t="n">
        <f aca="false">LN(D189)</f>
        <v>-0.774357235985488</v>
      </c>
    </row>
    <row r="190" customFormat="false" ht="15.75" hidden="false" customHeight="false" outlineLevel="0" collapsed="false">
      <c r="A190" s="1" t="s">
        <v>472</v>
      </c>
      <c r="B190" s="1" t="n">
        <v>281</v>
      </c>
      <c r="C190" s="1" t="n">
        <f aca="false">1/B190</f>
        <v>0.00355871886120996</v>
      </c>
      <c r="D190" s="1" t="n">
        <v>0.439</v>
      </c>
      <c r="E190" s="1" t="n">
        <f aca="false">LN(D190)</f>
        <v>-0.823255865906966</v>
      </c>
    </row>
    <row r="191" customFormat="false" ht="15.75" hidden="false" customHeight="false" outlineLevel="0" collapsed="false">
      <c r="A191" s="1" t="s">
        <v>472</v>
      </c>
      <c r="B191" s="1" t="n">
        <v>285</v>
      </c>
      <c r="C191" s="1" t="n">
        <f aca="false">1/B191</f>
        <v>0.00350877192982456</v>
      </c>
      <c r="D191" s="1" t="n">
        <v>0.42</v>
      </c>
      <c r="E191" s="1" t="n">
        <f aca="false">LN(D191)</f>
        <v>-0.867500567704723</v>
      </c>
    </row>
    <row r="192" customFormat="false" ht="15.75" hidden="false" customHeight="false" outlineLevel="0" collapsed="false">
      <c r="A192" s="1" t="s">
        <v>472</v>
      </c>
      <c r="B192" s="1" t="n">
        <v>289</v>
      </c>
      <c r="C192" s="1" t="n">
        <f aca="false">1/B192</f>
        <v>0.00346020761245675</v>
      </c>
      <c r="D192" s="1" t="n">
        <v>0.401</v>
      </c>
      <c r="E192" s="1" t="n">
        <f aca="false">LN(D192)</f>
        <v>-0.913793851675568</v>
      </c>
    </row>
    <row r="193" customFormat="false" ht="15.75" hidden="false" customHeight="false" outlineLevel="0" collapsed="false">
      <c r="A193" s="1" t="s">
        <v>472</v>
      </c>
      <c r="B193" s="1" t="n">
        <v>325</v>
      </c>
      <c r="C193" s="1" t="n">
        <f aca="false">1/B193</f>
        <v>0.00307692307692308</v>
      </c>
      <c r="D193" s="1" t="n">
        <v>0.281</v>
      </c>
      <c r="E193" s="1" t="n">
        <f aca="false">LN(D193)</f>
        <v>-1.26940060964839</v>
      </c>
    </row>
    <row r="194" customFormat="false" ht="15.75" hidden="false" customHeight="false" outlineLevel="0" collapsed="false">
      <c r="A194" s="1" t="s">
        <v>472</v>
      </c>
      <c r="B194" s="1" t="n">
        <v>333</v>
      </c>
      <c r="C194" s="1" t="n">
        <f aca="false">1/B194</f>
        <v>0.003003003003003</v>
      </c>
      <c r="D194" s="1" t="n">
        <v>0.263</v>
      </c>
      <c r="E194" s="1" t="n">
        <f aca="false">LN(D194)</f>
        <v>-1.33560124680437</v>
      </c>
    </row>
    <row r="195" customFormat="false" ht="15.75" hidden="false" customHeight="false" outlineLevel="0" collapsed="false">
      <c r="A195" s="1" t="s">
        <v>472</v>
      </c>
      <c r="B195" s="1" t="n">
        <v>225</v>
      </c>
      <c r="C195" s="1" t="n">
        <f aca="false">1/B195</f>
        <v>0.00444444444444444</v>
      </c>
      <c r="D195" s="1" t="n">
        <v>0.996</v>
      </c>
      <c r="E195" s="1" t="n">
        <f aca="false">LN(D195)</f>
        <v>-0.00400802139753882</v>
      </c>
    </row>
    <row r="196" customFormat="false" ht="15.75" hidden="false" customHeight="false" outlineLevel="0" collapsed="false">
      <c r="A196" s="1" t="s">
        <v>472</v>
      </c>
      <c r="B196" s="1" t="n">
        <v>233</v>
      </c>
      <c r="C196" s="1" t="n">
        <f aca="false">1/B196</f>
        <v>0.00429184549356223</v>
      </c>
      <c r="D196" s="1" t="n">
        <v>0.865</v>
      </c>
      <c r="E196" s="1" t="n">
        <f aca="false">LN(D196)</f>
        <v>-0.145025772050258</v>
      </c>
    </row>
    <row r="197" customFormat="false" ht="15.75" hidden="false" customHeight="false" outlineLevel="0" collapsed="false">
      <c r="A197" s="1" t="s">
        <v>472</v>
      </c>
      <c r="B197" s="1" t="n">
        <v>261</v>
      </c>
      <c r="C197" s="1" t="n">
        <f aca="false">1/B197</f>
        <v>0.00383141762452107</v>
      </c>
      <c r="D197" s="1" t="n">
        <v>0.565</v>
      </c>
      <c r="E197" s="1" t="n">
        <f aca="false">LN(D197)</f>
        <v>-0.570929547835696</v>
      </c>
    </row>
    <row r="198" customFormat="false" ht="15.75" hidden="false" customHeight="false" outlineLevel="0" collapsed="false">
      <c r="A198" s="1" t="s">
        <v>472</v>
      </c>
      <c r="B198" s="1" t="n">
        <v>269</v>
      </c>
      <c r="C198" s="1" t="n">
        <f aca="false">1/B198</f>
        <v>0.00371747211895911</v>
      </c>
      <c r="D198" s="1" t="n">
        <v>0.509</v>
      </c>
      <c r="E198" s="1" t="n">
        <f aca="false">LN(D198)</f>
        <v>-0.675307262431614</v>
      </c>
    </row>
    <row r="199" customFormat="false" ht="15.75" hidden="false" customHeight="false" outlineLevel="0" collapsed="false">
      <c r="A199" s="1" t="s">
        <v>472</v>
      </c>
      <c r="B199" s="1" t="n">
        <v>321</v>
      </c>
      <c r="C199" s="1" t="n">
        <f aca="false">1/B199</f>
        <v>0.00311526479750779</v>
      </c>
      <c r="D199" s="1" t="n">
        <v>0.292</v>
      </c>
      <c r="E199" s="1" t="n">
        <f aca="false">LN(D199)</f>
        <v>-1.23100147671386</v>
      </c>
    </row>
    <row r="200" customFormat="false" ht="15.75" hidden="false" customHeight="false" outlineLevel="0" collapsed="false">
      <c r="A200" s="1" t="s">
        <v>472</v>
      </c>
      <c r="B200" s="1" t="n">
        <v>329</v>
      </c>
      <c r="C200" s="1" t="n">
        <f aca="false">1/B200</f>
        <v>0.00303951367781155</v>
      </c>
      <c r="D200" s="1" t="n">
        <v>0.272</v>
      </c>
      <c r="E200" s="1" t="n">
        <f aca="false">LN(D200)</f>
        <v>-1.30195321268614</v>
      </c>
    </row>
    <row r="201" customFormat="false" ht="15.75" hidden="false" customHeight="false" outlineLevel="0" collapsed="false">
      <c r="A201" s="1" t="s">
        <v>1398</v>
      </c>
      <c r="B201" s="1" t="n">
        <v>298.15</v>
      </c>
      <c r="C201" s="1" t="n">
        <f aca="false">1/B201</f>
        <v>0.00335401643468053</v>
      </c>
      <c r="D201" s="1" t="n">
        <v>0.414</v>
      </c>
      <c r="E201" s="1" t="n">
        <f aca="false">LN(D201)</f>
        <v>-0.881889305156823</v>
      </c>
    </row>
    <row r="202" customFormat="false" ht="15.75" hidden="false" customHeight="false" outlineLevel="0" collapsed="false">
      <c r="A202" s="1" t="s">
        <v>10</v>
      </c>
      <c r="B202" s="1" t="n">
        <v>308.15</v>
      </c>
      <c r="C202" s="1" t="n">
        <f aca="false">1/B202</f>
        <v>0.00324517280545189</v>
      </c>
      <c r="D202" s="1" t="n">
        <v>10.473</v>
      </c>
      <c r="E202" s="1" t="n">
        <f aca="false">LN(D202)</f>
        <v>2.34880051679101</v>
      </c>
    </row>
    <row r="203" customFormat="false" ht="15.75" hidden="false" customHeight="false" outlineLevel="0" collapsed="false">
      <c r="A203" s="1" t="s">
        <v>474</v>
      </c>
      <c r="B203" s="1" t="n">
        <v>253.15</v>
      </c>
      <c r="C203" s="1" t="n">
        <f aca="false">1/B203</f>
        <v>0.00395022713806044</v>
      </c>
      <c r="D203" s="1" t="n">
        <v>0.244</v>
      </c>
      <c r="E203" s="1" t="n">
        <f aca="false">LN(D203)</f>
        <v>-1.41058705368894</v>
      </c>
    </row>
    <row r="204" customFormat="false" ht="15.75" hidden="false" customHeight="false" outlineLevel="0" collapsed="false">
      <c r="A204" s="1" t="s">
        <v>474</v>
      </c>
      <c r="B204" s="1" t="n">
        <v>263.15</v>
      </c>
      <c r="C204" s="1" t="n">
        <f aca="false">1/B204</f>
        <v>0.0038001140034201</v>
      </c>
      <c r="D204" s="1" t="n">
        <v>0.214</v>
      </c>
      <c r="E204" s="1" t="n">
        <f aca="false">LN(D204)</f>
        <v>-1.54177926396029</v>
      </c>
    </row>
    <row r="205" customFormat="false" ht="15.75" hidden="false" customHeight="false" outlineLevel="0" collapsed="false">
      <c r="A205" s="1" t="s">
        <v>474</v>
      </c>
      <c r="B205" s="1" t="n">
        <v>273.15</v>
      </c>
      <c r="C205" s="1" t="n">
        <f aca="false">1/B205</f>
        <v>0.00366099212886692</v>
      </c>
      <c r="D205" s="1" t="n">
        <v>0.188</v>
      </c>
      <c r="E205" s="1" t="n">
        <f aca="false">LN(D205)</f>
        <v>-1.67131331615219</v>
      </c>
    </row>
    <row r="206" customFormat="false" ht="15.75" hidden="false" customHeight="false" outlineLevel="0" collapsed="false">
      <c r="A206" s="1" t="s">
        <v>474</v>
      </c>
      <c r="B206" s="1" t="n">
        <v>283.15</v>
      </c>
      <c r="C206" s="1" t="n">
        <f aca="false">1/B206</f>
        <v>0.00353169698039908</v>
      </c>
      <c r="D206" s="1" t="n">
        <v>0.167</v>
      </c>
      <c r="E206" s="1" t="n">
        <f aca="false">LN(D206)</f>
        <v>-1.78976146656538</v>
      </c>
    </row>
    <row r="207" customFormat="false" ht="15.75" hidden="false" customHeight="false" outlineLevel="0" collapsed="false">
      <c r="A207" s="1" t="s">
        <v>474</v>
      </c>
      <c r="B207" s="1" t="n">
        <v>293.15</v>
      </c>
      <c r="C207" s="1" t="n">
        <f aca="false">1/B207</f>
        <v>0.00341122292341805</v>
      </c>
      <c r="D207" s="1" t="n">
        <v>0.149</v>
      </c>
      <c r="E207" s="1" t="n">
        <f aca="false">LN(D207)</f>
        <v>-1.90380897303668</v>
      </c>
    </row>
    <row r="208" customFormat="false" ht="15.75" hidden="false" customHeight="false" outlineLevel="0" collapsed="false">
      <c r="A208" s="1" t="s">
        <v>474</v>
      </c>
      <c r="B208" s="1" t="n">
        <v>303.15</v>
      </c>
      <c r="C208" s="1" t="n">
        <f aca="false">1/B208</f>
        <v>0.0032986970146792</v>
      </c>
      <c r="D208" s="1" t="n">
        <v>0.133</v>
      </c>
      <c r="E208" s="1" t="n">
        <f aca="false">LN(D208)</f>
        <v>-2.01740615076038</v>
      </c>
    </row>
    <row r="209" customFormat="false" ht="15.75" hidden="false" customHeight="false" outlineLevel="0" collapsed="false">
      <c r="A209" s="1" t="s">
        <v>474</v>
      </c>
      <c r="B209" s="1" t="n">
        <v>313.15</v>
      </c>
      <c r="C209" s="1" t="n">
        <f aca="false">1/B209</f>
        <v>0.00319335781574325</v>
      </c>
      <c r="D209" s="1" t="n">
        <v>0.119</v>
      </c>
      <c r="E209" s="1" t="n">
        <f aca="false">LN(D209)</f>
        <v>-2.12863178587061</v>
      </c>
    </row>
    <row r="210" customFormat="false" ht="15.75" hidden="false" customHeight="false" outlineLevel="0" collapsed="false">
      <c r="A210" s="1" t="s">
        <v>474</v>
      </c>
      <c r="B210" s="1" t="n">
        <v>323.15</v>
      </c>
      <c r="C210" s="1" t="n">
        <f aca="false">1/B210</f>
        <v>0.00309453814018258</v>
      </c>
      <c r="D210" s="1" t="n">
        <v>0.106</v>
      </c>
      <c r="E210" s="1" t="n">
        <f aca="false">LN(D210)</f>
        <v>-2.24431618487007</v>
      </c>
    </row>
    <row r="211" customFormat="false" ht="15.75" hidden="false" customHeight="false" outlineLevel="0" collapsed="false">
      <c r="A211" s="1" t="s">
        <v>474</v>
      </c>
      <c r="B211" s="1" t="n">
        <v>333.15</v>
      </c>
      <c r="C211" s="1" t="n">
        <f aca="false">1/B211</f>
        <v>0.0030016509079994</v>
      </c>
      <c r="D211" s="1" t="n">
        <v>0.095</v>
      </c>
      <c r="E211" s="1" t="n">
        <f aca="false">LN(D211)</f>
        <v>-2.3538783873816</v>
      </c>
    </row>
    <row r="212" customFormat="false" ht="15.75" hidden="false" customHeight="false" outlineLevel="0" collapsed="false">
      <c r="A212" s="1" t="s">
        <v>476</v>
      </c>
      <c r="B212" s="1" t="n">
        <v>292</v>
      </c>
      <c r="C212" s="1" t="n">
        <f aca="false">1/B212</f>
        <v>0.00342465753424658</v>
      </c>
      <c r="D212" s="1" t="n">
        <v>0.6114</v>
      </c>
      <c r="E212" s="1" t="n">
        <f aca="false">LN(D212)</f>
        <v>-0.492003869525403</v>
      </c>
    </row>
    <row r="213" customFormat="false" ht="15.75" hidden="false" customHeight="false" outlineLevel="0" collapsed="false">
      <c r="A213" s="1" t="s">
        <v>476</v>
      </c>
      <c r="B213" s="1" t="n">
        <v>303.55</v>
      </c>
      <c r="C213" s="1" t="n">
        <f aca="false">1/B213</f>
        <v>0.00329435018942514</v>
      </c>
      <c r="D213" s="1" t="n">
        <v>0.5287</v>
      </c>
      <c r="E213" s="1" t="n">
        <f aca="false">LN(D213)</f>
        <v>-0.637334115740733</v>
      </c>
    </row>
    <row r="214" customFormat="false" ht="15.75" hidden="false" customHeight="false" outlineLevel="0" collapsed="false">
      <c r="A214" s="1" t="s">
        <v>476</v>
      </c>
      <c r="B214" s="1" t="n">
        <v>325.45</v>
      </c>
      <c r="C214" s="1" t="n">
        <f aca="false">1/B214</f>
        <v>0.00307266861269012</v>
      </c>
      <c r="D214" s="1" t="n">
        <v>0.4128</v>
      </c>
      <c r="E214" s="1" t="n">
        <f aca="false">LN(D214)</f>
        <v>-0.884792064814784</v>
      </c>
    </row>
    <row r="215" customFormat="false" ht="15.75" hidden="false" customHeight="false" outlineLevel="0" collapsed="false">
      <c r="A215" s="1" t="s">
        <v>476</v>
      </c>
      <c r="B215" s="1" t="n">
        <v>336.75</v>
      </c>
      <c r="C215" s="1" t="n">
        <f aca="false">1/B215</f>
        <v>0.00296956198960653</v>
      </c>
      <c r="D215" s="1" t="n">
        <v>0.3676</v>
      </c>
      <c r="E215" s="1" t="n">
        <f aca="false">LN(D215)</f>
        <v>-1.00075988850061</v>
      </c>
    </row>
    <row r="216" customFormat="false" ht="15.75" hidden="false" customHeight="false" outlineLevel="0" collapsed="false">
      <c r="A216" s="1" t="s">
        <v>476</v>
      </c>
      <c r="B216" s="1" t="n">
        <v>354.65</v>
      </c>
      <c r="C216" s="1" t="n">
        <f aca="false">1/B216</f>
        <v>0.00281968137600451</v>
      </c>
      <c r="D216" s="1" t="n">
        <v>0.3107</v>
      </c>
      <c r="E216" s="1" t="n">
        <f aca="false">LN(D216)</f>
        <v>-1.16892746258314</v>
      </c>
    </row>
    <row r="217" customFormat="false" ht="15.75" hidden="false" customHeight="false" outlineLevel="0" collapsed="false">
      <c r="A217" s="1" t="s">
        <v>476</v>
      </c>
      <c r="B217" s="1" t="n">
        <v>313.45</v>
      </c>
      <c r="C217" s="1" t="n">
        <f aca="false">1/B217</f>
        <v>0.00319030148349019</v>
      </c>
      <c r="D217" s="1" t="n">
        <v>0.4704</v>
      </c>
      <c r="E217" s="1" t="n">
        <f aca="false">LN(D217)</f>
        <v>-0.75417188239772</v>
      </c>
    </row>
    <row r="218" customFormat="false" ht="15.75" hidden="false" customHeight="false" outlineLevel="0" collapsed="false">
      <c r="A218" s="1" t="s">
        <v>476</v>
      </c>
      <c r="B218" s="1" t="n">
        <v>350.05</v>
      </c>
      <c r="C218" s="1" t="n">
        <f aca="false">1/B218</f>
        <v>0.00285673475217826</v>
      </c>
      <c r="D218" s="1" t="n">
        <v>0.3236</v>
      </c>
      <c r="E218" s="1" t="n">
        <f aca="false">LN(D218)</f>
        <v>-1.1282470937978</v>
      </c>
    </row>
    <row r="219" customFormat="false" ht="15.75" hidden="false" customHeight="false" outlineLevel="0" collapsed="false">
      <c r="A219" s="1" t="s">
        <v>478</v>
      </c>
      <c r="B219" s="1" t="n">
        <v>303.75</v>
      </c>
      <c r="C219" s="1" t="n">
        <f aca="false">1/B219</f>
        <v>0.00329218106995885</v>
      </c>
      <c r="D219" s="1" t="n">
        <v>0.951</v>
      </c>
      <c r="E219" s="1" t="n">
        <f aca="false">LN(D219)</f>
        <v>-0.0502412164367468</v>
      </c>
    </row>
    <row r="220" customFormat="false" ht="15.75" hidden="false" customHeight="false" outlineLevel="0" collapsed="false">
      <c r="A220" s="1" t="s">
        <v>478</v>
      </c>
      <c r="B220" s="1" t="n">
        <v>327.35</v>
      </c>
      <c r="C220" s="1" t="n">
        <f aca="false">1/B220</f>
        <v>0.00305483427524057</v>
      </c>
      <c r="D220" s="1" t="n">
        <v>0.7325</v>
      </c>
      <c r="E220" s="1" t="n">
        <f aca="false">LN(D220)</f>
        <v>-0.311291938090915</v>
      </c>
    </row>
    <row r="221" customFormat="false" ht="15.75" hidden="false" customHeight="false" outlineLevel="0" collapsed="false">
      <c r="A221" s="1" t="s">
        <v>478</v>
      </c>
      <c r="B221" s="1" t="n">
        <v>367.25</v>
      </c>
      <c r="C221" s="1" t="n">
        <f aca="false">1/B221</f>
        <v>0.00272294077603812</v>
      </c>
      <c r="D221" s="1" t="n">
        <v>0.505</v>
      </c>
      <c r="E221" s="1" t="n">
        <f aca="false">LN(D221)</f>
        <v>-0.683196849706777</v>
      </c>
    </row>
    <row r="222" customFormat="false" ht="15.75" hidden="false" customHeight="false" outlineLevel="0" collapsed="false">
      <c r="A222" s="1" t="s">
        <v>478</v>
      </c>
      <c r="B222" s="1" t="n">
        <v>387.35</v>
      </c>
      <c r="C222" s="1" t="n">
        <f aca="false">1/B222</f>
        <v>0.00258164450755131</v>
      </c>
      <c r="D222" s="1" t="n">
        <v>0.431</v>
      </c>
      <c r="E222" s="1" t="n">
        <f aca="false">LN(D222)</f>
        <v>-0.841647188878389</v>
      </c>
    </row>
    <row r="223" customFormat="false" ht="15.75" hidden="false" customHeight="false" outlineLevel="0" collapsed="false">
      <c r="A223" s="1" t="s">
        <v>478</v>
      </c>
      <c r="B223" s="1" t="n">
        <v>393.15</v>
      </c>
      <c r="C223" s="1" t="n">
        <f aca="false">1/B223</f>
        <v>0.00254355843825512</v>
      </c>
      <c r="D223" s="1" t="n">
        <v>0.4126</v>
      </c>
      <c r="E223" s="1" t="n">
        <f aca="false">LN(D223)</f>
        <v>-0.885276678344986</v>
      </c>
    </row>
    <row r="224" customFormat="false" ht="15.75" hidden="false" customHeight="false" outlineLevel="0" collapsed="false">
      <c r="A224" s="1" t="s">
        <v>478</v>
      </c>
      <c r="B224" s="1" t="n">
        <v>417.45</v>
      </c>
      <c r="C224" s="1" t="n">
        <f aca="false">1/B224</f>
        <v>0.00239549646664271</v>
      </c>
      <c r="D224" s="1" t="n">
        <v>0.3491</v>
      </c>
      <c r="E224" s="1" t="n">
        <f aca="false">LN(D224)</f>
        <v>-1.05239686487115</v>
      </c>
    </row>
    <row r="225" customFormat="false" ht="15.75" hidden="false" customHeight="false" outlineLevel="0" collapsed="false">
      <c r="A225" s="1" t="s">
        <v>478</v>
      </c>
      <c r="B225" s="1" t="n">
        <v>430.35</v>
      </c>
      <c r="C225" s="1" t="n">
        <f aca="false">1/B225</f>
        <v>0.00232369001975136</v>
      </c>
      <c r="D225" s="1" t="n">
        <v>0.3221</v>
      </c>
      <c r="E225" s="1" t="n">
        <f aca="false">LN(D225)</f>
        <v>-1.13289322264498</v>
      </c>
    </row>
    <row r="226" customFormat="false" ht="15.75" hidden="false" customHeight="false" outlineLevel="0" collapsed="false">
      <c r="A226" s="1" t="s">
        <v>478</v>
      </c>
      <c r="B226" s="1" t="n">
        <v>348.75</v>
      </c>
      <c r="C226" s="1" t="n">
        <f aca="false">1/B226</f>
        <v>0.0028673835125448</v>
      </c>
      <c r="D226" s="1" t="n">
        <v>0.5945</v>
      </c>
      <c r="E226" s="1" t="n">
        <f aca="false">LN(D226)</f>
        <v>-0.5200345628513</v>
      </c>
    </row>
    <row r="227" customFormat="false" ht="15.75" hidden="false" customHeight="false" outlineLevel="0" collapsed="false">
      <c r="A227" s="1" t="s">
        <v>478</v>
      </c>
      <c r="B227" s="1" t="n">
        <v>407.95</v>
      </c>
      <c r="C227" s="1" t="n">
        <f aca="false">1/B227</f>
        <v>0.00245128079421498</v>
      </c>
      <c r="D227" s="1" t="n">
        <v>0.3722</v>
      </c>
      <c r="E227" s="1" t="n">
        <f aca="false">LN(D227)</f>
        <v>-0.988323934773987</v>
      </c>
    </row>
    <row r="228" customFormat="false" ht="15.75" hidden="false" customHeight="false" outlineLevel="0" collapsed="false">
      <c r="A228" s="1" t="s">
        <v>478</v>
      </c>
      <c r="B228" s="1" t="n">
        <v>445.45</v>
      </c>
      <c r="C228" s="1" t="n">
        <f aca="false">1/B228</f>
        <v>0.00224492086653945</v>
      </c>
      <c r="D228" s="1" t="n">
        <v>0.2948</v>
      </c>
      <c r="E228" s="1" t="n">
        <f aca="false">LN(D228)</f>
        <v>-1.22145811866696</v>
      </c>
    </row>
    <row r="229" customFormat="false" ht="15.75" hidden="false" customHeight="false" outlineLevel="0" collapsed="false">
      <c r="A229" s="1" t="s">
        <v>480</v>
      </c>
      <c r="B229" s="1" t="n">
        <v>293.15</v>
      </c>
      <c r="C229" s="1" t="n">
        <f aca="false">1/B229</f>
        <v>0.00341122292341805</v>
      </c>
      <c r="D229" s="1" t="n">
        <v>0.5743</v>
      </c>
      <c r="E229" s="1" t="n">
        <f aca="false">LN(D229)</f>
        <v>-0.554603371111886</v>
      </c>
    </row>
    <row r="230" customFormat="false" ht="15.75" hidden="false" customHeight="false" outlineLevel="0" collapsed="false">
      <c r="A230" s="1" t="s">
        <v>480</v>
      </c>
      <c r="B230" s="1" t="n">
        <v>303.15</v>
      </c>
      <c r="C230" s="1" t="n">
        <f aca="false">1/B230</f>
        <v>0.0032986970146792</v>
      </c>
      <c r="D230" s="1" t="n">
        <v>0.5122</v>
      </c>
      <c r="E230" s="1" t="n">
        <f aca="false">LN(D230)</f>
        <v>-0.669040105216712</v>
      </c>
    </row>
    <row r="231" customFormat="false" ht="15.75" hidden="false" customHeight="false" outlineLevel="0" collapsed="false">
      <c r="A231" s="1" t="s">
        <v>480</v>
      </c>
      <c r="B231" s="1" t="n">
        <v>315.15</v>
      </c>
      <c r="C231" s="1" t="n">
        <f aca="false">1/B231</f>
        <v>0.00317309217832778</v>
      </c>
      <c r="D231" s="1" t="n">
        <v>0.461</v>
      </c>
      <c r="E231" s="1" t="n">
        <f aca="false">LN(D231)</f>
        <v>-0.774357235985488</v>
      </c>
    </row>
    <row r="232" customFormat="false" ht="15.75" hidden="false" customHeight="false" outlineLevel="0" collapsed="false">
      <c r="A232" s="1" t="s">
        <v>480</v>
      </c>
      <c r="B232" s="1" t="n">
        <v>323.15</v>
      </c>
      <c r="C232" s="1" t="n">
        <f aca="false">1/B232</f>
        <v>0.00309453814018258</v>
      </c>
      <c r="D232" s="1" t="n">
        <v>0.4156</v>
      </c>
      <c r="E232" s="1" t="n">
        <f aca="false">LN(D232)</f>
        <v>-0.878032019757065</v>
      </c>
    </row>
    <row r="233" customFormat="false" ht="15.75" hidden="false" customHeight="false" outlineLevel="0" collapsed="false">
      <c r="A233" s="1" t="s">
        <v>480</v>
      </c>
      <c r="B233" s="1" t="n">
        <v>333.15</v>
      </c>
      <c r="C233" s="1" t="n">
        <f aca="false">1/B233</f>
        <v>0.0030016509079994</v>
      </c>
      <c r="D233" s="1" t="n">
        <v>0.3786</v>
      </c>
      <c r="E233" s="1" t="n">
        <f aca="false">LN(D233)</f>
        <v>-0.971275040206915</v>
      </c>
    </row>
    <row r="234" customFormat="false" ht="15.75" hidden="false" customHeight="false" outlineLevel="0" collapsed="false">
      <c r="A234" s="1" t="s">
        <v>482</v>
      </c>
      <c r="B234" s="1" t="n">
        <v>313.65</v>
      </c>
      <c r="C234" s="1" t="n">
        <f aca="false">1/B234</f>
        <v>0.00318826717678941</v>
      </c>
      <c r="D234" s="1" t="n">
        <v>1.623</v>
      </c>
      <c r="E234" s="1" t="n">
        <f aca="false">LN(D234)</f>
        <v>0.484276288532454</v>
      </c>
    </row>
    <row r="235" customFormat="false" ht="15.75" hidden="false" customHeight="false" outlineLevel="0" collapsed="false">
      <c r="A235" s="1" t="s">
        <v>482</v>
      </c>
      <c r="B235" s="1" t="n">
        <v>333.55</v>
      </c>
      <c r="C235" s="1" t="n">
        <f aca="false">1/B235</f>
        <v>0.00299805126667666</v>
      </c>
      <c r="D235" s="1" t="n">
        <v>1.146</v>
      </c>
      <c r="E235" s="1" t="n">
        <f aca="false">LN(D235)</f>
        <v>0.136277618292548</v>
      </c>
    </row>
    <row r="236" customFormat="false" ht="15.75" hidden="false" customHeight="false" outlineLevel="0" collapsed="false">
      <c r="A236" s="1" t="s">
        <v>482</v>
      </c>
      <c r="B236" s="1" t="n">
        <v>353.15</v>
      </c>
      <c r="C236" s="1" t="n">
        <f aca="false">1/B236</f>
        <v>0.00283165793572137</v>
      </c>
      <c r="D236" s="1" t="n">
        <v>0.8676</v>
      </c>
      <c r="E236" s="1" t="n">
        <f aca="false">LN(D236)</f>
        <v>-0.142024500029418</v>
      </c>
    </row>
    <row r="237" customFormat="false" ht="15.75" hidden="false" customHeight="false" outlineLevel="0" collapsed="false">
      <c r="A237" s="1" t="s">
        <v>482</v>
      </c>
      <c r="B237" s="1" t="n">
        <v>373.45</v>
      </c>
      <c r="C237" s="1" t="n">
        <f aca="false">1/B237</f>
        <v>0.00267773463649752</v>
      </c>
      <c r="D237" s="1" t="n">
        <v>0.6731</v>
      </c>
      <c r="E237" s="1" t="n">
        <f aca="false">LN(D237)</f>
        <v>-0.39586137196547</v>
      </c>
    </row>
    <row r="238" customFormat="false" ht="15.75" hidden="false" customHeight="false" outlineLevel="0" collapsed="false">
      <c r="A238" s="1" t="s">
        <v>482</v>
      </c>
      <c r="B238" s="1" t="n">
        <v>393.15</v>
      </c>
      <c r="C238" s="1" t="n">
        <f aca="false">1/B238</f>
        <v>0.00254355843825512</v>
      </c>
      <c r="D238" s="1" t="n">
        <v>0.5476</v>
      </c>
      <c r="E238" s="1" t="n">
        <f aca="false">LN(D238)</f>
        <v>-0.602210185567843</v>
      </c>
    </row>
    <row r="239" customFormat="false" ht="15.75" hidden="false" customHeight="false" outlineLevel="0" collapsed="false">
      <c r="A239" s="1" t="s">
        <v>482</v>
      </c>
      <c r="B239" s="1" t="n">
        <v>412.85</v>
      </c>
      <c r="C239" s="1" t="n">
        <f aca="false">1/B239</f>
        <v>0.00242218723507327</v>
      </c>
      <c r="D239" s="1" t="n">
        <v>0.456</v>
      </c>
      <c r="E239" s="1" t="n">
        <f aca="false">LN(D239)</f>
        <v>-0.785262469467751</v>
      </c>
    </row>
    <row r="240" customFormat="false" ht="15.75" hidden="false" customHeight="false" outlineLevel="0" collapsed="false">
      <c r="A240" s="1" t="s">
        <v>482</v>
      </c>
      <c r="B240" s="1" t="n">
        <v>433.15</v>
      </c>
      <c r="C240" s="1" t="n">
        <f aca="false">1/B240</f>
        <v>0.00230866905229135</v>
      </c>
      <c r="D240" s="1" t="n">
        <v>0.3827</v>
      </c>
      <c r="E240" s="1" t="n">
        <f aca="false">LN(D240)</f>
        <v>-0.96050388655048</v>
      </c>
    </row>
    <row r="241" customFormat="false" ht="15.75" hidden="false" customHeight="false" outlineLevel="0" collapsed="false">
      <c r="A241" s="1" t="s">
        <v>482</v>
      </c>
      <c r="B241" s="1" t="n">
        <v>443.35</v>
      </c>
      <c r="C241" s="1" t="n">
        <f aca="false">1/B241</f>
        <v>0.00225555430246983</v>
      </c>
      <c r="D241" s="1" t="n">
        <v>0.3521</v>
      </c>
      <c r="E241" s="1" t="n">
        <f aca="false">LN(D241)</f>
        <v>-1.04384005282113</v>
      </c>
    </row>
    <row r="242" customFormat="false" ht="15.75" hidden="false" customHeight="false" outlineLevel="0" collapsed="false">
      <c r="A242" s="1" t="s">
        <v>482</v>
      </c>
      <c r="B242" s="1" t="n">
        <v>453.15</v>
      </c>
      <c r="C242" s="1" t="n">
        <f aca="false">1/B242</f>
        <v>0.0022067747986318</v>
      </c>
      <c r="D242" s="1" t="n">
        <v>0.3271</v>
      </c>
      <c r="E242" s="1" t="n">
        <f aca="false">LN(D242)</f>
        <v>-1.1174893444378</v>
      </c>
    </row>
    <row r="243" customFormat="false" ht="15.75" hidden="false" customHeight="false" outlineLevel="0" collapsed="false">
      <c r="A243" s="1" t="s">
        <v>482</v>
      </c>
      <c r="B243" s="1" t="n">
        <v>463.25</v>
      </c>
      <c r="C243" s="1" t="n">
        <f aca="false">1/B243</f>
        <v>0.00215866162978953</v>
      </c>
      <c r="D243" s="1" t="n">
        <v>0.3039</v>
      </c>
      <c r="E243" s="1" t="n">
        <f aca="false">LN(D243)</f>
        <v>-1.19105657905939</v>
      </c>
    </row>
    <row r="244" customFormat="false" ht="15.75" hidden="false" customHeight="false" outlineLevel="0" collapsed="false">
      <c r="A244" s="1" t="s">
        <v>482</v>
      </c>
      <c r="B244" s="1" t="n">
        <v>474.15</v>
      </c>
      <c r="C244" s="1" t="n">
        <f aca="false">1/B244</f>
        <v>0.00210903722450701</v>
      </c>
      <c r="D244" s="1" t="n">
        <v>0.2818</v>
      </c>
      <c r="E244" s="1" t="n">
        <f aca="false">LN(D244)</f>
        <v>-1.26655767951756</v>
      </c>
    </row>
    <row r="245" customFormat="false" ht="15.75" hidden="false" customHeight="false" outlineLevel="0" collapsed="false">
      <c r="A245" s="1" t="s">
        <v>482</v>
      </c>
      <c r="B245" s="1" t="n">
        <v>485.15</v>
      </c>
      <c r="C245" s="1" t="n">
        <f aca="false">1/B245</f>
        <v>0.00206121817994435</v>
      </c>
      <c r="D245" s="1" t="n">
        <v>0.2622</v>
      </c>
      <c r="E245" s="1" t="n">
        <f aca="false">LN(D245)</f>
        <v>-1.33864770765254</v>
      </c>
    </row>
    <row r="246" customFormat="false" ht="15.75" hidden="false" customHeight="false" outlineLevel="0" collapsed="false">
      <c r="A246" s="1" t="s">
        <v>1399</v>
      </c>
      <c r="B246" s="1" t="n">
        <v>298.15</v>
      </c>
      <c r="C246" s="1" t="n">
        <f aca="false">1/B246</f>
        <v>0.00335401643468053</v>
      </c>
      <c r="D246" s="1" t="n">
        <v>2.934</v>
      </c>
      <c r="E246" s="1" t="n">
        <f aca="false">LN(D246)</f>
        <v>1.07636667972079</v>
      </c>
    </row>
    <row r="247" customFormat="false" ht="15.75" hidden="false" customHeight="false" outlineLevel="0" collapsed="false">
      <c r="A247" s="1" t="s">
        <v>1399</v>
      </c>
      <c r="B247" s="1" t="n">
        <v>308.15</v>
      </c>
      <c r="C247" s="1" t="n">
        <f aca="false">1/B247</f>
        <v>0.00324517280545189</v>
      </c>
      <c r="D247" s="1" t="n">
        <v>2.371</v>
      </c>
      <c r="E247" s="1" t="n">
        <f aca="false">LN(D247)</f>
        <v>0.863311807083268</v>
      </c>
    </row>
    <row r="248" customFormat="false" ht="15.75" hidden="false" customHeight="false" outlineLevel="0" collapsed="false">
      <c r="A248" s="1" t="s">
        <v>1399</v>
      </c>
      <c r="B248" s="1" t="n">
        <v>318.15</v>
      </c>
      <c r="C248" s="1" t="n">
        <f aca="false">1/B248</f>
        <v>0.00314317146000314</v>
      </c>
      <c r="D248" s="1" t="n">
        <v>1.96</v>
      </c>
      <c r="E248" s="1" t="n">
        <f aca="false">LN(D248)</f>
        <v>0.672944473242426</v>
      </c>
    </row>
    <row r="249" customFormat="false" ht="15.75" hidden="false" customHeight="false" outlineLevel="0" collapsed="false">
      <c r="A249" s="1" t="s">
        <v>1399</v>
      </c>
      <c r="B249" s="1" t="n">
        <v>328.15</v>
      </c>
      <c r="C249" s="1" t="n">
        <f aca="false">1/B249</f>
        <v>0.00304738686576261</v>
      </c>
      <c r="D249" s="1" t="n">
        <v>1.65</v>
      </c>
      <c r="E249" s="1" t="n">
        <f aca="false">LN(D249)</f>
        <v>0.500775287912489</v>
      </c>
    </row>
    <row r="250" customFormat="false" ht="15.75" hidden="false" customHeight="false" outlineLevel="0" collapsed="false">
      <c r="A250" s="1" t="s">
        <v>1399</v>
      </c>
      <c r="B250" s="1" t="n">
        <v>348.15</v>
      </c>
      <c r="C250" s="1" t="n">
        <f aca="false">1/B250</f>
        <v>0.00287232514720666</v>
      </c>
      <c r="D250" s="1" t="n">
        <v>1.233</v>
      </c>
      <c r="E250" s="1" t="n">
        <f aca="false">LN(D250)</f>
        <v>0.209450224182207</v>
      </c>
    </row>
    <row r="251" customFormat="false" ht="15.75" hidden="false" customHeight="false" outlineLevel="0" collapsed="false">
      <c r="A251" s="1" t="s">
        <v>1399</v>
      </c>
      <c r="B251" s="1" t="n">
        <v>373.15</v>
      </c>
      <c r="C251" s="1" t="n">
        <f aca="false">1/B251</f>
        <v>0.00267988744472732</v>
      </c>
      <c r="D251" s="1" t="n">
        <v>0.909</v>
      </c>
      <c r="E251" s="1" t="n">
        <f aca="false">LN(D251)</f>
        <v>-0.0954101848046582</v>
      </c>
    </row>
    <row r="252" customFormat="false" ht="15.75" hidden="false" customHeight="false" outlineLevel="0" collapsed="false">
      <c r="A252" s="1" t="s">
        <v>484</v>
      </c>
      <c r="B252" s="1" t="n">
        <v>373.15</v>
      </c>
      <c r="C252" s="1" t="n">
        <f aca="false">1/B252</f>
        <v>0.00267988744472732</v>
      </c>
      <c r="D252" s="1" t="n">
        <v>3.59</v>
      </c>
      <c r="E252" s="1" t="n">
        <f aca="false">LN(D252)</f>
        <v>1.27815220250019</v>
      </c>
    </row>
    <row r="253" customFormat="false" ht="15.75" hidden="false" customHeight="false" outlineLevel="0" collapsed="false">
      <c r="A253" s="1" t="s">
        <v>484</v>
      </c>
      <c r="B253" s="1" t="n">
        <v>402.65</v>
      </c>
      <c r="C253" s="1" t="n">
        <f aca="false">1/B253</f>
        <v>0.0024835465044083</v>
      </c>
      <c r="D253" s="1" t="n">
        <v>1.663</v>
      </c>
      <c r="E253" s="1" t="n">
        <f aca="false">LN(D253)</f>
        <v>0.508623200210791</v>
      </c>
    </row>
    <row r="254" customFormat="false" ht="15.75" hidden="false" customHeight="false" outlineLevel="0" collapsed="false">
      <c r="A254" s="1" t="s">
        <v>484</v>
      </c>
      <c r="B254" s="1" t="n">
        <v>433.65</v>
      </c>
      <c r="C254" s="1" t="n">
        <f aca="false">1/B254</f>
        <v>0.00230600714862216</v>
      </c>
      <c r="D254" s="1" t="n">
        <v>1.116</v>
      </c>
      <c r="E254" s="1" t="n">
        <f aca="false">LN(D254)</f>
        <v>0.109750863959119</v>
      </c>
    </row>
    <row r="255" customFormat="false" ht="15.75" hidden="false" customHeight="false" outlineLevel="0" collapsed="false">
      <c r="A255" s="1" t="s">
        <v>484</v>
      </c>
      <c r="B255" s="1" t="n">
        <v>451.15</v>
      </c>
      <c r="C255" s="1" t="n">
        <f aca="false">1/B255</f>
        <v>0.00221655768591378</v>
      </c>
      <c r="D255" s="1" t="n">
        <v>0.951</v>
      </c>
      <c r="E255" s="1" t="n">
        <f aca="false">LN(D255)</f>
        <v>-0.0502412164367468</v>
      </c>
    </row>
    <row r="256" customFormat="false" ht="15.75" hidden="false" customHeight="false" outlineLevel="0" collapsed="false">
      <c r="A256" s="1" t="s">
        <v>484</v>
      </c>
      <c r="B256" s="1" t="n">
        <v>466.15</v>
      </c>
      <c r="C256" s="1" t="n">
        <f aca="false">1/B256</f>
        <v>0.00214523222138797</v>
      </c>
      <c r="D256" s="1" t="n">
        <v>0.8424</v>
      </c>
      <c r="E256" s="1" t="n">
        <f aca="false">LN(D256)</f>
        <v>-0.171500318162371</v>
      </c>
    </row>
    <row r="257" customFormat="false" ht="15.75" hidden="false" customHeight="false" outlineLevel="0" collapsed="false">
      <c r="A257" s="1" t="s">
        <v>484</v>
      </c>
      <c r="B257" s="1" t="n">
        <v>478.15</v>
      </c>
      <c r="C257" s="1" t="n">
        <f aca="false">1/B257</f>
        <v>0.00209139391404371</v>
      </c>
      <c r="D257" s="1" t="n">
        <v>0.7668</v>
      </c>
      <c r="E257" s="1" t="n">
        <f aca="false">LN(D257)</f>
        <v>-0.265529267810648</v>
      </c>
    </row>
    <row r="258" customFormat="false" ht="15.75" hidden="false" customHeight="false" outlineLevel="0" collapsed="false">
      <c r="A258" s="1" t="s">
        <v>484</v>
      </c>
      <c r="B258" s="1" t="n">
        <v>500.15</v>
      </c>
      <c r="C258" s="1" t="n">
        <f aca="false">1/B258</f>
        <v>0.00199940017994602</v>
      </c>
      <c r="D258" s="1" t="n">
        <v>0.6573</v>
      </c>
      <c r="E258" s="1" t="n">
        <f aca="false">LN(D258)</f>
        <v>-0.419614743712607</v>
      </c>
    </row>
    <row r="259" customFormat="false" ht="15.75" hidden="false" customHeight="false" outlineLevel="0" collapsed="false">
      <c r="A259" s="1" t="s">
        <v>484</v>
      </c>
      <c r="B259" s="1" t="n">
        <v>573.15</v>
      </c>
      <c r="C259" s="1" t="n">
        <f aca="false">1/B259</f>
        <v>0.00174474395882404</v>
      </c>
      <c r="D259" s="1" t="n">
        <v>0.421</v>
      </c>
      <c r="E259" s="1" t="n">
        <f aca="false">LN(D259)</f>
        <v>-0.865122445299756</v>
      </c>
    </row>
    <row r="260" customFormat="false" ht="15.75" hidden="false" customHeight="false" outlineLevel="0" collapsed="false">
      <c r="A260" s="1" t="s">
        <v>12</v>
      </c>
      <c r="B260" s="1" t="n">
        <v>298.15</v>
      </c>
      <c r="C260" s="1" t="n">
        <f aca="false">1/B260</f>
        <v>0.00335401643468053</v>
      </c>
      <c r="D260" s="1" t="n">
        <v>0.5886</v>
      </c>
      <c r="E260" s="1" t="n">
        <f aca="false">LN(D260)</f>
        <v>-0.530008443182765</v>
      </c>
    </row>
    <row r="261" customFormat="false" ht="15.75" hidden="false" customHeight="false" outlineLevel="0" collapsed="false">
      <c r="A261" s="1" t="s">
        <v>12</v>
      </c>
      <c r="B261" s="1" t="n">
        <v>313.15</v>
      </c>
      <c r="C261" s="1" t="n">
        <f aca="false">1/B261</f>
        <v>0.00319335781574325</v>
      </c>
      <c r="D261" s="1" t="n">
        <v>0.4985</v>
      </c>
      <c r="E261" s="1" t="n">
        <f aca="false">LN(D261)</f>
        <v>-0.696151689580244</v>
      </c>
    </row>
    <row r="262" customFormat="false" ht="15.75" hidden="false" customHeight="false" outlineLevel="0" collapsed="false">
      <c r="A262" s="1" t="s">
        <v>14</v>
      </c>
      <c r="B262" s="1" t="n">
        <v>383.15</v>
      </c>
      <c r="C262" s="1" t="n">
        <f aca="false">1/B262</f>
        <v>0.00260994388620645</v>
      </c>
      <c r="D262" s="1" t="n">
        <v>0.872</v>
      </c>
      <c r="E262" s="1" t="n">
        <f aca="false">LN(D262)</f>
        <v>-0.136965855073157</v>
      </c>
    </row>
    <row r="263" customFormat="false" ht="15.75" hidden="false" customHeight="false" outlineLevel="0" collapsed="false">
      <c r="A263" s="1" t="s">
        <v>14</v>
      </c>
      <c r="B263" s="1" t="n">
        <v>388.15</v>
      </c>
      <c r="C263" s="1" t="n">
        <f aca="false">1/B263</f>
        <v>0.00257632358624243</v>
      </c>
      <c r="D263" s="1" t="n">
        <v>0.807</v>
      </c>
      <c r="E263" s="1" t="n">
        <f aca="false">LN(D263)</f>
        <v>-0.214431610712188</v>
      </c>
    </row>
    <row r="264" customFormat="false" ht="15.75" hidden="false" customHeight="false" outlineLevel="0" collapsed="false">
      <c r="A264" s="1" t="s">
        <v>14</v>
      </c>
      <c r="B264" s="1" t="n">
        <v>393.15</v>
      </c>
      <c r="C264" s="1" t="n">
        <f aca="false">1/B264</f>
        <v>0.00254355843825512</v>
      </c>
      <c r="D264" s="1" t="n">
        <v>0.761</v>
      </c>
      <c r="E264" s="1" t="n">
        <f aca="false">LN(D264)</f>
        <v>-0.273121921120451</v>
      </c>
    </row>
    <row r="265" customFormat="false" ht="15.75" hidden="false" customHeight="false" outlineLevel="0" collapsed="false">
      <c r="A265" s="1" t="s">
        <v>486</v>
      </c>
      <c r="B265" s="1" t="n">
        <v>333.85</v>
      </c>
      <c r="C265" s="1" t="n">
        <f aca="false">1/B265</f>
        <v>0.00299535719634566</v>
      </c>
      <c r="D265" s="1" t="n">
        <v>0.722</v>
      </c>
      <c r="E265" s="1" t="n">
        <f aca="false">LN(D265)</f>
        <v>-0.325730140089311</v>
      </c>
    </row>
    <row r="266" customFormat="false" ht="15.75" hidden="false" customHeight="false" outlineLevel="0" collapsed="false">
      <c r="A266" s="1" t="s">
        <v>486</v>
      </c>
      <c r="B266" s="1" t="n">
        <v>354.85</v>
      </c>
      <c r="C266" s="1" t="n">
        <f aca="false">1/B266</f>
        <v>0.00281809215161336</v>
      </c>
      <c r="D266" s="1" t="n">
        <v>0.5862</v>
      </c>
      <c r="E266" s="1" t="n">
        <f aca="false">LN(D266)</f>
        <v>-0.534094250705345</v>
      </c>
    </row>
    <row r="267" customFormat="false" ht="15.75" hidden="false" customHeight="false" outlineLevel="0" collapsed="false">
      <c r="A267" s="1" t="s">
        <v>486</v>
      </c>
      <c r="B267" s="1" t="n">
        <v>374.45</v>
      </c>
      <c r="C267" s="1" t="n">
        <f aca="false">1/B267</f>
        <v>0.00267058352249967</v>
      </c>
      <c r="D267" s="1" t="n">
        <v>0.4953</v>
      </c>
      <c r="E267" s="1" t="n">
        <f aca="false">LN(D267)</f>
        <v>-0.702591639387945</v>
      </c>
    </row>
    <row r="268" customFormat="false" ht="15.75" hidden="false" customHeight="false" outlineLevel="0" collapsed="false">
      <c r="A268" s="1" t="s">
        <v>486</v>
      </c>
      <c r="B268" s="1" t="n">
        <v>393.15</v>
      </c>
      <c r="C268" s="1" t="n">
        <f aca="false">1/B268</f>
        <v>0.00254355843825512</v>
      </c>
      <c r="D268" s="1" t="n">
        <v>0.4295</v>
      </c>
      <c r="E268" s="1" t="n">
        <f aca="false">LN(D268)</f>
        <v>-0.845133537557827</v>
      </c>
    </row>
    <row r="269" customFormat="false" ht="15.75" hidden="false" customHeight="false" outlineLevel="0" collapsed="false">
      <c r="A269" s="1" t="s">
        <v>486</v>
      </c>
      <c r="B269" s="1" t="n">
        <v>403.15</v>
      </c>
      <c r="C269" s="1" t="n">
        <f aca="false">1/B269</f>
        <v>0.0024804663276696</v>
      </c>
      <c r="D269" s="1" t="n">
        <v>0.3981</v>
      </c>
      <c r="E269" s="1" t="n">
        <f aca="false">LN(D269)</f>
        <v>-0.921052048975866</v>
      </c>
    </row>
    <row r="270" customFormat="false" ht="15.75" hidden="false" customHeight="false" outlineLevel="0" collapsed="false">
      <c r="A270" s="1" t="s">
        <v>486</v>
      </c>
      <c r="B270" s="1" t="n">
        <v>413.15</v>
      </c>
      <c r="C270" s="1" t="n">
        <f aca="false">1/B270</f>
        <v>0.0024204284158296</v>
      </c>
      <c r="D270" s="1" t="n">
        <v>0.3719</v>
      </c>
      <c r="E270" s="1" t="n">
        <f aca="false">LN(D270)</f>
        <v>-0.989130278051113</v>
      </c>
    </row>
    <row r="271" customFormat="false" ht="15.75" hidden="false" customHeight="false" outlineLevel="0" collapsed="false">
      <c r="A271" s="1" t="s">
        <v>486</v>
      </c>
      <c r="B271" s="1" t="n">
        <v>423.15</v>
      </c>
      <c r="C271" s="1" t="n">
        <f aca="false">1/B271</f>
        <v>0.00236322816967978</v>
      </c>
      <c r="D271" s="1" t="n">
        <v>0.3479</v>
      </c>
      <c r="E271" s="1" t="n">
        <f aca="false">LN(D271)</f>
        <v>-1.05584019682424</v>
      </c>
    </row>
    <row r="272" customFormat="false" ht="15.75" hidden="false" customHeight="false" outlineLevel="0" collapsed="false">
      <c r="A272" s="1" t="s">
        <v>486</v>
      </c>
      <c r="B272" s="1" t="n">
        <v>432.95</v>
      </c>
      <c r="C272" s="1" t="n">
        <f aca="false">1/B272</f>
        <v>0.00230973553528121</v>
      </c>
      <c r="D272" s="1" t="n">
        <v>0.3277</v>
      </c>
      <c r="E272" s="1" t="n">
        <f aca="false">LN(D272)</f>
        <v>-1.11565672327737</v>
      </c>
    </row>
    <row r="273" customFormat="false" ht="15.75" hidden="false" customHeight="false" outlineLevel="0" collapsed="false">
      <c r="A273" s="1" t="s">
        <v>486</v>
      </c>
      <c r="B273" s="1" t="n">
        <v>445.45</v>
      </c>
      <c r="C273" s="1" t="n">
        <f aca="false">1/B273</f>
        <v>0.00224492086653945</v>
      </c>
      <c r="D273" s="1" t="n">
        <v>0.3042</v>
      </c>
      <c r="E273" s="1" t="n">
        <f aca="false">LN(D273)</f>
        <v>-1.19006989915694</v>
      </c>
    </row>
    <row r="274" customFormat="false" ht="15.75" hidden="false" customHeight="false" outlineLevel="0" collapsed="false">
      <c r="A274" s="1" t="s">
        <v>1400</v>
      </c>
      <c r="B274" s="1" t="n">
        <v>298.15</v>
      </c>
      <c r="C274" s="1" t="n">
        <f aca="false">1/B274</f>
        <v>0.00335401643468053</v>
      </c>
      <c r="D274" s="1" t="n">
        <v>1.2989</v>
      </c>
      <c r="E274" s="1" t="n">
        <f aca="false">LN(D274)</f>
        <v>0.261517752431101</v>
      </c>
    </row>
    <row r="275" customFormat="false" ht="15.75" hidden="false" customHeight="false" outlineLevel="0" collapsed="false">
      <c r="A275" s="1" t="s">
        <v>1400</v>
      </c>
      <c r="B275" s="1" t="n">
        <v>313.15</v>
      </c>
      <c r="C275" s="1" t="n">
        <f aca="false">1/B275</f>
        <v>0.00319335781574325</v>
      </c>
      <c r="D275" s="1" t="n">
        <v>1.038</v>
      </c>
      <c r="E275" s="1" t="n">
        <f aca="false">LN(D275)</f>
        <v>0.0372957847436969</v>
      </c>
    </row>
    <row r="276" customFormat="false" ht="15.75" hidden="false" customHeight="false" outlineLevel="0" collapsed="false">
      <c r="A276" s="1" t="s">
        <v>488</v>
      </c>
      <c r="B276" s="1" t="n">
        <v>293.15</v>
      </c>
      <c r="C276" s="1" t="n">
        <f aca="false">1/B276</f>
        <v>0.00341122292341805</v>
      </c>
      <c r="D276" s="1" t="n">
        <v>0.639</v>
      </c>
      <c r="E276" s="1" t="n">
        <f aca="false">LN(D276)</f>
        <v>-0.447850824604602</v>
      </c>
    </row>
    <row r="277" customFormat="false" ht="15.75" hidden="false" customHeight="false" outlineLevel="0" collapsed="false">
      <c r="A277" s="1" t="s">
        <v>488</v>
      </c>
      <c r="B277" s="1" t="n">
        <v>303.15</v>
      </c>
      <c r="C277" s="1" t="n">
        <f aca="false">1/B277</f>
        <v>0.0032986970146792</v>
      </c>
      <c r="D277" s="1" t="n">
        <v>0.568</v>
      </c>
      <c r="E277" s="1" t="n">
        <f aca="false">LN(D277)</f>
        <v>-0.565633860260986</v>
      </c>
    </row>
    <row r="278" customFormat="false" ht="15.75" hidden="false" customHeight="false" outlineLevel="0" collapsed="false">
      <c r="A278" s="1" t="s">
        <v>488</v>
      </c>
      <c r="B278" s="1" t="n">
        <v>315.15</v>
      </c>
      <c r="C278" s="1" t="n">
        <f aca="false">1/B278</f>
        <v>0.00317309217832778</v>
      </c>
      <c r="D278" s="1" t="n">
        <v>0.5075</v>
      </c>
      <c r="E278" s="1" t="n">
        <f aca="false">LN(D278)</f>
        <v>-0.678258568066195</v>
      </c>
    </row>
    <row r="279" customFormat="false" ht="15.75" hidden="false" customHeight="false" outlineLevel="0" collapsed="false">
      <c r="A279" s="1" t="s">
        <v>488</v>
      </c>
      <c r="B279" s="1" t="n">
        <v>323.15</v>
      </c>
      <c r="C279" s="1" t="n">
        <f aca="false">1/B279</f>
        <v>0.00309453814018258</v>
      </c>
      <c r="D279" s="1" t="n">
        <v>0.4565</v>
      </c>
      <c r="E279" s="1" t="n">
        <f aca="false">LN(D279)</f>
        <v>-0.784166578947114</v>
      </c>
    </row>
    <row r="280" customFormat="false" ht="15.75" hidden="false" customHeight="false" outlineLevel="0" collapsed="false">
      <c r="A280" s="1" t="s">
        <v>488</v>
      </c>
      <c r="B280" s="1" t="n">
        <v>333.15</v>
      </c>
      <c r="C280" s="1" t="n">
        <f aca="false">1/B280</f>
        <v>0.0030016509079994</v>
      </c>
      <c r="D280" s="1" t="n">
        <v>0.4135</v>
      </c>
      <c r="E280" s="1" t="n">
        <f aca="false">LN(D280)</f>
        <v>-0.883097764518391</v>
      </c>
    </row>
    <row r="281" customFormat="false" ht="15.75" hidden="false" customHeight="false" outlineLevel="0" collapsed="false">
      <c r="A281" s="1" t="s">
        <v>490</v>
      </c>
      <c r="B281" s="1" t="n">
        <v>334.95</v>
      </c>
      <c r="C281" s="1" t="n">
        <f aca="false">1/B281</f>
        <v>0.00298552022689954</v>
      </c>
      <c r="D281" s="1" t="n">
        <v>1.087</v>
      </c>
      <c r="E281" s="1" t="n">
        <f aca="false">LN(D281)</f>
        <v>0.0834216081390724</v>
      </c>
    </row>
    <row r="282" customFormat="false" ht="15.75" hidden="false" customHeight="false" outlineLevel="0" collapsed="false">
      <c r="A282" s="1" t="s">
        <v>490</v>
      </c>
      <c r="B282" s="1" t="n">
        <v>356.85</v>
      </c>
      <c r="C282" s="1" t="n">
        <f aca="false">1/B282</f>
        <v>0.0028022978842651</v>
      </c>
      <c r="D282" s="1" t="n">
        <v>0.8044</v>
      </c>
      <c r="E282" s="1" t="n">
        <f aca="false">LN(D282)</f>
        <v>-0.21765862108364</v>
      </c>
    </row>
    <row r="283" customFormat="false" ht="15.75" hidden="false" customHeight="false" outlineLevel="0" collapsed="false">
      <c r="A283" s="1" t="s">
        <v>490</v>
      </c>
      <c r="B283" s="1" t="n">
        <v>375.65</v>
      </c>
      <c r="C283" s="1" t="n">
        <f aca="false">1/B283</f>
        <v>0.00266205244243312</v>
      </c>
      <c r="D283" s="1" t="n">
        <v>0.6296</v>
      </c>
      <c r="E283" s="1" t="n">
        <f aca="false">LN(D283)</f>
        <v>-0.462670581878944</v>
      </c>
    </row>
    <row r="284" customFormat="false" ht="15.75" hidden="false" customHeight="false" outlineLevel="0" collapsed="false">
      <c r="A284" s="1" t="s">
        <v>490</v>
      </c>
      <c r="B284" s="1" t="n">
        <v>414.75</v>
      </c>
      <c r="C284" s="1" t="n">
        <f aca="false">1/B284</f>
        <v>0.00241109101868596</v>
      </c>
      <c r="D284" s="1" t="n">
        <v>0.443</v>
      </c>
      <c r="E284" s="1" t="n">
        <f aca="false">LN(D284)</f>
        <v>-0.814185508937001</v>
      </c>
    </row>
    <row r="285" customFormat="false" ht="15.75" hidden="false" customHeight="false" outlineLevel="0" collapsed="false">
      <c r="A285" s="1" t="s">
        <v>490</v>
      </c>
      <c r="B285" s="1" t="n">
        <v>432.65</v>
      </c>
      <c r="C285" s="1" t="n">
        <f aca="false">1/B285</f>
        <v>0.00231133710851728</v>
      </c>
      <c r="D285" s="1" t="n">
        <v>0.3811</v>
      </c>
      <c r="E285" s="1" t="n">
        <f aca="false">LN(D285)</f>
        <v>-0.964693471102322</v>
      </c>
    </row>
    <row r="286" customFormat="false" ht="15.75" hidden="false" customHeight="false" outlineLevel="0" collapsed="false">
      <c r="A286" s="1" t="s">
        <v>490</v>
      </c>
      <c r="B286" s="1" t="n">
        <v>443.25</v>
      </c>
      <c r="C286" s="1" t="n">
        <f aca="false">1/B286</f>
        <v>0.00225606316976875</v>
      </c>
      <c r="D286" s="1" t="n">
        <v>0.35</v>
      </c>
      <c r="E286" s="1" t="n">
        <f aca="false">LN(D286)</f>
        <v>-1.04982212449868</v>
      </c>
    </row>
    <row r="287" customFormat="false" ht="15.75" hidden="false" customHeight="false" outlineLevel="0" collapsed="false">
      <c r="A287" s="1" t="s">
        <v>490</v>
      </c>
      <c r="B287" s="1" t="n">
        <v>463.15</v>
      </c>
      <c r="C287" s="1" t="n">
        <f aca="false">1/B287</f>
        <v>0.00215912771240419</v>
      </c>
      <c r="D287" s="1" t="n">
        <v>0.3024</v>
      </c>
      <c r="E287" s="1" t="n">
        <f aca="false">LN(D287)</f>
        <v>-1.19600463467676</v>
      </c>
    </row>
    <row r="288" customFormat="false" ht="15.75" hidden="false" customHeight="false" outlineLevel="0" collapsed="false">
      <c r="A288" s="1" t="s">
        <v>490</v>
      </c>
      <c r="B288" s="1" t="n">
        <v>472.15</v>
      </c>
      <c r="C288" s="1" t="n">
        <f aca="false">1/B288</f>
        <v>0.00211797098379752</v>
      </c>
      <c r="D288" s="1" t="n">
        <v>0.2825</v>
      </c>
      <c r="E288" s="1" t="n">
        <f aca="false">LN(D288)</f>
        <v>-1.26407672839564</v>
      </c>
    </row>
    <row r="289" customFormat="false" ht="15.75" hidden="false" customHeight="false" outlineLevel="0" collapsed="false">
      <c r="A289" s="1" t="s">
        <v>490</v>
      </c>
      <c r="B289" s="1" t="n">
        <v>484.15</v>
      </c>
      <c r="C289" s="1" t="n">
        <f aca="false">1/B289</f>
        <v>0.00206547557575132</v>
      </c>
      <c r="D289" s="1" t="n">
        <v>0.2613</v>
      </c>
      <c r="E289" s="1" t="n">
        <f aca="false">LN(D289)</f>
        <v>-1.34208610645557</v>
      </c>
    </row>
    <row r="290" customFormat="false" ht="15.75" hidden="false" customHeight="false" outlineLevel="0" collapsed="false">
      <c r="A290" s="1" t="s">
        <v>490</v>
      </c>
      <c r="B290" s="1" t="n">
        <v>395.05</v>
      </c>
      <c r="C290" s="1" t="n">
        <f aca="false">1/B290</f>
        <v>0.00253132514871535</v>
      </c>
      <c r="D290" s="1" t="n">
        <v>0.5317</v>
      </c>
      <c r="E290" s="1" t="n">
        <f aca="false">LN(D290)</f>
        <v>-0.631675858471844</v>
      </c>
    </row>
    <row r="291" customFormat="false" ht="15.75" hidden="false" customHeight="false" outlineLevel="0" collapsed="false">
      <c r="A291" s="1" t="s">
        <v>490</v>
      </c>
      <c r="B291" s="1" t="n">
        <v>453.45</v>
      </c>
      <c r="C291" s="1" t="n">
        <f aca="false">1/B291</f>
        <v>0.00220531480868894</v>
      </c>
      <c r="D291" s="1" t="n">
        <v>0.3242</v>
      </c>
      <c r="E291" s="1" t="n">
        <f aca="false">LN(D291)</f>
        <v>-1.12639466968056</v>
      </c>
    </row>
    <row r="292" customFormat="false" ht="15.75" hidden="false" customHeight="false" outlineLevel="0" collapsed="false">
      <c r="A292" s="1" t="s">
        <v>492</v>
      </c>
      <c r="B292" s="1" t="n">
        <v>273.15</v>
      </c>
      <c r="C292" s="1" t="n">
        <f aca="false">1/B292</f>
        <v>0.00366099212886692</v>
      </c>
      <c r="D292" s="1" t="n">
        <v>55.23</v>
      </c>
      <c r="E292" s="1" t="n">
        <f aca="false">LN(D292)</f>
        <v>4.0115062839131</v>
      </c>
    </row>
    <row r="293" customFormat="false" ht="15.75" hidden="false" customHeight="false" outlineLevel="0" collapsed="false">
      <c r="A293" s="1" t="s">
        <v>492</v>
      </c>
      <c r="B293" s="1" t="n">
        <v>293.15</v>
      </c>
      <c r="C293" s="1" t="n">
        <f aca="false">1/B293</f>
        <v>0.00341122292341805</v>
      </c>
      <c r="D293" s="1" t="n">
        <v>19.03</v>
      </c>
      <c r="E293" s="1" t="n">
        <f aca="false">LN(D293)</f>
        <v>2.94601668130806</v>
      </c>
    </row>
    <row r="294" customFormat="false" ht="15.75" hidden="false" customHeight="false" outlineLevel="0" collapsed="false">
      <c r="A294" s="1" t="s">
        <v>492</v>
      </c>
      <c r="B294" s="1" t="n">
        <v>310.95</v>
      </c>
      <c r="C294" s="1" t="n">
        <f aca="false">1/B294</f>
        <v>0.00321595111754301</v>
      </c>
      <c r="D294" s="1" t="n">
        <v>9.496</v>
      </c>
      <c r="E294" s="1" t="n">
        <f aca="false">LN(D294)</f>
        <v>2.25087065730737</v>
      </c>
    </row>
    <row r="295" customFormat="false" ht="15.75" hidden="false" customHeight="false" outlineLevel="0" collapsed="false">
      <c r="A295" s="1" t="s">
        <v>492</v>
      </c>
      <c r="B295" s="1" t="n">
        <v>333.15</v>
      </c>
      <c r="C295" s="1" t="n">
        <f aca="false">1/B295</f>
        <v>0.0030016509079994</v>
      </c>
      <c r="D295" s="1" t="n">
        <v>4.881</v>
      </c>
      <c r="E295" s="1" t="n">
        <f aca="false">LN(D295)</f>
        <v>1.58535011690501</v>
      </c>
    </row>
    <row r="296" customFormat="false" ht="15.75" hidden="false" customHeight="false" outlineLevel="0" collapsed="false">
      <c r="A296" s="1" t="s">
        <v>492</v>
      </c>
      <c r="B296" s="1" t="n">
        <v>372.05</v>
      </c>
      <c r="C296" s="1" t="n">
        <f aca="false">1/B296</f>
        <v>0.00268781077812122</v>
      </c>
      <c r="D296" s="1" t="n">
        <v>2.184</v>
      </c>
      <c r="E296" s="1" t="n">
        <f aca="false">LN(D296)</f>
        <v>0.781158057882659</v>
      </c>
    </row>
    <row r="297" customFormat="false" ht="15.75" hidden="false" customHeight="false" outlineLevel="0" collapsed="false">
      <c r="A297" s="1" t="s">
        <v>1401</v>
      </c>
      <c r="B297" s="1" t="n">
        <v>273.15</v>
      </c>
      <c r="C297" s="1" t="n">
        <f aca="false">1/B297</f>
        <v>0.00366099212886692</v>
      </c>
      <c r="D297" s="1" t="n">
        <v>114.8</v>
      </c>
      <c r="E297" s="1" t="n">
        <f aca="false">LN(D297)</f>
        <v>4.74319148388547</v>
      </c>
    </row>
    <row r="298" customFormat="false" ht="15.75" hidden="false" customHeight="false" outlineLevel="0" collapsed="false">
      <c r="A298" s="1" t="s">
        <v>1401</v>
      </c>
      <c r="B298" s="1" t="n">
        <v>293.15</v>
      </c>
      <c r="C298" s="1" t="n">
        <f aca="false">1/B298</f>
        <v>0.00341122292341805</v>
      </c>
      <c r="D298" s="1" t="n">
        <v>31.42</v>
      </c>
      <c r="E298" s="1" t="n">
        <f aca="false">LN(D298)</f>
        <v>3.44744463282748</v>
      </c>
    </row>
    <row r="299" customFormat="false" ht="15.75" hidden="false" customHeight="false" outlineLevel="0" collapsed="false">
      <c r="A299" s="1" t="s">
        <v>1401</v>
      </c>
      <c r="B299" s="1" t="n">
        <v>310.95</v>
      </c>
      <c r="C299" s="1" t="n">
        <f aca="false">1/B299</f>
        <v>0.00321595111754301</v>
      </c>
      <c r="D299" s="1" t="n">
        <v>13.71</v>
      </c>
      <c r="E299" s="1" t="n">
        <f aca="false">LN(D299)</f>
        <v>2.61812549357422</v>
      </c>
    </row>
    <row r="300" customFormat="false" ht="15.75" hidden="false" customHeight="false" outlineLevel="0" collapsed="false">
      <c r="A300" s="1" t="s">
        <v>1401</v>
      </c>
      <c r="B300" s="1" t="n">
        <v>333.15</v>
      </c>
      <c r="C300" s="1" t="n">
        <f aca="false">1/B300</f>
        <v>0.0030016509079994</v>
      </c>
      <c r="D300" s="1" t="n">
        <v>6.303</v>
      </c>
      <c r="E300" s="1" t="n">
        <f aca="false">LN(D300)</f>
        <v>1.84102571053097</v>
      </c>
    </row>
    <row r="301" customFormat="false" ht="15.75" hidden="false" customHeight="false" outlineLevel="0" collapsed="false">
      <c r="A301" s="1" t="s">
        <v>1401</v>
      </c>
      <c r="B301" s="1" t="n">
        <v>372.05</v>
      </c>
      <c r="C301" s="1" t="n">
        <f aca="false">1/B301</f>
        <v>0.00268781077812122</v>
      </c>
      <c r="D301" s="1" t="n">
        <v>2.58</v>
      </c>
      <c r="E301" s="1" t="n">
        <f aca="false">LN(D301)</f>
        <v>0.947789398933526</v>
      </c>
    </row>
    <row r="302" customFormat="false" ht="15.75" hidden="false" customHeight="false" outlineLevel="0" collapsed="false">
      <c r="A302" s="1" t="s">
        <v>226</v>
      </c>
      <c r="B302" s="1" t="n">
        <v>298.15</v>
      </c>
      <c r="C302" s="1" t="n">
        <f aca="false">1/B302</f>
        <v>0.00335401643468053</v>
      </c>
      <c r="D302" s="1" t="n">
        <v>2.556</v>
      </c>
      <c r="E302" s="1" t="n">
        <f aca="false">LN(D302)</f>
        <v>0.938443536515288</v>
      </c>
    </row>
    <row r="303" customFormat="false" ht="15.75" hidden="false" customHeight="false" outlineLevel="0" collapsed="false">
      <c r="A303" s="1" t="s">
        <v>494</v>
      </c>
      <c r="B303" s="1" t="n">
        <v>273.49</v>
      </c>
      <c r="C303" s="1" t="n">
        <f aca="false">1/B303</f>
        <v>0.00365644082050532</v>
      </c>
      <c r="D303" s="1" t="n">
        <v>0.82</v>
      </c>
      <c r="E303" s="1" t="n">
        <f aca="false">LN(D303)</f>
        <v>-0.198450938723838</v>
      </c>
    </row>
    <row r="304" customFormat="false" ht="15.75" hidden="false" customHeight="false" outlineLevel="0" collapsed="false">
      <c r="A304" s="1" t="s">
        <v>494</v>
      </c>
      <c r="B304" s="1" t="n">
        <v>280.55</v>
      </c>
      <c r="C304" s="1" t="n">
        <f aca="false">1/B304</f>
        <v>0.0035644270183568</v>
      </c>
      <c r="D304" s="1" t="n">
        <v>0.745</v>
      </c>
      <c r="E304" s="1" t="n">
        <f aca="false">LN(D304)</f>
        <v>-0.294371060602578</v>
      </c>
    </row>
    <row r="305" customFormat="false" ht="15.75" hidden="false" customHeight="false" outlineLevel="0" collapsed="false">
      <c r="A305" s="1" t="s">
        <v>494</v>
      </c>
      <c r="B305" s="1" t="n">
        <v>289.23</v>
      </c>
      <c r="C305" s="1" t="n">
        <f aca="false">1/B305</f>
        <v>0.00345745600387235</v>
      </c>
      <c r="D305" s="1" t="n">
        <v>0.669</v>
      </c>
      <c r="E305" s="1" t="n">
        <f aca="false">LN(D305)</f>
        <v>-0.401971218853909</v>
      </c>
    </row>
    <row r="306" customFormat="false" ht="15.75" hidden="false" customHeight="false" outlineLevel="0" collapsed="false">
      <c r="A306" s="1" t="s">
        <v>494</v>
      </c>
      <c r="B306" s="1" t="n">
        <v>296.86</v>
      </c>
      <c r="C306" s="1" t="n">
        <f aca="false">1/B306</f>
        <v>0.0033685912551371</v>
      </c>
      <c r="D306" s="1" t="n">
        <v>0.611</v>
      </c>
      <c r="E306" s="1" t="n">
        <f aca="false">LN(D306)</f>
        <v>-0.492658319810542</v>
      </c>
    </row>
    <row r="307" customFormat="false" ht="15.75" hidden="false" customHeight="false" outlineLevel="0" collapsed="false">
      <c r="A307" s="1" t="s">
        <v>494</v>
      </c>
      <c r="B307" s="1" t="n">
        <v>305.32</v>
      </c>
      <c r="C307" s="1" t="n">
        <f aca="false">1/B307</f>
        <v>0.00327525219441897</v>
      </c>
      <c r="D307" s="1" t="n">
        <v>0.556</v>
      </c>
      <c r="E307" s="1" t="n">
        <f aca="false">LN(D307)</f>
        <v>-0.586986984731555</v>
      </c>
    </row>
    <row r="308" customFormat="false" ht="15.75" hidden="false" customHeight="false" outlineLevel="0" collapsed="false">
      <c r="A308" s="1" t="s">
        <v>494</v>
      </c>
      <c r="B308" s="1" t="n">
        <v>313.49</v>
      </c>
      <c r="C308" s="1" t="n">
        <f aca="false">1/B308</f>
        <v>0.00318989441449488</v>
      </c>
      <c r="D308" s="1" t="n">
        <v>0.51</v>
      </c>
      <c r="E308" s="1" t="n">
        <f aca="false">LN(D308)</f>
        <v>-0.673344553263766</v>
      </c>
    </row>
    <row r="309" customFormat="false" ht="15.75" hidden="false" customHeight="false" outlineLevel="0" collapsed="false">
      <c r="A309" s="1" t="s">
        <v>494</v>
      </c>
      <c r="B309" s="1" t="n">
        <v>321.54</v>
      </c>
      <c r="C309" s="1" t="n">
        <f aca="false">1/B309</f>
        <v>0.00311003296634944</v>
      </c>
      <c r="D309" s="1" t="n">
        <v>0.47</v>
      </c>
      <c r="E309" s="1" t="n">
        <f aca="false">LN(D309)</f>
        <v>-0.755022584278033</v>
      </c>
    </row>
    <row r="310" customFormat="false" ht="15.75" hidden="false" customHeight="false" outlineLevel="0" collapsed="false">
      <c r="A310" s="1" t="s">
        <v>494</v>
      </c>
      <c r="B310" s="1" t="n">
        <v>329.29</v>
      </c>
      <c r="C310" s="1" t="n">
        <f aca="false">1/B310</f>
        <v>0.00303683683075708</v>
      </c>
      <c r="D310" s="1" t="n">
        <v>0.435</v>
      </c>
      <c r="E310" s="1" t="n">
        <f aca="false">LN(D310)</f>
        <v>-0.832409247893453</v>
      </c>
    </row>
    <row r="311" customFormat="false" ht="15.75" hidden="false" customHeight="false" outlineLevel="0" collapsed="false">
      <c r="A311" s="1" t="s">
        <v>494</v>
      </c>
      <c r="B311" s="1" t="n">
        <v>337.32</v>
      </c>
      <c r="C311" s="1" t="n">
        <f aca="false">1/B311</f>
        <v>0.00296454405312463</v>
      </c>
      <c r="D311" s="1" t="n">
        <v>0.404</v>
      </c>
      <c r="E311" s="1" t="n">
        <f aca="false">LN(D311)</f>
        <v>-0.906340401020987</v>
      </c>
    </row>
    <row r="312" customFormat="false" ht="15.75" hidden="false" customHeight="false" outlineLevel="0" collapsed="false">
      <c r="A312" s="1" t="s">
        <v>494</v>
      </c>
      <c r="B312" s="1" t="n">
        <v>345.72</v>
      </c>
      <c r="C312" s="1" t="n">
        <f aca="false">1/B312</f>
        <v>0.00289251417331945</v>
      </c>
      <c r="D312" s="1" t="n">
        <v>0.373</v>
      </c>
      <c r="E312" s="1" t="n">
        <f aca="false">LN(D312)</f>
        <v>-0.986176859338321</v>
      </c>
    </row>
    <row r="313" customFormat="false" ht="15.75" hidden="false" customHeight="false" outlineLevel="0" collapsed="false">
      <c r="A313" s="1" t="s">
        <v>494</v>
      </c>
      <c r="B313" s="1" t="n">
        <v>353.33</v>
      </c>
      <c r="C313" s="1" t="n">
        <f aca="false">1/B313</f>
        <v>0.00283021537939037</v>
      </c>
      <c r="D313" s="1" t="n">
        <v>0.348</v>
      </c>
      <c r="E313" s="1" t="n">
        <f aca="false">LN(D313)</f>
        <v>-1.05555279920766</v>
      </c>
    </row>
    <row r="314" customFormat="false" ht="15.75" hidden="false" customHeight="false" outlineLevel="0" collapsed="false">
      <c r="A314" s="1" t="s">
        <v>494</v>
      </c>
      <c r="B314" s="1" t="n">
        <v>361.08</v>
      </c>
      <c r="C314" s="1" t="n">
        <f aca="false">1/B314</f>
        <v>0.00276946936966877</v>
      </c>
      <c r="D314" s="1" t="n">
        <v>0.323</v>
      </c>
      <c r="E314" s="1" t="n">
        <f aca="false">LN(D314)</f>
        <v>-1.13010295575948</v>
      </c>
    </row>
    <row r="315" customFormat="false" ht="15.75" hidden="false" customHeight="false" outlineLevel="0" collapsed="false">
      <c r="A315" s="1" t="s">
        <v>1402</v>
      </c>
      <c r="B315" s="1" t="n">
        <v>298.08</v>
      </c>
      <c r="C315" s="1" t="n">
        <f aca="false">1/B315</f>
        <v>0.00335480407944176</v>
      </c>
      <c r="D315" s="1" t="n">
        <v>3.373</v>
      </c>
      <c r="E315" s="1" t="n">
        <f aca="false">LN(D315)</f>
        <v>1.21580255607951</v>
      </c>
    </row>
    <row r="316" customFormat="false" ht="15.75" hidden="false" customHeight="false" outlineLevel="0" collapsed="false">
      <c r="A316" s="1" t="s">
        <v>1402</v>
      </c>
      <c r="B316" s="1" t="n">
        <v>303.1</v>
      </c>
      <c r="C316" s="1" t="n">
        <f aca="false">1/B316</f>
        <v>0.00329924117452986</v>
      </c>
      <c r="D316" s="1" t="n">
        <v>3.024</v>
      </c>
      <c r="E316" s="1" t="n">
        <f aca="false">LN(D316)</f>
        <v>1.10658045831729</v>
      </c>
    </row>
    <row r="317" customFormat="false" ht="15.75" hidden="false" customHeight="false" outlineLevel="0" collapsed="false">
      <c r="A317" s="1" t="s">
        <v>1402</v>
      </c>
      <c r="B317" s="1" t="n">
        <v>308.11</v>
      </c>
      <c r="C317" s="1" t="n">
        <f aca="false">1/B317</f>
        <v>0.0032455941060011</v>
      </c>
      <c r="D317" s="1" t="n">
        <v>2.689</v>
      </c>
      <c r="E317" s="1" t="n">
        <f aca="false">LN(D317)</f>
        <v>0.989169377286728</v>
      </c>
    </row>
    <row r="318" customFormat="false" ht="15.75" hidden="false" customHeight="false" outlineLevel="0" collapsed="false">
      <c r="A318" s="1" t="s">
        <v>1402</v>
      </c>
      <c r="B318" s="1" t="n">
        <v>313.11</v>
      </c>
      <c r="C318" s="1" t="n">
        <f aca="false">1/B318</f>
        <v>0.00319376576921849</v>
      </c>
      <c r="D318" s="1" t="n">
        <v>2.437</v>
      </c>
      <c r="E318" s="1" t="n">
        <f aca="false">LN(D318)</f>
        <v>0.890767774643069</v>
      </c>
    </row>
    <row r="319" customFormat="false" ht="15.75" hidden="false" customHeight="false" outlineLevel="0" collapsed="false">
      <c r="A319" s="1" t="s">
        <v>496</v>
      </c>
      <c r="B319" s="1" t="n">
        <v>288.158</v>
      </c>
      <c r="C319" s="1" t="n">
        <f aca="false">1/B319</f>
        <v>0.00347031836700699</v>
      </c>
      <c r="D319" s="1" t="n">
        <v>0.539</v>
      </c>
      <c r="E319" s="1" t="n">
        <f aca="false">LN(D319)</f>
        <v>-0.61803970807314</v>
      </c>
    </row>
    <row r="320" customFormat="false" ht="15.75" hidden="false" customHeight="false" outlineLevel="0" collapsed="false">
      <c r="A320" s="1" t="s">
        <v>496</v>
      </c>
      <c r="B320" s="1" t="n">
        <v>303.15</v>
      </c>
      <c r="C320" s="1" t="n">
        <f aca="false">1/B320</f>
        <v>0.0032986970146792</v>
      </c>
      <c r="D320" s="1" t="n">
        <v>0.459</v>
      </c>
      <c r="E320" s="1" t="n">
        <f aca="false">LN(D320)</f>
        <v>-0.778705068921592</v>
      </c>
    </row>
    <row r="321" customFormat="false" ht="15.75" hidden="false" customHeight="false" outlineLevel="0" collapsed="false">
      <c r="A321" s="1" t="s">
        <v>496</v>
      </c>
      <c r="B321" s="1" t="n">
        <v>273.64</v>
      </c>
      <c r="C321" s="1" t="n">
        <f aca="false">1/B321</f>
        <v>0.00365443648589388</v>
      </c>
      <c r="D321" s="1" t="n">
        <v>0.6414</v>
      </c>
      <c r="E321" s="1" t="n">
        <f aca="false">LN(D321)</f>
        <v>-0.444101991723083</v>
      </c>
    </row>
    <row r="322" customFormat="false" ht="15.75" hidden="false" customHeight="false" outlineLevel="0" collapsed="false">
      <c r="A322" s="1" t="s">
        <v>496</v>
      </c>
      <c r="B322" s="1" t="n">
        <v>281.01</v>
      </c>
      <c r="C322" s="1" t="n">
        <f aca="false">1/B322</f>
        <v>0.00355859222091741</v>
      </c>
      <c r="D322" s="1" t="n">
        <v>0.5884</v>
      </c>
      <c r="E322" s="1" t="n">
        <f aca="false">LN(D322)</f>
        <v>-0.530348290254855</v>
      </c>
    </row>
    <row r="323" customFormat="false" ht="15.75" hidden="false" customHeight="false" outlineLevel="0" collapsed="false">
      <c r="A323" s="1" t="s">
        <v>496</v>
      </c>
      <c r="B323" s="1" t="n">
        <v>286.81</v>
      </c>
      <c r="C323" s="1" t="n">
        <f aca="false">1/B323</f>
        <v>0.00348662877863394</v>
      </c>
      <c r="D323" s="1" t="n">
        <v>0.5523</v>
      </c>
      <c r="E323" s="1" t="n">
        <f aca="false">LN(D323)</f>
        <v>-0.593663902074995</v>
      </c>
    </row>
    <row r="324" customFormat="false" ht="15.75" hidden="false" customHeight="false" outlineLevel="0" collapsed="false">
      <c r="A324" s="1" t="s">
        <v>496</v>
      </c>
      <c r="B324" s="1" t="n">
        <v>292.32</v>
      </c>
      <c r="C324" s="1" t="n">
        <f aca="false">1/B324</f>
        <v>0.00342090859332239</v>
      </c>
      <c r="D324" s="1" t="n">
        <v>0.5209</v>
      </c>
      <c r="E324" s="1" t="n">
        <f aca="false">LN(D324)</f>
        <v>-0.652197194230991</v>
      </c>
    </row>
    <row r="325" customFormat="false" ht="15.75" hidden="false" customHeight="false" outlineLevel="0" collapsed="false">
      <c r="A325" s="1" t="s">
        <v>496</v>
      </c>
      <c r="B325" s="1" t="n">
        <v>298.59</v>
      </c>
      <c r="C325" s="1" t="n">
        <f aca="false">1/B325</f>
        <v>0.00334907398104424</v>
      </c>
      <c r="D325" s="1" t="n">
        <v>0.4903</v>
      </c>
      <c r="E325" s="1" t="n">
        <f aca="false">LN(D325)</f>
        <v>-0.712737830324949</v>
      </c>
    </row>
    <row r="326" customFormat="false" ht="15.75" hidden="false" customHeight="false" outlineLevel="0" collapsed="false">
      <c r="A326" s="1" t="s">
        <v>496</v>
      </c>
      <c r="B326" s="1" t="n">
        <v>305.03</v>
      </c>
      <c r="C326" s="1" t="n">
        <f aca="false">1/B326</f>
        <v>0.00327836606235452</v>
      </c>
      <c r="D326" s="1" t="n">
        <v>0.4588</v>
      </c>
      <c r="E326" s="1" t="n">
        <f aca="false">LN(D326)</f>
        <v>-0.779140893726921</v>
      </c>
    </row>
    <row r="327" customFormat="false" ht="15.75" hidden="false" customHeight="false" outlineLevel="0" collapsed="false">
      <c r="A327" s="1" t="s">
        <v>496</v>
      </c>
      <c r="B327" s="1" t="n">
        <v>311.75</v>
      </c>
      <c r="C327" s="1" t="n">
        <f aca="false">1/B327</f>
        <v>0.00320769847634322</v>
      </c>
      <c r="D327" s="1" t="n">
        <v>0.43</v>
      </c>
      <c r="E327" s="1" t="n">
        <f aca="false">LN(D327)</f>
        <v>-0.843970070294529</v>
      </c>
    </row>
    <row r="328" customFormat="false" ht="15.75" hidden="false" customHeight="false" outlineLevel="0" collapsed="false">
      <c r="A328" s="1" t="s">
        <v>496</v>
      </c>
      <c r="B328" s="1" t="n">
        <v>318.79</v>
      </c>
      <c r="C328" s="1" t="n">
        <f aca="false">1/B328</f>
        <v>0.00313686125662662</v>
      </c>
      <c r="D328" s="1" t="n">
        <v>0.4032</v>
      </c>
      <c r="E328" s="1" t="n">
        <f aca="false">LN(D328)</f>
        <v>-0.908322562224978</v>
      </c>
    </row>
    <row r="329" customFormat="false" ht="15.75" hidden="false" customHeight="false" outlineLevel="0" collapsed="false">
      <c r="A329" s="1" t="s">
        <v>496</v>
      </c>
      <c r="B329" s="1" t="n">
        <v>324.16</v>
      </c>
      <c r="C329" s="1" t="n">
        <f aca="false">1/B329</f>
        <v>0.00308489634748272</v>
      </c>
      <c r="D329" s="1" t="n">
        <v>0.3844</v>
      </c>
      <c r="E329" s="1" t="n">
        <f aca="false">LN(D329)</f>
        <v>-0.956071601886</v>
      </c>
    </row>
    <row r="330" customFormat="false" ht="15.75" hidden="false" customHeight="false" outlineLevel="0" collapsed="false">
      <c r="A330" s="1" t="s">
        <v>496</v>
      </c>
      <c r="B330" s="1" t="n">
        <v>330.52</v>
      </c>
      <c r="C330" s="1" t="n">
        <f aca="false">1/B330</f>
        <v>0.003025535519787</v>
      </c>
      <c r="D330" s="1" t="n">
        <v>0.3633</v>
      </c>
      <c r="E330" s="1" t="n">
        <f aca="false">LN(D330)</f>
        <v>-1.01252633975498</v>
      </c>
    </row>
    <row r="331" customFormat="false" ht="15.75" hidden="false" customHeight="false" outlineLevel="0" collapsed="false">
      <c r="A331" s="1" t="s">
        <v>496</v>
      </c>
      <c r="B331" s="1" t="n">
        <v>335.13</v>
      </c>
      <c r="C331" s="1" t="n">
        <f aca="false">1/B331</f>
        <v>0.00298391668904604</v>
      </c>
      <c r="D331" s="1" t="n">
        <v>0.3495</v>
      </c>
      <c r="E331" s="1" t="n">
        <f aca="false">LN(D331)</f>
        <v>-1.05125171730827</v>
      </c>
    </row>
    <row r="332" customFormat="false" ht="15.75" hidden="false" customHeight="false" outlineLevel="0" collapsed="false">
      <c r="A332" s="1" t="s">
        <v>496</v>
      </c>
      <c r="B332" s="1" t="n">
        <v>341</v>
      </c>
      <c r="C332" s="1" t="n">
        <f aca="false">1/B332</f>
        <v>0.00293255131964809</v>
      </c>
      <c r="D332" s="1" t="n">
        <v>0.3328</v>
      </c>
      <c r="E332" s="1" t="n">
        <f aca="false">LN(D332)</f>
        <v>-1.10021357003508</v>
      </c>
    </row>
    <row r="333" customFormat="false" ht="15.75" hidden="false" customHeight="false" outlineLevel="0" collapsed="false">
      <c r="A333" s="1" t="s">
        <v>1403</v>
      </c>
      <c r="B333" s="1" t="n">
        <v>283.15</v>
      </c>
      <c r="C333" s="1" t="n">
        <f aca="false">1/B333</f>
        <v>0.00353169698039908</v>
      </c>
      <c r="D333" s="1" t="n">
        <v>0.597</v>
      </c>
      <c r="E333" s="1" t="n">
        <f aca="false">LN(D333)</f>
        <v>-0.515838165589535</v>
      </c>
    </row>
    <row r="334" customFormat="false" ht="15.75" hidden="false" customHeight="false" outlineLevel="0" collapsed="false">
      <c r="A334" s="1" t="s">
        <v>1403</v>
      </c>
      <c r="B334" s="1" t="n">
        <v>293.15</v>
      </c>
      <c r="C334" s="1" t="n">
        <f aca="false">1/B334</f>
        <v>0.00341122292341805</v>
      </c>
      <c r="D334" s="1" t="n">
        <v>0.535</v>
      </c>
      <c r="E334" s="1" t="n">
        <f aca="false">LN(D334)</f>
        <v>-0.62548853208613</v>
      </c>
    </row>
    <row r="335" customFormat="false" ht="15.75" hidden="false" customHeight="false" outlineLevel="0" collapsed="false">
      <c r="A335" s="1" t="s">
        <v>1403</v>
      </c>
      <c r="B335" s="1" t="n">
        <v>303.15</v>
      </c>
      <c r="C335" s="1" t="n">
        <f aca="false">1/B335</f>
        <v>0.0032986970146792</v>
      </c>
      <c r="D335" s="1" t="n">
        <v>0.479</v>
      </c>
      <c r="E335" s="1" t="n">
        <f aca="false">LN(D335)</f>
        <v>-0.736054681571222</v>
      </c>
    </row>
    <row r="336" customFormat="false" ht="15.75" hidden="false" customHeight="false" outlineLevel="0" collapsed="false">
      <c r="A336" s="1" t="s">
        <v>1403</v>
      </c>
      <c r="B336" s="1" t="n">
        <v>313.15</v>
      </c>
      <c r="C336" s="1" t="n">
        <f aca="false">1/B336</f>
        <v>0.00319335781574325</v>
      </c>
      <c r="D336" s="1" t="n">
        <v>0.44</v>
      </c>
      <c r="E336" s="1" t="n">
        <f aca="false">LN(D336)</f>
        <v>-0.82098055206983</v>
      </c>
    </row>
    <row r="337" customFormat="false" ht="15.75" hidden="false" customHeight="false" outlineLevel="0" collapsed="false">
      <c r="A337" s="1" t="s">
        <v>1403</v>
      </c>
      <c r="B337" s="1" t="n">
        <v>323.15</v>
      </c>
      <c r="C337" s="1" t="n">
        <f aca="false">1/B337</f>
        <v>0.00309453814018258</v>
      </c>
      <c r="D337" s="1" t="n">
        <v>0.394</v>
      </c>
      <c r="E337" s="1" t="n">
        <f aca="false">LN(D337)</f>
        <v>-0.931404369684203</v>
      </c>
    </row>
    <row r="338" customFormat="false" ht="15.75" hidden="false" customHeight="false" outlineLevel="0" collapsed="false">
      <c r="A338" s="1" t="s">
        <v>1403</v>
      </c>
      <c r="B338" s="1" t="n">
        <v>333.15</v>
      </c>
      <c r="C338" s="1" t="n">
        <f aca="false">1/B338</f>
        <v>0.0030016509079994</v>
      </c>
      <c r="D338" s="1" t="n">
        <v>0.355</v>
      </c>
      <c r="E338" s="1" t="n">
        <f aca="false">LN(D338)</f>
        <v>-1.03563748950672</v>
      </c>
    </row>
    <row r="339" customFormat="false" ht="15.75" hidden="false" customHeight="false" outlineLevel="0" collapsed="false">
      <c r="A339" s="1" t="s">
        <v>498</v>
      </c>
      <c r="B339" s="1" t="n">
        <v>273.42</v>
      </c>
      <c r="C339" s="1" t="n">
        <f aca="false">1/B339</f>
        <v>0.00365737692926633</v>
      </c>
      <c r="D339" s="1" t="n">
        <v>5.1539</v>
      </c>
      <c r="E339" s="1" t="n">
        <f aca="false">LN(D339)</f>
        <v>1.63975370963605</v>
      </c>
    </row>
    <row r="340" customFormat="false" ht="15.75" hidden="false" customHeight="false" outlineLevel="0" collapsed="false">
      <c r="A340" s="1" t="s">
        <v>498</v>
      </c>
      <c r="B340" s="1" t="n">
        <v>283.84</v>
      </c>
      <c r="C340" s="1" t="n">
        <f aca="false">1/B340</f>
        <v>0.00352311161217587</v>
      </c>
      <c r="D340" s="1" t="n">
        <v>3.7957</v>
      </c>
      <c r="E340" s="1" t="n">
        <f aca="false">LN(D340)</f>
        <v>1.33386884706612</v>
      </c>
    </row>
    <row r="341" customFormat="false" ht="15.75" hidden="false" customHeight="false" outlineLevel="0" collapsed="false">
      <c r="A341" s="1" t="s">
        <v>498</v>
      </c>
      <c r="B341" s="1" t="n">
        <v>294.98</v>
      </c>
      <c r="C341" s="1" t="n">
        <f aca="false">1/B341</f>
        <v>0.00339006034307411</v>
      </c>
      <c r="D341" s="1" t="n">
        <v>2.8016</v>
      </c>
      <c r="E341" s="1" t="n">
        <f aca="false">LN(D341)</f>
        <v>1.03019068254945</v>
      </c>
    </row>
    <row r="342" customFormat="false" ht="15.75" hidden="false" customHeight="false" outlineLevel="0" collapsed="false">
      <c r="A342" s="1" t="s">
        <v>498</v>
      </c>
      <c r="B342" s="1" t="n">
        <v>304.88</v>
      </c>
      <c r="C342" s="1" t="n">
        <f aca="false">1/B342</f>
        <v>0.00327997900813435</v>
      </c>
      <c r="D342" s="1" t="n">
        <v>2.1718</v>
      </c>
      <c r="E342" s="1" t="n">
        <f aca="false">LN(D342)</f>
        <v>0.775556316800663</v>
      </c>
    </row>
    <row r="343" customFormat="false" ht="15.75" hidden="false" customHeight="false" outlineLevel="0" collapsed="false">
      <c r="A343" s="1" t="s">
        <v>498</v>
      </c>
      <c r="B343" s="1" t="n">
        <v>316.06</v>
      </c>
      <c r="C343" s="1" t="n">
        <f aca="false">1/B343</f>
        <v>0.00316395621084604</v>
      </c>
      <c r="D343" s="1" t="n">
        <v>1.6611</v>
      </c>
      <c r="E343" s="1" t="n">
        <f aca="false">LN(D343)</f>
        <v>0.507480033514894</v>
      </c>
    </row>
    <row r="344" customFormat="false" ht="15.75" hidden="false" customHeight="false" outlineLevel="0" collapsed="false">
      <c r="A344" s="1" t="s">
        <v>498</v>
      </c>
      <c r="B344" s="1" t="n">
        <v>325.32</v>
      </c>
      <c r="C344" s="1" t="n">
        <f aca="false">1/B344</f>
        <v>0.00307389647116685</v>
      </c>
      <c r="D344" s="1" t="n">
        <v>1.3438</v>
      </c>
      <c r="E344" s="1" t="n">
        <f aca="false">LN(D344)</f>
        <v>0.295501421503913</v>
      </c>
    </row>
    <row r="345" customFormat="false" ht="15.75" hidden="false" customHeight="false" outlineLevel="0" collapsed="false">
      <c r="A345" s="1" t="s">
        <v>498</v>
      </c>
      <c r="B345" s="1" t="n">
        <v>345.39</v>
      </c>
      <c r="C345" s="1" t="n">
        <f aca="false">1/B345</f>
        <v>0.00289527780190509</v>
      </c>
      <c r="D345" s="1" t="n">
        <v>0.886</v>
      </c>
      <c r="E345" s="1" t="n">
        <f aca="false">LN(D345)</f>
        <v>-0.121038328377056</v>
      </c>
    </row>
    <row r="346" customFormat="false" ht="15.75" hidden="false" customHeight="false" outlineLevel="0" collapsed="false">
      <c r="A346" s="1" t="s">
        <v>498</v>
      </c>
      <c r="B346" s="1" t="n">
        <v>368.03</v>
      </c>
      <c r="C346" s="1" t="n">
        <f aca="false">1/B346</f>
        <v>0.00271716979594055</v>
      </c>
      <c r="D346" s="1" t="n">
        <v>0.5817</v>
      </c>
      <c r="E346" s="1" t="n">
        <f aca="false">LN(D346)</f>
        <v>-0.541800428065421</v>
      </c>
    </row>
    <row r="347" customFormat="false" ht="15.75" hidden="false" customHeight="false" outlineLevel="0" collapsed="false">
      <c r="A347" s="1" t="s">
        <v>498</v>
      </c>
      <c r="B347" s="1" t="n">
        <v>376.11</v>
      </c>
      <c r="C347" s="1" t="n">
        <f aca="false">1/B347</f>
        <v>0.00265879662864587</v>
      </c>
      <c r="D347" s="1" t="n">
        <v>0.5091</v>
      </c>
      <c r="E347" s="1" t="n">
        <f aca="false">LN(D347)</f>
        <v>-0.675110818073847</v>
      </c>
    </row>
    <row r="348" customFormat="false" ht="15.75" hidden="false" customHeight="false" outlineLevel="0" collapsed="false">
      <c r="A348" s="1" t="s">
        <v>498</v>
      </c>
      <c r="B348" s="1" t="n">
        <v>387.26</v>
      </c>
      <c r="C348" s="1" t="n">
        <f aca="false">1/B348</f>
        <v>0.00258224448690802</v>
      </c>
      <c r="D348" s="1" t="n">
        <v>0.4259</v>
      </c>
      <c r="E348" s="1" t="n">
        <f aca="false">LN(D348)</f>
        <v>-0.853550702052969</v>
      </c>
    </row>
    <row r="349" customFormat="false" ht="15.75" hidden="false" customHeight="false" outlineLevel="0" collapsed="false">
      <c r="A349" s="1" t="s">
        <v>498</v>
      </c>
      <c r="B349" s="1" t="n">
        <v>288.15</v>
      </c>
      <c r="C349" s="1" t="n">
        <f aca="false">1/B349</f>
        <v>0.00347041471455839</v>
      </c>
      <c r="D349" s="1" t="n">
        <v>3.379</v>
      </c>
      <c r="E349" s="1" t="n">
        <f aca="false">LN(D349)</f>
        <v>1.21757980773215</v>
      </c>
    </row>
    <row r="350" customFormat="false" ht="15.75" hidden="false" customHeight="false" outlineLevel="0" collapsed="false">
      <c r="A350" s="1" t="s">
        <v>498</v>
      </c>
      <c r="B350" s="1" t="n">
        <v>303.15</v>
      </c>
      <c r="C350" s="1" t="n">
        <f aca="false">1/B350</f>
        <v>0.0032986970146792</v>
      </c>
      <c r="D350" s="1" t="n">
        <v>2.271</v>
      </c>
      <c r="E350" s="1" t="n">
        <f aca="false">LN(D350)</f>
        <v>0.820220263123421</v>
      </c>
    </row>
    <row r="351" customFormat="false" ht="15.75" hidden="false" customHeight="false" outlineLevel="0" collapsed="false">
      <c r="A351" s="1" t="s">
        <v>498</v>
      </c>
      <c r="B351" s="1" t="n">
        <v>303.15</v>
      </c>
      <c r="C351" s="1" t="n">
        <f aca="false">1/B351</f>
        <v>0.0032986970146792</v>
      </c>
      <c r="D351" s="1" t="n">
        <v>2.221</v>
      </c>
      <c r="E351" s="1" t="n">
        <f aca="false">LN(D351)</f>
        <v>0.79795754491229</v>
      </c>
    </row>
    <row r="352" customFormat="false" ht="15.75" hidden="false" customHeight="false" outlineLevel="0" collapsed="false">
      <c r="A352" s="1" t="s">
        <v>498</v>
      </c>
      <c r="B352" s="1" t="n">
        <v>313.15</v>
      </c>
      <c r="C352" s="1" t="n">
        <f aca="false">1/B352</f>
        <v>0.00319335781574325</v>
      </c>
      <c r="D352" s="1" t="n">
        <v>1.72</v>
      </c>
      <c r="E352" s="1" t="n">
        <f aca="false">LN(D352)</f>
        <v>0.542324290825362</v>
      </c>
    </row>
    <row r="353" customFormat="false" ht="15.75" hidden="false" customHeight="false" outlineLevel="0" collapsed="false">
      <c r="A353" s="1" t="s">
        <v>498</v>
      </c>
      <c r="B353" s="1" t="n">
        <v>323.15</v>
      </c>
      <c r="C353" s="1" t="n">
        <f aca="false">1/B353</f>
        <v>0.00309453814018258</v>
      </c>
      <c r="D353" s="1" t="n">
        <v>1.361</v>
      </c>
      <c r="E353" s="1" t="n">
        <f aca="false">LN(D353)</f>
        <v>0.308219723669329</v>
      </c>
    </row>
    <row r="354" customFormat="false" ht="15.75" hidden="false" customHeight="false" outlineLevel="0" collapsed="false">
      <c r="A354" s="1" t="s">
        <v>498</v>
      </c>
      <c r="B354" s="1" t="n">
        <v>333.15</v>
      </c>
      <c r="C354" s="1" t="n">
        <f aca="false">1/B354</f>
        <v>0.0030016509079994</v>
      </c>
      <c r="D354" s="1" t="n">
        <v>1.085</v>
      </c>
      <c r="E354" s="1" t="n">
        <f aca="false">LN(D354)</f>
        <v>0.0815799869924228</v>
      </c>
    </row>
    <row r="355" customFormat="false" ht="15.75" hidden="false" customHeight="false" outlineLevel="0" collapsed="false">
      <c r="A355" s="1" t="s">
        <v>498</v>
      </c>
      <c r="B355" s="1" t="n">
        <v>223.15</v>
      </c>
      <c r="C355" s="1" t="n">
        <f aca="false">1/B355</f>
        <v>0.00448129061169617</v>
      </c>
      <c r="D355" s="1" t="n">
        <v>34.7</v>
      </c>
      <c r="E355" s="1" t="n">
        <f aca="false">LN(D355)</f>
        <v>3.54673968695281</v>
      </c>
    </row>
    <row r="356" customFormat="false" ht="15.75" hidden="false" customHeight="false" outlineLevel="0" collapsed="false">
      <c r="A356" s="1" t="s">
        <v>498</v>
      </c>
      <c r="B356" s="1" t="n">
        <v>233.15</v>
      </c>
      <c r="C356" s="1" t="n">
        <f aca="false">1/B356</f>
        <v>0.00428908428050611</v>
      </c>
      <c r="D356" s="1" t="n">
        <v>22.4</v>
      </c>
      <c r="E356" s="1" t="n">
        <f aca="false">LN(D356)</f>
        <v>3.10906095886099</v>
      </c>
    </row>
    <row r="357" customFormat="false" ht="15.75" hidden="false" customHeight="false" outlineLevel="0" collapsed="false">
      <c r="A357" s="1" t="s">
        <v>498</v>
      </c>
      <c r="B357" s="1" t="n">
        <v>243.15</v>
      </c>
      <c r="C357" s="1" t="n">
        <f aca="false">1/B357</f>
        <v>0.00411268764137364</v>
      </c>
      <c r="D357" s="1" t="n">
        <v>14.6</v>
      </c>
      <c r="E357" s="1" t="n">
        <f aca="false">LN(D357)</f>
        <v>2.68102152871429</v>
      </c>
    </row>
    <row r="358" customFormat="false" ht="15.75" hidden="false" customHeight="false" outlineLevel="0" collapsed="false">
      <c r="A358" s="1" t="s">
        <v>498</v>
      </c>
      <c r="B358" s="1" t="n">
        <v>263.15</v>
      </c>
      <c r="C358" s="1" t="n">
        <f aca="false">1/B358</f>
        <v>0.0038001140034201</v>
      </c>
      <c r="D358" s="1" t="n">
        <v>7.4</v>
      </c>
      <c r="E358" s="1" t="n">
        <f aca="false">LN(D358)</f>
        <v>2.00148000021012</v>
      </c>
    </row>
    <row r="359" customFormat="false" ht="15.75" hidden="false" customHeight="false" outlineLevel="0" collapsed="false">
      <c r="A359" s="1" t="s">
        <v>498</v>
      </c>
      <c r="B359" s="1" t="n">
        <v>298.15</v>
      </c>
      <c r="C359" s="1" t="n">
        <f aca="false">1/B359</f>
        <v>0.00335401643468053</v>
      </c>
      <c r="D359" s="1" t="n">
        <v>2.524</v>
      </c>
      <c r="E359" s="1" t="n">
        <f aca="false">LN(D359)</f>
        <v>0.925844944678967</v>
      </c>
    </row>
    <row r="360" customFormat="false" ht="15.75" hidden="false" customHeight="false" outlineLevel="0" collapsed="false">
      <c r="A360" s="1" t="s">
        <v>498</v>
      </c>
      <c r="B360" s="1" t="n">
        <v>308.15</v>
      </c>
      <c r="C360" s="1" t="n">
        <f aca="false">1/B360</f>
        <v>0.00324517280545189</v>
      </c>
      <c r="D360" s="1" t="n">
        <v>1.969</v>
      </c>
      <c r="E360" s="1" t="n">
        <f aca="false">LN(D360)</f>
        <v>0.677525799656989</v>
      </c>
    </row>
    <row r="361" customFormat="false" ht="15.75" hidden="false" customHeight="false" outlineLevel="0" collapsed="false">
      <c r="A361" s="1" t="s">
        <v>498</v>
      </c>
      <c r="B361" s="1" t="n">
        <v>318.15</v>
      </c>
      <c r="C361" s="1" t="n">
        <f aca="false">1/B361</f>
        <v>0.00314317146000314</v>
      </c>
      <c r="D361" s="1" t="n">
        <v>1.558</v>
      </c>
      <c r="E361" s="1" t="n">
        <f aca="false">LN(D361)</f>
        <v>0.443402947448557</v>
      </c>
    </row>
    <row r="362" customFormat="false" ht="15.75" hidden="false" customHeight="false" outlineLevel="0" collapsed="false">
      <c r="A362" s="1" t="s">
        <v>498</v>
      </c>
      <c r="B362" s="1" t="n">
        <v>328.15</v>
      </c>
      <c r="C362" s="1" t="n">
        <f aca="false">1/B362</f>
        <v>0.00304738686576261</v>
      </c>
      <c r="D362" s="1" t="n">
        <v>1.246</v>
      </c>
      <c r="E362" s="1" t="n">
        <f aca="false">LN(D362)</f>
        <v>0.219938420365261</v>
      </c>
    </row>
    <row r="363" customFormat="false" ht="15.75" hidden="false" customHeight="false" outlineLevel="0" collapsed="false">
      <c r="A363" s="1" t="s">
        <v>498</v>
      </c>
      <c r="B363" s="1" t="n">
        <v>298.15187</v>
      </c>
      <c r="C363" s="1" t="n">
        <f aca="false">1/B363</f>
        <v>0.00335399539838539</v>
      </c>
      <c r="D363" s="1" t="n">
        <v>2.509</v>
      </c>
      <c r="E363" s="1" t="n">
        <f aca="false">LN(D363)</f>
        <v>0.919884267384285</v>
      </c>
    </row>
    <row r="364" customFormat="false" ht="15.75" hidden="false" customHeight="false" outlineLevel="0" collapsed="false">
      <c r="A364" s="1" t="s">
        <v>498</v>
      </c>
      <c r="B364" s="1" t="n">
        <v>303.15</v>
      </c>
      <c r="C364" s="1" t="n">
        <f aca="false">1/B364</f>
        <v>0.0032986970146792</v>
      </c>
      <c r="D364" s="1" t="n">
        <v>2.197</v>
      </c>
      <c r="E364" s="1" t="n">
        <f aca="false">LN(D364)</f>
        <v>0.787092793402473</v>
      </c>
    </row>
    <row r="365" customFormat="false" ht="15.75" hidden="false" customHeight="false" outlineLevel="0" collapsed="false">
      <c r="A365" s="1" t="s">
        <v>498</v>
      </c>
      <c r="B365" s="1" t="n">
        <v>308.15</v>
      </c>
      <c r="C365" s="1" t="n">
        <f aca="false">1/B365</f>
        <v>0.00324517280545189</v>
      </c>
      <c r="D365" s="1" t="n">
        <v>1.929</v>
      </c>
      <c r="E365" s="1" t="n">
        <f aca="false">LN(D365)</f>
        <v>0.657001733923592</v>
      </c>
    </row>
    <row r="366" customFormat="false" ht="15.75" hidden="false" customHeight="false" outlineLevel="0" collapsed="false">
      <c r="A366" s="1" t="s">
        <v>498</v>
      </c>
      <c r="B366" s="1" t="n">
        <v>313.15</v>
      </c>
      <c r="C366" s="1" t="n">
        <f aca="false">1/B366</f>
        <v>0.00319335781574325</v>
      </c>
      <c r="D366" s="1" t="n">
        <v>1.705</v>
      </c>
      <c r="E366" s="1" t="n">
        <f aca="false">LN(D366)</f>
        <v>0.53356511073548</v>
      </c>
    </row>
    <row r="367" customFormat="false" ht="15.75" hidden="false" customHeight="false" outlineLevel="0" collapsed="false">
      <c r="A367" s="1" t="s">
        <v>498</v>
      </c>
      <c r="B367" s="1" t="n">
        <v>308.15199</v>
      </c>
      <c r="C367" s="1" t="n">
        <f aca="false">1/B367</f>
        <v>0.00324515184860562</v>
      </c>
      <c r="D367" s="1" t="n">
        <v>2.017</v>
      </c>
      <c r="E367" s="1" t="n">
        <f aca="false">LN(D367)</f>
        <v>0.701611258972075</v>
      </c>
    </row>
    <row r="368" customFormat="false" ht="15.75" hidden="false" customHeight="false" outlineLevel="0" collapsed="false">
      <c r="A368" s="1" t="s">
        <v>498</v>
      </c>
      <c r="B368" s="1" t="n">
        <v>318.15</v>
      </c>
      <c r="C368" s="1" t="n">
        <f aca="false">1/B368</f>
        <v>0.00314317146000314</v>
      </c>
      <c r="D368" s="1" t="n">
        <v>1.793</v>
      </c>
      <c r="E368" s="1" t="n">
        <f aca="false">LN(D368)</f>
        <v>0.583890194622996</v>
      </c>
    </row>
    <row r="369" customFormat="false" ht="15.75" hidden="false" customHeight="false" outlineLevel="0" collapsed="false">
      <c r="A369" s="1" t="s">
        <v>498</v>
      </c>
      <c r="B369" s="1" t="n">
        <v>298.15179</v>
      </c>
      <c r="C369" s="1" t="n">
        <f aca="false">1/B369</f>
        <v>0.00335399629832845</v>
      </c>
      <c r="D369" s="1" t="n">
        <v>2.5562</v>
      </c>
      <c r="E369" s="1" t="n">
        <f aca="false">LN(D369)</f>
        <v>0.938521780715477</v>
      </c>
    </row>
    <row r="370" customFormat="false" ht="15.75" hidden="false" customHeight="false" outlineLevel="0" collapsed="false">
      <c r="A370" s="1" t="s">
        <v>498</v>
      </c>
      <c r="B370" s="1" t="n">
        <v>313.15</v>
      </c>
      <c r="C370" s="1" t="n">
        <f aca="false">1/B370</f>
        <v>0.00319335781574325</v>
      </c>
      <c r="D370" s="1" t="n">
        <v>1.7552</v>
      </c>
      <c r="E370" s="1" t="n">
        <f aca="false">LN(D370)</f>
        <v>0.562582810538829</v>
      </c>
    </row>
    <row r="371" customFormat="false" ht="15.75" hidden="false" customHeight="false" outlineLevel="0" collapsed="false">
      <c r="A371" s="1" t="s">
        <v>498</v>
      </c>
      <c r="B371" s="1" t="n">
        <v>313.15</v>
      </c>
      <c r="C371" s="1" t="n">
        <f aca="false">1/B371</f>
        <v>0.00319335781574325</v>
      </c>
      <c r="D371" s="1" t="n">
        <v>1.817</v>
      </c>
      <c r="E371" s="1" t="n">
        <f aca="false">LN(D371)</f>
        <v>0.597186789414034</v>
      </c>
    </row>
    <row r="372" customFormat="false" ht="15.75" hidden="false" customHeight="false" outlineLevel="0" collapsed="false">
      <c r="A372" s="1" t="s">
        <v>498</v>
      </c>
      <c r="B372" s="1" t="n">
        <v>303.15</v>
      </c>
      <c r="C372" s="1" t="n">
        <f aca="false">1/B372</f>
        <v>0.0032986970146792</v>
      </c>
      <c r="D372" s="1" t="n">
        <v>2.2896</v>
      </c>
      <c r="E372" s="1" t="n">
        <f aca="false">LN(D372)</f>
        <v>0.828377129820049</v>
      </c>
    </row>
    <row r="373" customFormat="false" ht="15.75" hidden="false" customHeight="false" outlineLevel="0" collapsed="false">
      <c r="A373" s="1" t="s">
        <v>498</v>
      </c>
      <c r="B373" s="1" t="n">
        <v>313.15</v>
      </c>
      <c r="C373" s="1" t="n">
        <f aca="false">1/B373</f>
        <v>0.00319335781574325</v>
      </c>
      <c r="D373" s="1" t="n">
        <v>1.7955</v>
      </c>
      <c r="E373" s="1" t="n">
        <f aca="false">LN(D373)</f>
        <v>0.585283534684</v>
      </c>
    </row>
    <row r="374" customFormat="false" ht="15.75" hidden="false" customHeight="false" outlineLevel="0" collapsed="false">
      <c r="A374" s="1" t="s">
        <v>498</v>
      </c>
      <c r="B374" s="1" t="n">
        <v>298.15211</v>
      </c>
      <c r="C374" s="1" t="n">
        <f aca="false">1/B374</f>
        <v>0.00335399269855913</v>
      </c>
      <c r="D374" s="1" t="n">
        <v>2.62</v>
      </c>
      <c r="E374" s="1" t="n">
        <f aca="false">LN(D374)</f>
        <v>0.963174317773006</v>
      </c>
    </row>
    <row r="375" customFormat="false" ht="15.75" hidden="false" customHeight="false" outlineLevel="0" collapsed="false">
      <c r="A375" s="1" t="s">
        <v>498</v>
      </c>
      <c r="B375" s="1" t="n">
        <v>293.15196</v>
      </c>
      <c r="C375" s="1" t="n">
        <f aca="false">1/B375</f>
        <v>0.00341120011614454</v>
      </c>
      <c r="D375" s="1" t="n">
        <v>2.962</v>
      </c>
      <c r="E375" s="1" t="n">
        <f aca="false">LN(D375)</f>
        <v>1.08586471584561</v>
      </c>
    </row>
    <row r="376" customFormat="false" ht="15.75" hidden="false" customHeight="false" outlineLevel="0" collapsed="false">
      <c r="A376" s="1" t="s">
        <v>498</v>
      </c>
      <c r="B376" s="1" t="n">
        <v>298.15</v>
      </c>
      <c r="C376" s="1" t="n">
        <f aca="false">1/B376</f>
        <v>0.00335401643468053</v>
      </c>
      <c r="D376" s="1" t="n">
        <v>2.593</v>
      </c>
      <c r="E376" s="1" t="n">
        <f aca="false">LN(D376)</f>
        <v>0.952815506556527</v>
      </c>
    </row>
    <row r="377" customFormat="false" ht="15.75" hidden="false" customHeight="false" outlineLevel="0" collapsed="false">
      <c r="A377" s="1" t="s">
        <v>498</v>
      </c>
      <c r="B377" s="1" t="n">
        <v>303.15183</v>
      </c>
      <c r="C377" s="1" t="n">
        <f aca="false">1/B377</f>
        <v>0.00329867710183376</v>
      </c>
      <c r="D377" s="1" t="n">
        <v>2.276</v>
      </c>
      <c r="E377" s="1" t="n">
        <f aca="false">LN(D377)</f>
        <v>0.822419516264084</v>
      </c>
    </row>
    <row r="378" customFormat="false" ht="15.75" hidden="false" customHeight="false" outlineLevel="0" collapsed="false">
      <c r="A378" s="1" t="s">
        <v>498</v>
      </c>
      <c r="B378" s="1" t="n">
        <v>335.14</v>
      </c>
      <c r="C378" s="1" t="n">
        <f aca="false">1/B378</f>
        <v>0.0029838276541147</v>
      </c>
      <c r="D378" s="1" t="n">
        <v>1.0903</v>
      </c>
      <c r="E378" s="1" t="n">
        <f aca="false">LN(D378)</f>
        <v>0.0864528877301991</v>
      </c>
    </row>
    <row r="379" customFormat="false" ht="15.75" hidden="false" customHeight="false" outlineLevel="0" collapsed="false">
      <c r="A379" s="1" t="s">
        <v>498</v>
      </c>
      <c r="B379" s="1" t="n">
        <v>356.28</v>
      </c>
      <c r="C379" s="1" t="n">
        <f aca="false">1/B379</f>
        <v>0.00280678118333895</v>
      </c>
      <c r="D379" s="1" t="n">
        <v>0.7183</v>
      </c>
      <c r="E379" s="1" t="n">
        <f aca="false">LN(D379)</f>
        <v>-0.330867969901381</v>
      </c>
    </row>
    <row r="380" customFormat="false" ht="15.75" hidden="false" customHeight="false" outlineLevel="0" collapsed="false">
      <c r="A380" s="1" t="s">
        <v>500</v>
      </c>
      <c r="B380" s="1" t="n">
        <v>273.15</v>
      </c>
      <c r="C380" s="1" t="n">
        <f aca="false">1/B380</f>
        <v>0.00366099212886692</v>
      </c>
      <c r="D380" s="1" t="n">
        <v>0.5816</v>
      </c>
      <c r="E380" s="1" t="n">
        <f aca="false">LN(D380)</f>
        <v>-0.541972352762827</v>
      </c>
    </row>
    <row r="381" customFormat="false" ht="15.75" hidden="false" customHeight="false" outlineLevel="0" collapsed="false">
      <c r="A381" s="1" t="s">
        <v>500</v>
      </c>
      <c r="B381" s="1" t="n">
        <v>279.12</v>
      </c>
      <c r="C381" s="1" t="n">
        <f aca="false">1/B381</f>
        <v>0.00358268844941244</v>
      </c>
      <c r="D381" s="1" t="n">
        <v>0.5401</v>
      </c>
      <c r="E381" s="1" t="n">
        <f aca="false">LN(D381)</f>
        <v>-0.616000971383292</v>
      </c>
    </row>
    <row r="382" customFormat="false" ht="15.75" hidden="false" customHeight="false" outlineLevel="0" collapsed="false">
      <c r="A382" s="1" t="s">
        <v>500</v>
      </c>
      <c r="B382" s="1" t="n">
        <v>285.1</v>
      </c>
      <c r="C382" s="1" t="n">
        <f aca="false">1/B382</f>
        <v>0.00350754121360926</v>
      </c>
      <c r="D382" s="1" t="n">
        <v>0.5015</v>
      </c>
      <c r="E382" s="1" t="n">
        <f aca="false">LN(D382)</f>
        <v>-0.690151671580147</v>
      </c>
    </row>
    <row r="383" customFormat="false" ht="15.75" hidden="false" customHeight="false" outlineLevel="0" collapsed="false">
      <c r="A383" s="1" t="s">
        <v>500</v>
      </c>
      <c r="B383" s="1" t="n">
        <v>291.84</v>
      </c>
      <c r="C383" s="1" t="n">
        <f aca="false">1/B383</f>
        <v>0.0034265350877193</v>
      </c>
      <c r="D383" s="1" t="n">
        <v>0.4637</v>
      </c>
      <c r="E383" s="1" t="n">
        <f aca="false">LN(D383)</f>
        <v>-0.768517487584722</v>
      </c>
    </row>
    <row r="384" customFormat="false" ht="15.75" hidden="false" customHeight="false" outlineLevel="0" collapsed="false">
      <c r="A384" s="1" t="s">
        <v>500</v>
      </c>
      <c r="B384" s="1" t="n">
        <v>296.62</v>
      </c>
      <c r="C384" s="1" t="n">
        <f aca="false">1/B384</f>
        <v>0.00337131683635628</v>
      </c>
      <c r="D384" s="1" t="n">
        <v>0.4386</v>
      </c>
      <c r="E384" s="1" t="n">
        <f aca="false">LN(D384)</f>
        <v>-0.824167442998349</v>
      </c>
    </row>
    <row r="385" customFormat="false" ht="15.75" hidden="false" customHeight="false" outlineLevel="0" collapsed="false">
      <c r="A385" s="1" t="s">
        <v>500</v>
      </c>
      <c r="B385" s="1" t="n">
        <v>302.61</v>
      </c>
      <c r="C385" s="1" t="n">
        <f aca="false">1/B385</f>
        <v>0.00330458345725521</v>
      </c>
      <c r="D385" s="1" t="n">
        <v>0.4102</v>
      </c>
      <c r="E385" s="1" t="n">
        <f aca="false">LN(D385)</f>
        <v>-0.891110433343857</v>
      </c>
    </row>
    <row r="386" customFormat="false" ht="15.75" hidden="false" customHeight="false" outlineLevel="0" collapsed="false">
      <c r="A386" s="1" t="s">
        <v>500</v>
      </c>
      <c r="B386" s="1" t="n">
        <v>310.47</v>
      </c>
      <c r="C386" s="1" t="n">
        <f aca="false">1/B386</f>
        <v>0.00322092311656521</v>
      </c>
      <c r="D386" s="1" t="n">
        <v>0.3768</v>
      </c>
      <c r="E386" s="1" t="n">
        <f aca="false">LN(D386)</f>
        <v>-0.976040736279929</v>
      </c>
    </row>
    <row r="387" customFormat="false" ht="15.75" hidden="false" customHeight="false" outlineLevel="0" collapsed="false">
      <c r="A387" s="1" t="s">
        <v>500</v>
      </c>
      <c r="B387" s="1" t="n">
        <v>315.58</v>
      </c>
      <c r="C387" s="1" t="n">
        <f aca="false">1/B387</f>
        <v>0.00316876861651562</v>
      </c>
      <c r="D387" s="1" t="n">
        <v>0.3575</v>
      </c>
      <c r="E387" s="1" t="n">
        <f aca="false">LN(D387)</f>
        <v>-1.02861991684807</v>
      </c>
    </row>
    <row r="388" customFormat="false" ht="15.75" hidden="false" customHeight="false" outlineLevel="0" collapsed="false">
      <c r="A388" s="1" t="s">
        <v>500</v>
      </c>
      <c r="B388" s="1" t="n">
        <v>321.86</v>
      </c>
      <c r="C388" s="1" t="n">
        <f aca="false">1/B388</f>
        <v>0.00310694090598397</v>
      </c>
      <c r="D388" s="1" t="n">
        <v>0.3359</v>
      </c>
      <c r="E388" s="1" t="n">
        <f aca="false">LN(D388)</f>
        <v>-1.09094178236389</v>
      </c>
    </row>
    <row r="389" customFormat="false" ht="15.75" hidden="false" customHeight="false" outlineLevel="0" collapsed="false">
      <c r="A389" s="1" t="s">
        <v>500</v>
      </c>
      <c r="B389" s="1" t="n">
        <v>326.89</v>
      </c>
      <c r="C389" s="1" t="n">
        <f aca="false">1/B389</f>
        <v>0.00305913304169598</v>
      </c>
      <c r="D389" s="1" t="n">
        <v>0.3197</v>
      </c>
      <c r="E389" s="1" t="n">
        <f aca="false">LN(D389)</f>
        <v>-1.14037222291634</v>
      </c>
    </row>
    <row r="390" customFormat="false" ht="15.75" hidden="false" customHeight="false" outlineLevel="0" collapsed="false">
      <c r="A390" s="1" t="s">
        <v>500</v>
      </c>
      <c r="B390" s="1" t="n">
        <v>333.41</v>
      </c>
      <c r="C390" s="1" t="n">
        <f aca="false">1/B390</f>
        <v>0.00299931015866351</v>
      </c>
      <c r="D390" s="1" t="n">
        <v>0.3007</v>
      </c>
      <c r="E390" s="1" t="n">
        <f aca="false">LN(D390)</f>
        <v>-1.20164218898765</v>
      </c>
    </row>
    <row r="391" customFormat="false" ht="15.75" hidden="false" customHeight="false" outlineLevel="0" collapsed="false">
      <c r="A391" s="1" t="s">
        <v>500</v>
      </c>
      <c r="B391" s="1" t="n">
        <v>338.45</v>
      </c>
      <c r="C391" s="1" t="n">
        <f aca="false">1/B391</f>
        <v>0.00295464618111981</v>
      </c>
      <c r="D391" s="1" t="n">
        <v>0.2877</v>
      </c>
      <c r="E391" s="1" t="n">
        <f aca="false">LN(D391)</f>
        <v>-1.24583700842463</v>
      </c>
    </row>
    <row r="392" customFormat="false" ht="15.75" hidden="false" customHeight="false" outlineLevel="0" collapsed="false">
      <c r="A392" s="1" t="s">
        <v>16</v>
      </c>
      <c r="B392" s="1" t="n">
        <v>298.15</v>
      </c>
      <c r="C392" s="1" t="n">
        <f aca="false">1/B392</f>
        <v>0.00335401643468053</v>
      </c>
      <c r="D392" s="1" t="n">
        <v>0.4229</v>
      </c>
      <c r="E392" s="1" t="n">
        <f aca="false">LN(D392)</f>
        <v>-0.860619534503694</v>
      </c>
    </row>
    <row r="393" customFormat="false" ht="15.75" hidden="false" customHeight="false" outlineLevel="0" collapsed="false">
      <c r="A393" s="1" t="s">
        <v>16</v>
      </c>
      <c r="B393" s="1" t="n">
        <v>313.15</v>
      </c>
      <c r="C393" s="1" t="n">
        <f aca="false">1/B393</f>
        <v>0.00319335781574325</v>
      </c>
      <c r="D393" s="1" t="n">
        <v>0.3583</v>
      </c>
      <c r="E393" s="1" t="n">
        <f aca="false">LN(D393)</f>
        <v>-1.02638465467123</v>
      </c>
    </row>
    <row r="394" customFormat="false" ht="15.75" hidden="false" customHeight="false" outlineLevel="0" collapsed="false">
      <c r="A394" s="1" t="s">
        <v>502</v>
      </c>
      <c r="B394" s="1" t="n">
        <v>241</v>
      </c>
      <c r="C394" s="1" t="n">
        <f aca="false">1/B394</f>
        <v>0.004149377593361</v>
      </c>
      <c r="D394" s="1" t="n">
        <v>0.515</v>
      </c>
      <c r="E394" s="1" t="n">
        <f aca="false">LN(D394)</f>
        <v>-0.663588378318401</v>
      </c>
    </row>
    <row r="395" customFormat="false" ht="15.75" hidden="false" customHeight="false" outlineLevel="0" collapsed="false">
      <c r="A395" s="1" t="s">
        <v>502</v>
      </c>
      <c r="B395" s="1" t="n">
        <v>245</v>
      </c>
      <c r="C395" s="1" t="n">
        <f aca="false">1/B395</f>
        <v>0.00408163265306122</v>
      </c>
      <c r="D395" s="1" t="n">
        <v>0.494</v>
      </c>
      <c r="E395" s="1" t="n">
        <f aca="false">LN(D395)</f>
        <v>-0.705219761794215</v>
      </c>
    </row>
    <row r="396" customFormat="false" ht="15.75" hidden="false" customHeight="false" outlineLevel="0" collapsed="false">
      <c r="A396" s="1" t="s">
        <v>502</v>
      </c>
      <c r="B396" s="1" t="n">
        <v>249</v>
      </c>
      <c r="C396" s="1" t="n">
        <f aca="false">1/B396</f>
        <v>0.00401606425702811</v>
      </c>
      <c r="D396" s="1" t="n">
        <v>0.473</v>
      </c>
      <c r="E396" s="1" t="n">
        <f aca="false">LN(D396)</f>
        <v>-0.748659890490204</v>
      </c>
    </row>
    <row r="397" customFormat="false" ht="15.75" hidden="false" customHeight="false" outlineLevel="0" collapsed="false">
      <c r="A397" s="1" t="s">
        <v>502</v>
      </c>
      <c r="B397" s="1" t="n">
        <v>257</v>
      </c>
      <c r="C397" s="1" t="n">
        <f aca="false">1/B397</f>
        <v>0.00389105058365759</v>
      </c>
      <c r="D397" s="1" t="n">
        <v>0.436</v>
      </c>
      <c r="E397" s="1" t="n">
        <f aca="false">LN(D397)</f>
        <v>-0.830113035633103</v>
      </c>
    </row>
    <row r="398" customFormat="false" ht="15.75" hidden="false" customHeight="false" outlineLevel="0" collapsed="false">
      <c r="A398" s="1" t="s">
        <v>502</v>
      </c>
      <c r="B398" s="1" t="n">
        <v>261</v>
      </c>
      <c r="C398" s="1" t="n">
        <f aca="false">1/B398</f>
        <v>0.00383141762452107</v>
      </c>
      <c r="D398" s="1" t="n">
        <v>0.42</v>
      </c>
      <c r="E398" s="1" t="n">
        <f aca="false">LN(D398)</f>
        <v>-0.867500567704723</v>
      </c>
    </row>
    <row r="399" customFormat="false" ht="15.75" hidden="false" customHeight="false" outlineLevel="0" collapsed="false">
      <c r="A399" s="1" t="s">
        <v>502</v>
      </c>
      <c r="B399" s="1" t="n">
        <v>269</v>
      </c>
      <c r="C399" s="1" t="n">
        <f aca="false">1/B399</f>
        <v>0.00371747211895911</v>
      </c>
      <c r="D399" s="1" t="n">
        <v>0.39</v>
      </c>
      <c r="E399" s="1" t="n">
        <f aca="false">LN(D399)</f>
        <v>-0.941608539858445</v>
      </c>
    </row>
    <row r="400" customFormat="false" ht="15.75" hidden="false" customHeight="false" outlineLevel="0" collapsed="false">
      <c r="A400" s="1" t="s">
        <v>502</v>
      </c>
      <c r="B400" s="1" t="n">
        <v>273</v>
      </c>
      <c r="C400" s="1" t="n">
        <f aca="false">1/B400</f>
        <v>0.00366300366300366</v>
      </c>
      <c r="D400" s="1" t="n">
        <v>0.377</v>
      </c>
      <c r="E400" s="1" t="n">
        <f aca="false">LN(D400)</f>
        <v>-0.975510091534126</v>
      </c>
    </row>
    <row r="401" customFormat="false" ht="15.75" hidden="false" customHeight="false" outlineLevel="0" collapsed="false">
      <c r="A401" s="1" t="s">
        <v>502</v>
      </c>
      <c r="B401" s="1" t="n">
        <v>277</v>
      </c>
      <c r="C401" s="1" t="n">
        <f aca="false">1/B401</f>
        <v>0.0036101083032491</v>
      </c>
      <c r="D401" s="1" t="n">
        <v>0.364</v>
      </c>
      <c r="E401" s="1" t="n">
        <f aca="false">LN(D401)</f>
        <v>-1.0106014113454</v>
      </c>
    </row>
    <row r="402" customFormat="false" ht="15.75" hidden="false" customHeight="false" outlineLevel="0" collapsed="false">
      <c r="A402" s="1" t="s">
        <v>502</v>
      </c>
      <c r="B402" s="1" t="n">
        <v>281</v>
      </c>
      <c r="C402" s="1" t="n">
        <f aca="false">1/B402</f>
        <v>0.00355871886120996</v>
      </c>
      <c r="D402" s="1" t="n">
        <v>0.352</v>
      </c>
      <c r="E402" s="1" t="n">
        <f aca="false">LN(D402)</f>
        <v>-1.04412410338404</v>
      </c>
    </row>
    <row r="403" customFormat="false" ht="15.75" hidden="false" customHeight="false" outlineLevel="0" collapsed="false">
      <c r="A403" s="1" t="s">
        <v>502</v>
      </c>
      <c r="B403" s="1" t="n">
        <v>289</v>
      </c>
      <c r="C403" s="1" t="n">
        <f aca="false">1/B403</f>
        <v>0.00346020761245675</v>
      </c>
      <c r="D403" s="1" t="n">
        <v>0.331</v>
      </c>
      <c r="E403" s="1" t="n">
        <f aca="false">LN(D403)</f>
        <v>-1.10563690360507</v>
      </c>
    </row>
    <row r="404" customFormat="false" ht="15.75" hidden="false" customHeight="false" outlineLevel="0" collapsed="false">
      <c r="A404" s="1" t="s">
        <v>502</v>
      </c>
      <c r="B404" s="1" t="n">
        <v>293</v>
      </c>
      <c r="C404" s="1" t="n">
        <f aca="false">1/B404</f>
        <v>0.00341296928327645</v>
      </c>
      <c r="D404" s="1" t="n">
        <v>0.321</v>
      </c>
      <c r="E404" s="1" t="n">
        <f aca="false">LN(D404)</f>
        <v>-1.13631415585212</v>
      </c>
    </row>
    <row r="405" customFormat="false" ht="15.75" hidden="false" customHeight="false" outlineLevel="0" collapsed="false">
      <c r="A405" s="1" t="s">
        <v>502</v>
      </c>
      <c r="B405" s="1" t="n">
        <v>301</v>
      </c>
      <c r="C405" s="1" t="n">
        <f aca="false">1/B405</f>
        <v>0.00332225913621262</v>
      </c>
      <c r="D405" s="1" t="n">
        <v>0.303</v>
      </c>
      <c r="E405" s="1" t="n">
        <f aca="false">LN(D405)</f>
        <v>-1.19402247347277</v>
      </c>
    </row>
    <row r="406" customFormat="false" ht="15.75" hidden="false" customHeight="false" outlineLevel="0" collapsed="false">
      <c r="A406" s="1" t="s">
        <v>502</v>
      </c>
      <c r="B406" s="1" t="n">
        <v>305</v>
      </c>
      <c r="C406" s="1" t="n">
        <f aca="false">1/B406</f>
        <v>0.00327868852459016</v>
      </c>
      <c r="D406" s="1" t="n">
        <v>0.294</v>
      </c>
      <c r="E406" s="1" t="n">
        <f aca="false">LN(D406)</f>
        <v>-1.22417551164346</v>
      </c>
    </row>
    <row r="407" customFormat="false" ht="15.75" hidden="false" customHeight="false" outlineLevel="0" collapsed="false">
      <c r="A407" s="1" t="s">
        <v>502</v>
      </c>
      <c r="B407" s="1" t="n">
        <v>309</v>
      </c>
      <c r="C407" s="1" t="n">
        <f aca="false">1/B407</f>
        <v>0.00323624595469256</v>
      </c>
      <c r="D407" s="1" t="n">
        <v>0.286</v>
      </c>
      <c r="E407" s="1" t="n">
        <f aca="false">LN(D407)</f>
        <v>-1.25176346816228</v>
      </c>
    </row>
    <row r="408" customFormat="false" ht="15.75" hidden="false" customHeight="false" outlineLevel="0" collapsed="false">
      <c r="A408" s="1" t="s">
        <v>502</v>
      </c>
      <c r="B408" s="1" t="n">
        <v>313</v>
      </c>
      <c r="C408" s="1" t="n">
        <f aca="false">1/B408</f>
        <v>0.00319488817891374</v>
      </c>
      <c r="D408" s="1" t="n">
        <v>0.278</v>
      </c>
      <c r="E408" s="1" t="n">
        <f aca="false">LN(D408)</f>
        <v>-1.2801341652915</v>
      </c>
    </row>
    <row r="409" customFormat="false" ht="15.75" hidden="false" customHeight="false" outlineLevel="0" collapsed="false">
      <c r="A409" s="1" t="s">
        <v>502</v>
      </c>
      <c r="B409" s="1" t="n">
        <v>321</v>
      </c>
      <c r="C409" s="1" t="n">
        <f aca="false">1/B409</f>
        <v>0.00311526479750779</v>
      </c>
      <c r="D409" s="1" t="n">
        <v>0.265</v>
      </c>
      <c r="E409" s="1" t="n">
        <f aca="false">LN(D409)</f>
        <v>-1.32802545299591</v>
      </c>
    </row>
    <row r="410" customFormat="false" ht="15.75" hidden="false" customHeight="false" outlineLevel="0" collapsed="false">
      <c r="A410" s="1" t="s">
        <v>502</v>
      </c>
      <c r="B410" s="1" t="n">
        <v>325</v>
      </c>
      <c r="C410" s="1" t="n">
        <f aca="false">1/B410</f>
        <v>0.00307692307692308</v>
      </c>
      <c r="D410" s="1" t="n">
        <v>0.258</v>
      </c>
      <c r="E410" s="1" t="n">
        <f aca="false">LN(D410)</f>
        <v>-1.35479569406052</v>
      </c>
    </row>
    <row r="411" customFormat="false" ht="15.75" hidden="false" customHeight="false" outlineLevel="0" collapsed="false">
      <c r="A411" s="1" t="s">
        <v>502</v>
      </c>
      <c r="B411" s="1" t="n">
        <v>333</v>
      </c>
      <c r="C411" s="1" t="n">
        <f aca="false">1/B411</f>
        <v>0.003003003003003</v>
      </c>
      <c r="D411" s="1" t="n">
        <v>0.246</v>
      </c>
      <c r="E411" s="1" t="n">
        <f aca="false">LN(D411)</f>
        <v>-1.40242374304977</v>
      </c>
    </row>
    <row r="412" customFormat="false" ht="15.75" hidden="false" customHeight="false" outlineLevel="0" collapsed="false">
      <c r="A412" s="1" t="s">
        <v>502</v>
      </c>
      <c r="B412" s="1" t="n">
        <v>253</v>
      </c>
      <c r="C412" s="1" t="n">
        <f aca="false">1/B412</f>
        <v>0.00395256916996047</v>
      </c>
      <c r="D412" s="1" t="n">
        <v>0.454</v>
      </c>
      <c r="E412" s="1" t="n">
        <f aca="false">LN(D412)</f>
        <v>-0.789658080940789</v>
      </c>
    </row>
    <row r="413" customFormat="false" ht="15.75" hidden="false" customHeight="false" outlineLevel="0" collapsed="false">
      <c r="A413" s="1" t="s">
        <v>502</v>
      </c>
      <c r="B413" s="1" t="n">
        <v>265</v>
      </c>
      <c r="C413" s="1" t="n">
        <f aca="false">1/B413</f>
        <v>0.00377358490566038</v>
      </c>
      <c r="D413" s="1" t="n">
        <v>0.405</v>
      </c>
      <c r="E413" s="1" t="n">
        <f aca="false">LN(D413)</f>
        <v>-0.903868211875598</v>
      </c>
    </row>
    <row r="414" customFormat="false" ht="15.75" hidden="false" customHeight="false" outlineLevel="0" collapsed="false">
      <c r="A414" s="1" t="s">
        <v>502</v>
      </c>
      <c r="B414" s="1" t="n">
        <v>285</v>
      </c>
      <c r="C414" s="1" t="n">
        <f aca="false">1/B414</f>
        <v>0.00350877192982456</v>
      </c>
      <c r="D414" s="1" t="n">
        <v>0.341</v>
      </c>
      <c r="E414" s="1" t="n">
        <f aca="false">LN(D414)</f>
        <v>-1.07587280169862</v>
      </c>
    </row>
    <row r="415" customFormat="false" ht="15.75" hidden="false" customHeight="false" outlineLevel="0" collapsed="false">
      <c r="A415" s="1" t="s">
        <v>502</v>
      </c>
      <c r="B415" s="1" t="n">
        <v>297</v>
      </c>
      <c r="C415" s="1" t="n">
        <f aca="false">1/B415</f>
        <v>0.00336700336700337</v>
      </c>
      <c r="D415" s="1" t="n">
        <v>0.311</v>
      </c>
      <c r="E415" s="1" t="n">
        <f aca="false">LN(D415)</f>
        <v>-1.1679623668029</v>
      </c>
    </row>
    <row r="416" customFormat="false" ht="15.75" hidden="false" customHeight="false" outlineLevel="0" collapsed="false">
      <c r="A416" s="1" t="s">
        <v>502</v>
      </c>
      <c r="B416" s="1" t="n">
        <v>317</v>
      </c>
      <c r="C416" s="1" t="n">
        <f aca="false">1/B416</f>
        <v>0.00315457413249211</v>
      </c>
      <c r="D416" s="1" t="n">
        <v>0.271</v>
      </c>
      <c r="E416" s="1" t="n">
        <f aca="false">LN(D416)</f>
        <v>-1.30563645810244</v>
      </c>
    </row>
    <row r="417" customFormat="false" ht="15.75" hidden="false" customHeight="false" outlineLevel="0" collapsed="false">
      <c r="A417" s="1" t="s">
        <v>502</v>
      </c>
      <c r="B417" s="1" t="n">
        <v>329</v>
      </c>
      <c r="C417" s="1" t="n">
        <f aca="false">1/B417</f>
        <v>0.00303951367781155</v>
      </c>
      <c r="D417" s="1" t="n">
        <v>0.253</v>
      </c>
      <c r="E417" s="1" t="n">
        <f aca="false">LN(D417)</f>
        <v>-1.37436579025462</v>
      </c>
    </row>
    <row r="418" customFormat="false" ht="15.75" hidden="false" customHeight="false" outlineLevel="0" collapsed="false">
      <c r="A418" s="1" t="s">
        <v>504</v>
      </c>
      <c r="B418" s="1" t="n">
        <v>273.64</v>
      </c>
      <c r="C418" s="1" t="n">
        <f aca="false">1/B418</f>
        <v>0.00365443648589388</v>
      </c>
      <c r="D418" s="1" t="n">
        <v>0.4327</v>
      </c>
      <c r="E418" s="1" t="n">
        <f aca="false">LN(D418)</f>
        <v>-0.837710631751298</v>
      </c>
    </row>
    <row r="419" customFormat="false" ht="15.75" hidden="false" customHeight="false" outlineLevel="0" collapsed="false">
      <c r="A419" s="1" t="s">
        <v>504</v>
      </c>
      <c r="B419" s="1" t="n">
        <v>278.39</v>
      </c>
      <c r="C419" s="1" t="n">
        <f aca="false">1/B419</f>
        <v>0.00359208304896009</v>
      </c>
      <c r="D419" s="1" t="n">
        <v>0.4104</v>
      </c>
      <c r="E419" s="1" t="n">
        <f aca="false">LN(D419)</f>
        <v>-0.890622985125577</v>
      </c>
    </row>
    <row r="420" customFormat="false" ht="15.75" hidden="false" customHeight="false" outlineLevel="0" collapsed="false">
      <c r="A420" s="1" t="s">
        <v>504</v>
      </c>
      <c r="B420" s="1" t="n">
        <v>283.21</v>
      </c>
      <c r="C420" s="1" t="n">
        <f aca="false">1/B420</f>
        <v>0.00353094876593341</v>
      </c>
      <c r="D420" s="1" t="n">
        <v>0.3894</v>
      </c>
      <c r="E420" s="1" t="n">
        <f aca="false">LN(D420)</f>
        <v>-0.943148186044038</v>
      </c>
    </row>
    <row r="421" customFormat="false" ht="15.75" hidden="false" customHeight="false" outlineLevel="0" collapsed="false">
      <c r="A421" s="1" t="s">
        <v>504</v>
      </c>
      <c r="B421" s="1" t="n">
        <v>287.8</v>
      </c>
      <c r="C421" s="1" t="n">
        <f aca="false">1/B421</f>
        <v>0.00347463516330785</v>
      </c>
      <c r="D421" s="1" t="n">
        <v>0.3709</v>
      </c>
      <c r="E421" s="1" t="n">
        <f aca="false">LN(D421)</f>
        <v>-0.991822794486592</v>
      </c>
    </row>
    <row r="422" customFormat="false" ht="15.75" hidden="false" customHeight="false" outlineLevel="0" collapsed="false">
      <c r="A422" s="1" t="s">
        <v>504</v>
      </c>
      <c r="B422" s="1" t="n">
        <v>293.86</v>
      </c>
      <c r="C422" s="1" t="n">
        <f aca="false">1/B422</f>
        <v>0.00340298101136596</v>
      </c>
      <c r="D422" s="1" t="n">
        <v>0.3495</v>
      </c>
      <c r="E422" s="1" t="n">
        <f aca="false">LN(D422)</f>
        <v>-1.05125171730827</v>
      </c>
    </row>
    <row r="423" customFormat="false" ht="15.75" hidden="false" customHeight="false" outlineLevel="0" collapsed="false">
      <c r="A423" s="1" t="s">
        <v>504</v>
      </c>
      <c r="B423" s="1" t="n">
        <v>298.91</v>
      </c>
      <c r="C423" s="1" t="n">
        <f aca="false">1/B423</f>
        <v>0.00334548860861129</v>
      </c>
      <c r="D423" s="1" t="n">
        <v>0.3344</v>
      </c>
      <c r="E423" s="1" t="n">
        <f aca="false">LN(D423)</f>
        <v>-1.09541739777159</v>
      </c>
    </row>
    <row r="424" customFormat="false" ht="15.75" hidden="false" customHeight="false" outlineLevel="0" collapsed="false">
      <c r="A424" s="1" t="s">
        <v>504</v>
      </c>
      <c r="B424" s="1" t="n">
        <v>303.53</v>
      </c>
      <c r="C424" s="1" t="n">
        <f aca="false">1/B424</f>
        <v>0.00329456725859058</v>
      </c>
      <c r="D424" s="1" t="n">
        <v>0.3178</v>
      </c>
      <c r="E424" s="1" t="n">
        <f aca="false">LN(D424)</f>
        <v>-1.14633302487952</v>
      </c>
    </row>
    <row r="425" customFormat="false" ht="15.75" hidden="false" customHeight="false" outlineLevel="0" collapsed="false">
      <c r="A425" s="1" t="s">
        <v>504</v>
      </c>
      <c r="B425" s="1" t="n">
        <v>308.53</v>
      </c>
      <c r="C425" s="1" t="n">
        <f aca="false">1/B425</f>
        <v>0.00324117589861602</v>
      </c>
      <c r="D425" s="1" t="n">
        <v>0.3038</v>
      </c>
      <c r="E425" s="1" t="n">
        <f aca="false">LN(D425)</f>
        <v>-1.19138568882046</v>
      </c>
    </row>
    <row r="426" customFormat="false" ht="15.75" hidden="false" customHeight="false" outlineLevel="0" collapsed="false">
      <c r="A426" s="1" t="s">
        <v>504</v>
      </c>
      <c r="B426" s="1" t="n">
        <v>313.97</v>
      </c>
      <c r="C426" s="1" t="n">
        <f aca="false">1/B426</f>
        <v>0.00318501767684811</v>
      </c>
      <c r="D426" s="1" t="n">
        <v>0.2887</v>
      </c>
      <c r="E426" s="1" t="n">
        <f aca="false">LN(D426)</f>
        <v>-1.24236719231325</v>
      </c>
    </row>
    <row r="427" customFormat="false" ht="15.75" hidden="false" customHeight="false" outlineLevel="0" collapsed="false">
      <c r="A427" s="1" t="s">
        <v>504</v>
      </c>
      <c r="B427" s="1" t="n">
        <v>317.83</v>
      </c>
      <c r="C427" s="1" t="n">
        <f aca="false">1/B427</f>
        <v>0.00314633609162131</v>
      </c>
      <c r="D427" s="1" t="n">
        <v>0.2784</v>
      </c>
      <c r="E427" s="1" t="n">
        <f aca="false">LN(D427)</f>
        <v>-1.27869635052187</v>
      </c>
    </row>
    <row r="428" customFormat="false" ht="15.75" hidden="false" customHeight="false" outlineLevel="0" collapsed="false">
      <c r="A428" s="1" t="s">
        <v>504</v>
      </c>
      <c r="B428" s="1" t="n">
        <v>288.1525</v>
      </c>
      <c r="C428" s="1" t="n">
        <f aca="false">1/B428</f>
        <v>0.00347038460537389</v>
      </c>
      <c r="D428" s="1" t="n">
        <v>0.372</v>
      </c>
      <c r="E428" s="1" t="n">
        <f aca="false">LN(D428)</f>
        <v>-0.98886142470899</v>
      </c>
    </row>
    <row r="429" customFormat="false" ht="15.75" hidden="false" customHeight="false" outlineLevel="0" collapsed="false">
      <c r="A429" s="1" t="s">
        <v>504</v>
      </c>
      <c r="B429" s="1" t="n">
        <v>303.15</v>
      </c>
      <c r="C429" s="1" t="n">
        <f aca="false">1/B429</f>
        <v>0.0032986970146792</v>
      </c>
      <c r="D429" s="1" t="n">
        <v>0.318</v>
      </c>
      <c r="E429" s="1" t="n">
        <f aca="false">LN(D429)</f>
        <v>-1.14570389620196</v>
      </c>
    </row>
    <row r="430" customFormat="false" ht="15.75" hidden="false" customHeight="false" outlineLevel="0" collapsed="false">
      <c r="A430" s="1" t="s">
        <v>506</v>
      </c>
      <c r="B430" s="1" t="n">
        <v>298.15</v>
      </c>
      <c r="C430" s="1" t="n">
        <f aca="false">1/B430</f>
        <v>0.00335401643468053</v>
      </c>
      <c r="D430" s="1" t="n">
        <v>2.427</v>
      </c>
      <c r="E430" s="1" t="n">
        <f aca="false">LN(D430)</f>
        <v>0.886655926744464</v>
      </c>
    </row>
    <row r="431" customFormat="false" ht="15.75" hidden="false" customHeight="false" outlineLevel="0" collapsed="false">
      <c r="A431" s="1" t="s">
        <v>506</v>
      </c>
      <c r="B431" s="1" t="n">
        <v>303.15</v>
      </c>
      <c r="C431" s="1" t="n">
        <f aca="false">1/B431</f>
        <v>0.0032986970146792</v>
      </c>
      <c r="D431" s="1" t="n">
        <v>2.19</v>
      </c>
      <c r="E431" s="1" t="n">
        <f aca="false">LN(D431)</f>
        <v>0.783901543828409</v>
      </c>
    </row>
    <row r="432" customFormat="false" ht="15.75" hidden="false" customHeight="false" outlineLevel="0" collapsed="false">
      <c r="A432" s="1" t="s">
        <v>506</v>
      </c>
      <c r="B432" s="1" t="n">
        <v>313.15</v>
      </c>
      <c r="C432" s="1" t="n">
        <f aca="false">1/B432</f>
        <v>0.00319335781574325</v>
      </c>
      <c r="D432" s="1" t="n">
        <v>1.835</v>
      </c>
      <c r="E432" s="1" t="n">
        <f aca="false">LN(D432)</f>
        <v>0.607044481506534</v>
      </c>
    </row>
    <row r="433" customFormat="false" ht="15.75" hidden="false" customHeight="false" outlineLevel="0" collapsed="false">
      <c r="A433" s="1" t="s">
        <v>506</v>
      </c>
      <c r="B433" s="1" t="n">
        <v>323.15</v>
      </c>
      <c r="C433" s="1" t="n">
        <f aca="false">1/B433</f>
        <v>0.00309453814018258</v>
      </c>
      <c r="D433" s="1" t="n">
        <v>1.585</v>
      </c>
      <c r="E433" s="1" t="n">
        <f aca="false">LN(D433)</f>
        <v>0.460584407329244</v>
      </c>
    </row>
    <row r="434" customFormat="false" ht="15.75" hidden="false" customHeight="false" outlineLevel="0" collapsed="false">
      <c r="A434" s="1" t="s">
        <v>506</v>
      </c>
      <c r="B434" s="1" t="n">
        <v>333.15</v>
      </c>
      <c r="C434" s="1" t="n">
        <f aca="false">1/B434</f>
        <v>0.0030016509079994</v>
      </c>
      <c r="D434" s="1" t="n">
        <v>1.346</v>
      </c>
      <c r="E434" s="1" t="n">
        <f aca="false">LN(D434)</f>
        <v>0.297137231222536</v>
      </c>
    </row>
    <row r="435" customFormat="false" ht="15.75" hidden="false" customHeight="false" outlineLevel="0" collapsed="false">
      <c r="A435" s="1" t="s">
        <v>1404</v>
      </c>
      <c r="B435" s="1" t="n">
        <v>298.15</v>
      </c>
      <c r="C435" s="1" t="n">
        <f aca="false">1/B435</f>
        <v>0.00335401643468053</v>
      </c>
      <c r="D435" s="1" t="n">
        <v>2.18</v>
      </c>
      <c r="E435" s="1" t="n">
        <f aca="false">LN(D435)</f>
        <v>0.779324876800998</v>
      </c>
    </row>
    <row r="436" customFormat="false" ht="15.75" hidden="false" customHeight="false" outlineLevel="0" collapsed="false">
      <c r="A436" s="1" t="s">
        <v>1404</v>
      </c>
      <c r="B436" s="1" t="n">
        <v>303.25</v>
      </c>
      <c r="C436" s="1" t="n">
        <f aca="false">1/B436</f>
        <v>0.00329760923330585</v>
      </c>
      <c r="D436" s="1" t="n">
        <v>1.985</v>
      </c>
      <c r="E436" s="1" t="n">
        <f aca="false">LN(D436)</f>
        <v>0.685618914139154</v>
      </c>
    </row>
    <row r="437" customFormat="false" ht="15.75" hidden="false" customHeight="false" outlineLevel="0" collapsed="false">
      <c r="A437" s="1" t="s">
        <v>1404</v>
      </c>
      <c r="B437" s="1" t="n">
        <v>308.15</v>
      </c>
      <c r="C437" s="1" t="n">
        <f aca="false">1/B437</f>
        <v>0.00324517280545189</v>
      </c>
      <c r="D437" s="1" t="n">
        <v>1.797</v>
      </c>
      <c r="E437" s="1" t="n">
        <f aca="false">LN(D437)</f>
        <v>0.586118607801422</v>
      </c>
    </row>
    <row r="438" customFormat="false" ht="15.75" hidden="false" customHeight="false" outlineLevel="0" collapsed="false">
      <c r="A438" s="1" t="s">
        <v>1404</v>
      </c>
      <c r="B438" s="1" t="n">
        <v>318.15</v>
      </c>
      <c r="C438" s="1" t="n">
        <f aca="false">1/B438</f>
        <v>0.00314317146000314</v>
      </c>
      <c r="D438" s="1" t="n">
        <v>1.52</v>
      </c>
      <c r="E438" s="1" t="n">
        <f aca="false">LN(D438)</f>
        <v>0.418710334858185</v>
      </c>
    </row>
    <row r="439" customFormat="false" ht="15.75" hidden="false" customHeight="false" outlineLevel="0" collapsed="false">
      <c r="A439" s="1" t="s">
        <v>1404</v>
      </c>
      <c r="B439" s="1" t="n">
        <v>328.15</v>
      </c>
      <c r="C439" s="1" t="n">
        <f aca="false">1/B439</f>
        <v>0.00304738686576261</v>
      </c>
      <c r="D439" s="1" t="n">
        <v>1.305</v>
      </c>
      <c r="E439" s="1" t="n">
        <f aca="false">LN(D439)</f>
        <v>0.266203040774657</v>
      </c>
    </row>
    <row r="440" customFormat="false" ht="15.75" hidden="false" customHeight="false" outlineLevel="0" collapsed="false">
      <c r="A440" s="1" t="s">
        <v>1404</v>
      </c>
      <c r="B440" s="1" t="n">
        <v>337.95</v>
      </c>
      <c r="C440" s="1" t="n">
        <f aca="false">1/B440</f>
        <v>0.00295901760615476</v>
      </c>
      <c r="D440" s="1" t="n">
        <v>1.148</v>
      </c>
      <c r="E440" s="1" t="n">
        <f aca="false">LN(D440)</f>
        <v>0.138021297897375</v>
      </c>
    </row>
    <row r="441" customFormat="false" ht="15.75" hidden="false" customHeight="false" outlineLevel="0" collapsed="false">
      <c r="A441" s="1" t="s">
        <v>508</v>
      </c>
      <c r="B441" s="1" t="n">
        <v>303.25</v>
      </c>
      <c r="C441" s="1" t="n">
        <f aca="false">1/B441</f>
        <v>0.00329760923330585</v>
      </c>
      <c r="D441" s="1" t="n">
        <v>2.245</v>
      </c>
      <c r="E441" s="1" t="n">
        <f aca="false">LN(D441)</f>
        <v>0.808705521194218</v>
      </c>
    </row>
    <row r="442" customFormat="false" ht="15.75" hidden="false" customHeight="false" outlineLevel="0" collapsed="false">
      <c r="A442" s="1" t="s">
        <v>508</v>
      </c>
      <c r="B442" s="1" t="n">
        <v>313.2</v>
      </c>
      <c r="C442" s="1" t="n">
        <f aca="false">1/B442</f>
        <v>0.00319284802043423</v>
      </c>
      <c r="D442" s="1" t="n">
        <v>1.84</v>
      </c>
      <c r="E442" s="1" t="n">
        <f aca="false">LN(D442)</f>
        <v>0.609765571620894</v>
      </c>
    </row>
    <row r="443" customFormat="false" ht="15.75" hidden="false" customHeight="false" outlineLevel="0" collapsed="false">
      <c r="A443" s="1" t="s">
        <v>508</v>
      </c>
      <c r="B443" s="1" t="n">
        <v>323.15</v>
      </c>
      <c r="C443" s="1" t="n">
        <f aca="false">1/B443</f>
        <v>0.00309453814018258</v>
      </c>
      <c r="D443" s="1" t="n">
        <v>1.56</v>
      </c>
      <c r="E443" s="1" t="n">
        <f aca="false">LN(D443)</f>
        <v>0.444685821261446</v>
      </c>
    </row>
    <row r="444" customFormat="false" ht="15.75" hidden="false" customHeight="false" outlineLevel="0" collapsed="false">
      <c r="A444" s="1" t="s">
        <v>508</v>
      </c>
      <c r="B444" s="1" t="n">
        <v>333.6</v>
      </c>
      <c r="C444" s="1" t="n">
        <f aca="false">1/B444</f>
        <v>0.00299760191846523</v>
      </c>
      <c r="D444" s="1" t="n">
        <v>1.332</v>
      </c>
      <c r="E444" s="1" t="n">
        <f aca="false">LN(D444)</f>
        <v>0.286681572118197</v>
      </c>
    </row>
    <row r="445" customFormat="false" ht="15.75" hidden="false" customHeight="false" outlineLevel="0" collapsed="false">
      <c r="A445" s="1" t="s">
        <v>508</v>
      </c>
      <c r="B445" s="1" t="n">
        <v>338.15</v>
      </c>
      <c r="C445" s="1" t="n">
        <f aca="false">1/B445</f>
        <v>0.002957267484844</v>
      </c>
      <c r="D445" s="1" t="n">
        <v>1.248</v>
      </c>
      <c r="E445" s="1" t="n">
        <f aca="false">LN(D445)</f>
        <v>0.221542269947236</v>
      </c>
    </row>
    <row r="446" customFormat="false" ht="15.75" hidden="false" customHeight="false" outlineLevel="0" collapsed="false">
      <c r="A446" s="1" t="s">
        <v>18</v>
      </c>
      <c r="B446" s="1" t="n">
        <v>293.15</v>
      </c>
      <c r="C446" s="1" t="n">
        <f aca="false">1/B446</f>
        <v>0.00341122292341805</v>
      </c>
      <c r="D446" s="1" t="n">
        <v>0.4875</v>
      </c>
      <c r="E446" s="1" t="n">
        <f aca="false">LN(D446)</f>
        <v>-0.718464988544235</v>
      </c>
    </row>
    <row r="447" customFormat="false" ht="15.75" hidden="false" customHeight="false" outlineLevel="0" collapsed="false">
      <c r="A447" s="1" t="s">
        <v>18</v>
      </c>
      <c r="B447" s="1" t="n">
        <v>303.15</v>
      </c>
      <c r="C447" s="1" t="n">
        <f aca="false">1/B447</f>
        <v>0.0032986970146792</v>
      </c>
      <c r="D447" s="1" t="n">
        <v>0.4345</v>
      </c>
      <c r="E447" s="1" t="n">
        <f aca="false">LN(D447)</f>
        <v>-0.83355933427669</v>
      </c>
    </row>
    <row r="448" customFormat="false" ht="15.75" hidden="false" customHeight="false" outlineLevel="0" collapsed="false">
      <c r="A448" s="1" t="s">
        <v>18</v>
      </c>
      <c r="B448" s="1" t="n">
        <v>313.15</v>
      </c>
      <c r="C448" s="1" t="n">
        <f aca="false">1/B448</f>
        <v>0.00319335781574325</v>
      </c>
      <c r="D448" s="1" t="n">
        <v>0.3894</v>
      </c>
      <c r="E448" s="1" t="n">
        <f aca="false">LN(D448)</f>
        <v>-0.943148186044038</v>
      </c>
    </row>
    <row r="449" customFormat="false" ht="15.75" hidden="false" customHeight="false" outlineLevel="0" collapsed="false">
      <c r="A449" s="1" t="s">
        <v>18</v>
      </c>
      <c r="B449" s="1" t="n">
        <v>333.15</v>
      </c>
      <c r="C449" s="1" t="n">
        <f aca="false">1/B449</f>
        <v>0.0030016509079994</v>
      </c>
      <c r="D449" s="1" t="n">
        <v>0.3192</v>
      </c>
      <c r="E449" s="1" t="n">
        <f aca="false">LN(D449)</f>
        <v>-1.14193741340648</v>
      </c>
    </row>
    <row r="450" customFormat="false" ht="15.75" hidden="false" customHeight="false" outlineLevel="0" collapsed="false">
      <c r="A450" s="1" t="s">
        <v>510</v>
      </c>
      <c r="B450" s="1" t="n">
        <v>293.15</v>
      </c>
      <c r="C450" s="1" t="n">
        <f aca="false">1/B450</f>
        <v>0.00341122292341805</v>
      </c>
      <c r="D450" s="1" t="n">
        <v>0.372</v>
      </c>
      <c r="E450" s="1" t="n">
        <f aca="false">LN(D450)</f>
        <v>-0.98886142470899</v>
      </c>
    </row>
    <row r="451" customFormat="false" ht="15.75" hidden="false" customHeight="false" outlineLevel="0" collapsed="false">
      <c r="A451" s="1" t="s">
        <v>510</v>
      </c>
      <c r="B451" s="1" t="n">
        <v>303.15</v>
      </c>
      <c r="C451" s="1" t="n">
        <f aca="false">1/B451</f>
        <v>0.0032986970146792</v>
      </c>
      <c r="D451" s="1" t="n">
        <v>0.335</v>
      </c>
      <c r="E451" s="1" t="n">
        <f aca="false">LN(D451)</f>
        <v>-1.09362474715707</v>
      </c>
    </row>
    <row r="452" customFormat="false" ht="15.75" hidden="false" customHeight="false" outlineLevel="0" collapsed="false">
      <c r="A452" s="1" t="s">
        <v>510</v>
      </c>
      <c r="B452" s="1" t="n">
        <v>313.15</v>
      </c>
      <c r="C452" s="1" t="n">
        <f aca="false">1/B452</f>
        <v>0.00319335781574325</v>
      </c>
      <c r="D452" s="1" t="n">
        <v>0.3035</v>
      </c>
      <c r="E452" s="1" t="n">
        <f aca="false">LN(D452)</f>
        <v>-1.19237366848258</v>
      </c>
    </row>
    <row r="453" customFormat="false" ht="15.75" hidden="false" customHeight="false" outlineLevel="0" collapsed="false">
      <c r="A453" s="1" t="s">
        <v>510</v>
      </c>
      <c r="B453" s="1" t="n">
        <v>323.15</v>
      </c>
      <c r="C453" s="1" t="n">
        <f aca="false">1/B453</f>
        <v>0.00309453814018258</v>
      </c>
      <c r="D453" s="1" t="n">
        <v>0.2775</v>
      </c>
      <c r="E453" s="1" t="n">
        <f aca="false">LN(D453)</f>
        <v>-1.28193434579565</v>
      </c>
    </row>
    <row r="454" customFormat="false" ht="15.75" hidden="false" customHeight="false" outlineLevel="0" collapsed="false">
      <c r="A454" s="1" t="s">
        <v>510</v>
      </c>
      <c r="B454" s="1" t="n">
        <v>333.15</v>
      </c>
      <c r="C454" s="1" t="n">
        <f aca="false">1/B454</f>
        <v>0.0030016509079994</v>
      </c>
      <c r="D454" s="1" t="n">
        <v>0.2525</v>
      </c>
      <c r="E454" s="1" t="n">
        <f aca="false">LN(D454)</f>
        <v>-1.37634403026672</v>
      </c>
    </row>
    <row r="455" customFormat="false" ht="15.75" hidden="false" customHeight="false" outlineLevel="0" collapsed="false">
      <c r="A455" s="1" t="s">
        <v>512</v>
      </c>
      <c r="B455" s="1" t="n">
        <v>293.15196</v>
      </c>
      <c r="C455" s="1" t="n">
        <f aca="false">1/B455</f>
        <v>0.00341120011614454</v>
      </c>
      <c r="D455" s="1" t="n">
        <v>7.056</v>
      </c>
      <c r="E455" s="1" t="n">
        <f aca="false">LN(D455)</f>
        <v>1.95387831870449</v>
      </c>
    </row>
    <row r="456" customFormat="false" ht="15.75" hidden="false" customHeight="false" outlineLevel="0" collapsed="false">
      <c r="A456" s="1" t="s">
        <v>512</v>
      </c>
      <c r="B456" s="1" t="n">
        <v>298.15</v>
      </c>
      <c r="C456" s="1" t="n">
        <f aca="false">1/B456</f>
        <v>0.00335401643468053</v>
      </c>
      <c r="D456" s="1" t="n">
        <v>5.942</v>
      </c>
      <c r="E456" s="1" t="n">
        <f aca="false">LN(D456)</f>
        <v>1.78204577704042</v>
      </c>
    </row>
    <row r="457" customFormat="false" ht="15.75" hidden="false" customHeight="false" outlineLevel="0" collapsed="false">
      <c r="A457" s="1" t="s">
        <v>512</v>
      </c>
      <c r="B457" s="1" t="n">
        <v>303.15197</v>
      </c>
      <c r="C457" s="1" t="n">
        <f aca="false">1/B457</f>
        <v>0.00329867557845657</v>
      </c>
      <c r="D457" s="1" t="n">
        <v>4.7853</v>
      </c>
      <c r="E457" s="1" t="n">
        <f aca="false">LN(D457)</f>
        <v>1.56554871886438</v>
      </c>
    </row>
    <row r="458" customFormat="false" ht="15.75" hidden="false" customHeight="false" outlineLevel="0" collapsed="false">
      <c r="A458" s="1" t="s">
        <v>512</v>
      </c>
      <c r="B458" s="1" t="n">
        <v>313.15</v>
      </c>
      <c r="C458" s="1" t="n">
        <f aca="false">1/B458</f>
        <v>0.00319335781574325</v>
      </c>
      <c r="D458" s="1" t="n">
        <v>3.5786</v>
      </c>
      <c r="E458" s="1" t="n">
        <f aca="false">LN(D458)</f>
        <v>1.27497166247562</v>
      </c>
    </row>
    <row r="459" customFormat="false" ht="15.75" hidden="false" customHeight="false" outlineLevel="0" collapsed="false">
      <c r="A459" s="1" t="s">
        <v>512</v>
      </c>
      <c r="B459" s="1" t="n">
        <v>298.15198</v>
      </c>
      <c r="C459" s="1" t="n">
        <f aca="false">1/B459</f>
        <v>0.00335399416096449</v>
      </c>
      <c r="D459" s="1" t="n">
        <v>5.937</v>
      </c>
      <c r="E459" s="1" t="n">
        <f aca="false">LN(D459)</f>
        <v>1.78120395528854</v>
      </c>
    </row>
    <row r="460" customFormat="false" ht="15.75" hidden="false" customHeight="false" outlineLevel="0" collapsed="false">
      <c r="A460" s="1" t="s">
        <v>512</v>
      </c>
      <c r="B460" s="1" t="n">
        <v>303.15</v>
      </c>
      <c r="C460" s="1" t="n">
        <f aca="false">1/B460</f>
        <v>0.0032986970146792</v>
      </c>
      <c r="D460" s="1" t="n">
        <v>4.995</v>
      </c>
      <c r="E460" s="1" t="n">
        <f aca="false">LN(D460)</f>
        <v>1.60843741210052</v>
      </c>
    </row>
    <row r="461" customFormat="false" ht="15.75" hidden="false" customHeight="false" outlineLevel="0" collapsed="false">
      <c r="A461" s="1" t="s">
        <v>512</v>
      </c>
      <c r="B461" s="1" t="n">
        <v>308.15</v>
      </c>
      <c r="C461" s="1" t="n">
        <f aca="false">1/B461</f>
        <v>0.00324517280545189</v>
      </c>
      <c r="D461" s="1" t="n">
        <v>4.175</v>
      </c>
      <c r="E461" s="1" t="n">
        <f aca="false">LN(D461)</f>
        <v>1.42911435830282</v>
      </c>
    </row>
    <row r="462" customFormat="false" ht="15.75" hidden="false" customHeight="false" outlineLevel="0" collapsed="false">
      <c r="A462" s="1" t="s">
        <v>514</v>
      </c>
      <c r="B462" s="1" t="n">
        <v>273.15</v>
      </c>
      <c r="C462" s="1" t="n">
        <f aca="false">1/B462</f>
        <v>0.00366099212886692</v>
      </c>
      <c r="D462" s="1" t="n">
        <v>0.44</v>
      </c>
      <c r="E462" s="1" t="n">
        <f aca="false">LN(D462)</f>
        <v>-0.82098055206983</v>
      </c>
    </row>
    <row r="463" customFormat="false" ht="15.75" hidden="false" customHeight="false" outlineLevel="0" collapsed="false">
      <c r="A463" s="1" t="s">
        <v>514</v>
      </c>
      <c r="B463" s="1" t="n">
        <v>278.15</v>
      </c>
      <c r="C463" s="1" t="n">
        <f aca="false">1/B463</f>
        <v>0.00359518245550962</v>
      </c>
      <c r="D463" s="1" t="n">
        <v>0.41</v>
      </c>
      <c r="E463" s="1" t="n">
        <f aca="false">LN(D463)</f>
        <v>-0.891598119283784</v>
      </c>
    </row>
    <row r="464" customFormat="false" ht="15.75" hidden="false" customHeight="false" outlineLevel="0" collapsed="false">
      <c r="A464" s="1" t="s">
        <v>514</v>
      </c>
      <c r="B464" s="1" t="n">
        <v>288.15</v>
      </c>
      <c r="C464" s="1" t="n">
        <f aca="false">1/B464</f>
        <v>0.00347041471455839</v>
      </c>
      <c r="D464" s="1" t="n">
        <v>0.37</v>
      </c>
      <c r="E464" s="1" t="n">
        <f aca="false">LN(D464)</f>
        <v>-0.994252273343867</v>
      </c>
    </row>
    <row r="465" customFormat="false" ht="15.75" hidden="false" customHeight="false" outlineLevel="0" collapsed="false">
      <c r="A465" s="1" t="s">
        <v>514</v>
      </c>
      <c r="B465" s="1" t="n">
        <v>293.15</v>
      </c>
      <c r="C465" s="1" t="n">
        <f aca="false">1/B465</f>
        <v>0.00341122292341805</v>
      </c>
      <c r="D465" s="1" t="n">
        <v>0.35</v>
      </c>
      <c r="E465" s="1" t="n">
        <f aca="false">LN(D465)</f>
        <v>-1.04982212449868</v>
      </c>
    </row>
    <row r="466" customFormat="false" ht="15.75" hidden="false" customHeight="false" outlineLevel="0" collapsed="false">
      <c r="A466" s="1" t="s">
        <v>514</v>
      </c>
      <c r="B466" s="1" t="n">
        <v>303.15</v>
      </c>
      <c r="C466" s="1" t="n">
        <f aca="false">1/B466</f>
        <v>0.0032986970146792</v>
      </c>
      <c r="D466" s="1" t="n">
        <v>0.32</v>
      </c>
      <c r="E466" s="1" t="n">
        <f aca="false">LN(D466)</f>
        <v>-1.13943428318836</v>
      </c>
    </row>
    <row r="467" customFormat="false" ht="15.75" hidden="false" customHeight="false" outlineLevel="0" collapsed="false">
      <c r="A467" s="1" t="s">
        <v>514</v>
      </c>
      <c r="B467" s="1" t="n">
        <v>308.15</v>
      </c>
      <c r="C467" s="1" t="n">
        <f aca="false">1/B467</f>
        <v>0.00324517280545189</v>
      </c>
      <c r="D467" s="1" t="n">
        <v>0.31</v>
      </c>
      <c r="E467" s="1" t="n">
        <f aca="false">LN(D467)</f>
        <v>-1.17118298150295</v>
      </c>
    </row>
    <row r="468" customFormat="false" ht="15.75" hidden="false" customHeight="false" outlineLevel="0" collapsed="false">
      <c r="A468" s="1" t="s">
        <v>514</v>
      </c>
      <c r="B468" s="1" t="n">
        <v>318.15</v>
      </c>
      <c r="C468" s="1" t="n">
        <f aca="false">1/B468</f>
        <v>0.00314317146000314</v>
      </c>
      <c r="D468" s="1" t="n">
        <v>0.28</v>
      </c>
      <c r="E468" s="1" t="n">
        <f aca="false">LN(D468)</f>
        <v>-1.27296567581289</v>
      </c>
    </row>
    <row r="469" customFormat="false" ht="15.75" hidden="false" customHeight="false" outlineLevel="0" collapsed="false">
      <c r="A469" s="1" t="s">
        <v>514</v>
      </c>
      <c r="B469" s="1" t="n">
        <v>323.15</v>
      </c>
      <c r="C469" s="1" t="n">
        <f aca="false">1/B469</f>
        <v>0.00309453814018258</v>
      </c>
      <c r="D469" s="1" t="n">
        <v>0.27</v>
      </c>
      <c r="E469" s="1" t="n">
        <f aca="false">LN(D469)</f>
        <v>-1.30933331998376</v>
      </c>
    </row>
    <row r="470" customFormat="false" ht="15.75" hidden="false" customHeight="false" outlineLevel="0" collapsed="false">
      <c r="A470" s="1" t="s">
        <v>514</v>
      </c>
      <c r="B470" s="1" t="n">
        <v>333.15</v>
      </c>
      <c r="C470" s="1" t="n">
        <f aca="false">1/B470</f>
        <v>0.0030016509079994</v>
      </c>
      <c r="D470" s="1" t="n">
        <v>0.25</v>
      </c>
      <c r="E470" s="1" t="n">
        <f aca="false">LN(D470)</f>
        <v>-1.38629436111989</v>
      </c>
    </row>
    <row r="471" customFormat="false" ht="15.75" hidden="false" customHeight="false" outlineLevel="0" collapsed="false">
      <c r="A471" s="1" t="s">
        <v>514</v>
      </c>
      <c r="B471" s="1" t="n">
        <v>338.15</v>
      </c>
      <c r="C471" s="1" t="n">
        <f aca="false">1/B471</f>
        <v>0.002957267484844</v>
      </c>
      <c r="D471" s="1" t="n">
        <v>0.24</v>
      </c>
      <c r="E471" s="1" t="n">
        <f aca="false">LN(D471)</f>
        <v>-1.42711635564015</v>
      </c>
    </row>
    <row r="472" customFormat="false" ht="15.75" hidden="false" customHeight="false" outlineLevel="0" collapsed="false">
      <c r="A472" s="1" t="s">
        <v>514</v>
      </c>
      <c r="B472" s="1" t="n">
        <v>348.15</v>
      </c>
      <c r="C472" s="1" t="n">
        <f aca="false">1/B472</f>
        <v>0.00287232514720666</v>
      </c>
      <c r="D472" s="1" t="n">
        <v>0.22</v>
      </c>
      <c r="E472" s="1" t="n">
        <f aca="false">LN(D472)</f>
        <v>-1.51412773262978</v>
      </c>
    </row>
    <row r="473" customFormat="false" ht="15.75" hidden="false" customHeight="false" outlineLevel="0" collapsed="false">
      <c r="A473" s="1" t="s">
        <v>514</v>
      </c>
      <c r="B473" s="1" t="n">
        <v>358.15</v>
      </c>
      <c r="C473" s="1" t="n">
        <f aca="false">1/B473</f>
        <v>0.00279212620410443</v>
      </c>
      <c r="D473" s="1" t="n">
        <v>0.21</v>
      </c>
      <c r="E473" s="1" t="n">
        <f aca="false">LN(D473)</f>
        <v>-1.56064774826467</v>
      </c>
    </row>
    <row r="474" customFormat="false" ht="15.75" hidden="false" customHeight="false" outlineLevel="0" collapsed="false">
      <c r="A474" s="1" t="s">
        <v>514</v>
      </c>
      <c r="B474" s="1" t="n">
        <v>283.15</v>
      </c>
      <c r="C474" s="1" t="n">
        <f aca="false">1/B474</f>
        <v>0.00353169698039908</v>
      </c>
      <c r="D474" s="1" t="n">
        <v>0.39</v>
      </c>
      <c r="E474" s="1" t="n">
        <f aca="false">LN(D474)</f>
        <v>-0.941608539858445</v>
      </c>
    </row>
    <row r="475" customFormat="false" ht="15.75" hidden="false" customHeight="false" outlineLevel="0" collapsed="false">
      <c r="A475" s="1" t="s">
        <v>514</v>
      </c>
      <c r="B475" s="1" t="n">
        <v>298.15</v>
      </c>
      <c r="C475" s="1" t="n">
        <f aca="false">1/B475</f>
        <v>0.00335401643468053</v>
      </c>
      <c r="D475" s="1" t="n">
        <v>0.34</v>
      </c>
      <c r="E475" s="1" t="n">
        <f aca="false">LN(D475)</f>
        <v>-1.07880966137193</v>
      </c>
    </row>
    <row r="476" customFormat="false" ht="15.75" hidden="false" customHeight="false" outlineLevel="0" collapsed="false">
      <c r="A476" s="1" t="s">
        <v>514</v>
      </c>
      <c r="B476" s="1" t="n">
        <v>313.15</v>
      </c>
      <c r="C476" s="1" t="n">
        <f aca="false">1/B476</f>
        <v>0.00319335781574325</v>
      </c>
      <c r="D476" s="1" t="n">
        <v>0.29</v>
      </c>
      <c r="E476" s="1" t="n">
        <f aca="false">LN(D476)</f>
        <v>-1.23787435600162</v>
      </c>
    </row>
    <row r="477" customFormat="false" ht="15.75" hidden="false" customHeight="false" outlineLevel="0" collapsed="false">
      <c r="A477" s="1" t="s">
        <v>514</v>
      </c>
      <c r="B477" s="1" t="n">
        <v>328.15</v>
      </c>
      <c r="C477" s="1" t="n">
        <f aca="false">1/B477</f>
        <v>0.00304738686576261</v>
      </c>
      <c r="D477" s="1" t="n">
        <v>0.26</v>
      </c>
      <c r="E477" s="1" t="n">
        <f aca="false">LN(D477)</f>
        <v>-1.34707364796661</v>
      </c>
    </row>
    <row r="478" customFormat="false" ht="15.75" hidden="false" customHeight="false" outlineLevel="0" collapsed="false">
      <c r="A478" s="1" t="s">
        <v>514</v>
      </c>
      <c r="B478" s="1" t="n">
        <v>343.15</v>
      </c>
      <c r="C478" s="1" t="n">
        <f aca="false">1/B478</f>
        <v>0.00291417747340813</v>
      </c>
      <c r="D478" s="1" t="n">
        <v>0.23</v>
      </c>
      <c r="E478" s="1" t="n">
        <f aca="false">LN(D478)</f>
        <v>-1.46967597005894</v>
      </c>
    </row>
    <row r="479" customFormat="false" ht="15.75" hidden="false" customHeight="false" outlineLevel="0" collapsed="false">
      <c r="A479" s="1" t="s">
        <v>514</v>
      </c>
      <c r="B479" s="1" t="n">
        <v>368.15</v>
      </c>
      <c r="C479" s="1" t="n">
        <f aca="false">1/B479</f>
        <v>0.0027162841233193</v>
      </c>
      <c r="D479" s="1" t="n">
        <v>0.2</v>
      </c>
      <c r="E479" s="1" t="n">
        <f aca="false">LN(D479)</f>
        <v>-1.6094379124341</v>
      </c>
    </row>
    <row r="480" customFormat="false" ht="15.75" hidden="false" customHeight="false" outlineLevel="0" collapsed="false">
      <c r="A480" s="1" t="s">
        <v>516</v>
      </c>
      <c r="B480" s="1" t="n">
        <v>273.15</v>
      </c>
      <c r="C480" s="1" t="n">
        <f aca="false">1/B480</f>
        <v>0.00366099212886692</v>
      </c>
      <c r="D480" s="1" t="n">
        <v>1.1155</v>
      </c>
      <c r="E480" s="1" t="n">
        <f aca="false">LN(D480)</f>
        <v>0.10930273489045</v>
      </c>
    </row>
    <row r="481" customFormat="false" ht="15.75" hidden="false" customHeight="false" outlineLevel="0" collapsed="false">
      <c r="A481" s="1" t="s">
        <v>516</v>
      </c>
      <c r="B481" s="1" t="n">
        <v>283.15</v>
      </c>
      <c r="C481" s="1" t="n">
        <f aca="false">1/B481</f>
        <v>0.00353169698039908</v>
      </c>
      <c r="D481" s="1" t="n">
        <v>0.9497</v>
      </c>
      <c r="E481" s="1" t="n">
        <f aca="false">LN(D481)</f>
        <v>-0.0516091337332302</v>
      </c>
    </row>
    <row r="482" customFormat="false" ht="15.75" hidden="false" customHeight="false" outlineLevel="0" collapsed="false">
      <c r="A482" s="1" t="s">
        <v>516</v>
      </c>
      <c r="B482" s="1" t="n">
        <v>293.15</v>
      </c>
      <c r="C482" s="1" t="n">
        <f aca="false">1/B482</f>
        <v>0.00341122292341805</v>
      </c>
      <c r="D482" s="1" t="n">
        <v>0.8224</v>
      </c>
      <c r="E482" s="1" t="n">
        <f aca="false">LN(D482)</f>
        <v>-0.195528384281236</v>
      </c>
    </row>
    <row r="483" customFormat="false" ht="15.75" hidden="false" customHeight="false" outlineLevel="0" collapsed="false">
      <c r="A483" s="1" t="s">
        <v>516</v>
      </c>
      <c r="B483" s="1" t="n">
        <v>303.15</v>
      </c>
      <c r="C483" s="1" t="n">
        <f aca="false">1/B483</f>
        <v>0.0032986970146792</v>
      </c>
      <c r="D483" s="1" t="n">
        <v>0.7215</v>
      </c>
      <c r="E483" s="1" t="n">
        <f aca="false">LN(D483)</f>
        <v>-0.326422900768211</v>
      </c>
    </row>
    <row r="484" customFormat="false" ht="15.75" hidden="false" customHeight="false" outlineLevel="0" collapsed="false">
      <c r="A484" s="1" t="s">
        <v>516</v>
      </c>
      <c r="B484" s="1" t="n">
        <v>313.15</v>
      </c>
      <c r="C484" s="1" t="n">
        <f aca="false">1/B484</f>
        <v>0.00319335781574325</v>
      </c>
      <c r="D484" s="1" t="n">
        <v>0.6406</v>
      </c>
      <c r="E484" s="1" t="n">
        <f aca="false">LN(D484)</f>
        <v>-0.445350041807079</v>
      </c>
    </row>
    <row r="485" customFormat="false" ht="15.75" hidden="false" customHeight="false" outlineLevel="0" collapsed="false">
      <c r="A485" s="1" t="s">
        <v>516</v>
      </c>
      <c r="B485" s="1" t="n">
        <v>333.15</v>
      </c>
      <c r="C485" s="1" t="n">
        <f aca="false">1/B485</f>
        <v>0.0030016509079994</v>
      </c>
      <c r="D485" s="1" t="n">
        <v>0.5157</v>
      </c>
      <c r="E485" s="1" t="n">
        <f aca="false">LN(D485)</f>
        <v>-0.662230077925224</v>
      </c>
    </row>
    <row r="486" customFormat="false" ht="15.75" hidden="false" customHeight="false" outlineLevel="0" collapsed="false">
      <c r="A486" s="1" t="s">
        <v>516</v>
      </c>
      <c r="B486" s="1" t="n">
        <v>353.15</v>
      </c>
      <c r="C486" s="1" t="n">
        <f aca="false">1/B486</f>
        <v>0.00283165793572137</v>
      </c>
      <c r="D486" s="1" t="n">
        <v>0.4255</v>
      </c>
      <c r="E486" s="1" t="n">
        <f aca="false">LN(D486)</f>
        <v>-0.854490330968708</v>
      </c>
    </row>
    <row r="487" customFormat="false" ht="15.75" hidden="false" customHeight="false" outlineLevel="0" collapsed="false">
      <c r="A487" s="1" t="s">
        <v>516</v>
      </c>
      <c r="B487" s="1" t="n">
        <v>373.15</v>
      </c>
      <c r="C487" s="1" t="n">
        <f aca="false">1/B487</f>
        <v>0.00267988744472732</v>
      </c>
      <c r="D487" s="1" t="n">
        <v>0.3583</v>
      </c>
      <c r="E487" s="1" t="n">
        <f aca="false">LN(D487)</f>
        <v>-1.02638465467123</v>
      </c>
    </row>
    <row r="488" customFormat="false" ht="15.75" hidden="false" customHeight="false" outlineLevel="0" collapsed="false">
      <c r="A488" s="1" t="s">
        <v>1405</v>
      </c>
      <c r="B488" s="1" t="n">
        <v>293.15196</v>
      </c>
      <c r="C488" s="1" t="n">
        <f aca="false">1/B488</f>
        <v>0.00341120011614454</v>
      </c>
      <c r="D488" s="1" t="n">
        <v>5.371</v>
      </c>
      <c r="E488" s="1" t="n">
        <f aca="false">LN(D488)</f>
        <v>1.68101411092332</v>
      </c>
    </row>
    <row r="489" customFormat="false" ht="15.75" hidden="false" customHeight="false" outlineLevel="0" collapsed="false">
      <c r="A489" s="1" t="s">
        <v>1405</v>
      </c>
      <c r="B489" s="1" t="n">
        <v>298.15189</v>
      </c>
      <c r="C489" s="1" t="n">
        <f aca="false">1/B489</f>
        <v>0.00335399517339971</v>
      </c>
      <c r="D489" s="1" t="n">
        <v>4.4862</v>
      </c>
      <c r="E489" s="1" t="n">
        <f aca="false">LN(D489)</f>
        <v>1.50100601825179</v>
      </c>
    </row>
    <row r="490" customFormat="false" ht="15.75" hidden="false" customHeight="false" outlineLevel="0" collapsed="false">
      <c r="A490" s="1" t="s">
        <v>1405</v>
      </c>
      <c r="B490" s="1" t="n">
        <v>303.15197</v>
      </c>
      <c r="C490" s="1" t="n">
        <f aca="false">1/B490</f>
        <v>0.00329867557845657</v>
      </c>
      <c r="D490" s="1" t="n">
        <v>3.7635</v>
      </c>
      <c r="E490" s="1" t="n">
        <f aca="false">LN(D490)</f>
        <v>1.32534937549245</v>
      </c>
    </row>
    <row r="491" customFormat="false" ht="15.75" hidden="false" customHeight="false" outlineLevel="0" collapsed="false">
      <c r="A491" s="1" t="s">
        <v>1405</v>
      </c>
      <c r="B491" s="1" t="n">
        <v>313.15</v>
      </c>
      <c r="C491" s="1" t="n">
        <f aca="false">1/B491</f>
        <v>0.00319335781574325</v>
      </c>
      <c r="D491" s="1" t="n">
        <v>3.1101</v>
      </c>
      <c r="E491" s="1" t="n">
        <f aca="false">LN(D491)</f>
        <v>1.13465488001504</v>
      </c>
    </row>
    <row r="492" customFormat="false" ht="15.75" hidden="false" customHeight="false" outlineLevel="0" collapsed="false">
      <c r="A492" s="1" t="s">
        <v>1405</v>
      </c>
      <c r="B492" s="1" t="n">
        <v>298.15198</v>
      </c>
      <c r="C492" s="1" t="n">
        <f aca="false">1/B492</f>
        <v>0.00335399416096449</v>
      </c>
      <c r="D492" s="1" t="n">
        <v>4.574</v>
      </c>
      <c r="E492" s="1" t="n">
        <f aca="false">LN(D492)</f>
        <v>1.52038809560059</v>
      </c>
    </row>
    <row r="493" customFormat="false" ht="15.75" hidden="false" customHeight="false" outlineLevel="0" collapsed="false">
      <c r="A493" s="1" t="s">
        <v>1405</v>
      </c>
      <c r="B493" s="1" t="n">
        <v>303.15</v>
      </c>
      <c r="C493" s="1" t="n">
        <f aca="false">1/B493</f>
        <v>0.0032986970146792</v>
      </c>
      <c r="D493" s="1" t="n">
        <v>3.781</v>
      </c>
      <c r="E493" s="1" t="n">
        <f aca="false">LN(D493)</f>
        <v>1.3299885249088</v>
      </c>
    </row>
    <row r="494" customFormat="false" ht="15.75" hidden="false" customHeight="false" outlineLevel="0" collapsed="false">
      <c r="A494" s="1" t="s">
        <v>1405</v>
      </c>
      <c r="B494" s="1" t="n">
        <v>308.15</v>
      </c>
      <c r="C494" s="1" t="n">
        <f aca="false">1/B494</f>
        <v>0.00324517280545189</v>
      </c>
      <c r="D494" s="1" t="n">
        <v>3.252</v>
      </c>
      <c r="E494" s="1" t="n">
        <f aca="false">LN(D494)</f>
        <v>1.17927019168556</v>
      </c>
    </row>
    <row r="495" customFormat="false" ht="15.75" hidden="false" customHeight="false" outlineLevel="0" collapsed="false">
      <c r="A495" s="1" t="s">
        <v>517</v>
      </c>
      <c r="B495" s="1" t="n">
        <v>293.15</v>
      </c>
      <c r="C495" s="1" t="n">
        <f aca="false">1/B495</f>
        <v>0.00341122292341805</v>
      </c>
      <c r="D495" s="1" t="n">
        <v>0.373</v>
      </c>
      <c r="E495" s="1" t="n">
        <f aca="false">LN(D495)</f>
        <v>-0.986176859338321</v>
      </c>
    </row>
    <row r="496" customFormat="false" ht="15.75" hidden="false" customHeight="false" outlineLevel="0" collapsed="false">
      <c r="A496" s="1" t="s">
        <v>517</v>
      </c>
      <c r="B496" s="1" t="n">
        <v>303.15</v>
      </c>
      <c r="C496" s="1" t="n">
        <f aca="false">1/B496</f>
        <v>0.0032986970146792</v>
      </c>
      <c r="D496" s="1" t="n">
        <v>0.333</v>
      </c>
      <c r="E496" s="1" t="n">
        <f aca="false">LN(D496)</f>
        <v>-1.09961278900169</v>
      </c>
    </row>
    <row r="497" customFormat="false" ht="15.75" hidden="false" customHeight="false" outlineLevel="0" collapsed="false">
      <c r="A497" s="1" t="s">
        <v>517</v>
      </c>
      <c r="B497" s="1" t="n">
        <v>313.15</v>
      </c>
      <c r="C497" s="1" t="n">
        <f aca="false">1/B497</f>
        <v>0.00319335781574325</v>
      </c>
      <c r="D497" s="1" t="n">
        <v>0.298</v>
      </c>
      <c r="E497" s="1" t="n">
        <f aca="false">LN(D497)</f>
        <v>-1.21066179247673</v>
      </c>
    </row>
    <row r="498" customFormat="false" ht="15.75" hidden="false" customHeight="false" outlineLevel="0" collapsed="false">
      <c r="A498" s="1" t="s">
        <v>517</v>
      </c>
      <c r="B498" s="1" t="n">
        <v>323.15</v>
      </c>
      <c r="C498" s="1" t="n">
        <f aca="false">1/B498</f>
        <v>0.00309453814018258</v>
      </c>
      <c r="D498" s="1" t="n">
        <v>0.268</v>
      </c>
      <c r="E498" s="1" t="n">
        <f aca="false">LN(D498)</f>
        <v>-1.31676829847128</v>
      </c>
    </row>
    <row r="499" customFormat="false" ht="15.75" hidden="false" customHeight="false" outlineLevel="0" collapsed="false">
      <c r="A499" s="1" t="s">
        <v>517</v>
      </c>
      <c r="B499" s="1" t="n">
        <v>333.15</v>
      </c>
      <c r="C499" s="1" t="n">
        <f aca="false">1/B499</f>
        <v>0.0030016509079994</v>
      </c>
      <c r="D499" s="1" t="n">
        <v>0.242</v>
      </c>
      <c r="E499" s="1" t="n">
        <f aca="false">LN(D499)</f>
        <v>-1.41881755282545</v>
      </c>
    </row>
    <row r="500" customFormat="false" ht="15.75" hidden="false" customHeight="false" outlineLevel="0" collapsed="false">
      <c r="A500" s="1" t="s">
        <v>519</v>
      </c>
      <c r="B500" s="1" t="n">
        <v>273.6</v>
      </c>
      <c r="C500" s="1" t="n">
        <f aca="false">1/B500</f>
        <v>0.00365497076023392</v>
      </c>
      <c r="D500" s="1" t="n">
        <v>1.154</v>
      </c>
      <c r="E500" s="1" t="n">
        <f aca="false">LN(D500)</f>
        <v>0.143234168085908</v>
      </c>
    </row>
    <row r="501" customFormat="false" ht="15.75" hidden="false" customHeight="false" outlineLevel="0" collapsed="false">
      <c r="A501" s="1" t="s">
        <v>519</v>
      </c>
      <c r="B501" s="1" t="n">
        <v>284.38</v>
      </c>
      <c r="C501" s="1" t="n">
        <f aca="false">1/B501</f>
        <v>0.00351642168928898</v>
      </c>
      <c r="D501" s="1" t="n">
        <v>0.978</v>
      </c>
      <c r="E501" s="1" t="n">
        <f aca="false">LN(D501)</f>
        <v>-0.0222456089473197</v>
      </c>
    </row>
    <row r="502" customFormat="false" ht="15.75" hidden="false" customHeight="false" outlineLevel="0" collapsed="false">
      <c r="A502" s="1" t="s">
        <v>519</v>
      </c>
      <c r="B502" s="1" t="n">
        <v>295.59</v>
      </c>
      <c r="C502" s="1" t="n">
        <f aca="false">1/B502</f>
        <v>0.00338306437971515</v>
      </c>
      <c r="D502" s="1" t="n">
        <v>0.844</v>
      </c>
      <c r="E502" s="1" t="n">
        <f aca="false">LN(D502)</f>
        <v>-0.16960278438618</v>
      </c>
    </row>
    <row r="503" customFormat="false" ht="15.75" hidden="false" customHeight="false" outlineLevel="0" collapsed="false">
      <c r="A503" s="1" t="s">
        <v>519</v>
      </c>
      <c r="B503" s="1" t="n">
        <v>306.99</v>
      </c>
      <c r="C503" s="1" t="n">
        <f aca="false">1/B503</f>
        <v>0.00325743509560572</v>
      </c>
      <c r="D503" s="1" t="n">
        <v>0.7391</v>
      </c>
      <c r="E503" s="1" t="n">
        <f aca="false">LN(D503)</f>
        <v>-0.302322049191296</v>
      </c>
    </row>
    <row r="504" customFormat="false" ht="15.75" hidden="false" customHeight="false" outlineLevel="0" collapsed="false">
      <c r="A504" s="1" t="s">
        <v>519</v>
      </c>
      <c r="B504" s="1" t="n">
        <v>317.71</v>
      </c>
      <c r="C504" s="1" t="n">
        <f aca="false">1/B504</f>
        <v>0.00314752447200277</v>
      </c>
      <c r="D504" s="1" t="n">
        <v>0.658</v>
      </c>
      <c r="E504" s="1" t="n">
        <f aca="false">LN(D504)</f>
        <v>-0.41855034765682</v>
      </c>
    </row>
    <row r="505" customFormat="false" ht="15.75" hidden="false" customHeight="false" outlineLevel="0" collapsed="false">
      <c r="A505" s="1" t="s">
        <v>519</v>
      </c>
      <c r="B505" s="1" t="n">
        <v>327.8</v>
      </c>
      <c r="C505" s="1" t="n">
        <f aca="false">1/B505</f>
        <v>0.00305064063453325</v>
      </c>
      <c r="D505" s="1" t="n">
        <v>0.593</v>
      </c>
      <c r="E505" s="1" t="n">
        <f aca="false">LN(D505)</f>
        <v>-0.522560879984412</v>
      </c>
    </row>
    <row r="506" customFormat="false" ht="15.75" hidden="false" customHeight="false" outlineLevel="0" collapsed="false">
      <c r="A506" s="1" t="s">
        <v>519</v>
      </c>
      <c r="B506" s="1" t="n">
        <v>338.26</v>
      </c>
      <c r="C506" s="1" t="n">
        <f aca="false">1/B506</f>
        <v>0.00295630580027198</v>
      </c>
      <c r="D506" s="1" t="n">
        <v>0.536</v>
      </c>
      <c r="E506" s="1" t="n">
        <f aca="false">LN(D506)</f>
        <v>-0.623621117911335</v>
      </c>
    </row>
    <row r="507" customFormat="false" ht="15.75" hidden="false" customHeight="false" outlineLevel="0" collapsed="false">
      <c r="A507" s="1" t="s">
        <v>519</v>
      </c>
      <c r="B507" s="1" t="n">
        <v>350.48</v>
      </c>
      <c r="C507" s="1" t="n">
        <f aca="false">1/B507</f>
        <v>0.00285322985619722</v>
      </c>
      <c r="D507" s="1" t="n">
        <v>0.48</v>
      </c>
      <c r="E507" s="1" t="n">
        <f aca="false">LN(D507)</f>
        <v>-0.7339691750802</v>
      </c>
    </row>
    <row r="508" customFormat="false" ht="15.75" hidden="false" customHeight="false" outlineLevel="0" collapsed="false">
      <c r="A508" s="1" t="s">
        <v>519</v>
      </c>
      <c r="B508" s="1" t="n">
        <v>359.98</v>
      </c>
      <c r="C508" s="1" t="n">
        <f aca="false">1/B508</f>
        <v>0.0027779321073393</v>
      </c>
      <c r="D508" s="1" t="n">
        <v>0.442</v>
      </c>
      <c r="E508" s="1" t="n">
        <f aca="false">LN(D508)</f>
        <v>-0.816445396904439</v>
      </c>
    </row>
    <row r="509" customFormat="false" ht="15.75" hidden="false" customHeight="false" outlineLevel="0" collapsed="false">
      <c r="A509" s="1" t="s">
        <v>519</v>
      </c>
      <c r="B509" s="1" t="n">
        <v>370.99</v>
      </c>
      <c r="C509" s="1" t="n">
        <f aca="false">1/B509</f>
        <v>0.00269549044448637</v>
      </c>
      <c r="D509" s="1" t="n">
        <v>0.403</v>
      </c>
      <c r="E509" s="1" t="n">
        <f aca="false">LN(D509)</f>
        <v>-0.908818717035454</v>
      </c>
    </row>
    <row r="510" customFormat="false" ht="15.75" hidden="false" customHeight="false" outlineLevel="0" collapsed="false">
      <c r="A510" s="1" t="s">
        <v>519</v>
      </c>
      <c r="B510" s="1" t="n">
        <v>382.35</v>
      </c>
      <c r="C510" s="1" t="n">
        <f aca="false">1/B510</f>
        <v>0.00261540473388257</v>
      </c>
      <c r="D510" s="1" t="n">
        <v>0.368</v>
      </c>
      <c r="E510" s="1" t="n">
        <f aca="false">LN(D510)</f>
        <v>-0.999672340813206</v>
      </c>
    </row>
    <row r="511" customFormat="false" ht="15.75" hidden="false" customHeight="false" outlineLevel="0" collapsed="false">
      <c r="A511" s="1" t="s">
        <v>519</v>
      </c>
      <c r="B511" s="1" t="n">
        <v>389.22</v>
      </c>
      <c r="C511" s="1" t="n">
        <f aca="false">1/B511</f>
        <v>0.00256924104619495</v>
      </c>
      <c r="D511" s="1" t="n">
        <v>0.349</v>
      </c>
      <c r="E511" s="1" t="n">
        <f aca="false">LN(D511)</f>
        <v>-1.05268335677971</v>
      </c>
    </row>
    <row r="512" customFormat="false" ht="15.75" hidden="false" customHeight="false" outlineLevel="0" collapsed="false">
      <c r="A512" s="1" t="s">
        <v>521</v>
      </c>
      <c r="B512" s="1" t="n">
        <v>273.454</v>
      </c>
      <c r="C512" s="1" t="n">
        <f aca="false">1/B512</f>
        <v>0.00365692218800968</v>
      </c>
      <c r="D512" s="1" t="n">
        <v>0.934</v>
      </c>
      <c r="E512" s="1" t="n">
        <f aca="false">LN(D512)</f>
        <v>-0.0682788407532944</v>
      </c>
    </row>
    <row r="513" customFormat="false" ht="15.75" hidden="false" customHeight="false" outlineLevel="0" collapsed="false">
      <c r="A513" s="1" t="s">
        <v>521</v>
      </c>
      <c r="B513" s="1" t="n">
        <v>284.13</v>
      </c>
      <c r="C513" s="1" t="n">
        <f aca="false">1/B513</f>
        <v>0.00351951571463767</v>
      </c>
      <c r="D513" s="1" t="n">
        <v>0.817</v>
      </c>
      <c r="E513" s="1" t="n">
        <f aca="false">LN(D513)</f>
        <v>-0.202116184122134</v>
      </c>
    </row>
    <row r="514" customFormat="false" ht="15.75" hidden="false" customHeight="false" outlineLevel="0" collapsed="false">
      <c r="A514" s="1" t="s">
        <v>521</v>
      </c>
      <c r="B514" s="1" t="n">
        <v>293.96</v>
      </c>
      <c r="C514" s="1" t="n">
        <f aca="false">1/B514</f>
        <v>0.00340182337733025</v>
      </c>
      <c r="D514" s="1" t="n">
        <v>0.73</v>
      </c>
      <c r="E514" s="1" t="n">
        <f aca="false">LN(D514)</f>
        <v>-0.3147107448397</v>
      </c>
    </row>
    <row r="515" customFormat="false" ht="15.75" hidden="false" customHeight="false" outlineLevel="0" collapsed="false">
      <c r="A515" s="1" t="s">
        <v>521</v>
      </c>
      <c r="B515" s="1" t="n">
        <v>301.46</v>
      </c>
      <c r="C515" s="1" t="n">
        <f aca="false">1/B515</f>
        <v>0.00331718967690573</v>
      </c>
      <c r="D515" s="1" t="n">
        <v>0.673</v>
      </c>
      <c r="E515" s="1" t="n">
        <f aca="false">LN(D515)</f>
        <v>-0.396009949337409</v>
      </c>
    </row>
    <row r="516" customFormat="false" ht="15.75" hidden="false" customHeight="false" outlineLevel="0" collapsed="false">
      <c r="A516" s="1" t="s">
        <v>521</v>
      </c>
      <c r="B516" s="1" t="n">
        <v>311.98</v>
      </c>
      <c r="C516" s="1" t="n">
        <f aca="false">1/B516</f>
        <v>0.00320533367523559</v>
      </c>
      <c r="D516" s="1" t="n">
        <v>0.605</v>
      </c>
      <c r="E516" s="1" t="n">
        <f aca="false">LN(D516)</f>
        <v>-0.502526820951296</v>
      </c>
    </row>
    <row r="517" customFormat="false" ht="15.75" hidden="false" customHeight="false" outlineLevel="0" collapsed="false">
      <c r="A517" s="1" t="s">
        <v>521</v>
      </c>
      <c r="B517" s="1" t="n">
        <v>319.32</v>
      </c>
      <c r="C517" s="1" t="n">
        <f aca="false">1/B517</f>
        <v>0.00313165476637855</v>
      </c>
      <c r="D517" s="1" t="n">
        <v>0.564</v>
      </c>
      <c r="E517" s="1" t="n">
        <f aca="false">LN(D517)</f>
        <v>-0.572701027484078</v>
      </c>
    </row>
    <row r="518" customFormat="false" ht="15.75" hidden="false" customHeight="false" outlineLevel="0" collapsed="false">
      <c r="A518" s="1" t="s">
        <v>521</v>
      </c>
      <c r="B518" s="1" t="n">
        <v>328.74</v>
      </c>
      <c r="C518" s="1" t="n">
        <f aca="false">1/B518</f>
        <v>0.00304191762487072</v>
      </c>
      <c r="D518" s="1" t="n">
        <v>0.516</v>
      </c>
      <c r="E518" s="1" t="n">
        <f aca="false">LN(D518)</f>
        <v>-0.661648513500574</v>
      </c>
    </row>
    <row r="519" customFormat="false" ht="15.75" hidden="false" customHeight="false" outlineLevel="0" collapsed="false">
      <c r="A519" s="1" t="s">
        <v>521</v>
      </c>
      <c r="B519" s="1" t="n">
        <v>338.61</v>
      </c>
      <c r="C519" s="1" t="n">
        <f aca="false">1/B519</f>
        <v>0.00295325005168188</v>
      </c>
      <c r="D519" s="1" t="n">
        <v>0.474</v>
      </c>
      <c r="E519" s="1" t="n">
        <f aca="false">LN(D519)</f>
        <v>-0.746547957287061</v>
      </c>
    </row>
    <row r="520" customFormat="false" ht="15.75" hidden="false" customHeight="false" outlineLevel="0" collapsed="false">
      <c r="A520" s="1" t="s">
        <v>521</v>
      </c>
      <c r="B520" s="1" t="n">
        <v>347.53</v>
      </c>
      <c r="C520" s="1" t="n">
        <f aca="false">1/B520</f>
        <v>0.00287744942882629</v>
      </c>
      <c r="D520" s="1" t="n">
        <v>0.439</v>
      </c>
      <c r="E520" s="1" t="n">
        <f aca="false">LN(D520)</f>
        <v>-0.823255865906966</v>
      </c>
    </row>
    <row r="521" customFormat="false" ht="15.75" hidden="false" customHeight="false" outlineLevel="0" collapsed="false">
      <c r="A521" s="1" t="s">
        <v>521</v>
      </c>
      <c r="B521" s="1" t="n">
        <v>357.03</v>
      </c>
      <c r="C521" s="1" t="n">
        <f aca="false">1/B521</f>
        <v>0.00280088507968518</v>
      </c>
      <c r="D521" s="1" t="n">
        <v>0.406</v>
      </c>
      <c r="E521" s="1" t="n">
        <f aca="false">LN(D521)</f>
        <v>-0.901402119380404</v>
      </c>
    </row>
    <row r="522" customFormat="false" ht="15.75" hidden="false" customHeight="false" outlineLevel="0" collapsed="false">
      <c r="A522" s="1" t="s">
        <v>521</v>
      </c>
      <c r="B522" s="1" t="n">
        <v>363.93</v>
      </c>
      <c r="C522" s="1" t="n">
        <f aca="false">1/B522</f>
        <v>0.00274778116670788</v>
      </c>
      <c r="D522" s="1" t="n">
        <v>0.384</v>
      </c>
      <c r="E522" s="1" t="n">
        <f aca="false">LN(D522)</f>
        <v>-0.95711272639441</v>
      </c>
    </row>
    <row r="523" customFormat="false" ht="15.75" hidden="false" customHeight="false" outlineLevel="0" collapsed="false">
      <c r="A523" s="1" t="s">
        <v>521</v>
      </c>
      <c r="B523" s="1" t="n">
        <v>372.04</v>
      </c>
      <c r="C523" s="1" t="n">
        <f aca="false">1/B523</f>
        <v>0.00268788302333082</v>
      </c>
      <c r="D523" s="1" t="n">
        <v>0.362</v>
      </c>
      <c r="E523" s="1" t="n">
        <f aca="false">LN(D523)</f>
        <v>-1.01611106715637</v>
      </c>
    </row>
    <row r="524" customFormat="false" ht="15.75" hidden="false" customHeight="false" outlineLevel="0" collapsed="false">
      <c r="A524" s="1" t="s">
        <v>521</v>
      </c>
      <c r="B524" s="1" t="n">
        <v>288.15</v>
      </c>
      <c r="C524" s="1" t="n">
        <f aca="false">1/B524</f>
        <v>0.00347041471455839</v>
      </c>
      <c r="D524" s="1" t="n">
        <v>0.837</v>
      </c>
      <c r="E524" s="1" t="n">
        <f aca="false">LN(D524)</f>
        <v>-0.177931208492662</v>
      </c>
    </row>
    <row r="525" customFormat="false" ht="15.75" hidden="false" customHeight="false" outlineLevel="0" collapsed="false">
      <c r="A525" s="1" t="s">
        <v>521</v>
      </c>
      <c r="B525" s="1" t="n">
        <v>303.15</v>
      </c>
      <c r="C525" s="1" t="n">
        <f aca="false">1/B525</f>
        <v>0.0032986970146792</v>
      </c>
      <c r="D525" s="1" t="n">
        <v>0.67</v>
      </c>
      <c r="E525" s="1" t="n">
        <f aca="false">LN(D525)</f>
        <v>-0.400477566597125</v>
      </c>
    </row>
    <row r="526" customFormat="false" ht="15.75" hidden="false" customHeight="false" outlineLevel="0" collapsed="false">
      <c r="A526" s="1" t="s">
        <v>523</v>
      </c>
      <c r="B526" s="1" t="n">
        <v>273.45</v>
      </c>
      <c r="C526" s="1" t="n">
        <f aca="false">1/B526</f>
        <v>0.00365697568111172</v>
      </c>
      <c r="D526" s="1" t="n">
        <v>0.3064</v>
      </c>
      <c r="E526" s="1" t="n">
        <f aca="false">LN(D526)</f>
        <v>-1.1828638411157</v>
      </c>
    </row>
    <row r="527" customFormat="false" ht="15.75" hidden="false" customHeight="false" outlineLevel="0" collapsed="false">
      <c r="A527" s="1" t="s">
        <v>523</v>
      </c>
      <c r="B527" s="1" t="n">
        <v>278.29</v>
      </c>
      <c r="C527" s="1" t="n">
        <f aca="false">1/B527</f>
        <v>0.00359337381867836</v>
      </c>
      <c r="D527" s="1" t="n">
        <v>0.2914</v>
      </c>
      <c r="E527" s="1" t="n">
        <f aca="false">LN(D527)</f>
        <v>-1.23305838522103</v>
      </c>
    </row>
    <row r="528" customFormat="false" ht="15.75" hidden="false" customHeight="false" outlineLevel="0" collapsed="false">
      <c r="A528" s="1" t="s">
        <v>523</v>
      </c>
      <c r="B528" s="1" t="n">
        <v>283.62</v>
      </c>
      <c r="C528" s="1" t="n">
        <f aca="false">1/B528</f>
        <v>0.00352584443974332</v>
      </c>
      <c r="D528" s="1" t="n">
        <v>0.2754</v>
      </c>
      <c r="E528" s="1" t="n">
        <f aca="false">LN(D528)</f>
        <v>-1.28953069268758</v>
      </c>
    </row>
    <row r="529" customFormat="false" ht="15.75" hidden="false" customHeight="false" outlineLevel="0" collapsed="false">
      <c r="A529" s="1" t="s">
        <v>523</v>
      </c>
      <c r="B529" s="1" t="n">
        <v>288.32</v>
      </c>
      <c r="C529" s="1" t="n">
        <f aca="false">1/B529</f>
        <v>0.00346836847946726</v>
      </c>
      <c r="D529" s="1" t="n">
        <v>0.263</v>
      </c>
      <c r="E529" s="1" t="n">
        <f aca="false">LN(D529)</f>
        <v>-1.33560124680437</v>
      </c>
    </row>
    <row r="530" customFormat="false" ht="15.75" hidden="false" customHeight="false" outlineLevel="0" collapsed="false">
      <c r="A530" s="1" t="s">
        <v>523</v>
      </c>
      <c r="B530" s="1" t="n">
        <v>293.25</v>
      </c>
      <c r="C530" s="1" t="n">
        <f aca="false">1/B530</f>
        <v>0.00341005967604433</v>
      </c>
      <c r="D530" s="1" t="n">
        <v>0.2513</v>
      </c>
      <c r="E530" s="1" t="n">
        <f aca="false">LN(D530)</f>
        <v>-1.38110783443259</v>
      </c>
    </row>
    <row r="531" customFormat="false" ht="15.75" hidden="false" customHeight="false" outlineLevel="0" collapsed="false">
      <c r="A531" s="1" t="s">
        <v>523</v>
      </c>
      <c r="B531" s="1" t="n">
        <v>298.88</v>
      </c>
      <c r="C531" s="1" t="n">
        <f aca="false">1/B531</f>
        <v>0.0033458244111349</v>
      </c>
      <c r="D531" s="1" t="n">
        <v>0.2385</v>
      </c>
      <c r="E531" s="1" t="n">
        <f aca="false">LN(D531)</f>
        <v>-1.43338596865374</v>
      </c>
    </row>
    <row r="532" customFormat="false" ht="15.75" hidden="false" customHeight="false" outlineLevel="0" collapsed="false">
      <c r="A532" s="1" t="s">
        <v>523</v>
      </c>
      <c r="B532" s="1" t="n">
        <v>302.63</v>
      </c>
      <c r="C532" s="1" t="n">
        <f aca="false">1/B532</f>
        <v>0.00330436506625252</v>
      </c>
      <c r="D532" s="1" t="n">
        <v>0.23</v>
      </c>
      <c r="E532" s="1" t="n">
        <f aca="false">LN(D532)</f>
        <v>-1.46967597005894</v>
      </c>
    </row>
    <row r="533" customFormat="false" ht="15.75" hidden="false" customHeight="false" outlineLevel="0" collapsed="false">
      <c r="A533" s="1" t="s">
        <v>523</v>
      </c>
      <c r="B533" s="1" t="n">
        <v>308.3</v>
      </c>
      <c r="C533" s="1" t="n">
        <f aca="false">1/B533</f>
        <v>0.00324359390204346</v>
      </c>
      <c r="D533" s="1" t="n">
        <v>0.2187</v>
      </c>
      <c r="E533" s="1" t="n">
        <f aca="false">LN(D533)</f>
        <v>-1.52005435129941</v>
      </c>
    </row>
    <row r="534" customFormat="false" ht="15.75" hidden="false" customHeight="false" outlineLevel="0" collapsed="false">
      <c r="A534" s="1" t="s">
        <v>20</v>
      </c>
      <c r="B534" s="1" t="n">
        <v>273.15</v>
      </c>
      <c r="C534" s="1" t="n">
        <f aca="false">1/B534</f>
        <v>0.00366099212886692</v>
      </c>
      <c r="D534" s="1" t="n">
        <v>76.56</v>
      </c>
      <c r="E534" s="1" t="n">
        <f aca="false">LN(D534)</f>
        <v>4.3380747471447</v>
      </c>
    </row>
    <row r="535" customFormat="false" ht="15.75" hidden="false" customHeight="false" outlineLevel="0" collapsed="false">
      <c r="A535" s="1" t="s">
        <v>20</v>
      </c>
      <c r="B535" s="1" t="n">
        <v>323.15</v>
      </c>
      <c r="C535" s="1" t="n">
        <f aca="false">1/B535</f>
        <v>0.00309453814018258</v>
      </c>
      <c r="D535" s="1" t="n">
        <v>5.03</v>
      </c>
      <c r="E535" s="1" t="n">
        <f aca="false">LN(D535)</f>
        <v>1.61541998411165</v>
      </c>
    </row>
    <row r="536" customFormat="false" ht="15.75" hidden="false" customHeight="false" outlineLevel="0" collapsed="false">
      <c r="A536" s="1" t="s">
        <v>20</v>
      </c>
      <c r="B536" s="1" t="n">
        <v>422.95</v>
      </c>
      <c r="C536" s="1" t="n">
        <f aca="false">1/B536</f>
        <v>0.00236434566733656</v>
      </c>
      <c r="D536" s="1" t="n">
        <v>0.724</v>
      </c>
      <c r="E536" s="1" t="n">
        <f aca="false">LN(D536)</f>
        <v>-0.322963886596421</v>
      </c>
    </row>
    <row r="537" customFormat="false" ht="15.75" hidden="false" customHeight="false" outlineLevel="0" collapsed="false">
      <c r="A537" s="1" t="s">
        <v>20</v>
      </c>
      <c r="B537" s="1" t="n">
        <v>473.15</v>
      </c>
      <c r="C537" s="1" t="n">
        <f aca="false">1/B537</f>
        <v>0.00211349466342597</v>
      </c>
      <c r="D537" s="1" t="n">
        <v>0.454</v>
      </c>
      <c r="E537" s="1" t="n">
        <f aca="false">LN(D537)</f>
        <v>-0.789658080940789</v>
      </c>
    </row>
    <row r="538" customFormat="false" ht="15.75" hidden="false" customHeight="false" outlineLevel="0" collapsed="false">
      <c r="A538" s="1" t="s">
        <v>228</v>
      </c>
      <c r="B538" s="1" t="n">
        <v>273.15</v>
      </c>
      <c r="C538" s="1" t="n">
        <f aca="false">1/B538</f>
        <v>0.00366099212886692</v>
      </c>
      <c r="D538" s="1" t="n">
        <v>17.35</v>
      </c>
      <c r="E538" s="1" t="n">
        <f aca="false">LN(D538)</f>
        <v>2.85359250639287</v>
      </c>
    </row>
    <row r="539" customFormat="false" ht="15.75" hidden="false" customHeight="false" outlineLevel="0" collapsed="false">
      <c r="A539" s="1" t="s">
        <v>228</v>
      </c>
      <c r="B539" s="1" t="n">
        <v>323.15</v>
      </c>
      <c r="C539" s="1" t="n">
        <f aca="false">1/B539</f>
        <v>0.00309453814018258</v>
      </c>
      <c r="D539" s="1" t="n">
        <v>3.02</v>
      </c>
      <c r="E539" s="1" t="n">
        <f aca="false">LN(D539)</f>
        <v>1.10525683138678</v>
      </c>
    </row>
    <row r="540" customFormat="false" ht="15.75" hidden="false" customHeight="false" outlineLevel="0" collapsed="false">
      <c r="A540" s="1" t="s">
        <v>228</v>
      </c>
      <c r="B540" s="1" t="n">
        <v>422.95</v>
      </c>
      <c r="C540" s="1" t="n">
        <f aca="false">1/B540</f>
        <v>0.00236434566733656</v>
      </c>
      <c r="D540" s="1" t="n">
        <v>0.603</v>
      </c>
      <c r="E540" s="1" t="n">
        <f aca="false">LN(D540)</f>
        <v>-0.505838082254952</v>
      </c>
    </row>
    <row r="541" customFormat="false" ht="15.75" hidden="false" customHeight="false" outlineLevel="0" collapsed="false">
      <c r="A541" s="1" t="s">
        <v>228</v>
      </c>
      <c r="B541" s="1" t="n">
        <v>473.15</v>
      </c>
      <c r="C541" s="1" t="n">
        <f aca="false">1/B541</f>
        <v>0.00211349466342597</v>
      </c>
      <c r="D541" s="1" t="n">
        <v>0.387</v>
      </c>
      <c r="E541" s="1" t="n">
        <f aca="false">LN(D541)</f>
        <v>-0.949330585952355</v>
      </c>
    </row>
    <row r="542" customFormat="false" ht="15.75" hidden="false" customHeight="false" outlineLevel="0" collapsed="false">
      <c r="A542" s="1" t="s">
        <v>525</v>
      </c>
      <c r="B542" s="1" t="n">
        <v>272.75</v>
      </c>
      <c r="C542" s="1" t="n">
        <f aca="false">1/B542</f>
        <v>0.00366636113657195</v>
      </c>
      <c r="D542" s="1" t="n">
        <v>2.578</v>
      </c>
      <c r="E542" s="1" t="n">
        <f aca="false">LN(D542)</f>
        <v>0.947013904516996</v>
      </c>
    </row>
    <row r="543" customFormat="false" ht="15.75" hidden="false" customHeight="false" outlineLevel="0" collapsed="false">
      <c r="A543" s="1" t="s">
        <v>525</v>
      </c>
      <c r="B543" s="1" t="n">
        <v>283.15</v>
      </c>
      <c r="C543" s="1" t="n">
        <f aca="false">1/B543</f>
        <v>0.00353169698039908</v>
      </c>
      <c r="D543" s="1" t="n">
        <v>2.0478</v>
      </c>
      <c r="E543" s="1" t="n">
        <f aca="false">LN(D543)</f>
        <v>0.716766046158579</v>
      </c>
    </row>
    <row r="544" customFormat="false" ht="15.75" hidden="false" customHeight="false" outlineLevel="0" collapsed="false">
      <c r="A544" s="1" t="s">
        <v>525</v>
      </c>
      <c r="B544" s="1" t="n">
        <v>293.15</v>
      </c>
      <c r="C544" s="1" t="n">
        <f aca="false">1/B544</f>
        <v>0.00341122292341805</v>
      </c>
      <c r="D544" s="1" t="n">
        <v>1.6814</v>
      </c>
      <c r="E544" s="1" t="n">
        <f aca="false">LN(D544)</f>
        <v>0.519626779719059</v>
      </c>
    </row>
    <row r="545" customFormat="false" ht="15.75" hidden="false" customHeight="false" outlineLevel="0" collapsed="false">
      <c r="A545" s="1" t="s">
        <v>525</v>
      </c>
      <c r="B545" s="1" t="n">
        <v>303.15</v>
      </c>
      <c r="C545" s="1" t="n">
        <f aca="false">1/B545</f>
        <v>0.0032986970146792</v>
      </c>
      <c r="D545" s="1" t="n">
        <v>1.4069</v>
      </c>
      <c r="E545" s="1" t="n">
        <f aca="false">LN(D545)</f>
        <v>0.341388702401031</v>
      </c>
    </row>
    <row r="546" customFormat="false" ht="15.75" hidden="false" customHeight="false" outlineLevel="0" collapsed="false">
      <c r="A546" s="1" t="s">
        <v>525</v>
      </c>
      <c r="B546" s="1" t="n">
        <v>313.15</v>
      </c>
      <c r="C546" s="1" t="n">
        <f aca="false">1/B546</f>
        <v>0.00319335781574325</v>
      </c>
      <c r="D546" s="1" t="n">
        <v>1.2013</v>
      </c>
      <c r="E546" s="1" t="n">
        <f aca="false">LN(D546)</f>
        <v>0.183404303745192</v>
      </c>
    </row>
    <row r="547" customFormat="false" ht="15.75" hidden="false" customHeight="false" outlineLevel="0" collapsed="false">
      <c r="A547" s="1" t="s">
        <v>525</v>
      </c>
      <c r="B547" s="1" t="n">
        <v>333.15</v>
      </c>
      <c r="C547" s="1" t="n">
        <f aca="false">1/B547</f>
        <v>0.0030016509079994</v>
      </c>
      <c r="D547" s="1" t="n">
        <v>0.9111</v>
      </c>
      <c r="E547" s="1" t="n">
        <f aca="false">LN(D547)</f>
        <v>-0.0931026182623243</v>
      </c>
    </row>
    <row r="548" customFormat="false" ht="15.75" hidden="false" customHeight="false" outlineLevel="0" collapsed="false">
      <c r="A548" s="1" t="s">
        <v>525</v>
      </c>
      <c r="B548" s="1" t="n">
        <v>353.15</v>
      </c>
      <c r="C548" s="1" t="n">
        <f aca="false">1/B548</f>
        <v>0.00283165793572137</v>
      </c>
      <c r="D548" s="1" t="n">
        <v>0.7188</v>
      </c>
      <c r="E548" s="1" t="n">
        <f aca="false">LN(D548)</f>
        <v>-0.330172124072733</v>
      </c>
    </row>
    <row r="549" customFormat="false" ht="15.75" hidden="false" customHeight="false" outlineLevel="0" collapsed="false">
      <c r="A549" s="1" t="s">
        <v>525</v>
      </c>
      <c r="B549" s="1" t="n">
        <v>373.15</v>
      </c>
      <c r="C549" s="1" t="n">
        <f aca="false">1/B549</f>
        <v>0.00267988744472732</v>
      </c>
      <c r="D549" s="1" t="n">
        <v>0.585</v>
      </c>
      <c r="E549" s="1" t="n">
        <f aca="false">LN(D549)</f>
        <v>-0.536143431750281</v>
      </c>
    </row>
    <row r="550" customFormat="false" ht="15.75" hidden="false" customHeight="false" outlineLevel="0" collapsed="false">
      <c r="A550" s="1" t="s">
        <v>525</v>
      </c>
      <c r="B550" s="1" t="n">
        <v>393.15</v>
      </c>
      <c r="C550" s="1" t="n">
        <f aca="false">1/B550</f>
        <v>0.00254355843825512</v>
      </c>
      <c r="D550" s="1" t="n">
        <v>0.4872</v>
      </c>
      <c r="E550" s="1" t="n">
        <f aca="false">LN(D550)</f>
        <v>-0.71908056258645</v>
      </c>
    </row>
    <row r="551" customFormat="false" ht="15.75" hidden="false" customHeight="false" outlineLevel="0" collapsed="false">
      <c r="A551" s="1" t="s">
        <v>526</v>
      </c>
      <c r="B551" s="1" t="n">
        <v>288.1521</v>
      </c>
      <c r="C551" s="1" t="n">
        <f aca="false">1/B551</f>
        <v>0.0034703894228083</v>
      </c>
      <c r="D551" s="1" t="n">
        <v>13.146</v>
      </c>
      <c r="E551" s="1" t="n">
        <f aca="false">LN(D551)</f>
        <v>2.57611752984138</v>
      </c>
    </row>
    <row r="552" customFormat="false" ht="15.75" hidden="false" customHeight="false" outlineLevel="0" collapsed="false">
      <c r="A552" s="1" t="s">
        <v>526</v>
      </c>
      <c r="B552" s="1" t="n">
        <v>298.15</v>
      </c>
      <c r="C552" s="1" t="n">
        <f aca="false">1/B552</f>
        <v>0.00335401643468053</v>
      </c>
      <c r="D552" s="1" t="n">
        <v>9.101</v>
      </c>
      <c r="E552" s="1" t="n">
        <f aca="false">LN(D552)</f>
        <v>2.20838429759522</v>
      </c>
    </row>
    <row r="553" customFormat="false" ht="15.75" hidden="false" customHeight="false" outlineLevel="0" collapsed="false">
      <c r="A553" s="1" t="s">
        <v>526</v>
      </c>
      <c r="B553" s="1" t="n">
        <v>308.15</v>
      </c>
      <c r="C553" s="1" t="n">
        <f aca="false">1/B553</f>
        <v>0.00324517280545189</v>
      </c>
      <c r="D553" s="1" t="n">
        <v>6.522</v>
      </c>
      <c r="E553" s="1" t="n">
        <f aca="false">LN(D553)</f>
        <v>1.87518107736713</v>
      </c>
    </row>
    <row r="554" customFormat="false" ht="15.75" hidden="false" customHeight="false" outlineLevel="0" collapsed="false">
      <c r="A554" s="1" t="s">
        <v>526</v>
      </c>
      <c r="B554" s="1" t="n">
        <v>318.15</v>
      </c>
      <c r="C554" s="1" t="n">
        <f aca="false">1/B554</f>
        <v>0.00314317146000314</v>
      </c>
      <c r="D554" s="1" t="n">
        <v>4.677</v>
      </c>
      <c r="E554" s="1" t="n">
        <f aca="false">LN(D554)</f>
        <v>1.54265687874375</v>
      </c>
    </row>
    <row r="555" customFormat="false" ht="15.75" hidden="false" customHeight="false" outlineLevel="0" collapsed="false">
      <c r="A555" s="1" t="s">
        <v>526</v>
      </c>
      <c r="B555" s="1" t="n">
        <v>328.15</v>
      </c>
      <c r="C555" s="1" t="n">
        <f aca="false">1/B555</f>
        <v>0.00304738686576261</v>
      </c>
      <c r="D555" s="1" t="n">
        <v>3.476</v>
      </c>
      <c r="E555" s="1" t="n">
        <f aca="false">LN(D555)</f>
        <v>1.24588220740315</v>
      </c>
    </row>
    <row r="556" customFormat="false" ht="15.75" hidden="false" customHeight="false" outlineLevel="0" collapsed="false">
      <c r="A556" s="1" t="s">
        <v>526</v>
      </c>
      <c r="B556" s="1" t="n">
        <v>308.15199</v>
      </c>
      <c r="C556" s="1" t="n">
        <f aca="false">1/B556</f>
        <v>0.00324515184860562</v>
      </c>
      <c r="D556" s="1" t="n">
        <v>6.741</v>
      </c>
      <c r="E556" s="1" t="n">
        <f aca="false">LN(D556)</f>
        <v>1.9082082818713</v>
      </c>
    </row>
    <row r="557" customFormat="false" ht="15.75" hidden="false" customHeight="false" outlineLevel="0" collapsed="false">
      <c r="A557" s="1" t="s">
        <v>526</v>
      </c>
      <c r="B557" s="1" t="n">
        <v>318.15</v>
      </c>
      <c r="C557" s="1" t="n">
        <f aca="false">1/B557</f>
        <v>0.00314317146000314</v>
      </c>
      <c r="D557" s="1" t="n">
        <v>5.707</v>
      </c>
      <c r="E557" s="1" t="n">
        <f aca="false">LN(D557)</f>
        <v>1.74169349155457</v>
      </c>
    </row>
    <row r="558" customFormat="false" ht="15.75" hidden="false" customHeight="false" outlineLevel="0" collapsed="false">
      <c r="A558" s="1" t="s">
        <v>526</v>
      </c>
      <c r="B558" s="1" t="n">
        <v>293.15196</v>
      </c>
      <c r="C558" s="1" t="n">
        <f aca="false">1/B558</f>
        <v>0.00341120011614454</v>
      </c>
      <c r="D558" s="1" t="n">
        <v>11.728</v>
      </c>
      <c r="E558" s="1" t="n">
        <f aca="false">LN(D558)</f>
        <v>2.4619791451443</v>
      </c>
    </row>
    <row r="559" customFormat="false" ht="15.75" hidden="false" customHeight="false" outlineLevel="0" collapsed="false">
      <c r="A559" s="1" t="s">
        <v>526</v>
      </c>
      <c r="B559" s="1" t="n">
        <v>298.15</v>
      </c>
      <c r="C559" s="1" t="n">
        <f aca="false">1/B559</f>
        <v>0.00335401643468053</v>
      </c>
      <c r="D559" s="1" t="n">
        <v>9.715</v>
      </c>
      <c r="E559" s="1" t="n">
        <f aca="false">LN(D559)</f>
        <v>2.2736710828294</v>
      </c>
    </row>
    <row r="560" customFormat="false" ht="15.75" hidden="false" customHeight="false" outlineLevel="0" collapsed="false">
      <c r="A560" s="1" t="s">
        <v>528</v>
      </c>
      <c r="B560" s="1" t="n">
        <v>273.15</v>
      </c>
      <c r="C560" s="1" t="n">
        <f aca="false">1/B560</f>
        <v>0.00366099212886692</v>
      </c>
      <c r="D560" s="1" t="n">
        <v>1.9724</v>
      </c>
      <c r="E560" s="1" t="n">
        <f aca="false">LN(D560)</f>
        <v>0.679251075367834</v>
      </c>
    </row>
    <row r="561" customFormat="false" ht="15.75" hidden="false" customHeight="false" outlineLevel="0" collapsed="false">
      <c r="A561" s="1" t="s">
        <v>528</v>
      </c>
      <c r="B561" s="1" t="n">
        <v>283.15</v>
      </c>
      <c r="C561" s="1" t="n">
        <f aca="false">1/B561</f>
        <v>0.00353169698039908</v>
      </c>
      <c r="D561" s="1" t="n">
        <v>1.6168</v>
      </c>
      <c r="E561" s="1" t="n">
        <f aca="false">LN(D561)</f>
        <v>0.480448887107274</v>
      </c>
    </row>
    <row r="562" customFormat="false" ht="15.75" hidden="false" customHeight="false" outlineLevel="0" collapsed="false">
      <c r="A562" s="1" t="s">
        <v>528</v>
      </c>
      <c r="B562" s="1" t="n">
        <v>303.15</v>
      </c>
      <c r="C562" s="1" t="n">
        <f aca="false">1/B562</f>
        <v>0.0032986970146792</v>
      </c>
      <c r="D562" s="1" t="n">
        <v>1.157</v>
      </c>
      <c r="E562" s="1" t="n">
        <f aca="false">LN(D562)</f>
        <v>0.14583044821154</v>
      </c>
    </row>
    <row r="563" customFormat="false" ht="15.75" hidden="false" customHeight="false" outlineLevel="0" collapsed="false">
      <c r="A563" s="1" t="s">
        <v>528</v>
      </c>
      <c r="B563" s="1" t="n">
        <v>313.15</v>
      </c>
      <c r="C563" s="1" t="n">
        <f aca="false">1/B563</f>
        <v>0.00319335781574325</v>
      </c>
      <c r="D563" s="1" t="n">
        <v>0.997</v>
      </c>
      <c r="E563" s="1" t="n">
        <f aca="false">LN(D563)</f>
        <v>-0.00300450902029872</v>
      </c>
    </row>
    <row r="564" customFormat="false" ht="15.75" hidden="false" customHeight="false" outlineLevel="0" collapsed="false">
      <c r="A564" s="1" t="s">
        <v>528</v>
      </c>
      <c r="B564" s="1" t="n">
        <v>353.15</v>
      </c>
      <c r="C564" s="1" t="n">
        <f aca="false">1/B564</f>
        <v>0.00283165793572137</v>
      </c>
      <c r="D564" s="1" t="n">
        <v>0.6188</v>
      </c>
      <c r="E564" s="1" t="n">
        <f aca="false">LN(D564)</f>
        <v>-0.479973160283226</v>
      </c>
    </row>
    <row r="565" customFormat="false" ht="15.75" hidden="false" customHeight="false" outlineLevel="0" collapsed="false">
      <c r="A565" s="1" t="s">
        <v>528</v>
      </c>
      <c r="B565" s="1" t="n">
        <v>373.15</v>
      </c>
      <c r="C565" s="1" t="n">
        <f aca="false">1/B565</f>
        <v>0.00267988744472732</v>
      </c>
      <c r="D565" s="1" t="n">
        <v>0.5033</v>
      </c>
      <c r="E565" s="1" t="n">
        <f aca="false">LN(D565)</f>
        <v>-0.686568865199823</v>
      </c>
    </row>
    <row r="566" customFormat="false" ht="15.75" hidden="false" customHeight="false" outlineLevel="0" collapsed="false">
      <c r="A566" s="1" t="s">
        <v>528</v>
      </c>
      <c r="B566" s="1" t="n">
        <v>293.15</v>
      </c>
      <c r="C566" s="1" t="n">
        <f aca="false">1/B566</f>
        <v>0.00341122292341805</v>
      </c>
      <c r="D566" s="1" t="n">
        <v>1.3554</v>
      </c>
      <c r="E566" s="1" t="n">
        <f aca="false">LN(D566)</f>
        <v>0.304096613719875</v>
      </c>
    </row>
    <row r="567" customFormat="false" ht="15.75" hidden="false" customHeight="false" outlineLevel="0" collapsed="false">
      <c r="A567" s="1" t="s">
        <v>528</v>
      </c>
      <c r="B567" s="1" t="n">
        <v>333.15</v>
      </c>
      <c r="C567" s="1" t="n">
        <f aca="false">1/B567</f>
        <v>0.0030016509079994</v>
      </c>
      <c r="D567" s="1" t="n">
        <v>0.771</v>
      </c>
      <c r="E567" s="1" t="n">
        <f aca="false">LN(D567)</f>
        <v>-0.260066905418808</v>
      </c>
    </row>
    <row r="568" customFormat="false" ht="15.75" hidden="false" customHeight="false" outlineLevel="0" collapsed="false">
      <c r="A568" s="1" t="s">
        <v>22</v>
      </c>
      <c r="B568" s="1" t="n">
        <v>293.16</v>
      </c>
      <c r="C568" s="1" t="n">
        <f aca="false">1/B568</f>
        <v>0.00341110656296903</v>
      </c>
      <c r="D568" s="1" t="n">
        <v>0.47</v>
      </c>
      <c r="E568" s="1" t="n">
        <f aca="false">LN(D568)</f>
        <v>-0.755022584278033</v>
      </c>
    </row>
    <row r="569" customFormat="false" ht="15.75" hidden="false" customHeight="false" outlineLevel="0" collapsed="false">
      <c r="A569" s="1" t="s">
        <v>24</v>
      </c>
      <c r="B569" s="1" t="n">
        <v>273.15</v>
      </c>
      <c r="C569" s="1" t="n">
        <f aca="false">1/B569</f>
        <v>0.00366099212886692</v>
      </c>
      <c r="D569" s="1" t="n">
        <v>45.14</v>
      </c>
      <c r="E569" s="1" t="n">
        <f aca="false">LN(D569)</f>
        <v>3.80976877138939</v>
      </c>
    </row>
    <row r="570" customFormat="false" ht="15.75" hidden="false" customHeight="false" outlineLevel="0" collapsed="false">
      <c r="A570" s="1" t="s">
        <v>24</v>
      </c>
      <c r="B570" s="1" t="n">
        <v>323.15</v>
      </c>
      <c r="C570" s="1" t="n">
        <f aca="false">1/B570</f>
        <v>0.00309453814018258</v>
      </c>
      <c r="D570" s="1" t="n">
        <v>4.14</v>
      </c>
      <c r="E570" s="1" t="n">
        <f aca="false">LN(D570)</f>
        <v>1.42069578783722</v>
      </c>
    </row>
    <row r="571" customFormat="false" ht="15.75" hidden="false" customHeight="false" outlineLevel="0" collapsed="false">
      <c r="A571" s="1" t="s">
        <v>24</v>
      </c>
      <c r="B571" s="1" t="n">
        <v>422.95</v>
      </c>
      <c r="C571" s="1" t="n">
        <f aca="false">1/B571</f>
        <v>0.00236434566733656</v>
      </c>
      <c r="D571" s="1" t="n">
        <v>0.684</v>
      </c>
      <c r="E571" s="1" t="n">
        <f aca="false">LN(D571)</f>
        <v>-0.379797361359586</v>
      </c>
    </row>
    <row r="572" customFormat="false" ht="15.75" hidden="false" customHeight="false" outlineLevel="0" collapsed="false">
      <c r="A572" s="1" t="s">
        <v>24</v>
      </c>
      <c r="B572" s="1" t="n">
        <v>473.15</v>
      </c>
      <c r="C572" s="1" t="n">
        <f aca="false">1/B572</f>
        <v>0.00211349466342597</v>
      </c>
      <c r="D572" s="1" t="n">
        <v>0.434</v>
      </c>
      <c r="E572" s="1" t="n">
        <f aca="false">LN(D572)</f>
        <v>-0.834710744881732</v>
      </c>
    </row>
    <row r="573" customFormat="false" ht="15.75" hidden="false" customHeight="false" outlineLevel="0" collapsed="false">
      <c r="A573" s="1" t="s">
        <v>529</v>
      </c>
      <c r="B573" s="1" t="n">
        <v>314.45</v>
      </c>
      <c r="C573" s="1" t="n">
        <f aca="false">1/B573</f>
        <v>0.00318015582763555</v>
      </c>
      <c r="D573" s="1" t="n">
        <v>2.21</v>
      </c>
      <c r="E573" s="1" t="n">
        <f aca="false">LN(D573)</f>
        <v>0.792992515529661</v>
      </c>
    </row>
    <row r="574" customFormat="false" ht="15.75" hidden="false" customHeight="false" outlineLevel="0" collapsed="false">
      <c r="A574" s="1" t="s">
        <v>529</v>
      </c>
      <c r="B574" s="1" t="n">
        <v>326.95</v>
      </c>
      <c r="C574" s="1" t="n">
        <f aca="false">1/B574</f>
        <v>0.00305857164704083</v>
      </c>
      <c r="D574" s="1" t="n">
        <v>1.625</v>
      </c>
      <c r="E574" s="1" t="n">
        <f aca="false">LN(D574)</f>
        <v>0.485507815781701</v>
      </c>
    </row>
    <row r="575" customFormat="false" ht="15.75" hidden="false" customHeight="false" outlineLevel="0" collapsed="false">
      <c r="A575" s="1" t="s">
        <v>529</v>
      </c>
      <c r="B575" s="1" t="n">
        <v>343.25</v>
      </c>
      <c r="C575" s="1" t="n">
        <f aca="false">1/B575</f>
        <v>0.00291332847778587</v>
      </c>
      <c r="D575" s="1" t="n">
        <v>1.14</v>
      </c>
      <c r="E575" s="1" t="n">
        <f aca="false">LN(D575)</f>
        <v>0.131028262406404</v>
      </c>
    </row>
    <row r="576" customFormat="false" ht="15.75" hidden="false" customHeight="false" outlineLevel="0" collapsed="false">
      <c r="A576" s="1" t="s">
        <v>529</v>
      </c>
      <c r="B576" s="1" t="n">
        <v>356.25</v>
      </c>
      <c r="C576" s="1" t="n">
        <f aca="false">1/B576</f>
        <v>0.00280701754385965</v>
      </c>
      <c r="D576" s="1" t="n">
        <v>0.877</v>
      </c>
      <c r="E576" s="1" t="n">
        <f aca="false">LN(D576)</f>
        <v>-0.131248286609954</v>
      </c>
    </row>
    <row r="577" customFormat="false" ht="15.75" hidden="false" customHeight="false" outlineLevel="0" collapsed="false">
      <c r="A577" s="1" t="s">
        <v>529</v>
      </c>
      <c r="B577" s="1" t="n">
        <v>372.95</v>
      </c>
      <c r="C577" s="1" t="n">
        <f aca="false">1/B577</f>
        <v>0.00268132457433972</v>
      </c>
      <c r="D577" s="1" t="n">
        <v>0.646</v>
      </c>
      <c r="E577" s="1" t="n">
        <f aca="false">LN(D577)</f>
        <v>-0.436955775199535</v>
      </c>
    </row>
    <row r="578" customFormat="false" ht="15.75" hidden="false" customHeight="false" outlineLevel="0" collapsed="false">
      <c r="A578" s="1" t="s">
        <v>529</v>
      </c>
      <c r="B578" s="1" t="n">
        <v>393.85</v>
      </c>
      <c r="C578" s="1" t="n">
        <f aca="false">1/B578</f>
        <v>0.00253903770470991</v>
      </c>
      <c r="D578" s="1" t="n">
        <v>0.464</v>
      </c>
      <c r="E578" s="1" t="n">
        <f aca="false">LN(D578)</f>
        <v>-0.767870726755882</v>
      </c>
    </row>
    <row r="579" customFormat="false" ht="15.75" hidden="false" customHeight="false" outlineLevel="0" collapsed="false">
      <c r="A579" s="1" t="s">
        <v>529</v>
      </c>
      <c r="B579" s="1" t="n">
        <v>402.95</v>
      </c>
      <c r="C579" s="1" t="n">
        <f aca="false">1/B579</f>
        <v>0.00248169748107706</v>
      </c>
      <c r="D579" s="1" t="n">
        <v>0.408</v>
      </c>
      <c r="E579" s="1" t="n">
        <f aca="false">LN(D579)</f>
        <v>-0.896488104577975</v>
      </c>
    </row>
    <row r="580" customFormat="false" ht="15.75" hidden="false" customHeight="false" outlineLevel="0" collapsed="false">
      <c r="A580" s="1" t="s">
        <v>531</v>
      </c>
      <c r="B580" s="1" t="n">
        <v>183.15</v>
      </c>
      <c r="C580" s="1" t="n">
        <f aca="false">1/B580</f>
        <v>0.00546000546000546</v>
      </c>
      <c r="D580" s="1" t="n">
        <v>0.85</v>
      </c>
      <c r="E580" s="1" t="n">
        <f aca="false">LN(D580)</f>
        <v>-0.162518929497775</v>
      </c>
    </row>
    <row r="581" customFormat="false" ht="15.75" hidden="false" customHeight="false" outlineLevel="0" collapsed="false">
      <c r="A581" s="1" t="s">
        <v>531</v>
      </c>
      <c r="B581" s="1" t="n">
        <v>188.15</v>
      </c>
      <c r="C581" s="1" t="n">
        <f aca="false">1/B581</f>
        <v>0.00531490831783152</v>
      </c>
      <c r="D581" s="1" t="n">
        <v>0.77</v>
      </c>
      <c r="E581" s="1" t="n">
        <f aca="false">LN(D581)</f>
        <v>-0.261364764134407</v>
      </c>
    </row>
    <row r="582" customFormat="false" ht="15.75" hidden="false" customHeight="false" outlineLevel="0" collapsed="false">
      <c r="A582" s="1" t="s">
        <v>531</v>
      </c>
      <c r="B582" s="1" t="n">
        <v>198.15</v>
      </c>
      <c r="C582" s="1" t="n">
        <f aca="false">1/B582</f>
        <v>0.00504668180671209</v>
      </c>
      <c r="D582" s="1" t="n">
        <v>0.64</v>
      </c>
      <c r="E582" s="1" t="n">
        <f aca="false">LN(D582)</f>
        <v>-0.446287102628419</v>
      </c>
    </row>
    <row r="583" customFormat="false" ht="15.75" hidden="false" customHeight="false" outlineLevel="0" collapsed="false">
      <c r="A583" s="1" t="s">
        <v>531</v>
      </c>
      <c r="B583" s="1" t="n">
        <v>203.15</v>
      </c>
      <c r="C583" s="1" t="n">
        <f aca="false">1/B583</f>
        <v>0.0049224710804824</v>
      </c>
      <c r="D583" s="1" t="n">
        <v>0.59</v>
      </c>
      <c r="E583" s="1" t="n">
        <f aca="false">LN(D583)</f>
        <v>-0.527632742082372</v>
      </c>
    </row>
    <row r="584" customFormat="false" ht="15.75" hidden="false" customHeight="false" outlineLevel="0" collapsed="false">
      <c r="A584" s="1" t="s">
        <v>531</v>
      </c>
      <c r="B584" s="1" t="n">
        <v>213.15</v>
      </c>
      <c r="C584" s="1" t="n">
        <f aca="false">1/B584</f>
        <v>0.00469153178512784</v>
      </c>
      <c r="D584" s="1" t="n">
        <v>0.5</v>
      </c>
      <c r="E584" s="1" t="n">
        <f aca="false">LN(D584)</f>
        <v>-0.693147180559945</v>
      </c>
    </row>
    <row r="585" customFormat="false" ht="15.75" hidden="false" customHeight="false" outlineLevel="0" collapsed="false">
      <c r="A585" s="1" t="s">
        <v>531</v>
      </c>
      <c r="B585" s="1" t="n">
        <v>218.15</v>
      </c>
      <c r="C585" s="1" t="n">
        <f aca="false">1/B585</f>
        <v>0.00458400183360073</v>
      </c>
      <c r="D585" s="1" t="n">
        <v>0.46</v>
      </c>
      <c r="E585" s="1" t="n">
        <f aca="false">LN(D585)</f>
        <v>-0.776528789498996</v>
      </c>
    </row>
    <row r="586" customFormat="false" ht="15.75" hidden="false" customHeight="false" outlineLevel="0" collapsed="false">
      <c r="A586" s="1" t="s">
        <v>531</v>
      </c>
      <c r="B586" s="1" t="n">
        <v>223.15</v>
      </c>
      <c r="C586" s="1" t="n">
        <f aca="false">1/B586</f>
        <v>0.00448129061169617</v>
      </c>
      <c r="D586" s="1" t="n">
        <v>0.43</v>
      </c>
      <c r="E586" s="1" t="n">
        <f aca="false">LN(D586)</f>
        <v>-0.843970070294529</v>
      </c>
    </row>
    <row r="587" customFormat="false" ht="15.75" hidden="false" customHeight="false" outlineLevel="0" collapsed="false">
      <c r="A587" s="1" t="s">
        <v>531</v>
      </c>
      <c r="B587" s="1" t="n">
        <v>233.15</v>
      </c>
      <c r="C587" s="1" t="n">
        <f aca="false">1/B587</f>
        <v>0.00428908428050611</v>
      </c>
      <c r="D587" s="1" t="n">
        <v>0.38</v>
      </c>
      <c r="E587" s="1" t="n">
        <f aca="false">LN(D587)</f>
        <v>-0.967584026261706</v>
      </c>
    </row>
    <row r="588" customFormat="false" ht="15.75" hidden="false" customHeight="false" outlineLevel="0" collapsed="false">
      <c r="A588" s="1" t="s">
        <v>531</v>
      </c>
      <c r="B588" s="1" t="n">
        <v>238.15</v>
      </c>
      <c r="C588" s="1" t="n">
        <f aca="false">1/B588</f>
        <v>0.00419903422212891</v>
      </c>
      <c r="D588" s="1" t="n">
        <v>0.35</v>
      </c>
      <c r="E588" s="1" t="n">
        <f aca="false">LN(D588)</f>
        <v>-1.04982212449868</v>
      </c>
    </row>
    <row r="589" customFormat="false" ht="15.75" hidden="false" customHeight="false" outlineLevel="0" collapsed="false">
      <c r="A589" s="1" t="s">
        <v>531</v>
      </c>
      <c r="B589" s="1" t="n">
        <v>248.15</v>
      </c>
      <c r="C589" s="1" t="n">
        <f aca="false">1/B589</f>
        <v>0.00402982067298005</v>
      </c>
      <c r="D589" s="1" t="n">
        <v>0.31</v>
      </c>
      <c r="E589" s="1" t="n">
        <f aca="false">LN(D589)</f>
        <v>-1.17118298150295</v>
      </c>
    </row>
    <row r="590" customFormat="false" ht="15.75" hidden="false" customHeight="false" outlineLevel="0" collapsed="false">
      <c r="A590" s="1" t="s">
        <v>531</v>
      </c>
      <c r="B590" s="1" t="n">
        <v>253.15</v>
      </c>
      <c r="C590" s="1" t="n">
        <f aca="false">1/B590</f>
        <v>0.00395022713806044</v>
      </c>
      <c r="D590" s="1" t="n">
        <v>0.3</v>
      </c>
      <c r="E590" s="1" t="n">
        <f aca="false">LN(D590)</f>
        <v>-1.20397280432594</v>
      </c>
    </row>
    <row r="591" customFormat="false" ht="15.75" hidden="false" customHeight="false" outlineLevel="0" collapsed="false">
      <c r="A591" s="1" t="s">
        <v>531</v>
      </c>
      <c r="B591" s="1" t="n">
        <v>258.15</v>
      </c>
      <c r="C591" s="1" t="n">
        <f aca="false">1/B591</f>
        <v>0.00387371683129963</v>
      </c>
      <c r="D591" s="1" t="n">
        <v>0.28</v>
      </c>
      <c r="E591" s="1" t="n">
        <f aca="false">LN(D591)</f>
        <v>-1.27296567581289</v>
      </c>
    </row>
    <row r="592" customFormat="false" ht="15.75" hidden="false" customHeight="false" outlineLevel="0" collapsed="false">
      <c r="A592" s="1" t="s">
        <v>531</v>
      </c>
      <c r="B592" s="1" t="n">
        <v>268.15</v>
      </c>
      <c r="C592" s="1" t="n">
        <f aca="false">1/B592</f>
        <v>0.00372925601342532</v>
      </c>
      <c r="D592" s="1" t="n">
        <v>0.25</v>
      </c>
      <c r="E592" s="1" t="n">
        <f aca="false">LN(D592)</f>
        <v>-1.38629436111989</v>
      </c>
    </row>
    <row r="593" customFormat="false" ht="15.75" hidden="false" customHeight="false" outlineLevel="0" collapsed="false">
      <c r="A593" s="1" t="s">
        <v>531</v>
      </c>
      <c r="B593" s="1" t="n">
        <v>273.15</v>
      </c>
      <c r="C593" s="1" t="n">
        <f aca="false">1/B593</f>
        <v>0.00366099212886692</v>
      </c>
      <c r="D593" s="1" t="n">
        <v>0.24</v>
      </c>
      <c r="E593" s="1" t="n">
        <f aca="false">LN(D593)</f>
        <v>-1.42711635564015</v>
      </c>
    </row>
    <row r="594" customFormat="false" ht="15.75" hidden="false" customHeight="false" outlineLevel="0" collapsed="false">
      <c r="A594" s="1" t="s">
        <v>531</v>
      </c>
      <c r="B594" s="1" t="n">
        <v>193.15</v>
      </c>
      <c r="C594" s="1" t="n">
        <f aca="false">1/B594</f>
        <v>0.00517732332384157</v>
      </c>
      <c r="D594" s="1" t="n">
        <v>0.7</v>
      </c>
      <c r="E594" s="1" t="n">
        <f aca="false">LN(D594)</f>
        <v>-0.356674943938732</v>
      </c>
    </row>
    <row r="595" customFormat="false" ht="15.75" hidden="false" customHeight="false" outlineLevel="0" collapsed="false">
      <c r="A595" s="1" t="s">
        <v>531</v>
      </c>
      <c r="B595" s="1" t="n">
        <v>208.15</v>
      </c>
      <c r="C595" s="1" t="n">
        <f aca="false">1/B595</f>
        <v>0.00480422772039395</v>
      </c>
      <c r="D595" s="1" t="n">
        <v>0.54</v>
      </c>
      <c r="E595" s="1" t="n">
        <f aca="false">LN(D595)</f>
        <v>-0.616186139423817</v>
      </c>
    </row>
    <row r="596" customFormat="false" ht="15.75" hidden="false" customHeight="false" outlineLevel="0" collapsed="false">
      <c r="A596" s="1" t="s">
        <v>531</v>
      </c>
      <c r="B596" s="1" t="n">
        <v>228.15</v>
      </c>
      <c r="C596" s="1" t="n">
        <f aca="false">1/B596</f>
        <v>0.00438308130615823</v>
      </c>
      <c r="D596" s="1" t="n">
        <v>0.4</v>
      </c>
      <c r="E596" s="1" t="n">
        <f aca="false">LN(D596)</f>
        <v>-0.916290731874155</v>
      </c>
    </row>
    <row r="597" customFormat="false" ht="15.75" hidden="false" customHeight="false" outlineLevel="0" collapsed="false">
      <c r="A597" s="1" t="s">
        <v>531</v>
      </c>
      <c r="B597" s="1" t="n">
        <v>243.15</v>
      </c>
      <c r="C597" s="1" t="n">
        <f aca="false">1/B597</f>
        <v>0.00411268764137364</v>
      </c>
      <c r="D597" s="1" t="n">
        <v>0.33</v>
      </c>
      <c r="E597" s="1" t="n">
        <f aca="false">LN(D597)</f>
        <v>-1.10866262452161</v>
      </c>
    </row>
    <row r="598" customFormat="false" ht="15.75" hidden="false" customHeight="false" outlineLevel="0" collapsed="false">
      <c r="A598" s="1" t="s">
        <v>531</v>
      </c>
      <c r="B598" s="1" t="n">
        <v>263.15</v>
      </c>
      <c r="C598" s="1" t="n">
        <f aca="false">1/B598</f>
        <v>0.0038001140034201</v>
      </c>
      <c r="D598" s="1" t="n">
        <v>0.27</v>
      </c>
      <c r="E598" s="1" t="n">
        <f aca="false">LN(D598)</f>
        <v>-1.30933331998376</v>
      </c>
    </row>
    <row r="599" customFormat="false" ht="15.75" hidden="false" customHeight="false" outlineLevel="0" collapsed="false">
      <c r="A599" s="1" t="s">
        <v>230</v>
      </c>
      <c r="B599" s="1" t="n">
        <v>273.15</v>
      </c>
      <c r="C599" s="1" t="n">
        <f aca="false">1/B599</f>
        <v>0.00366099212886692</v>
      </c>
      <c r="D599" s="1" t="n">
        <v>19.57</v>
      </c>
      <c r="E599" s="1" t="n">
        <f aca="false">LN(D599)</f>
        <v>2.97399778140798</v>
      </c>
    </row>
    <row r="600" customFormat="false" ht="15.75" hidden="false" customHeight="false" outlineLevel="0" collapsed="false">
      <c r="A600" s="1" t="s">
        <v>230</v>
      </c>
      <c r="B600" s="1" t="n">
        <v>323.15</v>
      </c>
      <c r="C600" s="1" t="n">
        <f aca="false">1/B600</f>
        <v>0.00309453814018258</v>
      </c>
      <c r="D600" s="1" t="n">
        <v>3.55</v>
      </c>
      <c r="E600" s="1" t="n">
        <f aca="false">LN(D600)</f>
        <v>1.26694760348732</v>
      </c>
    </row>
    <row r="601" customFormat="false" ht="15.75" hidden="false" customHeight="false" outlineLevel="0" collapsed="false">
      <c r="A601" s="1" t="s">
        <v>230</v>
      </c>
      <c r="B601" s="1" t="n">
        <v>422.95</v>
      </c>
      <c r="C601" s="1" t="n">
        <f aca="false">1/B601</f>
        <v>0.00236434566733656</v>
      </c>
      <c r="D601" s="1" t="n">
        <v>0.719</v>
      </c>
      <c r="E601" s="1" t="n">
        <f aca="false">LN(D601)</f>
        <v>-0.32989392126109</v>
      </c>
    </row>
    <row r="602" customFormat="false" ht="15.75" hidden="false" customHeight="false" outlineLevel="0" collapsed="false">
      <c r="A602" s="1" t="s">
        <v>230</v>
      </c>
      <c r="B602" s="1" t="n">
        <v>473.15</v>
      </c>
      <c r="C602" s="1" t="n">
        <f aca="false">1/B602</f>
        <v>0.00211349466342597</v>
      </c>
      <c r="D602" s="1" t="n">
        <v>0.463</v>
      </c>
      <c r="E602" s="1" t="n">
        <f aca="false">LN(D602)</f>
        <v>-0.770028224895903</v>
      </c>
    </row>
    <row r="603" customFormat="false" ht="15.75" hidden="false" customHeight="false" outlineLevel="0" collapsed="false">
      <c r="A603" s="1" t="s">
        <v>26</v>
      </c>
      <c r="B603" s="1" t="n">
        <v>283.15</v>
      </c>
      <c r="C603" s="1" t="n">
        <f aca="false">1/B603</f>
        <v>0.00353169698039908</v>
      </c>
      <c r="D603" s="1" t="n">
        <v>0.464</v>
      </c>
      <c r="E603" s="1" t="n">
        <f aca="false">LN(D603)</f>
        <v>-0.767870726755882</v>
      </c>
    </row>
    <row r="604" customFormat="false" ht="15.75" hidden="false" customHeight="false" outlineLevel="0" collapsed="false">
      <c r="A604" s="1" t="s">
        <v>26</v>
      </c>
      <c r="B604" s="1" t="n">
        <v>293.15</v>
      </c>
      <c r="C604" s="1" t="n">
        <f aca="false">1/B604</f>
        <v>0.00341122292341805</v>
      </c>
      <c r="D604" s="1" t="n">
        <v>0.405</v>
      </c>
      <c r="E604" s="1" t="n">
        <f aca="false">LN(D604)</f>
        <v>-0.903868211875598</v>
      </c>
    </row>
    <row r="605" customFormat="false" ht="15.75" hidden="false" customHeight="false" outlineLevel="0" collapsed="false">
      <c r="A605" s="1" t="s">
        <v>26</v>
      </c>
      <c r="B605" s="1" t="n">
        <v>303.15</v>
      </c>
      <c r="C605" s="1" t="n">
        <f aca="false">1/B605</f>
        <v>0.0032986970146792</v>
      </c>
      <c r="D605" s="1" t="n">
        <v>0.35</v>
      </c>
      <c r="E605" s="1" t="n">
        <f aca="false">LN(D605)</f>
        <v>-1.04982212449868</v>
      </c>
    </row>
    <row r="606" customFormat="false" ht="15.75" hidden="false" customHeight="false" outlineLevel="0" collapsed="false">
      <c r="A606" s="1" t="s">
        <v>26</v>
      </c>
      <c r="B606" s="1" t="n">
        <v>313.15</v>
      </c>
      <c r="C606" s="1" t="n">
        <f aca="false">1/B606</f>
        <v>0.00319335781574325</v>
      </c>
      <c r="D606" s="1" t="n">
        <v>0.311</v>
      </c>
      <c r="E606" s="1" t="n">
        <f aca="false">LN(D606)</f>
        <v>-1.1679623668029</v>
      </c>
    </row>
    <row r="607" customFormat="false" ht="15.75" hidden="false" customHeight="false" outlineLevel="0" collapsed="false">
      <c r="A607" s="1" t="s">
        <v>28</v>
      </c>
      <c r="B607" s="1" t="n">
        <v>273.15</v>
      </c>
      <c r="C607" s="1" t="n">
        <f aca="false">1/B607</f>
        <v>0.00366099212886692</v>
      </c>
      <c r="D607" s="1" t="n">
        <v>0.503</v>
      </c>
      <c r="E607" s="1" t="n">
        <f aca="false">LN(D607)</f>
        <v>-0.687165108882398</v>
      </c>
    </row>
    <row r="608" customFormat="false" ht="15.75" hidden="false" customHeight="false" outlineLevel="0" collapsed="false">
      <c r="A608" s="1" t="s">
        <v>28</v>
      </c>
      <c r="B608" s="1" t="n">
        <v>283.15</v>
      </c>
      <c r="C608" s="1" t="n">
        <f aca="false">1/B608</f>
        <v>0.00353169698039908</v>
      </c>
      <c r="D608" s="1" t="n">
        <v>0.4496</v>
      </c>
      <c r="E608" s="1" t="n">
        <f aca="false">LN(D608)</f>
        <v>-0.799396980402656</v>
      </c>
    </row>
    <row r="609" customFormat="false" ht="15.75" hidden="false" customHeight="false" outlineLevel="0" collapsed="false">
      <c r="A609" s="1" t="s">
        <v>28</v>
      </c>
      <c r="B609" s="1" t="n">
        <v>293.15</v>
      </c>
      <c r="C609" s="1" t="n">
        <f aca="false">1/B609</f>
        <v>0.00341122292341805</v>
      </c>
      <c r="D609" s="1" t="n">
        <v>0.4042</v>
      </c>
      <c r="E609" s="1" t="n">
        <f aca="false">LN(D609)</f>
        <v>-0.905845474012616</v>
      </c>
    </row>
    <row r="610" customFormat="false" ht="15.75" hidden="false" customHeight="false" outlineLevel="0" collapsed="false">
      <c r="A610" s="1" t="s">
        <v>28</v>
      </c>
      <c r="B610" s="1" t="n">
        <v>303.15</v>
      </c>
      <c r="C610" s="1" t="n">
        <f aca="false">1/B610</f>
        <v>0.0032986970146792</v>
      </c>
      <c r="D610" s="1" t="n">
        <v>0.3662</v>
      </c>
      <c r="E610" s="1" t="n">
        <f aca="false">LN(D610)</f>
        <v>-1.00457564674173</v>
      </c>
    </row>
    <row r="611" customFormat="false" ht="15.75" hidden="false" customHeight="false" outlineLevel="0" collapsed="false">
      <c r="A611" s="1" t="s">
        <v>533</v>
      </c>
      <c r="B611" s="1" t="n">
        <v>280.46</v>
      </c>
      <c r="C611" s="1" t="n">
        <f aca="false">1/B611</f>
        <v>0.00356557084789275</v>
      </c>
      <c r="D611" s="1" t="n">
        <v>3.145</v>
      </c>
      <c r="E611" s="1" t="n">
        <f aca="false">LN(D611)</f>
        <v>1.1458138901524</v>
      </c>
    </row>
    <row r="612" customFormat="false" ht="15.75" hidden="false" customHeight="false" outlineLevel="0" collapsed="false">
      <c r="A612" s="1" t="s">
        <v>533</v>
      </c>
      <c r="B612" s="1" t="n">
        <v>288.21</v>
      </c>
      <c r="C612" s="1" t="n">
        <f aca="false">1/B612</f>
        <v>0.00346969223829846</v>
      </c>
      <c r="D612" s="1" t="n">
        <v>2.5555</v>
      </c>
      <c r="E612" s="1" t="n">
        <f aca="false">LN(D612)</f>
        <v>0.938247899226197</v>
      </c>
    </row>
    <row r="613" customFormat="false" ht="15.75" hidden="false" customHeight="false" outlineLevel="0" collapsed="false">
      <c r="A613" s="1" t="s">
        <v>533</v>
      </c>
      <c r="B613" s="1" t="n">
        <v>296.01</v>
      </c>
      <c r="C613" s="1" t="n">
        <f aca="false">1/B613</f>
        <v>0.00337826424782947</v>
      </c>
      <c r="D613" s="1" t="n">
        <v>2.101</v>
      </c>
      <c r="E613" s="1" t="n">
        <f aca="false">LN(D613)</f>
        <v>0.742413421862863</v>
      </c>
    </row>
    <row r="614" customFormat="false" ht="15.75" hidden="false" customHeight="false" outlineLevel="0" collapsed="false">
      <c r="A614" s="1" t="s">
        <v>533</v>
      </c>
      <c r="B614" s="1" t="n">
        <v>303.98</v>
      </c>
      <c r="C614" s="1" t="n">
        <f aca="false">1/B614</f>
        <v>0.00328969011119153</v>
      </c>
      <c r="D614" s="1" t="n">
        <v>1.732</v>
      </c>
      <c r="E614" s="1" t="n">
        <f aca="false">LN(D614)</f>
        <v>0.549276810140243</v>
      </c>
    </row>
    <row r="615" customFormat="false" ht="15.75" hidden="false" customHeight="false" outlineLevel="0" collapsed="false">
      <c r="A615" s="1" t="s">
        <v>533</v>
      </c>
      <c r="B615" s="1" t="n">
        <v>304.17</v>
      </c>
      <c r="C615" s="1" t="n">
        <f aca="false">1/B615</f>
        <v>0.00328763520399776</v>
      </c>
      <c r="D615" s="1" t="n">
        <v>1.724</v>
      </c>
      <c r="E615" s="1" t="n">
        <f aca="false">LN(D615)</f>
        <v>0.544647172241501</v>
      </c>
    </row>
    <row r="616" customFormat="false" ht="15.75" hidden="false" customHeight="false" outlineLevel="0" collapsed="false">
      <c r="A616" s="1" t="s">
        <v>533</v>
      </c>
      <c r="B616" s="1" t="n">
        <v>311.94</v>
      </c>
      <c r="C616" s="1" t="n">
        <f aca="false">1/B616</f>
        <v>0.00320574469449253</v>
      </c>
      <c r="D616" s="1" t="n">
        <v>1.44</v>
      </c>
      <c r="E616" s="1" t="n">
        <f aca="false">LN(D616)</f>
        <v>0.364643113587909</v>
      </c>
    </row>
    <row r="617" customFormat="false" ht="15.75" hidden="false" customHeight="false" outlineLevel="0" collapsed="false">
      <c r="A617" s="1" t="s">
        <v>533</v>
      </c>
      <c r="B617" s="1" t="n">
        <v>327.48</v>
      </c>
      <c r="C617" s="1" t="n">
        <f aca="false">1/B617</f>
        <v>0.00305362159521192</v>
      </c>
      <c r="D617" s="1" t="n">
        <v>1.03</v>
      </c>
      <c r="E617" s="1" t="n">
        <f aca="false">LN(D617)</f>
        <v>0.0295588022415444</v>
      </c>
    </row>
    <row r="618" customFormat="false" ht="15.75" hidden="false" customHeight="false" outlineLevel="0" collapsed="false">
      <c r="A618" s="1" t="s">
        <v>533</v>
      </c>
      <c r="B618" s="1" t="n">
        <v>334.89</v>
      </c>
      <c r="C618" s="1" t="n">
        <f aca="false">1/B618</f>
        <v>0.00298605512257756</v>
      </c>
      <c r="D618" s="1" t="n">
        <v>0.888</v>
      </c>
      <c r="E618" s="1" t="n">
        <f aca="false">LN(D618)</f>
        <v>-0.118783535989967</v>
      </c>
    </row>
    <row r="619" customFormat="false" ht="15.75" hidden="false" customHeight="false" outlineLevel="0" collapsed="false">
      <c r="A619" s="1" t="s">
        <v>533</v>
      </c>
      <c r="B619" s="1" t="n">
        <v>342.19</v>
      </c>
      <c r="C619" s="1" t="n">
        <f aca="false">1/B619</f>
        <v>0.00292235307869897</v>
      </c>
      <c r="D619" s="1" t="n">
        <v>0.771</v>
      </c>
      <c r="E619" s="1" t="n">
        <f aca="false">LN(D619)</f>
        <v>-0.260066905418808</v>
      </c>
    </row>
    <row r="620" customFormat="false" ht="15.75" hidden="false" customHeight="false" outlineLevel="0" collapsed="false">
      <c r="A620" s="1" t="s">
        <v>533</v>
      </c>
      <c r="B620" s="1" t="n">
        <v>349.9</v>
      </c>
      <c r="C620" s="1" t="n">
        <f aca="false">1/B620</f>
        <v>0.00285795941697628</v>
      </c>
      <c r="D620" s="1" t="n">
        <v>0.666</v>
      </c>
      <c r="E620" s="1" t="n">
        <f aca="false">LN(D620)</f>
        <v>-0.406465608441748</v>
      </c>
    </row>
    <row r="621" customFormat="false" ht="15.75" hidden="false" customHeight="false" outlineLevel="0" collapsed="false">
      <c r="A621" s="1" t="s">
        <v>533</v>
      </c>
      <c r="B621" s="1" t="n">
        <v>357.97</v>
      </c>
      <c r="C621" s="1" t="n">
        <f aca="false">1/B621</f>
        <v>0.00279353018409364</v>
      </c>
      <c r="D621" s="1" t="n">
        <v>0.576</v>
      </c>
      <c r="E621" s="1" t="n">
        <f aca="false">LN(D621)</f>
        <v>-0.551647618286246</v>
      </c>
    </row>
    <row r="622" customFormat="false" ht="15.75" hidden="false" customHeight="false" outlineLevel="0" collapsed="false">
      <c r="A622" s="1" t="s">
        <v>533</v>
      </c>
      <c r="B622" s="1" t="n">
        <v>366.25</v>
      </c>
      <c r="C622" s="1" t="n">
        <f aca="false">1/B622</f>
        <v>0.00273037542662116</v>
      </c>
      <c r="D622" s="1" t="n">
        <v>0.499</v>
      </c>
      <c r="E622" s="1" t="n">
        <f aca="false">LN(D622)</f>
        <v>-0.695149183230618</v>
      </c>
    </row>
    <row r="623" customFormat="false" ht="15.75" hidden="false" customHeight="false" outlineLevel="0" collapsed="false">
      <c r="A623" s="1" t="s">
        <v>533</v>
      </c>
      <c r="B623" s="1" t="n">
        <v>368.74</v>
      </c>
      <c r="C623" s="1" t="n">
        <f aca="false">1/B623</f>
        <v>0.00271193795085968</v>
      </c>
      <c r="D623" s="1" t="n">
        <v>0.477</v>
      </c>
      <c r="E623" s="1" t="n">
        <f aca="false">LN(D623)</f>
        <v>-0.740238788093796</v>
      </c>
    </row>
    <row r="624" customFormat="false" ht="15.75" hidden="false" customHeight="false" outlineLevel="0" collapsed="false">
      <c r="A624" s="1" t="s">
        <v>533</v>
      </c>
      <c r="B624" s="1" t="n">
        <v>303.15</v>
      </c>
      <c r="C624" s="1" t="n">
        <f aca="false">1/B624</f>
        <v>0.0032986970146792</v>
      </c>
      <c r="D624" s="1" t="n">
        <v>1.722</v>
      </c>
      <c r="E624" s="1" t="n">
        <f aca="false">LN(D624)</f>
        <v>0.543486406005539</v>
      </c>
    </row>
    <row r="625" customFormat="false" ht="15.75" hidden="false" customHeight="false" outlineLevel="0" collapsed="false">
      <c r="A625" s="1" t="s">
        <v>533</v>
      </c>
      <c r="B625" s="1" t="n">
        <v>213.15</v>
      </c>
      <c r="C625" s="1" t="n">
        <f aca="false">1/B625</f>
        <v>0.00469153178512784</v>
      </c>
      <c r="D625" s="1" t="n">
        <v>38.6</v>
      </c>
      <c r="E625" s="1" t="n">
        <f aca="false">LN(D625)</f>
        <v>3.65325227647078</v>
      </c>
    </row>
    <row r="626" customFormat="false" ht="15.75" hidden="false" customHeight="false" outlineLevel="0" collapsed="false">
      <c r="A626" s="1" t="s">
        <v>533</v>
      </c>
      <c r="B626" s="1" t="n">
        <v>223.15</v>
      </c>
      <c r="C626" s="1" t="n">
        <f aca="false">1/B626</f>
        <v>0.00448129061169617</v>
      </c>
      <c r="D626" s="1" t="n">
        <v>23.6</v>
      </c>
      <c r="E626" s="1" t="n">
        <f aca="false">LN(D626)</f>
        <v>3.16124671203156</v>
      </c>
    </row>
    <row r="627" customFormat="false" ht="15.75" hidden="false" customHeight="false" outlineLevel="0" collapsed="false">
      <c r="A627" s="1" t="s">
        <v>533</v>
      </c>
      <c r="B627" s="1" t="n">
        <v>233.15</v>
      </c>
      <c r="C627" s="1" t="n">
        <f aca="false">1/B627</f>
        <v>0.00428908428050611</v>
      </c>
      <c r="D627" s="1" t="n">
        <v>15.4</v>
      </c>
      <c r="E627" s="1" t="n">
        <f aca="false">LN(D627)</f>
        <v>2.73436750941958</v>
      </c>
    </row>
    <row r="628" customFormat="false" ht="15.75" hidden="false" customHeight="false" outlineLevel="0" collapsed="false">
      <c r="A628" s="1" t="s">
        <v>533</v>
      </c>
      <c r="B628" s="1" t="n">
        <v>243.15</v>
      </c>
      <c r="C628" s="1" t="n">
        <f aca="false">1/B628</f>
        <v>0.00411268764137364</v>
      </c>
      <c r="D628" s="1" t="n">
        <v>10.3</v>
      </c>
      <c r="E628" s="1" t="n">
        <f aca="false">LN(D628)</f>
        <v>2.33214389523559</v>
      </c>
    </row>
    <row r="629" customFormat="false" ht="15.75" hidden="false" customHeight="false" outlineLevel="0" collapsed="false">
      <c r="A629" s="1" t="s">
        <v>533</v>
      </c>
      <c r="B629" s="1" t="n">
        <v>253.15</v>
      </c>
      <c r="C629" s="1" t="n">
        <f aca="false">1/B629</f>
        <v>0.00395022713806044</v>
      </c>
      <c r="D629" s="1" t="n">
        <v>7.16</v>
      </c>
      <c r="E629" s="1" t="n">
        <f aca="false">LN(D629)</f>
        <v>1.96850998097255</v>
      </c>
    </row>
    <row r="630" customFormat="false" ht="15.75" hidden="false" customHeight="false" outlineLevel="0" collapsed="false">
      <c r="A630" s="1" t="s">
        <v>533</v>
      </c>
      <c r="B630" s="1" t="n">
        <v>273.15</v>
      </c>
      <c r="C630" s="1" t="n">
        <f aca="false">1/B630</f>
        <v>0.00366099212886692</v>
      </c>
      <c r="D630" s="1" t="n">
        <v>3.88</v>
      </c>
      <c r="E630" s="1" t="n">
        <f aca="false">LN(D630)</f>
        <v>1.35583515363518</v>
      </c>
    </row>
    <row r="631" customFormat="false" ht="15.75" hidden="false" customHeight="false" outlineLevel="0" collapsed="false">
      <c r="A631" s="1" t="s">
        <v>533</v>
      </c>
      <c r="B631" s="1" t="n">
        <v>283.15</v>
      </c>
      <c r="C631" s="1" t="n">
        <f aca="false">1/B631</f>
        <v>0.00353169698039908</v>
      </c>
      <c r="D631" s="1" t="n">
        <v>2.92</v>
      </c>
      <c r="E631" s="1" t="n">
        <f aca="false">LN(D631)</f>
        <v>1.07158361628019</v>
      </c>
    </row>
    <row r="632" customFormat="false" ht="15.75" hidden="false" customHeight="false" outlineLevel="0" collapsed="false">
      <c r="A632" s="1" t="s">
        <v>533</v>
      </c>
      <c r="B632" s="1" t="n">
        <v>293.15</v>
      </c>
      <c r="C632" s="1" t="n">
        <f aca="false">1/B632</f>
        <v>0.00341122292341805</v>
      </c>
      <c r="D632" s="1" t="n">
        <v>2.26</v>
      </c>
      <c r="E632" s="1" t="n">
        <f aca="false">LN(D632)</f>
        <v>0.815364813284194</v>
      </c>
    </row>
    <row r="633" customFormat="false" ht="15.75" hidden="false" customHeight="false" outlineLevel="0" collapsed="false">
      <c r="A633" s="1" t="s">
        <v>533</v>
      </c>
      <c r="B633" s="1" t="n">
        <v>288.15</v>
      </c>
      <c r="C633" s="1" t="n">
        <f aca="false">1/B633</f>
        <v>0.00347041471455839</v>
      </c>
      <c r="D633" s="1" t="n">
        <v>2.3179</v>
      </c>
      <c r="E633" s="1" t="n">
        <f aca="false">LN(D633)</f>
        <v>0.840661603348494</v>
      </c>
    </row>
    <row r="634" customFormat="false" ht="15.75" hidden="false" customHeight="false" outlineLevel="0" collapsed="false">
      <c r="A634" s="1" t="s">
        <v>533</v>
      </c>
      <c r="B634" s="1" t="n">
        <v>298.15</v>
      </c>
      <c r="C634" s="1" t="n">
        <f aca="false">1/B634</f>
        <v>0.00335401643468053</v>
      </c>
      <c r="D634" s="1" t="n">
        <v>1.898</v>
      </c>
      <c r="E634" s="1" t="n">
        <f aca="false">LN(D634)</f>
        <v>0.640800700187736</v>
      </c>
    </row>
    <row r="635" customFormat="false" ht="15.75" hidden="false" customHeight="false" outlineLevel="0" collapsed="false">
      <c r="A635" s="1" t="s">
        <v>533</v>
      </c>
      <c r="B635" s="1" t="n">
        <v>308.15</v>
      </c>
      <c r="C635" s="1" t="n">
        <f aca="false">1/B635</f>
        <v>0.00324517280545189</v>
      </c>
      <c r="D635" s="1" t="n">
        <v>1.436</v>
      </c>
      <c r="E635" s="1" t="n">
        <f aca="false">LN(D635)</f>
        <v>0.361861470626032</v>
      </c>
    </row>
    <row r="636" customFormat="false" ht="15.75" hidden="false" customHeight="false" outlineLevel="0" collapsed="false">
      <c r="A636" s="1" t="s">
        <v>533</v>
      </c>
      <c r="B636" s="1" t="n">
        <v>318.15</v>
      </c>
      <c r="C636" s="1" t="n">
        <f aca="false">1/B636</f>
        <v>0.00314317146000314</v>
      </c>
      <c r="D636" s="1" t="n">
        <v>1.223</v>
      </c>
      <c r="E636" s="1" t="n">
        <f aca="false">LN(D636)</f>
        <v>0.201306856705035</v>
      </c>
    </row>
    <row r="637" customFormat="false" ht="15.75" hidden="false" customHeight="false" outlineLevel="0" collapsed="false">
      <c r="A637" s="1" t="s">
        <v>533</v>
      </c>
      <c r="B637" s="1" t="n">
        <v>328.15</v>
      </c>
      <c r="C637" s="1" t="n">
        <f aca="false">1/B637</f>
        <v>0.00304738686576261</v>
      </c>
      <c r="D637" s="1" t="n">
        <v>0.9908</v>
      </c>
      <c r="E637" s="1" t="n">
        <f aca="false">LN(D637)</f>
        <v>-0.00924258136693254</v>
      </c>
    </row>
    <row r="638" customFormat="false" ht="15.75" hidden="false" customHeight="false" outlineLevel="0" collapsed="false">
      <c r="A638" s="1" t="s">
        <v>533</v>
      </c>
      <c r="B638" s="1" t="n">
        <v>308.15199</v>
      </c>
      <c r="C638" s="1" t="n">
        <f aca="false">1/B638</f>
        <v>0.00324515184860562</v>
      </c>
      <c r="D638" s="1" t="n">
        <v>1.546</v>
      </c>
      <c r="E638" s="1" t="n">
        <f aca="false">LN(D638)</f>
        <v>0.43567095016523</v>
      </c>
    </row>
    <row r="639" customFormat="false" ht="15.75" hidden="false" customHeight="false" outlineLevel="0" collapsed="false">
      <c r="A639" s="1" t="s">
        <v>533</v>
      </c>
      <c r="B639" s="1" t="n">
        <v>318.15</v>
      </c>
      <c r="C639" s="1" t="n">
        <f aca="false">1/B639</f>
        <v>0.00314317146000314</v>
      </c>
      <c r="D639" s="1" t="n">
        <v>1.385</v>
      </c>
      <c r="E639" s="1" t="n">
        <f aca="false">LN(D639)</f>
        <v>0.325700139639302</v>
      </c>
    </row>
    <row r="640" customFormat="false" ht="15.75" hidden="false" customHeight="false" outlineLevel="0" collapsed="false">
      <c r="A640" s="1" t="s">
        <v>533</v>
      </c>
      <c r="B640" s="1" t="n">
        <v>298.15204</v>
      </c>
      <c r="C640" s="1" t="n">
        <f aca="false">1/B640</f>
        <v>0.00335399348600801</v>
      </c>
      <c r="D640" s="1" t="n">
        <v>1.951</v>
      </c>
      <c r="E640" s="1" t="n">
        <f aca="false">LN(D640)</f>
        <v>0.668342061640974</v>
      </c>
    </row>
    <row r="641" customFormat="false" ht="15.75" hidden="false" customHeight="false" outlineLevel="0" collapsed="false">
      <c r="A641" s="1" t="s">
        <v>533</v>
      </c>
      <c r="B641" s="1" t="n">
        <v>293.15196</v>
      </c>
      <c r="C641" s="1" t="n">
        <f aca="false">1/B641</f>
        <v>0.00341120011614454</v>
      </c>
      <c r="D641" s="1" t="n">
        <v>2.203</v>
      </c>
      <c r="E641" s="1" t="n">
        <f aca="false">LN(D641)</f>
        <v>0.789820067820206</v>
      </c>
    </row>
    <row r="642" customFormat="false" ht="15.75" hidden="false" customHeight="false" outlineLevel="0" collapsed="false">
      <c r="A642" s="1" t="s">
        <v>533</v>
      </c>
      <c r="B642" s="1" t="n">
        <v>298.15</v>
      </c>
      <c r="C642" s="1" t="n">
        <f aca="false">1/B642</f>
        <v>0.00335401643468053</v>
      </c>
      <c r="D642" s="1" t="n">
        <v>1.953</v>
      </c>
      <c r="E642" s="1" t="n">
        <f aca="false">LN(D642)</f>
        <v>0.669366651894542</v>
      </c>
    </row>
    <row r="643" customFormat="false" ht="15.75" hidden="false" customHeight="false" outlineLevel="0" collapsed="false">
      <c r="A643" s="1" t="s">
        <v>533</v>
      </c>
      <c r="B643" s="1" t="n">
        <v>298.15211</v>
      </c>
      <c r="C643" s="1" t="n">
        <f aca="false">1/B643</f>
        <v>0.00335399269855913</v>
      </c>
      <c r="D643" s="1" t="n">
        <v>1.97</v>
      </c>
      <c r="E643" s="1" t="n">
        <f aca="false">LN(D643)</f>
        <v>0.678033542749897</v>
      </c>
    </row>
    <row r="644" customFormat="false" ht="15.75" hidden="false" customHeight="false" outlineLevel="0" collapsed="false">
      <c r="A644" s="1" t="s">
        <v>533</v>
      </c>
      <c r="B644" s="1" t="n">
        <v>303.15197</v>
      </c>
      <c r="C644" s="1" t="n">
        <f aca="false">1/B644</f>
        <v>0.00329867557845657</v>
      </c>
      <c r="D644" s="1" t="n">
        <v>1.7843</v>
      </c>
      <c r="E644" s="1" t="n">
        <f aca="false">LN(D644)</f>
        <v>0.579026181455246</v>
      </c>
    </row>
    <row r="645" customFormat="false" ht="15.75" hidden="false" customHeight="false" outlineLevel="0" collapsed="false">
      <c r="A645" s="1" t="s">
        <v>533</v>
      </c>
      <c r="B645" s="1" t="n">
        <v>313.15</v>
      </c>
      <c r="C645" s="1" t="n">
        <f aca="false">1/B645</f>
        <v>0.00319335781574325</v>
      </c>
      <c r="D645" s="1" t="n">
        <v>1.397</v>
      </c>
      <c r="E645" s="1" t="n">
        <f aca="false">LN(D645)</f>
        <v>0.334327080274825</v>
      </c>
    </row>
    <row r="646" customFormat="false" ht="15.75" hidden="false" customHeight="false" outlineLevel="0" collapsed="false">
      <c r="A646" s="1" t="s">
        <v>533</v>
      </c>
      <c r="B646" s="1" t="n">
        <v>298.15187</v>
      </c>
      <c r="C646" s="1" t="n">
        <f aca="false">1/B646</f>
        <v>0.00335399539838539</v>
      </c>
      <c r="D646" s="1" t="n">
        <v>1.898</v>
      </c>
      <c r="E646" s="1" t="n">
        <f aca="false">LN(D646)</f>
        <v>0.640800700187736</v>
      </c>
    </row>
    <row r="647" customFormat="false" ht="15.75" hidden="false" customHeight="false" outlineLevel="0" collapsed="false">
      <c r="A647" s="1" t="s">
        <v>533</v>
      </c>
      <c r="B647" s="1" t="n">
        <v>303.15</v>
      </c>
      <c r="C647" s="1" t="n">
        <f aca="false">1/B647</f>
        <v>0.0032986970146792</v>
      </c>
      <c r="D647" s="1" t="n">
        <v>1.676</v>
      </c>
      <c r="E647" s="1" t="n">
        <f aca="false">LN(D647)</f>
        <v>0.516410002059891</v>
      </c>
    </row>
    <row r="648" customFormat="false" ht="15.75" hidden="false" customHeight="false" outlineLevel="0" collapsed="false">
      <c r="A648" s="1" t="s">
        <v>533</v>
      </c>
      <c r="B648" s="1" t="n">
        <v>308.15</v>
      </c>
      <c r="C648" s="1" t="n">
        <f aca="false">1/B648</f>
        <v>0.00324517280545189</v>
      </c>
      <c r="D648" s="1" t="n">
        <v>1.486</v>
      </c>
      <c r="E648" s="1" t="n">
        <f aca="false">LN(D648)</f>
        <v>0.396087946295567</v>
      </c>
    </row>
    <row r="649" customFormat="false" ht="15.75" hidden="false" customHeight="false" outlineLevel="0" collapsed="false">
      <c r="A649" s="1" t="s">
        <v>533</v>
      </c>
      <c r="B649" s="1" t="n">
        <v>313.15</v>
      </c>
      <c r="C649" s="1" t="n">
        <f aca="false">1/B649</f>
        <v>0.00319335781574325</v>
      </c>
      <c r="D649" s="1" t="n">
        <v>1.319</v>
      </c>
      <c r="E649" s="1" t="n">
        <f aca="false">LN(D649)</f>
        <v>0.276873873735177</v>
      </c>
    </row>
    <row r="650" customFormat="false" ht="15.75" hidden="false" customHeight="false" outlineLevel="0" collapsed="false">
      <c r="A650" s="1" t="s">
        <v>533</v>
      </c>
      <c r="B650" s="1" t="n">
        <v>319.62</v>
      </c>
      <c r="C650" s="1" t="n">
        <f aca="false">1/B650</f>
        <v>0.0031287153494775</v>
      </c>
      <c r="D650" s="1" t="n">
        <v>1.218</v>
      </c>
      <c r="E650" s="1" t="n">
        <f aca="false">LN(D650)</f>
        <v>0.197210169287705</v>
      </c>
    </row>
    <row r="651" customFormat="false" ht="15.75" hidden="false" customHeight="false" outlineLevel="0" collapsed="false">
      <c r="A651" s="1" t="s">
        <v>533</v>
      </c>
      <c r="B651" s="1" t="n">
        <v>263.15</v>
      </c>
      <c r="C651" s="1" t="n">
        <f aca="false">1/B651</f>
        <v>0.0038001140034201</v>
      </c>
      <c r="D651" s="1" t="n">
        <v>5.13</v>
      </c>
      <c r="E651" s="1" t="n">
        <f aca="false">LN(D651)</f>
        <v>1.63510565918268</v>
      </c>
    </row>
    <row r="652" customFormat="false" ht="15.75" hidden="false" customHeight="false" outlineLevel="0" collapsed="false">
      <c r="A652" s="1" t="s">
        <v>535</v>
      </c>
      <c r="B652" s="1" t="n">
        <v>293.15</v>
      </c>
      <c r="C652" s="1" t="n">
        <f aca="false">1/B652</f>
        <v>0.00341122292341805</v>
      </c>
      <c r="D652" s="1" t="n">
        <v>2.65</v>
      </c>
      <c r="E652" s="1" t="n">
        <f aca="false">LN(D652)</f>
        <v>0.974559639998131</v>
      </c>
    </row>
    <row r="653" customFormat="false" ht="15.75" hidden="false" customHeight="false" outlineLevel="0" collapsed="false">
      <c r="A653" s="1" t="s">
        <v>535</v>
      </c>
      <c r="B653" s="1" t="n">
        <v>303.15</v>
      </c>
      <c r="C653" s="1" t="n">
        <f aca="false">1/B653</f>
        <v>0.0032986970146792</v>
      </c>
      <c r="D653" s="1" t="n">
        <v>2.03</v>
      </c>
      <c r="E653" s="1" t="n">
        <f aca="false">LN(D653)</f>
        <v>0.708035793053696</v>
      </c>
    </row>
    <row r="654" customFormat="false" ht="15.75" hidden="false" customHeight="false" outlineLevel="0" collapsed="false">
      <c r="A654" s="1" t="s">
        <v>535</v>
      </c>
      <c r="B654" s="1" t="n">
        <v>315.15</v>
      </c>
      <c r="C654" s="1" t="n">
        <f aca="false">1/B654</f>
        <v>0.00317309217832778</v>
      </c>
      <c r="D654" s="1" t="n">
        <v>1.58</v>
      </c>
      <c r="E654" s="1" t="n">
        <f aca="false">LN(D654)</f>
        <v>0.457424847038875</v>
      </c>
    </row>
    <row r="655" customFormat="false" ht="15.75" hidden="false" customHeight="false" outlineLevel="0" collapsed="false">
      <c r="A655" s="1" t="s">
        <v>535</v>
      </c>
      <c r="B655" s="1" t="n">
        <v>323.15</v>
      </c>
      <c r="C655" s="1" t="n">
        <f aca="false">1/B655</f>
        <v>0.00309453814018258</v>
      </c>
      <c r="D655" s="1" t="n">
        <v>1.275</v>
      </c>
      <c r="E655" s="1" t="n">
        <f aca="false">LN(D655)</f>
        <v>0.242946178610389</v>
      </c>
    </row>
    <row r="656" customFormat="false" ht="15.75" hidden="false" customHeight="false" outlineLevel="0" collapsed="false">
      <c r="A656" s="1" t="s">
        <v>535</v>
      </c>
      <c r="B656" s="1" t="n">
        <v>333.15</v>
      </c>
      <c r="C656" s="1" t="n">
        <f aca="false">1/B656</f>
        <v>0.0030016509079994</v>
      </c>
      <c r="D656" s="1" t="n">
        <v>1.042</v>
      </c>
      <c r="E656" s="1" t="n">
        <f aca="false">LN(D656)</f>
        <v>0.0411419433311752</v>
      </c>
    </row>
    <row r="657" customFormat="false" ht="15.75" hidden="false" customHeight="false" outlineLevel="0" collapsed="false">
      <c r="A657" s="1" t="s">
        <v>537</v>
      </c>
      <c r="B657" s="1" t="n">
        <v>273.15</v>
      </c>
      <c r="C657" s="1" t="n">
        <f aca="false">1/B657</f>
        <v>0.00366099212886692</v>
      </c>
      <c r="D657" s="1" t="n">
        <v>0.477</v>
      </c>
      <c r="E657" s="1" t="n">
        <f aca="false">LN(D657)</f>
        <v>-0.740238788093796</v>
      </c>
    </row>
    <row r="658" customFormat="false" ht="15.75" hidden="false" customHeight="false" outlineLevel="0" collapsed="false">
      <c r="A658" s="1" t="s">
        <v>537</v>
      </c>
      <c r="B658" s="1" t="n">
        <v>288.15</v>
      </c>
      <c r="C658" s="1" t="n">
        <f aca="false">1/B658</f>
        <v>0.00347041471455839</v>
      </c>
      <c r="D658" s="1" t="n">
        <v>0.397</v>
      </c>
      <c r="E658" s="1" t="n">
        <f aca="false">LN(D658)</f>
        <v>-0.923818998294947</v>
      </c>
    </row>
    <row r="659" customFormat="false" ht="15.75" hidden="false" customHeight="false" outlineLevel="0" collapsed="false">
      <c r="A659" s="1" t="s">
        <v>537</v>
      </c>
      <c r="B659" s="1" t="n">
        <v>293.15</v>
      </c>
      <c r="C659" s="1" t="n">
        <f aca="false">1/B659</f>
        <v>0.00341122292341805</v>
      </c>
      <c r="D659" s="1" t="n">
        <v>0.375</v>
      </c>
      <c r="E659" s="1" t="n">
        <f aca="false">LN(D659)</f>
        <v>-0.980829253011726</v>
      </c>
    </row>
    <row r="660" customFormat="false" ht="15.75" hidden="false" customHeight="false" outlineLevel="0" collapsed="false">
      <c r="A660" s="1" t="s">
        <v>537</v>
      </c>
      <c r="B660" s="1" t="n">
        <v>298.15</v>
      </c>
      <c r="C660" s="1" t="n">
        <f aca="false">1/B660</f>
        <v>0.00335401643468053</v>
      </c>
      <c r="D660" s="1" t="n">
        <v>0.351</v>
      </c>
      <c r="E660" s="1" t="n">
        <f aca="false">LN(D660)</f>
        <v>-1.04696905551627</v>
      </c>
    </row>
    <row r="661" customFormat="false" ht="15.75" hidden="false" customHeight="false" outlineLevel="0" collapsed="false">
      <c r="A661" s="1" t="s">
        <v>537</v>
      </c>
      <c r="B661" s="1" t="n">
        <v>303.15</v>
      </c>
      <c r="C661" s="1" t="n">
        <f aca="false">1/B661</f>
        <v>0.0032986970146792</v>
      </c>
      <c r="D661" s="1" t="n">
        <v>0.33</v>
      </c>
      <c r="E661" s="1" t="n">
        <f aca="false">LN(D661)</f>
        <v>-1.10866262452161</v>
      </c>
    </row>
    <row r="662" customFormat="false" ht="15.75" hidden="false" customHeight="false" outlineLevel="0" collapsed="false">
      <c r="A662" s="1" t="s">
        <v>539</v>
      </c>
      <c r="B662" s="1" t="n">
        <v>256.6</v>
      </c>
      <c r="C662" s="1" t="n">
        <f aca="false">1/B662</f>
        <v>0.00389711613406079</v>
      </c>
      <c r="D662" s="1" t="n">
        <v>0.43891</v>
      </c>
      <c r="E662" s="1" t="n">
        <f aca="false">LN(D662)</f>
        <v>-0.823460898314195</v>
      </c>
    </row>
    <row r="663" customFormat="false" ht="15.75" hidden="false" customHeight="false" outlineLevel="0" collapsed="false">
      <c r="A663" s="1" t="s">
        <v>539</v>
      </c>
      <c r="B663" s="1" t="n">
        <v>257.09</v>
      </c>
      <c r="C663" s="1" t="n">
        <f aca="false">1/B663</f>
        <v>0.00388968843595628</v>
      </c>
      <c r="D663" s="1" t="n">
        <v>0.43571</v>
      </c>
      <c r="E663" s="1" t="n">
        <f aca="false">LN(D663)</f>
        <v>-0.830778394549941</v>
      </c>
    </row>
    <row r="664" customFormat="false" ht="15.75" hidden="false" customHeight="false" outlineLevel="0" collapsed="false">
      <c r="A664" s="1" t="s">
        <v>539</v>
      </c>
      <c r="B664" s="1" t="n">
        <v>257.58</v>
      </c>
      <c r="C664" s="1" t="n">
        <f aca="false">1/B664</f>
        <v>0.00388228899759298</v>
      </c>
      <c r="D664" s="1" t="n">
        <v>0.43254</v>
      </c>
      <c r="E664" s="1" t="n">
        <f aca="false">LN(D664)</f>
        <v>-0.838080471337595</v>
      </c>
    </row>
    <row r="665" customFormat="false" ht="15.75" hidden="false" customHeight="false" outlineLevel="0" collapsed="false">
      <c r="A665" s="1" t="s">
        <v>539</v>
      </c>
      <c r="B665" s="1" t="n">
        <v>258.07</v>
      </c>
      <c r="C665" s="1" t="n">
        <f aca="false">1/B665</f>
        <v>0.00387491765799977</v>
      </c>
      <c r="D665" s="1" t="n">
        <v>0.42941</v>
      </c>
      <c r="E665" s="1" t="n">
        <f aca="false">LN(D665)</f>
        <v>-0.845343105499356</v>
      </c>
    </row>
    <row r="666" customFormat="false" ht="15.75" hidden="false" customHeight="false" outlineLevel="0" collapsed="false">
      <c r="A666" s="1" t="s">
        <v>539</v>
      </c>
      <c r="B666" s="1" t="n">
        <v>258.56</v>
      </c>
      <c r="C666" s="1" t="n">
        <f aca="false">1/B666</f>
        <v>0.00386757425742574</v>
      </c>
      <c r="D666" s="1" t="n">
        <v>0.4263</v>
      </c>
      <c r="E666" s="1" t="n">
        <f aca="false">LN(D666)</f>
        <v>-0.852611955210972</v>
      </c>
    </row>
    <row r="667" customFormat="false" ht="15.75" hidden="false" customHeight="false" outlineLevel="0" collapsed="false">
      <c r="A667" s="1" t="s">
        <v>539</v>
      </c>
      <c r="B667" s="1" t="n">
        <v>259.04</v>
      </c>
      <c r="C667" s="1" t="n">
        <f aca="false">1/B667</f>
        <v>0.00386040765904879</v>
      </c>
      <c r="D667" s="1" t="n">
        <v>0.42323</v>
      </c>
      <c r="E667" s="1" t="n">
        <f aca="false">LN(D667)</f>
        <v>-0.859839512481707</v>
      </c>
    </row>
    <row r="668" customFormat="false" ht="15.75" hidden="false" customHeight="false" outlineLevel="0" collapsed="false">
      <c r="A668" s="1" t="s">
        <v>539</v>
      </c>
      <c r="B668" s="1" t="n">
        <v>259.53</v>
      </c>
      <c r="C668" s="1" t="n">
        <f aca="false">1/B668</f>
        <v>0.00385311909991138</v>
      </c>
      <c r="D668" s="1" t="n">
        <v>0.42019</v>
      </c>
      <c r="E668" s="1" t="n">
        <f aca="false">LN(D668)</f>
        <v>-0.867048289045756</v>
      </c>
    </row>
    <row r="669" customFormat="false" ht="15.75" hidden="false" customHeight="false" outlineLevel="0" collapsed="false">
      <c r="A669" s="1" t="s">
        <v>539</v>
      </c>
      <c r="B669" s="1" t="n">
        <v>260.02</v>
      </c>
      <c r="C669" s="1" t="n">
        <f aca="false">1/B669</f>
        <v>0.00384585801092224</v>
      </c>
      <c r="D669" s="1" t="n">
        <v>0.41718</v>
      </c>
      <c r="E669" s="1" t="n">
        <f aca="false">LN(D669)</f>
        <v>-0.874237495643155</v>
      </c>
    </row>
    <row r="670" customFormat="false" ht="15.75" hidden="false" customHeight="false" outlineLevel="0" collapsed="false">
      <c r="A670" s="1" t="s">
        <v>539</v>
      </c>
      <c r="B670" s="1" t="n">
        <v>260.51</v>
      </c>
      <c r="C670" s="1" t="n">
        <f aca="false">1/B670</f>
        <v>0.00383862423707343</v>
      </c>
      <c r="D670" s="1" t="n">
        <v>0.4142</v>
      </c>
      <c r="E670" s="1" t="n">
        <f aca="false">LN(D670)</f>
        <v>-0.881406330020653</v>
      </c>
    </row>
    <row r="671" customFormat="false" ht="15.75" hidden="false" customHeight="false" outlineLevel="0" collapsed="false">
      <c r="A671" s="1" t="s">
        <v>539</v>
      </c>
      <c r="B671" s="1" t="n">
        <v>261</v>
      </c>
      <c r="C671" s="1" t="n">
        <f aca="false">1/B671</f>
        <v>0.00383141762452107</v>
      </c>
      <c r="D671" s="1" t="n">
        <v>0.41125</v>
      </c>
      <c r="E671" s="1" t="n">
        <f aca="false">LN(D671)</f>
        <v>-0.888553976902555</v>
      </c>
    </row>
    <row r="672" customFormat="false" ht="15.75" hidden="false" customHeight="false" outlineLevel="0" collapsed="false">
      <c r="A672" s="1" t="s">
        <v>539</v>
      </c>
      <c r="B672" s="1" t="n">
        <v>261.49</v>
      </c>
      <c r="C672" s="1" t="n">
        <f aca="false">1/B672</f>
        <v>0.0038242380205744</v>
      </c>
      <c r="D672" s="1" t="n">
        <v>0.40832</v>
      </c>
      <c r="E672" s="1" t="n">
        <f aca="false">LN(D672)</f>
        <v>-0.895704098265767</v>
      </c>
    </row>
    <row r="673" customFormat="false" ht="15.75" hidden="false" customHeight="false" outlineLevel="0" collapsed="false">
      <c r="A673" s="1" t="s">
        <v>539</v>
      </c>
      <c r="B673" s="1" t="n">
        <v>261.98</v>
      </c>
      <c r="C673" s="1" t="n">
        <f aca="false">1/B673</f>
        <v>0.00381708527368501</v>
      </c>
      <c r="D673" s="1" t="n">
        <v>0.40543</v>
      </c>
      <c r="E673" s="1" t="n">
        <f aca="false">LN(D673)</f>
        <v>-0.902807046715495</v>
      </c>
    </row>
    <row r="674" customFormat="false" ht="15.75" hidden="false" customHeight="false" outlineLevel="0" collapsed="false">
      <c r="A674" s="1" t="s">
        <v>539</v>
      </c>
      <c r="B674" s="1" t="n">
        <v>262.47</v>
      </c>
      <c r="C674" s="1" t="n">
        <f aca="false">1/B674</f>
        <v>0.0038099592334362</v>
      </c>
      <c r="D674" s="1" t="n">
        <v>0.40257</v>
      </c>
      <c r="E674" s="1" t="n">
        <f aca="false">LN(D674)</f>
        <v>-0.909886284201161</v>
      </c>
    </row>
    <row r="675" customFormat="false" ht="15.75" hidden="false" customHeight="false" outlineLevel="0" collapsed="false">
      <c r="A675" s="1" t="s">
        <v>539</v>
      </c>
      <c r="B675" s="1" t="n">
        <v>262.96</v>
      </c>
      <c r="C675" s="1" t="n">
        <f aca="false">1/B675</f>
        <v>0.0038028597505324</v>
      </c>
      <c r="D675" s="1" t="n">
        <v>0.39973</v>
      </c>
      <c r="E675" s="1" t="n">
        <f aca="false">LN(D675)</f>
        <v>-0.916965959789223</v>
      </c>
    </row>
    <row r="676" customFormat="false" ht="15.75" hidden="false" customHeight="false" outlineLevel="0" collapsed="false">
      <c r="A676" s="1" t="s">
        <v>539</v>
      </c>
      <c r="B676" s="1" t="n">
        <v>263.45</v>
      </c>
      <c r="C676" s="1" t="n">
        <f aca="false">1/B676</f>
        <v>0.00379578667678876</v>
      </c>
      <c r="D676" s="1" t="n">
        <v>0.39692</v>
      </c>
      <c r="E676" s="1" t="n">
        <f aca="false">LN(D676)</f>
        <v>-0.924020529936096</v>
      </c>
    </row>
    <row r="677" customFormat="false" ht="15.75" hidden="false" customHeight="false" outlineLevel="0" collapsed="false">
      <c r="A677" s="1" t="s">
        <v>539</v>
      </c>
      <c r="B677" s="1" t="n">
        <v>263.93</v>
      </c>
      <c r="C677" s="1" t="n">
        <f aca="false">1/B677</f>
        <v>0.00378888341605729</v>
      </c>
      <c r="D677" s="1" t="n">
        <v>0.39414</v>
      </c>
      <c r="E677" s="1" t="n">
        <f aca="false">LN(D677)</f>
        <v>-0.9310491028497</v>
      </c>
    </row>
    <row r="678" customFormat="false" ht="15.75" hidden="false" customHeight="false" outlineLevel="0" collapsed="false">
      <c r="A678" s="1" t="s">
        <v>539</v>
      </c>
      <c r="B678" s="1" t="n">
        <v>264.42</v>
      </c>
      <c r="C678" s="1" t="n">
        <f aca="false">1/B678</f>
        <v>0.00378186218894183</v>
      </c>
      <c r="D678" s="1" t="n">
        <v>0.39139</v>
      </c>
      <c r="E678" s="1" t="n">
        <f aca="false">LN(D678)</f>
        <v>-0.938050773656719</v>
      </c>
    </row>
    <row r="679" customFormat="false" ht="15.75" hidden="false" customHeight="false" outlineLevel="0" collapsed="false">
      <c r="A679" s="1" t="s">
        <v>539</v>
      </c>
      <c r="B679" s="1" t="n">
        <v>264.91</v>
      </c>
      <c r="C679" s="1" t="n">
        <f aca="false">1/B679</f>
        <v>0.00377486693594051</v>
      </c>
      <c r="D679" s="1" t="n">
        <v>0.38866</v>
      </c>
      <c r="E679" s="1" t="n">
        <f aca="false">LN(D679)</f>
        <v>-0.94505035354558</v>
      </c>
    </row>
    <row r="680" customFormat="false" ht="15.75" hidden="false" customHeight="false" outlineLevel="0" collapsed="false">
      <c r="A680" s="1" t="s">
        <v>539</v>
      </c>
      <c r="B680" s="1" t="n">
        <v>265.4</v>
      </c>
      <c r="C680" s="1" t="n">
        <f aca="false">1/B680</f>
        <v>0.00376789751318764</v>
      </c>
      <c r="D680" s="1" t="n">
        <v>0.38596</v>
      </c>
      <c r="E680" s="1" t="n">
        <f aca="false">LN(D680)</f>
        <v>-0.952021541829954</v>
      </c>
    </row>
    <row r="681" customFormat="false" ht="15.75" hidden="false" customHeight="false" outlineLevel="0" collapsed="false">
      <c r="A681" s="1" t="s">
        <v>539</v>
      </c>
      <c r="B681" s="1" t="n">
        <v>265.89</v>
      </c>
      <c r="C681" s="1" t="n">
        <f aca="false">1/B681</f>
        <v>0.00376095377787807</v>
      </c>
      <c r="D681" s="1" t="n">
        <v>0.38329</v>
      </c>
      <c r="E681" s="1" t="n">
        <f aca="false">LN(D681)</f>
        <v>-0.958963396161107</v>
      </c>
    </row>
    <row r="682" customFormat="false" ht="15.75" hidden="false" customHeight="false" outlineLevel="0" collapsed="false">
      <c r="A682" s="1" t="s">
        <v>539</v>
      </c>
      <c r="B682" s="1" t="n">
        <v>266.38</v>
      </c>
      <c r="C682" s="1" t="n">
        <f aca="false">1/B682</f>
        <v>0.00375403558825738</v>
      </c>
      <c r="D682" s="1" t="n">
        <v>0.38064</v>
      </c>
      <c r="E682" s="1" t="n">
        <f aca="false">LN(D682)</f>
        <v>-0.96590123242749</v>
      </c>
    </row>
    <row r="683" customFormat="false" ht="15.75" hidden="false" customHeight="false" outlineLevel="0" collapsed="false">
      <c r="A683" s="1" t="s">
        <v>539</v>
      </c>
      <c r="B683" s="1" t="n">
        <v>266.87</v>
      </c>
      <c r="C683" s="1" t="n">
        <f aca="false">1/B683</f>
        <v>0.00374714280361225</v>
      </c>
      <c r="D683" s="1" t="n">
        <v>0.37801</v>
      </c>
      <c r="E683" s="1" t="n">
        <f aca="false">LN(D683)</f>
        <v>-0.972834628686022</v>
      </c>
    </row>
    <row r="684" customFormat="false" ht="15.75" hidden="false" customHeight="false" outlineLevel="0" collapsed="false">
      <c r="A684" s="1" t="s">
        <v>539</v>
      </c>
      <c r="B684" s="1" t="n">
        <v>267.36</v>
      </c>
      <c r="C684" s="1" t="n">
        <f aca="false">1/B684</f>
        <v>0.00374027528426092</v>
      </c>
      <c r="D684" s="1" t="n">
        <v>0.37542</v>
      </c>
      <c r="E684" s="1" t="n">
        <f aca="false">LN(D684)</f>
        <v>-0.97970987974381</v>
      </c>
    </row>
    <row r="685" customFormat="false" ht="15.75" hidden="false" customHeight="false" outlineLevel="0" collapsed="false">
      <c r="A685" s="1" t="s">
        <v>539</v>
      </c>
      <c r="B685" s="1" t="n">
        <v>267.85</v>
      </c>
      <c r="C685" s="1" t="n">
        <f aca="false">1/B685</f>
        <v>0.00373343289154377</v>
      </c>
      <c r="D685" s="1" t="n">
        <v>0.37284</v>
      </c>
      <c r="E685" s="1" t="n">
        <f aca="false">LN(D685)</f>
        <v>-0.986605905789181</v>
      </c>
    </row>
    <row r="686" customFormat="false" ht="15.75" hidden="false" customHeight="false" outlineLevel="0" collapsed="false">
      <c r="A686" s="1" t="s">
        <v>539</v>
      </c>
      <c r="B686" s="1" t="n">
        <v>268.34</v>
      </c>
      <c r="C686" s="1" t="n">
        <f aca="false">1/B686</f>
        <v>0.00372661548781397</v>
      </c>
      <c r="D686" s="1" t="n">
        <v>0.37029</v>
      </c>
      <c r="E686" s="1" t="n">
        <f aca="false">LN(D686)</f>
        <v>-0.99346879655819</v>
      </c>
    </row>
    <row r="687" customFormat="false" ht="15.75" hidden="false" customHeight="false" outlineLevel="0" collapsed="false">
      <c r="A687" s="1" t="s">
        <v>539</v>
      </c>
      <c r="B687" s="1" t="n">
        <v>268.82</v>
      </c>
      <c r="C687" s="1" t="n">
        <f aca="false">1/B687</f>
        <v>0.00371996131240235</v>
      </c>
      <c r="D687" s="1" t="n">
        <v>0.36777</v>
      </c>
      <c r="E687" s="1" t="n">
        <f aca="false">LN(D687)</f>
        <v>-1.00029753620712</v>
      </c>
    </row>
    <row r="688" customFormat="false" ht="15.75" hidden="false" customHeight="false" outlineLevel="0" collapsed="false">
      <c r="A688" s="1" t="s">
        <v>539</v>
      </c>
      <c r="B688" s="1" t="n">
        <v>269.31</v>
      </c>
      <c r="C688" s="1" t="n">
        <f aca="false">1/B688</f>
        <v>0.00371319297463889</v>
      </c>
      <c r="D688" s="1" t="n">
        <v>0.36526</v>
      </c>
      <c r="E688" s="1" t="n">
        <f aca="false">LN(D688)</f>
        <v>-1.00714585021824</v>
      </c>
    </row>
    <row r="689" customFormat="false" ht="15.75" hidden="false" customHeight="false" outlineLevel="0" collapsed="false">
      <c r="A689" s="1" t="s">
        <v>539</v>
      </c>
      <c r="B689" s="1" t="n">
        <v>269.8</v>
      </c>
      <c r="C689" s="1" t="n">
        <f aca="false">1/B689</f>
        <v>0.00370644922164566</v>
      </c>
      <c r="D689" s="1" t="n">
        <v>0.36278</v>
      </c>
      <c r="E689" s="1" t="n">
        <f aca="false">LN(D689)</f>
        <v>-1.01395868905231</v>
      </c>
    </row>
    <row r="690" customFormat="false" ht="15.75" hidden="false" customHeight="false" outlineLevel="0" collapsed="false">
      <c r="A690" s="1" t="s">
        <v>539</v>
      </c>
      <c r="B690" s="1" t="n">
        <v>270.29</v>
      </c>
      <c r="C690" s="1" t="n">
        <f aca="false">1/B690</f>
        <v>0.00369972991971586</v>
      </c>
      <c r="D690" s="1" t="n">
        <v>0.36033</v>
      </c>
      <c r="E690" s="1" t="n">
        <f aca="false">LN(D690)</f>
        <v>-1.02073500074763</v>
      </c>
    </row>
    <row r="691" customFormat="false" ht="15.75" hidden="false" customHeight="false" outlineLevel="0" collapsed="false">
      <c r="A691" s="1" t="s">
        <v>539</v>
      </c>
      <c r="B691" s="1" t="n">
        <v>270.78</v>
      </c>
      <c r="C691" s="1" t="n">
        <f aca="false">1/B691</f>
        <v>0.0036930349361105</v>
      </c>
      <c r="D691" s="1" t="n">
        <v>0.35789</v>
      </c>
      <c r="E691" s="1" t="n">
        <f aca="false">LN(D691)</f>
        <v>-1.02752960236608</v>
      </c>
    </row>
    <row r="692" customFormat="false" ht="15.75" hidden="false" customHeight="false" outlineLevel="0" collapsed="false">
      <c r="A692" s="1" t="s">
        <v>539</v>
      </c>
      <c r="B692" s="1" t="n">
        <v>271.27</v>
      </c>
      <c r="C692" s="1" t="n">
        <f aca="false">1/B692</f>
        <v>0.00368636413904966</v>
      </c>
      <c r="D692" s="1" t="n">
        <v>0.35548</v>
      </c>
      <c r="E692" s="1" t="n">
        <f aca="false">LN(D692)</f>
        <v>-1.03428629011186</v>
      </c>
    </row>
    <row r="693" customFormat="false" ht="15.75" hidden="false" customHeight="false" outlineLevel="0" collapsed="false">
      <c r="A693" s="1" t="s">
        <v>539</v>
      </c>
      <c r="B693" s="1" t="n">
        <v>271.76</v>
      </c>
      <c r="C693" s="1" t="n">
        <f aca="false">1/B693</f>
        <v>0.00367971739770386</v>
      </c>
      <c r="D693" s="1" t="n">
        <v>0.35309</v>
      </c>
      <c r="E693" s="1" t="n">
        <f aca="false">LN(D693)</f>
        <v>-1.0410322970379</v>
      </c>
    </row>
    <row r="694" customFormat="false" ht="15.75" hidden="false" customHeight="false" outlineLevel="0" collapsed="false">
      <c r="A694" s="1" t="s">
        <v>539</v>
      </c>
      <c r="B694" s="1" t="n">
        <v>272.25</v>
      </c>
      <c r="C694" s="1" t="n">
        <f aca="false">1/B694</f>
        <v>0.00367309458218549</v>
      </c>
      <c r="D694" s="1" t="n">
        <v>0.35073</v>
      </c>
      <c r="E694" s="1" t="n">
        <f aca="false">LN(D694)</f>
        <v>-1.0477385822953</v>
      </c>
    </row>
    <row r="695" customFormat="false" ht="15.75" hidden="false" customHeight="false" outlineLevel="0" collapsed="false">
      <c r="A695" s="1" t="s">
        <v>539</v>
      </c>
      <c r="B695" s="1" t="n">
        <v>272.74</v>
      </c>
      <c r="C695" s="1" t="n">
        <f aca="false">1/B695</f>
        <v>0.00366649556354037</v>
      </c>
      <c r="D695" s="1" t="n">
        <v>0.34838</v>
      </c>
      <c r="E695" s="1" t="n">
        <f aca="false">LN(D695)</f>
        <v>-1.05446144093282</v>
      </c>
    </row>
    <row r="696" customFormat="false" ht="15.75" hidden="false" customHeight="false" outlineLevel="0" collapsed="false">
      <c r="A696" s="1" t="s">
        <v>539</v>
      </c>
      <c r="B696" s="1" t="n">
        <v>273.23</v>
      </c>
      <c r="C696" s="1" t="n">
        <f aca="false">1/B696</f>
        <v>0.00365992021373934</v>
      </c>
      <c r="D696" s="1" t="n">
        <v>0.34606</v>
      </c>
      <c r="E696" s="1" t="n">
        <f aca="false">LN(D696)</f>
        <v>-1.06114310855363</v>
      </c>
    </row>
    <row r="697" customFormat="false" ht="15.75" hidden="false" customHeight="false" outlineLevel="0" collapsed="false">
      <c r="A697" s="1" t="s">
        <v>539</v>
      </c>
      <c r="B697" s="1" t="n">
        <v>273.71</v>
      </c>
      <c r="C697" s="1" t="n">
        <f aca="false">1/B697</f>
        <v>0.00365350188155347</v>
      </c>
      <c r="D697" s="1" t="n">
        <v>0.34375</v>
      </c>
      <c r="E697" s="1" t="n">
        <f aca="false">LN(D697)</f>
        <v>-1.06784063000136</v>
      </c>
    </row>
    <row r="698" customFormat="false" ht="15.75" hidden="false" customHeight="false" outlineLevel="0" collapsed="false">
      <c r="A698" s="1" t="s">
        <v>539</v>
      </c>
      <c r="B698" s="1" t="n">
        <v>274.2</v>
      </c>
      <c r="C698" s="1" t="n">
        <f aca="false">1/B698</f>
        <v>0.00364697301239971</v>
      </c>
      <c r="D698" s="1" t="n">
        <v>0.34147</v>
      </c>
      <c r="E698" s="1" t="n">
        <f aca="false">LN(D698)</f>
        <v>-1.07449545156073</v>
      </c>
    </row>
    <row r="699" customFormat="false" ht="15.75" hidden="false" customHeight="false" outlineLevel="0" collapsed="false">
      <c r="A699" s="1" t="s">
        <v>539</v>
      </c>
      <c r="B699" s="1" t="n">
        <v>274.69</v>
      </c>
      <c r="C699" s="1" t="n">
        <f aca="false">1/B699</f>
        <v>0.00364046743601878</v>
      </c>
      <c r="D699" s="1" t="n">
        <v>0.33921</v>
      </c>
      <c r="E699" s="1" t="n">
        <f aca="false">LN(D699)</f>
        <v>-1.08113589436687</v>
      </c>
    </row>
    <row r="700" customFormat="false" ht="15.75" hidden="false" customHeight="false" outlineLevel="0" collapsed="false">
      <c r="A700" s="1" t="s">
        <v>539</v>
      </c>
      <c r="B700" s="1" t="n">
        <v>275.18</v>
      </c>
      <c r="C700" s="1" t="n">
        <f aca="false">1/B700</f>
        <v>0.00363398502798168</v>
      </c>
      <c r="D700" s="1" t="n">
        <v>0.33696</v>
      </c>
      <c r="E700" s="1" t="n">
        <f aca="false">LN(D700)</f>
        <v>-1.08779105003653</v>
      </c>
    </row>
    <row r="701" customFormat="false" ht="15.75" hidden="false" customHeight="false" outlineLevel="0" collapsed="false">
      <c r="A701" s="1" t="s">
        <v>539</v>
      </c>
      <c r="B701" s="1" t="n">
        <v>275.67</v>
      </c>
      <c r="C701" s="1" t="n">
        <f aca="false">1/B701</f>
        <v>0.00362752566474408</v>
      </c>
      <c r="D701" s="1" t="n">
        <v>0.33474</v>
      </c>
      <c r="E701" s="1" t="n">
        <f aca="false">LN(D701)</f>
        <v>-1.09440116789665</v>
      </c>
    </row>
    <row r="702" customFormat="false" ht="15.75" hidden="false" customHeight="false" outlineLevel="0" collapsed="false">
      <c r="A702" s="1" t="s">
        <v>539</v>
      </c>
      <c r="B702" s="1" t="n">
        <v>276.16</v>
      </c>
      <c r="C702" s="1" t="n">
        <f aca="false">1/B702</f>
        <v>0.00362108922363847</v>
      </c>
      <c r="D702" s="1" t="n">
        <v>0.33254</v>
      </c>
      <c r="E702" s="1" t="n">
        <f aca="false">LN(D702)</f>
        <v>-1.1009951253699</v>
      </c>
    </row>
    <row r="703" customFormat="false" ht="15.75" hidden="false" customHeight="false" outlineLevel="0" collapsed="false">
      <c r="A703" s="1" t="s">
        <v>539</v>
      </c>
      <c r="B703" s="1" t="n">
        <v>276.65</v>
      </c>
      <c r="C703" s="1" t="n">
        <f aca="false">1/B703</f>
        <v>0.00361467558286644</v>
      </c>
      <c r="D703" s="1" t="n">
        <v>0.33036</v>
      </c>
      <c r="E703" s="1" t="n">
        <f aca="false">LN(D703)</f>
        <v>-1.10757231003962</v>
      </c>
    </row>
    <row r="704" customFormat="false" ht="15.75" hidden="false" customHeight="false" outlineLevel="0" collapsed="false">
      <c r="A704" s="1" t="s">
        <v>539</v>
      </c>
      <c r="B704" s="1" t="n">
        <v>277.14</v>
      </c>
      <c r="C704" s="1" t="n">
        <f aca="false">1/B704</f>
        <v>0.00360828462149094</v>
      </c>
      <c r="D704" s="1" t="n">
        <v>0.32819</v>
      </c>
      <c r="E704" s="1" t="n">
        <f aca="false">LN(D704)</f>
        <v>-1.11416257001642</v>
      </c>
    </row>
    <row r="705" customFormat="false" ht="15.75" hidden="false" customHeight="false" outlineLevel="0" collapsed="false">
      <c r="A705" s="1" t="s">
        <v>539</v>
      </c>
      <c r="B705" s="1" t="n">
        <v>277.63</v>
      </c>
      <c r="C705" s="1" t="n">
        <f aca="false">1/B705</f>
        <v>0.00360191621942874</v>
      </c>
      <c r="D705" s="1" t="n">
        <v>0.32605</v>
      </c>
      <c r="E705" s="1" t="n">
        <f aca="false">LN(D705)</f>
        <v>-1.12070453514293</v>
      </c>
    </row>
    <row r="706" customFormat="false" ht="15.75" hidden="false" customHeight="false" outlineLevel="0" collapsed="false">
      <c r="A706" s="1" t="s">
        <v>539</v>
      </c>
      <c r="B706" s="1" t="n">
        <v>278.12</v>
      </c>
      <c r="C706" s="1" t="n">
        <f aca="false">1/B706</f>
        <v>0.00359557025744283</v>
      </c>
      <c r="D706" s="1" t="n">
        <v>0.32392</v>
      </c>
      <c r="E706" s="1" t="n">
        <f aca="false">LN(D706)</f>
        <v>-1.12725870725823</v>
      </c>
    </row>
    <row r="707" customFormat="false" ht="15.75" hidden="false" customHeight="false" outlineLevel="0" collapsed="false">
      <c r="A707" s="1" t="s">
        <v>539</v>
      </c>
      <c r="B707" s="1" t="n">
        <v>278.6</v>
      </c>
      <c r="C707" s="1" t="n">
        <f aca="false">1/B707</f>
        <v>0.00358937544867193</v>
      </c>
      <c r="D707" s="1" t="n">
        <v>0.32181</v>
      </c>
      <c r="E707" s="1" t="n">
        <f aca="false">LN(D707)</f>
        <v>-1.13379396970469</v>
      </c>
    </row>
    <row r="708" customFormat="false" ht="15.75" hidden="false" customHeight="false" outlineLevel="0" collapsed="false">
      <c r="A708" s="1" t="s">
        <v>539</v>
      </c>
      <c r="B708" s="1" t="n">
        <v>279.09</v>
      </c>
      <c r="C708" s="1" t="n">
        <f aca="false">1/B708</f>
        <v>0.0035830735605002</v>
      </c>
      <c r="D708" s="1" t="n">
        <v>0.31972</v>
      </c>
      <c r="E708" s="1" t="n">
        <f aca="false">LN(D708)</f>
        <v>-1.14030966622432</v>
      </c>
    </row>
    <row r="709" customFormat="false" ht="15.75" hidden="false" customHeight="false" outlineLevel="0" collapsed="false">
      <c r="A709" s="1" t="s">
        <v>539</v>
      </c>
      <c r="B709" s="1" t="n">
        <v>279.58</v>
      </c>
      <c r="C709" s="1" t="n">
        <f aca="false">1/B709</f>
        <v>0.00357679376207168</v>
      </c>
      <c r="D709" s="1" t="n">
        <v>0.31765</v>
      </c>
      <c r="E709" s="1" t="n">
        <f aca="false">LN(D709)</f>
        <v>-1.14680513126959</v>
      </c>
    </row>
    <row r="710" customFormat="false" ht="15.75" hidden="false" customHeight="false" outlineLevel="0" collapsed="false">
      <c r="A710" s="1" t="s">
        <v>539</v>
      </c>
      <c r="B710" s="1" t="n">
        <v>280.07</v>
      </c>
      <c r="C710" s="1" t="n">
        <f aca="false">1/B710</f>
        <v>0.00357053593744421</v>
      </c>
      <c r="D710" s="1" t="n">
        <v>0.3156</v>
      </c>
      <c r="E710" s="1" t="n">
        <f aca="false">LN(D710)</f>
        <v>-1.15327969001042</v>
      </c>
    </row>
    <row r="711" customFormat="false" ht="15.75" hidden="false" customHeight="false" outlineLevel="0" collapsed="false">
      <c r="A711" s="1" t="s">
        <v>539</v>
      </c>
      <c r="B711" s="1" t="n">
        <v>280.56</v>
      </c>
      <c r="C711" s="1" t="n">
        <f aca="false">1/B711</f>
        <v>0.0035642999714856</v>
      </c>
      <c r="D711" s="1" t="n">
        <v>0.31356</v>
      </c>
      <c r="E711" s="1" t="n">
        <f aca="false">LN(D711)</f>
        <v>-1.15976454966162</v>
      </c>
    </row>
    <row r="712" customFormat="false" ht="15.75" hidden="false" customHeight="false" outlineLevel="0" collapsed="false">
      <c r="A712" s="1" t="s">
        <v>539</v>
      </c>
      <c r="B712" s="1" t="n">
        <v>281.05</v>
      </c>
      <c r="C712" s="1" t="n">
        <f aca="false">1/B712</f>
        <v>0.00355808574986657</v>
      </c>
      <c r="D712" s="1" t="n">
        <v>0.31154</v>
      </c>
      <c r="E712" s="1" t="n">
        <f aca="false">LN(D712)</f>
        <v>-1.16622753808368</v>
      </c>
    </row>
    <row r="713" customFormat="false" ht="15.75" hidden="false" customHeight="false" outlineLevel="0" collapsed="false">
      <c r="A713" s="1" t="s">
        <v>539</v>
      </c>
      <c r="B713" s="1" t="n">
        <v>281.54</v>
      </c>
      <c r="C713" s="1" t="n">
        <f aca="false">1/B713</f>
        <v>0.00355189315905378</v>
      </c>
      <c r="D713" s="1" t="n">
        <v>0.30954</v>
      </c>
      <c r="E713" s="1" t="n">
        <f aca="false">LN(D713)</f>
        <v>-1.17266795449752</v>
      </c>
    </row>
    <row r="714" customFormat="false" ht="15.75" hidden="false" customHeight="false" outlineLevel="0" collapsed="false">
      <c r="A714" s="1" t="s">
        <v>539</v>
      </c>
      <c r="B714" s="1" t="n">
        <v>282.03</v>
      </c>
      <c r="C714" s="1" t="n">
        <f aca="false">1/B714</f>
        <v>0.00354572208630288</v>
      </c>
      <c r="D714" s="1" t="n">
        <v>0.30756</v>
      </c>
      <c r="E714" s="1" t="n">
        <f aca="false">LN(D714)</f>
        <v>-1.17908508881816</v>
      </c>
    </row>
    <row r="715" customFormat="false" ht="15.75" hidden="false" customHeight="false" outlineLevel="0" collapsed="false">
      <c r="A715" s="1" t="s">
        <v>539</v>
      </c>
      <c r="B715" s="1" t="n">
        <v>282.29</v>
      </c>
      <c r="C715" s="1" t="n">
        <f aca="false">1/B715</f>
        <v>0.00354245633922562</v>
      </c>
      <c r="D715" s="1" t="n">
        <v>0.3065</v>
      </c>
      <c r="E715" s="1" t="n">
        <f aca="false">LN(D715)</f>
        <v>-1.18253752360587</v>
      </c>
    </row>
    <row r="716" customFormat="false" ht="15.75" hidden="false" customHeight="false" outlineLevel="0" collapsed="false">
      <c r="A716" s="1" t="s">
        <v>232</v>
      </c>
      <c r="B716" s="1" t="n">
        <v>273.15</v>
      </c>
      <c r="C716" s="1" t="n">
        <f aca="false">1/B716</f>
        <v>0.00366099212886692</v>
      </c>
      <c r="D716" s="1" t="n">
        <v>311.15</v>
      </c>
      <c r="E716" s="1" t="n">
        <f aca="false">LN(D716)</f>
        <v>5.74027511101523</v>
      </c>
    </row>
    <row r="717" customFormat="false" ht="15.75" hidden="false" customHeight="false" outlineLevel="0" collapsed="false">
      <c r="A717" s="1" t="s">
        <v>232</v>
      </c>
      <c r="B717" s="1" t="n">
        <v>323.15</v>
      </c>
      <c r="C717" s="1" t="n">
        <f aca="false">1/B717</f>
        <v>0.00309453814018258</v>
      </c>
      <c r="D717" s="1" t="n">
        <v>7.45</v>
      </c>
      <c r="E717" s="1" t="n">
        <f aca="false">LN(D717)</f>
        <v>2.00821403239147</v>
      </c>
    </row>
    <row r="718" customFormat="false" ht="15.75" hidden="false" customHeight="false" outlineLevel="0" collapsed="false">
      <c r="A718" s="1" t="s">
        <v>232</v>
      </c>
      <c r="B718" s="1" t="n">
        <v>422.95</v>
      </c>
      <c r="C718" s="1" t="n">
        <f aca="false">1/B718</f>
        <v>0.00236434566733656</v>
      </c>
      <c r="D718" s="1" t="n">
        <v>0.753</v>
      </c>
      <c r="E718" s="1" t="n">
        <f aca="false">LN(D718)</f>
        <v>-0.283690051182243</v>
      </c>
    </row>
    <row r="719" customFormat="false" ht="15.75" hidden="false" customHeight="false" outlineLevel="0" collapsed="false">
      <c r="A719" s="1" t="s">
        <v>232</v>
      </c>
      <c r="B719" s="1" t="n">
        <v>473.15</v>
      </c>
      <c r="C719" s="1" t="n">
        <f aca="false">1/B719</f>
        <v>0.00211349466342597</v>
      </c>
      <c r="D719" s="1" t="n">
        <v>0.468</v>
      </c>
      <c r="E719" s="1" t="n">
        <f aca="false">LN(D719)</f>
        <v>-0.75928698306449</v>
      </c>
    </row>
    <row r="720" customFormat="false" ht="15.75" hidden="false" customHeight="false" outlineLevel="0" collapsed="false">
      <c r="A720" s="1" t="s">
        <v>1406</v>
      </c>
      <c r="B720" s="1" t="n">
        <v>273.53</v>
      </c>
      <c r="C720" s="1" t="n">
        <f aca="false">1/B720</f>
        <v>0.00365590611633093</v>
      </c>
      <c r="D720" s="1" t="n">
        <v>0.337</v>
      </c>
      <c r="E720" s="1" t="n">
        <f aca="false">LN(D720)</f>
        <v>-1.08767234862978</v>
      </c>
    </row>
    <row r="721" customFormat="false" ht="15.75" hidden="false" customHeight="false" outlineLevel="0" collapsed="false">
      <c r="A721" s="1" t="s">
        <v>1406</v>
      </c>
      <c r="B721" s="1" t="n">
        <v>329.36</v>
      </c>
      <c r="C721" s="1" t="n">
        <f aca="false">1/B721</f>
        <v>0.00303619140150595</v>
      </c>
      <c r="D721" s="1" t="n">
        <v>0.197</v>
      </c>
      <c r="E721" s="1" t="n">
        <f aca="false">LN(D721)</f>
        <v>-1.62455155024415</v>
      </c>
    </row>
    <row r="722" customFormat="false" ht="15.75" hidden="false" customHeight="false" outlineLevel="0" collapsed="false">
      <c r="A722" s="1" t="s">
        <v>541</v>
      </c>
      <c r="B722" s="1" t="n">
        <v>298.15</v>
      </c>
      <c r="C722" s="1" t="n">
        <f aca="false">1/B722</f>
        <v>0.00335401643468053</v>
      </c>
      <c r="D722" s="1" t="n">
        <v>9.079</v>
      </c>
      <c r="E722" s="1" t="n">
        <f aca="false">LN(D722)</f>
        <v>2.20596405438962</v>
      </c>
    </row>
    <row r="723" customFormat="false" ht="15.75" hidden="false" customHeight="false" outlineLevel="0" collapsed="false">
      <c r="A723" s="1" t="s">
        <v>541</v>
      </c>
      <c r="B723" s="1" t="n">
        <v>303.15</v>
      </c>
      <c r="C723" s="1" t="n">
        <f aca="false">1/B723</f>
        <v>0.0032986970146792</v>
      </c>
      <c r="D723" s="1" t="n">
        <v>7.755</v>
      </c>
      <c r="E723" s="1" t="n">
        <f aca="false">LN(D723)</f>
        <v>2.0483377966285</v>
      </c>
    </row>
    <row r="724" customFormat="false" ht="15.75" hidden="false" customHeight="false" outlineLevel="0" collapsed="false">
      <c r="A724" s="1" t="s">
        <v>541</v>
      </c>
      <c r="B724" s="1" t="n">
        <v>323.15</v>
      </c>
      <c r="C724" s="1" t="n">
        <f aca="false">1/B724</f>
        <v>0.00309453814018258</v>
      </c>
      <c r="D724" s="1" t="n">
        <v>4.519</v>
      </c>
      <c r="E724" s="1" t="n">
        <f aca="false">LN(D724)</f>
        <v>1.50829073042914</v>
      </c>
    </row>
    <row r="725" customFormat="false" ht="15.75" hidden="false" customHeight="false" outlineLevel="0" collapsed="false">
      <c r="A725" s="1" t="s">
        <v>541</v>
      </c>
      <c r="B725" s="1" t="n">
        <v>333.15</v>
      </c>
      <c r="C725" s="1" t="n">
        <f aca="false">1/B725</f>
        <v>0.0030016509079994</v>
      </c>
      <c r="D725" s="1" t="n">
        <v>2.693</v>
      </c>
      <c r="E725" s="1" t="n">
        <f aca="false">LN(D725)</f>
        <v>0.990655813829462</v>
      </c>
    </row>
    <row r="726" customFormat="false" ht="15.75" hidden="false" customHeight="false" outlineLevel="0" collapsed="false">
      <c r="A726" s="1" t="s">
        <v>541</v>
      </c>
      <c r="B726" s="1" t="n">
        <v>373.15</v>
      </c>
      <c r="C726" s="1" t="n">
        <f aca="false">1/B726</f>
        <v>0.00267988744472732</v>
      </c>
      <c r="D726" s="1" t="n">
        <v>1.285</v>
      </c>
      <c r="E726" s="1" t="n">
        <f aca="false">LN(D726)</f>
        <v>0.250758718347183</v>
      </c>
    </row>
    <row r="727" customFormat="false" ht="15.75" hidden="false" customHeight="false" outlineLevel="0" collapsed="false">
      <c r="A727" s="1" t="s">
        <v>541</v>
      </c>
      <c r="B727" s="1" t="n">
        <v>313.15</v>
      </c>
      <c r="C727" s="1" t="n">
        <f aca="false">1/B727</f>
        <v>0.00319335781574325</v>
      </c>
      <c r="D727" s="1" t="n">
        <v>5.819</v>
      </c>
      <c r="E727" s="1" t="n">
        <f aca="false">LN(D727)</f>
        <v>1.76112842567453</v>
      </c>
    </row>
    <row r="728" customFormat="false" ht="15.75" hidden="false" customHeight="false" outlineLevel="0" collapsed="false">
      <c r="A728" s="1" t="s">
        <v>541</v>
      </c>
      <c r="B728" s="1" t="n">
        <v>353.15</v>
      </c>
      <c r="C728" s="1" t="n">
        <f aca="false">1/B728</f>
        <v>0.00283165793572137</v>
      </c>
      <c r="D728" s="1" t="n">
        <v>1.793</v>
      </c>
      <c r="E728" s="1" t="n">
        <f aca="false">LN(D728)</f>
        <v>0.583890194622996</v>
      </c>
    </row>
    <row r="729" customFormat="false" ht="15.75" hidden="false" customHeight="false" outlineLevel="0" collapsed="false">
      <c r="A729" s="1" t="s">
        <v>543</v>
      </c>
      <c r="B729" s="1" t="n">
        <v>293.15</v>
      </c>
      <c r="C729" s="1" t="n">
        <f aca="false">1/B729</f>
        <v>0.00341122292341805</v>
      </c>
      <c r="D729" s="1" t="n">
        <v>0.632</v>
      </c>
      <c r="E729" s="1" t="n">
        <f aca="false">LN(D729)</f>
        <v>-0.45886588483528</v>
      </c>
    </row>
    <row r="730" customFormat="false" ht="15.75" hidden="false" customHeight="false" outlineLevel="0" collapsed="false">
      <c r="A730" s="1" t="s">
        <v>543</v>
      </c>
      <c r="B730" s="1" t="n">
        <v>303.15</v>
      </c>
      <c r="C730" s="1" t="n">
        <f aca="false">1/B730</f>
        <v>0.0032986970146792</v>
      </c>
      <c r="D730" s="1" t="n">
        <v>0.559</v>
      </c>
      <c r="E730" s="1" t="n">
        <f aca="false">LN(D730)</f>
        <v>-0.581605805827038</v>
      </c>
    </row>
    <row r="731" customFormat="false" ht="15.75" hidden="false" customHeight="false" outlineLevel="0" collapsed="false">
      <c r="A731" s="1" t="s">
        <v>543</v>
      </c>
      <c r="B731" s="1" t="n">
        <v>313.15</v>
      </c>
      <c r="C731" s="1" t="n">
        <f aca="false">1/B731</f>
        <v>0.00319335781574325</v>
      </c>
      <c r="D731" s="1" t="n">
        <v>0.5</v>
      </c>
      <c r="E731" s="1" t="n">
        <f aca="false">LN(D731)</f>
        <v>-0.693147180559945</v>
      </c>
    </row>
    <row r="732" customFormat="false" ht="15.75" hidden="false" customHeight="false" outlineLevel="0" collapsed="false">
      <c r="A732" s="1" t="s">
        <v>543</v>
      </c>
      <c r="B732" s="1" t="n">
        <v>323.15</v>
      </c>
      <c r="C732" s="1" t="n">
        <f aca="false">1/B732</f>
        <v>0.00309453814018258</v>
      </c>
      <c r="D732" s="1" t="n">
        <v>0.448</v>
      </c>
      <c r="E732" s="1" t="n">
        <f aca="false">LN(D732)</f>
        <v>-0.802962046567152</v>
      </c>
    </row>
    <row r="733" customFormat="false" ht="15.75" hidden="false" customHeight="false" outlineLevel="0" collapsed="false">
      <c r="A733" s="1" t="s">
        <v>543</v>
      </c>
      <c r="B733" s="1" t="n">
        <v>333.15</v>
      </c>
      <c r="C733" s="1" t="n">
        <f aca="false">1/B733</f>
        <v>0.0030016509079994</v>
      </c>
      <c r="D733" s="1" t="n">
        <v>0.404</v>
      </c>
      <c r="E733" s="1" t="n">
        <f aca="false">LN(D733)</f>
        <v>-0.906340401020987</v>
      </c>
    </row>
    <row r="734" customFormat="false" ht="15.75" hidden="false" customHeight="false" outlineLevel="0" collapsed="false">
      <c r="A734" s="1" t="s">
        <v>543</v>
      </c>
      <c r="B734" s="1" t="n">
        <v>353.15</v>
      </c>
      <c r="C734" s="1" t="n">
        <f aca="false">1/B734</f>
        <v>0.00283165793572137</v>
      </c>
      <c r="D734" s="1" t="n">
        <v>0.333</v>
      </c>
      <c r="E734" s="1" t="n">
        <f aca="false">LN(D734)</f>
        <v>-1.09961278900169</v>
      </c>
    </row>
    <row r="735" customFormat="false" ht="15.75" hidden="false" customHeight="false" outlineLevel="0" collapsed="false">
      <c r="A735" s="1" t="s">
        <v>543</v>
      </c>
      <c r="B735" s="1" t="n">
        <v>373.15</v>
      </c>
      <c r="C735" s="1" t="n">
        <f aca="false">1/B735</f>
        <v>0.00267988744472732</v>
      </c>
      <c r="D735" s="1" t="n">
        <v>0.279</v>
      </c>
      <c r="E735" s="1" t="n">
        <f aca="false">LN(D735)</f>
        <v>-1.27654349716077</v>
      </c>
    </row>
    <row r="736" customFormat="false" ht="15.75" hidden="false" customHeight="false" outlineLevel="0" collapsed="false">
      <c r="A736" s="1" t="s">
        <v>545</v>
      </c>
      <c r="B736" s="1" t="n">
        <v>293.15</v>
      </c>
      <c r="C736" s="1" t="n">
        <f aca="false">1/B736</f>
        <v>0.00341122292341805</v>
      </c>
      <c r="D736" s="1" t="n">
        <v>2.32</v>
      </c>
      <c r="E736" s="1" t="n">
        <f aca="false">LN(D736)</f>
        <v>0.841567185678218</v>
      </c>
    </row>
    <row r="737" customFormat="false" ht="15.75" hidden="false" customHeight="false" outlineLevel="0" collapsed="false">
      <c r="A737" s="1" t="s">
        <v>545</v>
      </c>
      <c r="B737" s="1" t="n">
        <v>303.15</v>
      </c>
      <c r="C737" s="1" t="n">
        <f aca="false">1/B737</f>
        <v>0.0032986970146792</v>
      </c>
      <c r="D737" s="1" t="n">
        <v>1.875</v>
      </c>
      <c r="E737" s="1" t="n">
        <f aca="false">LN(D737)</f>
        <v>0.628608659422374</v>
      </c>
    </row>
    <row r="738" customFormat="false" ht="15.75" hidden="false" customHeight="false" outlineLevel="0" collapsed="false">
      <c r="A738" s="1" t="s">
        <v>545</v>
      </c>
      <c r="B738" s="1" t="n">
        <v>315.15</v>
      </c>
      <c r="C738" s="1" t="n">
        <f aca="false">1/B738</f>
        <v>0.00317309217832778</v>
      </c>
      <c r="D738" s="1" t="n">
        <v>1.564</v>
      </c>
      <c r="E738" s="1" t="n">
        <f aca="false">LN(D738)</f>
        <v>0.447246642123119</v>
      </c>
    </row>
    <row r="739" customFormat="false" ht="15.75" hidden="false" customHeight="false" outlineLevel="0" collapsed="false">
      <c r="A739" s="1" t="s">
        <v>545</v>
      </c>
      <c r="B739" s="1" t="n">
        <v>323.15</v>
      </c>
      <c r="C739" s="1" t="n">
        <f aca="false">1/B739</f>
        <v>0.00309453814018258</v>
      </c>
      <c r="D739" s="1" t="n">
        <v>1.325</v>
      </c>
      <c r="E739" s="1" t="n">
        <f aca="false">LN(D739)</f>
        <v>0.281412459438185</v>
      </c>
    </row>
    <row r="740" customFormat="false" ht="15.75" hidden="false" customHeight="false" outlineLevel="0" collapsed="false">
      <c r="A740" s="1" t="s">
        <v>545</v>
      </c>
      <c r="B740" s="1" t="n">
        <v>333.15</v>
      </c>
      <c r="C740" s="1" t="n">
        <f aca="false">1/B740</f>
        <v>0.0030016509079994</v>
      </c>
      <c r="D740" s="1" t="n">
        <v>1.135</v>
      </c>
      <c r="E740" s="1" t="n">
        <f aca="false">LN(D740)</f>
        <v>0.126632650933366</v>
      </c>
    </row>
    <row r="741" customFormat="false" ht="15.75" hidden="false" customHeight="false" outlineLevel="0" collapsed="false">
      <c r="A741" s="1" t="s">
        <v>547</v>
      </c>
      <c r="B741" s="1" t="n">
        <v>293</v>
      </c>
      <c r="C741" s="1" t="n">
        <f aca="false">1/B741</f>
        <v>0.00341296928327645</v>
      </c>
      <c r="D741" s="1" t="n">
        <v>4.37</v>
      </c>
      <c r="E741" s="1" t="n">
        <f aca="false">LN(D741)</f>
        <v>1.4747630091075</v>
      </c>
    </row>
    <row r="742" customFormat="false" ht="15.75" hidden="false" customHeight="false" outlineLevel="0" collapsed="false">
      <c r="A742" s="1" t="s">
        <v>547</v>
      </c>
      <c r="B742" s="1" t="n">
        <v>298</v>
      </c>
      <c r="C742" s="1" t="n">
        <f aca="false">1/B742</f>
        <v>0.00335570469798658</v>
      </c>
      <c r="D742" s="1" t="n">
        <v>3.65</v>
      </c>
      <c r="E742" s="1" t="n">
        <f aca="false">LN(D742)</f>
        <v>1.2947271675944</v>
      </c>
    </row>
    <row r="743" customFormat="false" ht="15.75" hidden="false" customHeight="false" outlineLevel="0" collapsed="false">
      <c r="A743" s="1" t="s">
        <v>547</v>
      </c>
      <c r="B743" s="1" t="n">
        <v>303</v>
      </c>
      <c r="C743" s="1" t="n">
        <f aca="false">1/B743</f>
        <v>0.0033003300330033</v>
      </c>
      <c r="D743" s="1" t="n">
        <v>3.245</v>
      </c>
      <c r="E743" s="1" t="n">
        <f aca="false">LN(D743)</f>
        <v>1.17711535015605</v>
      </c>
    </row>
    <row r="744" customFormat="false" ht="15.75" hidden="false" customHeight="false" outlineLevel="0" collapsed="false">
      <c r="A744" s="1" t="s">
        <v>547</v>
      </c>
      <c r="B744" s="1" t="n">
        <v>308</v>
      </c>
      <c r="C744" s="1" t="n">
        <f aca="false">1/B744</f>
        <v>0.00324675324675325</v>
      </c>
      <c r="D744" s="1" t="n">
        <v>2.85</v>
      </c>
      <c r="E744" s="1" t="n">
        <f aca="false">LN(D744)</f>
        <v>1.04731899428056</v>
      </c>
    </row>
    <row r="745" customFormat="false" ht="15.75" hidden="false" customHeight="false" outlineLevel="0" collapsed="false">
      <c r="A745" s="1" t="s">
        <v>547</v>
      </c>
      <c r="B745" s="1" t="n">
        <v>311</v>
      </c>
      <c r="C745" s="1" t="n">
        <f aca="false">1/B745</f>
        <v>0.00321543408360129</v>
      </c>
      <c r="D745" s="1" t="n">
        <v>2.68</v>
      </c>
      <c r="E745" s="1" t="n">
        <f aca="false">LN(D745)</f>
        <v>0.985816794522765</v>
      </c>
    </row>
    <row r="746" customFormat="false" ht="15.75" hidden="false" customHeight="false" outlineLevel="0" collapsed="false">
      <c r="A746" s="1" t="s">
        <v>547</v>
      </c>
      <c r="B746" s="1" t="n">
        <v>313</v>
      </c>
      <c r="C746" s="1" t="n">
        <f aca="false">1/B746</f>
        <v>0.00319488817891374</v>
      </c>
      <c r="D746" s="1" t="n">
        <v>2.545</v>
      </c>
      <c r="E746" s="1" t="n">
        <f aca="false">LN(D746)</f>
        <v>0.934130650002486</v>
      </c>
    </row>
    <row r="747" customFormat="false" ht="15.75" hidden="false" customHeight="false" outlineLevel="0" collapsed="false">
      <c r="A747" s="1" t="s">
        <v>547</v>
      </c>
      <c r="B747" s="1" t="n">
        <v>318</v>
      </c>
      <c r="C747" s="1" t="n">
        <f aca="false">1/B747</f>
        <v>0.00314465408805031</v>
      </c>
      <c r="D747" s="1" t="n">
        <v>2.2</v>
      </c>
      <c r="E747" s="1" t="n">
        <f aca="false">LN(D747)</f>
        <v>0.78845736036427</v>
      </c>
    </row>
    <row r="748" customFormat="false" ht="15.75" hidden="false" customHeight="false" outlineLevel="0" collapsed="false">
      <c r="A748" s="1" t="s">
        <v>547</v>
      </c>
      <c r="B748" s="1" t="n">
        <v>323</v>
      </c>
      <c r="C748" s="1" t="n">
        <f aca="false">1/B748</f>
        <v>0.00309597523219814</v>
      </c>
      <c r="D748" s="1" t="n">
        <v>2</v>
      </c>
      <c r="E748" s="1" t="n">
        <f aca="false">LN(D748)</f>
        <v>0.693147180559945</v>
      </c>
    </row>
    <row r="749" customFormat="false" ht="15.75" hidden="false" customHeight="false" outlineLevel="0" collapsed="false">
      <c r="A749" s="1" t="s">
        <v>547</v>
      </c>
      <c r="B749" s="1" t="n">
        <v>372</v>
      </c>
      <c r="C749" s="1" t="n">
        <f aca="false">1/B749</f>
        <v>0.00268817204301075</v>
      </c>
      <c r="D749" s="1" t="n">
        <v>0.93</v>
      </c>
      <c r="E749" s="1" t="n">
        <f aca="false">LN(D749)</f>
        <v>-0.0725706928348354</v>
      </c>
    </row>
    <row r="750" customFormat="false" ht="15.75" hidden="false" customHeight="false" outlineLevel="0" collapsed="false">
      <c r="A750" s="1" t="s">
        <v>1407</v>
      </c>
      <c r="B750" s="1" t="n">
        <v>293</v>
      </c>
      <c r="C750" s="1" t="n">
        <f aca="false">1/B750</f>
        <v>0.00341296928327645</v>
      </c>
      <c r="D750" s="1" t="n">
        <v>3.74</v>
      </c>
      <c r="E750" s="1" t="n">
        <f aca="false">LN(D750)</f>
        <v>1.31908561142644</v>
      </c>
    </row>
    <row r="751" customFormat="false" ht="15.75" hidden="false" customHeight="false" outlineLevel="0" collapsed="false">
      <c r="A751" s="1" t="s">
        <v>1407</v>
      </c>
      <c r="B751" s="1" t="n">
        <v>298</v>
      </c>
      <c r="C751" s="1" t="n">
        <f aca="false">1/B751</f>
        <v>0.00335570469798658</v>
      </c>
      <c r="D751" s="1" t="n">
        <v>3.26</v>
      </c>
      <c r="E751" s="1" t="n">
        <f aca="false">LN(D751)</f>
        <v>1.18172719537862</v>
      </c>
    </row>
    <row r="752" customFormat="false" ht="15.75" hidden="false" customHeight="false" outlineLevel="0" collapsed="false">
      <c r="A752" s="1" t="s">
        <v>1407</v>
      </c>
      <c r="B752" s="1" t="n">
        <v>303</v>
      </c>
      <c r="C752" s="1" t="n">
        <f aca="false">1/B752</f>
        <v>0.0033003300330033</v>
      </c>
      <c r="D752" s="1" t="n">
        <v>2.832</v>
      </c>
      <c r="E752" s="1" t="n">
        <f aca="false">LN(D752)</f>
        <v>1.04098317583147</v>
      </c>
    </row>
    <row r="753" customFormat="false" ht="15.75" hidden="false" customHeight="false" outlineLevel="0" collapsed="false">
      <c r="A753" s="1" t="s">
        <v>1407</v>
      </c>
      <c r="B753" s="1" t="n">
        <v>308</v>
      </c>
      <c r="C753" s="1" t="n">
        <f aca="false">1/B753</f>
        <v>0.00324675324675325</v>
      </c>
      <c r="D753" s="1" t="n">
        <v>2.5</v>
      </c>
      <c r="E753" s="1" t="n">
        <f aca="false">LN(D753)</f>
        <v>0.916290731874155</v>
      </c>
    </row>
    <row r="754" customFormat="false" ht="15.75" hidden="false" customHeight="false" outlineLevel="0" collapsed="false">
      <c r="A754" s="1" t="s">
        <v>1407</v>
      </c>
      <c r="B754" s="1" t="n">
        <v>313</v>
      </c>
      <c r="C754" s="1" t="n">
        <f aca="false">1/B754</f>
        <v>0.00319488817891374</v>
      </c>
      <c r="D754" s="1" t="n">
        <v>2.22</v>
      </c>
      <c r="E754" s="1" t="n">
        <f aca="false">LN(D754)</f>
        <v>0.797507195884188</v>
      </c>
    </row>
    <row r="755" customFormat="false" ht="15.75" hidden="false" customHeight="false" outlineLevel="0" collapsed="false">
      <c r="A755" s="1" t="s">
        <v>1407</v>
      </c>
      <c r="B755" s="1" t="n">
        <v>318</v>
      </c>
      <c r="C755" s="1" t="n">
        <f aca="false">1/B755</f>
        <v>0.00314465408805031</v>
      </c>
      <c r="D755" s="1" t="n">
        <v>1.95</v>
      </c>
      <c r="E755" s="1" t="n">
        <f aca="false">LN(D755)</f>
        <v>0.667829372575655</v>
      </c>
    </row>
    <row r="756" customFormat="false" ht="15.75" hidden="false" customHeight="false" outlineLevel="0" collapsed="false">
      <c r="A756" s="1" t="s">
        <v>1407</v>
      </c>
      <c r="B756" s="1" t="n">
        <v>323</v>
      </c>
      <c r="C756" s="1" t="n">
        <f aca="false">1/B756</f>
        <v>0.00309597523219814</v>
      </c>
      <c r="D756" s="1" t="n">
        <v>1.857</v>
      </c>
      <c r="E756" s="1" t="n">
        <f aca="false">LN(D756)</f>
        <v>0.618962282370569</v>
      </c>
    </row>
    <row r="757" customFormat="false" ht="15.75" hidden="false" customHeight="false" outlineLevel="0" collapsed="false">
      <c r="A757" s="1" t="s">
        <v>549</v>
      </c>
      <c r="B757" s="1" t="n">
        <v>298.15</v>
      </c>
      <c r="C757" s="1" t="n">
        <f aca="false">1/B757</f>
        <v>0.00335401643468053</v>
      </c>
      <c r="D757" s="1" t="n">
        <v>6.165</v>
      </c>
      <c r="E757" s="1" t="n">
        <f aca="false">LN(D757)</f>
        <v>1.81888813661631</v>
      </c>
    </row>
    <row r="758" customFormat="false" ht="15.75" hidden="false" customHeight="false" outlineLevel="0" collapsed="false">
      <c r="A758" s="1" t="s">
        <v>549</v>
      </c>
      <c r="B758" s="1" t="n">
        <v>323.15</v>
      </c>
      <c r="C758" s="1" t="n">
        <f aca="false">1/B758</f>
        <v>0.00309453814018258</v>
      </c>
      <c r="D758" s="1" t="n">
        <v>2.904</v>
      </c>
      <c r="E758" s="1" t="n">
        <f aca="false">LN(D758)</f>
        <v>1.06608909696255</v>
      </c>
    </row>
    <row r="759" customFormat="false" ht="15.75" hidden="false" customHeight="false" outlineLevel="0" collapsed="false">
      <c r="A759" s="1" t="s">
        <v>549</v>
      </c>
      <c r="B759" s="1" t="n">
        <v>348.15</v>
      </c>
      <c r="C759" s="1" t="n">
        <f aca="false">1/B759</f>
        <v>0.00287232514720666</v>
      </c>
      <c r="D759" s="1" t="n">
        <v>1.732</v>
      </c>
      <c r="E759" s="1" t="n">
        <f aca="false">LN(D759)</f>
        <v>0.549276810140243</v>
      </c>
    </row>
    <row r="760" customFormat="false" ht="15.75" hidden="false" customHeight="false" outlineLevel="0" collapsed="false">
      <c r="A760" s="1" t="s">
        <v>549</v>
      </c>
      <c r="B760" s="1" t="n">
        <v>373.15</v>
      </c>
      <c r="C760" s="1" t="n">
        <f aca="false">1/B760</f>
        <v>0.00267988744472732</v>
      </c>
      <c r="D760" s="1" t="n">
        <v>1.182</v>
      </c>
      <c r="E760" s="1" t="n">
        <f aca="false">LN(D760)</f>
        <v>0.167207918983906</v>
      </c>
    </row>
    <row r="761" customFormat="false" ht="15.75" hidden="false" customHeight="false" outlineLevel="0" collapsed="false">
      <c r="A761" s="1" t="s">
        <v>549</v>
      </c>
      <c r="B761" s="1" t="n">
        <v>398.15</v>
      </c>
      <c r="C761" s="1" t="n">
        <f aca="false">1/B761</f>
        <v>0.00251161622504081</v>
      </c>
      <c r="D761" s="1" t="n">
        <v>0.869</v>
      </c>
      <c r="E761" s="1" t="n">
        <f aca="false">LN(D761)</f>
        <v>-0.140412153716745</v>
      </c>
    </row>
    <row r="762" customFormat="false" ht="15.75" hidden="false" customHeight="false" outlineLevel="0" collapsed="false">
      <c r="A762" s="1" t="s">
        <v>234</v>
      </c>
      <c r="B762" s="1" t="n">
        <v>293.15</v>
      </c>
      <c r="C762" s="1" t="n">
        <f aca="false">1/B762</f>
        <v>0.00341122292341805</v>
      </c>
      <c r="D762" s="1" t="n">
        <v>20.78</v>
      </c>
      <c r="E762" s="1" t="n">
        <f aca="false">LN(D762)</f>
        <v>3.03399098567108</v>
      </c>
    </row>
    <row r="763" customFormat="false" ht="15.75" hidden="false" customHeight="false" outlineLevel="0" collapsed="false">
      <c r="A763" s="1" t="s">
        <v>234</v>
      </c>
      <c r="B763" s="1" t="n">
        <v>310.95</v>
      </c>
      <c r="C763" s="1" t="n">
        <f aca="false">1/B763</f>
        <v>0.00321595111754301</v>
      </c>
      <c r="D763" s="1" t="n">
        <v>10.07</v>
      </c>
      <c r="E763" s="1" t="n">
        <f aca="false">LN(D763)</f>
        <v>2.30956070673047</v>
      </c>
    </row>
    <row r="764" customFormat="false" ht="15.75" hidden="false" customHeight="false" outlineLevel="0" collapsed="false">
      <c r="A764" s="1" t="s">
        <v>234</v>
      </c>
      <c r="B764" s="1" t="n">
        <v>333.15</v>
      </c>
      <c r="C764" s="1" t="n">
        <f aca="false">1/B764</f>
        <v>0.0030016509079994</v>
      </c>
      <c r="D764" s="1" t="n">
        <v>5.08</v>
      </c>
      <c r="E764" s="1" t="n">
        <f aca="false">LN(D764)</f>
        <v>1.62531126159039</v>
      </c>
    </row>
    <row r="765" customFormat="false" ht="15.75" hidden="false" customHeight="false" outlineLevel="0" collapsed="false">
      <c r="A765" s="1" t="s">
        <v>234</v>
      </c>
      <c r="B765" s="1" t="n">
        <v>372.05</v>
      </c>
      <c r="C765" s="1" t="n">
        <f aca="false">1/B765</f>
        <v>0.00268781077812122</v>
      </c>
      <c r="D765" s="1" t="n">
        <v>2.21</v>
      </c>
      <c r="E765" s="1" t="n">
        <f aca="false">LN(D765)</f>
        <v>0.792992515529661</v>
      </c>
    </row>
    <row r="766" customFormat="false" ht="15.75" hidden="false" customHeight="false" outlineLevel="0" collapsed="false">
      <c r="A766" s="1" t="s">
        <v>30</v>
      </c>
      <c r="B766" s="1" t="n">
        <v>273.15</v>
      </c>
      <c r="C766" s="1" t="n">
        <f aca="false">1/B766</f>
        <v>0.00366099212886692</v>
      </c>
      <c r="D766" s="1" t="n">
        <v>1.32</v>
      </c>
      <c r="E766" s="1" t="n">
        <f aca="false">LN(D766)</f>
        <v>0.27763173659828</v>
      </c>
    </row>
    <row r="767" customFormat="false" ht="15.75" hidden="false" customHeight="false" outlineLevel="0" collapsed="false">
      <c r="A767" s="1" t="s">
        <v>30</v>
      </c>
      <c r="B767" s="1" t="n">
        <v>293.15</v>
      </c>
      <c r="C767" s="1" t="n">
        <f aca="false">1/B767</f>
        <v>0.00341122292341805</v>
      </c>
      <c r="D767" s="1" t="n">
        <v>0.93</v>
      </c>
      <c r="E767" s="1" t="n">
        <f aca="false">LN(D767)</f>
        <v>-0.0725706928348354</v>
      </c>
    </row>
    <row r="768" customFormat="false" ht="15.75" hidden="false" customHeight="false" outlineLevel="0" collapsed="false">
      <c r="A768" s="1" t="s">
        <v>30</v>
      </c>
      <c r="B768" s="1" t="n">
        <v>303.15</v>
      </c>
      <c r="C768" s="1" t="n">
        <f aca="false">1/B768</f>
        <v>0.0032986970146792</v>
      </c>
      <c r="D768" s="1" t="n">
        <v>0.765</v>
      </c>
      <c r="E768" s="1" t="n">
        <f aca="false">LN(D768)</f>
        <v>-0.267879445155601</v>
      </c>
    </row>
    <row r="769" customFormat="false" ht="15.75" hidden="false" customHeight="false" outlineLevel="0" collapsed="false">
      <c r="A769" s="1" t="s">
        <v>30</v>
      </c>
      <c r="B769" s="1" t="n">
        <v>313.15</v>
      </c>
      <c r="C769" s="1" t="n">
        <f aca="false">1/B769</f>
        <v>0.00319335781574325</v>
      </c>
      <c r="D769" s="1" t="n">
        <v>0.665</v>
      </c>
      <c r="E769" s="1" t="n">
        <f aca="false">LN(D769)</f>
        <v>-0.407968238326283</v>
      </c>
    </row>
    <row r="770" customFormat="false" ht="15.75" hidden="false" customHeight="false" outlineLevel="0" collapsed="false">
      <c r="A770" s="1" t="s">
        <v>32</v>
      </c>
      <c r="B770" s="1" t="n">
        <v>298.15</v>
      </c>
      <c r="C770" s="1" t="n">
        <f aca="false">1/B770</f>
        <v>0.00335401643468053</v>
      </c>
      <c r="D770" s="1" t="n">
        <v>0.8278</v>
      </c>
      <c r="E770" s="1" t="n">
        <f aca="false">LN(D770)</f>
        <v>-0.188983699667505</v>
      </c>
    </row>
    <row r="771" customFormat="false" ht="15.75" hidden="false" customHeight="false" outlineLevel="0" collapsed="false">
      <c r="A771" s="1" t="s">
        <v>32</v>
      </c>
      <c r="B771" s="1" t="n">
        <v>308.15</v>
      </c>
      <c r="C771" s="1" t="n">
        <f aca="false">1/B771</f>
        <v>0.00324517280545189</v>
      </c>
      <c r="D771" s="1" t="n">
        <v>0.6702</v>
      </c>
      <c r="E771" s="1" t="n">
        <f aca="false">LN(D771)</f>
        <v>-0.400179103678927</v>
      </c>
    </row>
    <row r="772" customFormat="false" ht="15.75" hidden="false" customHeight="false" outlineLevel="0" collapsed="false">
      <c r="A772" s="1" t="s">
        <v>32</v>
      </c>
      <c r="B772" s="1" t="n">
        <v>321.15</v>
      </c>
      <c r="C772" s="1" t="n">
        <f aca="false">1/B772</f>
        <v>0.00311380974622451</v>
      </c>
      <c r="D772" s="1" t="n">
        <v>0.554</v>
      </c>
      <c r="E772" s="1" t="n">
        <f aca="false">LN(D772)</f>
        <v>-0.590590592234853</v>
      </c>
    </row>
    <row r="773" customFormat="false" ht="15.75" hidden="false" customHeight="false" outlineLevel="0" collapsed="false">
      <c r="A773" s="1" t="s">
        <v>32</v>
      </c>
      <c r="B773" s="1" t="n">
        <v>338.15</v>
      </c>
      <c r="C773" s="1" t="n">
        <f aca="false">1/B773</f>
        <v>0.002957267484844</v>
      </c>
      <c r="D773" s="1" t="n">
        <v>0.4686</v>
      </c>
      <c r="E773" s="1" t="n">
        <f aca="false">LN(D773)</f>
        <v>-0.758005752908442</v>
      </c>
    </row>
    <row r="774" customFormat="false" ht="15.75" hidden="false" customHeight="false" outlineLevel="0" collapsed="false">
      <c r="A774" s="1" t="s">
        <v>1408</v>
      </c>
      <c r="B774" s="1" t="n">
        <v>303.15</v>
      </c>
      <c r="C774" s="1" t="n">
        <f aca="false">1/B774</f>
        <v>0.0032986970146792</v>
      </c>
      <c r="D774" s="1" t="n">
        <v>99.4748</v>
      </c>
      <c r="E774" s="1" t="n">
        <f aca="false">LN(D774)</f>
        <v>4.59990434575556</v>
      </c>
    </row>
    <row r="775" customFormat="false" ht="15.75" hidden="false" customHeight="false" outlineLevel="0" collapsed="false">
      <c r="A775" s="1" t="s">
        <v>1408</v>
      </c>
      <c r="B775" s="1" t="n">
        <v>313.15</v>
      </c>
      <c r="C775" s="1" t="n">
        <f aca="false">1/B775</f>
        <v>0.00319335781574325</v>
      </c>
      <c r="D775" s="1" t="n">
        <v>46.9258</v>
      </c>
      <c r="E775" s="1" t="n">
        <f aca="false">LN(D775)</f>
        <v>3.84856763080887</v>
      </c>
    </row>
    <row r="776" customFormat="false" ht="15.75" hidden="false" customHeight="false" outlineLevel="0" collapsed="false">
      <c r="A776" s="1" t="s">
        <v>1408</v>
      </c>
      <c r="B776" s="1" t="n">
        <v>323.15</v>
      </c>
      <c r="C776" s="1" t="n">
        <f aca="false">1/B776</f>
        <v>0.00309453814018258</v>
      </c>
      <c r="D776" s="1" t="n">
        <v>24.2108</v>
      </c>
      <c r="E776" s="1" t="n">
        <f aca="false">LN(D776)</f>
        <v>3.18679881460063</v>
      </c>
    </row>
    <row r="777" customFormat="false" ht="15.75" hidden="false" customHeight="false" outlineLevel="0" collapsed="false">
      <c r="A777" s="1" t="s">
        <v>1408</v>
      </c>
      <c r="B777" s="1" t="n">
        <v>333.15</v>
      </c>
      <c r="C777" s="1" t="n">
        <f aca="false">1/B777</f>
        <v>0.0030016509079994</v>
      </c>
      <c r="D777" s="1" t="n">
        <v>13.9977</v>
      </c>
      <c r="E777" s="1" t="n">
        <f aca="false">LN(D777)</f>
        <v>2.6388930304046</v>
      </c>
    </row>
    <row r="778" customFormat="false" ht="15.75" hidden="false" customHeight="false" outlineLevel="0" collapsed="false">
      <c r="A778" s="1" t="s">
        <v>1408</v>
      </c>
      <c r="B778" s="1" t="n">
        <v>343.15</v>
      </c>
      <c r="C778" s="1" t="n">
        <f aca="false">1/B778</f>
        <v>0.00291417747340813</v>
      </c>
      <c r="D778" s="1" t="n">
        <v>8.6418</v>
      </c>
      <c r="E778" s="1" t="n">
        <f aca="false">LN(D778)</f>
        <v>2.15661089445092</v>
      </c>
    </row>
    <row r="779" customFormat="false" ht="15.75" hidden="false" customHeight="false" outlineLevel="0" collapsed="false">
      <c r="A779" s="1" t="s">
        <v>1408</v>
      </c>
      <c r="B779" s="1" t="n">
        <v>353.15</v>
      </c>
      <c r="C779" s="1" t="n">
        <f aca="false">1/B779</f>
        <v>0.00283165793572137</v>
      </c>
      <c r="D779" s="1" t="n">
        <v>5.6485</v>
      </c>
      <c r="E779" s="1" t="n">
        <f aca="false">LN(D779)</f>
        <v>1.73139002318485</v>
      </c>
    </row>
    <row r="780" customFormat="false" ht="15.75" hidden="false" customHeight="false" outlineLevel="0" collapsed="false">
      <c r="A780" s="1" t="s">
        <v>1409</v>
      </c>
      <c r="B780" s="1" t="n">
        <v>293</v>
      </c>
      <c r="C780" s="1" t="n">
        <f aca="false">1/B780</f>
        <v>0.00341296928327645</v>
      </c>
      <c r="D780" s="1" t="n">
        <v>39.3856</v>
      </c>
      <c r="E780" s="1" t="n">
        <f aca="false">LN(D780)</f>
        <v>3.67340026726548</v>
      </c>
    </row>
    <row r="781" customFormat="false" ht="15.75" hidden="false" customHeight="false" outlineLevel="0" collapsed="false">
      <c r="A781" s="1" t="s">
        <v>1409</v>
      </c>
      <c r="B781" s="1" t="n">
        <v>303.15</v>
      </c>
      <c r="C781" s="1" t="n">
        <f aca="false">1/B781</f>
        <v>0.0032986970146792</v>
      </c>
      <c r="D781" s="1" t="n">
        <v>23.9406</v>
      </c>
      <c r="E781" s="1" t="n">
        <f aca="false">LN(D781)</f>
        <v>3.17557576247241</v>
      </c>
    </row>
    <row r="782" customFormat="false" ht="15.75" hidden="false" customHeight="false" outlineLevel="0" collapsed="false">
      <c r="A782" s="1" t="s">
        <v>1409</v>
      </c>
      <c r="B782" s="1" t="n">
        <v>313.15</v>
      </c>
      <c r="C782" s="1" t="n">
        <f aca="false">1/B782</f>
        <v>0.00319335781574325</v>
      </c>
      <c r="D782" s="1" t="n">
        <v>15.223</v>
      </c>
      <c r="E782" s="1" t="n">
        <f aca="false">LN(D782)</f>
        <v>2.72280744207712</v>
      </c>
    </row>
    <row r="783" customFormat="false" ht="15.75" hidden="false" customHeight="false" outlineLevel="0" collapsed="false">
      <c r="A783" s="1" t="s">
        <v>1409</v>
      </c>
      <c r="B783" s="1" t="n">
        <v>333.15</v>
      </c>
      <c r="C783" s="1" t="n">
        <f aca="false">1/B783</f>
        <v>0.0030016509079994</v>
      </c>
      <c r="D783" s="1" t="n">
        <v>6.9589</v>
      </c>
      <c r="E783" s="1" t="n">
        <f aca="false">LN(D783)</f>
        <v>1.94002141587874</v>
      </c>
    </row>
    <row r="784" customFormat="false" ht="15.75" hidden="false" customHeight="false" outlineLevel="0" collapsed="false">
      <c r="A784" s="1" t="s">
        <v>1409</v>
      </c>
      <c r="B784" s="1" t="n">
        <v>353.15</v>
      </c>
      <c r="C784" s="1" t="n">
        <f aca="false">1/B784</f>
        <v>0.00283165793572137</v>
      </c>
      <c r="D784" s="1" t="n">
        <v>3.6941</v>
      </c>
      <c r="E784" s="1" t="n">
        <f aca="false">LN(D784)</f>
        <v>1.30673695233646</v>
      </c>
    </row>
    <row r="785" customFormat="false" ht="15.75" hidden="false" customHeight="false" outlineLevel="0" collapsed="false">
      <c r="A785" s="1" t="s">
        <v>1409</v>
      </c>
      <c r="B785" s="1" t="n">
        <v>373.15</v>
      </c>
      <c r="C785" s="1" t="n">
        <f aca="false">1/B785</f>
        <v>0.00267988744472732</v>
      </c>
      <c r="D785" s="1" t="n">
        <v>2.1659</v>
      </c>
      <c r="E785" s="1" t="n">
        <f aca="false">LN(D785)</f>
        <v>0.772835979461313</v>
      </c>
    </row>
    <row r="786" customFormat="false" ht="15.75" hidden="false" customHeight="false" outlineLevel="0" collapsed="false">
      <c r="A786" s="1" t="s">
        <v>34</v>
      </c>
      <c r="B786" s="1" t="n">
        <v>313.15</v>
      </c>
      <c r="C786" s="1" t="n">
        <f aca="false">1/B786</f>
        <v>0.00319335781574325</v>
      </c>
      <c r="D786" s="1" t="n">
        <v>3.1867</v>
      </c>
      <c r="E786" s="1" t="n">
        <f aca="false">LN(D786)</f>
        <v>1.15898589859154</v>
      </c>
    </row>
    <row r="787" customFormat="false" ht="15.75" hidden="false" customHeight="false" outlineLevel="0" collapsed="false">
      <c r="A787" s="1" t="s">
        <v>34</v>
      </c>
      <c r="B787" s="1" t="n">
        <v>333.15</v>
      </c>
      <c r="C787" s="1" t="n">
        <f aca="false">1/B787</f>
        <v>0.0030016509079994</v>
      </c>
      <c r="D787" s="1" t="n">
        <v>2.1575</v>
      </c>
      <c r="E787" s="1" t="n">
        <f aca="false">LN(D787)</f>
        <v>0.768950143975446</v>
      </c>
    </row>
    <row r="788" customFormat="false" ht="15.75" hidden="false" customHeight="false" outlineLevel="0" collapsed="false">
      <c r="A788" s="1" t="s">
        <v>34</v>
      </c>
      <c r="B788" s="1" t="n">
        <v>353.15</v>
      </c>
      <c r="C788" s="1" t="n">
        <f aca="false">1/B788</f>
        <v>0.00283165793572137</v>
      </c>
      <c r="D788" s="1" t="n">
        <v>1.543</v>
      </c>
      <c r="E788" s="1" t="n">
        <f aca="false">LN(D788)</f>
        <v>0.433728573381024</v>
      </c>
    </row>
    <row r="789" customFormat="false" ht="15.75" hidden="false" customHeight="false" outlineLevel="0" collapsed="false">
      <c r="A789" s="1" t="s">
        <v>34</v>
      </c>
      <c r="B789" s="1" t="n">
        <v>373.15</v>
      </c>
      <c r="C789" s="1" t="n">
        <f aca="false">1/B789</f>
        <v>0.00267988744472732</v>
      </c>
      <c r="D789" s="1" t="n">
        <v>1.885</v>
      </c>
      <c r="E789" s="1" t="n">
        <f aca="false">LN(D789)</f>
        <v>0.633927820899974</v>
      </c>
    </row>
    <row r="790" customFormat="false" ht="15.75" hidden="false" customHeight="false" outlineLevel="0" collapsed="false">
      <c r="A790" s="1" t="s">
        <v>551</v>
      </c>
      <c r="B790" s="1" t="n">
        <v>272.384</v>
      </c>
      <c r="C790" s="1" t="n">
        <f aca="false">1/B790</f>
        <v>0.00367128759398496</v>
      </c>
      <c r="D790" s="1" t="n">
        <v>0.6021</v>
      </c>
      <c r="E790" s="1" t="n">
        <f aca="false">LN(D790)</f>
        <v>-0.507331734511735</v>
      </c>
    </row>
    <row r="791" customFormat="false" ht="15.75" hidden="false" customHeight="false" outlineLevel="0" collapsed="false">
      <c r="A791" s="1" t="s">
        <v>551</v>
      </c>
      <c r="B791" s="1" t="n">
        <v>278.27</v>
      </c>
      <c r="C791" s="1" t="n">
        <f aca="false">1/B791</f>
        <v>0.00359363208394725</v>
      </c>
      <c r="D791" s="1" t="n">
        <v>0.5688</v>
      </c>
      <c r="E791" s="1" t="n">
        <f aca="false">LN(D791)</f>
        <v>-0.564226400493106</v>
      </c>
    </row>
    <row r="792" customFormat="false" ht="15.75" hidden="false" customHeight="false" outlineLevel="0" collapsed="false">
      <c r="A792" s="1" t="s">
        <v>551</v>
      </c>
      <c r="B792" s="1" t="n">
        <v>283.29</v>
      </c>
      <c r="C792" s="1" t="n">
        <f aca="false">1/B792</f>
        <v>0.00352995163966254</v>
      </c>
      <c r="D792" s="1" t="n">
        <v>0.5371</v>
      </c>
      <c r="E792" s="1" t="n">
        <f aca="false">LN(D792)</f>
        <v>-0.621570982070723</v>
      </c>
    </row>
    <row r="793" customFormat="false" ht="15.75" hidden="false" customHeight="false" outlineLevel="0" collapsed="false">
      <c r="A793" s="1" t="s">
        <v>551</v>
      </c>
      <c r="B793" s="1" t="n">
        <v>288.45</v>
      </c>
      <c r="C793" s="1" t="n">
        <f aca="false">1/B793</f>
        <v>0.00346680533888022</v>
      </c>
      <c r="D793" s="1" t="n">
        <v>0.5068</v>
      </c>
      <c r="E793" s="1" t="n">
        <f aca="false">LN(D793)</f>
        <v>-0.679638830535153</v>
      </c>
    </row>
    <row r="794" customFormat="false" ht="15.75" hidden="false" customHeight="false" outlineLevel="0" collapsed="false">
      <c r="A794" s="1" t="s">
        <v>551</v>
      </c>
      <c r="B794" s="1" t="n">
        <v>293.43</v>
      </c>
      <c r="C794" s="1" t="n">
        <f aca="false">1/B794</f>
        <v>0.0034079678287837</v>
      </c>
      <c r="D794" s="1" t="n">
        <v>0.4803</v>
      </c>
      <c r="E794" s="1" t="n">
        <f aca="false">LN(D794)</f>
        <v>-0.733344370311358</v>
      </c>
    </row>
    <row r="795" customFormat="false" ht="15.75" hidden="false" customHeight="false" outlineLevel="0" collapsed="false">
      <c r="A795" s="1" t="s">
        <v>551</v>
      </c>
      <c r="B795" s="1" t="n">
        <v>298.61</v>
      </c>
      <c r="C795" s="1" t="n">
        <f aca="false">1/B795</f>
        <v>0.00334884967013831</v>
      </c>
      <c r="D795" s="1" t="n">
        <v>0.4551</v>
      </c>
      <c r="E795" s="1" t="n">
        <f aca="false">LN(D795)</f>
        <v>-0.787238103959541</v>
      </c>
    </row>
    <row r="796" customFormat="false" ht="15.75" hidden="false" customHeight="false" outlineLevel="0" collapsed="false">
      <c r="A796" s="1" t="s">
        <v>551</v>
      </c>
      <c r="B796" s="1" t="n">
        <v>303.09</v>
      </c>
      <c r="C796" s="1" t="n">
        <f aca="false">1/B796</f>
        <v>0.00329935002804448</v>
      </c>
      <c r="D796" s="1" t="n">
        <v>0.4343</v>
      </c>
      <c r="E796" s="1" t="n">
        <f aca="false">LN(D796)</f>
        <v>-0.834019739441361</v>
      </c>
    </row>
    <row r="797" customFormat="false" ht="15.75" hidden="false" customHeight="false" outlineLevel="0" collapsed="false">
      <c r="A797" s="1" t="s">
        <v>551</v>
      </c>
      <c r="B797" s="1" t="n">
        <v>309.05</v>
      </c>
      <c r="C797" s="1" t="n">
        <f aca="false">1/B797</f>
        <v>0.00323572237502022</v>
      </c>
      <c r="D797" s="1" t="n">
        <v>0.4095</v>
      </c>
      <c r="E797" s="1" t="n">
        <f aca="false">LN(D797)</f>
        <v>-0.892818375689013</v>
      </c>
    </row>
    <row r="798" customFormat="false" ht="15.75" hidden="false" customHeight="false" outlineLevel="0" collapsed="false">
      <c r="A798" s="1" t="s">
        <v>551</v>
      </c>
      <c r="B798" s="1" t="n">
        <v>314.32</v>
      </c>
      <c r="C798" s="1" t="n">
        <f aca="false">1/B798</f>
        <v>0.0031814711122423</v>
      </c>
      <c r="D798" s="1" t="n">
        <v>0.3894</v>
      </c>
      <c r="E798" s="1" t="n">
        <f aca="false">LN(D798)</f>
        <v>-0.943148186044038</v>
      </c>
    </row>
    <row r="799" customFormat="false" ht="15.75" hidden="false" customHeight="false" outlineLevel="0" collapsed="false">
      <c r="A799" s="1" t="s">
        <v>551</v>
      </c>
      <c r="B799" s="1" t="n">
        <v>319.51</v>
      </c>
      <c r="C799" s="1" t="n">
        <f aca="false">1/B799</f>
        <v>0.0031297924947576</v>
      </c>
      <c r="D799" s="1" t="n">
        <v>0.3704</v>
      </c>
      <c r="E799" s="1" t="n">
        <f aca="false">LN(D799)</f>
        <v>-0.993171776210113</v>
      </c>
    </row>
    <row r="800" customFormat="false" ht="15.75" hidden="false" customHeight="false" outlineLevel="0" collapsed="false">
      <c r="A800" s="1" t="s">
        <v>551</v>
      </c>
      <c r="B800" s="1" t="n">
        <v>324.06</v>
      </c>
      <c r="C800" s="1" t="n">
        <f aca="false">1/B800</f>
        <v>0.00308584829969759</v>
      </c>
      <c r="D800" s="1" t="n">
        <v>0.3555</v>
      </c>
      <c r="E800" s="1" t="n">
        <f aca="false">LN(D800)</f>
        <v>-1.03423002973884</v>
      </c>
    </row>
    <row r="801" customFormat="false" ht="15.75" hidden="false" customHeight="false" outlineLevel="0" collapsed="false">
      <c r="A801" s="1" t="s">
        <v>551</v>
      </c>
      <c r="B801" s="1" t="n">
        <v>329.91</v>
      </c>
      <c r="C801" s="1" t="n">
        <f aca="false">1/B801</f>
        <v>0.00303112970203995</v>
      </c>
      <c r="D801" s="1" t="n">
        <v>0.3371</v>
      </c>
      <c r="E801" s="1" t="n">
        <f aca="false">LN(D801)</f>
        <v>-1.08737565674212</v>
      </c>
    </row>
    <row r="802" customFormat="false" ht="15.75" hidden="false" customHeight="false" outlineLevel="0" collapsed="false">
      <c r="A802" s="1" t="s">
        <v>551</v>
      </c>
      <c r="B802" s="1" t="n">
        <v>288.1556</v>
      </c>
      <c r="C802" s="1" t="n">
        <f aca="false">1/B802</f>
        <v>0.00347034727071069</v>
      </c>
      <c r="D802" s="1" t="n">
        <v>0.536</v>
      </c>
      <c r="E802" s="1" t="n">
        <f aca="false">LN(D802)</f>
        <v>-0.623621117911335</v>
      </c>
    </row>
    <row r="803" customFormat="false" ht="15.75" hidden="false" customHeight="false" outlineLevel="0" collapsed="false">
      <c r="A803" s="1" t="s">
        <v>551</v>
      </c>
      <c r="B803" s="1" t="n">
        <v>303.15</v>
      </c>
      <c r="C803" s="1" t="n">
        <f aca="false">1/B803</f>
        <v>0.0032986970146792</v>
      </c>
      <c r="D803" s="1" t="n">
        <v>0.437</v>
      </c>
      <c r="E803" s="1" t="n">
        <f aca="false">LN(D803)</f>
        <v>-0.827822083886547</v>
      </c>
    </row>
    <row r="804" customFormat="false" ht="15.75" hidden="false" customHeight="false" outlineLevel="0" collapsed="false">
      <c r="A804" s="1" t="s">
        <v>1410</v>
      </c>
      <c r="B804" s="1" t="n">
        <v>298.15</v>
      </c>
      <c r="C804" s="1" t="n">
        <f aca="false">1/B804</f>
        <v>0.00335401643468053</v>
      </c>
      <c r="D804" s="1" t="n">
        <v>1.754</v>
      </c>
      <c r="E804" s="1" t="n">
        <f aca="false">LN(D804)</f>
        <v>0.561898893949991</v>
      </c>
    </row>
    <row r="805" customFormat="false" ht="15.75" hidden="false" customHeight="false" outlineLevel="0" collapsed="false">
      <c r="A805" s="1" t="s">
        <v>1410</v>
      </c>
      <c r="B805" s="1" t="n">
        <v>303.15</v>
      </c>
      <c r="C805" s="1" t="n">
        <f aca="false">1/B805</f>
        <v>0.0032986970146792</v>
      </c>
      <c r="D805" s="1" t="n">
        <v>1.622</v>
      </c>
      <c r="E805" s="1" t="n">
        <f aca="false">LN(D805)</f>
        <v>0.483659955693221</v>
      </c>
    </row>
    <row r="806" customFormat="false" ht="15.75" hidden="false" customHeight="false" outlineLevel="0" collapsed="false">
      <c r="A806" s="1" t="s">
        <v>1410</v>
      </c>
      <c r="B806" s="1" t="n">
        <v>323.15</v>
      </c>
      <c r="C806" s="1" t="n">
        <f aca="false">1/B806</f>
        <v>0.00309453814018258</v>
      </c>
      <c r="D806" s="1" t="n">
        <v>1.231</v>
      </c>
      <c r="E806" s="1" t="n">
        <f aca="false">LN(D806)</f>
        <v>0.207826847202316</v>
      </c>
    </row>
    <row r="807" customFormat="false" ht="15.75" hidden="false" customHeight="false" outlineLevel="0" collapsed="false">
      <c r="A807" s="1" t="s">
        <v>1410</v>
      </c>
      <c r="B807" s="1" t="n">
        <v>348.15</v>
      </c>
      <c r="C807" s="1" t="n">
        <f aca="false">1/B807</f>
        <v>0.00287232514720666</v>
      </c>
      <c r="D807" s="1" t="n">
        <v>0.927</v>
      </c>
      <c r="E807" s="1" t="n">
        <f aca="false">LN(D807)</f>
        <v>-0.0758017134162818</v>
      </c>
    </row>
    <row r="808" customFormat="false" ht="15.75" hidden="false" customHeight="false" outlineLevel="0" collapsed="false">
      <c r="A808" s="1" t="s">
        <v>1410</v>
      </c>
      <c r="B808" s="1" t="n">
        <v>398.15</v>
      </c>
      <c r="C808" s="1" t="n">
        <f aca="false">1/B808</f>
        <v>0.00251161622504081</v>
      </c>
      <c r="D808" s="1" t="n">
        <v>0.592</v>
      </c>
      <c r="E808" s="1" t="n">
        <f aca="false">LN(D808)</f>
        <v>-0.524248644098131</v>
      </c>
    </row>
    <row r="809" customFormat="false" ht="15.75" hidden="false" customHeight="false" outlineLevel="0" collapsed="false">
      <c r="A809" s="1" t="s">
        <v>1410</v>
      </c>
      <c r="B809" s="1" t="n">
        <v>313.15</v>
      </c>
      <c r="C809" s="1" t="n">
        <f aca="false">1/B809</f>
        <v>0.00319335781574325</v>
      </c>
      <c r="D809" s="1" t="n">
        <v>1.403</v>
      </c>
      <c r="E809" s="1" t="n">
        <f aca="false">LN(D809)</f>
        <v>0.338612801120324</v>
      </c>
    </row>
    <row r="810" customFormat="false" ht="15.75" hidden="false" customHeight="false" outlineLevel="0" collapsed="false">
      <c r="A810" s="1" t="s">
        <v>1410</v>
      </c>
      <c r="B810" s="1" t="n">
        <v>373.15</v>
      </c>
      <c r="C810" s="1" t="n">
        <f aca="false">1/B810</f>
        <v>0.00267988744472732</v>
      </c>
      <c r="D810" s="1" t="n">
        <v>0.729</v>
      </c>
      <c r="E810" s="1" t="n">
        <f aca="false">LN(D810)</f>
        <v>-0.316081546973479</v>
      </c>
    </row>
    <row r="811" customFormat="false" ht="15.75" hidden="false" customHeight="false" outlineLevel="0" collapsed="false">
      <c r="A811" s="1" t="s">
        <v>553</v>
      </c>
      <c r="B811" s="1" t="n">
        <v>273.15</v>
      </c>
      <c r="C811" s="1" t="n">
        <f aca="false">1/B811</f>
        <v>0.00366099212886692</v>
      </c>
      <c r="D811" s="1" t="n">
        <v>2.208</v>
      </c>
      <c r="E811" s="1" t="n">
        <f aca="false">LN(D811)</f>
        <v>0.792087128414849</v>
      </c>
    </row>
    <row r="812" customFormat="false" ht="15.75" hidden="false" customHeight="false" outlineLevel="0" collapsed="false">
      <c r="A812" s="1" t="s">
        <v>553</v>
      </c>
      <c r="B812" s="1" t="n">
        <v>283.15</v>
      </c>
      <c r="C812" s="1" t="n">
        <f aca="false">1/B812</f>
        <v>0.00353169698039908</v>
      </c>
      <c r="D812" s="1" t="n">
        <v>1.8051</v>
      </c>
      <c r="E812" s="1" t="n">
        <f aca="false">LN(D812)</f>
        <v>0.590615991912279</v>
      </c>
    </row>
    <row r="813" customFormat="false" ht="15.75" hidden="false" customHeight="false" outlineLevel="0" collapsed="false">
      <c r="A813" s="1" t="s">
        <v>553</v>
      </c>
      <c r="B813" s="1" t="n">
        <v>293.15</v>
      </c>
      <c r="C813" s="1" t="n">
        <f aca="false">1/B813</f>
        <v>0.00341122292341805</v>
      </c>
      <c r="D813" s="1" t="n">
        <v>1.5119</v>
      </c>
      <c r="E813" s="1" t="n">
        <f aca="false">LN(D813)</f>
        <v>0.413367138004018</v>
      </c>
    </row>
    <row r="814" customFormat="false" ht="15.75" hidden="false" customHeight="false" outlineLevel="0" collapsed="false">
      <c r="A814" s="1" t="s">
        <v>553</v>
      </c>
      <c r="B814" s="1" t="n">
        <v>303.15</v>
      </c>
      <c r="C814" s="1" t="n">
        <f aca="false">1/B814</f>
        <v>0.0032986970146792</v>
      </c>
      <c r="D814" s="1" t="n">
        <v>1.2912</v>
      </c>
      <c r="E814" s="1" t="n">
        <f aca="false">LN(D814)</f>
        <v>0.255572018533547</v>
      </c>
    </row>
    <row r="815" customFormat="false" ht="15.75" hidden="false" customHeight="false" outlineLevel="0" collapsed="false">
      <c r="A815" s="1" t="s">
        <v>553</v>
      </c>
      <c r="B815" s="1" t="n">
        <v>313.15</v>
      </c>
      <c r="C815" s="1" t="n">
        <f aca="false">1/B815</f>
        <v>0.00319335781574325</v>
      </c>
      <c r="D815" s="1" t="n">
        <v>1.1191</v>
      </c>
      <c r="E815" s="1" t="n">
        <f aca="false">LN(D815)</f>
        <v>0.112524790841844</v>
      </c>
    </row>
    <row r="816" customFormat="false" ht="15.75" hidden="false" customHeight="false" outlineLevel="0" collapsed="false">
      <c r="A816" s="1" t="s">
        <v>553</v>
      </c>
      <c r="B816" s="1" t="n">
        <v>333.15</v>
      </c>
      <c r="C816" s="1" t="n">
        <f aca="false">1/B816</f>
        <v>0.0030016509079994</v>
      </c>
      <c r="D816" s="1" t="n">
        <v>0.8737</v>
      </c>
      <c r="E816" s="1" t="n">
        <f aca="false">LN(D816)</f>
        <v>-0.135018211678088</v>
      </c>
    </row>
    <row r="817" customFormat="false" ht="15.75" hidden="false" customHeight="false" outlineLevel="0" collapsed="false">
      <c r="A817" s="1" t="s">
        <v>553</v>
      </c>
      <c r="B817" s="1" t="n">
        <v>353.15</v>
      </c>
      <c r="C817" s="1" t="n">
        <f aca="false">1/B817</f>
        <v>0.00283165793572137</v>
      </c>
      <c r="D817" s="1" t="n">
        <v>0.7061</v>
      </c>
      <c r="E817" s="1" t="n">
        <f aca="false">LN(D817)</f>
        <v>-0.347998408459836</v>
      </c>
    </row>
    <row r="818" customFormat="false" ht="15.75" hidden="false" customHeight="false" outlineLevel="0" collapsed="false">
      <c r="A818" s="1" t="s">
        <v>553</v>
      </c>
      <c r="B818" s="1" t="n">
        <v>373.15</v>
      </c>
      <c r="C818" s="1" t="n">
        <f aca="false">1/B818</f>
        <v>0.00267988744472732</v>
      </c>
      <c r="D818" s="1" t="n">
        <v>0.5862</v>
      </c>
      <c r="E818" s="1" t="n">
        <f aca="false">LN(D818)</f>
        <v>-0.534094250705345</v>
      </c>
    </row>
    <row r="819" customFormat="false" ht="15.75" hidden="false" customHeight="false" outlineLevel="0" collapsed="false">
      <c r="A819" s="1" t="s">
        <v>555</v>
      </c>
      <c r="B819" s="1" t="n">
        <v>283.15</v>
      </c>
      <c r="C819" s="1" t="n">
        <f aca="false">1/B819</f>
        <v>0.00353169698039908</v>
      </c>
      <c r="D819" s="1" t="n">
        <v>0.57</v>
      </c>
      <c r="E819" s="1" t="n">
        <f aca="false">LN(D819)</f>
        <v>-0.562118918153541</v>
      </c>
    </row>
    <row r="820" customFormat="false" ht="15.75" hidden="false" customHeight="false" outlineLevel="0" collapsed="false">
      <c r="A820" s="1" t="s">
        <v>555</v>
      </c>
      <c r="B820" s="1" t="n">
        <v>293.15</v>
      </c>
      <c r="C820" s="1" t="n">
        <f aca="false">1/B820</f>
        <v>0.00341122292341805</v>
      </c>
      <c r="D820" s="1" t="n">
        <v>0.509</v>
      </c>
      <c r="E820" s="1" t="n">
        <f aca="false">LN(D820)</f>
        <v>-0.675307262431614</v>
      </c>
    </row>
    <row r="821" customFormat="false" ht="15.75" hidden="false" customHeight="false" outlineLevel="0" collapsed="false">
      <c r="A821" s="1" t="s">
        <v>555</v>
      </c>
      <c r="B821" s="1" t="n">
        <v>303.15</v>
      </c>
      <c r="C821" s="1" t="n">
        <f aca="false">1/B821</f>
        <v>0.0032986970146792</v>
      </c>
      <c r="D821" s="1" t="n">
        <v>0.457</v>
      </c>
      <c r="E821" s="1" t="n">
        <f aca="false">LN(D821)</f>
        <v>-0.783071888087932</v>
      </c>
    </row>
    <row r="822" customFormat="false" ht="15.75" hidden="false" customHeight="false" outlineLevel="0" collapsed="false">
      <c r="A822" s="1" t="s">
        <v>555</v>
      </c>
      <c r="B822" s="1" t="n">
        <v>313.15</v>
      </c>
      <c r="C822" s="1" t="n">
        <f aca="false">1/B822</f>
        <v>0.00319335781574325</v>
      </c>
      <c r="D822" s="1" t="n">
        <v>0.419</v>
      </c>
      <c r="E822" s="1" t="n">
        <f aca="false">LN(D822)</f>
        <v>-0.869884359059999</v>
      </c>
    </row>
    <row r="823" customFormat="false" ht="15.75" hidden="false" customHeight="false" outlineLevel="0" collapsed="false">
      <c r="A823" s="1" t="s">
        <v>555</v>
      </c>
      <c r="B823" s="1" t="n">
        <v>323.15</v>
      </c>
      <c r="C823" s="1" t="n">
        <f aca="false">1/B823</f>
        <v>0.00309453814018258</v>
      </c>
      <c r="D823" s="1" t="n">
        <v>0.376</v>
      </c>
      <c r="E823" s="1" t="n">
        <f aca="false">LN(D823)</f>
        <v>-0.978166135592243</v>
      </c>
    </row>
    <row r="824" customFormat="false" ht="15.75" hidden="false" customHeight="false" outlineLevel="0" collapsed="false">
      <c r="A824" s="1" t="s">
        <v>556</v>
      </c>
      <c r="B824" s="1" t="n">
        <v>287.9529</v>
      </c>
      <c r="C824" s="1" t="n">
        <f aca="false">1/B824</f>
        <v>0.0034727901681143</v>
      </c>
      <c r="D824" s="1" t="n">
        <v>4.66</v>
      </c>
      <c r="E824" s="1" t="n">
        <f aca="false">LN(D824)</f>
        <v>1.53901544813755</v>
      </c>
    </row>
    <row r="825" customFormat="false" ht="15.75" hidden="false" customHeight="false" outlineLevel="0" collapsed="false">
      <c r="A825" s="1" t="s">
        <v>556</v>
      </c>
      <c r="B825" s="1" t="n">
        <v>298.45</v>
      </c>
      <c r="C825" s="1" t="n">
        <f aca="false">1/B825</f>
        <v>0.00335064499916234</v>
      </c>
      <c r="D825" s="1" t="n">
        <v>3.081</v>
      </c>
      <c r="E825" s="1" t="n">
        <f aca="false">LN(D825)</f>
        <v>1.12525421961453</v>
      </c>
    </row>
    <row r="826" customFormat="false" ht="15.75" hidden="false" customHeight="false" outlineLevel="0" collapsed="false">
      <c r="A826" s="1" t="s">
        <v>556</v>
      </c>
      <c r="B826" s="1" t="n">
        <v>306.95</v>
      </c>
      <c r="C826" s="1" t="n">
        <f aca="false">1/B826</f>
        <v>0.00325785958625183</v>
      </c>
      <c r="D826" s="1" t="n">
        <v>2.261</v>
      </c>
      <c r="E826" s="1" t="n">
        <f aca="false">LN(D826)</f>
        <v>0.815807193295833</v>
      </c>
    </row>
    <row r="827" customFormat="false" ht="15.75" hidden="false" customHeight="false" outlineLevel="0" collapsed="false">
      <c r="A827" s="1" t="s">
        <v>556</v>
      </c>
      <c r="B827" s="1" t="n">
        <v>318.95</v>
      </c>
      <c r="C827" s="1" t="n">
        <f aca="false">1/B827</f>
        <v>0.00313528766264305</v>
      </c>
      <c r="D827" s="1" t="n">
        <v>1.524</v>
      </c>
      <c r="E827" s="1" t="n">
        <f aca="false">LN(D827)</f>
        <v>0.421338457264455</v>
      </c>
    </row>
    <row r="828" customFormat="false" ht="15.75" hidden="false" customHeight="false" outlineLevel="0" collapsed="false">
      <c r="A828" s="1" t="s">
        <v>556</v>
      </c>
      <c r="B828" s="1" t="n">
        <v>327.05</v>
      </c>
      <c r="C828" s="1" t="n">
        <f aca="false">1/B828</f>
        <v>0.00305763644702645</v>
      </c>
      <c r="D828" s="1" t="n">
        <v>1.19</v>
      </c>
      <c r="E828" s="1" t="n">
        <f aca="false">LN(D828)</f>
        <v>0.173953307123438</v>
      </c>
    </row>
    <row r="829" customFormat="false" ht="15.75" hidden="false" customHeight="false" outlineLevel="0" collapsed="false">
      <c r="A829" s="1" t="s">
        <v>556</v>
      </c>
      <c r="B829" s="1" t="n">
        <v>339.45</v>
      </c>
      <c r="C829" s="1" t="n">
        <f aca="false">1/B829</f>
        <v>0.00294594196494329</v>
      </c>
      <c r="D829" s="1" t="n">
        <v>0.85</v>
      </c>
      <c r="E829" s="1" t="n">
        <f aca="false">LN(D829)</f>
        <v>-0.162518929497775</v>
      </c>
    </row>
    <row r="830" customFormat="false" ht="15.75" hidden="false" customHeight="false" outlineLevel="0" collapsed="false">
      <c r="A830" s="1" t="s">
        <v>556</v>
      </c>
      <c r="B830" s="1" t="n">
        <v>348.55</v>
      </c>
      <c r="C830" s="1" t="n">
        <f aca="false">1/B830</f>
        <v>0.00286902883373978</v>
      </c>
      <c r="D830" s="1" t="n">
        <v>0.692</v>
      </c>
      <c r="E830" s="1" t="n">
        <f aca="false">LN(D830)</f>
        <v>-0.368169323364468</v>
      </c>
    </row>
    <row r="831" customFormat="false" ht="15.75" hidden="false" customHeight="false" outlineLevel="0" collapsed="false">
      <c r="A831" s="1" t="s">
        <v>556</v>
      </c>
      <c r="B831" s="1" t="n">
        <v>357.05</v>
      </c>
      <c r="C831" s="1" t="n">
        <f aca="false">1/B831</f>
        <v>0.00280072818932923</v>
      </c>
      <c r="D831" s="1" t="n">
        <v>0.568</v>
      </c>
      <c r="E831" s="1" t="n">
        <f aca="false">LN(D831)</f>
        <v>-0.565633860260986</v>
      </c>
    </row>
    <row r="832" customFormat="false" ht="15.75" hidden="false" customHeight="false" outlineLevel="0" collapsed="false">
      <c r="A832" s="1" t="s">
        <v>556</v>
      </c>
      <c r="B832" s="1" t="n">
        <v>368.65</v>
      </c>
      <c r="C832" s="1" t="n">
        <f aca="false">1/B832</f>
        <v>0.002712600027126</v>
      </c>
      <c r="D832" s="1" t="n">
        <v>0.46</v>
      </c>
      <c r="E832" s="1" t="n">
        <f aca="false">LN(D832)</f>
        <v>-0.776528789498996</v>
      </c>
    </row>
    <row r="833" customFormat="false" ht="15.75" hidden="false" customHeight="false" outlineLevel="0" collapsed="false">
      <c r="A833" s="1" t="s">
        <v>556</v>
      </c>
      <c r="B833" s="1" t="n">
        <v>298.15211</v>
      </c>
      <c r="C833" s="1" t="n">
        <f aca="false">1/B833</f>
        <v>0.00335399269855913</v>
      </c>
      <c r="D833" s="1" t="n">
        <v>3.115</v>
      </c>
      <c r="E833" s="1" t="n">
        <f aca="false">LN(D833)</f>
        <v>1.13622915223942</v>
      </c>
    </row>
    <row r="834" customFormat="false" ht="15.75" hidden="false" customHeight="false" outlineLevel="0" collapsed="false">
      <c r="A834" s="1" t="s">
        <v>556</v>
      </c>
      <c r="B834" s="1" t="n">
        <v>303.15205</v>
      </c>
      <c r="C834" s="1" t="n">
        <f aca="false">1/B834</f>
        <v>0.00329867470795596</v>
      </c>
      <c r="D834" s="1" t="n">
        <v>2.492</v>
      </c>
      <c r="E834" s="1" t="n">
        <f aca="false">LN(D834)</f>
        <v>0.913085600925207</v>
      </c>
    </row>
    <row r="835" customFormat="false" ht="15.75" hidden="false" customHeight="false" outlineLevel="0" collapsed="false">
      <c r="A835" s="1" t="s">
        <v>556</v>
      </c>
      <c r="B835" s="1" t="n">
        <v>293.15212</v>
      </c>
      <c r="C835" s="1" t="n">
        <f aca="false">1/B835</f>
        <v>0.00341119825433976</v>
      </c>
      <c r="D835" s="1" t="n">
        <v>3.967</v>
      </c>
      <c r="E835" s="1" t="n">
        <f aca="false">LN(D835)</f>
        <v>1.37801014153219</v>
      </c>
    </row>
    <row r="836" customFormat="false" ht="15.75" hidden="false" customHeight="false" outlineLevel="0" collapsed="false">
      <c r="A836" s="1" t="s">
        <v>556</v>
      </c>
      <c r="B836" s="1" t="n">
        <v>298.15</v>
      </c>
      <c r="C836" s="1" t="n">
        <f aca="false">1/B836</f>
        <v>0.00335401643468053</v>
      </c>
      <c r="D836" s="1" t="n">
        <v>3.501</v>
      </c>
      <c r="E836" s="1" t="n">
        <f aca="false">LN(D836)</f>
        <v>1.25304864197253</v>
      </c>
    </row>
    <row r="837" customFormat="false" ht="15.75" hidden="false" customHeight="false" outlineLevel="0" collapsed="false">
      <c r="A837" s="1" t="s">
        <v>556</v>
      </c>
      <c r="B837" s="1" t="n">
        <v>303.15</v>
      </c>
      <c r="C837" s="1" t="n">
        <f aca="false">1/B837</f>
        <v>0.0032986970146792</v>
      </c>
      <c r="D837" s="1" t="n">
        <v>2.958</v>
      </c>
      <c r="E837" s="1" t="n">
        <f aca="false">LN(D837)</f>
        <v>1.08451336428861</v>
      </c>
    </row>
    <row r="838" customFormat="false" ht="15.75" hidden="false" customHeight="false" outlineLevel="0" collapsed="false">
      <c r="A838" s="1" t="s">
        <v>556</v>
      </c>
      <c r="B838" s="1" t="n">
        <v>298.1519</v>
      </c>
      <c r="C838" s="1" t="n">
        <f aca="false">1/B838</f>
        <v>0.00335399506090687</v>
      </c>
      <c r="D838" s="1" t="n">
        <v>3.0427</v>
      </c>
      <c r="E838" s="1" t="n">
        <f aca="false">LN(D838)</f>
        <v>1.11274527913402</v>
      </c>
    </row>
    <row r="839" customFormat="false" ht="15.75" hidden="false" customHeight="false" outlineLevel="0" collapsed="false">
      <c r="A839" s="1" t="s">
        <v>556</v>
      </c>
      <c r="B839" s="1" t="n">
        <v>313.15</v>
      </c>
      <c r="C839" s="1" t="n">
        <f aca="false">1/B839</f>
        <v>0.00319335781574325</v>
      </c>
      <c r="D839" s="1" t="n">
        <v>1.7913</v>
      </c>
      <c r="E839" s="1" t="n">
        <f aca="false">LN(D839)</f>
        <v>0.582941613238919</v>
      </c>
    </row>
    <row r="840" customFormat="false" ht="15.75" hidden="false" customHeight="false" outlineLevel="0" collapsed="false">
      <c r="A840" s="1" t="s">
        <v>556</v>
      </c>
      <c r="B840" s="1" t="n">
        <v>298.15179</v>
      </c>
      <c r="C840" s="1" t="n">
        <f aca="false">1/B840</f>
        <v>0.00335399629832845</v>
      </c>
      <c r="D840" s="1" t="n">
        <v>3.0596</v>
      </c>
      <c r="E840" s="1" t="n">
        <f aca="false">LN(D840)</f>
        <v>1.11828418846557</v>
      </c>
    </row>
    <row r="841" customFormat="false" ht="15.75" hidden="false" customHeight="false" outlineLevel="0" collapsed="false">
      <c r="A841" s="1" t="s">
        <v>556</v>
      </c>
      <c r="B841" s="1" t="n">
        <v>313.15</v>
      </c>
      <c r="C841" s="1" t="n">
        <f aca="false">1/B841</f>
        <v>0.00319335781574325</v>
      </c>
      <c r="D841" s="1" t="n">
        <v>1.7854</v>
      </c>
      <c r="E841" s="1" t="n">
        <f aca="false">LN(D841)</f>
        <v>0.579642479763125</v>
      </c>
    </row>
    <row r="842" customFormat="false" ht="15.75" hidden="false" customHeight="false" outlineLevel="0" collapsed="false">
      <c r="A842" s="1" t="s">
        <v>36</v>
      </c>
      <c r="B842" s="1" t="n">
        <v>298.15</v>
      </c>
      <c r="C842" s="1" t="n">
        <f aca="false">1/B842</f>
        <v>0.00335401643468053</v>
      </c>
      <c r="D842" s="1" t="n">
        <v>3.148</v>
      </c>
      <c r="E842" s="1" t="n">
        <f aca="false">LN(D842)</f>
        <v>1.14676733055516</v>
      </c>
    </row>
    <row r="843" customFormat="false" ht="15.75" hidden="false" customHeight="false" outlineLevel="0" collapsed="false">
      <c r="A843" s="1" t="s">
        <v>36</v>
      </c>
      <c r="B843" s="1" t="n">
        <v>303.15</v>
      </c>
      <c r="C843" s="1" t="n">
        <f aca="false">1/B843</f>
        <v>0.0032986970146792</v>
      </c>
      <c r="D843" s="1" t="n">
        <v>2.408</v>
      </c>
      <c r="E843" s="1" t="n">
        <f aca="false">LN(D843)</f>
        <v>0.878796527446574</v>
      </c>
    </row>
    <row r="844" customFormat="false" ht="15.75" hidden="false" customHeight="false" outlineLevel="0" collapsed="false">
      <c r="A844" s="1" t="s">
        <v>36</v>
      </c>
      <c r="B844" s="1" t="n">
        <v>313.15</v>
      </c>
      <c r="C844" s="1" t="n">
        <f aca="false">1/B844</f>
        <v>0.00319335781574325</v>
      </c>
      <c r="D844" s="1" t="n">
        <v>1.869</v>
      </c>
      <c r="E844" s="1" t="n">
        <f aca="false">LN(D844)</f>
        <v>0.625403528473426</v>
      </c>
    </row>
    <row r="845" customFormat="false" ht="15.75" hidden="false" customHeight="false" outlineLevel="0" collapsed="false">
      <c r="A845" s="1" t="s">
        <v>36</v>
      </c>
      <c r="B845" s="1" t="n">
        <v>308.15174</v>
      </c>
      <c r="C845" s="1" t="n">
        <f aca="false">1/B845</f>
        <v>0.00324515448136038</v>
      </c>
      <c r="D845" s="1" t="n">
        <v>2.198</v>
      </c>
      <c r="E845" s="1" t="n">
        <f aca="false">LN(D845)</f>
        <v>0.78754785598143</v>
      </c>
    </row>
    <row r="846" customFormat="false" ht="15.75" hidden="false" customHeight="false" outlineLevel="0" collapsed="false">
      <c r="A846" s="1" t="s">
        <v>558</v>
      </c>
      <c r="B846" s="1" t="n">
        <v>293.15</v>
      </c>
      <c r="C846" s="1" t="n">
        <f aca="false">1/B846</f>
        <v>0.00341122292341805</v>
      </c>
      <c r="D846" s="1" t="n">
        <v>40.5022</v>
      </c>
      <c r="E846" s="1" t="n">
        <f aca="false">LN(D846)</f>
        <v>3.70135629362482</v>
      </c>
    </row>
    <row r="847" customFormat="false" ht="15.75" hidden="false" customHeight="false" outlineLevel="0" collapsed="false">
      <c r="A847" s="1" t="s">
        <v>558</v>
      </c>
      <c r="B847" s="1" t="n">
        <v>303.15</v>
      </c>
      <c r="C847" s="1" t="n">
        <f aca="false">1/B847</f>
        <v>0.0032986970146792</v>
      </c>
      <c r="D847" s="1" t="n">
        <v>24.3902</v>
      </c>
      <c r="E847" s="1" t="n">
        <f aca="false">LN(D847)</f>
        <v>3.19418141227621</v>
      </c>
    </row>
    <row r="848" customFormat="false" ht="15.75" hidden="false" customHeight="false" outlineLevel="0" collapsed="false">
      <c r="A848" s="1" t="s">
        <v>558</v>
      </c>
      <c r="B848" s="1" t="n">
        <v>313.15</v>
      </c>
      <c r="C848" s="1" t="n">
        <f aca="false">1/B848</f>
        <v>0.00319335781574325</v>
      </c>
      <c r="D848" s="1" t="n">
        <v>7.0373</v>
      </c>
      <c r="E848" s="1" t="n">
        <f aca="false">LN(D848)</f>
        <v>1.95122457387903</v>
      </c>
    </row>
    <row r="849" customFormat="false" ht="15.75" hidden="false" customHeight="false" outlineLevel="0" collapsed="false">
      <c r="A849" s="1" t="s">
        <v>558</v>
      </c>
      <c r="B849" s="1" t="n">
        <v>353.15</v>
      </c>
      <c r="C849" s="1" t="n">
        <f aca="false">1/B849</f>
        <v>0.00283165793572137</v>
      </c>
      <c r="D849" s="1" t="n">
        <v>3.7065</v>
      </c>
      <c r="E849" s="1" t="n">
        <f aca="false">LN(D849)</f>
        <v>1.31008803511464</v>
      </c>
    </row>
    <row r="850" customFormat="false" ht="15.75" hidden="false" customHeight="false" outlineLevel="0" collapsed="false">
      <c r="A850" s="1" t="s">
        <v>558</v>
      </c>
      <c r="B850" s="1" t="n">
        <v>373.15</v>
      </c>
      <c r="C850" s="1" t="n">
        <f aca="false">1/B850</f>
        <v>0.00267988744472732</v>
      </c>
      <c r="D850" s="1" t="n">
        <v>2.1978</v>
      </c>
      <c r="E850" s="1" t="n">
        <f aca="false">LN(D850)</f>
        <v>0.787456860030687</v>
      </c>
    </row>
    <row r="851" customFormat="false" ht="15.75" hidden="false" customHeight="false" outlineLevel="0" collapsed="false">
      <c r="A851" s="1" t="s">
        <v>560</v>
      </c>
      <c r="B851" s="1" t="n">
        <v>273.15</v>
      </c>
      <c r="C851" s="1" t="n">
        <f aca="false">1/B851</f>
        <v>0.00366099212886692</v>
      </c>
      <c r="D851" s="1" t="n">
        <v>111.7</v>
      </c>
      <c r="E851" s="1" t="n">
        <f aca="false">LN(D851)</f>
        <v>4.71581670607516</v>
      </c>
    </row>
    <row r="852" customFormat="false" ht="15.75" hidden="false" customHeight="false" outlineLevel="0" collapsed="false">
      <c r="A852" s="1" t="s">
        <v>560</v>
      </c>
      <c r="B852" s="1" t="n">
        <v>293.15</v>
      </c>
      <c r="C852" s="1" t="n">
        <f aca="false">1/B852</f>
        <v>0.00341122292341805</v>
      </c>
      <c r="D852" s="1" t="n">
        <v>30.76</v>
      </c>
      <c r="E852" s="1" t="n">
        <f aca="false">LN(D852)</f>
        <v>3.42621514463744</v>
      </c>
    </row>
    <row r="853" customFormat="false" ht="15.75" hidden="false" customHeight="false" outlineLevel="0" collapsed="false">
      <c r="A853" s="1" t="s">
        <v>560</v>
      </c>
      <c r="B853" s="1" t="n">
        <v>310.95</v>
      </c>
      <c r="C853" s="1" t="n">
        <f aca="false">1/B853</f>
        <v>0.00321595111754301</v>
      </c>
      <c r="D853" s="1" t="n">
        <v>13.17</v>
      </c>
      <c r="E853" s="1" t="n">
        <f aca="false">LN(D853)</f>
        <v>2.57794151575519</v>
      </c>
    </row>
    <row r="854" customFormat="false" ht="15.75" hidden="false" customHeight="false" outlineLevel="0" collapsed="false">
      <c r="A854" s="1" t="s">
        <v>560</v>
      </c>
      <c r="B854" s="1" t="n">
        <v>333.15</v>
      </c>
      <c r="C854" s="1" t="n">
        <f aca="false">1/B854</f>
        <v>0.0030016509079994</v>
      </c>
      <c r="D854" s="1" t="n">
        <v>5.977</v>
      </c>
      <c r="E854" s="1" t="n">
        <f aca="false">LN(D854)</f>
        <v>1.78791876984212</v>
      </c>
    </row>
    <row r="855" customFormat="false" ht="15.75" hidden="false" customHeight="false" outlineLevel="0" collapsed="false">
      <c r="A855" s="1" t="s">
        <v>560</v>
      </c>
      <c r="B855" s="1" t="n">
        <v>372.05</v>
      </c>
      <c r="C855" s="1" t="n">
        <f aca="false">1/B855</f>
        <v>0.00268781077812122</v>
      </c>
      <c r="D855" s="1" t="n">
        <v>2.346</v>
      </c>
      <c r="E855" s="1" t="n">
        <f aca="false">LN(D855)</f>
        <v>0.852711750231284</v>
      </c>
    </row>
    <row r="856" customFormat="false" ht="15.75" hidden="false" customHeight="false" outlineLevel="0" collapsed="false">
      <c r="A856" s="1" t="s">
        <v>562</v>
      </c>
      <c r="B856" s="1" t="n">
        <v>273.15</v>
      </c>
      <c r="C856" s="1" t="n">
        <f aca="false">1/B856</f>
        <v>0.00366099212886692</v>
      </c>
      <c r="D856" s="1" t="n">
        <v>81.31</v>
      </c>
      <c r="E856" s="1" t="n">
        <f aca="false">LN(D856)</f>
        <v>4.39826901021975</v>
      </c>
    </row>
    <row r="857" customFormat="false" ht="15.75" hidden="false" customHeight="false" outlineLevel="0" collapsed="false">
      <c r="A857" s="1" t="s">
        <v>562</v>
      </c>
      <c r="B857" s="1" t="n">
        <v>293.15</v>
      </c>
      <c r="C857" s="1" t="n">
        <f aca="false">1/B857</f>
        <v>0.00341122292341805</v>
      </c>
      <c r="D857" s="1" t="n">
        <v>24.89</v>
      </c>
      <c r="E857" s="1" t="n">
        <f aca="false">LN(D857)</f>
        <v>3.2144661163795</v>
      </c>
    </row>
    <row r="858" customFormat="false" ht="15.75" hidden="false" customHeight="false" outlineLevel="0" collapsed="false">
      <c r="A858" s="1" t="s">
        <v>562</v>
      </c>
      <c r="B858" s="1" t="n">
        <v>310.95</v>
      </c>
      <c r="C858" s="1" t="n">
        <f aca="false">1/B858</f>
        <v>0.00321595111754301</v>
      </c>
      <c r="D858" s="1" t="n">
        <v>11.49</v>
      </c>
      <c r="E858" s="1" t="n">
        <f aca="false">LN(D858)</f>
        <v>2.44147709186066</v>
      </c>
    </row>
    <row r="859" customFormat="false" ht="15.75" hidden="false" customHeight="false" outlineLevel="0" collapsed="false">
      <c r="A859" s="1" t="s">
        <v>562</v>
      </c>
      <c r="B859" s="1" t="n">
        <v>333.15</v>
      </c>
      <c r="C859" s="1" t="n">
        <f aca="false">1/B859</f>
        <v>0.0030016509079994</v>
      </c>
      <c r="D859" s="1" t="n">
        <v>5.506</v>
      </c>
      <c r="E859" s="1" t="n">
        <f aca="false">LN(D859)</f>
        <v>1.70583840672042</v>
      </c>
    </row>
    <row r="860" customFormat="false" ht="15.75" hidden="false" customHeight="false" outlineLevel="0" collapsed="false">
      <c r="A860" s="1" t="s">
        <v>562</v>
      </c>
      <c r="B860" s="1" t="n">
        <v>372.05</v>
      </c>
      <c r="C860" s="1" t="n">
        <f aca="false">1/B860</f>
        <v>0.00268781077812122</v>
      </c>
      <c r="D860" s="1" t="n">
        <v>2.271</v>
      </c>
      <c r="E860" s="1" t="n">
        <f aca="false">LN(D860)</f>
        <v>0.820220263123421</v>
      </c>
    </row>
    <row r="861" customFormat="false" ht="15.75" hidden="false" customHeight="false" outlineLevel="0" collapsed="false">
      <c r="A861" s="1" t="s">
        <v>564</v>
      </c>
      <c r="B861" s="1" t="n">
        <v>313.851</v>
      </c>
      <c r="C861" s="1" t="n">
        <f aca="false">1/B861</f>
        <v>0.00318622531073662</v>
      </c>
      <c r="D861" s="1" t="n">
        <v>2.171</v>
      </c>
      <c r="E861" s="1" t="n">
        <f aca="false">LN(D861)</f>
        <v>0.775187890896155</v>
      </c>
    </row>
    <row r="862" customFormat="false" ht="15.75" hidden="false" customHeight="false" outlineLevel="0" collapsed="false">
      <c r="A862" s="1" t="s">
        <v>564</v>
      </c>
      <c r="B862" s="1" t="n">
        <v>334.15</v>
      </c>
      <c r="C862" s="1" t="n">
        <f aca="false">1/B862</f>
        <v>0.00299266796348945</v>
      </c>
      <c r="D862" s="1" t="n">
        <v>1.407</v>
      </c>
      <c r="E862" s="1" t="n">
        <f aca="false">LN(D862)</f>
        <v>0.341459778132252</v>
      </c>
    </row>
    <row r="863" customFormat="false" ht="15.75" hidden="false" customHeight="false" outlineLevel="0" collapsed="false">
      <c r="A863" s="1" t="s">
        <v>564</v>
      </c>
      <c r="B863" s="1" t="n">
        <v>357.65</v>
      </c>
      <c r="C863" s="1" t="n">
        <f aca="false">1/B863</f>
        <v>0.00279602963791416</v>
      </c>
      <c r="D863" s="1" t="n">
        <v>0.9715</v>
      </c>
      <c r="E863" s="1" t="n">
        <f aca="false">LN(D863)</f>
        <v>-0.0289140101646422</v>
      </c>
    </row>
    <row r="864" customFormat="false" ht="15.75" hidden="false" customHeight="false" outlineLevel="0" collapsed="false">
      <c r="A864" s="1" t="s">
        <v>564</v>
      </c>
      <c r="B864" s="1" t="n">
        <v>376.65</v>
      </c>
      <c r="C864" s="1" t="n">
        <f aca="false">1/B864</f>
        <v>0.00265498473383778</v>
      </c>
      <c r="D864" s="1" t="n">
        <v>0.7564</v>
      </c>
      <c r="E864" s="1" t="n">
        <f aca="false">LN(D864)</f>
        <v>-0.279184942197835</v>
      </c>
    </row>
    <row r="865" customFormat="false" ht="15.75" hidden="false" customHeight="false" outlineLevel="0" collapsed="false">
      <c r="A865" s="1" t="s">
        <v>564</v>
      </c>
      <c r="B865" s="1" t="n">
        <v>395.05</v>
      </c>
      <c r="C865" s="1" t="n">
        <f aca="false">1/B865</f>
        <v>0.00253132514871535</v>
      </c>
      <c r="D865" s="1" t="n">
        <v>0.6216</v>
      </c>
      <c r="E865" s="1" t="n">
        <f aca="false">LN(D865)</f>
        <v>-0.475458479928699</v>
      </c>
    </row>
    <row r="866" customFormat="false" ht="15.75" hidden="false" customHeight="false" outlineLevel="0" collapsed="false">
      <c r="A866" s="1" t="s">
        <v>564</v>
      </c>
      <c r="B866" s="1" t="n">
        <v>404.75</v>
      </c>
      <c r="C866" s="1" t="n">
        <f aca="false">1/B866</f>
        <v>0.00247066090179123</v>
      </c>
      <c r="D866" s="1" t="n">
        <v>0.5617</v>
      </c>
      <c r="E866" s="1" t="n">
        <f aca="false">LN(D866)</f>
        <v>-0.57678737944375</v>
      </c>
    </row>
    <row r="867" customFormat="false" ht="15.75" hidden="false" customHeight="false" outlineLevel="0" collapsed="false">
      <c r="A867" s="1" t="s">
        <v>564</v>
      </c>
      <c r="B867" s="1" t="n">
        <v>414.15</v>
      </c>
      <c r="C867" s="1" t="n">
        <f aca="false">1/B867</f>
        <v>0.00241458408789086</v>
      </c>
      <c r="D867" s="1" t="n">
        <v>0.5117</v>
      </c>
      <c r="E867" s="1" t="n">
        <f aca="false">LN(D867)</f>
        <v>-0.670016763171091</v>
      </c>
    </row>
    <row r="868" customFormat="false" ht="15.75" hidden="false" customHeight="false" outlineLevel="0" collapsed="false">
      <c r="A868" s="1" t="s">
        <v>564</v>
      </c>
      <c r="B868" s="1" t="n">
        <v>425.15</v>
      </c>
      <c r="C868" s="1" t="n">
        <f aca="false">1/B868</f>
        <v>0.00235211101964013</v>
      </c>
      <c r="D868" s="1" t="n">
        <v>0.463</v>
      </c>
      <c r="E868" s="1" t="n">
        <f aca="false">LN(D868)</f>
        <v>-0.770028224895903</v>
      </c>
    </row>
    <row r="869" customFormat="false" ht="15.75" hidden="false" customHeight="false" outlineLevel="0" collapsed="false">
      <c r="A869" s="1" t="s">
        <v>564</v>
      </c>
      <c r="B869" s="1" t="n">
        <v>436.15</v>
      </c>
      <c r="C869" s="1" t="n">
        <f aca="false">1/B869</f>
        <v>0.00229278917803508</v>
      </c>
      <c r="D869" s="1" t="n">
        <v>0.4212</v>
      </c>
      <c r="E869" s="1" t="n">
        <f aca="false">LN(D869)</f>
        <v>-0.864647498722317</v>
      </c>
    </row>
    <row r="870" customFormat="false" ht="15.75" hidden="false" customHeight="false" outlineLevel="0" collapsed="false">
      <c r="A870" s="1" t="s">
        <v>564</v>
      </c>
      <c r="B870" s="1" t="n">
        <v>447.15</v>
      </c>
      <c r="C870" s="1" t="n">
        <f aca="false">1/B870</f>
        <v>0.00223638600022364</v>
      </c>
      <c r="D870" s="1" t="n">
        <v>0.3843</v>
      </c>
      <c r="E870" s="1" t="n">
        <f aca="false">LN(D870)</f>
        <v>-0.956331781411339</v>
      </c>
    </row>
    <row r="871" customFormat="false" ht="15.75" hidden="false" customHeight="false" outlineLevel="0" collapsed="false">
      <c r="A871" s="1" t="s">
        <v>564</v>
      </c>
      <c r="B871" s="1" t="n">
        <v>283.1543</v>
      </c>
      <c r="C871" s="1" t="n">
        <f aca="false">1/B871</f>
        <v>0.00353164334781425</v>
      </c>
      <c r="D871" s="1" t="n">
        <v>6.39</v>
      </c>
      <c r="E871" s="1" t="n">
        <f aca="false">LN(D871)</f>
        <v>1.85473426838944</v>
      </c>
    </row>
    <row r="872" customFormat="false" ht="15.75" hidden="false" customHeight="false" outlineLevel="0" collapsed="false">
      <c r="A872" s="1" t="s">
        <v>564</v>
      </c>
      <c r="B872" s="1" t="n">
        <v>293.15</v>
      </c>
      <c r="C872" s="1" t="n">
        <f aca="false">1/B872</f>
        <v>0.00341122292341805</v>
      </c>
      <c r="D872" s="1" t="n">
        <v>4.21</v>
      </c>
      <c r="E872" s="1" t="n">
        <f aca="false">LN(D872)</f>
        <v>1.43746264769429</v>
      </c>
    </row>
    <row r="873" customFormat="false" ht="15.75" hidden="false" customHeight="false" outlineLevel="0" collapsed="false">
      <c r="A873" s="1" t="s">
        <v>564</v>
      </c>
      <c r="B873" s="1" t="n">
        <v>303.15</v>
      </c>
      <c r="C873" s="1" t="n">
        <f aca="false">1/B873</f>
        <v>0.0032986970146792</v>
      </c>
      <c r="D873" s="1" t="n">
        <v>3.08</v>
      </c>
      <c r="E873" s="1" t="n">
        <f aca="false">LN(D873)</f>
        <v>1.12492959698548</v>
      </c>
    </row>
    <row r="874" customFormat="false" ht="15.75" hidden="false" customHeight="false" outlineLevel="0" collapsed="false">
      <c r="A874" s="1" t="s">
        <v>564</v>
      </c>
      <c r="B874" s="1" t="n">
        <v>313.15</v>
      </c>
      <c r="C874" s="1" t="n">
        <f aca="false">1/B874</f>
        <v>0.00319335781574325</v>
      </c>
      <c r="D874" s="1" t="n">
        <v>2.32</v>
      </c>
      <c r="E874" s="1" t="n">
        <f aca="false">LN(D874)</f>
        <v>0.841567185678218</v>
      </c>
    </row>
    <row r="875" customFormat="false" ht="15.75" hidden="false" customHeight="false" outlineLevel="0" collapsed="false">
      <c r="A875" s="1" t="s">
        <v>564</v>
      </c>
      <c r="B875" s="1" t="n">
        <v>333.15</v>
      </c>
      <c r="C875" s="1" t="n">
        <f aca="false">1/B875</f>
        <v>0.0030016509079994</v>
      </c>
      <c r="D875" s="1" t="n">
        <v>1.513</v>
      </c>
      <c r="E875" s="1" t="n">
        <f aca="false">LN(D875)</f>
        <v>0.414094434806219</v>
      </c>
    </row>
    <row r="876" customFormat="false" ht="15.75" hidden="false" customHeight="false" outlineLevel="0" collapsed="false">
      <c r="A876" s="1" t="s">
        <v>564</v>
      </c>
      <c r="B876" s="1" t="n">
        <v>353.15</v>
      </c>
      <c r="C876" s="1" t="n">
        <f aca="false">1/B876</f>
        <v>0.00283165793572137</v>
      </c>
      <c r="D876" s="1" t="n">
        <v>1.07</v>
      </c>
      <c r="E876" s="1" t="n">
        <f aca="false">LN(D876)</f>
        <v>0.0676586484738149</v>
      </c>
    </row>
    <row r="877" customFormat="false" ht="15.75" hidden="false" customHeight="false" outlineLevel="0" collapsed="false">
      <c r="A877" s="1" t="s">
        <v>564</v>
      </c>
      <c r="B877" s="1" t="n">
        <v>363.15</v>
      </c>
      <c r="C877" s="1" t="n">
        <f aca="false">1/B877</f>
        <v>0.00275368305108082</v>
      </c>
      <c r="D877" s="1" t="n">
        <v>0.76</v>
      </c>
      <c r="E877" s="1" t="n">
        <f aca="false">LN(D877)</f>
        <v>-0.27443684570176</v>
      </c>
    </row>
    <row r="878" customFormat="false" ht="15.75" hidden="false" customHeight="false" outlineLevel="0" collapsed="false">
      <c r="A878" s="1" t="s">
        <v>564</v>
      </c>
      <c r="B878" s="1" t="n">
        <v>423.15</v>
      </c>
      <c r="C878" s="1" t="n">
        <f aca="false">1/B878</f>
        <v>0.00236322816967978</v>
      </c>
      <c r="D878" s="1" t="n">
        <v>0.546</v>
      </c>
      <c r="E878" s="1" t="n">
        <f aca="false">LN(D878)</f>
        <v>-0.605136303237232</v>
      </c>
    </row>
    <row r="879" customFormat="false" ht="15.75" hidden="false" customHeight="false" outlineLevel="0" collapsed="false">
      <c r="A879" s="1" t="s">
        <v>566</v>
      </c>
      <c r="B879" s="1" t="n">
        <v>290.45</v>
      </c>
      <c r="C879" s="1" t="n">
        <f aca="false">1/B879</f>
        <v>0.00344293337923911</v>
      </c>
      <c r="D879" s="1" t="n">
        <v>2.461</v>
      </c>
      <c r="E879" s="1" t="n">
        <f aca="false">LN(D879)</f>
        <v>0.900567771408919</v>
      </c>
    </row>
    <row r="880" customFormat="false" ht="15.75" hidden="false" customHeight="false" outlineLevel="0" collapsed="false">
      <c r="A880" s="1" t="s">
        <v>566</v>
      </c>
      <c r="B880" s="1" t="n">
        <v>322.85</v>
      </c>
      <c r="C880" s="1" t="n">
        <f aca="false">1/B880</f>
        <v>0.00309741365959424</v>
      </c>
      <c r="D880" s="1" t="n">
        <v>1.309</v>
      </c>
      <c r="E880" s="1" t="n">
        <f aca="false">LN(D880)</f>
        <v>0.269263486927763</v>
      </c>
    </row>
    <row r="881" customFormat="false" ht="15.75" hidden="false" customHeight="false" outlineLevel="0" collapsed="false">
      <c r="A881" s="1" t="s">
        <v>566</v>
      </c>
      <c r="B881" s="1" t="n">
        <v>372.85</v>
      </c>
      <c r="C881" s="1" t="n">
        <f aca="false">1/B881</f>
        <v>0.00268204371731259</v>
      </c>
      <c r="D881" s="1" t="n">
        <v>0.687</v>
      </c>
      <c r="E881" s="1" t="n">
        <f aca="false">LN(D881)</f>
        <v>-0.375420986759788</v>
      </c>
    </row>
    <row r="882" customFormat="false" ht="15.75" hidden="false" customHeight="false" outlineLevel="0" collapsed="false">
      <c r="A882" s="1" t="s">
        <v>566</v>
      </c>
      <c r="B882" s="1" t="n">
        <v>392.25</v>
      </c>
      <c r="C882" s="1" t="n">
        <f aca="false">1/B882</f>
        <v>0.00254939451880178</v>
      </c>
      <c r="D882" s="1" t="n">
        <v>0.5644</v>
      </c>
      <c r="E882" s="1" t="n">
        <f aca="false">LN(D882)</f>
        <v>-0.571992059003478</v>
      </c>
    </row>
    <row r="883" customFormat="false" ht="15.75" hidden="false" customHeight="false" outlineLevel="0" collapsed="false">
      <c r="A883" s="1" t="s">
        <v>566</v>
      </c>
      <c r="B883" s="1" t="n">
        <v>413.05</v>
      </c>
      <c r="C883" s="1" t="n">
        <f aca="false">1/B883</f>
        <v>0.00242101440503571</v>
      </c>
      <c r="D883" s="1" t="n">
        <v>0.4672</v>
      </c>
      <c r="E883" s="1" t="n">
        <f aca="false">LN(D883)</f>
        <v>-0.76099784746812</v>
      </c>
    </row>
    <row r="884" customFormat="false" ht="15.75" hidden="false" customHeight="false" outlineLevel="0" collapsed="false">
      <c r="A884" s="1" t="s">
        <v>566</v>
      </c>
      <c r="B884" s="1" t="n">
        <v>446.15</v>
      </c>
      <c r="C884" s="1" t="n">
        <f aca="false">1/B884</f>
        <v>0.00224139863274683</v>
      </c>
      <c r="D884" s="1" t="n">
        <v>0.3591</v>
      </c>
      <c r="E884" s="1" t="n">
        <f aca="false">LN(D884)</f>
        <v>-1.0241543777501</v>
      </c>
    </row>
    <row r="885" customFormat="false" ht="15.75" hidden="false" customHeight="false" outlineLevel="0" collapsed="false">
      <c r="A885" s="1" t="s">
        <v>566</v>
      </c>
      <c r="B885" s="1" t="n">
        <v>447.15</v>
      </c>
      <c r="C885" s="1" t="n">
        <f aca="false">1/B885</f>
        <v>0.00223638600022364</v>
      </c>
      <c r="D885" s="1" t="n">
        <v>0.357</v>
      </c>
      <c r="E885" s="1" t="n">
        <f aca="false">LN(D885)</f>
        <v>-1.0300194972025</v>
      </c>
    </row>
    <row r="886" customFormat="false" ht="15.75" hidden="false" customHeight="false" outlineLevel="0" collapsed="false">
      <c r="A886" s="1" t="s">
        <v>566</v>
      </c>
      <c r="B886" s="1" t="n">
        <v>456.15</v>
      </c>
      <c r="C886" s="1" t="n">
        <f aca="false">1/B886</f>
        <v>0.00219226131754905</v>
      </c>
      <c r="D886" s="1" t="n">
        <v>0.3296</v>
      </c>
      <c r="E886" s="1" t="n">
        <f aca="false">LN(D886)</f>
        <v>-1.10987548094682</v>
      </c>
    </row>
    <row r="887" customFormat="false" ht="15.75" hidden="false" customHeight="false" outlineLevel="0" collapsed="false">
      <c r="A887" s="1" t="s">
        <v>566</v>
      </c>
      <c r="B887" s="1" t="n">
        <v>352.95</v>
      </c>
      <c r="C887" s="1" t="n">
        <f aca="false">1/B887</f>
        <v>0.00283326250177079</v>
      </c>
      <c r="D887" s="1" t="n">
        <v>0.865</v>
      </c>
      <c r="E887" s="1" t="n">
        <f aca="false">LN(D887)</f>
        <v>-0.145025772050258</v>
      </c>
    </row>
    <row r="888" customFormat="false" ht="15.75" hidden="false" customHeight="false" outlineLevel="0" collapsed="false">
      <c r="A888" s="1" t="s">
        <v>566</v>
      </c>
      <c r="B888" s="1" t="n">
        <v>432.35</v>
      </c>
      <c r="C888" s="1" t="n">
        <f aca="false">1/B888</f>
        <v>0.00231294090435989</v>
      </c>
      <c r="D888" s="1" t="n">
        <v>0.3996</v>
      </c>
      <c r="E888" s="1" t="n">
        <f aca="false">LN(D888)</f>
        <v>-0.917291232207739</v>
      </c>
    </row>
    <row r="889" customFormat="false" ht="15.75" hidden="false" customHeight="false" outlineLevel="0" collapsed="false">
      <c r="A889" s="1" t="s">
        <v>566</v>
      </c>
      <c r="B889" s="1" t="n">
        <v>469.15</v>
      </c>
      <c r="C889" s="1" t="n">
        <f aca="false">1/B889</f>
        <v>0.00213151444101034</v>
      </c>
      <c r="D889" s="1" t="n">
        <v>0.3061</v>
      </c>
      <c r="E889" s="1" t="n">
        <f aca="false">LN(D889)</f>
        <v>-1.18384343303077</v>
      </c>
    </row>
    <row r="890" customFormat="false" ht="15.75" hidden="false" customHeight="false" outlineLevel="0" collapsed="false">
      <c r="A890" s="1" t="s">
        <v>1411</v>
      </c>
      <c r="B890" s="1" t="n">
        <v>293</v>
      </c>
      <c r="C890" s="1" t="n">
        <f aca="false">1/B890</f>
        <v>0.00341296928327645</v>
      </c>
      <c r="D890" s="1" t="n">
        <v>2.56</v>
      </c>
      <c r="E890" s="1" t="n">
        <f aca="false">LN(D890)</f>
        <v>0.940007258491471</v>
      </c>
    </row>
    <row r="891" customFormat="false" ht="15.75" hidden="false" customHeight="false" outlineLevel="0" collapsed="false">
      <c r="A891" s="1" t="s">
        <v>1411</v>
      </c>
      <c r="B891" s="1" t="n">
        <v>298</v>
      </c>
      <c r="C891" s="1" t="n">
        <f aca="false">1/B891</f>
        <v>0.00335570469798658</v>
      </c>
      <c r="D891" s="1" t="n">
        <v>2.263</v>
      </c>
      <c r="E891" s="1" t="n">
        <f aca="false">LN(D891)</f>
        <v>0.8166913666514</v>
      </c>
    </row>
    <row r="892" customFormat="false" ht="15.75" hidden="false" customHeight="false" outlineLevel="0" collapsed="false">
      <c r="A892" s="1" t="s">
        <v>1411</v>
      </c>
      <c r="B892" s="1" t="n">
        <v>303</v>
      </c>
      <c r="C892" s="1" t="n">
        <f aca="false">1/B892</f>
        <v>0.0033003300330033</v>
      </c>
      <c r="D892" s="1" t="n">
        <v>2.014</v>
      </c>
      <c r="E892" s="1" t="n">
        <f aca="false">LN(D892)</f>
        <v>0.70012279429637</v>
      </c>
    </row>
    <row r="893" customFormat="false" ht="15.75" hidden="false" customHeight="false" outlineLevel="0" collapsed="false">
      <c r="A893" s="1" t="s">
        <v>1411</v>
      </c>
      <c r="B893" s="1" t="n">
        <v>308</v>
      </c>
      <c r="C893" s="1" t="n">
        <f aca="false">1/B893</f>
        <v>0.00324675324675325</v>
      </c>
      <c r="D893" s="1" t="n">
        <v>1.799</v>
      </c>
      <c r="E893" s="1" t="n">
        <f aca="false">LN(D893)</f>
        <v>0.587230954968396</v>
      </c>
    </row>
    <row r="894" customFormat="false" ht="15.75" hidden="false" customHeight="false" outlineLevel="0" collapsed="false">
      <c r="A894" s="1" t="s">
        <v>1411</v>
      </c>
      <c r="B894" s="1" t="n">
        <v>313</v>
      </c>
      <c r="C894" s="1" t="n">
        <f aca="false">1/B894</f>
        <v>0.00319488817891374</v>
      </c>
      <c r="D894" s="1" t="n">
        <v>1.614</v>
      </c>
      <c r="E894" s="1" t="n">
        <f aca="false">LN(D894)</f>
        <v>0.478715569847757</v>
      </c>
    </row>
    <row r="895" customFormat="false" ht="15.75" hidden="false" customHeight="false" outlineLevel="0" collapsed="false">
      <c r="A895" s="1" t="s">
        <v>1411</v>
      </c>
      <c r="B895" s="1" t="n">
        <v>318</v>
      </c>
      <c r="C895" s="1" t="n">
        <f aca="false">1/B895</f>
        <v>0.00314465408805031</v>
      </c>
      <c r="D895" s="1" t="n">
        <v>1.45</v>
      </c>
      <c r="E895" s="1" t="n">
        <f aca="false">LN(D895)</f>
        <v>0.371563556432483</v>
      </c>
    </row>
    <row r="896" customFormat="false" ht="15.75" hidden="false" customHeight="false" outlineLevel="0" collapsed="false">
      <c r="A896" s="1" t="s">
        <v>1411</v>
      </c>
      <c r="B896" s="1" t="n">
        <v>323</v>
      </c>
      <c r="C896" s="1" t="n">
        <f aca="false">1/B896</f>
        <v>0.00309597523219814</v>
      </c>
      <c r="D896" s="1" t="n">
        <v>1.365</v>
      </c>
      <c r="E896" s="1" t="n">
        <f aca="false">LN(D896)</f>
        <v>0.311154428636923</v>
      </c>
    </row>
    <row r="897" customFormat="false" ht="15.75" hidden="false" customHeight="false" outlineLevel="0" collapsed="false">
      <c r="A897" s="1" t="s">
        <v>1412</v>
      </c>
      <c r="B897" s="1" t="n">
        <v>290.442</v>
      </c>
      <c r="C897" s="1" t="n">
        <f aca="false">1/B897</f>
        <v>0.00344302821217317</v>
      </c>
      <c r="D897" s="1" t="n">
        <v>3.846</v>
      </c>
      <c r="E897" s="1" t="n">
        <f aca="false">LN(D897)</f>
        <v>1.34703364716659</v>
      </c>
    </row>
    <row r="898" customFormat="false" ht="15.75" hidden="false" customHeight="false" outlineLevel="0" collapsed="false">
      <c r="A898" s="1" t="s">
        <v>1412</v>
      </c>
      <c r="B898" s="1" t="n">
        <v>319.15</v>
      </c>
      <c r="C898" s="1" t="n">
        <f aca="false">1/B898</f>
        <v>0.0031333228889237</v>
      </c>
      <c r="D898" s="1" t="n">
        <v>1.939</v>
      </c>
      <c r="E898" s="1" t="n">
        <f aca="false">LN(D898)</f>
        <v>0.662172376260515</v>
      </c>
    </row>
    <row r="899" customFormat="false" ht="15.75" hidden="false" customHeight="false" outlineLevel="0" collapsed="false">
      <c r="A899" s="1" t="s">
        <v>1412</v>
      </c>
      <c r="B899" s="1" t="n">
        <v>334.05</v>
      </c>
      <c r="C899" s="1" t="n">
        <f aca="false">1/B899</f>
        <v>0.00299356383774884</v>
      </c>
      <c r="D899" s="1" t="n">
        <v>1.514</v>
      </c>
      <c r="E899" s="1" t="n">
        <f aca="false">LN(D899)</f>
        <v>0.414755155015257</v>
      </c>
    </row>
    <row r="900" customFormat="false" ht="15.75" hidden="false" customHeight="false" outlineLevel="0" collapsed="false">
      <c r="A900" s="1" t="s">
        <v>1412</v>
      </c>
      <c r="B900" s="1" t="n">
        <v>348.25</v>
      </c>
      <c r="C900" s="1" t="n">
        <f aca="false">1/B900</f>
        <v>0.00287150035893754</v>
      </c>
      <c r="D900" s="1" t="n">
        <v>1.233</v>
      </c>
      <c r="E900" s="1" t="n">
        <f aca="false">LN(D900)</f>
        <v>0.209450224182207</v>
      </c>
    </row>
    <row r="901" customFormat="false" ht="15.75" hidden="false" customHeight="false" outlineLevel="0" collapsed="false">
      <c r="A901" s="1" t="s">
        <v>1412</v>
      </c>
      <c r="B901" s="1" t="n">
        <v>393.65</v>
      </c>
      <c r="C901" s="1" t="n">
        <f aca="false">1/B901</f>
        <v>0.00254032770227359</v>
      </c>
      <c r="D901" s="1" t="n">
        <v>0.7195</v>
      </c>
      <c r="E901" s="1" t="n">
        <f aca="false">LN(D901)</f>
        <v>-0.329198752654714</v>
      </c>
    </row>
    <row r="902" customFormat="false" ht="15.75" hidden="false" customHeight="false" outlineLevel="0" collapsed="false">
      <c r="A902" s="1" t="s">
        <v>1412</v>
      </c>
      <c r="B902" s="1" t="n">
        <v>422.55</v>
      </c>
      <c r="C902" s="1" t="n">
        <f aca="false">1/B902</f>
        <v>0.0023665838362324</v>
      </c>
      <c r="D902" s="1" t="n">
        <v>0.5432</v>
      </c>
      <c r="E902" s="1" t="n">
        <f aca="false">LN(D902)</f>
        <v>-0.610277702737651</v>
      </c>
    </row>
    <row r="903" customFormat="false" ht="15.75" hidden="false" customHeight="false" outlineLevel="0" collapsed="false">
      <c r="A903" s="1" t="s">
        <v>1412</v>
      </c>
      <c r="B903" s="1" t="n">
        <v>441.55</v>
      </c>
      <c r="C903" s="1" t="n">
        <f aca="false">1/B903</f>
        <v>0.00226474917902842</v>
      </c>
      <c r="D903" s="1" t="n">
        <v>0.4645</v>
      </c>
      <c r="E903" s="1" t="n">
        <f aca="false">LN(D903)</f>
        <v>-0.766793720728244</v>
      </c>
    </row>
    <row r="904" customFormat="false" ht="15.75" hidden="false" customHeight="false" outlineLevel="0" collapsed="false">
      <c r="A904" s="1" t="s">
        <v>1412</v>
      </c>
      <c r="B904" s="1" t="n">
        <v>462.35</v>
      </c>
      <c r="C904" s="1" t="n">
        <f aca="false">1/B904</f>
        <v>0.00216286363144804</v>
      </c>
      <c r="D904" s="1" t="n">
        <v>0.3957</v>
      </c>
      <c r="E904" s="1" t="n">
        <f aca="false">LN(D904)</f>
        <v>-0.927098930590758</v>
      </c>
    </row>
    <row r="905" customFormat="false" ht="15.75" hidden="false" customHeight="false" outlineLevel="0" collapsed="false">
      <c r="A905" s="1" t="s">
        <v>1412</v>
      </c>
      <c r="B905" s="1" t="n">
        <v>483.15</v>
      </c>
      <c r="C905" s="1" t="n">
        <f aca="false">1/B905</f>
        <v>0.0020697505950533</v>
      </c>
      <c r="D905" s="1" t="n">
        <v>0.34</v>
      </c>
      <c r="E905" s="1" t="n">
        <f aca="false">LN(D905)</f>
        <v>-1.07880966137193</v>
      </c>
    </row>
    <row r="906" customFormat="false" ht="15.75" hidden="false" customHeight="false" outlineLevel="0" collapsed="false">
      <c r="A906" s="1" t="s">
        <v>1412</v>
      </c>
      <c r="B906" s="1" t="n">
        <v>298</v>
      </c>
      <c r="C906" s="1" t="n">
        <f aca="false">1/B906</f>
        <v>0.00335570469798658</v>
      </c>
      <c r="D906" s="1" t="n">
        <v>3.4</v>
      </c>
      <c r="E906" s="1" t="n">
        <f aca="false">LN(D906)</f>
        <v>1.22377543162212</v>
      </c>
    </row>
    <row r="907" customFormat="false" ht="15.75" hidden="false" customHeight="false" outlineLevel="0" collapsed="false">
      <c r="A907" s="1" t="s">
        <v>1412</v>
      </c>
      <c r="B907" s="1" t="n">
        <v>303</v>
      </c>
      <c r="C907" s="1" t="n">
        <f aca="false">1/B907</f>
        <v>0.0033003300330033</v>
      </c>
      <c r="D907" s="1" t="n">
        <v>2.931</v>
      </c>
      <c r="E907" s="1" t="n">
        <f aca="false">LN(D907)</f>
        <v>1.07534366172876</v>
      </c>
    </row>
    <row r="908" customFormat="false" ht="15.75" hidden="false" customHeight="false" outlineLevel="0" collapsed="false">
      <c r="A908" s="1" t="s">
        <v>1412</v>
      </c>
      <c r="B908" s="1" t="n">
        <v>308</v>
      </c>
      <c r="C908" s="1" t="n">
        <f aca="false">1/B908</f>
        <v>0.00324675324675325</v>
      </c>
      <c r="D908" s="1" t="n">
        <v>2.626</v>
      </c>
      <c r="E908" s="1" t="n">
        <f aca="false">LN(D908)</f>
        <v>0.965461775880604</v>
      </c>
    </row>
    <row r="909" customFormat="false" ht="15.75" hidden="false" customHeight="false" outlineLevel="0" collapsed="false">
      <c r="A909" s="1" t="s">
        <v>1412</v>
      </c>
      <c r="B909" s="1" t="n">
        <v>313</v>
      </c>
      <c r="C909" s="1" t="n">
        <f aca="false">1/B909</f>
        <v>0.00319488817891374</v>
      </c>
      <c r="D909" s="1" t="n">
        <v>2.368</v>
      </c>
      <c r="E909" s="1" t="n">
        <f aca="false">LN(D909)</f>
        <v>0.862045717021759</v>
      </c>
    </row>
    <row r="910" customFormat="false" ht="15.75" hidden="false" customHeight="false" outlineLevel="0" collapsed="false">
      <c r="A910" s="1" t="s">
        <v>1412</v>
      </c>
      <c r="B910" s="1" t="n">
        <v>318</v>
      </c>
      <c r="C910" s="1" t="n">
        <f aca="false">1/B910</f>
        <v>0.00314465408805031</v>
      </c>
      <c r="D910" s="1" t="n">
        <v>2.15</v>
      </c>
      <c r="E910" s="1" t="n">
        <f aca="false">LN(D910)</f>
        <v>0.765467842139571</v>
      </c>
    </row>
    <row r="911" customFormat="false" ht="15.75" hidden="false" customHeight="false" outlineLevel="0" collapsed="false">
      <c r="A911" s="1" t="s">
        <v>1412</v>
      </c>
      <c r="B911" s="1" t="n">
        <v>364.05</v>
      </c>
      <c r="C911" s="1" t="n">
        <f aca="false">1/B911</f>
        <v>0.00274687542919929</v>
      </c>
      <c r="D911" s="1" t="n">
        <v>1.007</v>
      </c>
      <c r="E911" s="1" t="n">
        <f aca="false">LN(D911)</f>
        <v>0.00697561373642514</v>
      </c>
    </row>
    <row r="912" customFormat="false" ht="15.75" hidden="false" customHeight="false" outlineLevel="0" collapsed="false">
      <c r="A912" s="1" t="s">
        <v>568</v>
      </c>
      <c r="B912" s="1" t="n">
        <v>273.424</v>
      </c>
      <c r="C912" s="1" t="n">
        <f aca="false">1/B912</f>
        <v>0.00365732342442507</v>
      </c>
      <c r="D912" s="1" t="n">
        <v>0.4</v>
      </c>
      <c r="E912" s="1" t="n">
        <f aca="false">LN(D912)</f>
        <v>-0.916290731874155</v>
      </c>
    </row>
    <row r="913" customFormat="false" ht="15.75" hidden="false" customHeight="false" outlineLevel="0" collapsed="false">
      <c r="A913" s="1" t="s">
        <v>568</v>
      </c>
      <c r="B913" s="1" t="n">
        <v>279.83</v>
      </c>
      <c r="C913" s="1" t="n">
        <f aca="false">1/B913</f>
        <v>0.00357359825608405</v>
      </c>
      <c r="D913" s="1" t="n">
        <v>0.3714</v>
      </c>
      <c r="E913" s="1" t="n">
        <f aca="false">LN(D913)</f>
        <v>-0.990475630063532</v>
      </c>
    </row>
    <row r="914" customFormat="false" ht="15.75" hidden="false" customHeight="false" outlineLevel="0" collapsed="false">
      <c r="A914" s="1" t="s">
        <v>568</v>
      </c>
      <c r="B914" s="1" t="n">
        <v>284.17</v>
      </c>
      <c r="C914" s="1" t="n">
        <f aca="false">1/B914</f>
        <v>0.00351902030474716</v>
      </c>
      <c r="D914" s="1" t="n">
        <v>0.354</v>
      </c>
      <c r="E914" s="1" t="n">
        <f aca="false">LN(D914)</f>
        <v>-1.03845836584836</v>
      </c>
    </row>
    <row r="915" customFormat="false" ht="15.75" hidden="false" customHeight="false" outlineLevel="0" collapsed="false">
      <c r="A915" s="1" t="s">
        <v>568</v>
      </c>
      <c r="B915" s="1" t="n">
        <v>289.62</v>
      </c>
      <c r="C915" s="1" t="n">
        <f aca="false">1/B915</f>
        <v>0.00345280022097921</v>
      </c>
      <c r="D915" s="1" t="n">
        <v>0.3341</v>
      </c>
      <c r="E915" s="1" t="n">
        <f aca="false">LN(D915)</f>
        <v>-1.09631492961943</v>
      </c>
    </row>
    <row r="916" customFormat="false" ht="15.75" hidden="false" customHeight="false" outlineLevel="0" collapsed="false">
      <c r="A916" s="1" t="s">
        <v>568</v>
      </c>
      <c r="B916" s="1" t="n">
        <v>295.65</v>
      </c>
      <c r="C916" s="1" t="n">
        <f aca="false">1/B916</f>
        <v>0.00338237781160156</v>
      </c>
      <c r="D916" s="1" t="n">
        <v>0.3137</v>
      </c>
      <c r="E916" s="1" t="n">
        <f aca="false">LN(D916)</f>
        <v>-1.1593181637855</v>
      </c>
    </row>
    <row r="917" customFormat="false" ht="15.75" hidden="false" customHeight="false" outlineLevel="0" collapsed="false">
      <c r="A917" s="1" t="s">
        <v>568</v>
      </c>
      <c r="B917" s="1" t="n">
        <v>301.37</v>
      </c>
      <c r="C917" s="1" t="n">
        <f aca="false">1/B917</f>
        <v>0.00331818030991804</v>
      </c>
      <c r="D917" s="1" t="n">
        <v>0.2962</v>
      </c>
      <c r="E917" s="1" t="n">
        <f aca="false">LN(D917)</f>
        <v>-1.21672037714844</v>
      </c>
    </row>
    <row r="918" customFormat="false" ht="15.75" hidden="false" customHeight="false" outlineLevel="0" collapsed="false">
      <c r="A918" s="1" t="s">
        <v>568</v>
      </c>
      <c r="B918" s="1" t="n">
        <v>306.17</v>
      </c>
      <c r="C918" s="1" t="n">
        <f aca="false">1/B918</f>
        <v>0.00326615932325179</v>
      </c>
      <c r="D918" s="1" t="n">
        <v>0.2829</v>
      </c>
      <c r="E918" s="1" t="n">
        <f aca="false">LN(D918)</f>
        <v>-1.26266180067462</v>
      </c>
    </row>
    <row r="919" customFormat="false" ht="15.75" hidden="false" customHeight="false" outlineLevel="0" collapsed="false">
      <c r="A919" s="1" t="s">
        <v>568</v>
      </c>
      <c r="B919" s="1" t="n">
        <v>288.154</v>
      </c>
      <c r="C919" s="1" t="n">
        <f aca="false">1/B919</f>
        <v>0.00347036654011397</v>
      </c>
      <c r="D919" s="1" t="n">
        <v>0.335</v>
      </c>
      <c r="E919" s="1" t="n">
        <f aca="false">LN(D919)</f>
        <v>-1.09362474715707</v>
      </c>
    </row>
    <row r="920" customFormat="false" ht="15.75" hidden="false" customHeight="false" outlineLevel="0" collapsed="false">
      <c r="A920" s="1" t="s">
        <v>568</v>
      </c>
      <c r="B920" s="1" t="n">
        <v>303.15</v>
      </c>
      <c r="C920" s="1" t="n">
        <f aca="false">1/B920</f>
        <v>0.0032986970146792</v>
      </c>
      <c r="D920" s="1" t="n">
        <v>0.286</v>
      </c>
      <c r="E920" s="1" t="n">
        <f aca="false">LN(D920)</f>
        <v>-1.25176346816228</v>
      </c>
    </row>
    <row r="921" customFormat="false" ht="15.75" hidden="false" customHeight="false" outlineLevel="0" collapsed="false">
      <c r="A921" s="1" t="s">
        <v>570</v>
      </c>
      <c r="B921" s="1" t="n">
        <v>308.551</v>
      </c>
      <c r="C921" s="1" t="n">
        <f aca="false">1/B921</f>
        <v>0.0032409553039854</v>
      </c>
      <c r="D921" s="1" t="n">
        <v>0.8564</v>
      </c>
      <c r="E921" s="1" t="n">
        <f aca="false">LN(D921)</f>
        <v>-0.155017722266609</v>
      </c>
    </row>
    <row r="922" customFormat="false" ht="15.75" hidden="false" customHeight="false" outlineLevel="0" collapsed="false">
      <c r="A922" s="1" t="s">
        <v>570</v>
      </c>
      <c r="B922" s="1" t="n">
        <v>330.25</v>
      </c>
      <c r="C922" s="1" t="n">
        <f aca="false">1/B922</f>
        <v>0.00302800908402725</v>
      </c>
      <c r="D922" s="1" t="n">
        <v>0.6597</v>
      </c>
      <c r="E922" s="1" t="n">
        <f aca="false">LN(D922)</f>
        <v>-0.415970092753312</v>
      </c>
    </row>
    <row r="923" customFormat="false" ht="15.75" hidden="false" customHeight="false" outlineLevel="0" collapsed="false">
      <c r="A923" s="1" t="s">
        <v>570</v>
      </c>
      <c r="B923" s="1" t="n">
        <v>348.85</v>
      </c>
      <c r="C923" s="1" t="n">
        <f aca="false">1/B923</f>
        <v>0.00286656155940949</v>
      </c>
      <c r="D923" s="1" t="n">
        <v>0.5465</v>
      </c>
      <c r="E923" s="1" t="n">
        <f aca="false">LN(D923)</f>
        <v>-0.604220971365544</v>
      </c>
    </row>
    <row r="924" customFormat="false" ht="15.75" hidden="false" customHeight="false" outlineLevel="0" collapsed="false">
      <c r="A924" s="1" t="s">
        <v>570</v>
      </c>
      <c r="B924" s="1" t="n">
        <v>368.05</v>
      </c>
      <c r="C924" s="1" t="n">
        <f aca="false">1/B924</f>
        <v>0.00271702214373047</v>
      </c>
      <c r="D924" s="1" t="n">
        <v>0.4567</v>
      </c>
      <c r="E924" s="1" t="n">
        <f aca="false">LN(D924)</f>
        <v>-0.783728558791184</v>
      </c>
    </row>
    <row r="925" customFormat="false" ht="15.75" hidden="false" customHeight="false" outlineLevel="0" collapsed="false">
      <c r="A925" s="1" t="s">
        <v>570</v>
      </c>
      <c r="B925" s="1" t="n">
        <v>387.45</v>
      </c>
      <c r="C925" s="1" t="n">
        <f aca="false">1/B925</f>
        <v>0.00258097819073429</v>
      </c>
      <c r="D925" s="1" t="n">
        <v>0.3912</v>
      </c>
      <c r="E925" s="1" t="n">
        <f aca="false">LN(D925)</f>
        <v>-0.938536340821475</v>
      </c>
    </row>
    <row r="926" customFormat="false" ht="15.75" hidden="false" customHeight="false" outlineLevel="0" collapsed="false">
      <c r="A926" s="1" t="s">
        <v>570</v>
      </c>
      <c r="B926" s="1" t="n">
        <v>393.15</v>
      </c>
      <c r="C926" s="1" t="n">
        <f aca="false">1/B926</f>
        <v>0.00254355843825512</v>
      </c>
      <c r="D926" s="1" t="n">
        <v>0.3743</v>
      </c>
      <c r="E926" s="1" t="n">
        <f aca="false">LN(D926)</f>
        <v>-0.982697664071754</v>
      </c>
    </row>
    <row r="927" customFormat="false" ht="15.75" hidden="false" customHeight="false" outlineLevel="0" collapsed="false">
      <c r="A927" s="1" t="s">
        <v>570</v>
      </c>
      <c r="B927" s="1" t="n">
        <v>398.15</v>
      </c>
      <c r="C927" s="1" t="n">
        <f aca="false">1/B927</f>
        <v>0.00251161622504081</v>
      </c>
      <c r="D927" s="1" t="n">
        <v>0.3606</v>
      </c>
      <c r="E927" s="1" t="n">
        <f aca="false">LN(D927)</f>
        <v>-1.01998596821292</v>
      </c>
    </row>
    <row r="928" customFormat="false" ht="15.75" hidden="false" customHeight="false" outlineLevel="0" collapsed="false">
      <c r="A928" s="1" t="s">
        <v>570</v>
      </c>
      <c r="B928" s="1" t="n">
        <v>408.15</v>
      </c>
      <c r="C928" s="1" t="n">
        <f aca="false">1/B928</f>
        <v>0.0024500796275879</v>
      </c>
      <c r="D928" s="1" t="n">
        <v>0.3348</v>
      </c>
      <c r="E928" s="1" t="n">
        <f aca="false">LN(D928)</f>
        <v>-1.09422194036682</v>
      </c>
    </row>
    <row r="929" customFormat="false" ht="15.75" hidden="false" customHeight="false" outlineLevel="0" collapsed="false">
      <c r="A929" s="1" t="s">
        <v>570</v>
      </c>
      <c r="B929" s="1" t="n">
        <v>419.05</v>
      </c>
      <c r="C929" s="1" t="n">
        <f aca="false">1/B929</f>
        <v>0.00238635007755638</v>
      </c>
      <c r="D929" s="1" t="n">
        <v>0.3114</v>
      </c>
      <c r="E929" s="1" t="n">
        <f aca="false">LN(D929)</f>
        <v>-1.16667701958224</v>
      </c>
    </row>
    <row r="930" customFormat="false" ht="15.75" hidden="false" customHeight="false" outlineLevel="0" collapsed="false">
      <c r="A930" s="1" t="s">
        <v>570</v>
      </c>
      <c r="B930" s="1" t="n">
        <v>426.25</v>
      </c>
      <c r="C930" s="1" t="n">
        <f aca="false">1/B930</f>
        <v>0.00234604105571848</v>
      </c>
      <c r="D930" s="1" t="n">
        <v>0.297</v>
      </c>
      <c r="E930" s="1" t="n">
        <f aca="false">LN(D930)</f>
        <v>-1.21402314017944</v>
      </c>
    </row>
    <row r="931" customFormat="false" ht="15.75" hidden="false" customHeight="false" outlineLevel="0" collapsed="false">
      <c r="A931" s="1" t="s">
        <v>570</v>
      </c>
      <c r="B931" s="1" t="n">
        <v>432.15</v>
      </c>
      <c r="C931" s="1" t="n">
        <f aca="false">1/B931</f>
        <v>0.00231401133865556</v>
      </c>
      <c r="D931" s="1" t="n">
        <v>0.2861</v>
      </c>
      <c r="E931" s="1" t="n">
        <f aca="false">LN(D931)</f>
        <v>-1.25141387892607</v>
      </c>
    </row>
    <row r="932" customFormat="false" ht="15.75" hidden="false" customHeight="false" outlineLevel="0" collapsed="false">
      <c r="A932" s="1" t="s">
        <v>570</v>
      </c>
      <c r="B932" s="1" t="n">
        <v>273.1539</v>
      </c>
      <c r="C932" s="1" t="n">
        <f aca="false">1/B932</f>
        <v>0.0036609398584461</v>
      </c>
      <c r="D932" s="1" t="n">
        <v>1.4029</v>
      </c>
      <c r="E932" s="1" t="n">
        <f aca="false">LN(D932)</f>
        <v>0.33854152274259</v>
      </c>
    </row>
    <row r="933" customFormat="false" ht="15.75" hidden="false" customHeight="false" outlineLevel="0" collapsed="false">
      <c r="A933" s="1" t="s">
        <v>570</v>
      </c>
      <c r="B933" s="1" t="n">
        <v>283.15</v>
      </c>
      <c r="C933" s="1" t="n">
        <f aca="false">1/B933</f>
        <v>0.00353169698039908</v>
      </c>
      <c r="D933" s="1" t="n">
        <v>1.1885</v>
      </c>
      <c r="E933" s="1" t="n">
        <f aca="false">LN(D933)</f>
        <v>0.172692007818111</v>
      </c>
    </row>
    <row r="934" customFormat="false" ht="15.75" hidden="false" customHeight="false" outlineLevel="0" collapsed="false">
      <c r="A934" s="1" t="s">
        <v>570</v>
      </c>
      <c r="B934" s="1" t="n">
        <v>293.15</v>
      </c>
      <c r="C934" s="1" t="n">
        <f aca="false">1/B934</f>
        <v>0.00341122292341805</v>
      </c>
      <c r="D934" s="1" t="n">
        <v>1.0225</v>
      </c>
      <c r="E934" s="1" t="n">
        <f aca="false">LN(D934)</f>
        <v>0.0222506089348197</v>
      </c>
    </row>
    <row r="935" customFormat="false" ht="15.75" hidden="false" customHeight="false" outlineLevel="0" collapsed="false">
      <c r="A935" s="1" t="s">
        <v>570</v>
      </c>
      <c r="B935" s="1" t="n">
        <v>303.15</v>
      </c>
      <c r="C935" s="1" t="n">
        <f aca="false">1/B935</f>
        <v>0.0032986970146792</v>
      </c>
      <c r="D935" s="1" t="n">
        <v>0.8928</v>
      </c>
      <c r="E935" s="1" t="n">
        <f aca="false">LN(D935)</f>
        <v>-0.113392687355091</v>
      </c>
    </row>
    <row r="936" customFormat="false" ht="15.75" hidden="false" customHeight="false" outlineLevel="0" collapsed="false">
      <c r="A936" s="1" t="s">
        <v>570</v>
      </c>
      <c r="B936" s="1" t="n">
        <v>313.15</v>
      </c>
      <c r="C936" s="1" t="n">
        <f aca="false">1/B936</f>
        <v>0.00319335781574325</v>
      </c>
      <c r="D936" s="1" t="n">
        <v>0.7893</v>
      </c>
      <c r="E936" s="1" t="n">
        <f aca="false">LN(D936)</f>
        <v>-0.23660880226778</v>
      </c>
    </row>
    <row r="937" customFormat="false" ht="15.75" hidden="false" customHeight="false" outlineLevel="0" collapsed="false">
      <c r="A937" s="1" t="s">
        <v>570</v>
      </c>
      <c r="B937" s="1" t="n">
        <v>333.15</v>
      </c>
      <c r="C937" s="1" t="n">
        <f aca="false">1/B937</f>
        <v>0.0030016509079994</v>
      </c>
      <c r="D937" s="1" t="n">
        <v>0.6338</v>
      </c>
      <c r="E937" s="1" t="n">
        <f aca="false">LN(D937)</f>
        <v>-0.456021831725317</v>
      </c>
    </row>
    <row r="938" customFormat="false" ht="15.75" hidden="false" customHeight="false" outlineLevel="0" collapsed="false">
      <c r="A938" s="1" t="s">
        <v>570</v>
      </c>
      <c r="B938" s="1" t="n">
        <v>353.15</v>
      </c>
      <c r="C938" s="1" t="n">
        <f aca="false">1/B938</f>
        <v>0.00283165793572137</v>
      </c>
      <c r="D938" s="1" t="n">
        <v>0.5222</v>
      </c>
      <c r="E938" s="1" t="n">
        <f aca="false">LN(D938)</f>
        <v>-0.649704622717109</v>
      </c>
    </row>
    <row r="939" customFormat="false" ht="15.75" hidden="false" customHeight="false" outlineLevel="0" collapsed="false">
      <c r="A939" s="1" t="s">
        <v>570</v>
      </c>
      <c r="B939" s="1" t="n">
        <v>373.15</v>
      </c>
      <c r="C939" s="1" t="n">
        <f aca="false">1/B939</f>
        <v>0.00267988744472732</v>
      </c>
      <c r="D939" s="1" t="n">
        <v>0.4388</v>
      </c>
      <c r="E939" s="1" t="n">
        <f aca="false">LN(D939)</f>
        <v>-0.823711550581062</v>
      </c>
    </row>
    <row r="940" customFormat="false" ht="15.75" hidden="false" customHeight="false" outlineLevel="0" collapsed="false">
      <c r="A940" s="1" t="s">
        <v>1413</v>
      </c>
      <c r="B940" s="1" t="n">
        <v>303.15</v>
      </c>
      <c r="C940" s="1" t="n">
        <f aca="false">1/B940</f>
        <v>0.0032986970146792</v>
      </c>
      <c r="D940" s="1" t="n">
        <v>1.816</v>
      </c>
      <c r="E940" s="1" t="n">
        <f aca="false">LN(D940)</f>
        <v>0.596636280179102</v>
      </c>
    </row>
    <row r="941" customFormat="false" ht="15.75" hidden="false" customHeight="false" outlineLevel="0" collapsed="false">
      <c r="A941" s="1" t="s">
        <v>1413</v>
      </c>
      <c r="B941" s="1" t="n">
        <v>313.15</v>
      </c>
      <c r="C941" s="1" t="n">
        <f aca="false">1/B941</f>
        <v>0.00319335781574325</v>
      </c>
      <c r="D941" s="1" t="n">
        <v>1.528</v>
      </c>
      <c r="E941" s="1" t="n">
        <f aca="false">LN(D941)</f>
        <v>0.423959690744329</v>
      </c>
    </row>
    <row r="942" customFormat="false" ht="15.75" hidden="false" customHeight="false" outlineLevel="0" collapsed="false">
      <c r="A942" s="1" t="s">
        <v>1413</v>
      </c>
      <c r="B942" s="1" t="n">
        <v>323.15</v>
      </c>
      <c r="C942" s="1" t="n">
        <f aca="false">1/B942</f>
        <v>0.00309453814018258</v>
      </c>
      <c r="D942" s="1" t="n">
        <v>1.306</v>
      </c>
      <c r="E942" s="1" t="n">
        <f aca="false">LN(D942)</f>
        <v>0.266969030854239</v>
      </c>
    </row>
    <row r="943" customFormat="false" ht="15.75" hidden="false" customHeight="false" outlineLevel="0" collapsed="false">
      <c r="A943" s="1" t="s">
        <v>1413</v>
      </c>
      <c r="B943" s="1" t="n">
        <v>348.15</v>
      </c>
      <c r="C943" s="1" t="n">
        <f aca="false">1/B943</f>
        <v>0.00287232514720666</v>
      </c>
      <c r="D943" s="1" t="n">
        <v>0.946</v>
      </c>
      <c r="E943" s="1" t="n">
        <f aca="false">LN(D943)</f>
        <v>-0.0555127099302588</v>
      </c>
    </row>
    <row r="944" customFormat="false" ht="15.75" hidden="false" customHeight="false" outlineLevel="0" collapsed="false">
      <c r="A944" s="1" t="s">
        <v>1413</v>
      </c>
      <c r="B944" s="1" t="n">
        <v>373.15</v>
      </c>
      <c r="C944" s="1" t="n">
        <f aca="false">1/B944</f>
        <v>0.00267988744472732</v>
      </c>
      <c r="D944" s="1" t="n">
        <v>0.722</v>
      </c>
      <c r="E944" s="1" t="n">
        <f aca="false">LN(D944)</f>
        <v>-0.325730140089311</v>
      </c>
    </row>
    <row r="945" customFormat="false" ht="15.75" hidden="false" customHeight="false" outlineLevel="0" collapsed="false">
      <c r="A945" s="1" t="s">
        <v>1413</v>
      </c>
      <c r="B945" s="1" t="n">
        <v>398.15</v>
      </c>
      <c r="C945" s="1" t="n">
        <f aca="false">1/B945</f>
        <v>0.00251161622504081</v>
      </c>
      <c r="D945" s="1" t="n">
        <v>0.574</v>
      </c>
      <c r="E945" s="1" t="n">
        <f aca="false">LN(D945)</f>
        <v>-0.555125882662571</v>
      </c>
    </row>
    <row r="946" customFormat="false" ht="15.75" hidden="false" customHeight="false" outlineLevel="0" collapsed="false">
      <c r="A946" s="1" t="s">
        <v>572</v>
      </c>
      <c r="B946" s="1" t="n">
        <v>273.21</v>
      </c>
      <c r="C946" s="1" t="n">
        <f aca="false">1/B946</f>
        <v>0.00366018813367007</v>
      </c>
      <c r="D946" s="1" t="n">
        <v>16.5071</v>
      </c>
      <c r="E946" s="1" t="n">
        <f aca="false">LN(D946)</f>
        <v>2.80379059138304</v>
      </c>
    </row>
    <row r="947" customFormat="false" ht="15.75" hidden="false" customHeight="false" outlineLevel="0" collapsed="false">
      <c r="A947" s="1" t="s">
        <v>572</v>
      </c>
      <c r="B947" s="1" t="n">
        <v>283.15</v>
      </c>
      <c r="C947" s="1" t="n">
        <f aca="false">1/B947</f>
        <v>0.00353169698039908</v>
      </c>
      <c r="D947" s="1" t="n">
        <v>9.4518</v>
      </c>
      <c r="E947" s="1" t="n">
        <f aca="false">LN(D947)</f>
        <v>2.24620519955784</v>
      </c>
    </row>
    <row r="948" customFormat="false" ht="15.75" hidden="false" customHeight="false" outlineLevel="0" collapsed="false">
      <c r="A948" s="1" t="s">
        <v>572</v>
      </c>
      <c r="B948" s="1" t="n">
        <v>293.15</v>
      </c>
      <c r="C948" s="1" t="n">
        <f aca="false">1/B948</f>
        <v>0.00341122292341805</v>
      </c>
      <c r="D948" s="1" t="n">
        <v>6.079</v>
      </c>
      <c r="E948" s="1" t="n">
        <f aca="false">LN(D948)</f>
        <v>1.80484020876659</v>
      </c>
    </row>
    <row r="949" customFormat="false" ht="15.75" hidden="false" customHeight="false" outlineLevel="0" collapsed="false">
      <c r="A949" s="1" t="s">
        <v>572</v>
      </c>
      <c r="B949" s="1" t="n">
        <v>303.15</v>
      </c>
      <c r="C949" s="1" t="n">
        <f aca="false">1/B949</f>
        <v>0.0032986970146792</v>
      </c>
      <c r="D949" s="1" t="n">
        <v>4.2212</v>
      </c>
      <c r="E949" s="1" t="n">
        <f aca="false">LN(D949)</f>
        <v>1.4401194478148</v>
      </c>
    </row>
    <row r="950" customFormat="false" ht="15.75" hidden="false" customHeight="false" outlineLevel="0" collapsed="false">
      <c r="A950" s="1" t="s">
        <v>572</v>
      </c>
      <c r="B950" s="1" t="n">
        <v>313.15</v>
      </c>
      <c r="C950" s="1" t="n">
        <f aca="false">1/B950</f>
        <v>0.00319335781574325</v>
      </c>
      <c r="D950" s="1" t="n">
        <v>3.123</v>
      </c>
      <c r="E950" s="1" t="n">
        <f aca="false">LN(D950)</f>
        <v>1.13879407830094</v>
      </c>
    </row>
    <row r="951" customFormat="false" ht="15.75" hidden="false" customHeight="false" outlineLevel="0" collapsed="false">
      <c r="A951" s="1" t="s">
        <v>572</v>
      </c>
      <c r="B951" s="1" t="n">
        <v>333.15</v>
      </c>
      <c r="C951" s="1" t="n">
        <f aca="false">1/B951</f>
        <v>0.0030016509079994</v>
      </c>
      <c r="D951" s="1" t="n">
        <v>1.9301</v>
      </c>
      <c r="E951" s="1" t="n">
        <f aca="false">LN(D951)</f>
        <v>0.657571815046025</v>
      </c>
    </row>
    <row r="952" customFormat="false" ht="15.75" hidden="false" customHeight="false" outlineLevel="0" collapsed="false">
      <c r="A952" s="1" t="s">
        <v>572</v>
      </c>
      <c r="B952" s="1" t="n">
        <v>353.15</v>
      </c>
      <c r="C952" s="1" t="n">
        <f aca="false">1/B952</f>
        <v>0.00283165793572137</v>
      </c>
      <c r="D952" s="1" t="n">
        <v>1.3328</v>
      </c>
      <c r="E952" s="1" t="n">
        <f aca="false">LN(D952)</f>
        <v>0.287281992430441</v>
      </c>
    </row>
    <row r="953" customFormat="false" ht="15.75" hidden="false" customHeight="false" outlineLevel="0" collapsed="false">
      <c r="A953" s="1" t="s">
        <v>572</v>
      </c>
      <c r="B953" s="1" t="n">
        <v>373.52</v>
      </c>
      <c r="C953" s="1" t="n">
        <f aca="false">1/B953</f>
        <v>0.00267723281216535</v>
      </c>
      <c r="D953" s="1" t="n">
        <v>0.993</v>
      </c>
      <c r="E953" s="1" t="n">
        <f aca="false">LN(D953)</f>
        <v>-0.00702461493696447</v>
      </c>
    </row>
    <row r="954" customFormat="false" ht="15.75" hidden="false" customHeight="false" outlineLevel="0" collapsed="false">
      <c r="A954" s="1" t="s">
        <v>574</v>
      </c>
      <c r="B954" s="1" t="n">
        <v>298.15173</v>
      </c>
      <c r="C954" s="1" t="n">
        <f aca="false">1/B954</f>
        <v>0.00335399697328605</v>
      </c>
      <c r="D954" s="1" t="n">
        <v>1.846</v>
      </c>
      <c r="E954" s="1" t="n">
        <f aca="false">LN(D954)</f>
        <v>0.61302113608066</v>
      </c>
    </row>
    <row r="955" customFormat="false" ht="15.75" hidden="false" customHeight="false" outlineLevel="0" collapsed="false">
      <c r="A955" s="1" t="s">
        <v>574</v>
      </c>
      <c r="B955" s="1" t="n">
        <v>298.15187</v>
      </c>
      <c r="C955" s="1" t="n">
        <f aca="false">1/B955</f>
        <v>0.00335399539838539</v>
      </c>
      <c r="D955" s="1" t="n">
        <v>1.838</v>
      </c>
      <c r="E955" s="1" t="n">
        <f aca="false">LN(D955)</f>
        <v>0.608678023933495</v>
      </c>
    </row>
    <row r="956" customFormat="false" ht="15.75" hidden="false" customHeight="false" outlineLevel="0" collapsed="false">
      <c r="A956" s="1" t="s">
        <v>574</v>
      </c>
      <c r="B956" s="1" t="n">
        <v>303.15</v>
      </c>
      <c r="C956" s="1" t="n">
        <f aca="false">1/B956</f>
        <v>0.0032986970146792</v>
      </c>
      <c r="D956" s="1" t="n">
        <v>1.644</v>
      </c>
      <c r="E956" s="1" t="n">
        <f aca="false">LN(D956)</f>
        <v>0.497132296633988</v>
      </c>
    </row>
    <row r="957" customFormat="false" ht="15.75" hidden="false" customHeight="false" outlineLevel="0" collapsed="false">
      <c r="A957" s="1" t="s">
        <v>574</v>
      </c>
      <c r="B957" s="1" t="n">
        <v>308.15</v>
      </c>
      <c r="C957" s="1" t="n">
        <f aca="false">1/B957</f>
        <v>0.00324517280545189</v>
      </c>
      <c r="D957" s="1" t="n">
        <v>1.471</v>
      </c>
      <c r="E957" s="1" t="n">
        <f aca="false">LN(D957)</f>
        <v>0.3859424416193</v>
      </c>
    </row>
    <row r="958" customFormat="false" ht="15.75" hidden="false" customHeight="false" outlineLevel="0" collapsed="false">
      <c r="A958" s="1" t="s">
        <v>574</v>
      </c>
      <c r="B958" s="1" t="n">
        <v>313.15</v>
      </c>
      <c r="C958" s="1" t="n">
        <f aca="false">1/B958</f>
        <v>0.00319335781574325</v>
      </c>
      <c r="D958" s="1" t="n">
        <v>1.333</v>
      </c>
      <c r="E958" s="1" t="n">
        <f aca="false">LN(D958)</f>
        <v>0.287432041196572</v>
      </c>
    </row>
    <row r="959" customFormat="false" ht="15.75" hidden="false" customHeight="false" outlineLevel="0" collapsed="false">
      <c r="A959" s="1" t="s">
        <v>576</v>
      </c>
      <c r="B959" s="1" t="n">
        <v>288.15</v>
      </c>
      <c r="C959" s="1" t="n">
        <f aca="false">1/B959</f>
        <v>0.00347041471455839</v>
      </c>
      <c r="D959" s="1" t="n">
        <v>1.569</v>
      </c>
      <c r="E959" s="1" t="n">
        <f aca="false">LN(D959)</f>
        <v>0.450438473750896</v>
      </c>
    </row>
    <row r="960" customFormat="false" ht="15.75" hidden="false" customHeight="false" outlineLevel="0" collapsed="false">
      <c r="A960" s="1" t="s">
        <v>576</v>
      </c>
      <c r="B960" s="1" t="n">
        <v>308.05</v>
      </c>
      <c r="C960" s="1" t="n">
        <f aca="false">1/B960</f>
        <v>0.00324622626197046</v>
      </c>
      <c r="D960" s="1" t="n">
        <v>1.081</v>
      </c>
      <c r="E960" s="1" t="n">
        <f aca="false">LN(D960)</f>
        <v>0.0778865386570712</v>
      </c>
    </row>
    <row r="961" customFormat="false" ht="15.75" hidden="false" customHeight="false" outlineLevel="0" collapsed="false">
      <c r="A961" s="1" t="s">
        <v>576</v>
      </c>
      <c r="B961" s="1" t="n">
        <v>318.15</v>
      </c>
      <c r="C961" s="1" t="n">
        <f aca="false">1/B961</f>
        <v>0.00314317146000314</v>
      </c>
      <c r="D961" s="1" t="n">
        <v>0.925</v>
      </c>
      <c r="E961" s="1" t="n">
        <f aca="false">LN(D961)</f>
        <v>-0.0779615414697118</v>
      </c>
    </row>
    <row r="962" customFormat="false" ht="15.75" hidden="false" customHeight="false" outlineLevel="0" collapsed="false">
      <c r="A962" s="1" t="s">
        <v>576</v>
      </c>
      <c r="B962" s="1" t="n">
        <v>328.25</v>
      </c>
      <c r="C962" s="1" t="n">
        <f aca="false">1/B962</f>
        <v>0.00304645849200305</v>
      </c>
      <c r="D962" s="1" t="n">
        <v>0.7965</v>
      </c>
      <c r="E962" s="1" t="n">
        <f aca="false">LN(D962)</f>
        <v>-0.227528149632034</v>
      </c>
    </row>
    <row r="963" customFormat="false" ht="15.75" hidden="false" customHeight="false" outlineLevel="0" collapsed="false">
      <c r="A963" s="1" t="s">
        <v>576</v>
      </c>
      <c r="B963" s="1" t="n">
        <v>358.25</v>
      </c>
      <c r="C963" s="1" t="n">
        <f aca="false">1/B963</f>
        <v>0.00279134682484299</v>
      </c>
      <c r="D963" s="1" t="n">
        <v>0.558</v>
      </c>
      <c r="E963" s="1" t="n">
        <f aca="false">LN(D963)</f>
        <v>-0.583396316600826</v>
      </c>
    </row>
    <row r="964" customFormat="false" ht="15.75" hidden="false" customHeight="false" outlineLevel="0" collapsed="false">
      <c r="A964" s="1" t="s">
        <v>576</v>
      </c>
      <c r="B964" s="1" t="n">
        <v>368.25</v>
      </c>
      <c r="C964" s="1" t="n">
        <f aca="false">1/B964</f>
        <v>0.00271554650373388</v>
      </c>
      <c r="D964" s="1" t="n">
        <v>0.5019</v>
      </c>
      <c r="E964" s="1" t="n">
        <f aca="false">LN(D964)</f>
        <v>-0.689354382321249</v>
      </c>
    </row>
    <row r="965" customFormat="false" ht="15.75" hidden="false" customHeight="false" outlineLevel="0" collapsed="false">
      <c r="A965" s="1" t="s">
        <v>576</v>
      </c>
      <c r="B965" s="1" t="n">
        <v>378.55</v>
      </c>
      <c r="C965" s="1" t="n">
        <f aca="false">1/B965</f>
        <v>0.00264165896182803</v>
      </c>
      <c r="D965" s="1" t="n">
        <v>0.4534</v>
      </c>
      <c r="E965" s="1" t="n">
        <f aca="false">LN(D965)</f>
        <v>-0.790980540908708</v>
      </c>
    </row>
    <row r="966" customFormat="false" ht="15.75" hidden="false" customHeight="false" outlineLevel="0" collapsed="false">
      <c r="A966" s="1" t="s">
        <v>576</v>
      </c>
      <c r="B966" s="1" t="n">
        <v>388.15</v>
      </c>
      <c r="C966" s="1" t="n">
        <f aca="false">1/B966</f>
        <v>0.00257632358624243</v>
      </c>
      <c r="D966" s="1" t="n">
        <v>0.4146</v>
      </c>
      <c r="E966" s="1" t="n">
        <f aca="false">LN(D966)</f>
        <v>-0.880441078980458</v>
      </c>
    </row>
    <row r="967" customFormat="false" ht="15.75" hidden="false" customHeight="false" outlineLevel="0" collapsed="false">
      <c r="A967" s="1" t="s">
        <v>576</v>
      </c>
      <c r="B967" s="1" t="n">
        <v>393.15</v>
      </c>
      <c r="C967" s="1" t="n">
        <f aca="false">1/B967</f>
        <v>0.00254355843825512</v>
      </c>
      <c r="D967" s="1" t="n">
        <v>0.3971</v>
      </c>
      <c r="E967" s="1" t="n">
        <f aca="false">LN(D967)</f>
        <v>-0.923567140844931</v>
      </c>
    </row>
    <row r="968" customFormat="false" ht="15.75" hidden="false" customHeight="false" outlineLevel="0" collapsed="false">
      <c r="A968" s="1" t="s">
        <v>576</v>
      </c>
      <c r="B968" s="1" t="n">
        <v>408.15</v>
      </c>
      <c r="C968" s="1" t="n">
        <f aca="false">1/B968</f>
        <v>0.0024500796275879</v>
      </c>
      <c r="D968" s="1" t="n">
        <v>0.3493</v>
      </c>
      <c r="E968" s="1" t="n">
        <f aca="false">LN(D968)</f>
        <v>-1.05182412716935</v>
      </c>
    </row>
    <row r="969" customFormat="false" ht="15.75" hidden="false" customHeight="false" outlineLevel="0" collapsed="false">
      <c r="A969" s="1" t="s">
        <v>576</v>
      </c>
      <c r="B969" s="1" t="n">
        <v>418.35</v>
      </c>
      <c r="C969" s="1" t="n">
        <f aca="false">1/B969</f>
        <v>0.00239034301422254</v>
      </c>
      <c r="D969" s="1" t="n">
        <v>0.3214</v>
      </c>
      <c r="E969" s="1" t="n">
        <f aca="false">LN(D969)</f>
        <v>-1.13506882567872</v>
      </c>
    </row>
    <row r="970" customFormat="false" ht="15.75" hidden="false" customHeight="false" outlineLevel="0" collapsed="false">
      <c r="A970" s="1" t="s">
        <v>576</v>
      </c>
      <c r="B970" s="1" t="n">
        <v>427.55</v>
      </c>
      <c r="C970" s="1" t="n">
        <f aca="false">1/B970</f>
        <v>0.00233890773009005</v>
      </c>
      <c r="D970" s="1" t="n">
        <v>0.2988</v>
      </c>
      <c r="E970" s="1" t="n">
        <f aca="false">LN(D970)</f>
        <v>-1.20798082572347</v>
      </c>
    </row>
    <row r="971" customFormat="false" ht="15.75" hidden="false" customHeight="false" outlineLevel="0" collapsed="false">
      <c r="A971" s="1" t="s">
        <v>576</v>
      </c>
      <c r="B971" s="1" t="n">
        <v>438.15</v>
      </c>
      <c r="C971" s="1" t="n">
        <f aca="false">1/B971</f>
        <v>0.00228232340522652</v>
      </c>
      <c r="D971" s="1" t="n">
        <v>0.278</v>
      </c>
      <c r="E971" s="1" t="n">
        <f aca="false">LN(D971)</f>
        <v>-1.2801341652915</v>
      </c>
    </row>
    <row r="972" customFormat="false" ht="15.75" hidden="false" customHeight="false" outlineLevel="0" collapsed="false">
      <c r="A972" s="1" t="s">
        <v>576</v>
      </c>
      <c r="B972" s="1" t="n">
        <v>443.75</v>
      </c>
      <c r="C972" s="1" t="n">
        <f aca="false">1/B972</f>
        <v>0.00225352112676056</v>
      </c>
      <c r="D972" s="1" t="n">
        <v>0.2672</v>
      </c>
      <c r="E972" s="1" t="n">
        <f aca="false">LN(D972)</f>
        <v>-1.31975783731965</v>
      </c>
    </row>
    <row r="973" customFormat="false" ht="15.75" hidden="false" customHeight="false" outlineLevel="0" collapsed="false">
      <c r="A973" s="1" t="s">
        <v>576</v>
      </c>
      <c r="B973" s="1" t="n">
        <v>348.25</v>
      </c>
      <c r="C973" s="1" t="n">
        <f aca="false">1/B973</f>
        <v>0.00287150035893754</v>
      </c>
      <c r="D973" s="1" t="n">
        <v>0.6226</v>
      </c>
      <c r="E973" s="1" t="n">
        <f aca="false">LN(D973)</f>
        <v>-0.473851020974629</v>
      </c>
    </row>
    <row r="974" customFormat="false" ht="15.75" hidden="false" customHeight="false" outlineLevel="0" collapsed="false">
      <c r="A974" s="1" t="s">
        <v>576</v>
      </c>
      <c r="B974" s="1" t="n">
        <v>398.15</v>
      </c>
      <c r="C974" s="1" t="n">
        <f aca="false">1/B974</f>
        <v>0.00251161622504081</v>
      </c>
      <c r="D974" s="1" t="n">
        <v>0.3808</v>
      </c>
      <c r="E974" s="1" t="n">
        <f aca="false">LN(D974)</f>
        <v>-0.965480976064927</v>
      </c>
    </row>
    <row r="975" customFormat="false" ht="15.75" hidden="false" customHeight="false" outlineLevel="0" collapsed="false">
      <c r="A975" s="1" t="s">
        <v>1414</v>
      </c>
      <c r="B975" s="1" t="n">
        <v>298.15</v>
      </c>
      <c r="C975" s="1" t="n">
        <f aca="false">1/B975</f>
        <v>0.00335401643468053</v>
      </c>
      <c r="D975" s="1" t="n">
        <v>5.8191</v>
      </c>
      <c r="E975" s="1" t="n">
        <f aca="false">LN(D975)</f>
        <v>1.76114561061022</v>
      </c>
    </row>
    <row r="976" customFormat="false" ht="15.75" hidden="false" customHeight="false" outlineLevel="0" collapsed="false">
      <c r="A976" s="1" t="s">
        <v>578</v>
      </c>
      <c r="B976" s="1" t="n">
        <v>273.19</v>
      </c>
      <c r="C976" s="1" t="n">
        <f aca="false">1/B976</f>
        <v>0.00366045609282917</v>
      </c>
      <c r="D976" s="1" t="n">
        <v>20.7151</v>
      </c>
      <c r="E976" s="1" t="n">
        <f aca="false">LN(D976)</f>
        <v>3.03086290293746</v>
      </c>
    </row>
    <row r="977" customFormat="false" ht="15.75" hidden="false" customHeight="false" outlineLevel="0" collapsed="false">
      <c r="A977" s="1" t="s">
        <v>578</v>
      </c>
      <c r="B977" s="1" t="n">
        <v>283.15</v>
      </c>
      <c r="C977" s="1" t="n">
        <f aca="false">1/B977</f>
        <v>0.00353169698039908</v>
      </c>
      <c r="D977" s="1" t="n">
        <v>12.1971</v>
      </c>
      <c r="E977" s="1" t="n">
        <f aca="false">LN(D977)</f>
        <v>2.50119821856489</v>
      </c>
    </row>
    <row r="978" customFormat="false" ht="15.75" hidden="false" customHeight="false" outlineLevel="0" collapsed="false">
      <c r="A978" s="1" t="s">
        <v>578</v>
      </c>
      <c r="B978" s="1" t="n">
        <v>293.15</v>
      </c>
      <c r="C978" s="1" t="n">
        <f aca="false">1/B978</f>
        <v>0.00341122292341805</v>
      </c>
      <c r="D978" s="1" t="n">
        <v>7.7036</v>
      </c>
      <c r="E978" s="1" t="n">
        <f aca="false">LN(D978)</f>
        <v>2.04168775206792</v>
      </c>
    </row>
    <row r="979" customFormat="false" ht="15.75" hidden="false" customHeight="false" outlineLevel="0" collapsed="false">
      <c r="A979" s="1" t="s">
        <v>578</v>
      </c>
      <c r="B979" s="1" t="n">
        <v>303.15</v>
      </c>
      <c r="C979" s="1" t="n">
        <f aca="false">1/B979</f>
        <v>0.0032986970146792</v>
      </c>
      <c r="D979" s="1" t="n">
        <v>5.1446</v>
      </c>
      <c r="E979" s="1" t="n">
        <f aca="false">LN(D979)</f>
        <v>1.63794762087982</v>
      </c>
    </row>
    <row r="980" customFormat="false" ht="15.75" hidden="false" customHeight="false" outlineLevel="0" collapsed="false">
      <c r="A980" s="1" t="s">
        <v>578</v>
      </c>
      <c r="B980" s="1" t="n">
        <v>313.15</v>
      </c>
      <c r="C980" s="1" t="n">
        <f aca="false">1/B980</f>
        <v>0.00319335781574325</v>
      </c>
      <c r="D980" s="1" t="n">
        <v>3.6113</v>
      </c>
      <c r="E980" s="1" t="n">
        <f aca="false">LN(D980)</f>
        <v>1.28406781832378</v>
      </c>
    </row>
    <row r="981" customFormat="false" ht="15.75" hidden="false" customHeight="false" outlineLevel="0" collapsed="false">
      <c r="A981" s="1" t="s">
        <v>578</v>
      </c>
      <c r="B981" s="1" t="n">
        <v>333.15</v>
      </c>
      <c r="C981" s="1" t="n">
        <f aca="false">1/B981</f>
        <v>0.0030016509079994</v>
      </c>
      <c r="D981" s="1" t="n">
        <v>1.983</v>
      </c>
      <c r="E981" s="1" t="n">
        <f aca="false">LN(D981)</f>
        <v>0.684610849537659</v>
      </c>
    </row>
    <row r="982" customFormat="false" ht="15.75" hidden="false" customHeight="false" outlineLevel="0" collapsed="false">
      <c r="A982" s="1" t="s">
        <v>578</v>
      </c>
      <c r="B982" s="1" t="n">
        <v>353.15</v>
      </c>
      <c r="C982" s="1" t="n">
        <f aca="false">1/B982</f>
        <v>0.00283165793572137</v>
      </c>
      <c r="D982" s="1" t="n">
        <v>1.2191</v>
      </c>
      <c r="E982" s="1" t="n">
        <f aca="false">LN(D982)</f>
        <v>0.198112881588964</v>
      </c>
    </row>
    <row r="983" customFormat="false" ht="15.75" hidden="false" customHeight="false" outlineLevel="0" collapsed="false">
      <c r="A983" s="1" t="s">
        <v>578</v>
      </c>
      <c r="B983" s="1" t="n">
        <v>373.15</v>
      </c>
      <c r="C983" s="1" t="n">
        <f aca="false">1/B983</f>
        <v>0.00267988744472732</v>
      </c>
      <c r="D983" s="1" t="n">
        <v>0.8077</v>
      </c>
      <c r="E983" s="1" t="n">
        <f aca="false">LN(D983)</f>
        <v>-0.213564576533886</v>
      </c>
    </row>
    <row r="984" customFormat="false" ht="15.75" hidden="false" customHeight="false" outlineLevel="0" collapsed="false">
      <c r="A984" s="1" t="s">
        <v>580</v>
      </c>
      <c r="B984" s="1" t="n">
        <v>293.15</v>
      </c>
      <c r="C984" s="1" t="n">
        <f aca="false">1/B984</f>
        <v>0.00341122292341805</v>
      </c>
      <c r="D984" s="1" t="n">
        <v>0.472</v>
      </c>
      <c r="E984" s="1" t="n">
        <f aca="false">LN(D984)</f>
        <v>-0.750776293396582</v>
      </c>
    </row>
    <row r="985" customFormat="false" ht="15.75" hidden="false" customHeight="false" outlineLevel="0" collapsed="false">
      <c r="A985" s="1" t="s">
        <v>580</v>
      </c>
      <c r="B985" s="1" t="n">
        <v>303.15</v>
      </c>
      <c r="C985" s="1" t="n">
        <f aca="false">1/B985</f>
        <v>0.0032986970146792</v>
      </c>
      <c r="D985" s="1" t="n">
        <v>0.423</v>
      </c>
      <c r="E985" s="1" t="n">
        <f aca="false">LN(D985)</f>
        <v>-0.860383099935859</v>
      </c>
    </row>
    <row r="986" customFormat="false" ht="15.75" hidden="false" customHeight="false" outlineLevel="0" collapsed="false">
      <c r="A986" s="1" t="s">
        <v>580</v>
      </c>
      <c r="B986" s="1" t="n">
        <v>323.15</v>
      </c>
      <c r="C986" s="1" t="n">
        <f aca="false">1/B986</f>
        <v>0.00309453814018258</v>
      </c>
      <c r="D986" s="1" t="n">
        <v>0.345</v>
      </c>
      <c r="E986" s="1" t="n">
        <f aca="false">LN(D986)</f>
        <v>-1.06421086195078</v>
      </c>
    </row>
    <row r="987" customFormat="false" ht="15.75" hidden="false" customHeight="false" outlineLevel="0" collapsed="false">
      <c r="A987" s="1" t="s">
        <v>580</v>
      </c>
      <c r="B987" s="1" t="n">
        <v>333.15</v>
      </c>
      <c r="C987" s="1" t="n">
        <f aca="false">1/B987</f>
        <v>0.0030016509079994</v>
      </c>
      <c r="D987" s="1" t="n">
        <v>0.313</v>
      </c>
      <c r="E987" s="1" t="n">
        <f aca="false">LN(D987)</f>
        <v>-1.16155208844198</v>
      </c>
    </row>
    <row r="988" customFormat="false" ht="15.75" hidden="false" customHeight="false" outlineLevel="0" collapsed="false">
      <c r="A988" s="1" t="s">
        <v>580</v>
      </c>
      <c r="B988" s="1" t="n">
        <v>353.15</v>
      </c>
      <c r="C988" s="1" t="n">
        <f aca="false">1/B988</f>
        <v>0.00283165793572137</v>
      </c>
      <c r="D988" s="1" t="n">
        <v>0.263</v>
      </c>
      <c r="E988" s="1" t="n">
        <f aca="false">LN(D988)</f>
        <v>-1.33560124680437</v>
      </c>
    </row>
    <row r="989" customFormat="false" ht="15.75" hidden="false" customHeight="false" outlineLevel="0" collapsed="false">
      <c r="A989" s="1" t="s">
        <v>580</v>
      </c>
      <c r="B989" s="1" t="n">
        <v>373.15</v>
      </c>
      <c r="C989" s="1" t="n">
        <f aca="false">1/B989</f>
        <v>0.00267988744472732</v>
      </c>
      <c r="D989" s="1" t="n">
        <v>0.225</v>
      </c>
      <c r="E989" s="1" t="n">
        <f aca="false">LN(D989)</f>
        <v>-1.49165487677772</v>
      </c>
    </row>
    <row r="990" customFormat="false" ht="15.75" hidden="false" customHeight="false" outlineLevel="0" collapsed="false">
      <c r="A990" s="1" t="s">
        <v>580</v>
      </c>
      <c r="B990" s="1" t="n">
        <v>313.15</v>
      </c>
      <c r="C990" s="1" t="n">
        <f aca="false">1/B990</f>
        <v>0.00319335781574325</v>
      </c>
      <c r="D990" s="1" t="n">
        <v>0.381</v>
      </c>
      <c r="E990" s="1" t="n">
        <f aca="false">LN(D990)</f>
        <v>-0.964955903855436</v>
      </c>
    </row>
    <row r="991" customFormat="false" ht="15.75" hidden="false" customHeight="false" outlineLevel="0" collapsed="false">
      <c r="A991" s="1" t="s">
        <v>582</v>
      </c>
      <c r="B991" s="1" t="n">
        <v>293</v>
      </c>
      <c r="C991" s="1" t="n">
        <f aca="false">1/B991</f>
        <v>0.00341296928327645</v>
      </c>
      <c r="D991" s="1" t="n">
        <v>4.5</v>
      </c>
      <c r="E991" s="1" t="n">
        <f aca="false">LN(D991)</f>
        <v>1.50407739677627</v>
      </c>
    </row>
    <row r="992" customFormat="false" ht="15.75" hidden="false" customHeight="false" outlineLevel="0" collapsed="false">
      <c r="A992" s="1" t="s">
        <v>582</v>
      </c>
      <c r="B992" s="1" t="n">
        <v>298</v>
      </c>
      <c r="C992" s="1" t="n">
        <f aca="false">1/B992</f>
        <v>0.00335570469798658</v>
      </c>
      <c r="D992" s="1" t="n">
        <v>3.85</v>
      </c>
      <c r="E992" s="1" t="n">
        <f aca="false">LN(D992)</f>
        <v>1.34807314829969</v>
      </c>
    </row>
    <row r="993" customFormat="false" ht="15.75" hidden="false" customHeight="false" outlineLevel="0" collapsed="false">
      <c r="A993" s="1" t="s">
        <v>582</v>
      </c>
      <c r="B993" s="1" t="n">
        <v>303</v>
      </c>
      <c r="C993" s="1" t="n">
        <f aca="false">1/B993</f>
        <v>0.0033003300330033</v>
      </c>
      <c r="D993" s="1" t="n">
        <v>3.325</v>
      </c>
      <c r="E993" s="1" t="n">
        <f aca="false">LN(D993)</f>
        <v>1.20146967410782</v>
      </c>
    </row>
    <row r="994" customFormat="false" ht="15.75" hidden="false" customHeight="false" outlineLevel="0" collapsed="false">
      <c r="A994" s="1" t="s">
        <v>582</v>
      </c>
      <c r="B994" s="1" t="n">
        <v>308</v>
      </c>
      <c r="C994" s="1" t="n">
        <f aca="false">1/B994</f>
        <v>0.00324675324675325</v>
      </c>
      <c r="D994" s="1" t="n">
        <v>2.915</v>
      </c>
      <c r="E994" s="1" t="n">
        <f aca="false">LN(D994)</f>
        <v>1.06986981980246</v>
      </c>
    </row>
    <row r="995" customFormat="false" ht="15.75" hidden="false" customHeight="false" outlineLevel="0" collapsed="false">
      <c r="A995" s="1" t="s">
        <v>582</v>
      </c>
      <c r="B995" s="1" t="n">
        <v>311</v>
      </c>
      <c r="C995" s="1" t="n">
        <f aca="false">1/B995</f>
        <v>0.00321543408360129</v>
      </c>
      <c r="D995" s="1" t="n">
        <v>2.59</v>
      </c>
      <c r="E995" s="1" t="n">
        <f aca="false">LN(D995)</f>
        <v>0.951657875711446</v>
      </c>
    </row>
    <row r="996" customFormat="false" ht="15.75" hidden="false" customHeight="false" outlineLevel="0" collapsed="false">
      <c r="A996" s="1" t="s">
        <v>582</v>
      </c>
      <c r="B996" s="1" t="n">
        <v>313</v>
      </c>
      <c r="C996" s="1" t="n">
        <f aca="false">1/B996</f>
        <v>0.00319488817891374</v>
      </c>
      <c r="D996" s="1" t="n">
        <v>2.524</v>
      </c>
      <c r="E996" s="1" t="n">
        <f aca="false">LN(D996)</f>
        <v>0.925844944678967</v>
      </c>
    </row>
    <row r="997" customFormat="false" ht="15.75" hidden="false" customHeight="false" outlineLevel="0" collapsed="false">
      <c r="A997" s="1" t="s">
        <v>582</v>
      </c>
      <c r="B997" s="1" t="n">
        <v>318</v>
      </c>
      <c r="C997" s="1" t="n">
        <f aca="false">1/B997</f>
        <v>0.00314465408805031</v>
      </c>
      <c r="D997" s="1" t="n">
        <v>2.18</v>
      </c>
      <c r="E997" s="1" t="n">
        <f aca="false">LN(D997)</f>
        <v>0.779324876800998</v>
      </c>
    </row>
    <row r="998" customFormat="false" ht="15.75" hidden="false" customHeight="false" outlineLevel="0" collapsed="false">
      <c r="A998" s="1" t="s">
        <v>582</v>
      </c>
      <c r="B998" s="1" t="n">
        <v>323</v>
      </c>
      <c r="C998" s="1" t="n">
        <f aca="false">1/B998</f>
        <v>0.00309597523219814</v>
      </c>
      <c r="D998" s="1" t="n">
        <v>1.95</v>
      </c>
      <c r="E998" s="1" t="n">
        <f aca="false">LN(D998)</f>
        <v>0.667829372575655</v>
      </c>
    </row>
    <row r="999" customFormat="false" ht="15.75" hidden="false" customHeight="false" outlineLevel="0" collapsed="false">
      <c r="A999" s="1" t="s">
        <v>582</v>
      </c>
      <c r="B999" s="1" t="n">
        <v>372</v>
      </c>
      <c r="C999" s="1" t="n">
        <f aca="false">1/B999</f>
        <v>0.00268817204301075</v>
      </c>
      <c r="D999" s="1" t="n">
        <v>0.91</v>
      </c>
      <c r="E999" s="1" t="n">
        <f aca="false">LN(D999)</f>
        <v>-0.0943106794712413</v>
      </c>
    </row>
    <row r="1000" customFormat="false" ht="15.75" hidden="false" customHeight="false" outlineLevel="0" collapsed="false">
      <c r="A1000" s="1" t="s">
        <v>584</v>
      </c>
      <c r="B1000" s="1" t="n">
        <v>293.42</v>
      </c>
      <c r="C1000" s="1" t="n">
        <f aca="false">1/B1000</f>
        <v>0.00340808397518915</v>
      </c>
      <c r="D1000" s="1" t="n">
        <v>2.565</v>
      </c>
      <c r="E1000" s="1" t="n">
        <f aca="false">LN(D1000)</f>
        <v>0.941958478622733</v>
      </c>
    </row>
    <row r="1001" customFormat="false" ht="15.75" hidden="false" customHeight="false" outlineLevel="0" collapsed="false">
      <c r="A1001" s="1" t="s">
        <v>584</v>
      </c>
      <c r="B1001" s="1" t="n">
        <v>303.2</v>
      </c>
      <c r="C1001" s="1" t="n">
        <f aca="false">1/B1001</f>
        <v>0.00329815303430079</v>
      </c>
      <c r="D1001" s="1" t="n">
        <v>2.09</v>
      </c>
      <c r="E1001" s="1" t="n">
        <f aca="false">LN(D1001)</f>
        <v>0.73716406597672</v>
      </c>
    </row>
    <row r="1002" customFormat="false" ht="15.75" hidden="false" customHeight="false" outlineLevel="0" collapsed="false">
      <c r="A1002" s="1" t="s">
        <v>584</v>
      </c>
      <c r="B1002" s="1" t="n">
        <v>313.15</v>
      </c>
      <c r="C1002" s="1" t="n">
        <f aca="false">1/B1002</f>
        <v>0.00319335781574325</v>
      </c>
      <c r="D1002" s="1" t="n">
        <v>1.7</v>
      </c>
      <c r="E1002" s="1" t="n">
        <f aca="false">LN(D1002)</f>
        <v>0.53062825106217</v>
      </c>
    </row>
    <row r="1003" customFormat="false" ht="15.75" hidden="false" customHeight="false" outlineLevel="0" collapsed="false">
      <c r="A1003" s="1" t="s">
        <v>584</v>
      </c>
      <c r="B1003" s="1" t="n">
        <v>323.15</v>
      </c>
      <c r="C1003" s="1" t="n">
        <f aca="false">1/B1003</f>
        <v>0.00309453814018258</v>
      </c>
      <c r="D1003" s="1" t="n">
        <v>1.405</v>
      </c>
      <c r="E1003" s="1" t="n">
        <f aca="false">LN(D1003)</f>
        <v>0.340037302785709</v>
      </c>
    </row>
    <row r="1004" customFormat="false" ht="15.75" hidden="false" customHeight="false" outlineLevel="0" collapsed="false">
      <c r="A1004" s="1" t="s">
        <v>584</v>
      </c>
      <c r="B1004" s="1" t="n">
        <v>333.15</v>
      </c>
      <c r="C1004" s="1" t="n">
        <f aca="false">1/B1004</f>
        <v>0.0030016509079994</v>
      </c>
      <c r="D1004" s="1" t="n">
        <v>1.198</v>
      </c>
      <c r="E1004" s="1" t="n">
        <f aca="false">LN(D1004)</f>
        <v>0.180653499693258</v>
      </c>
    </row>
    <row r="1005" customFormat="false" ht="15.75" hidden="false" customHeight="false" outlineLevel="0" collapsed="false">
      <c r="A1005" s="1" t="s">
        <v>586</v>
      </c>
      <c r="B1005" s="1" t="n">
        <v>293.15</v>
      </c>
      <c r="C1005" s="1" t="n">
        <f aca="false">1/B1005</f>
        <v>0.00341122292341805</v>
      </c>
      <c r="D1005" s="1" t="n">
        <v>1.924</v>
      </c>
      <c r="E1005" s="1" t="n">
        <f aca="false">LN(D1005)</f>
        <v>0.654406352243515</v>
      </c>
    </row>
    <row r="1006" customFormat="false" ht="15.75" hidden="false" customHeight="false" outlineLevel="0" collapsed="false">
      <c r="A1006" s="1" t="s">
        <v>586</v>
      </c>
      <c r="B1006" s="1" t="n">
        <v>303.15</v>
      </c>
      <c r="C1006" s="1" t="n">
        <f aca="false">1/B1006</f>
        <v>0.0032986970146792</v>
      </c>
      <c r="D1006" s="1" t="n">
        <v>1.54</v>
      </c>
      <c r="E1006" s="1" t="n">
        <f aca="false">LN(D1006)</f>
        <v>0.431782416425538</v>
      </c>
    </row>
    <row r="1007" customFormat="false" ht="15.75" hidden="false" customHeight="false" outlineLevel="0" collapsed="false">
      <c r="A1007" s="1" t="s">
        <v>586</v>
      </c>
      <c r="B1007" s="1" t="n">
        <v>313.15</v>
      </c>
      <c r="C1007" s="1" t="n">
        <f aca="false">1/B1007</f>
        <v>0.00319335781574325</v>
      </c>
      <c r="D1007" s="1" t="n">
        <v>1.247</v>
      </c>
      <c r="E1007" s="1" t="n">
        <f aca="false">LN(D1007)</f>
        <v>0.220740666697899</v>
      </c>
    </row>
    <row r="1008" customFormat="false" ht="15.75" hidden="false" customHeight="false" outlineLevel="0" collapsed="false">
      <c r="A1008" s="1" t="s">
        <v>586</v>
      </c>
      <c r="B1008" s="1" t="n">
        <v>323.15</v>
      </c>
      <c r="C1008" s="1" t="n">
        <f aca="false">1/B1008</f>
        <v>0.00309453814018258</v>
      </c>
      <c r="D1008" s="1" t="n">
        <v>1.044</v>
      </c>
      <c r="E1008" s="1" t="n">
        <f aca="false">LN(D1008)</f>
        <v>0.043059489460447</v>
      </c>
    </row>
    <row r="1009" customFormat="false" ht="15.75" hidden="false" customHeight="false" outlineLevel="0" collapsed="false">
      <c r="A1009" s="1" t="s">
        <v>586</v>
      </c>
      <c r="B1009" s="1" t="n">
        <v>333.15</v>
      </c>
      <c r="C1009" s="1" t="n">
        <f aca="false">1/B1009</f>
        <v>0.0030016509079994</v>
      </c>
      <c r="D1009" s="1" t="n">
        <v>0.889</v>
      </c>
      <c r="E1009" s="1" t="n">
        <f aca="false">LN(D1009)</f>
        <v>-0.117658043468232</v>
      </c>
    </row>
    <row r="1010" customFormat="false" ht="15.75" hidden="false" customHeight="false" outlineLevel="0" collapsed="false">
      <c r="A1010" s="1" t="s">
        <v>1415</v>
      </c>
      <c r="B1010" s="1" t="n">
        <v>292.2</v>
      </c>
      <c r="C1010" s="1" t="n">
        <f aca="false">1/B1010</f>
        <v>0.00342231348391513</v>
      </c>
      <c r="D1010" s="1" t="n">
        <v>1.52</v>
      </c>
      <c r="E1010" s="1" t="n">
        <f aca="false">LN(D1010)</f>
        <v>0.418710334858185</v>
      </c>
    </row>
    <row r="1011" customFormat="false" ht="15.75" hidden="false" customHeight="false" outlineLevel="0" collapsed="false">
      <c r="A1011" s="1" t="s">
        <v>1415</v>
      </c>
      <c r="B1011" s="1" t="n">
        <v>303.15</v>
      </c>
      <c r="C1011" s="1" t="n">
        <f aca="false">1/B1011</f>
        <v>0.0032986970146792</v>
      </c>
      <c r="D1011" s="1" t="n">
        <v>1.25</v>
      </c>
      <c r="E1011" s="1" t="n">
        <f aca="false">LN(D1011)</f>
        <v>0.22314355131421</v>
      </c>
    </row>
    <row r="1012" customFormat="false" ht="15.75" hidden="false" customHeight="false" outlineLevel="0" collapsed="false">
      <c r="A1012" s="1" t="s">
        <v>1415</v>
      </c>
      <c r="B1012" s="1" t="n">
        <v>313.15</v>
      </c>
      <c r="C1012" s="1" t="n">
        <f aca="false">1/B1012</f>
        <v>0.00319335781574325</v>
      </c>
      <c r="D1012" s="1" t="n">
        <v>1.057</v>
      </c>
      <c r="E1012" s="1" t="n">
        <f aca="false">LN(D1012)</f>
        <v>0.0554347068881005</v>
      </c>
    </row>
    <row r="1013" customFormat="false" ht="15.75" hidden="false" customHeight="false" outlineLevel="0" collapsed="false">
      <c r="A1013" s="1" t="s">
        <v>1415</v>
      </c>
      <c r="B1013" s="1" t="n">
        <v>323.1</v>
      </c>
      <c r="C1013" s="1" t="n">
        <f aca="false">1/B1013</f>
        <v>0.00309501702259362</v>
      </c>
      <c r="D1013" s="1" t="n">
        <v>0.917</v>
      </c>
      <c r="E1013" s="1" t="n">
        <f aca="false">LN(D1013)</f>
        <v>-0.0866478067256722</v>
      </c>
    </row>
    <row r="1014" customFormat="false" ht="15.75" hidden="false" customHeight="false" outlineLevel="0" collapsed="false">
      <c r="A1014" s="1" t="s">
        <v>588</v>
      </c>
      <c r="B1014" s="1" t="n">
        <v>293.15</v>
      </c>
      <c r="C1014" s="1" t="n">
        <f aca="false">1/B1014</f>
        <v>0.00341122292341805</v>
      </c>
      <c r="D1014" s="1" t="n">
        <v>0.6795</v>
      </c>
      <c r="E1014" s="1" t="n">
        <f aca="false">LN(D1014)</f>
        <v>-0.386398045390939</v>
      </c>
    </row>
    <row r="1015" customFormat="false" ht="15.75" hidden="false" customHeight="false" outlineLevel="0" collapsed="false">
      <c r="A1015" s="1" t="s">
        <v>588</v>
      </c>
      <c r="B1015" s="1" t="n">
        <v>303.15</v>
      </c>
      <c r="C1015" s="1" t="n">
        <f aca="false">1/B1015</f>
        <v>0.0032986970146792</v>
      </c>
      <c r="D1015" s="1" t="n">
        <v>0.6005</v>
      </c>
      <c r="E1015" s="1" t="n">
        <f aca="false">LN(D1015)</f>
        <v>-0.509992637462099</v>
      </c>
    </row>
    <row r="1016" customFormat="false" ht="15.75" hidden="false" customHeight="false" outlineLevel="0" collapsed="false">
      <c r="A1016" s="1" t="s">
        <v>588</v>
      </c>
      <c r="B1016" s="1" t="n">
        <v>313.15</v>
      </c>
      <c r="C1016" s="1" t="n">
        <f aca="false">1/B1016</f>
        <v>0.00319335781574325</v>
      </c>
      <c r="D1016" s="1" t="n">
        <v>0.5375</v>
      </c>
      <c r="E1016" s="1" t="n">
        <f aca="false">LN(D1016)</f>
        <v>-0.620826518980319</v>
      </c>
    </row>
    <row r="1017" customFormat="false" ht="15.75" hidden="false" customHeight="false" outlineLevel="0" collapsed="false">
      <c r="A1017" s="1" t="s">
        <v>588</v>
      </c>
      <c r="B1017" s="1" t="n">
        <v>323.15</v>
      </c>
      <c r="C1017" s="1" t="n">
        <f aca="false">1/B1017</f>
        <v>0.00309453814018258</v>
      </c>
      <c r="D1017" s="1" t="n">
        <v>0.481</v>
      </c>
      <c r="E1017" s="1" t="n">
        <f aca="false">LN(D1017)</f>
        <v>-0.731888008876376</v>
      </c>
    </row>
    <row r="1018" customFormat="false" ht="15.75" hidden="false" customHeight="false" outlineLevel="0" collapsed="false">
      <c r="A1018" s="1" t="s">
        <v>588</v>
      </c>
      <c r="B1018" s="1" t="n">
        <v>333.15</v>
      </c>
      <c r="C1018" s="1" t="n">
        <f aca="false">1/B1018</f>
        <v>0.0030016509079994</v>
      </c>
      <c r="D1018" s="1" t="n">
        <v>0.434</v>
      </c>
      <c r="E1018" s="1" t="n">
        <f aca="false">LN(D1018)</f>
        <v>-0.834710744881732</v>
      </c>
    </row>
    <row r="1019" customFormat="false" ht="15.75" hidden="false" customHeight="false" outlineLevel="0" collapsed="false">
      <c r="A1019" s="1" t="s">
        <v>590</v>
      </c>
      <c r="B1019" s="1" t="n">
        <v>273.1545</v>
      </c>
      <c r="C1019" s="1" t="n">
        <f aca="false">1/B1019</f>
        <v>0.00366093181697537</v>
      </c>
      <c r="D1019" s="1" t="n">
        <v>2.4313</v>
      </c>
      <c r="E1019" s="1" t="n">
        <f aca="false">LN(D1019)</f>
        <v>0.888426093725851</v>
      </c>
    </row>
    <row r="1020" customFormat="false" ht="15.75" hidden="false" customHeight="false" outlineLevel="0" collapsed="false">
      <c r="A1020" s="1" t="s">
        <v>590</v>
      </c>
      <c r="B1020" s="1" t="n">
        <v>283.15</v>
      </c>
      <c r="C1020" s="1" t="n">
        <f aca="false">1/B1020</f>
        <v>0.00353169698039908</v>
      </c>
      <c r="D1020" s="1" t="n">
        <v>1.9639</v>
      </c>
      <c r="E1020" s="1" t="n">
        <f aca="false">LN(D1020)</f>
        <v>0.67493229213904</v>
      </c>
    </row>
    <row r="1021" customFormat="false" ht="15.75" hidden="false" customHeight="false" outlineLevel="0" collapsed="false">
      <c r="A1021" s="1" t="s">
        <v>590</v>
      </c>
      <c r="B1021" s="1" t="n">
        <v>293.15</v>
      </c>
      <c r="C1021" s="1" t="n">
        <f aca="false">1/B1021</f>
        <v>0.00341122292341805</v>
      </c>
      <c r="D1021" s="1" t="n">
        <v>1.6173</v>
      </c>
      <c r="E1021" s="1" t="n">
        <f aca="false">LN(D1021)</f>
        <v>0.480758092143596</v>
      </c>
    </row>
    <row r="1022" customFormat="false" ht="15.75" hidden="false" customHeight="false" outlineLevel="0" collapsed="false">
      <c r="A1022" s="1" t="s">
        <v>590</v>
      </c>
      <c r="B1022" s="1" t="n">
        <v>303.15</v>
      </c>
      <c r="C1022" s="1" t="n">
        <f aca="false">1/B1022</f>
        <v>0.0032986970146792</v>
      </c>
      <c r="D1022" s="1" t="n">
        <v>1.357</v>
      </c>
      <c r="E1022" s="1" t="n">
        <f aca="false">LN(D1022)</f>
        <v>0.305276380852732</v>
      </c>
    </row>
    <row r="1023" customFormat="false" ht="15.75" hidden="false" customHeight="false" outlineLevel="0" collapsed="false">
      <c r="A1023" s="1" t="s">
        <v>590</v>
      </c>
      <c r="B1023" s="1" t="n">
        <v>313.15</v>
      </c>
      <c r="C1023" s="1" t="n">
        <f aca="false">1/B1023</f>
        <v>0.00319335781574325</v>
      </c>
      <c r="D1023" s="1" t="n">
        <v>1.16</v>
      </c>
      <c r="E1023" s="1" t="n">
        <f aca="false">LN(D1023)</f>
        <v>0.148420005118273</v>
      </c>
    </row>
    <row r="1024" customFormat="false" ht="15.75" hidden="false" customHeight="false" outlineLevel="0" collapsed="false">
      <c r="A1024" s="1" t="s">
        <v>590</v>
      </c>
      <c r="B1024" s="1" t="n">
        <v>333.15</v>
      </c>
      <c r="C1024" s="1" t="n">
        <f aca="false">1/B1024</f>
        <v>0.0030016509079994</v>
      </c>
      <c r="D1024" s="1" t="n">
        <v>0.8977</v>
      </c>
      <c r="E1024" s="1" t="n">
        <f aca="false">LN(D1024)</f>
        <v>-0.107919342219494</v>
      </c>
    </row>
    <row r="1025" customFormat="false" ht="15.75" hidden="false" customHeight="false" outlineLevel="0" collapsed="false">
      <c r="A1025" s="1" t="s">
        <v>590</v>
      </c>
      <c r="B1025" s="1" t="n">
        <v>353.15</v>
      </c>
      <c r="C1025" s="1" t="n">
        <f aca="false">1/B1025</f>
        <v>0.00283165793572137</v>
      </c>
      <c r="D1025" s="1" t="n">
        <v>0.7023</v>
      </c>
      <c r="E1025" s="1" t="n">
        <f aca="false">LN(D1025)</f>
        <v>-0.353394615817162</v>
      </c>
    </row>
    <row r="1026" customFormat="false" ht="15.75" hidden="false" customHeight="false" outlineLevel="0" collapsed="false">
      <c r="A1026" s="1" t="s">
        <v>590</v>
      </c>
      <c r="B1026" s="1" t="n">
        <v>373.15</v>
      </c>
      <c r="C1026" s="1" t="n">
        <f aca="false">1/B1026</f>
        <v>0.00267988744472732</v>
      </c>
      <c r="D1026" s="1" t="n">
        <v>0.576</v>
      </c>
      <c r="E1026" s="1" t="n">
        <f aca="false">LN(D1026)</f>
        <v>-0.551647618286246</v>
      </c>
    </row>
    <row r="1027" customFormat="false" ht="15.75" hidden="false" customHeight="false" outlineLevel="0" collapsed="false">
      <c r="A1027" s="1" t="s">
        <v>590</v>
      </c>
      <c r="B1027" s="1" t="n">
        <v>273.1546</v>
      </c>
      <c r="C1027" s="1" t="n">
        <f aca="false">1/B1027</f>
        <v>0.00366093047673369</v>
      </c>
      <c r="D1027" s="1" t="n">
        <v>2.475</v>
      </c>
      <c r="E1027" s="1" t="n">
        <f aca="false">LN(D1027)</f>
        <v>0.906240396020654</v>
      </c>
    </row>
    <row r="1028" customFormat="false" ht="15.75" hidden="false" customHeight="false" outlineLevel="0" collapsed="false">
      <c r="A1028" s="1" t="s">
        <v>590</v>
      </c>
      <c r="B1028" s="1" t="n">
        <v>298.15</v>
      </c>
      <c r="C1028" s="1" t="n">
        <f aca="false">1/B1028</f>
        <v>0.00335401643468053</v>
      </c>
      <c r="D1028" s="1" t="n">
        <v>1.494</v>
      </c>
      <c r="E1028" s="1" t="n">
        <f aca="false">LN(D1028)</f>
        <v>0.401457086710626</v>
      </c>
    </row>
    <row r="1029" customFormat="false" ht="15.75" hidden="false" customHeight="false" outlineLevel="0" collapsed="false">
      <c r="A1029" s="1" t="s">
        <v>592</v>
      </c>
      <c r="B1029" s="1" t="n">
        <v>272.89</v>
      </c>
      <c r="C1029" s="1" t="n">
        <f aca="false">1/B1029</f>
        <v>0.00366448019348455</v>
      </c>
      <c r="D1029" s="1" t="n">
        <v>1.2422</v>
      </c>
      <c r="E1029" s="1" t="n">
        <f aca="false">LN(D1029)</f>
        <v>0.216884001143065</v>
      </c>
    </row>
    <row r="1030" customFormat="false" ht="15.75" hidden="false" customHeight="false" outlineLevel="0" collapsed="false">
      <c r="A1030" s="1" t="s">
        <v>592</v>
      </c>
      <c r="B1030" s="1" t="n">
        <v>283.15</v>
      </c>
      <c r="C1030" s="1" t="n">
        <f aca="false">1/B1030</f>
        <v>0.00353169698039908</v>
      </c>
      <c r="D1030" s="1" t="n">
        <v>1.0453</v>
      </c>
      <c r="E1030" s="1" t="n">
        <f aca="false">LN(D1030)</f>
        <v>0.0443039255565243</v>
      </c>
    </row>
    <row r="1031" customFormat="false" ht="15.75" hidden="false" customHeight="false" outlineLevel="0" collapsed="false">
      <c r="A1031" s="1" t="s">
        <v>592</v>
      </c>
      <c r="B1031" s="1" t="n">
        <v>303.15</v>
      </c>
      <c r="C1031" s="1" t="n">
        <f aca="false">1/B1031</f>
        <v>0.0032986970146792</v>
      </c>
      <c r="D1031" s="1" t="n">
        <v>0.7802</v>
      </c>
      <c r="E1031" s="1" t="n">
        <f aca="false">LN(D1031)</f>
        <v>-0.248204981909581</v>
      </c>
    </row>
    <row r="1032" customFormat="false" ht="15.75" hidden="false" customHeight="false" outlineLevel="0" collapsed="false">
      <c r="A1032" s="1" t="s">
        <v>592</v>
      </c>
      <c r="B1032" s="1" t="n">
        <v>313.15</v>
      </c>
      <c r="C1032" s="1" t="n">
        <f aca="false">1/B1032</f>
        <v>0.00319335781574325</v>
      </c>
      <c r="D1032" s="1" t="n">
        <v>0.6881</v>
      </c>
      <c r="E1032" s="1" t="n">
        <f aca="false">LN(D1032)</f>
        <v>-0.373821102773703</v>
      </c>
    </row>
    <row r="1033" customFormat="false" ht="15.75" hidden="false" customHeight="false" outlineLevel="0" collapsed="false">
      <c r="A1033" s="1" t="s">
        <v>592</v>
      </c>
      <c r="B1033" s="1" t="n">
        <v>353.15</v>
      </c>
      <c r="C1033" s="1" t="n">
        <f aca="false">1/B1033</f>
        <v>0.00283165793572137</v>
      </c>
      <c r="D1033" s="1" t="n">
        <v>0.4553</v>
      </c>
      <c r="E1033" s="1" t="n">
        <f aca="false">LN(D1033)</f>
        <v>-0.786798736641401</v>
      </c>
    </row>
    <row r="1034" customFormat="false" ht="15.75" hidden="false" customHeight="false" outlineLevel="0" collapsed="false">
      <c r="A1034" s="1" t="s">
        <v>592</v>
      </c>
      <c r="B1034" s="1" t="n">
        <v>373.15</v>
      </c>
      <c r="C1034" s="1" t="n">
        <f aca="false">1/B1034</f>
        <v>0.00267988744472732</v>
      </c>
      <c r="D1034" s="1" t="n">
        <v>0.3735</v>
      </c>
      <c r="E1034" s="1" t="n">
        <f aca="false">LN(D1034)</f>
        <v>-0.984837274409265</v>
      </c>
    </row>
    <row r="1035" customFormat="false" ht="15.75" hidden="false" customHeight="false" outlineLevel="0" collapsed="false">
      <c r="A1035" s="1" t="s">
        <v>592</v>
      </c>
      <c r="B1035" s="1" t="n">
        <v>293.15</v>
      </c>
      <c r="C1035" s="1" t="n">
        <f aca="false">1/B1035</f>
        <v>0.00341122292341805</v>
      </c>
      <c r="D1035" s="1" t="n">
        <v>0.8971</v>
      </c>
      <c r="E1035" s="1" t="n">
        <f aca="false">LN(D1035)</f>
        <v>-0.108587940416899</v>
      </c>
    </row>
    <row r="1036" customFormat="false" ht="15.75" hidden="false" customHeight="false" outlineLevel="0" collapsed="false">
      <c r="A1036" s="1" t="s">
        <v>592</v>
      </c>
      <c r="B1036" s="1" t="n">
        <v>333.15</v>
      </c>
      <c r="C1036" s="1" t="n">
        <f aca="false">1/B1036</f>
        <v>0.0030016509079994</v>
      </c>
      <c r="D1036" s="1" t="n">
        <v>0.5468</v>
      </c>
      <c r="E1036" s="1" t="n">
        <f aca="false">LN(D1036)</f>
        <v>-0.603672174132343</v>
      </c>
    </row>
    <row r="1037" customFormat="false" ht="15.75" hidden="false" customHeight="false" outlineLevel="0" collapsed="false">
      <c r="A1037" s="1" t="s">
        <v>594</v>
      </c>
      <c r="B1037" s="1" t="n">
        <v>303.15</v>
      </c>
      <c r="C1037" s="1" t="n">
        <f aca="false">1/B1037</f>
        <v>0.0032986970146792</v>
      </c>
      <c r="D1037" s="1" t="n">
        <v>3.321</v>
      </c>
      <c r="E1037" s="1" t="n">
        <f aca="false">LN(D1037)</f>
        <v>1.20026594239461</v>
      </c>
    </row>
    <row r="1038" customFormat="false" ht="15.75" hidden="false" customHeight="false" outlineLevel="0" collapsed="false">
      <c r="A1038" s="1" t="s">
        <v>594</v>
      </c>
      <c r="B1038" s="1" t="n">
        <v>319.05</v>
      </c>
      <c r="C1038" s="1" t="n">
        <f aca="false">1/B1038</f>
        <v>0.00313430496787337</v>
      </c>
      <c r="D1038" s="1" t="n">
        <v>2.021</v>
      </c>
      <c r="E1038" s="1" t="n">
        <f aca="false">LN(D1038)</f>
        <v>0.703592438421484</v>
      </c>
    </row>
    <row r="1039" customFormat="false" ht="15.75" hidden="false" customHeight="false" outlineLevel="0" collapsed="false">
      <c r="A1039" s="1" t="s">
        <v>594</v>
      </c>
      <c r="B1039" s="1" t="n">
        <v>348.35</v>
      </c>
      <c r="C1039" s="1" t="n">
        <f aca="false">1/B1039</f>
        <v>0.00287067604420841</v>
      </c>
      <c r="D1039" s="1" t="n">
        <v>0.98</v>
      </c>
      <c r="E1039" s="1" t="n">
        <f aca="false">LN(D1039)</f>
        <v>-0.0202027073175195</v>
      </c>
    </row>
    <row r="1040" customFormat="false" ht="15.75" hidden="false" customHeight="false" outlineLevel="0" collapsed="false">
      <c r="A1040" s="1" t="s">
        <v>594</v>
      </c>
      <c r="B1040" s="1" t="n">
        <v>365.45</v>
      </c>
      <c r="C1040" s="1" t="n">
        <f aca="false">1/B1040</f>
        <v>0.00273635244219455</v>
      </c>
      <c r="D1040" s="1" t="n">
        <v>0.702</v>
      </c>
      <c r="E1040" s="1" t="n">
        <f aca="false">LN(D1040)</f>
        <v>-0.353821874956326</v>
      </c>
    </row>
    <row r="1041" customFormat="false" ht="15.75" hidden="false" customHeight="false" outlineLevel="0" collapsed="false">
      <c r="A1041" s="1" t="s">
        <v>594</v>
      </c>
      <c r="B1041" s="1" t="n">
        <v>391.85</v>
      </c>
      <c r="C1041" s="1" t="n">
        <f aca="false">1/B1041</f>
        <v>0.00255199693760367</v>
      </c>
      <c r="D1041" s="1" t="n">
        <v>0.46</v>
      </c>
      <c r="E1041" s="1" t="n">
        <f aca="false">LN(D1041)</f>
        <v>-0.776528789498996</v>
      </c>
    </row>
    <row r="1042" customFormat="false" ht="15.75" hidden="false" customHeight="false" outlineLevel="0" collapsed="false">
      <c r="A1042" s="1" t="s">
        <v>594</v>
      </c>
      <c r="B1042" s="1" t="n">
        <v>408.25</v>
      </c>
      <c r="C1042" s="1" t="n">
        <f aca="false">1/B1042</f>
        <v>0.00244947948560931</v>
      </c>
      <c r="D1042" s="1" t="n">
        <v>0.3658</v>
      </c>
      <c r="E1042" s="1" t="n">
        <f aca="false">LN(D1042)</f>
        <v>-1.00566854302537</v>
      </c>
    </row>
    <row r="1043" customFormat="false" ht="15.75" hidden="false" customHeight="false" outlineLevel="0" collapsed="false">
      <c r="A1043" s="1" t="s">
        <v>594</v>
      </c>
      <c r="B1043" s="1" t="n">
        <v>333.25</v>
      </c>
      <c r="C1043" s="1" t="n">
        <f aca="false">1/B1043</f>
        <v>0.00300075018754689</v>
      </c>
      <c r="D1043" s="1" t="n">
        <v>1.376</v>
      </c>
      <c r="E1043" s="1" t="n">
        <f aca="false">LN(D1043)</f>
        <v>0.319180739511152</v>
      </c>
    </row>
    <row r="1044" customFormat="false" ht="15.75" hidden="false" customHeight="false" outlineLevel="0" collapsed="false">
      <c r="A1044" s="1" t="s">
        <v>594</v>
      </c>
      <c r="B1044" s="1" t="n">
        <v>376.85</v>
      </c>
      <c r="C1044" s="1" t="n">
        <f aca="false">1/B1044</f>
        <v>0.00265357569324665</v>
      </c>
      <c r="D1044" s="1" t="n">
        <v>0.581</v>
      </c>
      <c r="E1044" s="1" t="n">
        <f aca="false">LN(D1044)</f>
        <v>-0.543004522130226</v>
      </c>
    </row>
    <row r="1045" customFormat="false" ht="15.75" hidden="false" customHeight="false" outlineLevel="0" collapsed="false">
      <c r="A1045" s="1" t="s">
        <v>594</v>
      </c>
      <c r="B1045" s="1" t="n">
        <v>423.35</v>
      </c>
      <c r="C1045" s="1" t="n">
        <f aca="false">1/B1045</f>
        <v>0.00236211172788473</v>
      </c>
      <c r="D1045" s="1" t="n">
        <v>0.3047</v>
      </c>
      <c r="E1045" s="1" t="n">
        <f aca="false">LN(D1045)</f>
        <v>-1.18842759299047</v>
      </c>
    </row>
    <row r="1046" customFormat="false" ht="15.75" hidden="false" customHeight="false" outlineLevel="0" collapsed="false">
      <c r="A1046" s="1" t="s">
        <v>410</v>
      </c>
      <c r="B1046" s="1" t="n">
        <v>293.15</v>
      </c>
      <c r="C1046" s="1" t="n">
        <f aca="false">1/B1046</f>
        <v>0.00341122292341805</v>
      </c>
      <c r="D1046" s="1" t="n">
        <v>0.835</v>
      </c>
      <c r="E1046" s="1" t="n">
        <f aca="false">LN(D1046)</f>
        <v>-0.180323554131282</v>
      </c>
    </row>
    <row r="1047" customFormat="false" ht="15.75" hidden="false" customHeight="false" outlineLevel="0" collapsed="false">
      <c r="A1047" s="1" t="s">
        <v>410</v>
      </c>
      <c r="B1047" s="1" t="n">
        <v>298.15</v>
      </c>
      <c r="C1047" s="1" t="n">
        <f aca="false">1/B1047</f>
        <v>0.00335401643468053</v>
      </c>
      <c r="D1047" s="1" t="n">
        <v>0.709</v>
      </c>
      <c r="E1047" s="1" t="n">
        <f aca="false">LN(D1047)</f>
        <v>-0.34389975245001</v>
      </c>
    </row>
    <row r="1048" customFormat="false" ht="15.75" hidden="false" customHeight="false" outlineLevel="0" collapsed="false">
      <c r="A1048" s="1" t="s">
        <v>410</v>
      </c>
      <c r="B1048" s="1" t="n">
        <v>303.15</v>
      </c>
      <c r="C1048" s="1" t="n">
        <f aca="false">1/B1048</f>
        <v>0.0032986970146792</v>
      </c>
      <c r="D1048" s="1" t="n">
        <v>0.623</v>
      </c>
      <c r="E1048" s="1" t="n">
        <f aca="false">LN(D1048)</f>
        <v>-0.473208760194684</v>
      </c>
    </row>
    <row r="1049" customFormat="false" ht="15.75" hidden="false" customHeight="false" outlineLevel="0" collapsed="false">
      <c r="A1049" s="1" t="s">
        <v>410</v>
      </c>
      <c r="B1049" s="1" t="n">
        <v>308.15</v>
      </c>
      <c r="C1049" s="1" t="n">
        <f aca="false">1/B1049</f>
        <v>0.00324517280545189</v>
      </c>
      <c r="D1049" s="1" t="n">
        <v>0.553</v>
      </c>
      <c r="E1049" s="1" t="n">
        <f aca="false">LN(D1049)</f>
        <v>-0.592397277459802</v>
      </c>
    </row>
    <row r="1050" customFormat="false" ht="15.75" hidden="false" customHeight="false" outlineLevel="0" collapsed="false">
      <c r="A1050" s="1" t="s">
        <v>410</v>
      </c>
      <c r="B1050" s="1" t="n">
        <v>313.15</v>
      </c>
      <c r="C1050" s="1" t="n">
        <f aca="false">1/B1050</f>
        <v>0.00319335781574325</v>
      </c>
      <c r="D1050" s="1" t="n">
        <v>0.495</v>
      </c>
      <c r="E1050" s="1" t="n">
        <f aca="false">LN(D1050)</f>
        <v>-0.703197516413447</v>
      </c>
    </row>
    <row r="1051" customFormat="false" ht="15.75" hidden="false" customHeight="false" outlineLevel="0" collapsed="false">
      <c r="A1051" s="1" t="s">
        <v>410</v>
      </c>
      <c r="B1051" s="1" t="n">
        <v>323.15</v>
      </c>
      <c r="C1051" s="1" t="n">
        <f aca="false">1/B1051</f>
        <v>0.00309453814018258</v>
      </c>
      <c r="D1051" s="1" t="n">
        <v>0.405</v>
      </c>
      <c r="E1051" s="1" t="n">
        <f aca="false">LN(D1051)</f>
        <v>-0.903868211875598</v>
      </c>
    </row>
    <row r="1052" customFormat="false" ht="15.75" hidden="false" customHeight="false" outlineLevel="0" collapsed="false">
      <c r="A1052" s="1" t="s">
        <v>410</v>
      </c>
      <c r="B1052" s="1" t="n">
        <v>333.15</v>
      </c>
      <c r="C1052" s="1" t="n">
        <f aca="false">1/B1052</f>
        <v>0.0030016509079994</v>
      </c>
      <c r="D1052" s="1" t="n">
        <v>0.337</v>
      </c>
      <c r="E1052" s="1" t="n">
        <f aca="false">LN(D1052)</f>
        <v>-1.08767234862978</v>
      </c>
    </row>
    <row r="1053" customFormat="false" ht="15.75" hidden="false" customHeight="false" outlineLevel="0" collapsed="false">
      <c r="A1053" s="1" t="s">
        <v>410</v>
      </c>
      <c r="B1053" s="1" t="n">
        <v>353.15</v>
      </c>
      <c r="C1053" s="1" t="n">
        <f aca="false">1/B1053</f>
        <v>0.00283165793572137</v>
      </c>
      <c r="D1053" s="1" t="n">
        <v>0.285</v>
      </c>
      <c r="E1053" s="1" t="n">
        <f aca="false">LN(D1053)</f>
        <v>-1.25526609871349</v>
      </c>
    </row>
    <row r="1054" customFormat="false" ht="15.75" hidden="false" customHeight="false" outlineLevel="0" collapsed="false">
      <c r="A1054" s="1" t="s">
        <v>1416</v>
      </c>
      <c r="B1054" s="1" t="n">
        <v>293.15</v>
      </c>
      <c r="C1054" s="1" t="n">
        <f aca="false">1/B1054</f>
        <v>0.00341122292341805</v>
      </c>
      <c r="D1054" s="1" t="n">
        <v>40.7664</v>
      </c>
      <c r="E1054" s="1" t="n">
        <f aca="false">LN(D1054)</f>
        <v>3.70785821271172</v>
      </c>
    </row>
    <row r="1055" customFormat="false" ht="15.75" hidden="false" customHeight="false" outlineLevel="0" collapsed="false">
      <c r="A1055" s="1" t="s">
        <v>1416</v>
      </c>
      <c r="B1055" s="1" t="n">
        <v>303.15</v>
      </c>
      <c r="C1055" s="1" t="n">
        <f aca="false">1/B1055</f>
        <v>0.0032986970146792</v>
      </c>
      <c r="D1055" s="1" t="n">
        <v>22.7066</v>
      </c>
      <c r="E1055" s="1" t="n">
        <f aca="false">LN(D1055)</f>
        <v>3.12265563112677</v>
      </c>
    </row>
    <row r="1056" customFormat="false" ht="15.75" hidden="false" customHeight="false" outlineLevel="0" collapsed="false">
      <c r="A1056" s="1" t="s">
        <v>1416</v>
      </c>
      <c r="B1056" s="1" t="n">
        <v>313.15</v>
      </c>
      <c r="C1056" s="1" t="n">
        <f aca="false">1/B1056</f>
        <v>0.00319335781574325</v>
      </c>
      <c r="D1056" s="1" t="n">
        <v>15.7233</v>
      </c>
      <c r="E1056" s="1" t="n">
        <f aca="false">LN(D1056)</f>
        <v>2.75514368863429</v>
      </c>
    </row>
    <row r="1057" customFormat="false" ht="15.75" hidden="false" customHeight="false" outlineLevel="0" collapsed="false">
      <c r="A1057" s="1" t="s">
        <v>1416</v>
      </c>
      <c r="B1057" s="1" t="n">
        <v>333.15</v>
      </c>
      <c r="C1057" s="1" t="n">
        <f aca="false">1/B1057</f>
        <v>0.0030016509079994</v>
      </c>
      <c r="D1057" s="1" t="n">
        <v>7.148</v>
      </c>
      <c r="E1057" s="1" t="n">
        <f aca="false">LN(D1057)</f>
        <v>1.96683259729718</v>
      </c>
    </row>
    <row r="1058" customFormat="false" ht="15.75" hidden="false" customHeight="false" outlineLevel="0" collapsed="false">
      <c r="A1058" s="1" t="s">
        <v>1416</v>
      </c>
      <c r="B1058" s="1" t="n">
        <v>353.15</v>
      </c>
      <c r="C1058" s="1" t="n">
        <f aca="false">1/B1058</f>
        <v>0.00283165793572137</v>
      </c>
      <c r="D1058" s="1" t="n">
        <v>3.7023</v>
      </c>
      <c r="E1058" s="1" t="n">
        <f aca="false">LN(D1058)</f>
        <v>1.30895424814511</v>
      </c>
    </row>
    <row r="1059" customFormat="false" ht="15.75" hidden="false" customHeight="false" outlineLevel="0" collapsed="false">
      <c r="A1059" s="1" t="s">
        <v>1416</v>
      </c>
      <c r="B1059" s="1" t="n">
        <v>373.15</v>
      </c>
      <c r="C1059" s="1" t="n">
        <f aca="false">1/B1059</f>
        <v>0.00267988744472732</v>
      </c>
      <c r="D1059" s="1" t="n">
        <v>2.172</v>
      </c>
      <c r="E1059" s="1" t="n">
        <f aca="false">LN(D1059)</f>
        <v>0.775648402071689</v>
      </c>
    </row>
    <row r="1060" customFormat="false" ht="15.75" hidden="false" customHeight="false" outlineLevel="0" collapsed="false">
      <c r="A1060" s="1" t="s">
        <v>1417</v>
      </c>
      <c r="B1060" s="1" t="n">
        <v>293.15</v>
      </c>
      <c r="C1060" s="1" t="n">
        <f aca="false">1/B1060</f>
        <v>0.00341122292341805</v>
      </c>
      <c r="D1060" s="1" t="n">
        <v>41.4422</v>
      </c>
      <c r="E1060" s="1" t="n">
        <f aca="false">LN(D1060)</f>
        <v>3.72429968534516</v>
      </c>
    </row>
    <row r="1061" customFormat="false" ht="15.75" hidden="false" customHeight="false" outlineLevel="0" collapsed="false">
      <c r="A1061" s="1" t="s">
        <v>1417</v>
      </c>
      <c r="B1061" s="1" t="n">
        <v>303.15</v>
      </c>
      <c r="C1061" s="1" t="n">
        <f aca="false">1/B1061</f>
        <v>0.0032986970146792</v>
      </c>
      <c r="D1061" s="1" t="n">
        <v>25.1383</v>
      </c>
      <c r="E1061" s="1" t="n">
        <f aca="false">LN(D1061)</f>
        <v>3.22439257955507</v>
      </c>
    </row>
    <row r="1062" customFormat="false" ht="15.75" hidden="false" customHeight="false" outlineLevel="0" collapsed="false">
      <c r="A1062" s="1" t="s">
        <v>1417</v>
      </c>
      <c r="B1062" s="1" t="n">
        <v>313.15</v>
      </c>
      <c r="C1062" s="1" t="n">
        <f aca="false">1/B1062</f>
        <v>0.00319335781574325</v>
      </c>
      <c r="D1062" s="1" t="n">
        <v>15.8529</v>
      </c>
      <c r="E1062" s="1" t="n">
        <f aca="false">LN(D1062)</f>
        <v>2.76335244888687</v>
      </c>
    </row>
    <row r="1063" customFormat="false" ht="15.75" hidden="false" customHeight="false" outlineLevel="0" collapsed="false">
      <c r="A1063" s="1" t="s">
        <v>1417</v>
      </c>
      <c r="B1063" s="1" t="n">
        <v>333.15</v>
      </c>
      <c r="C1063" s="1" t="n">
        <f aca="false">1/B1063</f>
        <v>0.0030016509079994</v>
      </c>
      <c r="D1063" s="1" t="n">
        <v>7.1685</v>
      </c>
      <c r="E1063" s="1" t="n">
        <f aca="false">LN(D1063)</f>
        <v>1.96969642770419</v>
      </c>
    </row>
    <row r="1064" customFormat="false" ht="15.75" hidden="false" customHeight="false" outlineLevel="0" collapsed="false">
      <c r="A1064" s="1" t="s">
        <v>1417</v>
      </c>
      <c r="B1064" s="1" t="n">
        <v>353.15</v>
      </c>
      <c r="C1064" s="1" t="n">
        <f aca="false">1/B1064</f>
        <v>0.00283165793572137</v>
      </c>
      <c r="D1064" s="1" t="n">
        <v>3.73</v>
      </c>
      <c r="E1064" s="1" t="n">
        <f aca="false">LN(D1064)</f>
        <v>1.31640823365572</v>
      </c>
    </row>
    <row r="1065" customFormat="false" ht="15.75" hidden="false" customHeight="false" outlineLevel="0" collapsed="false">
      <c r="A1065" s="1" t="s">
        <v>1417</v>
      </c>
      <c r="B1065" s="1" t="n">
        <v>373.15</v>
      </c>
      <c r="C1065" s="1" t="n">
        <f aca="false">1/B1065</f>
        <v>0.00267988744472732</v>
      </c>
      <c r="D1065" s="1" t="n">
        <v>2.1834</v>
      </c>
      <c r="E1065" s="1" t="n">
        <f aca="false">LN(D1065)</f>
        <v>0.780883294864032</v>
      </c>
    </row>
    <row r="1066" customFormat="false" ht="15.75" hidden="false" customHeight="false" outlineLevel="0" collapsed="false">
      <c r="A1066" s="1" t="s">
        <v>597</v>
      </c>
      <c r="B1066" s="1" t="n">
        <v>273.15</v>
      </c>
      <c r="C1066" s="1" t="n">
        <f aca="false">1/B1066</f>
        <v>0.00366099212886692</v>
      </c>
      <c r="D1066" s="1" t="n">
        <v>16.3961</v>
      </c>
      <c r="E1066" s="1" t="n">
        <f aca="false">LN(D1066)</f>
        <v>2.79704350167204</v>
      </c>
    </row>
    <row r="1067" customFormat="false" ht="15.75" hidden="false" customHeight="false" outlineLevel="0" collapsed="false">
      <c r="A1067" s="1" t="s">
        <v>597</v>
      </c>
      <c r="B1067" s="1" t="n">
        <v>283.15</v>
      </c>
      <c r="C1067" s="1" t="n">
        <f aca="false">1/B1067</f>
        <v>0.00353169698039908</v>
      </c>
      <c r="D1067" s="1" t="n">
        <v>10.543</v>
      </c>
      <c r="E1067" s="1" t="n">
        <f aca="false">LN(D1067)</f>
        <v>2.35546213259481</v>
      </c>
    </row>
    <row r="1068" customFormat="false" ht="15.75" hidden="false" customHeight="false" outlineLevel="0" collapsed="false">
      <c r="A1068" s="1" t="s">
        <v>597</v>
      </c>
      <c r="B1068" s="1" t="n">
        <v>293.15</v>
      </c>
      <c r="C1068" s="1" t="n">
        <f aca="false">1/B1068</f>
        <v>0.00341122292341805</v>
      </c>
      <c r="D1068" s="1" t="n">
        <v>7.2254</v>
      </c>
      <c r="E1068" s="1" t="n">
        <f aca="false">LN(D1068)</f>
        <v>1.9776025957878</v>
      </c>
    </row>
    <row r="1069" customFormat="false" ht="15.75" hidden="false" customHeight="false" outlineLevel="0" collapsed="false">
      <c r="A1069" s="1" t="s">
        <v>597</v>
      </c>
      <c r="B1069" s="1" t="n">
        <v>303.15</v>
      </c>
      <c r="C1069" s="1" t="n">
        <f aca="false">1/B1069</f>
        <v>0.0032986970146792</v>
      </c>
      <c r="D1069" s="1" t="n">
        <v>5.2219</v>
      </c>
      <c r="E1069" s="1" t="n">
        <f aca="false">LN(D1069)</f>
        <v>1.65286132034253</v>
      </c>
    </row>
    <row r="1070" customFormat="false" ht="15.75" hidden="false" customHeight="false" outlineLevel="0" collapsed="false">
      <c r="A1070" s="1" t="s">
        <v>597</v>
      </c>
      <c r="B1070" s="1" t="n">
        <v>313.15</v>
      </c>
      <c r="C1070" s="1" t="n">
        <f aca="false">1/B1070</f>
        <v>0.00319335781574325</v>
      </c>
      <c r="D1070" s="1" t="n">
        <v>3.9324</v>
      </c>
      <c r="E1070" s="1" t="n">
        <f aca="false">LN(D1070)</f>
        <v>1.36924992651063</v>
      </c>
    </row>
    <row r="1071" customFormat="false" ht="15.75" hidden="false" customHeight="false" outlineLevel="0" collapsed="false">
      <c r="A1071" s="1" t="s">
        <v>597</v>
      </c>
      <c r="B1071" s="1" t="n">
        <v>333.15</v>
      </c>
      <c r="C1071" s="1" t="n">
        <f aca="false">1/B1071</f>
        <v>0.0030016509079994</v>
      </c>
      <c r="D1071" s="1" t="n">
        <v>2.4637</v>
      </c>
      <c r="E1071" s="1" t="n">
        <f aca="false">LN(D1071)</f>
        <v>0.901664285011992</v>
      </c>
    </row>
    <row r="1072" customFormat="false" ht="15.75" hidden="false" customHeight="false" outlineLevel="0" collapsed="false">
      <c r="A1072" s="1" t="s">
        <v>597</v>
      </c>
      <c r="B1072" s="1" t="n">
        <v>353.15</v>
      </c>
      <c r="C1072" s="1" t="n">
        <f aca="false">1/B1072</f>
        <v>0.00283165793572137</v>
      </c>
      <c r="D1072" s="1" t="n">
        <v>1.692</v>
      </c>
      <c r="E1072" s="1" t="n">
        <f aca="false">LN(D1072)</f>
        <v>0.525911261184032</v>
      </c>
    </row>
    <row r="1073" customFormat="false" ht="15.75" hidden="false" customHeight="false" outlineLevel="0" collapsed="false">
      <c r="A1073" s="1" t="s">
        <v>597</v>
      </c>
      <c r="B1073" s="1" t="n">
        <v>373.15</v>
      </c>
      <c r="C1073" s="1" t="n">
        <f aca="false">1/B1073</f>
        <v>0.00267988744472732</v>
      </c>
      <c r="D1073" s="1" t="n">
        <v>1.2398</v>
      </c>
      <c r="E1073" s="1" t="n">
        <f aca="false">LN(D1073)</f>
        <v>0.214950076285682</v>
      </c>
    </row>
    <row r="1074" customFormat="false" ht="15.75" hidden="false" customHeight="false" outlineLevel="0" collapsed="false">
      <c r="A1074" s="1" t="s">
        <v>599</v>
      </c>
      <c r="B1074" s="1" t="n">
        <v>273.15</v>
      </c>
      <c r="C1074" s="1" t="n">
        <f aca="false">1/B1074</f>
        <v>0.00366099212886692</v>
      </c>
      <c r="D1074" s="1" t="n">
        <v>0.9309</v>
      </c>
      <c r="E1074" s="1" t="n">
        <f aca="false">LN(D1074)</f>
        <v>-0.0716034188596929</v>
      </c>
    </row>
    <row r="1075" customFormat="false" ht="15.75" hidden="false" customHeight="false" outlineLevel="0" collapsed="false">
      <c r="A1075" s="1" t="s">
        <v>599</v>
      </c>
      <c r="B1075" s="1" t="n">
        <v>283.15</v>
      </c>
      <c r="C1075" s="1" t="n">
        <f aca="false">1/B1075</f>
        <v>0.00353169698039908</v>
      </c>
      <c r="D1075" s="1" t="n">
        <v>0.7999</v>
      </c>
      <c r="E1075" s="1" t="n">
        <f aca="false">LN(D1075)</f>
        <v>-0.223268559127361</v>
      </c>
    </row>
    <row r="1076" customFormat="false" ht="15.75" hidden="false" customHeight="false" outlineLevel="0" collapsed="false">
      <c r="A1076" s="1" t="s">
        <v>599</v>
      </c>
      <c r="B1076" s="1" t="n">
        <v>293.15</v>
      </c>
      <c r="C1076" s="1" t="n">
        <f aca="false">1/B1076</f>
        <v>0.00341122292341805</v>
      </c>
      <c r="D1076" s="1" t="n">
        <v>0.699</v>
      </c>
      <c r="E1076" s="1" t="n">
        <f aca="false">LN(D1076)</f>
        <v>-0.358104536748327</v>
      </c>
    </row>
    <row r="1077" customFormat="false" ht="15.75" hidden="false" customHeight="false" outlineLevel="0" collapsed="false">
      <c r="A1077" s="1" t="s">
        <v>599</v>
      </c>
      <c r="B1077" s="1" t="n">
        <v>303.15</v>
      </c>
      <c r="C1077" s="1" t="n">
        <f aca="false">1/B1077</f>
        <v>0.0032986970146792</v>
      </c>
      <c r="D1077" s="1" t="n">
        <v>0.6168</v>
      </c>
      <c r="E1077" s="1" t="n">
        <f aca="false">LN(D1077)</f>
        <v>-0.483210456733017</v>
      </c>
    </row>
    <row r="1078" customFormat="false" ht="15.75" hidden="false" customHeight="false" outlineLevel="0" collapsed="false">
      <c r="A1078" s="1" t="s">
        <v>599</v>
      </c>
      <c r="B1078" s="1" t="n">
        <v>313.15</v>
      </c>
      <c r="C1078" s="1" t="n">
        <f aca="false">1/B1078</f>
        <v>0.00319335781574325</v>
      </c>
      <c r="D1078" s="1" t="n">
        <v>0.5494</v>
      </c>
      <c r="E1078" s="1" t="n">
        <f aca="false">LN(D1078)</f>
        <v>-0.598928505320963</v>
      </c>
    </row>
    <row r="1079" customFormat="false" ht="15.75" hidden="false" customHeight="false" outlineLevel="0" collapsed="false">
      <c r="A1079" s="1" t="s">
        <v>599</v>
      </c>
      <c r="B1079" s="1" t="n">
        <v>333.15</v>
      </c>
      <c r="C1079" s="1" t="n">
        <f aca="false">1/B1079</f>
        <v>0.0030016509079994</v>
      </c>
      <c r="D1079" s="1" t="n">
        <v>0.4468</v>
      </c>
      <c r="E1079" s="1" t="n">
        <f aca="false">LN(D1079)</f>
        <v>-0.805644211787091</v>
      </c>
    </row>
    <row r="1080" customFormat="false" ht="15.75" hidden="false" customHeight="false" outlineLevel="0" collapsed="false">
      <c r="A1080" s="1" t="s">
        <v>599</v>
      </c>
      <c r="B1080" s="1" t="n">
        <v>353.15</v>
      </c>
      <c r="C1080" s="1" t="n">
        <f aca="false">1/B1080</f>
        <v>0.00283165793572137</v>
      </c>
      <c r="D1080" s="1" t="n">
        <v>0.3708</v>
      </c>
      <c r="E1080" s="1" t="n">
        <f aca="false">LN(D1080)</f>
        <v>-0.992092445290437</v>
      </c>
    </row>
    <row r="1081" customFormat="false" ht="15.75" hidden="false" customHeight="false" outlineLevel="0" collapsed="false">
      <c r="A1081" s="1" t="s">
        <v>599</v>
      </c>
      <c r="B1081" s="1" t="n">
        <v>373.15</v>
      </c>
      <c r="C1081" s="1" t="n">
        <f aca="false">1/B1081</f>
        <v>0.00267988744472732</v>
      </c>
      <c r="D1081" s="1" t="n">
        <v>0.3129</v>
      </c>
      <c r="E1081" s="1" t="n">
        <f aca="false">LN(D1081)</f>
        <v>-1.1618716283073</v>
      </c>
    </row>
    <row r="1082" customFormat="false" ht="15.75" hidden="false" customHeight="false" outlineLevel="0" collapsed="false">
      <c r="A1082" s="1" t="s">
        <v>38</v>
      </c>
      <c r="B1082" s="1" t="n">
        <v>298.15</v>
      </c>
      <c r="C1082" s="1" t="n">
        <f aca="false">1/B1082</f>
        <v>0.00335401643468053</v>
      </c>
      <c r="D1082" s="1" t="n">
        <v>4.0474</v>
      </c>
      <c r="E1082" s="1" t="n">
        <f aca="false">LN(D1082)</f>
        <v>1.39807469965542</v>
      </c>
    </row>
    <row r="1083" customFormat="false" ht="15.75" hidden="false" customHeight="false" outlineLevel="0" collapsed="false">
      <c r="A1083" s="1" t="s">
        <v>601</v>
      </c>
      <c r="B1083" s="1" t="n">
        <v>321.15</v>
      </c>
      <c r="C1083" s="1" t="n">
        <f aca="false">1/B1083</f>
        <v>0.00311380974622451</v>
      </c>
      <c r="D1083" s="1" t="n">
        <v>1.816</v>
      </c>
      <c r="E1083" s="1" t="n">
        <f aca="false">LN(D1083)</f>
        <v>0.596636280179102</v>
      </c>
    </row>
    <row r="1084" customFormat="false" ht="15.75" hidden="false" customHeight="false" outlineLevel="0" collapsed="false">
      <c r="A1084" s="1" t="s">
        <v>601</v>
      </c>
      <c r="B1084" s="1" t="n">
        <v>344.45</v>
      </c>
      <c r="C1084" s="1" t="n">
        <f aca="false">1/B1084</f>
        <v>0.00290317898098418</v>
      </c>
      <c r="D1084" s="1" t="n">
        <v>1.224</v>
      </c>
      <c r="E1084" s="1" t="n">
        <f aca="false">LN(D1084)</f>
        <v>0.202124184090134</v>
      </c>
    </row>
    <row r="1085" customFormat="false" ht="15.75" hidden="false" customHeight="false" outlineLevel="0" collapsed="false">
      <c r="A1085" s="1" t="s">
        <v>601</v>
      </c>
      <c r="B1085" s="1" t="n">
        <v>384.15</v>
      </c>
      <c r="C1085" s="1" t="n">
        <f aca="false">1/B1085</f>
        <v>0.00260314981127164</v>
      </c>
      <c r="D1085" s="1" t="n">
        <v>0.742</v>
      </c>
      <c r="E1085" s="1" t="n">
        <f aca="false">LN(D1085)</f>
        <v>-0.298406035814757</v>
      </c>
    </row>
    <row r="1086" customFormat="false" ht="15.75" hidden="false" customHeight="false" outlineLevel="0" collapsed="false">
      <c r="A1086" s="1" t="s">
        <v>601</v>
      </c>
      <c r="B1086" s="1" t="n">
        <v>404.65</v>
      </c>
      <c r="C1086" s="1" t="n">
        <f aca="false">1/B1086</f>
        <v>0.00247127146917089</v>
      </c>
      <c r="D1086" s="1" t="n">
        <v>0.601</v>
      </c>
      <c r="E1086" s="1" t="n">
        <f aca="false">LN(D1086)</f>
        <v>-0.509160344446929</v>
      </c>
    </row>
    <row r="1087" customFormat="false" ht="15.75" hidden="false" customHeight="false" outlineLevel="0" collapsed="false">
      <c r="A1087" s="1" t="s">
        <v>601</v>
      </c>
      <c r="B1087" s="1" t="n">
        <v>423.15</v>
      </c>
      <c r="C1087" s="1" t="n">
        <f aca="false">1/B1087</f>
        <v>0.00236322816967978</v>
      </c>
      <c r="D1087" s="1" t="n">
        <v>0.502</v>
      </c>
      <c r="E1087" s="1" t="n">
        <f aca="false">LN(D1087)</f>
        <v>-0.689155159290408</v>
      </c>
    </row>
    <row r="1088" customFormat="false" ht="15.75" hidden="false" customHeight="false" outlineLevel="0" collapsed="false">
      <c r="A1088" s="1" t="s">
        <v>601</v>
      </c>
      <c r="B1088" s="1" t="n">
        <v>443.15</v>
      </c>
      <c r="C1088" s="1" t="n">
        <f aca="false">1/B1088</f>
        <v>0.00225657226672684</v>
      </c>
      <c r="D1088" s="1" t="n">
        <v>0.4303</v>
      </c>
      <c r="E1088" s="1" t="n">
        <f aca="false">LN(D1088)</f>
        <v>-0.843272639137583</v>
      </c>
    </row>
    <row r="1089" customFormat="false" ht="15.75" hidden="false" customHeight="false" outlineLevel="0" collapsed="false">
      <c r="A1089" s="1" t="s">
        <v>601</v>
      </c>
      <c r="B1089" s="1" t="n">
        <v>459.15</v>
      </c>
      <c r="C1089" s="1" t="n">
        <f aca="false">1/B1089</f>
        <v>0.00217793749319395</v>
      </c>
      <c r="D1089" s="1" t="n">
        <v>0.3805</v>
      </c>
      <c r="E1089" s="1" t="n">
        <f aca="false">LN(D1089)</f>
        <v>-0.966269101680397</v>
      </c>
    </row>
    <row r="1090" customFormat="false" ht="15.75" hidden="false" customHeight="false" outlineLevel="0" collapsed="false">
      <c r="A1090" s="1" t="s">
        <v>601</v>
      </c>
      <c r="B1090" s="1" t="n">
        <v>470.55</v>
      </c>
      <c r="C1090" s="1" t="n">
        <f aca="false">1/B1090</f>
        <v>0.00212517267027946</v>
      </c>
      <c r="D1090" s="1" t="n">
        <v>0.3502</v>
      </c>
      <c r="E1090" s="1" t="n">
        <f aca="false">LN(D1090)</f>
        <v>-1.04925085913039</v>
      </c>
    </row>
    <row r="1091" customFormat="false" ht="15.75" hidden="false" customHeight="false" outlineLevel="0" collapsed="false">
      <c r="A1091" s="1" t="s">
        <v>601</v>
      </c>
      <c r="B1091" s="1" t="n">
        <v>364.25</v>
      </c>
      <c r="C1091" s="1" t="n">
        <f aca="false">1/B1091</f>
        <v>0.00274536719286205</v>
      </c>
      <c r="D1091" s="1" t="n">
        <v>0.929</v>
      </c>
      <c r="E1091" s="1" t="n">
        <f aca="false">LN(D1091)</f>
        <v>-0.0736465401682985</v>
      </c>
    </row>
    <row r="1092" customFormat="false" ht="15.75" hidden="false" customHeight="false" outlineLevel="0" collapsed="false">
      <c r="A1092" s="1" t="s">
        <v>601</v>
      </c>
      <c r="B1092" s="1" t="n">
        <v>424.15</v>
      </c>
      <c r="C1092" s="1" t="n">
        <f aca="false">1/B1092</f>
        <v>0.00235765648944949</v>
      </c>
      <c r="D1092" s="1" t="n">
        <v>0.5007</v>
      </c>
      <c r="E1092" s="1" t="n">
        <f aca="false">LN(D1092)</f>
        <v>-0.691748159646238</v>
      </c>
    </row>
    <row r="1093" customFormat="false" ht="15.75" hidden="false" customHeight="false" outlineLevel="0" collapsed="false">
      <c r="A1093" s="1" t="s">
        <v>601</v>
      </c>
      <c r="B1093" s="1" t="n">
        <v>486.15</v>
      </c>
      <c r="C1093" s="1" t="n">
        <f aca="false">1/B1093</f>
        <v>0.00205697829887895</v>
      </c>
      <c r="D1093" s="1" t="n">
        <v>0.3148</v>
      </c>
      <c r="E1093" s="1" t="n">
        <f aca="false">LN(D1093)</f>
        <v>-1.15581776243889</v>
      </c>
    </row>
    <row r="1094" customFormat="false" ht="15.75" hidden="false" customHeight="false" outlineLevel="0" collapsed="false">
      <c r="A1094" s="1" t="s">
        <v>603</v>
      </c>
      <c r="B1094" s="1" t="n">
        <v>273.45</v>
      </c>
      <c r="C1094" s="1" t="n">
        <f aca="false">1/B1094</f>
        <v>0.00365697568111172</v>
      </c>
      <c r="D1094" s="1" t="n">
        <v>0.875</v>
      </c>
      <c r="E1094" s="1" t="n">
        <f aca="false">LN(D1094)</f>
        <v>-0.133531392624523</v>
      </c>
    </row>
    <row r="1095" customFormat="false" ht="15.75" hidden="false" customHeight="false" outlineLevel="0" collapsed="false">
      <c r="A1095" s="1" t="s">
        <v>603</v>
      </c>
      <c r="B1095" s="1" t="n">
        <v>282.33</v>
      </c>
      <c r="C1095" s="1" t="n">
        <f aca="false">1/B1095</f>
        <v>0.00354195445046577</v>
      </c>
      <c r="D1095" s="1" t="n">
        <v>0.782</v>
      </c>
      <c r="E1095" s="1" t="n">
        <f aca="false">LN(D1095)</f>
        <v>-0.245900538436826</v>
      </c>
    </row>
    <row r="1096" customFormat="false" ht="15.75" hidden="false" customHeight="false" outlineLevel="0" collapsed="false">
      <c r="A1096" s="1" t="s">
        <v>603</v>
      </c>
      <c r="B1096" s="1" t="n">
        <v>289.07</v>
      </c>
      <c r="C1096" s="1" t="n">
        <f aca="false">1/B1096</f>
        <v>0.00345936970284014</v>
      </c>
      <c r="D1096" s="1" t="n">
        <v>0.722</v>
      </c>
      <c r="E1096" s="1" t="n">
        <f aca="false">LN(D1096)</f>
        <v>-0.325730140089311</v>
      </c>
    </row>
    <row r="1097" customFormat="false" ht="15.75" hidden="false" customHeight="false" outlineLevel="0" collapsed="false">
      <c r="A1097" s="1" t="s">
        <v>603</v>
      </c>
      <c r="B1097" s="1" t="n">
        <v>296.58</v>
      </c>
      <c r="C1097" s="1" t="n">
        <f aca="false">1/B1097</f>
        <v>0.00337177152876121</v>
      </c>
      <c r="D1097" s="1" t="n">
        <v>0.664</v>
      </c>
      <c r="E1097" s="1" t="n">
        <f aca="false">LN(D1097)</f>
        <v>-0.409473129505703</v>
      </c>
    </row>
    <row r="1098" customFormat="false" ht="15.75" hidden="false" customHeight="false" outlineLevel="0" collapsed="false">
      <c r="A1098" s="1" t="s">
        <v>603</v>
      </c>
      <c r="B1098" s="1" t="n">
        <v>313.82</v>
      </c>
      <c r="C1098" s="1" t="n">
        <f aca="false">1/B1098</f>
        <v>0.00318654005480849</v>
      </c>
      <c r="D1098" s="1" t="n">
        <v>0.555</v>
      </c>
      <c r="E1098" s="1" t="n">
        <f aca="false">LN(D1098)</f>
        <v>-0.588787165235702</v>
      </c>
    </row>
    <row r="1099" customFormat="false" ht="15.75" hidden="false" customHeight="false" outlineLevel="0" collapsed="false">
      <c r="A1099" s="1" t="s">
        <v>603</v>
      </c>
      <c r="B1099" s="1" t="n">
        <v>322.58</v>
      </c>
      <c r="C1099" s="1" t="n">
        <f aca="false">1/B1099</f>
        <v>0.0031000062000124</v>
      </c>
      <c r="D1099" s="1" t="n">
        <v>0.509</v>
      </c>
      <c r="E1099" s="1" t="n">
        <f aca="false">LN(D1099)</f>
        <v>-0.675307262431614</v>
      </c>
    </row>
    <row r="1100" customFormat="false" ht="15.75" hidden="false" customHeight="false" outlineLevel="0" collapsed="false">
      <c r="A1100" s="1" t="s">
        <v>603</v>
      </c>
      <c r="B1100" s="1" t="n">
        <v>330.16</v>
      </c>
      <c r="C1100" s="1" t="n">
        <f aca="false">1/B1100</f>
        <v>0.00302883450448267</v>
      </c>
      <c r="D1100" s="1" t="n">
        <v>0.475</v>
      </c>
      <c r="E1100" s="1" t="n">
        <f aca="false">LN(D1100)</f>
        <v>-0.744440474947496</v>
      </c>
    </row>
    <row r="1101" customFormat="false" ht="15.75" hidden="false" customHeight="false" outlineLevel="0" collapsed="false">
      <c r="A1101" s="1" t="s">
        <v>603</v>
      </c>
      <c r="B1101" s="1" t="n">
        <v>338.59</v>
      </c>
      <c r="C1101" s="1" t="n">
        <f aca="false">1/B1101</f>
        <v>0.00295342449570277</v>
      </c>
      <c r="D1101" s="1" t="n">
        <v>0.44</v>
      </c>
      <c r="E1101" s="1" t="n">
        <f aca="false">LN(D1101)</f>
        <v>-0.82098055206983</v>
      </c>
    </row>
    <row r="1102" customFormat="false" ht="15.75" hidden="false" customHeight="false" outlineLevel="0" collapsed="false">
      <c r="A1102" s="1" t="s">
        <v>603</v>
      </c>
      <c r="B1102" s="1" t="n">
        <v>353.6</v>
      </c>
      <c r="C1102" s="1" t="n">
        <f aca="false">1/B1102</f>
        <v>0.00282805429864253</v>
      </c>
      <c r="D1102" s="1" t="n">
        <v>0.388</v>
      </c>
      <c r="E1102" s="1" t="n">
        <f aca="false">LN(D1102)</f>
        <v>-0.946749939358864</v>
      </c>
    </row>
    <row r="1103" customFormat="false" ht="15.75" hidden="false" customHeight="false" outlineLevel="0" collapsed="false">
      <c r="A1103" s="1" t="s">
        <v>603</v>
      </c>
      <c r="B1103" s="1" t="n">
        <v>361.87</v>
      </c>
      <c r="C1103" s="1" t="n">
        <f aca="false">1/B1103</f>
        <v>0.00276342332881974</v>
      </c>
      <c r="D1103" s="1" t="n">
        <v>0.361</v>
      </c>
      <c r="E1103" s="1" t="n">
        <f aca="false">LN(D1103)</f>
        <v>-1.01887732064926</v>
      </c>
    </row>
    <row r="1104" customFormat="false" ht="15.75" hidden="false" customHeight="false" outlineLevel="0" collapsed="false">
      <c r="A1104" s="1" t="s">
        <v>603</v>
      </c>
      <c r="B1104" s="1" t="n">
        <v>288.1527</v>
      </c>
      <c r="C1104" s="1" t="n">
        <f aca="false">1/B1104</f>
        <v>0.0034703821966617</v>
      </c>
      <c r="D1104" s="1" t="n">
        <v>0.732</v>
      </c>
      <c r="E1104" s="1" t="n">
        <f aca="false">LN(D1104)</f>
        <v>-0.311974765020825</v>
      </c>
    </row>
    <row r="1105" customFormat="false" ht="15.75" hidden="false" customHeight="false" outlineLevel="0" collapsed="false">
      <c r="A1105" s="1" t="s">
        <v>603</v>
      </c>
      <c r="B1105" s="1" t="n">
        <v>303.15</v>
      </c>
      <c r="C1105" s="1" t="n">
        <f aca="false">1/B1105</f>
        <v>0.0032986970146792</v>
      </c>
      <c r="D1105" s="1" t="n">
        <v>0.62</v>
      </c>
      <c r="E1105" s="1" t="n">
        <f aca="false">LN(D1105)</f>
        <v>-0.478035800943</v>
      </c>
    </row>
    <row r="1106" customFormat="false" ht="15.75" hidden="false" customHeight="false" outlineLevel="0" collapsed="false">
      <c r="A1106" s="1" t="s">
        <v>603</v>
      </c>
      <c r="B1106" s="1" t="n">
        <v>305.64</v>
      </c>
      <c r="C1106" s="1" t="n">
        <f aca="false">1/B1106</f>
        <v>0.00327182305980893</v>
      </c>
      <c r="D1106" s="1" t="n">
        <v>0.601</v>
      </c>
      <c r="E1106" s="1" t="n">
        <f aca="false">LN(D1106)</f>
        <v>-0.509160344446929</v>
      </c>
    </row>
    <row r="1107" customFormat="false" ht="15.75" hidden="false" customHeight="false" outlineLevel="0" collapsed="false">
      <c r="A1107" s="1" t="s">
        <v>603</v>
      </c>
      <c r="B1107" s="1" t="n">
        <v>344.64</v>
      </c>
      <c r="C1107" s="1" t="n">
        <f aca="false">1/B1107</f>
        <v>0.00290157845868152</v>
      </c>
      <c r="D1107" s="1" t="n">
        <v>0.418</v>
      </c>
      <c r="E1107" s="1" t="n">
        <f aca="false">LN(D1107)</f>
        <v>-0.872273846457381</v>
      </c>
    </row>
    <row r="1108" customFormat="false" ht="15.75" hidden="false" customHeight="false" outlineLevel="0" collapsed="false">
      <c r="A1108" s="1" t="s">
        <v>40</v>
      </c>
      <c r="B1108" s="1" t="n">
        <v>298.15</v>
      </c>
      <c r="C1108" s="1" t="n">
        <f aca="false">1/B1108</f>
        <v>0.00335401643468053</v>
      </c>
      <c r="D1108" s="1" t="n">
        <v>1.597</v>
      </c>
      <c r="E1108" s="1" t="n">
        <f aca="false">LN(D1108)</f>
        <v>0.468126869232875</v>
      </c>
    </row>
    <row r="1109" customFormat="false" ht="15.75" hidden="false" customHeight="false" outlineLevel="0" collapsed="false">
      <c r="A1109" s="1" t="s">
        <v>40</v>
      </c>
      <c r="B1109" s="1" t="n">
        <v>303.15</v>
      </c>
      <c r="C1109" s="1" t="n">
        <f aca="false">1/B1109</f>
        <v>0.0032986970146792</v>
      </c>
      <c r="D1109" s="1" t="n">
        <v>1.476</v>
      </c>
      <c r="E1109" s="1" t="n">
        <f aca="false">LN(D1109)</f>
        <v>0.389335726178281</v>
      </c>
    </row>
    <row r="1110" customFormat="false" ht="15.75" hidden="false" customHeight="false" outlineLevel="0" collapsed="false">
      <c r="A1110" s="1" t="s">
        <v>40</v>
      </c>
      <c r="B1110" s="1" t="n">
        <v>313.15</v>
      </c>
      <c r="C1110" s="1" t="n">
        <f aca="false">1/B1110</f>
        <v>0.00319335781574325</v>
      </c>
      <c r="D1110" s="1" t="n">
        <v>1.189</v>
      </c>
      <c r="E1110" s="1" t="n">
        <f aca="false">LN(D1110)</f>
        <v>0.173112617708645</v>
      </c>
    </row>
    <row r="1111" customFormat="false" ht="15.75" hidden="false" customHeight="false" outlineLevel="0" collapsed="false">
      <c r="A1111" s="1" t="s">
        <v>40</v>
      </c>
      <c r="B1111" s="1" t="n">
        <v>308.15</v>
      </c>
      <c r="C1111" s="1" t="n">
        <f aca="false">1/B1111</f>
        <v>0.00324517280545189</v>
      </c>
      <c r="D1111" s="1" t="n">
        <v>1.189</v>
      </c>
      <c r="E1111" s="1" t="n">
        <f aca="false">LN(D1111)</f>
        <v>0.173112617708645</v>
      </c>
    </row>
    <row r="1112" customFormat="false" ht="15.75" hidden="false" customHeight="false" outlineLevel="0" collapsed="false">
      <c r="A1112" s="1" t="s">
        <v>605</v>
      </c>
      <c r="B1112" s="1" t="n">
        <v>320.35</v>
      </c>
      <c r="C1112" s="1" t="n">
        <f aca="false">1/B1112</f>
        <v>0.00312158576556891</v>
      </c>
      <c r="D1112" s="1" t="n">
        <v>2.617</v>
      </c>
      <c r="E1112" s="1" t="n">
        <f aca="false">LN(D1112)</f>
        <v>0.962028623548009</v>
      </c>
    </row>
    <row r="1113" customFormat="false" ht="15.75" hidden="false" customHeight="false" outlineLevel="0" collapsed="false">
      <c r="A1113" s="1" t="s">
        <v>605</v>
      </c>
      <c r="B1113" s="1" t="n">
        <v>345.15</v>
      </c>
      <c r="C1113" s="1" t="n">
        <f aca="false">1/B1113</f>
        <v>0.00289729103288425</v>
      </c>
      <c r="D1113" s="1" t="n">
        <v>1.502</v>
      </c>
      <c r="E1113" s="1" t="n">
        <f aca="false">LN(D1113)</f>
        <v>0.406797553341943</v>
      </c>
    </row>
    <row r="1114" customFormat="false" ht="15.75" hidden="false" customHeight="false" outlineLevel="0" collapsed="false">
      <c r="A1114" s="1" t="s">
        <v>605</v>
      </c>
      <c r="B1114" s="1" t="n">
        <v>366.35</v>
      </c>
      <c r="C1114" s="1" t="n">
        <f aca="false">1/B1114</f>
        <v>0.00272963013511669</v>
      </c>
      <c r="D1114" s="1" t="n">
        <v>1.037</v>
      </c>
      <c r="E1114" s="1" t="n">
        <f aca="false">LN(D1114)</f>
        <v>0.0363319292473902</v>
      </c>
    </row>
    <row r="1115" customFormat="false" ht="15.75" hidden="false" customHeight="false" outlineLevel="0" collapsed="false">
      <c r="A1115" s="1" t="s">
        <v>605</v>
      </c>
      <c r="B1115" s="1" t="n">
        <v>405.65</v>
      </c>
      <c r="C1115" s="1" t="n">
        <f aca="false">1/B1115</f>
        <v>0.00246517934179712</v>
      </c>
      <c r="D1115" s="1" t="n">
        <v>0.6256</v>
      </c>
      <c r="E1115" s="1" t="n">
        <f aca="false">LN(D1115)</f>
        <v>-0.469044089751036</v>
      </c>
    </row>
    <row r="1116" customFormat="false" ht="15.75" hidden="false" customHeight="false" outlineLevel="0" collapsed="false">
      <c r="A1116" s="1" t="s">
        <v>605</v>
      </c>
      <c r="B1116" s="1" t="n">
        <v>413.35</v>
      </c>
      <c r="C1116" s="1" t="n">
        <f aca="false">1/B1116</f>
        <v>0.00241925728801258</v>
      </c>
      <c r="D1116" s="1" t="n">
        <v>0.5754</v>
      </c>
      <c r="E1116" s="1" t="n">
        <f aca="false">LN(D1116)</f>
        <v>-0.552689827864689</v>
      </c>
    </row>
    <row r="1117" customFormat="false" ht="15.75" hidden="false" customHeight="false" outlineLevel="0" collapsed="false">
      <c r="A1117" s="1" t="s">
        <v>605</v>
      </c>
      <c r="B1117" s="1" t="n">
        <v>423.15</v>
      </c>
      <c r="C1117" s="1" t="n">
        <f aca="false">1/B1117</f>
        <v>0.00236322816967978</v>
      </c>
      <c r="D1117" s="1" t="n">
        <v>0.5222</v>
      </c>
      <c r="E1117" s="1" t="n">
        <f aca="false">LN(D1117)</f>
        <v>-0.649704622717109</v>
      </c>
    </row>
    <row r="1118" customFormat="false" ht="15.75" hidden="false" customHeight="false" outlineLevel="0" collapsed="false">
      <c r="A1118" s="1" t="s">
        <v>605</v>
      </c>
      <c r="B1118" s="1" t="n">
        <v>442.35</v>
      </c>
      <c r="C1118" s="1" t="n">
        <f aca="false">1/B1118</f>
        <v>0.00226065332881203</v>
      </c>
      <c r="D1118" s="1" t="n">
        <v>0.4361</v>
      </c>
      <c r="E1118" s="1" t="n">
        <f aca="false">LN(D1118)</f>
        <v>-0.829883704133416</v>
      </c>
    </row>
    <row r="1119" customFormat="false" ht="15.75" hidden="false" customHeight="false" outlineLevel="0" collapsed="false">
      <c r="A1119" s="1" t="s">
        <v>605</v>
      </c>
      <c r="B1119" s="1" t="n">
        <v>453.05</v>
      </c>
      <c r="C1119" s="1" t="n">
        <f aca="false">1/B1119</f>
        <v>0.00220726189162344</v>
      </c>
      <c r="D1119" s="1" t="n">
        <v>0.3996</v>
      </c>
      <c r="E1119" s="1" t="n">
        <f aca="false">LN(D1119)</f>
        <v>-0.917291232207739</v>
      </c>
    </row>
    <row r="1120" customFormat="false" ht="15.75" hidden="false" customHeight="false" outlineLevel="0" collapsed="false">
      <c r="A1120" s="1" t="s">
        <v>605</v>
      </c>
      <c r="B1120" s="1" t="n">
        <v>464.35</v>
      </c>
      <c r="C1120" s="1" t="n">
        <f aca="false">1/B1120</f>
        <v>0.00215354797028104</v>
      </c>
      <c r="D1120" s="1" t="n">
        <v>0.367</v>
      </c>
      <c r="E1120" s="1" t="n">
        <f aca="false">LN(D1120)</f>
        <v>-1.00239343092757</v>
      </c>
    </row>
    <row r="1121" customFormat="false" ht="15.75" hidden="false" customHeight="false" outlineLevel="0" collapsed="false">
      <c r="A1121" s="1" t="s">
        <v>605</v>
      </c>
      <c r="B1121" s="1" t="n">
        <v>384.75</v>
      </c>
      <c r="C1121" s="1" t="n">
        <f aca="false">1/B1121</f>
        <v>0.00259909031838856</v>
      </c>
      <c r="D1121" s="1" t="n">
        <v>0.8034</v>
      </c>
      <c r="E1121" s="1" t="n">
        <f aca="false">LN(D1121)</f>
        <v>-0.218902557056955</v>
      </c>
    </row>
    <row r="1122" customFormat="false" ht="15.75" hidden="false" customHeight="false" outlineLevel="0" collapsed="false">
      <c r="A1122" s="1" t="s">
        <v>605</v>
      </c>
      <c r="B1122" s="1" t="n">
        <v>433.25</v>
      </c>
      <c r="C1122" s="1" t="n">
        <f aca="false">1/B1122</f>
        <v>0.00230813618003462</v>
      </c>
      <c r="D1122" s="1" t="n">
        <v>0.4727</v>
      </c>
      <c r="E1122" s="1" t="n">
        <f aca="false">LN(D1122)</f>
        <v>-0.749294341182946</v>
      </c>
    </row>
    <row r="1123" customFormat="false" ht="15.75" hidden="false" customHeight="false" outlineLevel="0" collapsed="false">
      <c r="A1123" s="1" t="s">
        <v>605</v>
      </c>
      <c r="B1123" s="1" t="n">
        <v>478.15</v>
      </c>
      <c r="C1123" s="1" t="n">
        <f aca="false">1/B1123</f>
        <v>0.00209139391404371</v>
      </c>
      <c r="D1123" s="1" t="n">
        <v>0.3325</v>
      </c>
      <c r="E1123" s="1" t="n">
        <f aca="false">LN(D1123)</f>
        <v>-1.10111541888623</v>
      </c>
    </row>
    <row r="1124" customFormat="false" ht="15.75" hidden="false" customHeight="false" outlineLevel="0" collapsed="false">
      <c r="A1124" s="1" t="s">
        <v>607</v>
      </c>
      <c r="B1124" s="1" t="n">
        <v>374.95</v>
      </c>
      <c r="C1124" s="1" t="n">
        <f aca="false">1/B1124</f>
        <v>0.00266702226963595</v>
      </c>
      <c r="D1124" s="1" t="n">
        <v>0.811</v>
      </c>
      <c r="E1124" s="1" t="n">
        <f aca="false">LN(D1124)</f>
        <v>-0.209487224866724</v>
      </c>
    </row>
    <row r="1125" customFormat="false" ht="15.75" hidden="false" customHeight="false" outlineLevel="0" collapsed="false">
      <c r="A1125" s="1" t="s">
        <v>607</v>
      </c>
      <c r="B1125" s="1" t="n">
        <v>398.55</v>
      </c>
      <c r="C1125" s="1" t="n">
        <f aca="false">1/B1125</f>
        <v>0.00250909547108267</v>
      </c>
      <c r="D1125" s="1" t="n">
        <v>0.6189</v>
      </c>
      <c r="E1125" s="1" t="n">
        <f aca="false">LN(D1125)</f>
        <v>-0.479811570236821</v>
      </c>
    </row>
    <row r="1126" customFormat="false" ht="15.75" hidden="false" customHeight="false" outlineLevel="0" collapsed="false">
      <c r="A1126" s="1" t="s">
        <v>607</v>
      </c>
      <c r="B1126" s="1" t="n">
        <v>410.55</v>
      </c>
      <c r="C1126" s="1" t="n">
        <f aca="false">1/B1126</f>
        <v>0.00243575691146024</v>
      </c>
      <c r="D1126" s="1" t="n">
        <v>0.5457</v>
      </c>
      <c r="E1126" s="1" t="n">
        <f aca="false">LN(D1126)</f>
        <v>-0.605685904789951</v>
      </c>
    </row>
    <row r="1127" customFormat="false" ht="15.75" hidden="false" customHeight="false" outlineLevel="0" collapsed="false">
      <c r="A1127" s="1" t="s">
        <v>607</v>
      </c>
      <c r="B1127" s="1" t="n">
        <v>423.15</v>
      </c>
      <c r="C1127" s="1" t="n">
        <f aca="false">1/B1127</f>
        <v>0.00236322816967978</v>
      </c>
      <c r="D1127" s="1" t="n">
        <v>0.4818</v>
      </c>
      <c r="E1127" s="1" t="n">
        <f aca="false">LN(D1127)</f>
        <v>-0.730226188801366</v>
      </c>
    </row>
    <row r="1128" customFormat="false" ht="15.75" hidden="false" customHeight="false" outlineLevel="0" collapsed="false">
      <c r="A1128" s="1" t="s">
        <v>607</v>
      </c>
      <c r="B1128" s="1" t="n">
        <v>436.45</v>
      </c>
      <c r="C1128" s="1" t="n">
        <f aca="false">1/B1128</f>
        <v>0.00229121319738802</v>
      </c>
      <c r="D1128" s="1" t="n">
        <v>0.4249</v>
      </c>
      <c r="E1128" s="1" t="n">
        <f aca="false">LN(D1128)</f>
        <v>-0.855901431861371</v>
      </c>
    </row>
    <row r="1129" customFormat="false" ht="15.75" hidden="false" customHeight="false" outlineLevel="0" collapsed="false">
      <c r="A1129" s="1" t="s">
        <v>607</v>
      </c>
      <c r="B1129" s="1" t="n">
        <v>448.65</v>
      </c>
      <c r="C1129" s="1" t="n">
        <f aca="false">1/B1129</f>
        <v>0.00222890894906943</v>
      </c>
      <c r="D1129" s="1" t="n">
        <v>0.3813</v>
      </c>
      <c r="E1129" s="1" t="n">
        <f aca="false">LN(D1129)</f>
        <v>-0.964168812118619</v>
      </c>
    </row>
    <row r="1130" customFormat="false" ht="15.75" hidden="false" customHeight="false" outlineLevel="0" collapsed="false">
      <c r="A1130" s="1" t="s">
        <v>607</v>
      </c>
      <c r="B1130" s="1" t="n">
        <v>465.65</v>
      </c>
      <c r="C1130" s="1" t="n">
        <f aca="false">1/B1130</f>
        <v>0.00214753570278106</v>
      </c>
      <c r="D1130" s="1" t="n">
        <v>0.332</v>
      </c>
      <c r="E1130" s="1" t="n">
        <f aca="false">LN(D1130)</f>
        <v>-1.10262031006565</v>
      </c>
    </row>
    <row r="1131" customFormat="false" ht="15.75" hidden="false" customHeight="false" outlineLevel="0" collapsed="false">
      <c r="A1131" s="1" t="s">
        <v>607</v>
      </c>
      <c r="B1131" s="1" t="n">
        <v>471.85</v>
      </c>
      <c r="C1131" s="1" t="n">
        <f aca="false">1/B1131</f>
        <v>0.00211931757973932</v>
      </c>
      <c r="D1131" s="1" t="n">
        <v>0.316</v>
      </c>
      <c r="E1131" s="1" t="n">
        <f aca="false">LN(D1131)</f>
        <v>-1.15201306539523</v>
      </c>
    </row>
    <row r="1132" customFormat="false" ht="15.75" hidden="false" customHeight="false" outlineLevel="0" collapsed="false">
      <c r="A1132" s="1" t="s">
        <v>607</v>
      </c>
      <c r="B1132" s="1" t="n">
        <v>273.81</v>
      </c>
      <c r="C1132" s="1" t="n">
        <f aca="false">1/B1132</f>
        <v>0.00365216756144772</v>
      </c>
      <c r="D1132" s="1" t="n">
        <v>10.1056</v>
      </c>
      <c r="E1132" s="1" t="n">
        <f aca="false">LN(D1132)</f>
        <v>2.31308972563913</v>
      </c>
    </row>
    <row r="1133" customFormat="false" ht="15.75" hidden="false" customHeight="false" outlineLevel="0" collapsed="false">
      <c r="A1133" s="1" t="s">
        <v>607</v>
      </c>
      <c r="B1133" s="1" t="n">
        <v>293.15</v>
      </c>
      <c r="C1133" s="1" t="n">
        <f aca="false">1/B1133</f>
        <v>0.00341122292341805</v>
      </c>
      <c r="D1133" s="1" t="n">
        <v>4.3922</v>
      </c>
      <c r="E1133" s="1" t="n">
        <f aca="false">LN(D1133)</f>
        <v>1.47983024051106</v>
      </c>
    </row>
    <row r="1134" customFormat="false" ht="15.75" hidden="false" customHeight="false" outlineLevel="0" collapsed="false">
      <c r="A1134" s="1" t="s">
        <v>607</v>
      </c>
      <c r="B1134" s="1" t="n">
        <v>303.15</v>
      </c>
      <c r="C1134" s="1" t="n">
        <f aca="false">1/B1134</f>
        <v>0.0032986970146792</v>
      </c>
      <c r="D1134" s="1" t="n">
        <v>3.1964</v>
      </c>
      <c r="E1134" s="1" t="n">
        <f aca="false">LN(D1134)</f>
        <v>1.16202517651817</v>
      </c>
    </row>
    <row r="1135" customFormat="false" ht="15.75" hidden="false" customHeight="false" outlineLevel="0" collapsed="false">
      <c r="A1135" s="1" t="s">
        <v>607</v>
      </c>
      <c r="B1135" s="1" t="n">
        <v>313.15</v>
      </c>
      <c r="C1135" s="1" t="n">
        <f aca="false">1/B1135</f>
        <v>0.00319335781574325</v>
      </c>
      <c r="D1135" s="1" t="n">
        <v>2.4358</v>
      </c>
      <c r="E1135" s="1" t="n">
        <f aca="false">LN(D1135)</f>
        <v>0.890275244670873</v>
      </c>
    </row>
    <row r="1136" customFormat="false" ht="15.75" hidden="false" customHeight="false" outlineLevel="0" collapsed="false">
      <c r="A1136" s="1" t="s">
        <v>607</v>
      </c>
      <c r="B1136" s="1" t="n">
        <v>323.25</v>
      </c>
      <c r="C1136" s="1" t="n">
        <f aca="false">1/B1136</f>
        <v>0.00309358081979892</v>
      </c>
      <c r="D1136" s="1" t="n">
        <v>1.919</v>
      </c>
      <c r="E1136" s="1" t="n">
        <f aca="false">LN(D1136)</f>
        <v>0.651804217025563</v>
      </c>
    </row>
    <row r="1137" customFormat="false" ht="15.75" hidden="false" customHeight="false" outlineLevel="0" collapsed="false">
      <c r="A1137" s="1" t="s">
        <v>607</v>
      </c>
      <c r="B1137" s="1" t="n">
        <v>333.15</v>
      </c>
      <c r="C1137" s="1" t="n">
        <f aca="false">1/B1137</f>
        <v>0.0030016509079994</v>
      </c>
      <c r="D1137" s="1" t="n">
        <v>1.5782</v>
      </c>
      <c r="E1137" s="1" t="n">
        <f aca="false">LN(D1137)</f>
        <v>0.456284957104798</v>
      </c>
    </row>
    <row r="1138" customFormat="false" ht="15.75" hidden="false" customHeight="false" outlineLevel="0" collapsed="false">
      <c r="A1138" s="1" t="s">
        <v>607</v>
      </c>
      <c r="B1138" s="1" t="n">
        <v>343.15</v>
      </c>
      <c r="C1138" s="1" t="n">
        <f aca="false">1/B1138</f>
        <v>0.00291417747340813</v>
      </c>
      <c r="D1138" s="1" t="n">
        <v>1.3018</v>
      </c>
      <c r="E1138" s="1" t="n">
        <f aca="false">LN(D1138)</f>
        <v>0.26374792215615</v>
      </c>
    </row>
    <row r="1139" customFormat="false" ht="15.75" hidden="false" customHeight="false" outlineLevel="0" collapsed="false">
      <c r="A1139" s="1" t="s">
        <v>607</v>
      </c>
      <c r="B1139" s="1" t="n">
        <v>353.15</v>
      </c>
      <c r="C1139" s="1" t="n">
        <f aca="false">1/B1139</f>
        <v>0.00283165793572137</v>
      </c>
      <c r="D1139" s="1" t="n">
        <v>1.1092</v>
      </c>
      <c r="E1139" s="1" t="n">
        <f aca="false">LN(D1139)</f>
        <v>0.103639034759486</v>
      </c>
    </row>
    <row r="1140" customFormat="false" ht="15.75" hidden="false" customHeight="false" outlineLevel="0" collapsed="false">
      <c r="A1140" s="1" t="s">
        <v>607</v>
      </c>
      <c r="B1140" s="1" t="n">
        <v>363.15</v>
      </c>
      <c r="C1140" s="1" t="n">
        <f aca="false">1/B1140</f>
        <v>0.00275368305108082</v>
      </c>
      <c r="D1140" s="1" t="n">
        <v>0.9525</v>
      </c>
      <c r="E1140" s="1" t="n">
        <f aca="false">LN(D1140)</f>
        <v>-0.048665171981281</v>
      </c>
    </row>
    <row r="1141" customFormat="false" ht="15.75" hidden="false" customHeight="false" outlineLevel="0" collapsed="false">
      <c r="A1141" s="1" t="s">
        <v>607</v>
      </c>
      <c r="B1141" s="1" t="n">
        <v>373.15</v>
      </c>
      <c r="C1141" s="1" t="n">
        <f aca="false">1/B1141</f>
        <v>0.00267988744472732</v>
      </c>
      <c r="D1141" s="1" t="n">
        <v>0.8379</v>
      </c>
      <c r="E1141" s="1" t="n">
        <f aca="false">LN(D1141)</f>
        <v>-0.176856517362896</v>
      </c>
    </row>
    <row r="1142" customFormat="false" ht="15.75" hidden="false" customHeight="false" outlineLevel="0" collapsed="false">
      <c r="A1142" s="1" t="s">
        <v>607</v>
      </c>
      <c r="B1142" s="1" t="n">
        <v>460.95</v>
      </c>
      <c r="C1142" s="1" t="n">
        <f aca="false">1/B1142</f>
        <v>0.00216943269335069</v>
      </c>
      <c r="D1142" s="1" t="n">
        <v>0.345</v>
      </c>
      <c r="E1142" s="1" t="n">
        <f aca="false">LN(D1142)</f>
        <v>-1.06421086195078</v>
      </c>
    </row>
    <row r="1143" customFormat="false" ht="15.75" hidden="false" customHeight="false" outlineLevel="0" collapsed="false">
      <c r="A1143" s="1" t="s">
        <v>609</v>
      </c>
      <c r="B1143" s="1" t="n">
        <v>293.15</v>
      </c>
      <c r="C1143" s="1" t="n">
        <f aca="false">1/B1143</f>
        <v>0.00341122292341805</v>
      </c>
      <c r="D1143" s="1" t="n">
        <v>1.755</v>
      </c>
      <c r="E1143" s="1" t="n">
        <f aca="false">LN(D1143)</f>
        <v>0.562468856917829</v>
      </c>
    </row>
    <row r="1144" customFormat="false" ht="15.75" hidden="false" customHeight="false" outlineLevel="0" collapsed="false">
      <c r="A1144" s="1" t="s">
        <v>609</v>
      </c>
      <c r="B1144" s="1" t="n">
        <v>303.15</v>
      </c>
      <c r="C1144" s="1" t="n">
        <f aca="false">1/B1144</f>
        <v>0.0032986970146792</v>
      </c>
      <c r="D1144" s="1" t="n">
        <v>1.456</v>
      </c>
      <c r="E1144" s="1" t="n">
        <f aca="false">LN(D1144)</f>
        <v>0.375692949774494</v>
      </c>
    </row>
    <row r="1145" customFormat="false" ht="15.75" hidden="false" customHeight="false" outlineLevel="0" collapsed="false">
      <c r="A1145" s="1" t="s">
        <v>609</v>
      </c>
      <c r="B1145" s="1" t="n">
        <v>313.15</v>
      </c>
      <c r="C1145" s="1" t="n">
        <f aca="false">1/B1145</f>
        <v>0.00319335781574325</v>
      </c>
      <c r="D1145" s="1" t="n">
        <v>1.233</v>
      </c>
      <c r="E1145" s="1" t="n">
        <f aca="false">LN(D1145)</f>
        <v>0.209450224182207</v>
      </c>
    </row>
    <row r="1146" customFormat="false" ht="15.75" hidden="false" customHeight="false" outlineLevel="0" collapsed="false">
      <c r="A1146" s="1" t="s">
        <v>609</v>
      </c>
      <c r="B1146" s="1" t="n">
        <v>323.15</v>
      </c>
      <c r="C1146" s="1" t="n">
        <f aca="false">1/B1146</f>
        <v>0.00309453814018258</v>
      </c>
      <c r="D1146" s="1" t="n">
        <v>1.063</v>
      </c>
      <c r="E1146" s="1" t="n">
        <f aca="false">LN(D1146)</f>
        <v>0.0610950993598108</v>
      </c>
    </row>
    <row r="1147" customFormat="false" ht="15.75" hidden="false" customHeight="false" outlineLevel="0" collapsed="false">
      <c r="A1147" s="1" t="s">
        <v>609</v>
      </c>
      <c r="B1147" s="1" t="n">
        <v>333.15</v>
      </c>
      <c r="C1147" s="1" t="n">
        <f aca="false">1/B1147</f>
        <v>0.0030016509079994</v>
      </c>
      <c r="D1147" s="1" t="n">
        <v>0.928</v>
      </c>
      <c r="E1147" s="1" t="n">
        <f aca="false">LN(D1147)</f>
        <v>-0.0747235461959364</v>
      </c>
    </row>
    <row r="1148" customFormat="false" ht="15.75" hidden="false" customHeight="false" outlineLevel="0" collapsed="false">
      <c r="A1148" s="1" t="s">
        <v>609</v>
      </c>
      <c r="B1148" s="1" t="n">
        <v>353.15</v>
      </c>
      <c r="C1148" s="1" t="n">
        <f aca="false">1/B1148</f>
        <v>0.00283165793572137</v>
      </c>
      <c r="D1148" s="1" t="n">
        <v>0.727</v>
      </c>
      <c r="E1148" s="1" t="n">
        <f aca="false">LN(D1148)</f>
        <v>-0.318828801448618</v>
      </c>
    </row>
    <row r="1149" customFormat="false" ht="15.75" hidden="false" customHeight="false" outlineLevel="0" collapsed="false">
      <c r="A1149" s="1" t="s">
        <v>609</v>
      </c>
      <c r="B1149" s="1" t="n">
        <v>373.15</v>
      </c>
      <c r="C1149" s="1" t="n">
        <f aca="false">1/B1149</f>
        <v>0.00267988744472732</v>
      </c>
      <c r="D1149" s="1" t="n">
        <v>0.594</v>
      </c>
      <c r="E1149" s="1" t="n">
        <f aca="false">LN(D1149)</f>
        <v>-0.520875959619492</v>
      </c>
    </row>
    <row r="1150" customFormat="false" ht="15.75" hidden="false" customHeight="false" outlineLevel="0" collapsed="false">
      <c r="A1150" s="1" t="s">
        <v>609</v>
      </c>
      <c r="B1150" s="1" t="n">
        <v>393.15</v>
      </c>
      <c r="C1150" s="1" t="n">
        <f aca="false">1/B1150</f>
        <v>0.00254355843825512</v>
      </c>
      <c r="D1150" s="1" t="n">
        <v>0.497</v>
      </c>
      <c r="E1150" s="1" t="n">
        <f aca="false">LN(D1150)</f>
        <v>-0.699165252885508</v>
      </c>
    </row>
    <row r="1151" customFormat="false" ht="15.75" hidden="false" customHeight="false" outlineLevel="0" collapsed="false">
      <c r="A1151" s="1" t="s">
        <v>609</v>
      </c>
      <c r="B1151" s="1" t="n">
        <v>413.15</v>
      </c>
      <c r="C1151" s="1" t="n">
        <f aca="false">1/B1151</f>
        <v>0.0024204284158296</v>
      </c>
      <c r="D1151" s="1" t="n">
        <v>0.421</v>
      </c>
      <c r="E1151" s="1" t="n">
        <f aca="false">LN(D1151)</f>
        <v>-0.865122445299756</v>
      </c>
    </row>
    <row r="1152" customFormat="false" ht="15.75" hidden="false" customHeight="false" outlineLevel="0" collapsed="false">
      <c r="A1152" s="1" t="s">
        <v>611</v>
      </c>
      <c r="B1152" s="1" t="n">
        <v>273.8628</v>
      </c>
      <c r="C1152" s="1" t="n">
        <f aca="false">1/B1152</f>
        <v>0.00365146343351488</v>
      </c>
      <c r="D1152" s="1" t="n">
        <v>0.2703</v>
      </c>
      <c r="E1152" s="1" t="n">
        <f aca="false">LN(D1152)</f>
        <v>-1.30822282569974</v>
      </c>
    </row>
    <row r="1153" customFormat="false" ht="15.75" hidden="false" customHeight="false" outlineLevel="0" collapsed="false">
      <c r="A1153" s="1" t="s">
        <v>611</v>
      </c>
      <c r="B1153" s="1" t="n">
        <v>279.55</v>
      </c>
      <c r="C1153" s="1" t="n">
        <f aca="false">1/B1153</f>
        <v>0.00357717760686818</v>
      </c>
      <c r="D1153" s="1" t="n">
        <v>0.2547</v>
      </c>
      <c r="E1153" s="1" t="n">
        <f aca="false">LN(D1153)</f>
        <v>-1.36766889699673</v>
      </c>
    </row>
    <row r="1154" customFormat="false" ht="15.75" hidden="false" customHeight="false" outlineLevel="0" collapsed="false">
      <c r="A1154" s="1" t="s">
        <v>611</v>
      </c>
      <c r="B1154" s="1" t="n">
        <v>285.06</v>
      </c>
      <c r="C1154" s="1" t="n">
        <f aca="false">1/B1154</f>
        <v>0.00350803339647793</v>
      </c>
      <c r="D1154" s="1" t="n">
        <v>0.2407</v>
      </c>
      <c r="E1154" s="1" t="n">
        <f aca="false">LN(D1154)</f>
        <v>-1.42420393419311</v>
      </c>
    </row>
    <row r="1155" customFormat="false" ht="15.75" hidden="false" customHeight="false" outlineLevel="0" collapsed="false">
      <c r="A1155" s="1" t="s">
        <v>611</v>
      </c>
      <c r="B1155" s="1" t="n">
        <v>288.97</v>
      </c>
      <c r="C1155" s="1" t="n">
        <f aca="false">1/B1155</f>
        <v>0.00346056684084853</v>
      </c>
      <c r="D1155" s="1" t="n">
        <v>0.2322</v>
      </c>
      <c r="E1155" s="1" t="n">
        <f aca="false">LN(D1155)</f>
        <v>-1.46015620971835</v>
      </c>
    </row>
    <row r="1156" customFormat="false" ht="15.75" hidden="false" customHeight="false" outlineLevel="0" collapsed="false">
      <c r="A1156" s="1" t="s">
        <v>611</v>
      </c>
      <c r="B1156" s="1" t="n">
        <v>294.18</v>
      </c>
      <c r="C1156" s="1" t="n">
        <f aca="false">1/B1156</f>
        <v>0.00339927935277721</v>
      </c>
      <c r="D1156" s="1" t="n">
        <v>0.2212</v>
      </c>
      <c r="E1156" s="1" t="n">
        <f aca="false">LN(D1156)</f>
        <v>-1.50868800933396</v>
      </c>
    </row>
    <row r="1157" customFormat="false" ht="15.75" hidden="false" customHeight="false" outlineLevel="0" collapsed="false">
      <c r="A1157" s="1" t="s">
        <v>611</v>
      </c>
      <c r="B1157" s="1" t="n">
        <v>297.42</v>
      </c>
      <c r="C1157" s="1" t="n">
        <f aca="false">1/B1157</f>
        <v>0.00336224867191177</v>
      </c>
      <c r="D1157" s="1" t="n">
        <v>0.2144</v>
      </c>
      <c r="E1157" s="1" t="n">
        <f aca="false">LN(D1157)</f>
        <v>-1.53991184978549</v>
      </c>
    </row>
    <row r="1158" customFormat="false" ht="15.75" hidden="false" customHeight="false" outlineLevel="0" collapsed="false">
      <c r="A1158" s="1" t="s">
        <v>611</v>
      </c>
      <c r="B1158" s="1" t="n">
        <v>299.53</v>
      </c>
      <c r="C1158" s="1" t="n">
        <f aca="false">1/B1158</f>
        <v>0.0033385637498748</v>
      </c>
      <c r="D1158" s="1" t="n">
        <v>0.2102</v>
      </c>
      <c r="E1158" s="1" t="n">
        <f aca="false">LN(D1158)</f>
        <v>-1.55969582053929</v>
      </c>
    </row>
    <row r="1159" customFormat="false" ht="15.75" hidden="false" customHeight="false" outlineLevel="0" collapsed="false">
      <c r="A1159" s="1" t="s">
        <v>611</v>
      </c>
      <c r="B1159" s="1" t="n">
        <v>273.158</v>
      </c>
      <c r="C1159" s="1" t="n">
        <f aca="false">1/B1159</f>
        <v>0.00366088490910023</v>
      </c>
      <c r="D1159" s="1" t="n">
        <v>0.274</v>
      </c>
      <c r="E1159" s="1" t="n">
        <f aca="false">LN(D1159)</f>
        <v>-1.29462717259407</v>
      </c>
    </row>
    <row r="1160" customFormat="false" ht="15.75" hidden="false" customHeight="false" outlineLevel="0" collapsed="false">
      <c r="A1160" s="1" t="s">
        <v>611</v>
      </c>
      <c r="B1160" s="1" t="n">
        <v>288.15</v>
      </c>
      <c r="C1160" s="1" t="n">
        <f aca="false">1/B1160</f>
        <v>0.00347041471455839</v>
      </c>
      <c r="D1160" s="1" t="n">
        <v>0.234</v>
      </c>
      <c r="E1160" s="1" t="n">
        <f aca="false">LN(D1160)</f>
        <v>-1.45243416362444</v>
      </c>
    </row>
    <row r="1161" customFormat="false" ht="15.75" hidden="false" customHeight="false" outlineLevel="0" collapsed="false">
      <c r="A1161" s="1" t="s">
        <v>42</v>
      </c>
      <c r="B1161" s="1" t="n">
        <v>312.2549</v>
      </c>
      <c r="C1161" s="1" t="n">
        <f aca="false">1/B1161</f>
        <v>0.00320251179405031</v>
      </c>
      <c r="D1161" s="1" t="n">
        <v>6.9784</v>
      </c>
      <c r="E1161" s="1" t="n">
        <f aca="false">LN(D1161)</f>
        <v>1.94281966413687</v>
      </c>
    </row>
    <row r="1162" customFormat="false" ht="15.75" hidden="false" customHeight="false" outlineLevel="0" collapsed="false">
      <c r="A1162" s="1" t="s">
        <v>42</v>
      </c>
      <c r="B1162" s="1" t="n">
        <v>339.05</v>
      </c>
      <c r="C1162" s="1" t="n">
        <f aca="false">1/B1162</f>
        <v>0.00294941749004572</v>
      </c>
      <c r="D1162" s="1" t="n">
        <v>2.5661</v>
      </c>
      <c r="E1162" s="1" t="n">
        <f aca="false">LN(D1162)</f>
        <v>0.942387236595429</v>
      </c>
    </row>
    <row r="1163" customFormat="false" ht="15.75" hidden="false" customHeight="false" outlineLevel="0" collapsed="false">
      <c r="A1163" s="1" t="s">
        <v>42</v>
      </c>
      <c r="B1163" s="1" t="n">
        <v>363.15</v>
      </c>
      <c r="C1163" s="1" t="n">
        <f aca="false">1/B1163</f>
        <v>0.00275368305108082</v>
      </c>
      <c r="D1163" s="1" t="n">
        <v>1.2601</v>
      </c>
      <c r="E1163" s="1" t="n">
        <f aca="false">LN(D1163)</f>
        <v>0.23119108289351</v>
      </c>
    </row>
    <row r="1164" customFormat="false" ht="15.75" hidden="false" customHeight="false" outlineLevel="0" collapsed="false">
      <c r="A1164" s="1" t="s">
        <v>42</v>
      </c>
      <c r="B1164" s="1" t="n">
        <v>293.155</v>
      </c>
      <c r="C1164" s="1" t="n">
        <f aca="false">1/B1164</f>
        <v>0.00341116474220122</v>
      </c>
      <c r="D1164" s="1" t="n">
        <v>21.7014</v>
      </c>
      <c r="E1164" s="1" t="n">
        <f aca="false">LN(D1164)</f>
        <v>3.07737677459437</v>
      </c>
    </row>
    <row r="1165" customFormat="false" ht="15.75" hidden="false" customHeight="false" outlineLevel="0" collapsed="false">
      <c r="A1165" s="1" t="s">
        <v>613</v>
      </c>
      <c r="B1165" s="1" t="n">
        <v>290.4549</v>
      </c>
      <c r="C1165" s="1" t="n">
        <f aca="false">1/B1165</f>
        <v>0.00344287529664674</v>
      </c>
      <c r="D1165" s="1" t="n">
        <v>1.8222</v>
      </c>
      <c r="E1165" s="1" t="n">
        <f aca="false">LN(D1165)</f>
        <v>0.600044562297621</v>
      </c>
    </row>
    <row r="1166" customFormat="false" ht="15.75" hidden="false" customHeight="false" outlineLevel="0" collapsed="false">
      <c r="A1166" s="1" t="s">
        <v>613</v>
      </c>
      <c r="B1166" s="1" t="n">
        <v>312.25</v>
      </c>
      <c r="C1166" s="1" t="n">
        <f aca="false">1/B1166</f>
        <v>0.00320256204963971</v>
      </c>
      <c r="D1166" s="1" t="n">
        <v>1.2167</v>
      </c>
      <c r="E1166" s="1" t="n">
        <f aca="false">LN(D1166)</f>
        <v>0.196142275811266</v>
      </c>
    </row>
    <row r="1167" customFormat="false" ht="15.75" hidden="false" customHeight="false" outlineLevel="0" collapsed="false">
      <c r="A1167" s="1" t="s">
        <v>613</v>
      </c>
      <c r="B1167" s="1" t="n">
        <v>339.05</v>
      </c>
      <c r="C1167" s="1" t="n">
        <f aca="false">1/B1167</f>
        <v>0.00294941749004572</v>
      </c>
      <c r="D1167" s="1" t="n">
        <v>0.8379</v>
      </c>
      <c r="E1167" s="1" t="n">
        <f aca="false">LN(D1167)</f>
        <v>-0.176856517362896</v>
      </c>
    </row>
    <row r="1168" customFormat="false" ht="15.75" hidden="false" customHeight="false" outlineLevel="0" collapsed="false">
      <c r="A1168" s="1" t="s">
        <v>613</v>
      </c>
      <c r="B1168" s="1" t="n">
        <v>288.1551</v>
      </c>
      <c r="C1168" s="1" t="n">
        <f aca="false">1/B1168</f>
        <v>0.00347035329237622</v>
      </c>
      <c r="D1168" s="1" t="n">
        <v>1.845</v>
      </c>
      <c r="E1168" s="1" t="n">
        <f aca="false">LN(D1168)</f>
        <v>0.612479277492491</v>
      </c>
    </row>
    <row r="1169" customFormat="false" ht="15.75" hidden="false" customHeight="false" outlineLevel="0" collapsed="false">
      <c r="A1169" s="1" t="s">
        <v>613</v>
      </c>
      <c r="B1169" s="1" t="n">
        <v>303.15</v>
      </c>
      <c r="C1169" s="1" t="n">
        <f aca="false">1/B1169</f>
        <v>0.0032986970146792</v>
      </c>
      <c r="D1169" s="1" t="n">
        <v>1.406</v>
      </c>
      <c r="E1169" s="1" t="n">
        <f aca="false">LN(D1169)</f>
        <v>0.340748793388473</v>
      </c>
    </row>
    <row r="1170" customFormat="false" ht="15.75" hidden="false" customHeight="false" outlineLevel="0" collapsed="false">
      <c r="A1170" s="1" t="s">
        <v>615</v>
      </c>
      <c r="B1170" s="1" t="n">
        <v>283.15</v>
      </c>
      <c r="C1170" s="1" t="n">
        <f aca="false">1/B1170</f>
        <v>0.00353169698039908</v>
      </c>
      <c r="D1170" s="1" t="n">
        <v>1.616</v>
      </c>
      <c r="E1170" s="1" t="n">
        <f aca="false">LN(D1170)</f>
        <v>0.479953960098904</v>
      </c>
    </row>
    <row r="1171" customFormat="false" ht="15.75" hidden="false" customHeight="false" outlineLevel="0" collapsed="false">
      <c r="A1171" s="1" t="s">
        <v>615</v>
      </c>
      <c r="B1171" s="1" t="n">
        <v>293.15</v>
      </c>
      <c r="C1171" s="1" t="n">
        <f aca="false">1/B1171</f>
        <v>0.00341122292341805</v>
      </c>
      <c r="D1171" s="1" t="n">
        <v>1.308</v>
      </c>
      <c r="E1171" s="1" t="n">
        <f aca="false">LN(D1171)</f>
        <v>0.268499253035007</v>
      </c>
    </row>
    <row r="1172" customFormat="false" ht="15.75" hidden="false" customHeight="false" outlineLevel="0" collapsed="false">
      <c r="A1172" s="1" t="s">
        <v>615</v>
      </c>
      <c r="B1172" s="1" t="n">
        <v>303.15</v>
      </c>
      <c r="C1172" s="1" t="n">
        <f aca="false">1/B1172</f>
        <v>0.0032986970146792</v>
      </c>
      <c r="D1172" s="1" t="n">
        <v>1.07</v>
      </c>
      <c r="E1172" s="1" t="n">
        <f aca="false">LN(D1172)</f>
        <v>0.0676586484738149</v>
      </c>
    </row>
    <row r="1173" customFormat="false" ht="15.75" hidden="false" customHeight="false" outlineLevel="0" collapsed="false">
      <c r="A1173" s="1" t="s">
        <v>615</v>
      </c>
      <c r="B1173" s="1" t="n">
        <v>313.15</v>
      </c>
      <c r="C1173" s="1" t="n">
        <f aca="false">1/B1173</f>
        <v>0.00319335781574325</v>
      </c>
      <c r="D1173" s="1" t="n">
        <v>0.914</v>
      </c>
      <c r="E1173" s="1" t="n">
        <f aca="false">LN(D1173)</f>
        <v>-0.089924707527987</v>
      </c>
    </row>
    <row r="1174" customFormat="false" ht="15.75" hidden="false" customHeight="false" outlineLevel="0" collapsed="false">
      <c r="A1174" s="1" t="s">
        <v>615</v>
      </c>
      <c r="B1174" s="1" t="n">
        <v>323.15</v>
      </c>
      <c r="C1174" s="1" t="n">
        <f aca="false">1/B1174</f>
        <v>0.00309453814018258</v>
      </c>
      <c r="D1174" s="1" t="n">
        <v>0.767</v>
      </c>
      <c r="E1174" s="1" t="n">
        <f aca="false">LN(D1174)</f>
        <v>-0.265268477614881</v>
      </c>
    </row>
    <row r="1175" customFormat="false" ht="15.75" hidden="false" customHeight="false" outlineLevel="0" collapsed="false">
      <c r="A1175" s="1" t="s">
        <v>617</v>
      </c>
      <c r="B1175" s="1" t="n">
        <v>273.76</v>
      </c>
      <c r="C1175" s="1" t="n">
        <f aca="false">1/B1175</f>
        <v>0.00365283459964933</v>
      </c>
      <c r="D1175" s="1" t="n">
        <v>0.3688</v>
      </c>
      <c r="E1175" s="1" t="n">
        <f aca="false">LN(D1175)</f>
        <v>-0.997500787299698</v>
      </c>
    </row>
    <row r="1176" customFormat="false" ht="15.75" hidden="false" customHeight="false" outlineLevel="0" collapsed="false">
      <c r="A1176" s="1" t="s">
        <v>617</v>
      </c>
      <c r="B1176" s="1" t="n">
        <v>278.74</v>
      </c>
      <c r="C1176" s="1" t="n">
        <f aca="false">1/B1176</f>
        <v>0.00358757264834613</v>
      </c>
      <c r="D1176" s="1" t="n">
        <v>0.3487</v>
      </c>
      <c r="E1176" s="1" t="n">
        <f aca="false">LN(D1176)</f>
        <v>-1.05354332530053</v>
      </c>
    </row>
    <row r="1177" customFormat="false" ht="15.75" hidden="false" customHeight="false" outlineLevel="0" collapsed="false">
      <c r="A1177" s="1" t="s">
        <v>617</v>
      </c>
      <c r="B1177" s="1" t="n">
        <v>283.4</v>
      </c>
      <c r="C1177" s="1" t="n">
        <f aca="false">1/B1177</f>
        <v>0.00352858151023289</v>
      </c>
      <c r="D1177" s="1" t="n">
        <v>0.3316</v>
      </c>
      <c r="E1177" s="1" t="n">
        <f aca="false">LN(D1177)</f>
        <v>-1.103825855721</v>
      </c>
    </row>
    <row r="1178" customFormat="false" ht="15.75" hidden="false" customHeight="false" outlineLevel="0" collapsed="false">
      <c r="A1178" s="1" t="s">
        <v>617</v>
      </c>
      <c r="B1178" s="1" t="n">
        <v>288.41</v>
      </c>
      <c r="C1178" s="1" t="n">
        <f aca="false">1/B1178</f>
        <v>0.00346728615512638</v>
      </c>
      <c r="D1178" s="1" t="n">
        <v>0.3147</v>
      </c>
      <c r="E1178" s="1" t="n">
        <f aca="false">LN(D1178)</f>
        <v>-1.15613547491178</v>
      </c>
    </row>
    <row r="1179" customFormat="false" ht="15.75" hidden="false" customHeight="false" outlineLevel="0" collapsed="false">
      <c r="A1179" s="1" t="s">
        <v>617</v>
      </c>
      <c r="B1179" s="1" t="n">
        <v>293.66</v>
      </c>
      <c r="C1179" s="1" t="n">
        <f aca="false">1/B1179</f>
        <v>0.00340529864469114</v>
      </c>
      <c r="D1179" s="1" t="n">
        <v>0.2987</v>
      </c>
      <c r="E1179" s="1" t="n">
        <f aca="false">LN(D1179)</f>
        <v>-1.20831555376007</v>
      </c>
    </row>
    <row r="1180" customFormat="false" ht="15.75" hidden="false" customHeight="false" outlineLevel="0" collapsed="false">
      <c r="A1180" s="1" t="s">
        <v>617</v>
      </c>
      <c r="B1180" s="1" t="n">
        <v>298.66</v>
      </c>
      <c r="C1180" s="1" t="n">
        <f aca="false">1/B1180</f>
        <v>0.00334828902430858</v>
      </c>
      <c r="D1180" s="1" t="n">
        <v>0.2841</v>
      </c>
      <c r="E1180" s="1" t="n">
        <f aca="false">LN(D1180)</f>
        <v>-1.25842899012199</v>
      </c>
    </row>
    <row r="1181" customFormat="false" ht="15.75" hidden="false" customHeight="false" outlineLevel="0" collapsed="false">
      <c r="A1181" s="1" t="s">
        <v>617</v>
      </c>
      <c r="B1181" s="1" t="n">
        <v>305.12</v>
      </c>
      <c r="C1181" s="1" t="n">
        <f aca="false">1/B1181</f>
        <v>0.00327739905610907</v>
      </c>
      <c r="D1181" s="1" t="n">
        <v>0.267</v>
      </c>
      <c r="E1181" s="1" t="n">
        <f aca="false">LN(D1181)</f>
        <v>-1.32050662058189</v>
      </c>
    </row>
    <row r="1182" customFormat="false" ht="15.75" hidden="false" customHeight="false" outlineLevel="0" collapsed="false">
      <c r="A1182" s="1" t="s">
        <v>617</v>
      </c>
      <c r="B1182" s="1" t="n">
        <v>309.78</v>
      </c>
      <c r="C1182" s="1" t="n">
        <f aca="false">1/B1182</f>
        <v>0.00322809735941636</v>
      </c>
      <c r="D1182" s="1" t="n">
        <v>0.255</v>
      </c>
      <c r="E1182" s="1" t="n">
        <f aca="false">LN(D1182)</f>
        <v>-1.36649173382371</v>
      </c>
    </row>
    <row r="1183" customFormat="false" ht="15.75" hidden="false" customHeight="false" outlineLevel="0" collapsed="false">
      <c r="A1183" s="1" t="s">
        <v>617</v>
      </c>
      <c r="B1183" s="1" t="n">
        <v>314.22</v>
      </c>
      <c r="C1183" s="1" t="n">
        <f aca="false">1/B1183</f>
        <v>0.00318248361020941</v>
      </c>
      <c r="D1183" s="1" t="n">
        <v>0.245</v>
      </c>
      <c r="E1183" s="1" t="n">
        <f aca="false">LN(D1183)</f>
        <v>-1.40649706843741</v>
      </c>
    </row>
    <row r="1184" customFormat="false" ht="15.75" hidden="false" customHeight="false" outlineLevel="0" collapsed="false">
      <c r="A1184" s="1" t="s">
        <v>617</v>
      </c>
      <c r="B1184" s="1" t="n">
        <v>318.53</v>
      </c>
      <c r="C1184" s="1" t="n">
        <f aca="false">1/B1184</f>
        <v>0.00313942171851945</v>
      </c>
      <c r="D1184" s="1" t="n">
        <v>0.2355</v>
      </c>
      <c r="E1184" s="1" t="n">
        <f aca="false">LN(D1184)</f>
        <v>-1.44604436552566</v>
      </c>
    </row>
    <row r="1185" customFormat="false" ht="15.75" hidden="false" customHeight="false" outlineLevel="0" collapsed="false">
      <c r="A1185" s="1" t="s">
        <v>617</v>
      </c>
      <c r="B1185" s="1" t="n">
        <v>324.32</v>
      </c>
      <c r="C1185" s="1" t="n">
        <f aca="false">1/B1185</f>
        <v>0.0030833744449926</v>
      </c>
      <c r="D1185" s="1" t="n">
        <v>0.2235</v>
      </c>
      <c r="E1185" s="1" t="n">
        <f aca="false">LN(D1185)</f>
        <v>-1.49834386492851</v>
      </c>
    </row>
    <row r="1186" customFormat="false" ht="15.75" hidden="false" customHeight="false" outlineLevel="0" collapsed="false">
      <c r="A1186" s="1" t="s">
        <v>617</v>
      </c>
      <c r="B1186" s="1" t="n">
        <v>328.58</v>
      </c>
      <c r="C1186" s="1" t="n">
        <f aca="false">1/B1186</f>
        <v>0.00304339886785562</v>
      </c>
      <c r="D1186" s="1" t="n">
        <v>0.2151</v>
      </c>
      <c r="E1186" s="1" t="n">
        <f aca="false">LN(D1186)</f>
        <v>-1.53665224270845</v>
      </c>
    </row>
    <row r="1187" customFormat="false" ht="15.75" hidden="false" customHeight="false" outlineLevel="0" collapsed="false">
      <c r="A1187" s="1" t="s">
        <v>1418</v>
      </c>
      <c r="B1187" s="1" t="n">
        <v>203.15</v>
      </c>
      <c r="C1187" s="1" t="n">
        <f aca="false">1/B1187</f>
        <v>0.0049224710804824</v>
      </c>
      <c r="D1187" s="1" t="n">
        <v>0.53</v>
      </c>
      <c r="E1187" s="1" t="n">
        <f aca="false">LN(D1187)</f>
        <v>-0.63487827243597</v>
      </c>
    </row>
    <row r="1188" customFormat="false" ht="15.75" hidden="false" customHeight="false" outlineLevel="0" collapsed="false">
      <c r="A1188" s="1" t="s">
        <v>1418</v>
      </c>
      <c r="B1188" s="1" t="n">
        <v>213.15</v>
      </c>
      <c r="C1188" s="1" t="n">
        <f aca="false">1/B1188</f>
        <v>0.00469153178512784</v>
      </c>
      <c r="D1188" s="1" t="n">
        <v>0.454</v>
      </c>
      <c r="E1188" s="1" t="n">
        <f aca="false">LN(D1188)</f>
        <v>-0.789658080940789</v>
      </c>
    </row>
    <row r="1189" customFormat="false" ht="15.75" hidden="false" customHeight="false" outlineLevel="0" collapsed="false">
      <c r="A1189" s="1" t="s">
        <v>1418</v>
      </c>
      <c r="B1189" s="1" t="n">
        <v>223.15</v>
      </c>
      <c r="C1189" s="1" t="n">
        <f aca="false">1/B1189</f>
        <v>0.00448129061169617</v>
      </c>
      <c r="D1189" s="1" t="n">
        <v>0.392</v>
      </c>
      <c r="E1189" s="1" t="n">
        <f aca="false">LN(D1189)</f>
        <v>-0.936493439191674</v>
      </c>
    </row>
    <row r="1190" customFormat="false" ht="15.75" hidden="false" customHeight="false" outlineLevel="0" collapsed="false">
      <c r="A1190" s="1" t="s">
        <v>1418</v>
      </c>
      <c r="B1190" s="1" t="n">
        <v>233.15</v>
      </c>
      <c r="C1190" s="1" t="n">
        <f aca="false">1/B1190</f>
        <v>0.00428908428050611</v>
      </c>
      <c r="D1190" s="1" t="n">
        <v>0.343</v>
      </c>
      <c r="E1190" s="1" t="n">
        <f aca="false">LN(D1190)</f>
        <v>-1.0700248318162</v>
      </c>
    </row>
    <row r="1191" customFormat="false" ht="15.75" hidden="false" customHeight="false" outlineLevel="0" collapsed="false">
      <c r="A1191" s="1" t="s">
        <v>1418</v>
      </c>
      <c r="B1191" s="1" t="n">
        <v>243.15</v>
      </c>
      <c r="C1191" s="1" t="n">
        <f aca="false">1/B1191</f>
        <v>0.00411268764137364</v>
      </c>
      <c r="D1191" s="1" t="n">
        <v>0.301</v>
      </c>
      <c r="E1191" s="1" t="n">
        <f aca="false">LN(D1191)</f>
        <v>-1.20064501423326</v>
      </c>
    </row>
    <row r="1192" customFormat="false" ht="15.75" hidden="false" customHeight="false" outlineLevel="0" collapsed="false">
      <c r="A1192" s="1" t="s">
        <v>1418</v>
      </c>
      <c r="B1192" s="1" t="n">
        <v>253.15</v>
      </c>
      <c r="C1192" s="1" t="n">
        <f aca="false">1/B1192</f>
        <v>0.00395022713806044</v>
      </c>
      <c r="D1192" s="1" t="n">
        <v>0.267</v>
      </c>
      <c r="E1192" s="1" t="n">
        <f aca="false">LN(D1192)</f>
        <v>-1.32050662058189</v>
      </c>
    </row>
    <row r="1193" customFormat="false" ht="15.75" hidden="false" customHeight="false" outlineLevel="0" collapsed="false">
      <c r="A1193" s="1" t="s">
        <v>1418</v>
      </c>
      <c r="B1193" s="1" t="n">
        <v>263.15</v>
      </c>
      <c r="C1193" s="1" t="n">
        <f aca="false">1/B1193</f>
        <v>0.0038001140034201</v>
      </c>
      <c r="D1193" s="1" t="n">
        <v>0.238</v>
      </c>
      <c r="E1193" s="1" t="n">
        <f aca="false">LN(D1193)</f>
        <v>-1.43548460531066</v>
      </c>
    </row>
    <row r="1194" customFormat="false" ht="15.75" hidden="false" customHeight="false" outlineLevel="0" collapsed="false">
      <c r="A1194" s="1" t="s">
        <v>1418</v>
      </c>
      <c r="B1194" s="1" t="n">
        <v>273.15</v>
      </c>
      <c r="C1194" s="1" t="n">
        <f aca="false">1/B1194</f>
        <v>0.00366099212886692</v>
      </c>
      <c r="D1194" s="1" t="n">
        <v>0.214</v>
      </c>
      <c r="E1194" s="1" t="n">
        <f aca="false">LN(D1194)</f>
        <v>-1.54177926396029</v>
      </c>
    </row>
    <row r="1195" customFormat="false" ht="15.75" hidden="false" customHeight="false" outlineLevel="0" collapsed="false">
      <c r="A1195" s="1" t="s">
        <v>619</v>
      </c>
      <c r="B1195" s="1" t="n">
        <v>276.84</v>
      </c>
      <c r="C1195" s="1" t="n">
        <f aca="false">1/B1195</f>
        <v>0.00361219476954197</v>
      </c>
      <c r="D1195" s="1" t="n">
        <v>1.761</v>
      </c>
      <c r="E1195" s="1" t="n">
        <f aca="false">LN(D1195)</f>
        <v>0.565881829514069</v>
      </c>
    </row>
    <row r="1196" customFormat="false" ht="15.75" hidden="false" customHeight="false" outlineLevel="0" collapsed="false">
      <c r="A1196" s="1" t="s">
        <v>619</v>
      </c>
      <c r="B1196" s="1" t="n">
        <v>290.15</v>
      </c>
      <c r="C1196" s="1" t="n">
        <f aca="false">1/B1196</f>
        <v>0.00344649319317594</v>
      </c>
      <c r="D1196" s="1" t="n">
        <v>1.383</v>
      </c>
      <c r="E1196" s="1" t="n">
        <f aca="false">LN(D1196)</f>
        <v>0.324255052682621</v>
      </c>
    </row>
    <row r="1197" customFormat="false" ht="15.75" hidden="false" customHeight="false" outlineLevel="0" collapsed="false">
      <c r="A1197" s="1" t="s">
        <v>619</v>
      </c>
      <c r="B1197" s="1" t="n">
        <v>302.48</v>
      </c>
      <c r="C1197" s="1" t="n">
        <f aca="false">1/B1197</f>
        <v>0.00330600370272415</v>
      </c>
      <c r="D1197" s="1" t="n">
        <v>1.137</v>
      </c>
      <c r="E1197" s="1" t="n">
        <f aca="false">LN(D1197)</f>
        <v>0.128393214768399</v>
      </c>
    </row>
    <row r="1198" customFormat="false" ht="15.75" hidden="false" customHeight="false" outlineLevel="0" collapsed="false">
      <c r="A1198" s="1" t="s">
        <v>619</v>
      </c>
      <c r="B1198" s="1" t="n">
        <v>327.69</v>
      </c>
      <c r="C1198" s="1" t="n">
        <f aca="false">1/B1198</f>
        <v>0.00305166468308462</v>
      </c>
      <c r="D1198" s="1" t="n">
        <v>0.811</v>
      </c>
      <c r="E1198" s="1" t="n">
        <f aca="false">LN(D1198)</f>
        <v>-0.209487224866724</v>
      </c>
    </row>
    <row r="1199" customFormat="false" ht="15.75" hidden="false" customHeight="false" outlineLevel="0" collapsed="false">
      <c r="A1199" s="1" t="s">
        <v>619</v>
      </c>
      <c r="B1199" s="1" t="n">
        <v>343.64</v>
      </c>
      <c r="C1199" s="1" t="n">
        <f aca="false">1/B1199</f>
        <v>0.00291002211616808</v>
      </c>
      <c r="D1199" s="1" t="n">
        <v>0.674</v>
      </c>
      <c r="E1199" s="1" t="n">
        <f aca="false">LN(D1199)</f>
        <v>-0.39452516806983</v>
      </c>
    </row>
    <row r="1200" customFormat="false" ht="15.75" hidden="false" customHeight="false" outlineLevel="0" collapsed="false">
      <c r="A1200" s="1" t="s">
        <v>619</v>
      </c>
      <c r="B1200" s="1" t="n">
        <v>361.21</v>
      </c>
      <c r="C1200" s="1" t="n">
        <f aca="false">1/B1200</f>
        <v>0.00276847263364802</v>
      </c>
      <c r="D1200" s="1" t="n">
        <v>0.56</v>
      </c>
      <c r="E1200" s="1" t="n">
        <f aca="false">LN(D1200)</f>
        <v>-0.579818495252942</v>
      </c>
    </row>
    <row r="1201" customFormat="false" ht="15.75" hidden="false" customHeight="false" outlineLevel="0" collapsed="false">
      <c r="A1201" s="1" t="s">
        <v>619</v>
      </c>
      <c r="B1201" s="1" t="n">
        <v>382.93</v>
      </c>
      <c r="C1201" s="1" t="n">
        <f aca="false">1/B1201</f>
        <v>0.00261144334473664</v>
      </c>
      <c r="D1201" s="1" t="n">
        <v>0.45</v>
      </c>
      <c r="E1201" s="1" t="n">
        <f aca="false">LN(D1201)</f>
        <v>-0.798507696217772</v>
      </c>
    </row>
    <row r="1202" customFormat="false" ht="15.75" hidden="false" customHeight="false" outlineLevel="0" collapsed="false">
      <c r="A1202" s="1" t="s">
        <v>619</v>
      </c>
      <c r="B1202" s="1" t="n">
        <v>394.12</v>
      </c>
      <c r="C1202" s="1" t="n">
        <f aca="false">1/B1202</f>
        <v>0.00253729828478636</v>
      </c>
      <c r="D1202" s="1" t="n">
        <v>0.407</v>
      </c>
      <c r="E1202" s="1" t="n">
        <f aca="false">LN(D1202)</f>
        <v>-0.898942093539542</v>
      </c>
    </row>
    <row r="1203" customFormat="false" ht="15.75" hidden="false" customHeight="false" outlineLevel="0" collapsed="false">
      <c r="A1203" s="1" t="s">
        <v>619</v>
      </c>
      <c r="B1203" s="1" t="n">
        <v>407.65</v>
      </c>
      <c r="C1203" s="1" t="n">
        <f aca="false">1/B1203</f>
        <v>0.00245308475407825</v>
      </c>
      <c r="D1203" s="1" t="n">
        <v>0.361</v>
      </c>
      <c r="E1203" s="1" t="n">
        <f aca="false">LN(D1203)</f>
        <v>-1.01887732064926</v>
      </c>
    </row>
    <row r="1204" customFormat="false" ht="15.75" hidden="false" customHeight="false" outlineLevel="0" collapsed="false">
      <c r="A1204" s="1" t="s">
        <v>619</v>
      </c>
      <c r="B1204" s="1" t="n">
        <v>315.68</v>
      </c>
      <c r="C1204" s="1" t="n">
        <f aca="false">1/B1204</f>
        <v>0.00316776482513938</v>
      </c>
      <c r="D1204" s="1" t="n">
        <v>0.945</v>
      </c>
      <c r="E1204" s="1" t="n">
        <f aca="false">LN(D1204)</f>
        <v>-0.0565703514883943</v>
      </c>
    </row>
    <row r="1205" customFormat="false" ht="15.75" hidden="false" customHeight="false" outlineLevel="0" collapsed="false">
      <c r="A1205" s="1" t="s">
        <v>619</v>
      </c>
      <c r="B1205" s="1" t="n">
        <v>372.09</v>
      </c>
      <c r="C1205" s="1" t="n">
        <f aca="false">1/B1205</f>
        <v>0.00268752183611492</v>
      </c>
      <c r="D1205" s="1" t="n">
        <v>0.499</v>
      </c>
      <c r="E1205" s="1" t="n">
        <f aca="false">LN(D1205)</f>
        <v>-0.695149183230618</v>
      </c>
    </row>
    <row r="1206" customFormat="false" ht="15.75" hidden="false" customHeight="false" outlineLevel="0" collapsed="false">
      <c r="A1206" s="1" t="s">
        <v>619</v>
      </c>
      <c r="B1206" s="1" t="n">
        <v>420.62</v>
      </c>
      <c r="C1206" s="1" t="n">
        <f aca="false">1/B1206</f>
        <v>0.00237744282250012</v>
      </c>
      <c r="D1206" s="1" t="n">
        <v>0.323</v>
      </c>
      <c r="E1206" s="1" t="n">
        <f aca="false">LN(D1206)</f>
        <v>-1.13010295575948</v>
      </c>
    </row>
    <row r="1207" customFormat="false" ht="15.75" hidden="false" customHeight="false" outlineLevel="0" collapsed="false">
      <c r="A1207" s="1" t="s">
        <v>1419</v>
      </c>
      <c r="B1207" s="1" t="n">
        <v>273.15</v>
      </c>
      <c r="C1207" s="1" t="n">
        <f aca="false">1/B1207</f>
        <v>0.00366099212886692</v>
      </c>
      <c r="D1207" s="1" t="n">
        <v>0.26</v>
      </c>
      <c r="E1207" s="1" t="n">
        <f aca="false">LN(D1207)</f>
        <v>-1.34707364796661</v>
      </c>
    </row>
    <row r="1208" customFormat="false" ht="15.75" hidden="false" customHeight="false" outlineLevel="0" collapsed="false">
      <c r="A1208" s="1" t="s">
        <v>1419</v>
      </c>
      <c r="B1208" s="1" t="n">
        <v>283.15</v>
      </c>
      <c r="C1208" s="1" t="n">
        <f aca="false">1/B1208</f>
        <v>0.00353169698039908</v>
      </c>
      <c r="D1208" s="1" t="n">
        <v>0.2362</v>
      </c>
      <c r="E1208" s="1" t="n">
        <f aca="false">LN(D1208)</f>
        <v>-1.44307637521888</v>
      </c>
    </row>
    <row r="1209" customFormat="false" ht="15.75" hidden="false" customHeight="false" outlineLevel="0" collapsed="false">
      <c r="A1209" s="1" t="s">
        <v>1419</v>
      </c>
      <c r="B1209" s="1" t="n">
        <v>293.15</v>
      </c>
      <c r="C1209" s="1" t="n">
        <f aca="false">1/B1209</f>
        <v>0.00341122292341805</v>
      </c>
      <c r="D1209" s="1" t="n">
        <v>0.2155</v>
      </c>
      <c r="E1209" s="1" t="n">
        <f aca="false">LN(D1209)</f>
        <v>-1.53479436943833</v>
      </c>
    </row>
    <row r="1210" customFormat="false" ht="15.75" hidden="false" customHeight="false" outlineLevel="0" collapsed="false">
      <c r="A1210" s="1" t="s">
        <v>1419</v>
      </c>
      <c r="B1210" s="1" t="n">
        <v>303.15</v>
      </c>
      <c r="C1210" s="1" t="n">
        <f aca="false">1/B1210</f>
        <v>0.0032986970146792</v>
      </c>
      <c r="D1210" s="1" t="n">
        <v>0.198</v>
      </c>
      <c r="E1210" s="1" t="n">
        <f aca="false">LN(D1210)</f>
        <v>-1.6194882482876</v>
      </c>
    </row>
    <row r="1211" customFormat="false" ht="15.75" hidden="false" customHeight="false" outlineLevel="0" collapsed="false">
      <c r="A1211" s="1" t="s">
        <v>621</v>
      </c>
      <c r="B1211" s="1" t="n">
        <v>292.45</v>
      </c>
      <c r="C1211" s="1" t="n">
        <f aca="false">1/B1211</f>
        <v>0.00341938792956061</v>
      </c>
      <c r="D1211" s="1" t="n">
        <v>5.505</v>
      </c>
      <c r="E1211" s="1" t="n">
        <f aca="false">LN(D1211)</f>
        <v>1.70565677017464</v>
      </c>
    </row>
    <row r="1212" customFormat="false" ht="15.75" hidden="false" customHeight="false" outlineLevel="0" collapsed="false">
      <c r="A1212" s="1" t="s">
        <v>621</v>
      </c>
      <c r="B1212" s="1" t="n">
        <v>302.05</v>
      </c>
      <c r="C1212" s="1" t="n">
        <f aca="false">1/B1212</f>
        <v>0.0033107101473266</v>
      </c>
      <c r="D1212" s="1" t="n">
        <v>3.868</v>
      </c>
      <c r="E1212" s="1" t="n">
        <f aca="false">LN(D1212)</f>
        <v>1.35273757759105</v>
      </c>
    </row>
    <row r="1213" customFormat="false" ht="15.75" hidden="false" customHeight="false" outlineLevel="0" collapsed="false">
      <c r="A1213" s="1" t="s">
        <v>621</v>
      </c>
      <c r="B1213" s="1" t="n">
        <v>318.85</v>
      </c>
      <c r="C1213" s="1" t="n">
        <f aca="false">1/B1213</f>
        <v>0.00313627097381214</v>
      </c>
      <c r="D1213" s="1" t="n">
        <v>2.249</v>
      </c>
      <c r="E1213" s="1" t="n">
        <f aca="false">LN(D1213)</f>
        <v>0.810485672977179</v>
      </c>
    </row>
    <row r="1214" customFormat="false" ht="15.75" hidden="false" customHeight="false" outlineLevel="0" collapsed="false">
      <c r="A1214" s="1" t="s">
        <v>621</v>
      </c>
      <c r="B1214" s="1" t="n">
        <v>325.15</v>
      </c>
      <c r="C1214" s="1" t="n">
        <f aca="false">1/B1214</f>
        <v>0.00307550361371675</v>
      </c>
      <c r="D1214" s="1" t="n">
        <v>1.853</v>
      </c>
      <c r="E1214" s="1" t="n">
        <f aca="false">LN(D1214)</f>
        <v>0.616805947303223</v>
      </c>
    </row>
    <row r="1215" customFormat="false" ht="15.75" hidden="false" customHeight="false" outlineLevel="0" collapsed="false">
      <c r="A1215" s="1" t="s">
        <v>621</v>
      </c>
      <c r="B1215" s="1" t="n">
        <v>334.25</v>
      </c>
      <c r="C1215" s="1" t="n">
        <f aca="false">1/B1215</f>
        <v>0.00299177262528048</v>
      </c>
      <c r="D1215" s="1" t="n">
        <v>1.454</v>
      </c>
      <c r="E1215" s="1" t="n">
        <f aca="false">LN(D1215)</f>
        <v>0.374318379111328</v>
      </c>
    </row>
    <row r="1216" customFormat="false" ht="15.75" hidden="false" customHeight="false" outlineLevel="0" collapsed="false">
      <c r="A1216" s="1" t="s">
        <v>621</v>
      </c>
      <c r="B1216" s="1" t="n">
        <v>343.65</v>
      </c>
      <c r="C1216" s="1" t="n">
        <f aca="false">1/B1216</f>
        <v>0.00290993743634512</v>
      </c>
      <c r="D1216" s="1" t="n">
        <v>1.149</v>
      </c>
      <c r="E1216" s="1" t="n">
        <f aca="false">LN(D1216)</f>
        <v>0.138891998866619</v>
      </c>
    </row>
    <row r="1217" customFormat="false" ht="15.75" hidden="false" customHeight="false" outlineLevel="0" collapsed="false">
      <c r="A1217" s="1" t="s">
        <v>621</v>
      </c>
      <c r="B1217" s="1" t="n">
        <v>353.35</v>
      </c>
      <c r="C1217" s="1" t="n">
        <f aca="false">1/B1217</f>
        <v>0.00283005518607613</v>
      </c>
      <c r="D1217" s="1" t="n">
        <v>0.914</v>
      </c>
      <c r="E1217" s="1" t="n">
        <f aca="false">LN(D1217)</f>
        <v>-0.089924707527987</v>
      </c>
    </row>
    <row r="1218" customFormat="false" ht="15.75" hidden="false" customHeight="false" outlineLevel="0" collapsed="false">
      <c r="A1218" s="1" t="s">
        <v>621</v>
      </c>
      <c r="B1218" s="1" t="n">
        <v>362.75</v>
      </c>
      <c r="C1218" s="1" t="n">
        <f aca="false">1/B1218</f>
        <v>0.00275671950379049</v>
      </c>
      <c r="D1218" s="1" t="n">
        <v>0.745</v>
      </c>
      <c r="E1218" s="1" t="n">
        <f aca="false">LN(D1218)</f>
        <v>-0.294371060602578</v>
      </c>
    </row>
    <row r="1219" customFormat="false" ht="15.75" hidden="false" customHeight="false" outlineLevel="0" collapsed="false">
      <c r="A1219" s="1" t="s">
        <v>621</v>
      </c>
      <c r="B1219" s="1" t="n">
        <v>373.05</v>
      </c>
      <c r="C1219" s="1" t="n">
        <f aca="false">1/B1219</f>
        <v>0.00268060581691462</v>
      </c>
      <c r="D1219" s="1" t="n">
        <v>0.612</v>
      </c>
      <c r="E1219" s="1" t="n">
        <f aca="false">LN(D1219)</f>
        <v>-0.491022996469811</v>
      </c>
    </row>
    <row r="1220" customFormat="false" ht="15.75" hidden="false" customHeight="false" outlineLevel="0" collapsed="false">
      <c r="A1220" s="1" t="s">
        <v>621</v>
      </c>
      <c r="B1220" s="1" t="n">
        <v>381.75</v>
      </c>
      <c r="C1220" s="1" t="n">
        <f aca="false">1/B1220</f>
        <v>0.00261951538965291</v>
      </c>
      <c r="D1220" s="1" t="n">
        <v>0.523</v>
      </c>
      <c r="E1220" s="1" t="n">
        <f aca="false">LN(D1220)</f>
        <v>-0.648173814917214</v>
      </c>
    </row>
    <row r="1221" customFormat="false" ht="15.75" hidden="false" customHeight="false" outlineLevel="0" collapsed="false">
      <c r="A1221" s="1" t="s">
        <v>621</v>
      </c>
      <c r="B1221" s="1" t="n">
        <v>396.15</v>
      </c>
      <c r="C1221" s="1" t="n">
        <f aca="false">1/B1221</f>
        <v>0.00252429635239177</v>
      </c>
      <c r="D1221" s="1" t="n">
        <v>0.414</v>
      </c>
      <c r="E1221" s="1" t="n">
        <f aca="false">LN(D1221)</f>
        <v>-0.881889305156823</v>
      </c>
    </row>
    <row r="1222" customFormat="false" ht="15.75" hidden="false" customHeight="false" outlineLevel="0" collapsed="false">
      <c r="A1222" s="1" t="s">
        <v>623</v>
      </c>
      <c r="B1222" s="1" t="n">
        <v>273.25</v>
      </c>
      <c r="C1222" s="1" t="n">
        <f aca="false">1/B1222</f>
        <v>0.00365965233302836</v>
      </c>
      <c r="D1222" s="1" t="n">
        <v>8.3101</v>
      </c>
      <c r="E1222" s="1" t="n">
        <f aca="false">LN(D1222)</f>
        <v>2.1174716424893</v>
      </c>
    </row>
    <row r="1223" customFormat="false" ht="15.75" hidden="false" customHeight="false" outlineLevel="0" collapsed="false">
      <c r="A1223" s="1" t="s">
        <v>623</v>
      </c>
      <c r="B1223" s="1" t="n">
        <v>283.15</v>
      </c>
      <c r="C1223" s="1" t="n">
        <f aca="false">1/B1223</f>
        <v>0.00353169698039908</v>
      </c>
      <c r="D1223" s="1" t="n">
        <v>5.5695</v>
      </c>
      <c r="E1223" s="1" t="n">
        <f aca="false">LN(D1223)</f>
        <v>1.71730528330311</v>
      </c>
    </row>
    <row r="1224" customFormat="false" ht="15.75" hidden="false" customHeight="false" outlineLevel="0" collapsed="false">
      <c r="A1224" s="1" t="s">
        <v>623</v>
      </c>
      <c r="B1224" s="1" t="n">
        <v>293.15</v>
      </c>
      <c r="C1224" s="1" t="n">
        <f aca="false">1/B1224</f>
        <v>0.00341122292341805</v>
      </c>
      <c r="D1224" s="1" t="n">
        <v>3.9185</v>
      </c>
      <c r="E1224" s="1" t="n">
        <f aca="false">LN(D1224)</f>
        <v>1.36570892751078</v>
      </c>
    </row>
    <row r="1225" customFormat="false" ht="15.75" hidden="false" customHeight="false" outlineLevel="0" collapsed="false">
      <c r="A1225" s="1" t="s">
        <v>623</v>
      </c>
      <c r="B1225" s="1" t="n">
        <v>303.15</v>
      </c>
      <c r="C1225" s="1" t="n">
        <f aca="false">1/B1225</f>
        <v>0.0032986970146792</v>
      </c>
      <c r="D1225" s="1" t="n">
        <v>2.8748</v>
      </c>
      <c r="E1225" s="1" t="n">
        <f aca="false">LN(D1225)</f>
        <v>1.05598310661215</v>
      </c>
    </row>
    <row r="1226" customFormat="false" ht="15.75" hidden="false" customHeight="false" outlineLevel="0" collapsed="false">
      <c r="A1226" s="1" t="s">
        <v>623</v>
      </c>
      <c r="B1226" s="1" t="n">
        <v>313.15</v>
      </c>
      <c r="C1226" s="1" t="n">
        <f aca="false">1/B1226</f>
        <v>0.00319335781574325</v>
      </c>
      <c r="D1226" s="1" t="n">
        <v>2.1805</v>
      </c>
      <c r="E1226" s="1" t="n">
        <f aca="false">LN(D1226)</f>
        <v>0.779554208300684</v>
      </c>
    </row>
    <row r="1227" customFormat="false" ht="15.75" hidden="false" customHeight="false" outlineLevel="0" collapsed="false">
      <c r="A1227" s="1" t="s">
        <v>623</v>
      </c>
      <c r="B1227" s="1" t="n">
        <v>333.15</v>
      </c>
      <c r="C1227" s="1" t="n">
        <f aca="false">1/B1227</f>
        <v>0.0030016509079994</v>
      </c>
      <c r="D1227" s="1" t="n">
        <v>1.3582</v>
      </c>
      <c r="E1227" s="1" t="n">
        <f aca="false">LN(D1227)</f>
        <v>0.306160293697554</v>
      </c>
    </row>
    <row r="1228" customFormat="false" ht="15.75" hidden="false" customHeight="false" outlineLevel="0" collapsed="false">
      <c r="A1228" s="1" t="s">
        <v>623</v>
      </c>
      <c r="B1228" s="1" t="n">
        <v>353.15</v>
      </c>
      <c r="C1228" s="1" t="n">
        <f aca="false">1/B1228</f>
        <v>0.00283165793572137</v>
      </c>
      <c r="D1228" s="1" t="n">
        <v>0.9105</v>
      </c>
      <c r="E1228" s="1" t="n">
        <f aca="false">LN(D1228)</f>
        <v>-0.0937613798144744</v>
      </c>
    </row>
    <row r="1229" customFormat="false" ht="15.75" hidden="false" customHeight="false" outlineLevel="0" collapsed="false">
      <c r="A1229" s="1" t="s">
        <v>623</v>
      </c>
      <c r="B1229" s="1" t="n">
        <v>372.82</v>
      </c>
      <c r="C1229" s="1" t="n">
        <f aca="false">1/B1229</f>
        <v>0.00268225953543265</v>
      </c>
      <c r="D1229" s="1" t="n">
        <v>0.6531</v>
      </c>
      <c r="E1229" s="1" t="n">
        <f aca="false">LN(D1229)</f>
        <v>-0.426025022073526</v>
      </c>
    </row>
    <row r="1230" customFormat="false" ht="15.75" hidden="false" customHeight="false" outlineLevel="0" collapsed="false">
      <c r="A1230" s="1" t="s">
        <v>1420</v>
      </c>
      <c r="B1230" s="1" t="n">
        <v>298.15</v>
      </c>
      <c r="C1230" s="1" t="n">
        <f aca="false">1/B1230</f>
        <v>0.00335401643468053</v>
      </c>
      <c r="D1230" s="1" t="n">
        <v>5.3039</v>
      </c>
      <c r="E1230" s="1" t="n">
        <f aca="false">LN(D1230)</f>
        <v>1.6684423990105</v>
      </c>
    </row>
    <row r="1231" customFormat="false" ht="15.75" hidden="false" customHeight="false" outlineLevel="0" collapsed="false">
      <c r="A1231" s="1" t="s">
        <v>625</v>
      </c>
      <c r="B1231" s="1" t="n">
        <v>273.6</v>
      </c>
      <c r="C1231" s="1" t="n">
        <f aca="false">1/B1231</f>
        <v>0.00365497076023392</v>
      </c>
      <c r="D1231" s="1" t="n">
        <v>7.9111</v>
      </c>
      <c r="E1231" s="1" t="n">
        <f aca="false">LN(D1231)</f>
        <v>2.06826683658634</v>
      </c>
    </row>
    <row r="1232" customFormat="false" ht="15.75" hidden="false" customHeight="false" outlineLevel="0" collapsed="false">
      <c r="A1232" s="1" t="s">
        <v>625</v>
      </c>
      <c r="B1232" s="1" t="n">
        <v>283.05</v>
      </c>
      <c r="C1232" s="1" t="n">
        <f aca="false">1/B1232</f>
        <v>0.0035329447094153</v>
      </c>
      <c r="D1232" s="1" t="n">
        <v>5.5735</v>
      </c>
      <c r="E1232" s="1" t="n">
        <f aca="false">LN(D1232)</f>
        <v>1.71802322284754</v>
      </c>
    </row>
    <row r="1233" customFormat="false" ht="15.75" hidden="false" customHeight="false" outlineLevel="0" collapsed="false">
      <c r="A1233" s="1" t="s">
        <v>625</v>
      </c>
      <c r="B1233" s="1" t="n">
        <v>292.16</v>
      </c>
      <c r="C1233" s="1" t="n">
        <f aca="false">1/B1233</f>
        <v>0.00342278203723987</v>
      </c>
      <c r="D1233" s="1" t="n">
        <v>3.9779</v>
      </c>
      <c r="E1233" s="1" t="n">
        <f aca="false">LN(D1233)</f>
        <v>1.38075404185538</v>
      </c>
    </row>
    <row r="1234" customFormat="false" ht="15.75" hidden="false" customHeight="false" outlineLevel="0" collapsed="false">
      <c r="A1234" s="1" t="s">
        <v>625</v>
      </c>
      <c r="B1234" s="1" t="n">
        <v>311.31</v>
      </c>
      <c r="C1234" s="1" t="n">
        <f aca="false">1/B1234</f>
        <v>0.00321223218014198</v>
      </c>
      <c r="D1234" s="1" t="n">
        <v>2.2392</v>
      </c>
      <c r="E1234" s="1" t="n">
        <f aca="false">LN(D1234)</f>
        <v>0.806118659219107</v>
      </c>
    </row>
    <row r="1235" customFormat="false" ht="15.75" hidden="false" customHeight="false" outlineLevel="0" collapsed="false">
      <c r="A1235" s="1" t="s">
        <v>625</v>
      </c>
      <c r="B1235" s="1" t="n">
        <v>320.59</v>
      </c>
      <c r="C1235" s="1" t="n">
        <f aca="false">1/B1235</f>
        <v>0.00311924888486852</v>
      </c>
      <c r="D1235" s="1" t="n">
        <v>1.7217</v>
      </c>
      <c r="E1235" s="1" t="n">
        <f aca="false">LN(D1235)</f>
        <v>0.543312174800289</v>
      </c>
    </row>
    <row r="1236" customFormat="false" ht="15.75" hidden="false" customHeight="false" outlineLevel="0" collapsed="false">
      <c r="A1236" s="1" t="s">
        <v>625</v>
      </c>
      <c r="B1236" s="1" t="n">
        <v>329.63</v>
      </c>
      <c r="C1236" s="1" t="n">
        <f aca="false">1/B1236</f>
        <v>0.00303370445651185</v>
      </c>
      <c r="D1236" s="1" t="n">
        <v>1.3571</v>
      </c>
      <c r="E1236" s="1" t="n">
        <f aca="false">LN(D1236)</f>
        <v>0.305350070105188</v>
      </c>
    </row>
    <row r="1237" customFormat="false" ht="15.75" hidden="false" customHeight="false" outlineLevel="0" collapsed="false">
      <c r="A1237" s="1" t="s">
        <v>625</v>
      </c>
      <c r="B1237" s="1" t="n">
        <v>339.1</v>
      </c>
      <c r="C1237" s="1" t="n">
        <f aca="false">1/B1237</f>
        <v>0.00294898260100265</v>
      </c>
      <c r="D1237" s="1" t="n">
        <v>1.0697</v>
      </c>
      <c r="E1237" s="1" t="n">
        <f aca="false">LN(D1237)</f>
        <v>0.0673782353299482</v>
      </c>
    </row>
    <row r="1238" customFormat="false" ht="15.75" hidden="false" customHeight="false" outlineLevel="0" collapsed="false">
      <c r="A1238" s="1" t="s">
        <v>625</v>
      </c>
      <c r="B1238" s="1" t="n">
        <v>347.76</v>
      </c>
      <c r="C1238" s="1" t="n">
        <f aca="false">1/B1238</f>
        <v>0.00287554635380722</v>
      </c>
      <c r="D1238" s="1" t="n">
        <v>0.8748</v>
      </c>
      <c r="E1238" s="1" t="n">
        <f aca="false">LN(D1238)</f>
        <v>-0.133759990179524</v>
      </c>
    </row>
    <row r="1239" customFormat="false" ht="15.75" hidden="false" customHeight="false" outlineLevel="0" collapsed="false">
      <c r="A1239" s="1" t="s">
        <v>625</v>
      </c>
      <c r="B1239" s="1" t="n">
        <v>357.1</v>
      </c>
      <c r="C1239" s="1" t="n">
        <f aca="false">1/B1239</f>
        <v>0.00280033604032484</v>
      </c>
      <c r="D1239" s="1" t="n">
        <v>0.7173</v>
      </c>
      <c r="E1239" s="1" t="n">
        <f aca="false">LN(D1239)</f>
        <v>-0.332261115849748</v>
      </c>
    </row>
    <row r="1240" customFormat="false" ht="15.75" hidden="false" customHeight="false" outlineLevel="0" collapsed="false">
      <c r="A1240" s="1" t="s">
        <v>625</v>
      </c>
      <c r="B1240" s="1" t="n">
        <v>378.22</v>
      </c>
      <c r="C1240" s="1" t="n">
        <f aca="false">1/B1240</f>
        <v>0.0026439638305748</v>
      </c>
      <c r="D1240" s="1" t="n">
        <v>0.4753</v>
      </c>
      <c r="E1240" s="1" t="n">
        <f aca="false">LN(D1240)</f>
        <v>-0.743809095362173</v>
      </c>
    </row>
    <row r="1241" customFormat="false" ht="15.75" hidden="false" customHeight="false" outlineLevel="0" collapsed="false">
      <c r="A1241" s="1" t="s">
        <v>625</v>
      </c>
      <c r="B1241" s="1" t="n">
        <v>288.15</v>
      </c>
      <c r="C1241" s="1" t="n">
        <f aca="false">1/B1241</f>
        <v>0.00347041471455839</v>
      </c>
      <c r="D1241" s="1" t="n">
        <v>4.703</v>
      </c>
      <c r="E1241" s="1" t="n">
        <f aca="false">LN(D1241)</f>
        <v>1.54820060296291</v>
      </c>
    </row>
    <row r="1242" customFormat="false" ht="15.75" hidden="false" customHeight="false" outlineLevel="0" collapsed="false">
      <c r="A1242" s="1" t="s">
        <v>625</v>
      </c>
      <c r="B1242" s="1" t="n">
        <v>303.15</v>
      </c>
      <c r="C1242" s="1" t="n">
        <f aca="false">1/B1242</f>
        <v>0.0032986970146792</v>
      </c>
      <c r="D1242" s="1" t="n">
        <v>2.876</v>
      </c>
      <c r="E1242" s="1" t="n">
        <f aca="false">LN(D1242)</f>
        <v>1.0564004398588</v>
      </c>
    </row>
    <row r="1243" customFormat="false" ht="15.75" hidden="false" customHeight="false" outlineLevel="0" collapsed="false">
      <c r="A1243" s="1" t="s">
        <v>625</v>
      </c>
      <c r="B1243" s="1" t="n">
        <v>293.15</v>
      </c>
      <c r="C1243" s="1" t="n">
        <f aca="false">1/B1243</f>
        <v>0.00341122292341805</v>
      </c>
      <c r="D1243" s="1" t="n">
        <v>4.02</v>
      </c>
      <c r="E1243" s="1" t="n">
        <f aca="false">LN(D1243)</f>
        <v>1.39128190263093</v>
      </c>
    </row>
    <row r="1244" customFormat="false" ht="15.75" hidden="false" customHeight="false" outlineLevel="0" collapsed="false">
      <c r="A1244" s="1" t="s">
        <v>625</v>
      </c>
      <c r="B1244" s="1" t="n">
        <v>298.15</v>
      </c>
      <c r="C1244" s="1" t="n">
        <f aca="false">1/B1244</f>
        <v>0.00335401643468053</v>
      </c>
      <c r="D1244" s="1" t="n">
        <v>3.38</v>
      </c>
      <c r="E1244" s="1" t="n">
        <f aca="false">LN(D1244)</f>
        <v>1.21787570949493</v>
      </c>
    </row>
    <row r="1245" customFormat="false" ht="15.75" hidden="false" customHeight="false" outlineLevel="0" collapsed="false">
      <c r="A1245" s="1" t="s">
        <v>625</v>
      </c>
      <c r="B1245" s="1" t="n">
        <v>303.15</v>
      </c>
      <c r="C1245" s="1" t="n">
        <f aca="false">1/B1245</f>
        <v>0.0032986970146792</v>
      </c>
      <c r="D1245" s="1" t="n">
        <v>2.89</v>
      </c>
      <c r="E1245" s="1" t="n">
        <f aca="false">LN(D1245)</f>
        <v>1.06125650212434</v>
      </c>
    </row>
    <row r="1246" customFormat="false" ht="15.75" hidden="false" customHeight="false" outlineLevel="0" collapsed="false">
      <c r="A1246" s="1" t="s">
        <v>625</v>
      </c>
      <c r="B1246" s="1" t="n">
        <v>298.15179</v>
      </c>
      <c r="C1246" s="1" t="n">
        <f aca="false">1/B1246</f>
        <v>0.00335399629832845</v>
      </c>
      <c r="D1246" s="1" t="n">
        <v>3.3603</v>
      </c>
      <c r="E1246" s="1" t="n">
        <f aca="false">LN(D1246)</f>
        <v>1.21203025570367</v>
      </c>
    </row>
    <row r="1247" customFormat="false" ht="15.75" hidden="false" customHeight="false" outlineLevel="0" collapsed="false">
      <c r="A1247" s="1" t="s">
        <v>625</v>
      </c>
      <c r="B1247" s="1" t="n">
        <v>313.15</v>
      </c>
      <c r="C1247" s="1" t="n">
        <f aca="false">1/B1247</f>
        <v>0.00319335781574325</v>
      </c>
      <c r="D1247" s="1" t="n">
        <v>2.0925</v>
      </c>
      <c r="E1247" s="1" t="n">
        <f aca="false">LN(D1247)</f>
        <v>0.738359523381493</v>
      </c>
    </row>
    <row r="1248" customFormat="false" ht="15.75" hidden="false" customHeight="false" outlineLevel="0" collapsed="false">
      <c r="A1248" s="1" t="s">
        <v>625</v>
      </c>
      <c r="B1248" s="1" t="n">
        <v>300.92</v>
      </c>
      <c r="C1248" s="1" t="n">
        <f aca="false">1/B1248</f>
        <v>0.00332314236341885</v>
      </c>
      <c r="D1248" s="1" t="n">
        <v>3.0658</v>
      </c>
      <c r="E1248" s="1" t="n">
        <f aca="false">LN(D1248)</f>
        <v>1.12030854674987</v>
      </c>
    </row>
    <row r="1249" customFormat="false" ht="15.75" hidden="false" customHeight="false" outlineLevel="0" collapsed="false">
      <c r="A1249" s="1" t="s">
        <v>625</v>
      </c>
      <c r="B1249" s="1" t="n">
        <v>367</v>
      </c>
      <c r="C1249" s="1" t="n">
        <f aca="false">1/B1249</f>
        <v>0.00272479564032698</v>
      </c>
      <c r="D1249" s="1" t="n">
        <v>0.5864</v>
      </c>
      <c r="E1249" s="1" t="n">
        <f aca="false">LN(D1249)</f>
        <v>-0.533753128409695</v>
      </c>
    </row>
    <row r="1250" customFormat="false" ht="15.75" hidden="false" customHeight="false" outlineLevel="0" collapsed="false">
      <c r="A1250" s="1" t="s">
        <v>625</v>
      </c>
      <c r="B1250" s="1" t="n">
        <v>308.15</v>
      </c>
      <c r="C1250" s="1" t="n">
        <f aca="false">1/B1250</f>
        <v>0.00324517280545189</v>
      </c>
      <c r="D1250" s="1" t="n">
        <v>2.47</v>
      </c>
      <c r="E1250" s="1" t="n">
        <f aca="false">LN(D1250)</f>
        <v>0.904218150639886</v>
      </c>
    </row>
    <row r="1251" customFormat="false" ht="15.75" hidden="false" customHeight="false" outlineLevel="0" collapsed="false">
      <c r="A1251" s="1" t="s">
        <v>627</v>
      </c>
      <c r="B1251" s="1" t="n">
        <v>283.15</v>
      </c>
      <c r="C1251" s="1" t="n">
        <f aca="false">1/B1251</f>
        <v>0.00353169698039908</v>
      </c>
      <c r="D1251" s="1" t="n">
        <v>0.772</v>
      </c>
      <c r="E1251" s="1" t="n">
        <f aca="false">LN(D1251)</f>
        <v>-0.258770728957361</v>
      </c>
    </row>
    <row r="1252" customFormat="false" ht="15.75" hidden="false" customHeight="false" outlineLevel="0" collapsed="false">
      <c r="A1252" s="1" t="s">
        <v>627</v>
      </c>
      <c r="B1252" s="1" t="n">
        <v>293.15</v>
      </c>
      <c r="C1252" s="1" t="n">
        <f aca="false">1/B1252</f>
        <v>0.00341122292341805</v>
      </c>
      <c r="D1252" s="1" t="n">
        <v>0.665</v>
      </c>
      <c r="E1252" s="1" t="n">
        <f aca="false">LN(D1252)</f>
        <v>-0.407968238326283</v>
      </c>
    </row>
    <row r="1253" customFormat="false" ht="15.75" hidden="false" customHeight="false" outlineLevel="0" collapsed="false">
      <c r="A1253" s="1" t="s">
        <v>627</v>
      </c>
      <c r="B1253" s="1" t="n">
        <v>303.15</v>
      </c>
      <c r="C1253" s="1" t="n">
        <f aca="false">1/B1253</f>
        <v>0.0032986970146792</v>
      </c>
      <c r="D1253" s="1" t="n">
        <v>0.575</v>
      </c>
      <c r="E1253" s="1" t="n">
        <f aca="false">LN(D1253)</f>
        <v>-0.553385238184787</v>
      </c>
    </row>
    <row r="1254" customFormat="false" ht="15.75" hidden="false" customHeight="false" outlineLevel="0" collapsed="false">
      <c r="A1254" s="1" t="s">
        <v>627</v>
      </c>
      <c r="B1254" s="1" t="n">
        <v>313.15</v>
      </c>
      <c r="C1254" s="1" t="n">
        <f aca="false">1/B1254</f>
        <v>0.00319335781574325</v>
      </c>
      <c r="D1254" s="1" t="n">
        <v>0.515</v>
      </c>
      <c r="E1254" s="1" t="n">
        <f aca="false">LN(D1254)</f>
        <v>-0.663588378318401</v>
      </c>
    </row>
    <row r="1255" customFormat="false" ht="15.75" hidden="false" customHeight="false" outlineLevel="0" collapsed="false">
      <c r="A1255" s="1" t="s">
        <v>627</v>
      </c>
      <c r="B1255" s="1" t="n">
        <v>323.15</v>
      </c>
      <c r="C1255" s="1" t="n">
        <f aca="false">1/B1255</f>
        <v>0.00309453814018258</v>
      </c>
      <c r="D1255" s="1" t="n">
        <v>0.452</v>
      </c>
      <c r="E1255" s="1" t="n">
        <f aca="false">LN(D1255)</f>
        <v>-0.794073099149906</v>
      </c>
    </row>
    <row r="1256" customFormat="false" ht="15.75" hidden="false" customHeight="false" outlineLevel="0" collapsed="false">
      <c r="A1256" s="1" t="s">
        <v>627</v>
      </c>
      <c r="B1256" s="1" t="n">
        <v>333.15</v>
      </c>
      <c r="C1256" s="1" t="n">
        <f aca="false">1/B1256</f>
        <v>0.0030016509079994</v>
      </c>
      <c r="D1256" s="1" t="n">
        <v>0.399</v>
      </c>
      <c r="E1256" s="1" t="n">
        <f aca="false">LN(D1256)</f>
        <v>-0.918793862092273</v>
      </c>
    </row>
    <row r="1257" customFormat="false" ht="15.75" hidden="false" customHeight="false" outlineLevel="0" collapsed="false">
      <c r="A1257" s="1" t="s">
        <v>629</v>
      </c>
      <c r="B1257" s="1" t="n">
        <v>273.35</v>
      </c>
      <c r="C1257" s="1" t="n">
        <f aca="false">1/B1257</f>
        <v>0.00365831351746845</v>
      </c>
      <c r="D1257" s="1" t="n">
        <v>0.2529</v>
      </c>
      <c r="E1257" s="1" t="n">
        <f aca="false">LN(D1257)</f>
        <v>-1.37476112530622</v>
      </c>
    </row>
    <row r="1258" customFormat="false" ht="15.75" hidden="false" customHeight="false" outlineLevel="0" collapsed="false">
      <c r="A1258" s="1" t="s">
        <v>629</v>
      </c>
      <c r="B1258" s="1" t="n">
        <v>278.61</v>
      </c>
      <c r="C1258" s="1" t="n">
        <f aca="false">1/B1258</f>
        <v>0.00358924661713506</v>
      </c>
      <c r="D1258" s="1" t="n">
        <v>0.2406</v>
      </c>
      <c r="E1258" s="1" t="n">
        <f aca="false">LN(D1258)</f>
        <v>-1.42461947544156</v>
      </c>
    </row>
    <row r="1259" customFormat="false" ht="15.75" hidden="false" customHeight="false" outlineLevel="0" collapsed="false">
      <c r="A1259" s="1" t="s">
        <v>629</v>
      </c>
      <c r="B1259" s="1" t="n">
        <v>283.36</v>
      </c>
      <c r="C1259" s="1" t="n">
        <f aca="false">1/B1259</f>
        <v>0.00352907961603614</v>
      </c>
      <c r="D1259" s="1" t="n">
        <v>0.2306</v>
      </c>
      <c r="E1259" s="1" t="n">
        <f aca="false">LN(D1259)</f>
        <v>-1.46707067114718</v>
      </c>
    </row>
    <row r="1260" customFormat="false" ht="15.75" hidden="false" customHeight="false" outlineLevel="0" collapsed="false">
      <c r="A1260" s="1" t="s">
        <v>629</v>
      </c>
      <c r="B1260" s="1" t="n">
        <v>288.97</v>
      </c>
      <c r="C1260" s="1" t="n">
        <f aca="false">1/B1260</f>
        <v>0.00346056684084853</v>
      </c>
      <c r="D1260" s="1" t="n">
        <v>0.2192</v>
      </c>
      <c r="E1260" s="1" t="n">
        <f aca="false">LN(D1260)</f>
        <v>-1.51777072390828</v>
      </c>
    </row>
    <row r="1261" customFormat="false" ht="15.75" hidden="false" customHeight="false" outlineLevel="0" collapsed="false">
      <c r="A1261" s="1" t="s">
        <v>629</v>
      </c>
      <c r="B1261" s="1" t="n">
        <v>293.18</v>
      </c>
      <c r="C1261" s="1" t="n">
        <f aca="false">1/B1261</f>
        <v>0.00341087386588444</v>
      </c>
      <c r="D1261" s="1" t="n">
        <v>0.2114</v>
      </c>
      <c r="E1261" s="1" t="n">
        <f aca="false">LN(D1261)</f>
        <v>-1.554003205546</v>
      </c>
    </row>
    <row r="1262" customFormat="false" ht="15.75" hidden="false" customHeight="false" outlineLevel="0" collapsed="false">
      <c r="A1262" s="1" t="s">
        <v>629</v>
      </c>
      <c r="B1262" s="1" t="n">
        <v>298.9</v>
      </c>
      <c r="C1262" s="1" t="n">
        <f aca="false">1/B1262</f>
        <v>0.00334560053529609</v>
      </c>
      <c r="D1262" s="1" t="n">
        <v>0.2015</v>
      </c>
      <c r="E1262" s="1" t="n">
        <f aca="false">LN(D1262)</f>
        <v>-1.6019658975954</v>
      </c>
    </row>
    <row r="1263" customFormat="false" ht="15.75" hidden="false" customHeight="false" outlineLevel="0" collapsed="false">
      <c r="A1263" s="1" t="s">
        <v>629</v>
      </c>
      <c r="B1263" s="1" t="n">
        <v>303.84</v>
      </c>
      <c r="C1263" s="1" t="n">
        <f aca="false">1/B1263</f>
        <v>0.00329120589784097</v>
      </c>
      <c r="D1263" s="1" t="n">
        <v>0.1931</v>
      </c>
      <c r="E1263" s="1" t="n">
        <f aca="false">LN(D1263)</f>
        <v>-1.64454708954767</v>
      </c>
    </row>
    <row r="1264" customFormat="false" ht="15.75" hidden="false" customHeight="false" outlineLevel="0" collapsed="false">
      <c r="A1264" s="1" t="s">
        <v>629</v>
      </c>
      <c r="B1264" s="1" t="n">
        <v>305.74</v>
      </c>
      <c r="C1264" s="1" t="n">
        <f aca="false">1/B1264</f>
        <v>0.00327075292732387</v>
      </c>
      <c r="D1264" s="1" t="n">
        <v>0.1903</v>
      </c>
      <c r="E1264" s="1" t="n">
        <f aca="false">LN(D1264)</f>
        <v>-1.65915350468003</v>
      </c>
    </row>
    <row r="1265" customFormat="false" ht="15.75" hidden="false" customHeight="false" outlineLevel="0" collapsed="false">
      <c r="A1265" s="1" t="s">
        <v>631</v>
      </c>
      <c r="B1265" s="1" t="n">
        <v>305.65</v>
      </c>
      <c r="C1265" s="1" t="n">
        <f aca="false">1/B1265</f>
        <v>0.00327171601504989</v>
      </c>
      <c r="D1265" s="1" t="n">
        <v>3.016</v>
      </c>
      <c r="E1265" s="1" t="n">
        <f aca="false">LN(D1265)</f>
        <v>1.10393145014571</v>
      </c>
    </row>
    <row r="1266" customFormat="false" ht="15.75" hidden="false" customHeight="false" outlineLevel="0" collapsed="false">
      <c r="A1266" s="1" t="s">
        <v>631</v>
      </c>
      <c r="B1266" s="1" t="n">
        <v>318.35</v>
      </c>
      <c r="C1266" s="1" t="n">
        <f aca="false">1/B1266</f>
        <v>0.00314119679597927</v>
      </c>
      <c r="D1266" s="1" t="n">
        <v>1.974</v>
      </c>
      <c r="E1266" s="1" t="n">
        <f aca="false">LN(D1266)</f>
        <v>0.68006194101129</v>
      </c>
    </row>
    <row r="1267" customFormat="false" ht="15.75" hidden="false" customHeight="false" outlineLevel="0" collapsed="false">
      <c r="A1267" s="1" t="s">
        <v>631</v>
      </c>
      <c r="B1267" s="1" t="n">
        <v>333.35</v>
      </c>
      <c r="C1267" s="1" t="n">
        <f aca="false">1/B1267</f>
        <v>0.00299985000749962</v>
      </c>
      <c r="D1267" s="1" t="n">
        <v>1.283</v>
      </c>
      <c r="E1267" s="1" t="n">
        <f aca="false">LN(D1267)</f>
        <v>0.249201085633499</v>
      </c>
    </row>
    <row r="1268" customFormat="false" ht="15.75" hidden="false" customHeight="false" outlineLevel="0" collapsed="false">
      <c r="A1268" s="1" t="s">
        <v>631</v>
      </c>
      <c r="B1268" s="1" t="n">
        <v>348.95</v>
      </c>
      <c r="C1268" s="1" t="n">
        <f aca="false">1/B1268</f>
        <v>0.00286574007737498</v>
      </c>
      <c r="D1268" s="1" t="n">
        <v>0.882</v>
      </c>
      <c r="E1268" s="1" t="n">
        <f aca="false">LN(D1268)</f>
        <v>-0.125563222975346</v>
      </c>
    </row>
    <row r="1269" customFormat="false" ht="15.75" hidden="false" customHeight="false" outlineLevel="0" collapsed="false">
      <c r="A1269" s="1" t="s">
        <v>631</v>
      </c>
      <c r="B1269" s="1" t="n">
        <v>363.95</v>
      </c>
      <c r="C1269" s="1" t="n">
        <f aca="false">1/B1269</f>
        <v>0.00274763016897926</v>
      </c>
      <c r="D1269" s="1" t="n">
        <v>0.643</v>
      </c>
      <c r="E1269" s="1" t="n">
        <f aca="false">LN(D1269)</f>
        <v>-0.441610554744518</v>
      </c>
    </row>
    <row r="1270" customFormat="false" ht="15.75" hidden="false" customHeight="false" outlineLevel="0" collapsed="false">
      <c r="A1270" s="1" t="s">
        <v>631</v>
      </c>
      <c r="B1270" s="1" t="n">
        <v>383.75</v>
      </c>
      <c r="C1270" s="1" t="n">
        <f aca="false">1/B1270</f>
        <v>0.00260586319218241</v>
      </c>
      <c r="D1270" s="1" t="n">
        <v>0.448</v>
      </c>
      <c r="E1270" s="1" t="n">
        <f aca="false">LN(D1270)</f>
        <v>-0.802962046567152</v>
      </c>
    </row>
    <row r="1271" customFormat="false" ht="15.75" hidden="false" customHeight="false" outlineLevel="0" collapsed="false">
      <c r="A1271" s="1" t="s">
        <v>631</v>
      </c>
      <c r="B1271" s="1" t="n">
        <v>395.45</v>
      </c>
      <c r="C1271" s="1" t="n">
        <f aca="false">1/B1271</f>
        <v>0.00252876469844481</v>
      </c>
      <c r="D1271" s="1" t="n">
        <v>0.384</v>
      </c>
      <c r="E1271" s="1" t="n">
        <f aca="false">LN(D1271)</f>
        <v>-0.95711272639441</v>
      </c>
    </row>
    <row r="1272" customFormat="false" ht="15.75" hidden="false" customHeight="false" outlineLevel="0" collapsed="false">
      <c r="A1272" s="1" t="s">
        <v>631</v>
      </c>
      <c r="B1272" s="1" t="n">
        <v>407.05</v>
      </c>
      <c r="C1272" s="1" t="n">
        <f aca="false">1/B1272</f>
        <v>0.00245670065102567</v>
      </c>
      <c r="D1272" s="1" t="n">
        <v>0.3321</v>
      </c>
      <c r="E1272" s="1" t="n">
        <f aca="false">LN(D1272)</f>
        <v>-1.10231915059944</v>
      </c>
    </row>
    <row r="1273" customFormat="false" ht="15.75" hidden="false" customHeight="false" outlineLevel="0" collapsed="false">
      <c r="A1273" s="1" t="s">
        <v>44</v>
      </c>
      <c r="B1273" s="1" t="n">
        <v>283.15</v>
      </c>
      <c r="C1273" s="1" t="n">
        <f aca="false">1/B1273</f>
        <v>0.00353169698039908</v>
      </c>
      <c r="D1273" s="1" t="n">
        <v>0.744</v>
      </c>
      <c r="E1273" s="1" t="n">
        <f aca="false">LN(D1273)</f>
        <v>-0.295714244149045</v>
      </c>
    </row>
    <row r="1274" customFormat="false" ht="15.75" hidden="false" customHeight="false" outlineLevel="0" collapsed="false">
      <c r="A1274" s="1" t="s">
        <v>44</v>
      </c>
      <c r="B1274" s="1" t="n">
        <v>293.15</v>
      </c>
      <c r="C1274" s="1" t="n">
        <f aca="false">1/B1274</f>
        <v>0.00341122292341805</v>
      </c>
      <c r="D1274" s="1" t="n">
        <v>0.629</v>
      </c>
      <c r="E1274" s="1" t="n">
        <f aca="false">LN(D1274)</f>
        <v>-0.463624022281697</v>
      </c>
    </row>
    <row r="1275" customFormat="false" ht="15.75" hidden="false" customHeight="false" outlineLevel="0" collapsed="false">
      <c r="A1275" s="1" t="s">
        <v>44</v>
      </c>
      <c r="B1275" s="1" t="n">
        <v>303.15</v>
      </c>
      <c r="C1275" s="1" t="n">
        <f aca="false">1/B1275</f>
        <v>0.0032986970146792</v>
      </c>
      <c r="D1275" s="1" t="n">
        <v>0.538</v>
      </c>
      <c r="E1275" s="1" t="n">
        <f aca="false">LN(D1275)</f>
        <v>-0.619896718820353</v>
      </c>
    </row>
    <row r="1276" customFormat="false" ht="15.75" hidden="false" customHeight="false" outlineLevel="0" collapsed="false">
      <c r="A1276" s="1" t="s">
        <v>44</v>
      </c>
      <c r="B1276" s="1" t="n">
        <v>313.15</v>
      </c>
      <c r="C1276" s="1" t="n">
        <f aca="false">1/B1276</f>
        <v>0.00319335781574325</v>
      </c>
      <c r="D1276" s="1" t="n">
        <v>0.475</v>
      </c>
      <c r="E1276" s="1" t="n">
        <f aca="false">LN(D1276)</f>
        <v>-0.744440474947496</v>
      </c>
    </row>
    <row r="1277" customFormat="false" ht="15.75" hidden="false" customHeight="false" outlineLevel="0" collapsed="false">
      <c r="A1277" s="1" t="s">
        <v>633</v>
      </c>
      <c r="B1277" s="1" t="n">
        <v>303.15</v>
      </c>
      <c r="C1277" s="1" t="n">
        <f aca="false">1/B1277</f>
        <v>0.0032986970146792</v>
      </c>
      <c r="D1277" s="1" t="n">
        <v>3.349</v>
      </c>
      <c r="E1277" s="1" t="n">
        <f aca="false">LN(D1277)</f>
        <v>1.20866179381207</v>
      </c>
    </row>
    <row r="1278" customFormat="false" ht="15.75" hidden="false" customHeight="false" outlineLevel="0" collapsed="false">
      <c r="A1278" s="1" t="s">
        <v>633</v>
      </c>
      <c r="B1278" s="1" t="n">
        <v>305.15</v>
      </c>
      <c r="C1278" s="1" t="n">
        <f aca="false">1/B1278</f>
        <v>0.00327707684745207</v>
      </c>
      <c r="D1278" s="1" t="n">
        <v>3.0047</v>
      </c>
      <c r="E1278" s="1" t="n">
        <f aca="false">LN(D1278)</f>
        <v>1.10017772939282</v>
      </c>
    </row>
    <row r="1279" customFormat="false" ht="15.75" hidden="false" customHeight="false" outlineLevel="0" collapsed="false">
      <c r="A1279" s="1" t="s">
        <v>633</v>
      </c>
      <c r="B1279" s="1" t="n">
        <v>310.37</v>
      </c>
      <c r="C1279" s="1" t="n">
        <f aca="false">1/B1279</f>
        <v>0.00322196088539485</v>
      </c>
      <c r="D1279" s="1" t="n">
        <v>2.3676</v>
      </c>
      <c r="E1279" s="1" t="n">
        <f aca="false">LN(D1279)</f>
        <v>0.861876783834433</v>
      </c>
    </row>
    <row r="1280" customFormat="false" ht="15.75" hidden="false" customHeight="false" outlineLevel="0" collapsed="false">
      <c r="A1280" s="1" t="s">
        <v>633</v>
      </c>
      <c r="B1280" s="1" t="n">
        <v>315.56</v>
      </c>
      <c r="C1280" s="1" t="n">
        <f aca="false">1/B1280</f>
        <v>0.00316896945113449</v>
      </c>
      <c r="D1280" s="1" t="n">
        <v>1.9094</v>
      </c>
      <c r="E1280" s="1" t="n">
        <f aca="false">LN(D1280)</f>
        <v>0.646789056581796</v>
      </c>
    </row>
    <row r="1281" customFormat="false" ht="15.75" hidden="false" customHeight="false" outlineLevel="0" collapsed="false">
      <c r="A1281" s="1" t="s">
        <v>633</v>
      </c>
      <c r="B1281" s="1" t="n">
        <v>320.97</v>
      </c>
      <c r="C1281" s="1" t="n">
        <f aca="false">1/B1281</f>
        <v>0.00311555597096302</v>
      </c>
      <c r="D1281" s="1" t="n">
        <v>1.5501</v>
      </c>
      <c r="E1281" s="1" t="n">
        <f aca="false">LN(D1281)</f>
        <v>0.438319444979112</v>
      </c>
    </row>
    <row r="1282" customFormat="false" ht="15.75" hidden="false" customHeight="false" outlineLevel="0" collapsed="false">
      <c r="A1282" s="1" t="s">
        <v>633</v>
      </c>
      <c r="B1282" s="1" t="n">
        <v>326.14</v>
      </c>
      <c r="C1282" s="1" t="n">
        <f aca="false">1/B1282</f>
        <v>0.00306616790335439</v>
      </c>
      <c r="D1282" s="1" t="n">
        <v>1.0976</v>
      </c>
      <c r="E1282" s="1" t="n">
        <f aca="false">LN(D1282)</f>
        <v>0.0931259779894836</v>
      </c>
    </row>
    <row r="1283" customFormat="false" ht="15.75" hidden="false" customHeight="false" outlineLevel="0" collapsed="false">
      <c r="A1283" s="1" t="s">
        <v>633</v>
      </c>
      <c r="B1283" s="1" t="n">
        <v>335.24</v>
      </c>
      <c r="C1283" s="1" t="n">
        <f aca="false">1/B1283</f>
        <v>0.00298293759694547</v>
      </c>
      <c r="D1283" s="1" t="n">
        <v>0.9678</v>
      </c>
      <c r="E1283" s="1" t="n">
        <f aca="false">LN(D1283)</f>
        <v>-0.0327298246229189</v>
      </c>
    </row>
    <row r="1284" customFormat="false" ht="15.75" hidden="false" customHeight="false" outlineLevel="0" collapsed="false">
      <c r="A1284" s="1" t="s">
        <v>633</v>
      </c>
      <c r="B1284" s="1" t="n">
        <v>341.5</v>
      </c>
      <c r="C1284" s="1" t="n">
        <f aca="false">1/B1284</f>
        <v>0.00292825768667643</v>
      </c>
      <c r="D1284" s="1" t="n">
        <v>0.8102</v>
      </c>
      <c r="E1284" s="1" t="n">
        <f aca="false">LN(D1284)</f>
        <v>-0.210474148213547</v>
      </c>
    </row>
    <row r="1285" customFormat="false" ht="15.75" hidden="false" customHeight="false" outlineLevel="0" collapsed="false">
      <c r="A1285" s="1" t="s">
        <v>633</v>
      </c>
      <c r="B1285" s="1" t="n">
        <v>346.62</v>
      </c>
      <c r="C1285" s="1" t="n">
        <f aca="false">1/B1285</f>
        <v>0.00288500375050488</v>
      </c>
      <c r="D1285" s="1" t="n">
        <v>0.7057</v>
      </c>
      <c r="E1285" s="1" t="n">
        <f aca="false">LN(D1285)</f>
        <v>-0.348565060975352</v>
      </c>
    </row>
    <row r="1286" customFormat="false" ht="15.75" hidden="false" customHeight="false" outlineLevel="0" collapsed="false">
      <c r="A1286" s="1" t="s">
        <v>633</v>
      </c>
      <c r="B1286" s="1" t="n">
        <v>350.2</v>
      </c>
      <c r="C1286" s="1" t="n">
        <f aca="false">1/B1286</f>
        <v>0.00285551113649343</v>
      </c>
      <c r="D1286" s="1" t="n">
        <v>0.6447</v>
      </c>
      <c r="E1286" s="1" t="n">
        <f aca="false">LN(D1286)</f>
        <v>-0.438970186665563</v>
      </c>
    </row>
    <row r="1287" customFormat="false" ht="15.75" hidden="false" customHeight="false" outlineLevel="0" collapsed="false">
      <c r="A1287" s="1" t="s">
        <v>633</v>
      </c>
      <c r="B1287" s="1" t="n">
        <v>303.15</v>
      </c>
      <c r="C1287" s="1" t="n">
        <f aca="false">1/B1287</f>
        <v>0.0032986970146792</v>
      </c>
      <c r="D1287" s="1" t="n">
        <v>3.316</v>
      </c>
      <c r="E1287" s="1" t="n">
        <f aca="false">LN(D1287)</f>
        <v>1.19875923727305</v>
      </c>
    </row>
    <row r="1288" customFormat="false" ht="15.75" hidden="false" customHeight="false" outlineLevel="0" collapsed="false">
      <c r="A1288" s="1" t="s">
        <v>633</v>
      </c>
      <c r="B1288" s="1" t="n">
        <v>308.15</v>
      </c>
      <c r="C1288" s="1" t="n">
        <f aca="false">1/B1288</f>
        <v>0.00324517280545189</v>
      </c>
      <c r="D1288" s="1" t="n">
        <v>2.575</v>
      </c>
      <c r="E1288" s="1" t="n">
        <f aca="false">LN(D1288)</f>
        <v>0.9458495341157</v>
      </c>
    </row>
    <row r="1289" customFormat="false" ht="15.75" hidden="false" customHeight="false" outlineLevel="0" collapsed="false">
      <c r="A1289" s="1" t="s">
        <v>633</v>
      </c>
      <c r="B1289" s="1" t="n">
        <v>313.15</v>
      </c>
      <c r="C1289" s="1" t="n">
        <f aca="false">1/B1289</f>
        <v>0.00319335781574325</v>
      </c>
      <c r="D1289" s="1" t="n">
        <v>2.039</v>
      </c>
      <c r="E1289" s="1" t="n">
        <f aca="false">LN(D1289)</f>
        <v>0.712459491592318</v>
      </c>
    </row>
    <row r="1290" customFormat="false" ht="15.75" hidden="false" customHeight="false" outlineLevel="0" collapsed="false">
      <c r="A1290" s="1" t="s">
        <v>633</v>
      </c>
      <c r="B1290" s="1" t="n">
        <v>303.15205</v>
      </c>
      <c r="C1290" s="1" t="n">
        <f aca="false">1/B1290</f>
        <v>0.00329867470795596</v>
      </c>
      <c r="D1290" s="1" t="n">
        <v>3.318</v>
      </c>
      <c r="E1290" s="1" t="n">
        <f aca="false">LN(D1290)</f>
        <v>1.19936219176825</v>
      </c>
    </row>
    <row r="1291" customFormat="false" ht="15.75" hidden="false" customHeight="false" outlineLevel="0" collapsed="false">
      <c r="A1291" s="1" t="s">
        <v>633</v>
      </c>
      <c r="B1291" s="1" t="n">
        <v>298.15179</v>
      </c>
      <c r="C1291" s="1" t="n">
        <f aca="false">1/B1291</f>
        <v>0.00335399629832845</v>
      </c>
      <c r="D1291" s="1" t="n">
        <v>4.4126</v>
      </c>
      <c r="E1291" s="1" t="n">
        <f aca="false">LN(D1291)</f>
        <v>1.48446408489213</v>
      </c>
    </row>
    <row r="1292" customFormat="false" ht="15.75" hidden="false" customHeight="false" outlineLevel="0" collapsed="false">
      <c r="A1292" s="1" t="s">
        <v>633</v>
      </c>
      <c r="B1292" s="1" t="n">
        <v>313.15</v>
      </c>
      <c r="C1292" s="1" t="n">
        <f aca="false">1/B1292</f>
        <v>0.00319335781574325</v>
      </c>
      <c r="D1292" s="1" t="n">
        <v>2.0885</v>
      </c>
      <c r="E1292" s="1" t="n">
        <f aca="false">LN(D1292)</f>
        <v>0.736446104955093</v>
      </c>
    </row>
    <row r="1293" customFormat="false" ht="15.75" hidden="false" customHeight="false" outlineLevel="0" collapsed="false">
      <c r="A1293" s="1" t="s">
        <v>635</v>
      </c>
      <c r="B1293" s="1" t="n">
        <v>273.21</v>
      </c>
      <c r="C1293" s="1" t="n">
        <f aca="false">1/B1293</f>
        <v>0.00366018813367007</v>
      </c>
      <c r="D1293" s="1" t="n">
        <v>33.957</v>
      </c>
      <c r="E1293" s="1" t="n">
        <f aca="false">LN(D1293)</f>
        <v>3.52509501831839</v>
      </c>
    </row>
    <row r="1294" customFormat="false" ht="15.75" hidden="false" customHeight="false" outlineLevel="0" collapsed="false">
      <c r="A1294" s="1" t="s">
        <v>635</v>
      </c>
      <c r="B1294" s="1" t="n">
        <v>283.15</v>
      </c>
      <c r="C1294" s="1" t="n">
        <f aca="false">1/B1294</f>
        <v>0.00353169698039908</v>
      </c>
      <c r="D1294" s="1" t="n">
        <v>16.7196</v>
      </c>
      <c r="E1294" s="1" t="n">
        <f aca="false">LN(D1294)</f>
        <v>2.81658168392541</v>
      </c>
    </row>
    <row r="1295" customFormat="false" ht="15.75" hidden="false" customHeight="false" outlineLevel="0" collapsed="false">
      <c r="A1295" s="1" t="s">
        <v>635</v>
      </c>
      <c r="B1295" s="1" t="n">
        <v>293.15</v>
      </c>
      <c r="C1295" s="1" t="n">
        <f aca="false">1/B1295</f>
        <v>0.00341122292341805</v>
      </c>
      <c r="D1295" s="1" t="n">
        <v>9.0346</v>
      </c>
      <c r="E1295" s="1" t="n">
        <f aca="false">LN(D1295)</f>
        <v>2.20106165078966</v>
      </c>
    </row>
    <row r="1296" customFormat="false" ht="15.75" hidden="false" customHeight="false" outlineLevel="0" collapsed="false">
      <c r="A1296" s="1" t="s">
        <v>635</v>
      </c>
      <c r="B1296" s="1" t="n">
        <v>303.15</v>
      </c>
      <c r="C1296" s="1" t="n">
        <f aca="false">1/B1296</f>
        <v>0.0032986970146792</v>
      </c>
      <c r="D1296" s="1" t="n">
        <v>5.2953</v>
      </c>
      <c r="E1296" s="1" t="n">
        <f aca="false">LN(D1296)</f>
        <v>1.66681963467221</v>
      </c>
    </row>
    <row r="1297" customFormat="false" ht="15.75" hidden="false" customHeight="false" outlineLevel="0" collapsed="false">
      <c r="A1297" s="1" t="s">
        <v>635</v>
      </c>
      <c r="B1297" s="1" t="n">
        <v>313.15</v>
      </c>
      <c r="C1297" s="1" t="n">
        <f aca="false">1/B1297</f>
        <v>0.00319335781574325</v>
      </c>
      <c r="D1297" s="1" t="n">
        <v>3.3444</v>
      </c>
      <c r="E1297" s="1" t="n">
        <f aca="false">LN(D1297)</f>
        <v>1.20728730529377</v>
      </c>
    </row>
    <row r="1298" customFormat="false" ht="15.75" hidden="false" customHeight="false" outlineLevel="0" collapsed="false">
      <c r="A1298" s="1" t="s">
        <v>635</v>
      </c>
      <c r="B1298" s="1" t="n">
        <v>333.15</v>
      </c>
      <c r="C1298" s="1" t="n">
        <f aca="false">1/B1298</f>
        <v>0.0030016509079994</v>
      </c>
      <c r="D1298" s="1" t="n">
        <v>1.6019</v>
      </c>
      <c r="E1298" s="1" t="n">
        <f aca="false">LN(D1298)</f>
        <v>0.471190424725301</v>
      </c>
    </row>
    <row r="1299" customFormat="false" ht="15.75" hidden="false" customHeight="false" outlineLevel="0" collapsed="false">
      <c r="A1299" s="1" t="s">
        <v>635</v>
      </c>
      <c r="B1299" s="1" t="n">
        <v>353.15</v>
      </c>
      <c r="C1299" s="1" t="n">
        <f aca="false">1/B1299</f>
        <v>0.00283165793572137</v>
      </c>
      <c r="D1299" s="1" t="n">
        <v>0.9267</v>
      </c>
      <c r="E1299" s="1" t="n">
        <f aca="false">LN(D1299)</f>
        <v>-0.0761253903894914</v>
      </c>
    </row>
    <row r="1300" customFormat="false" ht="15.75" hidden="false" customHeight="false" outlineLevel="0" collapsed="false">
      <c r="A1300" s="1" t="s">
        <v>635</v>
      </c>
      <c r="B1300" s="1" t="n">
        <v>373.52</v>
      </c>
      <c r="C1300" s="1" t="n">
        <f aca="false">1/B1300</f>
        <v>0.00267723281216535</v>
      </c>
      <c r="D1300" s="1" t="n">
        <v>0.6108</v>
      </c>
      <c r="E1300" s="1" t="n">
        <f aca="false">LN(D1300)</f>
        <v>-0.49298570563766</v>
      </c>
    </row>
    <row r="1301" customFormat="false" ht="15.75" hidden="false" customHeight="false" outlineLevel="0" collapsed="false">
      <c r="A1301" s="1" t="s">
        <v>637</v>
      </c>
      <c r="B1301" s="1" t="n">
        <v>273.37</v>
      </c>
      <c r="C1301" s="1" t="n">
        <f aca="false">1/B1301</f>
        <v>0.00365804587189523</v>
      </c>
      <c r="D1301" s="1" t="n">
        <v>29.0875</v>
      </c>
      <c r="E1301" s="1" t="n">
        <f aca="false">LN(D1301)</f>
        <v>3.37030852862841</v>
      </c>
    </row>
    <row r="1302" customFormat="false" ht="15.75" hidden="false" customHeight="false" outlineLevel="0" collapsed="false">
      <c r="A1302" s="1" t="s">
        <v>637</v>
      </c>
      <c r="B1302" s="1" t="n">
        <v>283.15</v>
      </c>
      <c r="C1302" s="1" t="n">
        <f aca="false">1/B1302</f>
        <v>0.00353169698039908</v>
      </c>
      <c r="D1302" s="1" t="n">
        <v>16.6525</v>
      </c>
      <c r="E1302" s="1" t="n">
        <f aca="false">LN(D1302)</f>
        <v>2.8125603553052</v>
      </c>
    </row>
    <row r="1303" customFormat="false" ht="15.75" hidden="false" customHeight="false" outlineLevel="0" collapsed="false">
      <c r="A1303" s="1" t="s">
        <v>637</v>
      </c>
      <c r="B1303" s="1" t="n">
        <v>303.15</v>
      </c>
      <c r="C1303" s="1" t="n">
        <f aca="false">1/B1303</f>
        <v>0.0032986970146792</v>
      </c>
      <c r="D1303" s="1" t="n">
        <v>5.6881</v>
      </c>
      <c r="E1303" s="1" t="n">
        <f aca="false">LN(D1303)</f>
        <v>1.73837627321841</v>
      </c>
    </row>
    <row r="1304" customFormat="false" ht="15.75" hidden="false" customHeight="false" outlineLevel="0" collapsed="false">
      <c r="A1304" s="1" t="s">
        <v>637</v>
      </c>
      <c r="B1304" s="1" t="n">
        <v>313.15</v>
      </c>
      <c r="C1304" s="1" t="n">
        <f aca="false">1/B1304</f>
        <v>0.00319335781574325</v>
      </c>
      <c r="D1304" s="1" t="n">
        <v>3.6387</v>
      </c>
      <c r="E1304" s="1" t="n">
        <f aca="false">LN(D1304)</f>
        <v>1.29162647500081</v>
      </c>
    </row>
    <row r="1305" customFormat="false" ht="15.75" hidden="false" customHeight="false" outlineLevel="0" collapsed="false">
      <c r="A1305" s="1" t="s">
        <v>637</v>
      </c>
      <c r="B1305" s="1" t="n">
        <v>353.15</v>
      </c>
      <c r="C1305" s="1" t="n">
        <f aca="false">1/B1305</f>
        <v>0.00283165793572137</v>
      </c>
      <c r="D1305" s="1" t="n">
        <v>0.9696</v>
      </c>
      <c r="E1305" s="1" t="n">
        <f aca="false">LN(D1305)</f>
        <v>-0.030871663667087</v>
      </c>
    </row>
    <row r="1306" customFormat="false" ht="15.75" hidden="false" customHeight="false" outlineLevel="0" collapsed="false">
      <c r="A1306" s="1" t="s">
        <v>637</v>
      </c>
      <c r="B1306" s="1" t="n">
        <v>373.54</v>
      </c>
      <c r="C1306" s="1" t="n">
        <f aca="false">1/B1306</f>
        <v>0.00267708946833003</v>
      </c>
      <c r="D1306" s="1" t="n">
        <v>0.6208</v>
      </c>
      <c r="E1306" s="1" t="n">
        <f aca="false">LN(D1306)</f>
        <v>-0.476746310113128</v>
      </c>
    </row>
    <row r="1307" customFormat="false" ht="15.75" hidden="false" customHeight="false" outlineLevel="0" collapsed="false">
      <c r="A1307" s="1" t="s">
        <v>637</v>
      </c>
      <c r="B1307" s="1" t="n">
        <v>293.15</v>
      </c>
      <c r="C1307" s="1" t="n">
        <f aca="false">1/B1307</f>
        <v>0.00341122292341805</v>
      </c>
      <c r="D1307" s="1" t="n">
        <v>9.4308</v>
      </c>
      <c r="E1307" s="1" t="n">
        <f aca="false">LN(D1307)</f>
        <v>2.24398092867799</v>
      </c>
    </row>
    <row r="1308" customFormat="false" ht="15.75" hidden="false" customHeight="false" outlineLevel="0" collapsed="false">
      <c r="A1308" s="1" t="s">
        <v>637</v>
      </c>
      <c r="B1308" s="1" t="n">
        <v>333.15</v>
      </c>
      <c r="C1308" s="1" t="n">
        <f aca="false">1/B1308</f>
        <v>0.0030016509079994</v>
      </c>
      <c r="D1308" s="1" t="n">
        <v>1.7245</v>
      </c>
      <c r="E1308" s="1" t="n">
        <f aca="false">LN(D1308)</f>
        <v>0.544937153394758</v>
      </c>
    </row>
    <row r="1309" customFormat="false" ht="15.75" hidden="false" customHeight="false" outlineLevel="0" collapsed="false">
      <c r="A1309" s="1" t="s">
        <v>639</v>
      </c>
      <c r="B1309" s="1" t="n">
        <v>273.44</v>
      </c>
      <c r="C1309" s="1" t="n">
        <f aca="false">1/B1309</f>
        <v>0.00365710942071387</v>
      </c>
      <c r="D1309" s="1" t="n">
        <v>2.6162</v>
      </c>
      <c r="E1309" s="1" t="n">
        <f aca="false">LN(D1309)</f>
        <v>0.96172288327199</v>
      </c>
    </row>
    <row r="1310" customFormat="false" ht="15.75" hidden="false" customHeight="false" outlineLevel="0" collapsed="false">
      <c r="A1310" s="1" t="s">
        <v>639</v>
      </c>
      <c r="B1310" s="1" t="n">
        <v>283.15</v>
      </c>
      <c r="C1310" s="1" t="n">
        <f aca="false">1/B1310</f>
        <v>0.00353169698039908</v>
      </c>
      <c r="D1310" s="1" t="n">
        <v>2.0125</v>
      </c>
      <c r="E1310" s="1" t="n">
        <f aca="false">LN(D1310)</f>
        <v>0.699377730310582</v>
      </c>
    </row>
    <row r="1311" customFormat="false" ht="15.75" hidden="false" customHeight="false" outlineLevel="0" collapsed="false">
      <c r="A1311" s="1" t="s">
        <v>639</v>
      </c>
      <c r="B1311" s="1" t="n">
        <v>293.15</v>
      </c>
      <c r="C1311" s="1" t="n">
        <f aca="false">1/B1311</f>
        <v>0.00341122292341805</v>
      </c>
      <c r="D1311" s="1" t="n">
        <v>1.5811</v>
      </c>
      <c r="E1311" s="1" t="n">
        <f aca="false">LN(D1311)</f>
        <v>0.458120807333962</v>
      </c>
    </row>
    <row r="1312" customFormat="false" ht="15.75" hidden="false" customHeight="false" outlineLevel="0" collapsed="false">
      <c r="A1312" s="1" t="s">
        <v>639</v>
      </c>
      <c r="B1312" s="1" t="n">
        <v>303.15</v>
      </c>
      <c r="C1312" s="1" t="n">
        <f aca="false">1/B1312</f>
        <v>0.0032986970146792</v>
      </c>
      <c r="D1312" s="1" t="n">
        <v>1.2638</v>
      </c>
      <c r="E1312" s="1" t="n">
        <f aca="false">LN(D1312)</f>
        <v>0.234123055357218</v>
      </c>
    </row>
    <row r="1313" customFormat="false" ht="15.75" hidden="false" customHeight="false" outlineLevel="0" collapsed="false">
      <c r="A1313" s="1" t="s">
        <v>639</v>
      </c>
      <c r="B1313" s="1" t="n">
        <v>313.15</v>
      </c>
      <c r="C1313" s="1" t="n">
        <f aca="false">1/B1313</f>
        <v>0.00319335781574325</v>
      </c>
      <c r="D1313" s="1" t="n">
        <v>1.0332</v>
      </c>
      <c r="E1313" s="1" t="n">
        <f aca="false">LN(D1313)</f>
        <v>0.0326607822395483</v>
      </c>
    </row>
    <row r="1314" customFormat="false" ht="15.75" hidden="false" customHeight="false" outlineLevel="0" collapsed="false">
      <c r="A1314" s="1" t="s">
        <v>639</v>
      </c>
      <c r="B1314" s="1" t="n">
        <v>333.15</v>
      </c>
      <c r="C1314" s="1" t="n">
        <f aca="false">1/B1314</f>
        <v>0.0030016509079994</v>
      </c>
      <c r="D1314" s="1" t="n">
        <v>0.7256</v>
      </c>
      <c r="E1314" s="1" t="n">
        <f aca="false">LN(D1314)</f>
        <v>-0.32075638018121</v>
      </c>
    </row>
    <row r="1315" customFormat="false" ht="15.75" hidden="false" customHeight="false" outlineLevel="0" collapsed="false">
      <c r="A1315" s="1" t="s">
        <v>639</v>
      </c>
      <c r="B1315" s="1" t="n">
        <v>353.15</v>
      </c>
      <c r="C1315" s="1" t="n">
        <f aca="false">1/B1315</f>
        <v>0.00283165793572137</v>
      </c>
      <c r="D1315" s="1" t="n">
        <v>0.5346</v>
      </c>
      <c r="E1315" s="1" t="n">
        <f aca="false">LN(D1315)</f>
        <v>-0.626236475277319</v>
      </c>
    </row>
    <row r="1316" customFormat="false" ht="15.75" hidden="false" customHeight="false" outlineLevel="0" collapsed="false">
      <c r="A1316" s="1" t="s">
        <v>639</v>
      </c>
      <c r="B1316" s="1" t="n">
        <v>373.15</v>
      </c>
      <c r="C1316" s="1" t="n">
        <f aca="false">1/B1316</f>
        <v>0.00267988744472732</v>
      </c>
      <c r="D1316" s="1" t="n">
        <v>0.4117</v>
      </c>
      <c r="E1316" s="1" t="n">
        <f aca="false">LN(D1316)</f>
        <v>-0.887460350206278</v>
      </c>
    </row>
    <row r="1317" customFormat="false" ht="15.75" hidden="false" customHeight="false" outlineLevel="0" collapsed="false">
      <c r="A1317" s="1" t="s">
        <v>641</v>
      </c>
      <c r="B1317" s="1" t="n">
        <v>293</v>
      </c>
      <c r="C1317" s="1" t="n">
        <f aca="false">1/B1317</f>
        <v>0.00341296928327645</v>
      </c>
      <c r="D1317" s="1" t="n">
        <v>3.87</v>
      </c>
      <c r="E1317" s="1" t="n">
        <f aca="false">LN(D1317)</f>
        <v>1.35325450704169</v>
      </c>
    </row>
    <row r="1318" customFormat="false" ht="15.75" hidden="false" customHeight="false" outlineLevel="0" collapsed="false">
      <c r="A1318" s="1" t="s">
        <v>641</v>
      </c>
      <c r="B1318" s="1" t="n">
        <v>298</v>
      </c>
      <c r="C1318" s="1" t="n">
        <f aca="false">1/B1318</f>
        <v>0.00335570469798658</v>
      </c>
      <c r="D1318" s="1" t="n">
        <v>3.35</v>
      </c>
      <c r="E1318" s="1" t="n">
        <f aca="false">LN(D1318)</f>
        <v>1.20896034583698</v>
      </c>
    </row>
    <row r="1319" customFormat="false" ht="15.75" hidden="false" customHeight="false" outlineLevel="0" collapsed="false">
      <c r="A1319" s="1" t="s">
        <v>641</v>
      </c>
      <c r="B1319" s="1" t="n">
        <v>303</v>
      </c>
      <c r="C1319" s="1" t="n">
        <f aca="false">1/B1319</f>
        <v>0.0033003300330033</v>
      </c>
      <c r="D1319" s="1" t="n">
        <v>2.95</v>
      </c>
      <c r="E1319" s="1" t="n">
        <f aca="false">LN(D1319)</f>
        <v>1.08180517035173</v>
      </c>
    </row>
    <row r="1320" customFormat="false" ht="15.75" hidden="false" customHeight="false" outlineLevel="0" collapsed="false">
      <c r="A1320" s="1" t="s">
        <v>641</v>
      </c>
      <c r="B1320" s="1" t="n">
        <v>308</v>
      </c>
      <c r="C1320" s="1" t="n">
        <f aca="false">1/B1320</f>
        <v>0.00324675324675325</v>
      </c>
      <c r="D1320" s="1" t="n">
        <v>2.6</v>
      </c>
      <c r="E1320" s="1" t="n">
        <f aca="false">LN(D1320)</f>
        <v>0.955511445027436</v>
      </c>
    </row>
    <row r="1321" customFormat="false" ht="15.75" hidden="false" customHeight="false" outlineLevel="0" collapsed="false">
      <c r="A1321" s="1" t="s">
        <v>641</v>
      </c>
      <c r="B1321" s="1" t="n">
        <v>311</v>
      </c>
      <c r="C1321" s="1" t="n">
        <f aca="false">1/B1321</f>
        <v>0.00321543408360129</v>
      </c>
      <c r="D1321" s="1" t="n">
        <v>2.39</v>
      </c>
      <c r="E1321" s="1" t="n">
        <f aca="false">LN(D1321)</f>
        <v>0.871293365943419</v>
      </c>
    </row>
    <row r="1322" customFormat="false" ht="15.75" hidden="false" customHeight="false" outlineLevel="0" collapsed="false">
      <c r="A1322" s="1" t="s">
        <v>641</v>
      </c>
      <c r="B1322" s="1" t="n">
        <v>313</v>
      </c>
      <c r="C1322" s="1" t="n">
        <f aca="false">1/B1322</f>
        <v>0.00319488817891374</v>
      </c>
      <c r="D1322" s="1" t="n">
        <v>2.352</v>
      </c>
      <c r="E1322" s="1" t="n">
        <f aca="false">LN(D1322)</f>
        <v>0.85526603003638</v>
      </c>
    </row>
    <row r="1323" customFormat="false" ht="15.75" hidden="false" customHeight="false" outlineLevel="0" collapsed="false">
      <c r="A1323" s="1" t="s">
        <v>641</v>
      </c>
      <c r="B1323" s="1" t="n">
        <v>318</v>
      </c>
      <c r="C1323" s="1" t="n">
        <f aca="false">1/B1323</f>
        <v>0.00314465408805031</v>
      </c>
      <c r="D1323" s="1" t="n">
        <v>2.045</v>
      </c>
      <c r="E1323" s="1" t="n">
        <f aca="false">LN(D1323)</f>
        <v>0.715397789494765</v>
      </c>
    </row>
    <row r="1324" customFormat="false" ht="15.75" hidden="false" customHeight="false" outlineLevel="0" collapsed="false">
      <c r="A1324" s="1" t="s">
        <v>641</v>
      </c>
      <c r="B1324" s="1" t="n">
        <v>323</v>
      </c>
      <c r="C1324" s="1" t="n">
        <f aca="false">1/B1324</f>
        <v>0.00309597523219814</v>
      </c>
      <c r="D1324" s="1" t="n">
        <v>1.82</v>
      </c>
      <c r="E1324" s="1" t="n">
        <f aca="false">LN(D1324)</f>
        <v>0.598836501088704</v>
      </c>
    </row>
    <row r="1325" customFormat="false" ht="15.75" hidden="false" customHeight="false" outlineLevel="0" collapsed="false">
      <c r="A1325" s="1" t="s">
        <v>641</v>
      </c>
      <c r="B1325" s="1" t="n">
        <v>372</v>
      </c>
      <c r="C1325" s="1" t="n">
        <f aca="false">1/B1325</f>
        <v>0.00268817204301075</v>
      </c>
      <c r="D1325" s="1" t="n">
        <v>0.87</v>
      </c>
      <c r="E1325" s="1" t="n">
        <f aca="false">LN(D1325)</f>
        <v>-0.139262067333508</v>
      </c>
    </row>
    <row r="1326" customFormat="false" ht="15.75" hidden="false" customHeight="false" outlineLevel="0" collapsed="false">
      <c r="A1326" s="1" t="s">
        <v>643</v>
      </c>
      <c r="B1326" s="1" t="n">
        <v>273.37</v>
      </c>
      <c r="C1326" s="1" t="n">
        <f aca="false">1/B1326</f>
        <v>0.00365804587189523</v>
      </c>
      <c r="D1326" s="1" t="n">
        <v>22.5596</v>
      </c>
      <c r="E1326" s="1" t="n">
        <f aca="false">LN(D1326)</f>
        <v>3.11616069597622</v>
      </c>
    </row>
    <row r="1327" customFormat="false" ht="15.75" hidden="false" customHeight="false" outlineLevel="0" collapsed="false">
      <c r="A1327" s="1" t="s">
        <v>643</v>
      </c>
      <c r="B1327" s="1" t="n">
        <v>283.15</v>
      </c>
      <c r="C1327" s="1" t="n">
        <f aca="false">1/B1327</f>
        <v>0.00353169698039908</v>
      </c>
      <c r="D1327" s="1" t="n">
        <v>14.4096</v>
      </c>
      <c r="E1327" s="1" t="n">
        <f aca="false">LN(D1327)</f>
        <v>2.66789465112512</v>
      </c>
    </row>
    <row r="1328" customFormat="false" ht="15.75" hidden="false" customHeight="false" outlineLevel="0" collapsed="false">
      <c r="A1328" s="1" t="s">
        <v>643</v>
      </c>
      <c r="B1328" s="1" t="n">
        <v>293.15</v>
      </c>
      <c r="C1328" s="1" t="n">
        <f aca="false">1/B1328</f>
        <v>0.00341122292341805</v>
      </c>
      <c r="D1328" s="1" t="n">
        <v>9.5657</v>
      </c>
      <c r="E1328" s="1" t="n">
        <f aca="false">LN(D1328)</f>
        <v>2.25818378369588</v>
      </c>
    </row>
    <row r="1329" customFormat="false" ht="15.75" hidden="false" customHeight="false" outlineLevel="0" collapsed="false">
      <c r="A1329" s="1" t="s">
        <v>643</v>
      </c>
      <c r="B1329" s="1" t="n">
        <v>303.15</v>
      </c>
      <c r="C1329" s="1" t="n">
        <f aca="false">1/B1329</f>
        <v>0.0032986970146792</v>
      </c>
      <c r="D1329" s="1" t="n">
        <v>6.5998</v>
      </c>
      <c r="E1329" s="1" t="n">
        <f aca="false">LN(D1329)</f>
        <v>1.88703934554293</v>
      </c>
    </row>
    <row r="1330" customFormat="false" ht="15.75" hidden="false" customHeight="false" outlineLevel="0" collapsed="false">
      <c r="A1330" s="1" t="s">
        <v>643</v>
      </c>
      <c r="B1330" s="1" t="n">
        <v>313.15</v>
      </c>
      <c r="C1330" s="1" t="n">
        <f aca="false">1/B1330</f>
        <v>0.00319335781574325</v>
      </c>
      <c r="D1330" s="1" t="n">
        <v>4.7059</v>
      </c>
      <c r="E1330" s="1" t="n">
        <f aca="false">LN(D1330)</f>
        <v>1.54881704061063</v>
      </c>
    </row>
    <row r="1331" customFormat="false" ht="15.75" hidden="false" customHeight="false" outlineLevel="0" collapsed="false">
      <c r="A1331" s="1" t="s">
        <v>643</v>
      </c>
      <c r="B1331" s="1" t="n">
        <v>333.15</v>
      </c>
      <c r="C1331" s="1" t="n">
        <f aca="false">1/B1331</f>
        <v>0.0030016509079994</v>
      </c>
      <c r="D1331" s="1" t="n">
        <v>2.619</v>
      </c>
      <c r="E1331" s="1" t="n">
        <f aca="false">LN(D1331)</f>
        <v>0.962792565525575</v>
      </c>
    </row>
    <row r="1332" customFormat="false" ht="15.75" hidden="false" customHeight="false" outlineLevel="0" collapsed="false">
      <c r="A1332" s="1" t="s">
        <v>643</v>
      </c>
      <c r="B1332" s="1" t="n">
        <v>353.15</v>
      </c>
      <c r="C1332" s="1" t="n">
        <f aca="false">1/B1332</f>
        <v>0.00283165793572137</v>
      </c>
      <c r="D1332" s="1" t="n">
        <v>1.5949</v>
      </c>
      <c r="E1332" s="1" t="n">
        <f aca="false">LN(D1332)</f>
        <v>0.466811038346571</v>
      </c>
    </row>
    <row r="1333" customFormat="false" ht="15.75" hidden="false" customHeight="false" outlineLevel="0" collapsed="false">
      <c r="A1333" s="1" t="s">
        <v>643</v>
      </c>
      <c r="B1333" s="1" t="n">
        <v>373.57</v>
      </c>
      <c r="C1333" s="1" t="n">
        <f aca="false">1/B1333</f>
        <v>0.00267687448135557</v>
      </c>
      <c r="D1333" s="1" t="n">
        <v>1.0409</v>
      </c>
      <c r="E1333" s="1" t="n">
        <f aca="false">LN(D1333)</f>
        <v>0.0400857235392856</v>
      </c>
    </row>
    <row r="1334" customFormat="false" ht="15.75" hidden="false" customHeight="false" outlineLevel="0" collapsed="false">
      <c r="A1334" s="1" t="s">
        <v>46</v>
      </c>
      <c r="B1334" s="1" t="n">
        <v>303.15</v>
      </c>
      <c r="C1334" s="1" t="n">
        <f aca="false">1/B1334</f>
        <v>0.0032986970146792</v>
      </c>
      <c r="D1334" s="1" t="n">
        <v>0.812</v>
      </c>
      <c r="E1334" s="1" t="n">
        <f aca="false">LN(D1334)</f>
        <v>-0.208254938820459</v>
      </c>
    </row>
    <row r="1335" customFormat="false" ht="15.75" hidden="false" customHeight="false" outlineLevel="0" collapsed="false">
      <c r="A1335" s="1" t="s">
        <v>46</v>
      </c>
      <c r="B1335" s="1" t="n">
        <v>313.15</v>
      </c>
      <c r="C1335" s="1" t="n">
        <f aca="false">1/B1335</f>
        <v>0.00319335781574325</v>
      </c>
      <c r="D1335" s="1" t="n">
        <v>0.719</v>
      </c>
      <c r="E1335" s="1" t="n">
        <f aca="false">LN(D1335)</f>
        <v>-0.32989392126109</v>
      </c>
    </row>
    <row r="1336" customFormat="false" ht="15.75" hidden="false" customHeight="false" outlineLevel="0" collapsed="false">
      <c r="A1336" s="1" t="s">
        <v>46</v>
      </c>
      <c r="B1336" s="1" t="n">
        <v>333.15</v>
      </c>
      <c r="C1336" s="1" t="n">
        <f aca="false">1/B1336</f>
        <v>0.0030016509079994</v>
      </c>
      <c r="D1336" s="1" t="n">
        <v>0.585</v>
      </c>
      <c r="E1336" s="1" t="n">
        <f aca="false">LN(D1336)</f>
        <v>-0.536143431750281</v>
      </c>
    </row>
    <row r="1337" customFormat="false" ht="15.75" hidden="false" customHeight="false" outlineLevel="0" collapsed="false">
      <c r="A1337" s="1" t="s">
        <v>48</v>
      </c>
      <c r="B1337" s="1" t="n">
        <v>303.15</v>
      </c>
      <c r="C1337" s="1" t="n">
        <f aca="false">1/B1337</f>
        <v>0.0032986970146792</v>
      </c>
      <c r="D1337" s="1" t="n">
        <v>1.336</v>
      </c>
      <c r="E1337" s="1" t="n">
        <f aca="false">LN(D1337)</f>
        <v>0.289680075114454</v>
      </c>
    </row>
    <row r="1338" customFormat="false" ht="15.75" hidden="false" customHeight="false" outlineLevel="0" collapsed="false">
      <c r="A1338" s="1" t="s">
        <v>48</v>
      </c>
      <c r="B1338" s="1" t="n">
        <v>313.15</v>
      </c>
      <c r="C1338" s="1" t="n">
        <f aca="false">1/B1338</f>
        <v>0.00319335781574325</v>
      </c>
      <c r="D1338" s="1" t="n">
        <v>1.147</v>
      </c>
      <c r="E1338" s="1" t="n">
        <f aca="false">LN(D1338)</f>
        <v>0.137149838147234</v>
      </c>
    </row>
    <row r="1339" customFormat="false" ht="15.75" hidden="false" customHeight="false" outlineLevel="0" collapsed="false">
      <c r="A1339" s="1" t="s">
        <v>48</v>
      </c>
      <c r="B1339" s="1" t="n">
        <v>333.15</v>
      </c>
      <c r="C1339" s="1" t="n">
        <f aca="false">1/B1339</f>
        <v>0.0030016509079994</v>
      </c>
      <c r="D1339" s="1" t="n">
        <v>0.888</v>
      </c>
      <c r="E1339" s="1" t="n">
        <f aca="false">LN(D1339)</f>
        <v>-0.118783535989967</v>
      </c>
    </row>
    <row r="1340" customFormat="false" ht="15.75" hidden="false" customHeight="false" outlineLevel="0" collapsed="false">
      <c r="A1340" s="1" t="s">
        <v>50</v>
      </c>
      <c r="B1340" s="1" t="n">
        <v>303.15</v>
      </c>
      <c r="C1340" s="1" t="n">
        <f aca="false">1/B1340</f>
        <v>0.0032986970146792</v>
      </c>
      <c r="D1340" s="1" t="n">
        <v>1.144</v>
      </c>
      <c r="E1340" s="1" t="n">
        <f aca="false">LN(D1340)</f>
        <v>0.134530892957606</v>
      </c>
    </row>
    <row r="1341" customFormat="false" ht="15.75" hidden="false" customHeight="false" outlineLevel="0" collapsed="false">
      <c r="A1341" s="1" t="s">
        <v>50</v>
      </c>
      <c r="B1341" s="1" t="n">
        <v>313.15</v>
      </c>
      <c r="C1341" s="1" t="n">
        <f aca="false">1/B1341</f>
        <v>0.00319335781574325</v>
      </c>
      <c r="D1341" s="1" t="n">
        <v>0.993</v>
      </c>
      <c r="E1341" s="1" t="n">
        <f aca="false">LN(D1341)</f>
        <v>-0.00702461493696447</v>
      </c>
    </row>
    <row r="1342" customFormat="false" ht="15.75" hidden="false" customHeight="false" outlineLevel="0" collapsed="false">
      <c r="A1342" s="1" t="s">
        <v>50</v>
      </c>
      <c r="B1342" s="1" t="n">
        <v>333.15</v>
      </c>
      <c r="C1342" s="1" t="n">
        <f aca="false">1/B1342</f>
        <v>0.0030016509079994</v>
      </c>
      <c r="D1342" s="1" t="n">
        <v>0.78</v>
      </c>
      <c r="E1342" s="1" t="n">
        <f aca="false">LN(D1342)</f>
        <v>-0.2484613592985</v>
      </c>
    </row>
    <row r="1343" customFormat="false" ht="15.75" hidden="false" customHeight="false" outlineLevel="0" collapsed="false">
      <c r="A1343" s="1" t="s">
        <v>52</v>
      </c>
      <c r="B1343" s="1" t="n">
        <v>303.15</v>
      </c>
      <c r="C1343" s="1" t="n">
        <f aca="false">1/B1343</f>
        <v>0.0032986970146792</v>
      </c>
      <c r="D1343" s="1" t="n">
        <v>2.019</v>
      </c>
      <c r="E1343" s="1" t="n">
        <f aca="false">LN(D1343)</f>
        <v>0.7026023393307</v>
      </c>
    </row>
    <row r="1344" customFormat="false" ht="15.75" hidden="false" customHeight="false" outlineLevel="0" collapsed="false">
      <c r="A1344" s="1" t="s">
        <v>52</v>
      </c>
      <c r="B1344" s="1" t="n">
        <v>313.15</v>
      </c>
      <c r="C1344" s="1" t="n">
        <f aca="false">1/B1344</f>
        <v>0.00319335781574325</v>
      </c>
      <c r="D1344" s="1" t="n">
        <v>1.683</v>
      </c>
      <c r="E1344" s="1" t="n">
        <f aca="false">LN(D1344)</f>
        <v>0.520577915208669</v>
      </c>
    </row>
    <row r="1345" customFormat="false" ht="15.75" hidden="false" customHeight="false" outlineLevel="0" collapsed="false">
      <c r="A1345" s="1" t="s">
        <v>52</v>
      </c>
      <c r="B1345" s="1" t="n">
        <v>333.15</v>
      </c>
      <c r="C1345" s="1" t="n">
        <f aca="false">1/B1345</f>
        <v>0.0030016509079994</v>
      </c>
      <c r="D1345" s="1" t="n">
        <v>1.241</v>
      </c>
      <c r="E1345" s="1" t="n">
        <f aca="false">LN(D1345)</f>
        <v>0.21591750622247</v>
      </c>
    </row>
    <row r="1346" customFormat="false" ht="15.75" hidden="false" customHeight="false" outlineLevel="0" collapsed="false">
      <c r="A1346" s="1" t="s">
        <v>54</v>
      </c>
      <c r="B1346" s="1" t="n">
        <v>303.15</v>
      </c>
      <c r="C1346" s="1" t="n">
        <f aca="false">1/B1346</f>
        <v>0.0032986970146792</v>
      </c>
      <c r="D1346" s="1" t="n">
        <v>1.68</v>
      </c>
      <c r="E1346" s="1" t="n">
        <f aca="false">LN(D1346)</f>
        <v>0.518793793415168</v>
      </c>
    </row>
    <row r="1347" customFormat="false" ht="15.75" hidden="false" customHeight="false" outlineLevel="0" collapsed="false">
      <c r="A1347" s="1" t="s">
        <v>54</v>
      </c>
      <c r="B1347" s="1" t="n">
        <v>313.15</v>
      </c>
      <c r="C1347" s="1" t="n">
        <f aca="false">1/B1347</f>
        <v>0.00319335781574325</v>
      </c>
      <c r="D1347" s="1" t="n">
        <v>1.419</v>
      </c>
      <c r="E1347" s="1" t="n">
        <f aca="false">LN(D1347)</f>
        <v>0.349952398177906</v>
      </c>
    </row>
    <row r="1348" customFormat="false" ht="15.75" hidden="false" customHeight="false" outlineLevel="0" collapsed="false">
      <c r="A1348" s="1" t="s">
        <v>56</v>
      </c>
      <c r="B1348" s="1" t="n">
        <v>303.15</v>
      </c>
      <c r="C1348" s="1" t="n">
        <f aca="false">1/B1348</f>
        <v>0.0032986970146792</v>
      </c>
      <c r="D1348" s="1" t="n">
        <v>0.871</v>
      </c>
      <c r="E1348" s="1" t="n">
        <f aca="false">LN(D1348)</f>
        <v>-0.138113302129634</v>
      </c>
    </row>
    <row r="1349" customFormat="false" ht="15.75" hidden="false" customHeight="false" outlineLevel="0" collapsed="false">
      <c r="A1349" s="1" t="s">
        <v>56</v>
      </c>
      <c r="B1349" s="1" t="n">
        <v>313.15</v>
      </c>
      <c r="C1349" s="1" t="n">
        <f aca="false">1/B1349</f>
        <v>0.00319335781574325</v>
      </c>
      <c r="D1349" s="1" t="n">
        <v>0.768</v>
      </c>
      <c r="E1349" s="1" t="n">
        <f aca="false">LN(D1349)</f>
        <v>-0.263965545834465</v>
      </c>
    </row>
    <row r="1350" customFormat="false" ht="15.75" hidden="false" customHeight="false" outlineLevel="0" collapsed="false">
      <c r="A1350" s="1" t="s">
        <v>56</v>
      </c>
      <c r="B1350" s="1" t="n">
        <v>333.15</v>
      </c>
      <c r="C1350" s="1" t="n">
        <f aca="false">1/B1350</f>
        <v>0.0030016509079994</v>
      </c>
      <c r="D1350" s="1" t="n">
        <v>0.619</v>
      </c>
      <c r="E1350" s="1" t="n">
        <f aca="false">LN(D1350)</f>
        <v>-0.479650006297541</v>
      </c>
    </row>
    <row r="1351" customFormat="false" ht="15.75" hidden="false" customHeight="false" outlineLevel="0" collapsed="false">
      <c r="A1351" s="1" t="s">
        <v>645</v>
      </c>
      <c r="B1351" s="1" t="n">
        <v>303.1553</v>
      </c>
      <c r="C1351" s="1" t="n">
        <f aca="false">1/B1351</f>
        <v>0.00329863934425689</v>
      </c>
      <c r="D1351" s="1" t="n">
        <v>3.721</v>
      </c>
      <c r="E1351" s="1" t="n">
        <f aca="false">LN(D1351)</f>
        <v>1.31399244936449</v>
      </c>
    </row>
    <row r="1352" customFormat="false" ht="15.75" hidden="false" customHeight="false" outlineLevel="0" collapsed="false">
      <c r="A1352" s="1" t="s">
        <v>645</v>
      </c>
      <c r="B1352" s="1" t="n">
        <v>308.15</v>
      </c>
      <c r="C1352" s="1" t="n">
        <f aca="false">1/B1352</f>
        <v>0.00324517280545189</v>
      </c>
      <c r="D1352" s="1" t="n">
        <v>3.285</v>
      </c>
      <c r="E1352" s="1" t="n">
        <f aca="false">LN(D1352)</f>
        <v>1.18936665193657</v>
      </c>
    </row>
    <row r="1353" customFormat="false" ht="15.75" hidden="false" customHeight="false" outlineLevel="0" collapsed="false">
      <c r="A1353" s="1" t="s">
        <v>645</v>
      </c>
      <c r="B1353" s="1" t="n">
        <v>310.15</v>
      </c>
      <c r="C1353" s="1" t="n">
        <f aca="false">1/B1353</f>
        <v>0.0032242463324198</v>
      </c>
      <c r="D1353" s="1" t="n">
        <v>3.116</v>
      </c>
      <c r="E1353" s="1" t="n">
        <f aca="false">LN(D1353)</f>
        <v>1.1365501280085</v>
      </c>
    </row>
    <row r="1354" customFormat="false" ht="15.75" hidden="false" customHeight="false" outlineLevel="0" collapsed="false">
      <c r="A1354" s="1" t="s">
        <v>645</v>
      </c>
      <c r="B1354" s="1" t="n">
        <v>313.15</v>
      </c>
      <c r="C1354" s="1" t="n">
        <f aca="false">1/B1354</f>
        <v>0.00319335781574325</v>
      </c>
      <c r="D1354" s="1" t="n">
        <v>2.899</v>
      </c>
      <c r="E1354" s="1" t="n">
        <f aca="false">LN(D1354)</f>
        <v>1.06436584993952</v>
      </c>
    </row>
    <row r="1355" customFormat="false" ht="15.75" hidden="false" customHeight="false" outlineLevel="0" collapsed="false">
      <c r="A1355" s="1" t="s">
        <v>645</v>
      </c>
      <c r="B1355" s="1" t="n">
        <v>315.15</v>
      </c>
      <c r="C1355" s="1" t="n">
        <f aca="false">1/B1355</f>
        <v>0.00317309217832778</v>
      </c>
      <c r="D1355" s="1" t="n">
        <v>2.776</v>
      </c>
      <c r="E1355" s="1" t="n">
        <f aca="false">LN(D1355)</f>
        <v>1.02101104264456</v>
      </c>
    </row>
    <row r="1356" customFormat="false" ht="15.75" hidden="false" customHeight="false" outlineLevel="0" collapsed="false">
      <c r="A1356" s="1" t="s">
        <v>645</v>
      </c>
      <c r="B1356" s="1" t="n">
        <v>320.15</v>
      </c>
      <c r="C1356" s="1" t="n">
        <f aca="false">1/B1356</f>
        <v>0.00312353584257379</v>
      </c>
      <c r="D1356" s="1" t="n">
        <v>2.487</v>
      </c>
      <c r="E1356" s="1" t="n">
        <f aca="false">LN(D1356)</f>
        <v>0.911077164821268</v>
      </c>
    </row>
    <row r="1357" customFormat="false" ht="15.75" hidden="false" customHeight="false" outlineLevel="0" collapsed="false">
      <c r="A1357" s="1" t="s">
        <v>645</v>
      </c>
      <c r="B1357" s="1" t="n">
        <v>323.15</v>
      </c>
      <c r="C1357" s="1" t="n">
        <f aca="false">1/B1357</f>
        <v>0.00309453814018258</v>
      </c>
      <c r="D1357" s="1" t="n">
        <v>2.312</v>
      </c>
      <c r="E1357" s="1" t="n">
        <f aca="false">LN(D1357)</f>
        <v>0.838112950810131</v>
      </c>
    </row>
    <row r="1358" customFormat="false" ht="15.75" hidden="false" customHeight="false" outlineLevel="0" collapsed="false">
      <c r="A1358" s="1" t="s">
        <v>645</v>
      </c>
      <c r="B1358" s="1" t="n">
        <v>328.15</v>
      </c>
      <c r="C1358" s="1" t="n">
        <f aca="false">1/B1358</f>
        <v>0.00304738686576261</v>
      </c>
      <c r="D1358" s="1" t="n">
        <v>2.072</v>
      </c>
      <c r="E1358" s="1" t="n">
        <f aca="false">LN(D1358)</f>
        <v>0.728514324397237</v>
      </c>
    </row>
    <row r="1359" customFormat="false" ht="15.75" hidden="false" customHeight="false" outlineLevel="0" collapsed="false">
      <c r="A1359" s="1" t="s">
        <v>645</v>
      </c>
      <c r="B1359" s="1" t="n">
        <v>330.15</v>
      </c>
      <c r="C1359" s="1" t="n">
        <f aca="false">1/B1359</f>
        <v>0.00302892624564592</v>
      </c>
      <c r="D1359" s="1" t="n">
        <v>2.008</v>
      </c>
      <c r="E1359" s="1" t="n">
        <f aca="false">LN(D1359)</f>
        <v>0.697139201829483</v>
      </c>
    </row>
    <row r="1360" customFormat="false" ht="15.75" hidden="false" customHeight="false" outlineLevel="0" collapsed="false">
      <c r="A1360" s="1" t="s">
        <v>645</v>
      </c>
      <c r="B1360" s="1" t="n">
        <v>333.15</v>
      </c>
      <c r="C1360" s="1" t="n">
        <f aca="false">1/B1360</f>
        <v>0.0030016509079994</v>
      </c>
      <c r="D1360" s="1" t="n">
        <v>1.895</v>
      </c>
      <c r="E1360" s="1" t="n">
        <f aca="false">LN(D1360)</f>
        <v>0.63921883853439</v>
      </c>
    </row>
    <row r="1361" customFormat="false" ht="15.75" hidden="false" customHeight="false" outlineLevel="0" collapsed="false">
      <c r="A1361" s="1" t="s">
        <v>645</v>
      </c>
      <c r="B1361" s="1" t="n">
        <v>335.15</v>
      </c>
      <c r="C1361" s="1" t="n">
        <f aca="false">1/B1361</f>
        <v>0.00298373862449649</v>
      </c>
      <c r="D1361" s="1" t="n">
        <v>1.847</v>
      </c>
      <c r="E1361" s="1" t="n">
        <f aca="false">LN(D1361)</f>
        <v>0.613562701217103</v>
      </c>
    </row>
    <row r="1362" customFormat="false" ht="15.75" hidden="false" customHeight="false" outlineLevel="0" collapsed="false">
      <c r="A1362" s="1" t="s">
        <v>645</v>
      </c>
      <c r="B1362" s="1" t="n">
        <v>338.15</v>
      </c>
      <c r="C1362" s="1" t="n">
        <f aca="false">1/B1362</f>
        <v>0.002957267484844</v>
      </c>
      <c r="D1362" s="1" t="n">
        <v>1.724</v>
      </c>
      <c r="E1362" s="1" t="n">
        <f aca="false">LN(D1362)</f>
        <v>0.544647172241501</v>
      </c>
    </row>
    <row r="1363" customFormat="false" ht="15.75" hidden="false" customHeight="false" outlineLevel="0" collapsed="false">
      <c r="A1363" s="1" t="s">
        <v>645</v>
      </c>
      <c r="B1363" s="1" t="n">
        <v>343.15</v>
      </c>
      <c r="C1363" s="1" t="n">
        <f aca="false">1/B1363</f>
        <v>0.00291417747340813</v>
      </c>
      <c r="D1363" s="1" t="n">
        <v>1.596</v>
      </c>
      <c r="E1363" s="1" t="n">
        <f aca="false">LN(D1363)</f>
        <v>0.467500499027617</v>
      </c>
    </row>
    <row r="1364" customFormat="false" ht="15.75" hidden="false" customHeight="false" outlineLevel="0" collapsed="false">
      <c r="A1364" s="1" t="s">
        <v>645</v>
      </c>
      <c r="B1364" s="1" t="n">
        <v>345.15</v>
      </c>
      <c r="C1364" s="1" t="n">
        <f aca="false">1/B1364</f>
        <v>0.00289729103288425</v>
      </c>
      <c r="D1364" s="1" t="n">
        <v>1.535</v>
      </c>
      <c r="E1364" s="1" t="n">
        <f aca="false">LN(D1364)</f>
        <v>0.42853038103916</v>
      </c>
    </row>
    <row r="1365" customFormat="false" ht="15.75" hidden="false" customHeight="false" outlineLevel="0" collapsed="false">
      <c r="A1365" s="1" t="s">
        <v>645</v>
      </c>
      <c r="B1365" s="1" t="n">
        <v>382.151</v>
      </c>
      <c r="C1365" s="1" t="n">
        <f aca="false">1/B1365</f>
        <v>0.00261676667076627</v>
      </c>
      <c r="D1365" s="1" t="n">
        <v>0.94</v>
      </c>
      <c r="E1365" s="1" t="n">
        <f aca="false">LN(D1365)</f>
        <v>-0.0618754037180875</v>
      </c>
    </row>
    <row r="1366" customFormat="false" ht="15.75" hidden="false" customHeight="false" outlineLevel="0" collapsed="false">
      <c r="A1366" s="1" t="s">
        <v>645</v>
      </c>
      <c r="B1366" s="1" t="n">
        <v>393.15</v>
      </c>
      <c r="C1366" s="1" t="n">
        <f aca="false">1/B1366</f>
        <v>0.00254355843825512</v>
      </c>
      <c r="D1366" s="1" t="n">
        <v>0.834</v>
      </c>
      <c r="E1366" s="1" t="n">
        <f aca="false">LN(D1366)</f>
        <v>-0.18152187662339</v>
      </c>
    </row>
    <row r="1367" customFormat="false" ht="15.75" hidden="false" customHeight="false" outlineLevel="0" collapsed="false">
      <c r="A1367" s="1" t="s">
        <v>645</v>
      </c>
      <c r="B1367" s="1" t="n">
        <v>409.15</v>
      </c>
      <c r="C1367" s="1" t="n">
        <f aca="false">1/B1367</f>
        <v>0.0024440914090187</v>
      </c>
      <c r="D1367" s="1" t="n">
        <v>0.708</v>
      </c>
      <c r="E1367" s="1" t="n">
        <f aca="false">LN(D1367)</f>
        <v>-0.345311185288417</v>
      </c>
    </row>
    <row r="1368" customFormat="false" ht="15.75" hidden="false" customHeight="false" outlineLevel="0" collapsed="false">
      <c r="A1368" s="1" t="s">
        <v>645</v>
      </c>
      <c r="B1368" s="1" t="n">
        <v>423.15</v>
      </c>
      <c r="C1368" s="1" t="n">
        <f aca="false">1/B1368</f>
        <v>0.00236322816967978</v>
      </c>
      <c r="D1368" s="1" t="n">
        <v>0.623</v>
      </c>
      <c r="E1368" s="1" t="n">
        <f aca="false">LN(D1368)</f>
        <v>-0.473208760194684</v>
      </c>
    </row>
    <row r="1369" customFormat="false" ht="15.75" hidden="false" customHeight="false" outlineLevel="0" collapsed="false">
      <c r="A1369" s="1" t="s">
        <v>645</v>
      </c>
      <c r="B1369" s="1" t="n">
        <v>433.65</v>
      </c>
      <c r="C1369" s="1" t="n">
        <f aca="false">1/B1369</f>
        <v>0.00230600714862216</v>
      </c>
      <c r="D1369" s="1" t="n">
        <v>0.5675</v>
      </c>
      <c r="E1369" s="1" t="n">
        <f aca="false">LN(D1369)</f>
        <v>-0.566514529626579</v>
      </c>
    </row>
    <row r="1370" customFormat="false" ht="15.75" hidden="false" customHeight="false" outlineLevel="0" collapsed="false">
      <c r="A1370" s="1" t="s">
        <v>645</v>
      </c>
      <c r="B1370" s="1" t="n">
        <v>473.15</v>
      </c>
      <c r="C1370" s="1" t="n">
        <f aca="false">1/B1370</f>
        <v>0.00211349466342597</v>
      </c>
      <c r="D1370" s="1" t="n">
        <v>0.4159</v>
      </c>
      <c r="E1370" s="1" t="n">
        <f aca="false">LN(D1370)</f>
        <v>-0.877310432233271</v>
      </c>
    </row>
    <row r="1371" customFormat="false" ht="15.75" hidden="false" customHeight="false" outlineLevel="0" collapsed="false">
      <c r="A1371" s="1" t="s">
        <v>645</v>
      </c>
      <c r="B1371" s="1" t="n">
        <v>488.15</v>
      </c>
      <c r="C1371" s="1" t="n">
        <f aca="false">1/B1371</f>
        <v>0.00204855065041483</v>
      </c>
      <c r="D1371" s="1" t="n">
        <v>0.374</v>
      </c>
      <c r="E1371" s="1" t="n">
        <f aca="false">LN(D1371)</f>
        <v>-0.983499481567605</v>
      </c>
    </row>
    <row r="1372" customFormat="false" ht="15.75" hidden="false" customHeight="false" outlineLevel="0" collapsed="false">
      <c r="A1372" s="1" t="s">
        <v>645</v>
      </c>
      <c r="B1372" s="1" t="n">
        <v>318.15</v>
      </c>
      <c r="C1372" s="1" t="n">
        <f aca="false">1/B1372</f>
        <v>0.00314317146000314</v>
      </c>
      <c r="D1372" s="1" t="n">
        <v>2.586</v>
      </c>
      <c r="E1372" s="1" t="n">
        <f aca="false">LN(D1372)</f>
        <v>0.950112280349666</v>
      </c>
    </row>
    <row r="1373" customFormat="false" ht="15.75" hidden="false" customHeight="false" outlineLevel="0" collapsed="false">
      <c r="A1373" s="1" t="s">
        <v>645</v>
      </c>
      <c r="B1373" s="1" t="n">
        <v>325.15</v>
      </c>
      <c r="C1373" s="1" t="n">
        <f aca="false">1/B1373</f>
        <v>0.00307550361371675</v>
      </c>
      <c r="D1373" s="1" t="n">
        <v>2.207</v>
      </c>
      <c r="E1373" s="1" t="n">
        <f aca="false">LN(D1373)</f>
        <v>0.791634127274599</v>
      </c>
    </row>
    <row r="1374" customFormat="false" ht="15.75" hidden="false" customHeight="false" outlineLevel="0" collapsed="false">
      <c r="A1374" s="1" t="s">
        <v>645</v>
      </c>
      <c r="B1374" s="1" t="n">
        <v>340.15</v>
      </c>
      <c r="C1374" s="1" t="n">
        <f aca="false">1/B1374</f>
        <v>0.00293987946494194</v>
      </c>
      <c r="D1374" s="1" t="n">
        <v>1.658</v>
      </c>
      <c r="E1374" s="1" t="n">
        <f aca="false">LN(D1374)</f>
        <v>0.505612056713103</v>
      </c>
    </row>
    <row r="1375" customFormat="false" ht="15.75" hidden="false" customHeight="false" outlineLevel="0" collapsed="false">
      <c r="A1375" s="1" t="s">
        <v>645</v>
      </c>
      <c r="B1375" s="1" t="n">
        <v>348.15</v>
      </c>
      <c r="C1375" s="1" t="n">
        <f aca="false">1/B1375</f>
        <v>0.00287232514720666</v>
      </c>
      <c r="D1375" s="1" t="n">
        <v>1.456</v>
      </c>
      <c r="E1375" s="1" t="n">
        <f aca="false">LN(D1375)</f>
        <v>0.375692949774494</v>
      </c>
    </row>
    <row r="1376" customFormat="false" ht="15.75" hidden="false" customHeight="false" outlineLevel="0" collapsed="false">
      <c r="A1376" s="1" t="s">
        <v>645</v>
      </c>
      <c r="B1376" s="1" t="n">
        <v>458.15</v>
      </c>
      <c r="C1376" s="1" t="n">
        <f aca="false">1/B1376</f>
        <v>0.00218269125832151</v>
      </c>
      <c r="D1376" s="1" t="n">
        <v>0.4646</v>
      </c>
      <c r="E1376" s="1" t="n">
        <f aca="false">LN(D1376)</f>
        <v>-0.766578458645828</v>
      </c>
    </row>
    <row r="1377" customFormat="false" ht="15.75" hidden="false" customHeight="false" outlineLevel="0" collapsed="false">
      <c r="A1377" s="1" t="s">
        <v>647</v>
      </c>
      <c r="B1377" s="1" t="n">
        <v>286.4</v>
      </c>
      <c r="C1377" s="1" t="n">
        <f aca="false">1/B1377</f>
        <v>0.00349162011173184</v>
      </c>
      <c r="D1377" s="1" t="n">
        <v>7.49</v>
      </c>
      <c r="E1377" s="1" t="n">
        <f aca="false">LN(D1377)</f>
        <v>2.01356879752913</v>
      </c>
    </row>
    <row r="1378" customFormat="false" ht="15.75" hidden="false" customHeight="false" outlineLevel="0" collapsed="false">
      <c r="A1378" s="1" t="s">
        <v>647</v>
      </c>
      <c r="B1378" s="1" t="n">
        <v>323.75</v>
      </c>
      <c r="C1378" s="1" t="n">
        <f aca="false">1/B1378</f>
        <v>0.00308880308880309</v>
      </c>
      <c r="D1378" s="1" t="n">
        <v>2.661</v>
      </c>
      <c r="E1378" s="1" t="n">
        <f aca="false">LN(D1378)</f>
        <v>0.978701991995552</v>
      </c>
    </row>
    <row r="1379" customFormat="false" ht="15.75" hidden="false" customHeight="false" outlineLevel="0" collapsed="false">
      <c r="A1379" s="1" t="s">
        <v>647</v>
      </c>
      <c r="B1379" s="1" t="n">
        <v>353.45</v>
      </c>
      <c r="C1379" s="1" t="n">
        <f aca="false">1/B1379</f>
        <v>0.00282925449144151</v>
      </c>
      <c r="D1379" s="1" t="n">
        <v>1.579</v>
      </c>
      <c r="E1379" s="1" t="n">
        <f aca="false">LN(D1379)</f>
        <v>0.456791735273505</v>
      </c>
    </row>
    <row r="1380" customFormat="false" ht="15.75" hidden="false" customHeight="false" outlineLevel="0" collapsed="false">
      <c r="A1380" s="1" t="s">
        <v>647</v>
      </c>
      <c r="B1380" s="1" t="n">
        <v>382.45</v>
      </c>
      <c r="C1380" s="1" t="n">
        <f aca="false">1/B1380</f>
        <v>0.00261472087854622</v>
      </c>
      <c r="D1380" s="1" t="n">
        <v>1.073</v>
      </c>
      <c r="E1380" s="1" t="n">
        <f aca="false">LN(D1380)</f>
        <v>0.0704584636485614</v>
      </c>
    </row>
    <row r="1381" customFormat="false" ht="15.75" hidden="false" customHeight="false" outlineLevel="0" collapsed="false">
      <c r="A1381" s="1" t="s">
        <v>647</v>
      </c>
      <c r="B1381" s="1" t="n">
        <v>397.15</v>
      </c>
      <c r="C1381" s="1" t="n">
        <f aca="false">1/B1381</f>
        <v>0.0025179403248143</v>
      </c>
      <c r="D1381" s="1" t="n">
        <v>0.9115</v>
      </c>
      <c r="E1381" s="1" t="n">
        <f aca="false">LN(D1381)</f>
        <v>-0.0926636848634193</v>
      </c>
    </row>
    <row r="1382" customFormat="false" ht="15.75" hidden="false" customHeight="false" outlineLevel="0" collapsed="false">
      <c r="A1382" s="1" t="s">
        <v>647</v>
      </c>
      <c r="B1382" s="1" t="n">
        <v>412.85</v>
      </c>
      <c r="C1382" s="1" t="n">
        <f aca="false">1/B1382</f>
        <v>0.00242218723507327</v>
      </c>
      <c r="D1382" s="1" t="n">
        <v>0.7745</v>
      </c>
      <c r="E1382" s="1" t="n">
        <f aca="false">LN(D1382)</f>
        <v>-0.255537619125214</v>
      </c>
    </row>
    <row r="1383" customFormat="false" ht="15.75" hidden="false" customHeight="false" outlineLevel="0" collapsed="false">
      <c r="A1383" s="1" t="s">
        <v>647</v>
      </c>
      <c r="B1383" s="1" t="n">
        <v>423.15</v>
      </c>
      <c r="C1383" s="1" t="n">
        <f aca="false">1/B1383</f>
        <v>0.00236322816967978</v>
      </c>
      <c r="D1383" s="1" t="n">
        <v>0.7</v>
      </c>
      <c r="E1383" s="1" t="n">
        <f aca="false">LN(D1383)</f>
        <v>-0.356674943938732</v>
      </c>
    </row>
    <row r="1384" customFormat="false" ht="15.75" hidden="false" customHeight="false" outlineLevel="0" collapsed="false">
      <c r="A1384" s="1" t="s">
        <v>647</v>
      </c>
      <c r="B1384" s="1" t="n">
        <v>428.25</v>
      </c>
      <c r="C1384" s="1" t="n">
        <f aca="false">1/B1384</f>
        <v>0.00233508464681845</v>
      </c>
      <c r="D1384" s="1" t="n">
        <v>0.6674</v>
      </c>
      <c r="E1384" s="1" t="n">
        <f aca="false">LN(D1384)</f>
        <v>-0.404365712664863</v>
      </c>
    </row>
    <row r="1385" customFormat="false" ht="15.75" hidden="false" customHeight="false" outlineLevel="0" collapsed="false">
      <c r="A1385" s="1" t="s">
        <v>647</v>
      </c>
      <c r="B1385" s="1" t="n">
        <v>443.15</v>
      </c>
      <c r="C1385" s="1" t="n">
        <f aca="false">1/B1385</f>
        <v>0.00225657226672684</v>
      </c>
      <c r="D1385" s="1" t="n">
        <v>0.5821</v>
      </c>
      <c r="E1385" s="1" t="n">
        <f aca="false">LN(D1385)</f>
        <v>-0.541113024704447</v>
      </c>
    </row>
    <row r="1386" customFormat="false" ht="15.75" hidden="false" customHeight="false" outlineLevel="0" collapsed="false">
      <c r="A1386" s="1" t="s">
        <v>647</v>
      </c>
      <c r="B1386" s="1" t="n">
        <v>482.15</v>
      </c>
      <c r="C1386" s="1" t="n">
        <f aca="false">1/B1386</f>
        <v>0.00207404334750596</v>
      </c>
      <c r="D1386" s="1" t="n">
        <v>0.4315</v>
      </c>
      <c r="E1386" s="1" t="n">
        <f aca="false">LN(D1386)</f>
        <v>-0.840487768458655</v>
      </c>
    </row>
    <row r="1387" customFormat="false" ht="15.75" hidden="false" customHeight="false" outlineLevel="0" collapsed="false">
      <c r="A1387" s="1" t="s">
        <v>647</v>
      </c>
      <c r="B1387" s="1" t="n">
        <v>498.15</v>
      </c>
      <c r="C1387" s="1" t="n">
        <f aca="false">1/B1387</f>
        <v>0.00200742748168222</v>
      </c>
      <c r="D1387" s="1" t="n">
        <v>0.3829</v>
      </c>
      <c r="E1387" s="1" t="n">
        <f aca="false">LN(D1387)</f>
        <v>-0.959981420498888</v>
      </c>
    </row>
    <row r="1388" customFormat="false" ht="15.75" hidden="false" customHeight="false" outlineLevel="0" collapsed="false">
      <c r="A1388" s="1" t="s">
        <v>647</v>
      </c>
      <c r="B1388" s="1" t="n">
        <v>508.15</v>
      </c>
      <c r="C1388" s="1" t="n">
        <f aca="false">1/B1388</f>
        <v>0.00196792285742399</v>
      </c>
      <c r="D1388" s="1" t="n">
        <v>0.3585</v>
      </c>
      <c r="E1388" s="1" t="n">
        <f aca="false">LN(D1388)</f>
        <v>-1.02582661894246</v>
      </c>
    </row>
    <row r="1389" customFormat="false" ht="15.75" hidden="false" customHeight="false" outlineLevel="0" collapsed="false">
      <c r="A1389" s="1" t="s">
        <v>647</v>
      </c>
      <c r="B1389" s="1" t="n">
        <v>523.15</v>
      </c>
      <c r="C1389" s="1" t="n">
        <f aca="false">1/B1389</f>
        <v>0.00191149765841537</v>
      </c>
      <c r="D1389" s="1" t="n">
        <v>0.3258</v>
      </c>
      <c r="E1389" s="1" t="n">
        <f aca="false">LN(D1389)</f>
        <v>-1.12147158281419</v>
      </c>
    </row>
    <row r="1390" customFormat="false" ht="15.75" hidden="false" customHeight="false" outlineLevel="0" collapsed="false">
      <c r="A1390" s="1" t="s">
        <v>647</v>
      </c>
      <c r="B1390" s="1" t="n">
        <v>538.15</v>
      </c>
      <c r="C1390" s="1" t="n">
        <f aca="false">1/B1390</f>
        <v>0.00185821796896776</v>
      </c>
      <c r="D1390" s="1" t="n">
        <v>0.2981</v>
      </c>
      <c r="E1390" s="1" t="n">
        <f aca="false">LN(D1390)</f>
        <v>-1.21032627829811</v>
      </c>
    </row>
    <row r="1391" customFormat="false" ht="15.75" hidden="false" customHeight="false" outlineLevel="0" collapsed="false">
      <c r="A1391" s="1" t="s">
        <v>647</v>
      </c>
      <c r="B1391" s="1" t="n">
        <v>393.15</v>
      </c>
      <c r="C1391" s="1" t="n">
        <f aca="false">1/B1391</f>
        <v>0.00254355843825512</v>
      </c>
      <c r="D1391" s="1" t="n">
        <v>0.9504</v>
      </c>
      <c r="E1391" s="1" t="n">
        <f aca="false">LN(D1391)</f>
        <v>-0.0508723303737566</v>
      </c>
    </row>
    <row r="1392" customFormat="false" ht="15.75" hidden="false" customHeight="false" outlineLevel="0" collapsed="false">
      <c r="A1392" s="1" t="s">
        <v>647</v>
      </c>
      <c r="B1392" s="1" t="n">
        <v>458.25</v>
      </c>
      <c r="C1392" s="1" t="n">
        <f aca="false">1/B1392</f>
        <v>0.00218221494817239</v>
      </c>
      <c r="D1392" s="1" t="n">
        <v>0.5152</v>
      </c>
      <c r="E1392" s="1" t="n">
        <f aca="false">LN(D1392)</f>
        <v>-0.663200104191993</v>
      </c>
    </row>
    <row r="1393" customFormat="false" ht="15.75" hidden="false" customHeight="false" outlineLevel="0" collapsed="false">
      <c r="A1393" s="1" t="s">
        <v>649</v>
      </c>
      <c r="B1393" s="1" t="n">
        <v>369.85</v>
      </c>
      <c r="C1393" s="1" t="n">
        <f aca="false">1/B1393</f>
        <v>0.0027037988373665</v>
      </c>
      <c r="D1393" s="1" t="n">
        <v>2.131</v>
      </c>
      <c r="E1393" s="1" t="n">
        <f aca="false">LN(D1393)</f>
        <v>0.75659135311648</v>
      </c>
    </row>
    <row r="1394" customFormat="false" ht="15.75" hidden="false" customHeight="false" outlineLevel="0" collapsed="false">
      <c r="A1394" s="1" t="s">
        <v>649</v>
      </c>
      <c r="B1394" s="1" t="n">
        <v>392.75</v>
      </c>
      <c r="C1394" s="1" t="n">
        <f aca="false">1/B1394</f>
        <v>0.00254614894971356</v>
      </c>
      <c r="D1394" s="1" t="n">
        <v>1.44</v>
      </c>
      <c r="E1394" s="1" t="n">
        <f aca="false">LN(D1394)</f>
        <v>0.364643113587909</v>
      </c>
    </row>
    <row r="1395" customFormat="false" ht="15.75" hidden="false" customHeight="false" outlineLevel="0" collapsed="false">
      <c r="A1395" s="1" t="s">
        <v>649</v>
      </c>
      <c r="B1395" s="1" t="n">
        <v>423.25</v>
      </c>
      <c r="C1395" s="1" t="n">
        <f aca="false">1/B1395</f>
        <v>0.00236266981689309</v>
      </c>
      <c r="D1395" s="1" t="n">
        <v>0.9581</v>
      </c>
      <c r="E1395" s="1" t="n">
        <f aca="false">LN(D1395)</f>
        <v>-0.0428031223253094</v>
      </c>
    </row>
    <row r="1396" customFormat="false" ht="15.75" hidden="false" customHeight="false" outlineLevel="0" collapsed="false">
      <c r="A1396" s="1" t="s">
        <v>649</v>
      </c>
      <c r="B1396" s="1" t="n">
        <v>432.85</v>
      </c>
      <c r="C1396" s="1" t="n">
        <f aca="false">1/B1396</f>
        <v>0.00231026914635555</v>
      </c>
      <c r="D1396" s="1" t="n">
        <v>0.8604</v>
      </c>
      <c r="E1396" s="1" t="n">
        <f aca="false">LN(D1396)</f>
        <v>-0.150357881588562</v>
      </c>
    </row>
    <row r="1397" customFormat="false" ht="15.75" hidden="false" customHeight="false" outlineLevel="0" collapsed="false">
      <c r="A1397" s="1" t="s">
        <v>649</v>
      </c>
      <c r="B1397" s="1" t="n">
        <v>453.65</v>
      </c>
      <c r="C1397" s="1" t="n">
        <f aca="false">1/B1397</f>
        <v>0.00220434255483302</v>
      </c>
      <c r="D1397" s="1" t="n">
        <v>0.6952</v>
      </c>
      <c r="E1397" s="1" t="n">
        <f aca="false">LN(D1397)</f>
        <v>-0.363555705030955</v>
      </c>
    </row>
    <row r="1398" customFormat="false" ht="15.75" hidden="false" customHeight="false" outlineLevel="0" collapsed="false">
      <c r="A1398" s="1" t="s">
        <v>649</v>
      </c>
      <c r="B1398" s="1" t="n">
        <v>505.15</v>
      </c>
      <c r="C1398" s="1" t="n">
        <f aca="false">1/B1398</f>
        <v>0.00197961001682669</v>
      </c>
      <c r="D1398" s="1" t="n">
        <v>0.4415</v>
      </c>
      <c r="E1398" s="1" t="n">
        <f aca="false">LN(D1398)</f>
        <v>-0.817577258938122</v>
      </c>
    </row>
    <row r="1399" customFormat="false" ht="15.75" hidden="false" customHeight="false" outlineLevel="0" collapsed="false">
      <c r="A1399" s="1" t="s">
        <v>649</v>
      </c>
      <c r="B1399" s="1" t="n">
        <v>412.9</v>
      </c>
      <c r="C1399" s="1" t="n">
        <f aca="false">1/B1399</f>
        <v>0.00242189392104626</v>
      </c>
      <c r="D1399" s="1" t="n">
        <v>1.097</v>
      </c>
      <c r="E1399" s="1" t="n">
        <f aca="false">LN(D1399)</f>
        <v>0.0925791812930932</v>
      </c>
    </row>
    <row r="1400" customFormat="false" ht="15.75" hidden="false" customHeight="false" outlineLevel="0" collapsed="false">
      <c r="A1400" s="1" t="s">
        <v>649</v>
      </c>
      <c r="B1400" s="1" t="n">
        <v>443.15</v>
      </c>
      <c r="C1400" s="1" t="n">
        <f aca="false">1/B1400</f>
        <v>0.00225657226672684</v>
      </c>
      <c r="D1400" s="1" t="n">
        <v>0.7708</v>
      </c>
      <c r="E1400" s="1" t="n">
        <f aca="false">LN(D1400)</f>
        <v>-0.260326342441926</v>
      </c>
    </row>
    <row r="1401" customFormat="false" ht="15.75" hidden="false" customHeight="false" outlineLevel="0" collapsed="false">
      <c r="A1401" s="1" t="s">
        <v>651</v>
      </c>
      <c r="B1401" s="1" t="n">
        <v>273.1539</v>
      </c>
      <c r="C1401" s="1" t="n">
        <f aca="false">1/B1401</f>
        <v>0.0036609398584461</v>
      </c>
      <c r="D1401" s="1" t="n">
        <v>3.8344</v>
      </c>
      <c r="E1401" s="1" t="n">
        <f aca="false">LN(D1401)</f>
        <v>1.34401296886328</v>
      </c>
    </row>
    <row r="1402" customFormat="false" ht="15.75" hidden="false" customHeight="false" outlineLevel="0" collapsed="false">
      <c r="A1402" s="1" t="s">
        <v>651</v>
      </c>
      <c r="B1402" s="1" t="n">
        <v>283.15</v>
      </c>
      <c r="C1402" s="1" t="n">
        <f aca="false">1/B1402</f>
        <v>0.00353169698039908</v>
      </c>
      <c r="D1402" s="1" t="n">
        <v>2.956</v>
      </c>
      <c r="E1402" s="1" t="n">
        <f aca="false">LN(D1402)</f>
        <v>1.08383700308596</v>
      </c>
    </row>
    <row r="1403" customFormat="false" ht="15.75" hidden="false" customHeight="false" outlineLevel="0" collapsed="false">
      <c r="A1403" s="1" t="s">
        <v>651</v>
      </c>
      <c r="B1403" s="1" t="n">
        <v>293.15</v>
      </c>
      <c r="C1403" s="1" t="n">
        <f aca="false">1/B1403</f>
        <v>0.00341122292341805</v>
      </c>
      <c r="D1403" s="1" t="n">
        <v>2.3669</v>
      </c>
      <c r="E1403" s="1" t="n">
        <f aca="false">LN(D1403)</f>
        <v>0.861581082068628</v>
      </c>
    </row>
    <row r="1404" customFormat="false" ht="15.75" hidden="false" customHeight="false" outlineLevel="0" collapsed="false">
      <c r="A1404" s="1" t="s">
        <v>651</v>
      </c>
      <c r="B1404" s="1" t="n">
        <v>303.15</v>
      </c>
      <c r="C1404" s="1" t="n">
        <f aca="false">1/B1404</f>
        <v>0.0032986970146792</v>
      </c>
      <c r="D1404" s="1" t="n">
        <v>1.944</v>
      </c>
      <c r="E1404" s="1" t="n">
        <f aca="false">LN(D1404)</f>
        <v>0.664747706038247</v>
      </c>
    </row>
    <row r="1405" customFormat="false" ht="15.75" hidden="false" customHeight="false" outlineLevel="0" collapsed="false">
      <c r="A1405" s="1" t="s">
        <v>651</v>
      </c>
      <c r="B1405" s="1" t="n">
        <v>313.15</v>
      </c>
      <c r="C1405" s="1" t="n">
        <f aca="false">1/B1405</f>
        <v>0.00319335781574325</v>
      </c>
      <c r="D1405" s="1" t="n">
        <v>1.6318</v>
      </c>
      <c r="E1405" s="1" t="n">
        <f aca="false">LN(D1405)</f>
        <v>0.489683700012563</v>
      </c>
    </row>
    <row r="1406" customFormat="false" ht="15.75" hidden="false" customHeight="false" outlineLevel="0" collapsed="false">
      <c r="A1406" s="1" t="s">
        <v>651</v>
      </c>
      <c r="B1406" s="1" t="n">
        <v>353.15</v>
      </c>
      <c r="C1406" s="1" t="n">
        <f aca="false">1/B1406</f>
        <v>0.00283165793572137</v>
      </c>
      <c r="D1406" s="1" t="n">
        <v>0.9401</v>
      </c>
      <c r="E1406" s="1" t="n">
        <f aca="false">LN(D1406)</f>
        <v>-0.0617690263976318</v>
      </c>
    </row>
    <row r="1407" customFormat="false" ht="15.75" hidden="false" customHeight="false" outlineLevel="0" collapsed="false">
      <c r="A1407" s="1" t="s">
        <v>651</v>
      </c>
      <c r="B1407" s="1" t="n">
        <v>373.75</v>
      </c>
      <c r="C1407" s="1" t="n">
        <f aca="false">1/B1407</f>
        <v>0.00267558528428094</v>
      </c>
      <c r="D1407" s="1" t="n">
        <v>0.7417</v>
      </c>
      <c r="E1407" s="1" t="n">
        <f aca="false">LN(D1407)</f>
        <v>-0.298810430239625</v>
      </c>
    </row>
    <row r="1408" customFormat="false" ht="15.75" hidden="false" customHeight="false" outlineLevel="0" collapsed="false">
      <c r="A1408" s="1" t="s">
        <v>651</v>
      </c>
      <c r="B1408" s="1" t="n">
        <v>412.65</v>
      </c>
      <c r="C1408" s="1" t="n">
        <f aca="false">1/B1408</f>
        <v>0.00242336120198716</v>
      </c>
      <c r="D1408" s="1" t="n">
        <v>0.5201</v>
      </c>
      <c r="E1408" s="1" t="n">
        <f aca="false">LN(D1408)</f>
        <v>-0.65373417820311</v>
      </c>
    </row>
    <row r="1409" customFormat="false" ht="15.75" hidden="false" customHeight="false" outlineLevel="0" collapsed="false">
      <c r="A1409" s="1" t="s">
        <v>651</v>
      </c>
      <c r="B1409" s="1" t="n">
        <v>423.15</v>
      </c>
      <c r="C1409" s="1" t="n">
        <f aca="false">1/B1409</f>
        <v>0.00236322816967978</v>
      </c>
      <c r="D1409" s="1" t="n">
        <v>0.478</v>
      </c>
      <c r="E1409" s="1" t="n">
        <f aca="false">LN(D1409)</f>
        <v>-0.738144546490681</v>
      </c>
    </row>
    <row r="1410" customFormat="false" ht="15.75" hidden="false" customHeight="false" outlineLevel="0" collapsed="false">
      <c r="A1410" s="1" t="s">
        <v>651</v>
      </c>
      <c r="B1410" s="1" t="n">
        <v>433.65</v>
      </c>
      <c r="C1410" s="1" t="n">
        <f aca="false">1/B1410</f>
        <v>0.00230600714862216</v>
      </c>
      <c r="D1410" s="1" t="n">
        <v>0.4404</v>
      </c>
      <c r="E1410" s="1" t="n">
        <f aca="false">LN(D1410)</f>
        <v>-0.820071874133612</v>
      </c>
    </row>
    <row r="1411" customFormat="false" ht="15.75" hidden="false" customHeight="false" outlineLevel="0" collapsed="false">
      <c r="A1411" s="1" t="s">
        <v>651</v>
      </c>
      <c r="B1411" s="1" t="n">
        <v>453.95</v>
      </c>
      <c r="C1411" s="1" t="n">
        <f aca="false">1/B1411</f>
        <v>0.00220288578037229</v>
      </c>
      <c r="D1411" s="1" t="n">
        <v>0.3818</v>
      </c>
      <c r="E1411" s="1" t="n">
        <f aca="false">LN(D1411)</f>
        <v>-0.96285836769049</v>
      </c>
    </row>
    <row r="1412" customFormat="false" ht="15.75" hidden="false" customHeight="false" outlineLevel="0" collapsed="false">
      <c r="A1412" s="1" t="s">
        <v>651</v>
      </c>
      <c r="B1412" s="1" t="n">
        <v>464.05</v>
      </c>
      <c r="C1412" s="1" t="n">
        <f aca="false">1/B1412</f>
        <v>0.00215494020040944</v>
      </c>
      <c r="D1412" s="1" t="n">
        <v>0.3565</v>
      </c>
      <c r="E1412" s="1" t="n">
        <f aca="false">LN(D1412)</f>
        <v>-1.03142103912779</v>
      </c>
    </row>
    <row r="1413" customFormat="false" ht="15.75" hidden="false" customHeight="false" outlineLevel="0" collapsed="false">
      <c r="A1413" s="1" t="s">
        <v>651</v>
      </c>
      <c r="B1413" s="1" t="n">
        <v>494.65</v>
      </c>
      <c r="C1413" s="1" t="n">
        <f aca="false">1/B1413</f>
        <v>0.00202163145658546</v>
      </c>
      <c r="D1413" s="1" t="n">
        <v>0.2944</v>
      </c>
      <c r="E1413" s="1" t="n">
        <f aca="false">LN(D1413)</f>
        <v>-1.22281589212742</v>
      </c>
    </row>
    <row r="1414" customFormat="false" ht="15.75" hidden="false" customHeight="false" outlineLevel="0" collapsed="false">
      <c r="A1414" s="1" t="s">
        <v>653</v>
      </c>
      <c r="B1414" s="1" t="n">
        <v>273.15</v>
      </c>
      <c r="C1414" s="1" t="n">
        <f aca="false">1/B1414</f>
        <v>0.00366099212886692</v>
      </c>
      <c r="D1414" s="1" t="n">
        <v>2.2336</v>
      </c>
      <c r="E1414" s="1" t="n">
        <f aca="false">LN(D1414)</f>
        <v>0.803614633585916</v>
      </c>
    </row>
    <row r="1415" customFormat="false" ht="15.75" hidden="false" customHeight="false" outlineLevel="0" collapsed="false">
      <c r="A1415" s="1" t="s">
        <v>653</v>
      </c>
      <c r="B1415" s="1" t="n">
        <v>283.15</v>
      </c>
      <c r="C1415" s="1" t="n">
        <f aca="false">1/B1415</f>
        <v>0.00353169698039908</v>
      </c>
      <c r="D1415" s="1" t="n">
        <v>1.7976</v>
      </c>
      <c r="E1415" s="1" t="n">
        <f aca="false">LN(D1415)</f>
        <v>0.586452441888982</v>
      </c>
    </row>
    <row r="1416" customFormat="false" ht="15.75" hidden="false" customHeight="false" outlineLevel="0" collapsed="false">
      <c r="A1416" s="1" t="s">
        <v>653</v>
      </c>
      <c r="B1416" s="1" t="n">
        <v>293.15</v>
      </c>
      <c r="C1416" s="1" t="n">
        <f aca="false">1/B1416</f>
        <v>0.00341122292341805</v>
      </c>
      <c r="D1416" s="1" t="n">
        <v>1.4817</v>
      </c>
      <c r="E1416" s="1" t="n">
        <f aca="false">LN(D1416)</f>
        <v>0.393190077232552</v>
      </c>
    </row>
    <row r="1417" customFormat="false" ht="15.75" hidden="false" customHeight="false" outlineLevel="0" collapsed="false">
      <c r="A1417" s="1" t="s">
        <v>653</v>
      </c>
      <c r="B1417" s="1" t="n">
        <v>303.15</v>
      </c>
      <c r="C1417" s="1" t="n">
        <f aca="false">1/B1417</f>
        <v>0.0032986970146792</v>
      </c>
      <c r="D1417" s="1" t="n">
        <v>1.2478</v>
      </c>
      <c r="E1417" s="1" t="n">
        <f aca="false">LN(D1417)</f>
        <v>0.221382000694549</v>
      </c>
    </row>
    <row r="1418" customFormat="false" ht="15.75" hidden="false" customHeight="false" outlineLevel="0" collapsed="false">
      <c r="A1418" s="1" t="s">
        <v>653</v>
      </c>
      <c r="B1418" s="1" t="n">
        <v>313.15</v>
      </c>
      <c r="C1418" s="1" t="n">
        <f aca="false">1/B1418</f>
        <v>0.00319335781574325</v>
      </c>
      <c r="D1418" s="1" t="n">
        <v>1.0689</v>
      </c>
      <c r="E1418" s="1" t="n">
        <f aca="false">LN(D1418)</f>
        <v>0.066630082297763</v>
      </c>
    </row>
    <row r="1419" customFormat="false" ht="15.75" hidden="false" customHeight="false" outlineLevel="0" collapsed="false">
      <c r="A1419" s="1" t="s">
        <v>653</v>
      </c>
      <c r="B1419" s="1" t="n">
        <v>333.15</v>
      </c>
      <c r="C1419" s="1" t="n">
        <f aca="false">1/B1419</f>
        <v>0.0030016509079994</v>
      </c>
      <c r="D1419" s="1" t="n">
        <v>0.8156</v>
      </c>
      <c r="E1419" s="1" t="n">
        <f aca="false">LN(D1419)</f>
        <v>-0.203831240281837</v>
      </c>
    </row>
    <row r="1420" customFormat="false" ht="15.75" hidden="false" customHeight="false" outlineLevel="0" collapsed="false">
      <c r="A1420" s="1" t="s">
        <v>653</v>
      </c>
      <c r="B1420" s="1" t="n">
        <v>353.15</v>
      </c>
      <c r="C1420" s="1" t="n">
        <f aca="false">1/B1420</f>
        <v>0.00283165793572137</v>
      </c>
      <c r="D1420" s="1" t="n">
        <v>0.6445</v>
      </c>
      <c r="E1420" s="1" t="n">
        <f aca="false">LN(D1420)</f>
        <v>-0.439280456602895</v>
      </c>
    </row>
    <row r="1421" customFormat="false" ht="15.75" hidden="false" customHeight="false" outlineLevel="0" collapsed="false">
      <c r="A1421" s="1" t="s">
        <v>653</v>
      </c>
      <c r="B1421" s="1" t="n">
        <v>373.15</v>
      </c>
      <c r="C1421" s="1" t="n">
        <f aca="false">1/B1421</f>
        <v>0.00267988744472732</v>
      </c>
      <c r="D1421" s="1" t="n">
        <v>0.5252</v>
      </c>
      <c r="E1421" s="1" t="n">
        <f aca="false">LN(D1421)</f>
        <v>-0.643976136553496</v>
      </c>
    </row>
    <row r="1422" customFormat="false" ht="15.75" hidden="false" customHeight="false" outlineLevel="0" collapsed="false">
      <c r="A1422" s="1" t="s">
        <v>653</v>
      </c>
      <c r="B1422" s="1" t="n">
        <v>393.15</v>
      </c>
      <c r="C1422" s="1" t="n">
        <f aca="false">1/B1422</f>
        <v>0.00254355843825512</v>
      </c>
      <c r="D1422" s="1" t="n">
        <v>0.435</v>
      </c>
      <c r="E1422" s="1" t="n">
        <f aca="false">LN(D1422)</f>
        <v>-0.832409247893453</v>
      </c>
    </row>
    <row r="1423" customFormat="false" ht="15.75" hidden="false" customHeight="false" outlineLevel="0" collapsed="false">
      <c r="A1423" s="1" t="s">
        <v>655</v>
      </c>
      <c r="B1423" s="1" t="n">
        <v>273.15</v>
      </c>
      <c r="C1423" s="1" t="n">
        <f aca="false">1/B1423</f>
        <v>0.00366099212886692</v>
      </c>
      <c r="D1423" s="1" t="n">
        <v>1.6559</v>
      </c>
      <c r="E1423" s="1" t="n">
        <f aca="false">LN(D1423)</f>
        <v>0.504344667666302</v>
      </c>
    </row>
    <row r="1424" customFormat="false" ht="15.75" hidden="false" customHeight="false" outlineLevel="0" collapsed="false">
      <c r="A1424" s="1" t="s">
        <v>655</v>
      </c>
      <c r="B1424" s="1" t="n">
        <v>283.15</v>
      </c>
      <c r="C1424" s="1" t="n">
        <f aca="false">1/B1424</f>
        <v>0.00353169698039908</v>
      </c>
      <c r="D1424" s="1" t="n">
        <v>1.3665</v>
      </c>
      <c r="E1424" s="1" t="n">
        <f aca="false">LN(D1424)</f>
        <v>0.312252726385986</v>
      </c>
    </row>
    <row r="1425" customFormat="false" ht="15.75" hidden="false" customHeight="false" outlineLevel="0" collapsed="false">
      <c r="A1425" s="1" t="s">
        <v>655</v>
      </c>
      <c r="B1425" s="1" t="n">
        <v>293.15</v>
      </c>
      <c r="C1425" s="1" t="n">
        <f aca="false">1/B1425</f>
        <v>0.00341122292341805</v>
      </c>
      <c r="D1425" s="1" t="n">
        <v>1.151</v>
      </c>
      <c r="E1425" s="1" t="n">
        <f aca="false">LN(D1425)</f>
        <v>0.140631129739746</v>
      </c>
    </row>
    <row r="1426" customFormat="false" ht="15.75" hidden="false" customHeight="false" outlineLevel="0" collapsed="false">
      <c r="A1426" s="1" t="s">
        <v>655</v>
      </c>
      <c r="B1426" s="1" t="n">
        <v>303.15</v>
      </c>
      <c r="C1426" s="1" t="n">
        <f aca="false">1/B1426</f>
        <v>0.0032986970146792</v>
      </c>
      <c r="D1426" s="1" t="n">
        <v>0.9867</v>
      </c>
      <c r="E1426" s="1" t="n">
        <f aca="false">LN(D1426)</f>
        <v>-0.0133892371190161</v>
      </c>
    </row>
    <row r="1427" customFormat="false" ht="15.75" hidden="false" customHeight="false" outlineLevel="0" collapsed="false">
      <c r="A1427" s="1" t="s">
        <v>655</v>
      </c>
      <c r="B1427" s="1" t="n">
        <v>323.15</v>
      </c>
      <c r="C1427" s="1" t="n">
        <f aca="false">1/B1427</f>
        <v>0.00309453814018258</v>
      </c>
      <c r="D1427" s="1" t="n">
        <v>0.8577</v>
      </c>
      <c r="E1427" s="1" t="n">
        <f aca="false">LN(D1427)</f>
        <v>-0.153500890985761</v>
      </c>
    </row>
    <row r="1428" customFormat="false" ht="15.75" hidden="false" customHeight="false" outlineLevel="0" collapsed="false">
      <c r="A1428" s="1" t="s">
        <v>655</v>
      </c>
      <c r="B1428" s="1" t="n">
        <v>333.15</v>
      </c>
      <c r="C1428" s="1" t="n">
        <f aca="false">1/B1428</f>
        <v>0.0030016509079994</v>
      </c>
      <c r="D1428" s="1" t="n">
        <v>0.6684</v>
      </c>
      <c r="E1428" s="1" t="n">
        <f aca="false">LN(D1428)</f>
        <v>-0.402868482260898</v>
      </c>
    </row>
    <row r="1429" customFormat="false" ht="15.75" hidden="false" customHeight="false" outlineLevel="0" collapsed="false">
      <c r="A1429" s="1" t="s">
        <v>655</v>
      </c>
      <c r="B1429" s="1" t="n">
        <v>353.15</v>
      </c>
      <c r="C1429" s="1" t="n">
        <f aca="false">1/B1429</f>
        <v>0.00283165793572137</v>
      </c>
      <c r="D1429" s="1" t="n">
        <v>0.538</v>
      </c>
      <c r="E1429" s="1" t="n">
        <f aca="false">LN(D1429)</f>
        <v>-0.619896718820353</v>
      </c>
    </row>
    <row r="1430" customFormat="false" ht="15.75" hidden="false" customHeight="false" outlineLevel="0" collapsed="false">
      <c r="A1430" s="1" t="s">
        <v>655</v>
      </c>
      <c r="B1430" s="1" t="n">
        <v>373.15</v>
      </c>
      <c r="C1430" s="1" t="n">
        <f aca="false">1/B1430</f>
        <v>0.00267988744472732</v>
      </c>
      <c r="D1430" s="1" t="n">
        <v>0.4471</v>
      </c>
      <c r="E1430" s="1" t="n">
        <f aca="false">LN(D1430)</f>
        <v>-0.804972995742202</v>
      </c>
    </row>
    <row r="1431" customFormat="false" ht="15.75" hidden="false" customHeight="false" outlineLevel="0" collapsed="false">
      <c r="A1431" s="1" t="s">
        <v>657</v>
      </c>
      <c r="B1431" s="1" t="n">
        <v>273.17</v>
      </c>
      <c r="C1431" s="1" t="n">
        <f aca="false">1/B1431</f>
        <v>0.00366072409122524</v>
      </c>
      <c r="D1431" s="1" t="n">
        <v>0.701</v>
      </c>
      <c r="E1431" s="1" t="n">
        <f aca="false">LN(D1431)</f>
        <v>-0.355247391947547</v>
      </c>
    </row>
    <row r="1432" customFormat="false" ht="15.75" hidden="false" customHeight="false" outlineLevel="0" collapsed="false">
      <c r="A1432" s="1" t="s">
        <v>657</v>
      </c>
      <c r="B1432" s="1" t="n">
        <v>283.15</v>
      </c>
      <c r="C1432" s="1" t="n">
        <f aca="false">1/B1432</f>
        <v>0.00353169698039908</v>
      </c>
      <c r="D1432" s="1" t="n">
        <v>0.6156</v>
      </c>
      <c r="E1432" s="1" t="n">
        <f aca="false">LN(D1432)</f>
        <v>-0.485157877017413</v>
      </c>
    </row>
    <row r="1433" customFormat="false" ht="15.75" hidden="false" customHeight="false" outlineLevel="0" collapsed="false">
      <c r="A1433" s="1" t="s">
        <v>657</v>
      </c>
      <c r="B1433" s="1" t="n">
        <v>293.15</v>
      </c>
      <c r="C1433" s="1" t="n">
        <f aca="false">1/B1433</f>
        <v>0.00341122292341805</v>
      </c>
      <c r="D1433" s="1" t="n">
        <v>0.5443</v>
      </c>
      <c r="E1433" s="1" t="n">
        <f aca="false">LN(D1433)</f>
        <v>-0.608254713541983</v>
      </c>
    </row>
    <row r="1434" customFormat="false" ht="15.75" hidden="false" customHeight="false" outlineLevel="0" collapsed="false">
      <c r="A1434" s="1" t="s">
        <v>657</v>
      </c>
      <c r="B1434" s="1" t="n">
        <v>303.15</v>
      </c>
      <c r="C1434" s="1" t="n">
        <f aca="false">1/B1434</f>
        <v>0.0032986970146792</v>
      </c>
      <c r="D1434" s="1" t="n">
        <v>0.4891</v>
      </c>
      <c r="E1434" s="1" t="n">
        <f aca="false">LN(D1434)</f>
        <v>-0.715188311436826</v>
      </c>
    </row>
    <row r="1435" customFormat="false" ht="15.75" hidden="false" customHeight="false" outlineLevel="0" collapsed="false">
      <c r="A1435" s="1" t="s">
        <v>657</v>
      </c>
      <c r="B1435" s="1" t="n">
        <v>313.15</v>
      </c>
      <c r="C1435" s="1" t="n">
        <f aca="false">1/B1435</f>
        <v>0.00319335781574325</v>
      </c>
      <c r="D1435" s="1" t="n">
        <v>0.4426</v>
      </c>
      <c r="E1435" s="1" t="n">
        <f aca="false">LN(D1435)</f>
        <v>-0.815088851365188</v>
      </c>
    </row>
    <row r="1436" customFormat="false" ht="15.75" hidden="false" customHeight="false" outlineLevel="0" collapsed="false">
      <c r="A1436" s="1" t="s">
        <v>657</v>
      </c>
      <c r="B1436" s="1" t="n">
        <v>333.15</v>
      </c>
      <c r="C1436" s="1" t="n">
        <f aca="false">1/B1436</f>
        <v>0.0030016509079994</v>
      </c>
      <c r="D1436" s="1" t="n">
        <v>0.3628</v>
      </c>
      <c r="E1436" s="1" t="n">
        <f aca="false">LN(D1436)</f>
        <v>-1.01390356074116</v>
      </c>
    </row>
    <row r="1437" customFormat="false" ht="15.75" hidden="false" customHeight="false" outlineLevel="0" collapsed="false">
      <c r="A1437" s="1" t="s">
        <v>657</v>
      </c>
      <c r="B1437" s="1" t="n">
        <v>353.15</v>
      </c>
      <c r="C1437" s="1" t="n">
        <f aca="false">1/B1437</f>
        <v>0.00283165793572137</v>
      </c>
      <c r="D1437" s="1" t="n">
        <v>0.3043</v>
      </c>
      <c r="E1437" s="1" t="n">
        <f aca="false">LN(D1437)</f>
        <v>-1.18974122207921</v>
      </c>
    </row>
    <row r="1438" customFormat="false" ht="15.75" hidden="false" customHeight="false" outlineLevel="0" collapsed="false">
      <c r="A1438" s="1" t="s">
        <v>657</v>
      </c>
      <c r="B1438" s="1" t="n">
        <v>373.15</v>
      </c>
      <c r="C1438" s="1" t="n">
        <f aca="false">1/B1438</f>
        <v>0.00267988744472732</v>
      </c>
      <c r="D1438" s="1" t="n">
        <v>0.2597</v>
      </c>
      <c r="E1438" s="1" t="n">
        <f aca="false">LN(D1438)</f>
        <v>-1.34822816031343</v>
      </c>
    </row>
    <row r="1439" customFormat="false" ht="15.75" hidden="false" customHeight="false" outlineLevel="0" collapsed="false">
      <c r="A1439" s="1" t="s">
        <v>659</v>
      </c>
      <c r="B1439" s="1" t="n">
        <v>298.55</v>
      </c>
      <c r="C1439" s="1" t="n">
        <f aca="false">1/B1439</f>
        <v>0.00334952269301625</v>
      </c>
      <c r="D1439" s="1" t="n">
        <v>3.39</v>
      </c>
      <c r="E1439" s="1" t="n">
        <f aca="false">LN(D1439)</f>
        <v>1.22082992139236</v>
      </c>
    </row>
    <row r="1440" customFormat="false" ht="15.75" hidden="false" customHeight="false" outlineLevel="0" collapsed="false">
      <c r="A1440" s="1" t="s">
        <v>659</v>
      </c>
      <c r="B1440" s="1" t="n">
        <v>306.75</v>
      </c>
      <c r="C1440" s="1" t="n">
        <f aca="false">1/B1440</f>
        <v>0.0032599837000815</v>
      </c>
      <c r="D1440" s="1" t="n">
        <v>2.486</v>
      </c>
      <c r="E1440" s="1" t="n">
        <f aca="false">LN(D1440)</f>
        <v>0.910674993088519</v>
      </c>
    </row>
    <row r="1441" customFormat="false" ht="15.75" hidden="false" customHeight="false" outlineLevel="0" collapsed="false">
      <c r="A1441" s="1" t="s">
        <v>659</v>
      </c>
      <c r="B1441" s="1" t="n">
        <v>333.15</v>
      </c>
      <c r="C1441" s="1" t="n">
        <f aca="false">1/B1441</f>
        <v>0.0030016509079994</v>
      </c>
      <c r="D1441" s="1" t="n">
        <v>1.093</v>
      </c>
      <c r="E1441" s="1" t="n">
        <f aca="false">LN(D1441)</f>
        <v>0.0889262091944015</v>
      </c>
    </row>
    <row r="1442" customFormat="false" ht="15.75" hidden="false" customHeight="false" outlineLevel="0" collapsed="false">
      <c r="A1442" s="1" t="s">
        <v>659</v>
      </c>
      <c r="B1442" s="1" t="n">
        <v>347.65</v>
      </c>
      <c r="C1442" s="1" t="n">
        <f aca="false">1/B1442</f>
        <v>0.00287645620595426</v>
      </c>
      <c r="D1442" s="1" t="n">
        <v>0.772</v>
      </c>
      <c r="E1442" s="1" t="n">
        <f aca="false">LN(D1442)</f>
        <v>-0.258770728957361</v>
      </c>
    </row>
    <row r="1443" customFormat="false" ht="15.75" hidden="false" customHeight="false" outlineLevel="0" collapsed="false">
      <c r="A1443" s="1" t="s">
        <v>659</v>
      </c>
      <c r="B1443" s="1" t="n">
        <v>372.65</v>
      </c>
      <c r="C1443" s="1" t="n">
        <f aca="false">1/B1443</f>
        <v>0.00268348316114316</v>
      </c>
      <c r="D1443" s="1" t="n">
        <v>0.46</v>
      </c>
      <c r="E1443" s="1" t="n">
        <f aca="false">LN(D1443)</f>
        <v>-0.776528789498996</v>
      </c>
    </row>
    <row r="1444" customFormat="false" ht="15.75" hidden="false" customHeight="false" outlineLevel="0" collapsed="false">
      <c r="A1444" s="1" t="s">
        <v>659</v>
      </c>
      <c r="B1444" s="1" t="n">
        <v>386.45</v>
      </c>
      <c r="C1444" s="1" t="n">
        <f aca="false">1/B1444</f>
        <v>0.00258765687669815</v>
      </c>
      <c r="D1444" s="1" t="n">
        <v>0.3742</v>
      </c>
      <c r="E1444" s="1" t="n">
        <f aca="false">LN(D1444)</f>
        <v>-0.982964865142148</v>
      </c>
    </row>
    <row r="1445" customFormat="false" ht="15.75" hidden="false" customHeight="false" outlineLevel="0" collapsed="false">
      <c r="A1445" s="1" t="s">
        <v>659</v>
      </c>
      <c r="B1445" s="1" t="n">
        <v>323.15</v>
      </c>
      <c r="C1445" s="1" t="n">
        <f aca="false">1/B1445</f>
        <v>0.00309453814018258</v>
      </c>
      <c r="D1445" s="1" t="n">
        <v>1.452</v>
      </c>
      <c r="E1445" s="1" t="n">
        <f aca="false">LN(D1445)</f>
        <v>0.372941916402604</v>
      </c>
    </row>
    <row r="1446" customFormat="false" ht="15.75" hidden="false" customHeight="false" outlineLevel="0" collapsed="false">
      <c r="A1446" s="1" t="s">
        <v>659</v>
      </c>
      <c r="B1446" s="1" t="n">
        <v>361.95</v>
      </c>
      <c r="C1446" s="1" t="n">
        <f aca="false">1/B1446</f>
        <v>0.00276281254316895</v>
      </c>
      <c r="D1446" s="1" t="n">
        <v>0.57</v>
      </c>
      <c r="E1446" s="1" t="n">
        <f aca="false">LN(D1446)</f>
        <v>-0.562118918153541</v>
      </c>
    </row>
    <row r="1447" customFormat="false" ht="15.75" hidden="false" customHeight="false" outlineLevel="0" collapsed="false">
      <c r="A1447" s="1" t="s">
        <v>661</v>
      </c>
      <c r="B1447" s="1" t="n">
        <v>273.534</v>
      </c>
      <c r="C1447" s="1" t="n">
        <f aca="false">1/B1447</f>
        <v>0.00365585265451461</v>
      </c>
      <c r="D1447" s="1" t="n">
        <v>0.6404</v>
      </c>
      <c r="E1447" s="1" t="n">
        <f aca="false">LN(D1447)</f>
        <v>-0.445662297859577</v>
      </c>
    </row>
    <row r="1448" customFormat="false" ht="15.75" hidden="false" customHeight="false" outlineLevel="0" collapsed="false">
      <c r="A1448" s="1" t="s">
        <v>661</v>
      </c>
      <c r="B1448" s="1" t="n">
        <v>282.55</v>
      </c>
      <c r="C1448" s="1" t="n">
        <f aca="false">1/B1448</f>
        <v>0.00353919660237126</v>
      </c>
      <c r="D1448" s="1" t="n">
        <v>0.5692</v>
      </c>
      <c r="E1448" s="1" t="n">
        <f aca="false">LN(D1448)</f>
        <v>-0.56352341276644</v>
      </c>
    </row>
    <row r="1449" customFormat="false" ht="15.75" hidden="false" customHeight="false" outlineLevel="0" collapsed="false">
      <c r="A1449" s="1" t="s">
        <v>661</v>
      </c>
      <c r="B1449" s="1" t="n">
        <v>291.45</v>
      </c>
      <c r="C1449" s="1" t="n">
        <f aca="false">1/B1449</f>
        <v>0.00343112026076514</v>
      </c>
      <c r="D1449" s="1" t="n">
        <v>0.5109</v>
      </c>
      <c r="E1449" s="1" t="n">
        <f aca="false">LN(D1449)</f>
        <v>-0.671581402645385</v>
      </c>
    </row>
    <row r="1450" customFormat="false" ht="15.75" hidden="false" customHeight="false" outlineLevel="0" collapsed="false">
      <c r="A1450" s="1" t="s">
        <v>661</v>
      </c>
      <c r="B1450" s="1" t="n">
        <v>308.58</v>
      </c>
      <c r="C1450" s="1" t="n">
        <f aca="false">1/B1450</f>
        <v>0.00324065072266511</v>
      </c>
      <c r="D1450" s="1" t="n">
        <v>0.4234</v>
      </c>
      <c r="E1450" s="1" t="n">
        <f aca="false">LN(D1450)</f>
        <v>-0.859437920281372</v>
      </c>
    </row>
    <row r="1451" customFormat="false" ht="15.75" hidden="false" customHeight="false" outlineLevel="0" collapsed="false">
      <c r="A1451" s="1" t="s">
        <v>661</v>
      </c>
      <c r="B1451" s="1" t="n">
        <v>318.44</v>
      </c>
      <c r="C1451" s="1" t="n">
        <f aca="false">1/B1451</f>
        <v>0.00314030900640623</v>
      </c>
      <c r="D1451" s="1" t="n">
        <v>0.3831</v>
      </c>
      <c r="E1451" s="1" t="n">
        <f aca="false">LN(D1451)</f>
        <v>-0.959459227275534</v>
      </c>
    </row>
    <row r="1452" customFormat="false" ht="15.75" hidden="false" customHeight="false" outlineLevel="0" collapsed="false">
      <c r="A1452" s="1" t="s">
        <v>661</v>
      </c>
      <c r="B1452" s="1" t="n">
        <v>327.09</v>
      </c>
      <c r="C1452" s="1" t="n">
        <f aca="false">1/B1452</f>
        <v>0.0030572625271332</v>
      </c>
      <c r="D1452" s="1" t="n">
        <v>0.3525</v>
      </c>
      <c r="E1452" s="1" t="n">
        <f aca="false">LN(D1452)</f>
        <v>-1.04270465672981</v>
      </c>
    </row>
    <row r="1453" customFormat="false" ht="15.75" hidden="false" customHeight="false" outlineLevel="0" collapsed="false">
      <c r="A1453" s="1" t="s">
        <v>661</v>
      </c>
      <c r="B1453" s="1" t="n">
        <v>335.39</v>
      </c>
      <c r="C1453" s="1" t="n">
        <f aca="false">1/B1453</f>
        <v>0.00298160350636572</v>
      </c>
      <c r="D1453" s="1" t="n">
        <v>0.3262</v>
      </c>
      <c r="E1453" s="1" t="n">
        <f aca="false">LN(D1453)</f>
        <v>-1.12024458879522</v>
      </c>
    </row>
    <row r="1454" customFormat="false" ht="15.75" hidden="false" customHeight="false" outlineLevel="0" collapsed="false">
      <c r="A1454" s="1" t="s">
        <v>661</v>
      </c>
      <c r="B1454" s="1" t="n">
        <v>345.89</v>
      </c>
      <c r="C1454" s="1" t="n">
        <f aca="false">1/B1454</f>
        <v>0.00289109254387233</v>
      </c>
      <c r="D1454" s="1" t="n">
        <v>0.298</v>
      </c>
      <c r="E1454" s="1" t="n">
        <f aca="false">LN(D1454)</f>
        <v>-1.21066179247673</v>
      </c>
    </row>
    <row r="1455" customFormat="false" ht="15.75" hidden="false" customHeight="false" outlineLevel="0" collapsed="false">
      <c r="A1455" s="1" t="s">
        <v>661</v>
      </c>
      <c r="B1455" s="1" t="n">
        <v>363.21</v>
      </c>
      <c r="C1455" s="1" t="n">
        <f aca="false">1/B1455</f>
        <v>0.00275322816001762</v>
      </c>
      <c r="D1455" s="1" t="n">
        <v>0.2574</v>
      </c>
      <c r="E1455" s="1" t="n">
        <f aca="false">LN(D1455)</f>
        <v>-1.35712398382011</v>
      </c>
    </row>
    <row r="1456" customFormat="false" ht="15.75" hidden="false" customHeight="false" outlineLevel="0" collapsed="false">
      <c r="A1456" s="1" t="s">
        <v>661</v>
      </c>
      <c r="B1456" s="1" t="n">
        <v>371.92</v>
      </c>
      <c r="C1456" s="1" t="n">
        <f aca="false">1/B1456</f>
        <v>0.00268875026887503</v>
      </c>
      <c r="D1456" s="1" t="n">
        <v>0.24</v>
      </c>
      <c r="E1456" s="1" t="n">
        <f aca="false">LN(D1456)</f>
        <v>-1.42711635564015</v>
      </c>
    </row>
    <row r="1457" customFormat="false" ht="15.75" hidden="false" customHeight="false" outlineLevel="0" collapsed="false">
      <c r="A1457" s="1" t="s">
        <v>661</v>
      </c>
      <c r="B1457" s="1" t="n">
        <v>293.1526</v>
      </c>
      <c r="C1457" s="1" t="n">
        <f aca="false">1/B1457</f>
        <v>0.00341119266893761</v>
      </c>
      <c r="D1457" s="1" t="n">
        <v>0.489</v>
      </c>
      <c r="E1457" s="1" t="n">
        <f aca="false">LN(D1457)</f>
        <v>-0.715392789507265</v>
      </c>
    </row>
    <row r="1458" customFormat="false" ht="15.75" hidden="false" customHeight="false" outlineLevel="0" collapsed="false">
      <c r="A1458" s="1" t="s">
        <v>661</v>
      </c>
      <c r="B1458" s="1" t="n">
        <v>303.15</v>
      </c>
      <c r="C1458" s="1" t="n">
        <f aca="false">1/B1458</f>
        <v>0.0032986970146792</v>
      </c>
      <c r="D1458" s="1" t="n">
        <v>0.438</v>
      </c>
      <c r="E1458" s="1" t="n">
        <f aca="false">LN(D1458)</f>
        <v>-0.825536368605691</v>
      </c>
    </row>
    <row r="1459" customFormat="false" ht="15.75" hidden="false" customHeight="false" outlineLevel="0" collapsed="false">
      <c r="A1459" s="1" t="s">
        <v>661</v>
      </c>
      <c r="B1459" s="1" t="n">
        <v>313.15</v>
      </c>
      <c r="C1459" s="1" t="n">
        <f aca="false">1/B1459</f>
        <v>0.00319335781574325</v>
      </c>
      <c r="D1459" s="1" t="n">
        <v>0.394</v>
      </c>
      <c r="E1459" s="1" t="n">
        <f aca="false">LN(D1459)</f>
        <v>-0.931404369684203</v>
      </c>
    </row>
    <row r="1460" customFormat="false" ht="15.75" hidden="false" customHeight="false" outlineLevel="0" collapsed="false">
      <c r="A1460" s="1" t="s">
        <v>661</v>
      </c>
      <c r="B1460" s="1" t="n">
        <v>333.15</v>
      </c>
      <c r="C1460" s="1" t="n">
        <f aca="false">1/B1460</f>
        <v>0.0030016509079994</v>
      </c>
      <c r="D1460" s="1" t="n">
        <v>0.324</v>
      </c>
      <c r="E1460" s="1" t="n">
        <f aca="false">LN(D1460)</f>
        <v>-1.12701176318981</v>
      </c>
    </row>
    <row r="1461" customFormat="false" ht="15.75" hidden="false" customHeight="false" outlineLevel="0" collapsed="false">
      <c r="A1461" s="1" t="s">
        <v>661</v>
      </c>
      <c r="B1461" s="1" t="n">
        <v>353.15</v>
      </c>
      <c r="C1461" s="1" t="n">
        <f aca="false">1/B1461</f>
        <v>0.00283165793572137</v>
      </c>
      <c r="D1461" s="1" t="n">
        <v>0.271</v>
      </c>
      <c r="E1461" s="1" t="n">
        <f aca="false">LN(D1461)</f>
        <v>-1.30563645810244</v>
      </c>
    </row>
    <row r="1462" customFormat="false" ht="15.75" hidden="false" customHeight="false" outlineLevel="0" collapsed="false">
      <c r="A1462" s="1" t="s">
        <v>661</v>
      </c>
      <c r="B1462" s="1" t="n">
        <v>300.92</v>
      </c>
      <c r="C1462" s="1" t="n">
        <f aca="false">1/B1462</f>
        <v>0.00332314236341885</v>
      </c>
      <c r="D1462" s="1" t="n">
        <v>0.4592</v>
      </c>
      <c r="E1462" s="1" t="n">
        <f aca="false">LN(D1462)</f>
        <v>-0.77826943397678</v>
      </c>
    </row>
    <row r="1463" customFormat="false" ht="15.75" hidden="false" customHeight="false" outlineLevel="0" collapsed="false">
      <c r="A1463" s="1" t="s">
        <v>661</v>
      </c>
      <c r="B1463" s="1" t="n">
        <v>353.79</v>
      </c>
      <c r="C1463" s="1" t="n">
        <f aca="false">1/B1463</f>
        <v>0.00282653551541875</v>
      </c>
      <c r="D1463" s="1" t="n">
        <v>0.2787</v>
      </c>
      <c r="E1463" s="1" t="n">
        <f aca="false">LN(D1463)</f>
        <v>-1.27761934449423</v>
      </c>
    </row>
    <row r="1464" customFormat="false" ht="15.75" hidden="false" customHeight="false" outlineLevel="0" collapsed="false">
      <c r="A1464" s="1" t="s">
        <v>661</v>
      </c>
      <c r="B1464" s="1" t="n">
        <v>323.15</v>
      </c>
      <c r="C1464" s="1" t="n">
        <f aca="false">1/B1464</f>
        <v>0.00309453814018258</v>
      </c>
      <c r="D1464" s="1" t="n">
        <v>0.357</v>
      </c>
      <c r="E1464" s="1" t="n">
        <f aca="false">LN(D1464)</f>
        <v>-1.0300194972025</v>
      </c>
    </row>
    <row r="1465" customFormat="false" ht="15.75" hidden="false" customHeight="false" outlineLevel="0" collapsed="false">
      <c r="A1465" s="1" t="s">
        <v>58</v>
      </c>
      <c r="B1465" s="1" t="n">
        <v>293.15</v>
      </c>
      <c r="C1465" s="1" t="n">
        <f aca="false">1/B1465</f>
        <v>0.00341122292341805</v>
      </c>
      <c r="D1465" s="1" t="n">
        <v>0.214</v>
      </c>
      <c r="E1465" s="1" t="n">
        <f aca="false">LN(D1465)</f>
        <v>-1.54177926396029</v>
      </c>
    </row>
    <row r="1466" customFormat="false" ht="15.75" hidden="false" customHeight="false" outlineLevel="0" collapsed="false">
      <c r="A1466" s="1" t="s">
        <v>58</v>
      </c>
      <c r="B1466" s="1" t="n">
        <v>298.1</v>
      </c>
      <c r="C1466" s="1" t="n">
        <f aca="false">1/B1466</f>
        <v>0.00335457900033546</v>
      </c>
      <c r="D1466" s="1" t="n">
        <v>0.201</v>
      </c>
      <c r="E1466" s="1" t="n">
        <f aca="false">LN(D1466)</f>
        <v>-1.60445037092306</v>
      </c>
    </row>
    <row r="1467" customFormat="false" ht="15.75" hidden="false" customHeight="false" outlineLevel="0" collapsed="false">
      <c r="A1467" s="1" t="s">
        <v>58</v>
      </c>
      <c r="B1467" s="1" t="n">
        <v>303.15</v>
      </c>
      <c r="C1467" s="1" t="n">
        <f aca="false">1/B1467</f>
        <v>0.0032986970146792</v>
      </c>
      <c r="D1467" s="1" t="n">
        <v>0.189</v>
      </c>
      <c r="E1467" s="1" t="n">
        <f aca="false">LN(D1467)</f>
        <v>-1.66600826392249</v>
      </c>
    </row>
    <row r="1468" customFormat="false" ht="15.75" hidden="false" customHeight="false" outlineLevel="0" collapsed="false">
      <c r="A1468" s="1" t="s">
        <v>58</v>
      </c>
      <c r="B1468" s="1" t="n">
        <v>308.15</v>
      </c>
      <c r="C1468" s="1" t="n">
        <f aca="false">1/B1468</f>
        <v>0.00324517280545189</v>
      </c>
      <c r="D1468" s="1" t="n">
        <v>0.18</v>
      </c>
      <c r="E1468" s="1" t="n">
        <f aca="false">LN(D1468)</f>
        <v>-1.71479842809193</v>
      </c>
    </row>
    <row r="1469" customFormat="false" ht="15.75" hidden="false" customHeight="false" outlineLevel="0" collapsed="false">
      <c r="A1469" s="1" t="s">
        <v>236</v>
      </c>
      <c r="B1469" s="1" t="n">
        <v>298.15</v>
      </c>
      <c r="C1469" s="1" t="n">
        <f aca="false">1/B1469</f>
        <v>0.00335401643468053</v>
      </c>
      <c r="D1469" s="1" t="n">
        <v>15.6006</v>
      </c>
      <c r="E1469" s="1" t="n">
        <f aca="false">LN(D1469)</f>
        <v>2.74730937505433</v>
      </c>
    </row>
    <row r="1470" customFormat="false" ht="15.75" hidden="false" customHeight="false" outlineLevel="0" collapsed="false">
      <c r="A1470" s="1" t="s">
        <v>236</v>
      </c>
      <c r="B1470" s="1" t="n">
        <v>303.15</v>
      </c>
      <c r="C1470" s="1" t="n">
        <f aca="false">1/B1470</f>
        <v>0.0032986970146792</v>
      </c>
      <c r="D1470" s="1" t="n">
        <v>11.7649</v>
      </c>
      <c r="E1470" s="1" t="n">
        <f aca="false">LN(D1470)</f>
        <v>2.4651205223557</v>
      </c>
    </row>
    <row r="1471" customFormat="false" ht="15.75" hidden="false" customHeight="false" outlineLevel="0" collapsed="false">
      <c r="A1471" s="1" t="s">
        <v>236</v>
      </c>
      <c r="B1471" s="1" t="n">
        <v>313.15</v>
      </c>
      <c r="C1471" s="1" t="n">
        <f aca="false">1/B1471</f>
        <v>0.00319335781574325</v>
      </c>
      <c r="D1471" s="1" t="n">
        <v>7.4074</v>
      </c>
      <c r="E1471" s="1" t="n">
        <f aca="false">LN(D1471)</f>
        <v>2.00247950054321</v>
      </c>
    </row>
    <row r="1472" customFormat="false" ht="15.75" hidden="false" customHeight="false" outlineLevel="0" collapsed="false">
      <c r="A1472" s="1" t="s">
        <v>236</v>
      </c>
      <c r="B1472" s="1" t="n">
        <v>328.15</v>
      </c>
      <c r="C1472" s="1" t="n">
        <f aca="false">1/B1472</f>
        <v>0.00304738686576261</v>
      </c>
      <c r="D1472" s="1" t="n">
        <v>5.211</v>
      </c>
      <c r="E1472" s="1" t="n">
        <f aca="false">LN(D1472)</f>
        <v>1.65077177592708</v>
      </c>
    </row>
    <row r="1473" customFormat="false" ht="15.75" hidden="false" customHeight="false" outlineLevel="0" collapsed="false">
      <c r="A1473" s="1" t="s">
        <v>1421</v>
      </c>
      <c r="B1473" s="1" t="n">
        <v>298.16</v>
      </c>
      <c r="C1473" s="1" t="n">
        <f aca="false">1/B1473</f>
        <v>0.00335390394419104</v>
      </c>
      <c r="D1473" s="1" t="n">
        <v>7.58</v>
      </c>
      <c r="E1473" s="1" t="n">
        <f aca="false">LN(D1473)</f>
        <v>2.02551319965428</v>
      </c>
    </row>
    <row r="1474" customFormat="false" ht="15.75" hidden="false" customHeight="false" outlineLevel="0" collapsed="false">
      <c r="A1474" s="1" t="s">
        <v>1421</v>
      </c>
      <c r="B1474" s="1" t="n">
        <v>327.16</v>
      </c>
      <c r="C1474" s="1" t="n">
        <f aca="false">1/B1474</f>
        <v>0.00305660838733341</v>
      </c>
      <c r="D1474" s="1" t="n">
        <v>3.19</v>
      </c>
      <c r="E1474" s="1" t="n">
        <f aca="false">LN(D1474)</f>
        <v>1.16002091679675</v>
      </c>
    </row>
    <row r="1475" customFormat="false" ht="15.75" hidden="false" customHeight="false" outlineLevel="0" collapsed="false">
      <c r="A1475" s="1" t="s">
        <v>663</v>
      </c>
      <c r="B1475" s="1" t="n">
        <v>273.5</v>
      </c>
      <c r="C1475" s="1" t="n">
        <f aca="false">1/B1475</f>
        <v>0.0036563071297989</v>
      </c>
      <c r="D1475" s="1" t="n">
        <v>1.097</v>
      </c>
      <c r="E1475" s="1" t="n">
        <f aca="false">LN(D1475)</f>
        <v>0.0925791812930932</v>
      </c>
    </row>
    <row r="1476" customFormat="false" ht="15.75" hidden="false" customHeight="false" outlineLevel="0" collapsed="false">
      <c r="A1476" s="1" t="s">
        <v>663</v>
      </c>
      <c r="B1476" s="1" t="n">
        <v>283.15</v>
      </c>
      <c r="C1476" s="1" t="n">
        <f aca="false">1/B1476</f>
        <v>0.00353169698039908</v>
      </c>
      <c r="D1476" s="1" t="n">
        <v>0.9351</v>
      </c>
      <c r="E1476" s="1" t="n">
        <f aca="false">LN(D1476)</f>
        <v>-0.0671018035407359</v>
      </c>
    </row>
    <row r="1477" customFormat="false" ht="15.75" hidden="false" customHeight="false" outlineLevel="0" collapsed="false">
      <c r="A1477" s="1" t="s">
        <v>663</v>
      </c>
      <c r="B1477" s="1" t="n">
        <v>293.15</v>
      </c>
      <c r="C1477" s="1" t="n">
        <f aca="false">1/B1477</f>
        <v>0.00341122292341805</v>
      </c>
      <c r="D1477" s="1" t="n">
        <v>0.8102</v>
      </c>
      <c r="E1477" s="1" t="n">
        <f aca="false">LN(D1477)</f>
        <v>-0.210474148213547</v>
      </c>
    </row>
    <row r="1478" customFormat="false" ht="15.75" hidden="false" customHeight="false" outlineLevel="0" collapsed="false">
      <c r="A1478" s="1" t="s">
        <v>663</v>
      </c>
      <c r="B1478" s="1" t="n">
        <v>303.15</v>
      </c>
      <c r="C1478" s="1" t="n">
        <f aca="false">1/B1478</f>
        <v>0.0032986970146792</v>
      </c>
      <c r="D1478" s="1" t="n">
        <v>0.7096</v>
      </c>
      <c r="E1478" s="1" t="n">
        <f aca="false">LN(D1478)</f>
        <v>-0.343053847986767</v>
      </c>
    </row>
    <row r="1479" customFormat="false" ht="15.75" hidden="false" customHeight="false" outlineLevel="0" collapsed="false">
      <c r="A1479" s="1" t="s">
        <v>663</v>
      </c>
      <c r="B1479" s="1" t="n">
        <v>313.15</v>
      </c>
      <c r="C1479" s="1" t="n">
        <f aca="false">1/B1479</f>
        <v>0.00319335781574325</v>
      </c>
      <c r="D1479" s="1" t="n">
        <v>0.6296</v>
      </c>
      <c r="E1479" s="1" t="n">
        <f aca="false">LN(D1479)</f>
        <v>-0.462670581878944</v>
      </c>
    </row>
    <row r="1480" customFormat="false" ht="15.75" hidden="false" customHeight="false" outlineLevel="0" collapsed="false">
      <c r="A1480" s="1" t="s">
        <v>663</v>
      </c>
      <c r="B1480" s="1" t="n">
        <v>323.15</v>
      </c>
      <c r="C1480" s="1" t="n">
        <f aca="false">1/B1480</f>
        <v>0.00309453814018258</v>
      </c>
      <c r="D1480" s="1" t="n">
        <v>0.5621</v>
      </c>
      <c r="E1480" s="1" t="n">
        <f aca="false">LN(D1480)</f>
        <v>-0.576075508974108</v>
      </c>
    </row>
    <row r="1481" customFormat="false" ht="15.75" hidden="false" customHeight="false" outlineLevel="0" collapsed="false">
      <c r="A1481" s="1" t="s">
        <v>663</v>
      </c>
      <c r="B1481" s="1" t="n">
        <v>333.15</v>
      </c>
      <c r="C1481" s="1" t="n">
        <f aca="false">1/B1481</f>
        <v>0.0030016509079994</v>
      </c>
      <c r="D1481" s="1" t="n">
        <v>0.5054</v>
      </c>
      <c r="E1481" s="1" t="n">
        <f aca="false">LN(D1481)</f>
        <v>-0.682405084028043</v>
      </c>
    </row>
    <row r="1482" customFormat="false" ht="15.75" hidden="false" customHeight="false" outlineLevel="0" collapsed="false">
      <c r="A1482" s="1" t="s">
        <v>663</v>
      </c>
      <c r="B1482" s="1" t="n">
        <v>343.15</v>
      </c>
      <c r="C1482" s="1" t="n">
        <f aca="false">1/B1482</f>
        <v>0.00291417747340813</v>
      </c>
      <c r="D1482" s="1" t="n">
        <v>0.4585</v>
      </c>
      <c r="E1482" s="1" t="n">
        <f aca="false">LN(D1482)</f>
        <v>-0.779794987285617</v>
      </c>
    </row>
    <row r="1483" customFormat="false" ht="15.75" hidden="false" customHeight="false" outlineLevel="0" collapsed="false">
      <c r="A1483" s="1" t="s">
        <v>663</v>
      </c>
      <c r="B1483" s="1" t="n">
        <v>353.15</v>
      </c>
      <c r="C1483" s="1" t="n">
        <f aca="false">1/B1483</f>
        <v>0.00283165793572137</v>
      </c>
      <c r="D1483" s="1" t="n">
        <v>0.4165</v>
      </c>
      <c r="E1483" s="1" t="n">
        <f aca="false">LN(D1483)</f>
        <v>-0.87586881737524</v>
      </c>
    </row>
    <row r="1484" customFormat="false" ht="15.75" hidden="false" customHeight="false" outlineLevel="0" collapsed="false">
      <c r="A1484" s="1" t="s">
        <v>60</v>
      </c>
      <c r="B1484" s="1" t="n">
        <v>323.15</v>
      </c>
      <c r="C1484" s="1" t="n">
        <f aca="false">1/B1484</f>
        <v>0.00309453814018258</v>
      </c>
      <c r="D1484" s="1" t="n">
        <v>3.792</v>
      </c>
      <c r="E1484" s="1" t="n">
        <f aca="false">LN(D1484)</f>
        <v>1.33289358439278</v>
      </c>
    </row>
    <row r="1485" customFormat="false" ht="15.75" hidden="false" customHeight="false" outlineLevel="0" collapsed="false">
      <c r="A1485" s="1" t="s">
        <v>60</v>
      </c>
      <c r="B1485" s="1" t="n">
        <v>348.15</v>
      </c>
      <c r="C1485" s="1" t="n">
        <f aca="false">1/B1485</f>
        <v>0.00287232514720666</v>
      </c>
      <c r="D1485" s="1" t="n">
        <v>2.228</v>
      </c>
      <c r="E1485" s="1" t="n">
        <f aca="false">LN(D1485)</f>
        <v>0.801104322065038</v>
      </c>
    </row>
    <row r="1486" customFormat="false" ht="15.75" hidden="false" customHeight="false" outlineLevel="0" collapsed="false">
      <c r="A1486" s="1" t="s">
        <v>60</v>
      </c>
      <c r="B1486" s="1" t="n">
        <v>373.15</v>
      </c>
      <c r="C1486" s="1" t="n">
        <f aca="false">1/B1486</f>
        <v>0.00267988744472732</v>
      </c>
      <c r="D1486" s="1" t="n">
        <v>1.483</v>
      </c>
      <c r="E1486" s="1" t="n">
        <f aca="false">LN(D1486)</f>
        <v>0.394067063155795</v>
      </c>
    </row>
    <row r="1487" customFormat="false" ht="15.75" hidden="false" customHeight="false" outlineLevel="0" collapsed="false">
      <c r="A1487" s="1" t="s">
        <v>60</v>
      </c>
      <c r="B1487" s="1" t="n">
        <v>398.15</v>
      </c>
      <c r="C1487" s="1" t="n">
        <f aca="false">1/B1487</f>
        <v>0.00251161622504081</v>
      </c>
      <c r="D1487" s="1" t="n">
        <v>1.074</v>
      </c>
      <c r="E1487" s="1" t="n">
        <f aca="false">LN(D1487)</f>
        <v>0.071389996086673</v>
      </c>
    </row>
    <row r="1488" customFormat="false" ht="15.75" hidden="false" customHeight="false" outlineLevel="0" collapsed="false">
      <c r="A1488" s="1" t="s">
        <v>62</v>
      </c>
      <c r="B1488" s="1" t="n">
        <v>323.15</v>
      </c>
      <c r="C1488" s="1" t="n">
        <f aca="false">1/B1488</f>
        <v>0.00309453814018258</v>
      </c>
      <c r="D1488" s="1" t="n">
        <v>9.36</v>
      </c>
      <c r="E1488" s="1" t="n">
        <f aca="false">LN(D1488)</f>
        <v>2.2364452904895</v>
      </c>
    </row>
    <row r="1489" customFormat="false" ht="15.75" hidden="false" customHeight="false" outlineLevel="0" collapsed="false">
      <c r="A1489" s="1" t="s">
        <v>62</v>
      </c>
      <c r="B1489" s="1" t="n">
        <v>422.95</v>
      </c>
      <c r="C1489" s="1" t="n">
        <f aca="false">1/B1489</f>
        <v>0.00236434566733656</v>
      </c>
      <c r="D1489" s="1" t="n">
        <v>0.913</v>
      </c>
      <c r="E1489" s="1" t="n">
        <f aca="false">LN(D1489)</f>
        <v>-0.0910193983871685</v>
      </c>
    </row>
    <row r="1490" customFormat="false" ht="15.75" hidden="false" customHeight="false" outlineLevel="0" collapsed="false">
      <c r="A1490" s="1" t="s">
        <v>62</v>
      </c>
      <c r="B1490" s="1" t="n">
        <v>473.15</v>
      </c>
      <c r="C1490" s="1" t="n">
        <f aca="false">1/B1490</f>
        <v>0.00211349466342597</v>
      </c>
      <c r="D1490" s="1" t="n">
        <v>0.556</v>
      </c>
      <c r="E1490" s="1" t="n">
        <f aca="false">LN(D1490)</f>
        <v>-0.586986984731555</v>
      </c>
    </row>
    <row r="1491" customFormat="false" ht="15.75" hidden="false" customHeight="false" outlineLevel="0" collapsed="false">
      <c r="A1491" s="1" t="s">
        <v>1422</v>
      </c>
      <c r="B1491" s="1" t="n">
        <v>283.15</v>
      </c>
      <c r="C1491" s="1" t="n">
        <f aca="false">1/B1491</f>
        <v>0.00353169698039908</v>
      </c>
      <c r="D1491" s="1" t="n">
        <v>0.386</v>
      </c>
      <c r="E1491" s="1" t="n">
        <f aca="false">LN(D1491)</f>
        <v>-0.951917909517306</v>
      </c>
    </row>
    <row r="1492" customFormat="false" ht="15.75" hidden="false" customHeight="false" outlineLevel="0" collapsed="false">
      <c r="A1492" s="1" t="s">
        <v>1422</v>
      </c>
      <c r="B1492" s="1" t="n">
        <v>293.15</v>
      </c>
      <c r="C1492" s="1" t="n">
        <f aca="false">1/B1492</f>
        <v>0.00341122292341805</v>
      </c>
      <c r="D1492" s="1" t="n">
        <v>0.344</v>
      </c>
      <c r="E1492" s="1" t="n">
        <f aca="false">LN(D1492)</f>
        <v>-1.06711362160874</v>
      </c>
    </row>
    <row r="1493" customFormat="false" ht="15.75" hidden="false" customHeight="false" outlineLevel="0" collapsed="false">
      <c r="A1493" s="1" t="s">
        <v>1422</v>
      </c>
      <c r="B1493" s="1" t="n">
        <v>303.15</v>
      </c>
      <c r="C1493" s="1" t="n">
        <f aca="false">1/B1493</f>
        <v>0.0032986970146792</v>
      </c>
      <c r="D1493" s="1" t="n">
        <v>0.302</v>
      </c>
      <c r="E1493" s="1" t="n">
        <f aca="false">LN(D1493)</f>
        <v>-1.19732826160727</v>
      </c>
    </row>
    <row r="1494" customFormat="false" ht="15.75" hidden="false" customHeight="false" outlineLevel="0" collapsed="false">
      <c r="A1494" s="1" t="s">
        <v>665</v>
      </c>
      <c r="B1494" s="1" t="n">
        <v>272.97</v>
      </c>
      <c r="C1494" s="1" t="n">
        <f aca="false">1/B1494</f>
        <v>0.00366340623511741</v>
      </c>
      <c r="D1494" s="1" t="n">
        <v>0.4779</v>
      </c>
      <c r="E1494" s="1" t="n">
        <f aca="false">LN(D1494)</f>
        <v>-0.738353773398025</v>
      </c>
    </row>
    <row r="1495" customFormat="false" ht="15.75" hidden="false" customHeight="false" outlineLevel="0" collapsed="false">
      <c r="A1495" s="1" t="s">
        <v>665</v>
      </c>
      <c r="B1495" s="1" t="n">
        <v>283.15</v>
      </c>
      <c r="C1495" s="1" t="n">
        <f aca="false">1/B1495</f>
        <v>0.00353169698039908</v>
      </c>
      <c r="D1495" s="1" t="n">
        <v>0.4217</v>
      </c>
      <c r="E1495" s="1" t="n">
        <f aca="false">LN(D1495)</f>
        <v>-0.863461118229623</v>
      </c>
    </row>
    <row r="1496" customFormat="false" ht="15.75" hidden="false" customHeight="false" outlineLevel="0" collapsed="false">
      <c r="A1496" s="1" t="s">
        <v>665</v>
      </c>
      <c r="B1496" s="1" t="n">
        <v>293.15</v>
      </c>
      <c r="C1496" s="1" t="n">
        <f aca="false">1/B1496</f>
        <v>0.00341122292341805</v>
      </c>
      <c r="D1496" s="1" t="n">
        <v>0.3768</v>
      </c>
      <c r="E1496" s="1" t="n">
        <f aca="false">LN(D1496)</f>
        <v>-0.976040736279929</v>
      </c>
    </row>
    <row r="1497" customFormat="false" ht="15.75" hidden="false" customHeight="false" outlineLevel="0" collapsed="false">
      <c r="A1497" s="1" t="s">
        <v>665</v>
      </c>
      <c r="B1497" s="1" t="n">
        <v>303.15</v>
      </c>
      <c r="C1497" s="1" t="n">
        <f aca="false">1/B1497</f>
        <v>0.0032986970146792</v>
      </c>
      <c r="D1497" s="1" t="n">
        <v>0.3392</v>
      </c>
      <c r="E1497" s="1" t="n">
        <f aca="false">LN(D1497)</f>
        <v>-1.08116537506439</v>
      </c>
    </row>
    <row r="1498" customFormat="false" ht="15.75" hidden="false" customHeight="false" outlineLevel="0" collapsed="false">
      <c r="A1498" s="1" t="s">
        <v>665</v>
      </c>
      <c r="B1498" s="1" t="n">
        <v>313.15</v>
      </c>
      <c r="C1498" s="1" t="n">
        <f aca="false">1/B1498</f>
        <v>0.00319335781574325</v>
      </c>
      <c r="D1498" s="1" t="n">
        <v>0.307</v>
      </c>
      <c r="E1498" s="1" t="n">
        <f aca="false">LN(D1498)</f>
        <v>-1.18090753139494</v>
      </c>
    </row>
    <row r="1499" customFormat="false" ht="15.75" hidden="false" customHeight="false" outlineLevel="0" collapsed="false">
      <c r="A1499" s="1" t="s">
        <v>667</v>
      </c>
      <c r="B1499" s="1" t="n">
        <v>273.51</v>
      </c>
      <c r="C1499" s="1" t="n">
        <f aca="false">1/B1499</f>
        <v>0.00365617344886841</v>
      </c>
      <c r="D1499" s="1" t="n">
        <v>4.5018</v>
      </c>
      <c r="E1499" s="1" t="n">
        <f aca="false">LN(D1499)</f>
        <v>1.5044773167976</v>
      </c>
    </row>
    <row r="1500" customFormat="false" ht="15.75" hidden="false" customHeight="false" outlineLevel="0" collapsed="false">
      <c r="A1500" s="1" t="s">
        <v>667</v>
      </c>
      <c r="B1500" s="1" t="n">
        <v>280.36</v>
      </c>
      <c r="C1500" s="1" t="n">
        <f aca="false">1/B1500</f>
        <v>0.00356684263090312</v>
      </c>
      <c r="D1500" s="1" t="n">
        <v>3.5568</v>
      </c>
      <c r="E1500" s="1" t="n">
        <f aca="false">LN(D1500)</f>
        <v>1.2688612642278</v>
      </c>
    </row>
    <row r="1501" customFormat="false" ht="15.75" hidden="false" customHeight="false" outlineLevel="0" collapsed="false">
      <c r="A1501" s="1" t="s">
        <v>667</v>
      </c>
      <c r="B1501" s="1" t="n">
        <v>287.56</v>
      </c>
      <c r="C1501" s="1" t="n">
        <f aca="false">1/B1501</f>
        <v>0.00347753512310474</v>
      </c>
      <c r="D1501" s="1" t="n">
        <v>2.8157</v>
      </c>
      <c r="E1501" s="1" t="n">
        <f aca="false">LN(D1501)</f>
        <v>1.03521089852973</v>
      </c>
    </row>
    <row r="1502" customFormat="false" ht="15.75" hidden="false" customHeight="false" outlineLevel="0" collapsed="false">
      <c r="A1502" s="1" t="s">
        <v>667</v>
      </c>
      <c r="B1502" s="1" t="n">
        <v>295.37</v>
      </c>
      <c r="C1502" s="1" t="n">
        <f aca="false">1/B1502</f>
        <v>0.0033855841825507</v>
      </c>
      <c r="D1502" s="1" t="n">
        <v>2.2204</v>
      </c>
      <c r="E1502" s="1" t="n">
        <f aca="false">LN(D1502)</f>
        <v>0.797687359833869</v>
      </c>
    </row>
    <row r="1503" customFormat="false" ht="15.75" hidden="false" customHeight="false" outlineLevel="0" collapsed="false">
      <c r="A1503" s="1" t="s">
        <v>667</v>
      </c>
      <c r="B1503" s="1" t="n">
        <v>311.07</v>
      </c>
      <c r="C1503" s="1" t="n">
        <f aca="false">1/B1503</f>
        <v>0.0032147105153181</v>
      </c>
      <c r="D1503" s="1" t="n">
        <v>1.4053</v>
      </c>
      <c r="E1503" s="1" t="n">
        <f aca="false">LN(D1503)</f>
        <v>0.340250803124562</v>
      </c>
    </row>
    <row r="1504" customFormat="false" ht="15.75" hidden="false" customHeight="false" outlineLevel="0" collapsed="false">
      <c r="A1504" s="1" t="s">
        <v>667</v>
      </c>
      <c r="B1504" s="1" t="n">
        <v>325.12</v>
      </c>
      <c r="C1504" s="1" t="n">
        <f aca="false">1/B1504</f>
        <v>0.0030757874015748</v>
      </c>
      <c r="D1504" s="1" t="n">
        <v>0.977</v>
      </c>
      <c r="E1504" s="1" t="n">
        <f aca="false">LN(D1504)</f>
        <v>-0.0232686269393543</v>
      </c>
    </row>
    <row r="1505" customFormat="false" ht="15.75" hidden="false" customHeight="false" outlineLevel="0" collapsed="false">
      <c r="A1505" s="1" t="s">
        <v>667</v>
      </c>
      <c r="B1505" s="1" t="n">
        <v>332.54</v>
      </c>
      <c r="C1505" s="1" t="n">
        <f aca="false">1/B1505</f>
        <v>0.0030071570337403</v>
      </c>
      <c r="D1505" s="1" t="n">
        <v>0.8157</v>
      </c>
      <c r="E1505" s="1" t="n">
        <f aca="false">LN(D1505)</f>
        <v>-0.203708638675602</v>
      </c>
    </row>
    <row r="1506" customFormat="false" ht="15.75" hidden="false" customHeight="false" outlineLevel="0" collapsed="false">
      <c r="A1506" s="1" t="s">
        <v>667</v>
      </c>
      <c r="B1506" s="1" t="n">
        <v>339.75</v>
      </c>
      <c r="C1506" s="1" t="n">
        <f aca="false">1/B1506</f>
        <v>0.00294334069168506</v>
      </c>
      <c r="D1506" s="1" t="n">
        <v>0.6923</v>
      </c>
      <c r="E1506" s="1" t="n">
        <f aca="false">LN(D1506)</f>
        <v>-0.367735891298157</v>
      </c>
    </row>
    <row r="1507" customFormat="false" ht="15.75" hidden="false" customHeight="false" outlineLevel="0" collapsed="false">
      <c r="A1507" s="1" t="s">
        <v>667</v>
      </c>
      <c r="B1507" s="1" t="n">
        <v>345.17</v>
      </c>
      <c r="C1507" s="1" t="n">
        <f aca="false">1/B1507</f>
        <v>0.00289712315670539</v>
      </c>
      <c r="D1507" s="1" t="n">
        <v>0.6141</v>
      </c>
      <c r="E1507" s="1" t="n">
        <f aca="false">LN(D1507)</f>
        <v>-0.487597497646784</v>
      </c>
    </row>
    <row r="1508" customFormat="false" ht="15.75" hidden="false" customHeight="false" outlineLevel="0" collapsed="false">
      <c r="A1508" s="1" t="s">
        <v>667</v>
      </c>
      <c r="B1508" s="1" t="n">
        <v>351.24</v>
      </c>
      <c r="C1508" s="1" t="n">
        <f aca="false">1/B1508</f>
        <v>0.00284705614394716</v>
      </c>
      <c r="D1508" s="1" t="n">
        <v>0.5407</v>
      </c>
      <c r="E1508" s="1" t="n">
        <f aca="false">LN(D1508)</f>
        <v>-0.614890682594178</v>
      </c>
    </row>
    <row r="1509" customFormat="false" ht="15.75" hidden="false" customHeight="false" outlineLevel="0" collapsed="false">
      <c r="A1509" s="1" t="s">
        <v>667</v>
      </c>
      <c r="B1509" s="1" t="n">
        <v>303.15</v>
      </c>
      <c r="C1509" s="1" t="n">
        <f aca="false">1/B1509</f>
        <v>0.0032986970146792</v>
      </c>
      <c r="D1509" s="1" t="n">
        <v>1.765</v>
      </c>
      <c r="E1509" s="1" t="n">
        <f aca="false">LN(D1509)</f>
        <v>0.56815069038526</v>
      </c>
    </row>
    <row r="1510" customFormat="false" ht="15.75" hidden="false" customHeight="false" outlineLevel="0" collapsed="false">
      <c r="A1510" s="1" t="s">
        <v>667</v>
      </c>
      <c r="B1510" s="1" t="n">
        <v>303.15205</v>
      </c>
      <c r="C1510" s="1" t="n">
        <f aca="false">1/B1510</f>
        <v>0.00329867470795596</v>
      </c>
      <c r="D1510" s="1" t="n">
        <v>1.762</v>
      </c>
      <c r="E1510" s="1" t="n">
        <f aca="false">LN(D1510)</f>
        <v>0.566449527513988</v>
      </c>
    </row>
    <row r="1511" customFormat="false" ht="15.75" hidden="false" customHeight="false" outlineLevel="0" collapsed="false">
      <c r="A1511" s="1" t="s">
        <v>667</v>
      </c>
      <c r="B1511" s="1" t="n">
        <v>293.15212</v>
      </c>
      <c r="C1511" s="1" t="n">
        <f aca="false">1/B1511</f>
        <v>0.00341119825433976</v>
      </c>
      <c r="D1511" s="1" t="n">
        <v>2.292</v>
      </c>
      <c r="E1511" s="1" t="n">
        <f aca="false">LN(D1511)</f>
        <v>0.829424798852493</v>
      </c>
    </row>
    <row r="1512" customFormat="false" ht="15.75" hidden="false" customHeight="false" outlineLevel="0" collapsed="false">
      <c r="A1512" s="1" t="s">
        <v>667</v>
      </c>
      <c r="B1512" s="1" t="n">
        <v>298.15</v>
      </c>
      <c r="C1512" s="1" t="n">
        <f aca="false">1/B1512</f>
        <v>0.00335401643468053</v>
      </c>
      <c r="D1512" s="1" t="n">
        <v>2.015</v>
      </c>
      <c r="E1512" s="1" t="n">
        <f aca="false">LN(D1512)</f>
        <v>0.700619195398646</v>
      </c>
    </row>
    <row r="1513" customFormat="false" ht="15.75" hidden="false" customHeight="false" outlineLevel="0" collapsed="false">
      <c r="A1513" s="1" t="s">
        <v>667</v>
      </c>
      <c r="B1513" s="1" t="n">
        <v>303.15</v>
      </c>
      <c r="C1513" s="1" t="n">
        <f aca="false">1/B1513</f>
        <v>0.0032986970146792</v>
      </c>
      <c r="D1513" s="1" t="n">
        <v>1.797</v>
      </c>
      <c r="E1513" s="1" t="n">
        <f aca="false">LN(D1513)</f>
        <v>0.586118607801422</v>
      </c>
    </row>
    <row r="1514" customFormat="false" ht="15.75" hidden="false" customHeight="false" outlineLevel="0" collapsed="false">
      <c r="A1514" s="1" t="s">
        <v>667</v>
      </c>
      <c r="B1514" s="1" t="n">
        <v>308.15</v>
      </c>
      <c r="C1514" s="1" t="n">
        <f aca="false">1/B1514</f>
        <v>0.00324517280545189</v>
      </c>
      <c r="D1514" s="1" t="n">
        <v>1.507</v>
      </c>
      <c r="E1514" s="1" t="n">
        <f aca="false">LN(D1514)</f>
        <v>0.410120919644358</v>
      </c>
    </row>
    <row r="1515" customFormat="false" ht="15.75" hidden="false" customHeight="false" outlineLevel="0" collapsed="false">
      <c r="A1515" s="1" t="s">
        <v>667</v>
      </c>
      <c r="B1515" s="1" t="n">
        <v>303.15</v>
      </c>
      <c r="C1515" s="1" t="n">
        <f aca="false">1/B1515</f>
        <v>0.0032986970146792</v>
      </c>
      <c r="D1515" s="1" t="n">
        <v>1.731</v>
      </c>
      <c r="E1515" s="1" t="n">
        <f aca="false">LN(D1515)</f>
        <v>0.548699276194072</v>
      </c>
    </row>
    <row r="1516" customFormat="false" ht="15.75" hidden="false" customHeight="false" outlineLevel="0" collapsed="false">
      <c r="A1516" s="1" t="s">
        <v>667</v>
      </c>
      <c r="B1516" s="1" t="n">
        <v>313.15</v>
      </c>
      <c r="C1516" s="1" t="n">
        <f aca="false">1/B1516</f>
        <v>0.00319335781574325</v>
      </c>
      <c r="D1516" s="1" t="n">
        <v>1.287</v>
      </c>
      <c r="E1516" s="1" t="n">
        <f aca="false">LN(D1516)</f>
        <v>0.25231392861399</v>
      </c>
    </row>
    <row r="1517" customFormat="false" ht="15.75" hidden="false" customHeight="false" outlineLevel="0" collapsed="false">
      <c r="A1517" s="1" t="s">
        <v>667</v>
      </c>
      <c r="B1517" s="1" t="n">
        <v>303.7</v>
      </c>
      <c r="C1517" s="1" t="n">
        <f aca="false">1/B1517</f>
        <v>0.00329272308198881</v>
      </c>
      <c r="D1517" s="1" t="n">
        <v>1.7275</v>
      </c>
      <c r="E1517" s="1" t="n">
        <f aca="false">LN(D1517)</f>
        <v>0.546675276659688</v>
      </c>
    </row>
    <row r="1518" customFormat="false" ht="15.75" hidden="false" customHeight="false" outlineLevel="0" collapsed="false">
      <c r="A1518" s="1" t="s">
        <v>667</v>
      </c>
      <c r="B1518" s="1" t="n">
        <v>318.3</v>
      </c>
      <c r="C1518" s="1" t="n">
        <f aca="false">1/B1518</f>
        <v>0.00314169022934339</v>
      </c>
      <c r="D1518" s="1" t="n">
        <v>1.1604</v>
      </c>
      <c r="E1518" s="1" t="n">
        <f aca="false">LN(D1518)</f>
        <v>0.148764773265112</v>
      </c>
    </row>
    <row r="1519" customFormat="false" ht="15.75" hidden="false" customHeight="false" outlineLevel="0" collapsed="false">
      <c r="A1519" s="1" t="s">
        <v>1423</v>
      </c>
      <c r="B1519" s="1" t="n">
        <v>293.15</v>
      </c>
      <c r="C1519" s="1" t="n">
        <f aca="false">1/B1519</f>
        <v>0.00341122292341805</v>
      </c>
      <c r="D1519" s="1" t="n">
        <v>35.8166</v>
      </c>
      <c r="E1519" s="1" t="n">
        <f aca="false">LN(D1519)</f>
        <v>3.57841147308783</v>
      </c>
    </row>
    <row r="1520" customFormat="false" ht="15.75" hidden="false" customHeight="false" outlineLevel="0" collapsed="false">
      <c r="A1520" s="1" t="s">
        <v>1423</v>
      </c>
      <c r="B1520" s="1" t="n">
        <v>303.15</v>
      </c>
      <c r="C1520" s="1" t="n">
        <f aca="false">1/B1520</f>
        <v>0.0032986970146792</v>
      </c>
      <c r="D1520" s="1" t="n">
        <v>21.8627</v>
      </c>
      <c r="E1520" s="1" t="n">
        <f aca="false">LN(D1520)</f>
        <v>3.0847819883875</v>
      </c>
    </row>
    <row r="1521" customFormat="false" ht="15.75" hidden="false" customHeight="false" outlineLevel="0" collapsed="false">
      <c r="A1521" s="1" t="s">
        <v>1423</v>
      </c>
      <c r="B1521" s="1" t="n">
        <v>313.15</v>
      </c>
      <c r="C1521" s="1" t="n">
        <f aca="false">1/B1521</f>
        <v>0.00319335781574325</v>
      </c>
      <c r="D1521" s="1" t="n">
        <v>14.0667</v>
      </c>
      <c r="E1521" s="1" t="n">
        <f aca="false">LN(D1521)</f>
        <v>2.6438103020393</v>
      </c>
    </row>
    <row r="1522" customFormat="false" ht="15.75" hidden="false" customHeight="false" outlineLevel="0" collapsed="false">
      <c r="A1522" s="1" t="s">
        <v>1423</v>
      </c>
      <c r="B1522" s="1" t="n">
        <v>333.15</v>
      </c>
      <c r="C1522" s="1" t="n">
        <f aca="false">1/B1522</f>
        <v>0.0030016509079994</v>
      </c>
      <c r="D1522" s="1" t="n">
        <v>6.5703</v>
      </c>
      <c r="E1522" s="1" t="n">
        <f aca="false">LN(D1522)</f>
        <v>1.88255949355449</v>
      </c>
    </row>
    <row r="1523" customFormat="false" ht="15.75" hidden="false" customHeight="false" outlineLevel="0" collapsed="false">
      <c r="A1523" s="1" t="s">
        <v>1423</v>
      </c>
      <c r="B1523" s="1" t="n">
        <v>353.15</v>
      </c>
      <c r="C1523" s="1" t="n">
        <f aca="false">1/B1523</f>
        <v>0.00283165793572137</v>
      </c>
      <c r="D1523" s="1" t="n">
        <v>3.5398</v>
      </c>
      <c r="E1523" s="1" t="n">
        <f aca="false">LN(D1523)</f>
        <v>1.26407022837452</v>
      </c>
    </row>
    <row r="1524" customFormat="false" ht="15.75" hidden="false" customHeight="false" outlineLevel="0" collapsed="false">
      <c r="A1524" s="1" t="s">
        <v>1423</v>
      </c>
      <c r="B1524" s="1" t="n">
        <v>373.15</v>
      </c>
      <c r="C1524" s="1" t="n">
        <f aca="false">1/B1524</f>
        <v>0.00267988744472732</v>
      </c>
      <c r="D1524" s="1" t="n">
        <v>2.1589</v>
      </c>
      <c r="E1524" s="1" t="n">
        <f aca="false">LN(D1524)</f>
        <v>0.769598832720276</v>
      </c>
    </row>
    <row r="1525" customFormat="false" ht="15.75" hidden="false" customHeight="false" outlineLevel="0" collapsed="false">
      <c r="A1525" s="1" t="s">
        <v>64</v>
      </c>
      <c r="B1525" s="1" t="n">
        <v>298.15</v>
      </c>
      <c r="C1525" s="1" t="n">
        <f aca="false">1/B1525</f>
        <v>0.00335401643468053</v>
      </c>
      <c r="D1525" s="1" t="n">
        <v>4.4307</v>
      </c>
      <c r="E1525" s="1" t="n">
        <f aca="false">LN(D1525)</f>
        <v>1.48855758511824</v>
      </c>
    </row>
    <row r="1526" customFormat="false" ht="15.75" hidden="false" customHeight="false" outlineLevel="0" collapsed="false">
      <c r="A1526" s="1" t="s">
        <v>1424</v>
      </c>
      <c r="B1526" s="1" t="n">
        <v>298.15</v>
      </c>
      <c r="C1526" s="1" t="n">
        <f aca="false">1/B1526</f>
        <v>0.00335401643468053</v>
      </c>
      <c r="D1526" s="1" t="n">
        <v>10.437</v>
      </c>
      <c r="E1526" s="1" t="n">
        <f aca="false">LN(D1526)</f>
        <v>2.34535718483791</v>
      </c>
    </row>
    <row r="1527" customFormat="false" ht="15.75" hidden="false" customHeight="false" outlineLevel="0" collapsed="false">
      <c r="A1527" s="1" t="s">
        <v>1424</v>
      </c>
      <c r="B1527" s="1" t="n">
        <v>303.15</v>
      </c>
      <c r="C1527" s="1" t="n">
        <f aca="false">1/B1527</f>
        <v>0.0032986970146792</v>
      </c>
      <c r="D1527" s="1" t="n">
        <v>10.931</v>
      </c>
      <c r="E1527" s="1" t="n">
        <f aca="false">LN(D1527)</f>
        <v>2.3916027893117</v>
      </c>
    </row>
    <row r="1528" customFormat="false" ht="15.75" hidden="false" customHeight="false" outlineLevel="0" collapsed="false">
      <c r="A1528" s="1" t="s">
        <v>1424</v>
      </c>
      <c r="B1528" s="1" t="n">
        <v>308.15</v>
      </c>
      <c r="C1528" s="1" t="n">
        <f aca="false">1/B1528</f>
        <v>0.00324517280545189</v>
      </c>
      <c r="D1528" s="1" t="n">
        <v>9.608</v>
      </c>
      <c r="E1528" s="1" t="n">
        <f aca="false">LN(D1528)</f>
        <v>2.26259608477768</v>
      </c>
    </row>
    <row r="1529" customFormat="false" ht="15.75" hidden="false" customHeight="false" outlineLevel="0" collapsed="false">
      <c r="A1529" s="1" t="s">
        <v>669</v>
      </c>
      <c r="B1529" s="1" t="n">
        <v>273.15</v>
      </c>
      <c r="C1529" s="1" t="n">
        <f aca="false">1/B1529</f>
        <v>0.00366099212886692</v>
      </c>
      <c r="D1529" s="1" t="n">
        <v>1.7289</v>
      </c>
      <c r="E1529" s="1" t="n">
        <f aca="false">LN(D1529)</f>
        <v>0.547485368128593</v>
      </c>
    </row>
    <row r="1530" customFormat="false" ht="15.75" hidden="false" customHeight="false" outlineLevel="0" collapsed="false">
      <c r="A1530" s="1" t="s">
        <v>669</v>
      </c>
      <c r="B1530" s="1" t="n">
        <v>283.15</v>
      </c>
      <c r="C1530" s="1" t="n">
        <f aca="false">1/B1530</f>
        <v>0.00353169698039908</v>
      </c>
      <c r="D1530" s="1" t="n">
        <v>1.4529</v>
      </c>
      <c r="E1530" s="1" t="n">
        <f aca="false">LN(D1530)</f>
        <v>0.373561559095156</v>
      </c>
    </row>
    <row r="1531" customFormat="false" ht="15.75" hidden="false" customHeight="false" outlineLevel="0" collapsed="false">
      <c r="A1531" s="1" t="s">
        <v>669</v>
      </c>
      <c r="B1531" s="1" t="n">
        <v>293.15</v>
      </c>
      <c r="C1531" s="1" t="n">
        <f aca="false">1/B1531</f>
        <v>0.00341122292341805</v>
      </c>
      <c r="D1531" s="1" t="n">
        <v>1.2447</v>
      </c>
      <c r="E1531" s="1" t="n">
        <f aca="false">LN(D1531)</f>
        <v>0.218894537024795</v>
      </c>
    </row>
    <row r="1532" customFormat="false" ht="15.75" hidden="false" customHeight="false" outlineLevel="0" collapsed="false">
      <c r="A1532" s="1" t="s">
        <v>669</v>
      </c>
      <c r="B1532" s="1" t="n">
        <v>303.15</v>
      </c>
      <c r="C1532" s="1" t="n">
        <f aca="false">1/B1532</f>
        <v>0.0032986970146792</v>
      </c>
      <c r="D1532" s="1" t="n">
        <v>1.083</v>
      </c>
      <c r="E1532" s="1" t="n">
        <f aca="false">LN(D1532)</f>
        <v>0.0797349680188535</v>
      </c>
    </row>
    <row r="1533" customFormat="false" ht="15.75" hidden="false" customHeight="false" outlineLevel="0" collapsed="false">
      <c r="A1533" s="1" t="s">
        <v>669</v>
      </c>
      <c r="B1533" s="1" t="n">
        <v>313.15</v>
      </c>
      <c r="C1533" s="1" t="n">
        <f aca="false">1/B1533</f>
        <v>0.00319335781574325</v>
      </c>
      <c r="D1533" s="1" t="n">
        <v>0.9546</v>
      </c>
      <c r="E1533" s="1" t="n">
        <f aca="false">LN(D1533)</f>
        <v>-0.0464628744103409</v>
      </c>
    </row>
    <row r="1534" customFormat="false" ht="15.75" hidden="false" customHeight="false" outlineLevel="0" collapsed="false">
      <c r="A1534" s="1" t="s">
        <v>669</v>
      </c>
      <c r="B1534" s="1" t="n">
        <v>333.15</v>
      </c>
      <c r="C1534" s="1" t="n">
        <f aca="false">1/B1534</f>
        <v>0.0030016509079994</v>
      </c>
      <c r="D1534" s="1" t="n">
        <v>0.7641</v>
      </c>
      <c r="E1534" s="1" t="n">
        <f aca="false">LN(D1534)</f>
        <v>-0.269056608328616</v>
      </c>
    </row>
    <row r="1535" customFormat="false" ht="15.75" hidden="false" customHeight="false" outlineLevel="0" collapsed="false">
      <c r="A1535" s="1" t="s">
        <v>669</v>
      </c>
      <c r="B1535" s="1" t="n">
        <v>353.15</v>
      </c>
      <c r="C1535" s="1" t="n">
        <f aca="false">1/B1535</f>
        <v>0.00283165793572137</v>
      </c>
      <c r="D1535" s="1" t="n">
        <v>0.6298</v>
      </c>
      <c r="E1535" s="1" t="n">
        <f aca="false">LN(D1535)</f>
        <v>-0.462352970315213</v>
      </c>
    </row>
    <row r="1536" customFormat="false" ht="15.75" hidden="false" customHeight="false" outlineLevel="0" collapsed="false">
      <c r="A1536" s="1" t="s">
        <v>669</v>
      </c>
      <c r="B1536" s="1" t="n">
        <v>373.15</v>
      </c>
      <c r="C1536" s="1" t="n">
        <f aca="false">1/B1536</f>
        <v>0.00267988744472732</v>
      </c>
      <c r="D1536" s="1" t="n">
        <v>0.5313</v>
      </c>
      <c r="E1536" s="1" t="n">
        <f aca="false">LN(D1536)</f>
        <v>-0.632428445525239</v>
      </c>
    </row>
    <row r="1537" customFormat="false" ht="15.75" hidden="false" customHeight="false" outlineLevel="0" collapsed="false">
      <c r="A1537" s="1" t="s">
        <v>1425</v>
      </c>
      <c r="B1537" s="1" t="n">
        <v>278.15</v>
      </c>
      <c r="C1537" s="1" t="n">
        <f aca="false">1/B1537</f>
        <v>0.00359518245550962</v>
      </c>
      <c r="D1537" s="1" t="n">
        <v>9.0942</v>
      </c>
      <c r="E1537" s="1" t="n">
        <f aca="false">LN(D1537)</f>
        <v>2.20763684768353</v>
      </c>
    </row>
    <row r="1538" customFormat="false" ht="15.75" hidden="false" customHeight="false" outlineLevel="0" collapsed="false">
      <c r="A1538" s="1" t="s">
        <v>1425</v>
      </c>
      <c r="B1538" s="1" t="n">
        <v>288.15</v>
      </c>
      <c r="C1538" s="1" t="n">
        <f aca="false">1/B1538</f>
        <v>0.00347041471455839</v>
      </c>
      <c r="D1538" s="1" t="n">
        <v>6.5645</v>
      </c>
      <c r="E1538" s="1" t="n">
        <f aca="false">LN(D1538)</f>
        <v>1.88167634339203</v>
      </c>
    </row>
    <row r="1539" customFormat="false" ht="15.75" hidden="false" customHeight="false" outlineLevel="0" collapsed="false">
      <c r="A1539" s="1" t="s">
        <v>1425</v>
      </c>
      <c r="B1539" s="1" t="n">
        <v>298.15</v>
      </c>
      <c r="C1539" s="1" t="n">
        <f aca="false">1/B1539</f>
        <v>0.00335401643468053</v>
      </c>
      <c r="D1539" s="1" t="n">
        <v>4.9203</v>
      </c>
      <c r="E1539" s="1" t="n">
        <f aca="false">LN(D1539)</f>
        <v>1.59336950425504</v>
      </c>
    </row>
    <row r="1540" customFormat="false" ht="15.75" hidden="false" customHeight="false" outlineLevel="0" collapsed="false">
      <c r="A1540" s="1" t="s">
        <v>1425</v>
      </c>
      <c r="B1540" s="1" t="n">
        <v>308.15</v>
      </c>
      <c r="C1540" s="1" t="n">
        <f aca="false">1/B1540</f>
        <v>0.00324517280545189</v>
      </c>
      <c r="D1540" s="1" t="n">
        <v>3.8099</v>
      </c>
      <c r="E1540" s="1" t="n">
        <f aca="false">LN(D1540)</f>
        <v>1.337602942075</v>
      </c>
    </row>
    <row r="1541" customFormat="false" ht="15.75" hidden="false" customHeight="false" outlineLevel="0" collapsed="false">
      <c r="A1541" s="1" t="s">
        <v>1425</v>
      </c>
      <c r="B1541" s="1" t="n">
        <v>318.15</v>
      </c>
      <c r="C1541" s="1" t="n">
        <f aca="false">1/B1541</f>
        <v>0.00314317146000314</v>
      </c>
      <c r="D1541" s="1" t="n">
        <v>3.0344</v>
      </c>
      <c r="E1541" s="1" t="n">
        <f aca="false">LN(D1541)</f>
        <v>1.11001371139255</v>
      </c>
    </row>
    <row r="1542" customFormat="false" ht="15.75" hidden="false" customHeight="false" outlineLevel="0" collapsed="false">
      <c r="A1542" s="1" t="s">
        <v>1425</v>
      </c>
      <c r="B1542" s="1" t="n">
        <v>328.15</v>
      </c>
      <c r="C1542" s="1" t="n">
        <f aca="false">1/B1542</f>
        <v>0.00304738686576261</v>
      </c>
      <c r="D1542" s="1" t="n">
        <v>2.4768</v>
      </c>
      <c r="E1542" s="1" t="n">
        <f aca="false">LN(D1542)</f>
        <v>0.906967404413271</v>
      </c>
    </row>
    <row r="1543" customFormat="false" ht="15.75" hidden="false" customHeight="false" outlineLevel="0" collapsed="false">
      <c r="A1543" s="1" t="s">
        <v>1425</v>
      </c>
      <c r="B1543" s="1" t="n">
        <v>338.15</v>
      </c>
      <c r="C1543" s="1" t="n">
        <f aca="false">1/B1543</f>
        <v>0.002957267484844</v>
      </c>
      <c r="D1543" s="1" t="n">
        <v>2.0654</v>
      </c>
      <c r="E1543" s="1" t="n">
        <f aca="false">LN(D1543)</f>
        <v>0.725323912255166</v>
      </c>
    </row>
    <row r="1544" customFormat="false" ht="15.75" hidden="false" customHeight="false" outlineLevel="0" collapsed="false">
      <c r="A1544" s="1" t="s">
        <v>66</v>
      </c>
      <c r="B1544" s="1" t="n">
        <v>383.15</v>
      </c>
      <c r="C1544" s="1" t="n">
        <f aca="false">1/B1544</f>
        <v>0.00260994388620645</v>
      </c>
      <c r="D1544" s="1" t="n">
        <v>0.88</v>
      </c>
      <c r="E1544" s="1" t="n">
        <f aca="false">LN(D1544)</f>
        <v>-0.127833371509885</v>
      </c>
    </row>
    <row r="1545" customFormat="false" ht="15.75" hidden="false" customHeight="false" outlineLevel="0" collapsed="false">
      <c r="A1545" s="1" t="s">
        <v>66</v>
      </c>
      <c r="B1545" s="1" t="n">
        <v>388.15</v>
      </c>
      <c r="C1545" s="1" t="n">
        <f aca="false">1/B1545</f>
        <v>0.00257632358624243</v>
      </c>
      <c r="D1545" s="1" t="n">
        <v>0.837</v>
      </c>
      <c r="E1545" s="1" t="n">
        <f aca="false">LN(D1545)</f>
        <v>-0.177931208492662</v>
      </c>
    </row>
    <row r="1546" customFormat="false" ht="15.75" hidden="false" customHeight="false" outlineLevel="0" collapsed="false">
      <c r="A1546" s="1" t="s">
        <v>66</v>
      </c>
      <c r="B1546" s="1" t="n">
        <v>393.15</v>
      </c>
      <c r="C1546" s="1" t="n">
        <f aca="false">1/B1546</f>
        <v>0.00254355843825512</v>
      </c>
      <c r="D1546" s="1" t="n">
        <v>0.801</v>
      </c>
      <c r="E1546" s="1" t="n">
        <f aca="false">LN(D1546)</f>
        <v>-0.221894331913778</v>
      </c>
    </row>
    <row r="1547" customFormat="false" ht="15.75" hidden="false" customHeight="false" outlineLevel="0" collapsed="false">
      <c r="A1547" s="1" t="s">
        <v>671</v>
      </c>
      <c r="B1547" s="1" t="n">
        <v>293.15</v>
      </c>
      <c r="C1547" s="1" t="n">
        <f aca="false">1/B1547</f>
        <v>0.00341122292341805</v>
      </c>
      <c r="D1547" s="1" t="n">
        <v>16.6667</v>
      </c>
      <c r="E1547" s="1" t="n">
        <f aca="false">LN(D1547)</f>
        <v>2.81341271675804</v>
      </c>
    </row>
    <row r="1548" customFormat="false" ht="15.75" hidden="false" customHeight="false" outlineLevel="0" collapsed="false">
      <c r="A1548" s="1" t="s">
        <v>671</v>
      </c>
      <c r="B1548" s="1" t="n">
        <v>303.15</v>
      </c>
      <c r="C1548" s="1" t="n">
        <f aca="false">1/B1548</f>
        <v>0.0032986970146792</v>
      </c>
      <c r="D1548" s="1" t="n">
        <v>8.8496</v>
      </c>
      <c r="E1548" s="1" t="n">
        <f aca="false">LN(D1548)</f>
        <v>2.18037226025828</v>
      </c>
    </row>
    <row r="1549" customFormat="false" ht="15.75" hidden="false" customHeight="false" outlineLevel="0" collapsed="false">
      <c r="A1549" s="1" t="s">
        <v>671</v>
      </c>
      <c r="B1549" s="1" t="n">
        <v>313.15</v>
      </c>
      <c r="C1549" s="1" t="n">
        <f aca="false">1/B1549</f>
        <v>0.00319335781574325</v>
      </c>
      <c r="D1549" s="1" t="n">
        <v>5.5556</v>
      </c>
      <c r="E1549" s="1" t="n">
        <f aca="false">LN(D1549)</f>
        <v>1.71480642805993</v>
      </c>
    </row>
    <row r="1550" customFormat="false" ht="15.75" hidden="false" customHeight="false" outlineLevel="0" collapsed="false">
      <c r="A1550" s="1" t="s">
        <v>671</v>
      </c>
      <c r="B1550" s="1" t="n">
        <v>318.15</v>
      </c>
      <c r="C1550" s="1" t="n">
        <f aca="false">1/B1550</f>
        <v>0.00314317146000314</v>
      </c>
      <c r="D1550" s="1" t="n">
        <v>5.057</v>
      </c>
      <c r="E1550" s="1" t="n">
        <f aca="false">LN(D1550)</f>
        <v>1.62077342209785</v>
      </c>
    </row>
    <row r="1551" customFormat="false" ht="15.75" hidden="false" customHeight="false" outlineLevel="0" collapsed="false">
      <c r="A1551" s="1" t="s">
        <v>671</v>
      </c>
      <c r="B1551" s="1" t="n">
        <v>333.15</v>
      </c>
      <c r="C1551" s="1" t="n">
        <f aca="false">1/B1551</f>
        <v>0.0030016509079994</v>
      </c>
      <c r="D1551" s="1" t="n">
        <v>3.0211</v>
      </c>
      <c r="E1551" s="1" t="n">
        <f aca="false">LN(D1551)</f>
        <v>1.10562100347867</v>
      </c>
    </row>
    <row r="1552" customFormat="false" ht="15.75" hidden="false" customHeight="false" outlineLevel="0" collapsed="false">
      <c r="A1552" s="1" t="s">
        <v>673</v>
      </c>
      <c r="B1552" s="1" t="n">
        <v>308.551</v>
      </c>
      <c r="C1552" s="1" t="n">
        <f aca="false">1/B1552</f>
        <v>0.0032409553039854</v>
      </c>
      <c r="D1552" s="1" t="n">
        <v>0.8564</v>
      </c>
      <c r="E1552" s="1" t="n">
        <f aca="false">LN(D1552)</f>
        <v>-0.155017722266609</v>
      </c>
    </row>
    <row r="1553" customFormat="false" ht="15.75" hidden="false" customHeight="false" outlineLevel="0" collapsed="false">
      <c r="A1553" s="1" t="s">
        <v>673</v>
      </c>
      <c r="B1553" s="1" t="n">
        <v>330.25</v>
      </c>
      <c r="C1553" s="1" t="n">
        <f aca="false">1/B1553</f>
        <v>0.00302800908402725</v>
      </c>
      <c r="D1553" s="1" t="n">
        <v>0.6597</v>
      </c>
      <c r="E1553" s="1" t="n">
        <f aca="false">LN(D1553)</f>
        <v>-0.415970092753312</v>
      </c>
    </row>
    <row r="1554" customFormat="false" ht="15.75" hidden="false" customHeight="false" outlineLevel="0" collapsed="false">
      <c r="A1554" s="1" t="s">
        <v>673</v>
      </c>
      <c r="B1554" s="1" t="n">
        <v>348.85</v>
      </c>
      <c r="C1554" s="1" t="n">
        <f aca="false">1/B1554</f>
        <v>0.00286656155940949</v>
      </c>
      <c r="D1554" s="1" t="n">
        <v>0.5465</v>
      </c>
      <c r="E1554" s="1" t="n">
        <f aca="false">LN(D1554)</f>
        <v>-0.604220971365544</v>
      </c>
    </row>
    <row r="1555" customFormat="false" ht="15.75" hidden="false" customHeight="false" outlineLevel="0" collapsed="false">
      <c r="A1555" s="1" t="s">
        <v>673</v>
      </c>
      <c r="B1555" s="1" t="n">
        <v>368.05</v>
      </c>
      <c r="C1555" s="1" t="n">
        <f aca="false">1/B1555</f>
        <v>0.00271702214373047</v>
      </c>
      <c r="D1555" s="1" t="n">
        <v>0.4567</v>
      </c>
      <c r="E1555" s="1" t="n">
        <f aca="false">LN(D1555)</f>
        <v>-0.783728558791184</v>
      </c>
    </row>
    <row r="1556" customFormat="false" ht="15.75" hidden="false" customHeight="false" outlineLevel="0" collapsed="false">
      <c r="A1556" s="1" t="s">
        <v>673</v>
      </c>
      <c r="B1556" s="1" t="n">
        <v>393.15</v>
      </c>
      <c r="C1556" s="1" t="n">
        <f aca="false">1/B1556</f>
        <v>0.00254355843825512</v>
      </c>
      <c r="D1556" s="1" t="n">
        <v>0.3743</v>
      </c>
      <c r="E1556" s="1" t="n">
        <f aca="false">LN(D1556)</f>
        <v>-0.982697664071754</v>
      </c>
    </row>
    <row r="1557" customFormat="false" ht="15.75" hidden="false" customHeight="false" outlineLevel="0" collapsed="false">
      <c r="A1557" s="1" t="s">
        <v>673</v>
      </c>
      <c r="B1557" s="1" t="n">
        <v>408.15</v>
      </c>
      <c r="C1557" s="1" t="n">
        <f aca="false">1/B1557</f>
        <v>0.0024500796275879</v>
      </c>
      <c r="D1557" s="1" t="n">
        <v>0.3348</v>
      </c>
      <c r="E1557" s="1" t="n">
        <f aca="false">LN(D1557)</f>
        <v>-1.09422194036682</v>
      </c>
    </row>
    <row r="1558" customFormat="false" ht="15.75" hidden="false" customHeight="false" outlineLevel="0" collapsed="false">
      <c r="A1558" s="1" t="s">
        <v>673</v>
      </c>
      <c r="B1558" s="1" t="n">
        <v>419.05</v>
      </c>
      <c r="C1558" s="1" t="n">
        <f aca="false">1/B1558</f>
        <v>0.00238635007755638</v>
      </c>
      <c r="D1558" s="1" t="n">
        <v>0.3114</v>
      </c>
      <c r="E1558" s="1" t="n">
        <f aca="false">LN(D1558)</f>
        <v>-1.16667701958224</v>
      </c>
    </row>
    <row r="1559" customFormat="false" ht="15.75" hidden="false" customHeight="false" outlineLevel="0" collapsed="false">
      <c r="A1559" s="1" t="s">
        <v>673</v>
      </c>
      <c r="B1559" s="1" t="n">
        <v>426.25</v>
      </c>
      <c r="C1559" s="1" t="n">
        <f aca="false">1/B1559</f>
        <v>0.00234604105571848</v>
      </c>
      <c r="D1559" s="1" t="n">
        <v>0.297</v>
      </c>
      <c r="E1559" s="1" t="n">
        <f aca="false">LN(D1559)</f>
        <v>-1.21402314017944</v>
      </c>
    </row>
    <row r="1560" customFormat="false" ht="15.75" hidden="false" customHeight="false" outlineLevel="0" collapsed="false">
      <c r="A1560" s="1" t="s">
        <v>673</v>
      </c>
      <c r="B1560" s="1" t="n">
        <v>432.15</v>
      </c>
      <c r="C1560" s="1" t="n">
        <f aca="false">1/B1560</f>
        <v>0.00231401133865556</v>
      </c>
      <c r="D1560" s="1" t="n">
        <v>0.2861</v>
      </c>
      <c r="E1560" s="1" t="n">
        <f aca="false">LN(D1560)</f>
        <v>-1.25141387892607</v>
      </c>
    </row>
    <row r="1561" customFormat="false" ht="15.75" hidden="false" customHeight="false" outlineLevel="0" collapsed="false">
      <c r="A1561" s="1" t="s">
        <v>673</v>
      </c>
      <c r="B1561" s="1" t="n">
        <v>283.15</v>
      </c>
      <c r="C1561" s="1" t="n">
        <f aca="false">1/B1561</f>
        <v>0.00353169698039908</v>
      </c>
      <c r="D1561" s="1" t="n">
        <v>1.1885</v>
      </c>
      <c r="E1561" s="1" t="n">
        <f aca="false">LN(D1561)</f>
        <v>0.172692007818111</v>
      </c>
    </row>
    <row r="1562" customFormat="false" ht="15.75" hidden="false" customHeight="false" outlineLevel="0" collapsed="false">
      <c r="A1562" s="1" t="s">
        <v>673</v>
      </c>
      <c r="B1562" s="1" t="n">
        <v>293.15</v>
      </c>
      <c r="C1562" s="1" t="n">
        <f aca="false">1/B1562</f>
        <v>0.00341122292341805</v>
      </c>
      <c r="D1562" s="1" t="n">
        <v>1.0225</v>
      </c>
      <c r="E1562" s="1" t="n">
        <f aca="false">LN(D1562)</f>
        <v>0.0222506089348197</v>
      </c>
    </row>
    <row r="1563" customFormat="false" ht="15.75" hidden="false" customHeight="false" outlineLevel="0" collapsed="false">
      <c r="A1563" s="1" t="s">
        <v>673</v>
      </c>
      <c r="B1563" s="1" t="n">
        <v>303.15</v>
      </c>
      <c r="C1563" s="1" t="n">
        <f aca="false">1/B1563</f>
        <v>0.0032986970146792</v>
      </c>
      <c r="D1563" s="1" t="n">
        <v>0.8928</v>
      </c>
      <c r="E1563" s="1" t="n">
        <f aca="false">LN(D1563)</f>
        <v>-0.113392687355091</v>
      </c>
    </row>
    <row r="1564" customFormat="false" ht="15.75" hidden="false" customHeight="false" outlineLevel="0" collapsed="false">
      <c r="A1564" s="1" t="s">
        <v>673</v>
      </c>
      <c r="B1564" s="1" t="n">
        <v>313.15</v>
      </c>
      <c r="C1564" s="1" t="n">
        <f aca="false">1/B1564</f>
        <v>0.00319335781574325</v>
      </c>
      <c r="D1564" s="1" t="n">
        <v>0.7893</v>
      </c>
      <c r="E1564" s="1" t="n">
        <f aca="false">LN(D1564)</f>
        <v>-0.23660880226778</v>
      </c>
    </row>
    <row r="1565" customFormat="false" ht="15.75" hidden="false" customHeight="false" outlineLevel="0" collapsed="false">
      <c r="A1565" s="1" t="s">
        <v>673</v>
      </c>
      <c r="B1565" s="1" t="n">
        <v>333.15</v>
      </c>
      <c r="C1565" s="1" t="n">
        <f aca="false">1/B1565</f>
        <v>0.0030016509079994</v>
      </c>
      <c r="D1565" s="1" t="n">
        <v>0.6338</v>
      </c>
      <c r="E1565" s="1" t="n">
        <f aca="false">LN(D1565)</f>
        <v>-0.456021831725317</v>
      </c>
    </row>
    <row r="1566" customFormat="false" ht="15.75" hidden="false" customHeight="false" outlineLevel="0" collapsed="false">
      <c r="A1566" s="1" t="s">
        <v>673</v>
      </c>
      <c r="B1566" s="1" t="n">
        <v>373.15</v>
      </c>
      <c r="C1566" s="1" t="n">
        <f aca="false">1/B1566</f>
        <v>0.00267988744472732</v>
      </c>
      <c r="D1566" s="1" t="n">
        <v>0.392</v>
      </c>
      <c r="E1566" s="1" t="n">
        <f aca="false">LN(D1566)</f>
        <v>-0.936493439191674</v>
      </c>
    </row>
    <row r="1567" customFormat="false" ht="15.75" hidden="false" customHeight="false" outlineLevel="0" collapsed="false">
      <c r="A1567" s="1" t="s">
        <v>673</v>
      </c>
      <c r="B1567" s="1" t="n">
        <v>387.45</v>
      </c>
      <c r="C1567" s="1" t="n">
        <f aca="false">1/B1567</f>
        <v>0.00258097819073429</v>
      </c>
      <c r="D1567" s="1" t="n">
        <v>0.3912</v>
      </c>
      <c r="E1567" s="1" t="n">
        <f aca="false">LN(D1567)</f>
        <v>-0.938536340821475</v>
      </c>
    </row>
    <row r="1568" customFormat="false" ht="15.75" hidden="false" customHeight="false" outlineLevel="0" collapsed="false">
      <c r="A1568" s="1" t="s">
        <v>673</v>
      </c>
      <c r="B1568" s="1" t="n">
        <v>398.15</v>
      </c>
      <c r="C1568" s="1" t="n">
        <f aca="false">1/B1568</f>
        <v>0.00251161622504081</v>
      </c>
      <c r="D1568" s="1" t="n">
        <v>0.3606</v>
      </c>
      <c r="E1568" s="1" t="n">
        <f aca="false">LN(D1568)</f>
        <v>-1.01998596821292</v>
      </c>
    </row>
    <row r="1569" customFormat="false" ht="15.75" hidden="false" customHeight="false" outlineLevel="0" collapsed="false">
      <c r="A1569" s="1" t="s">
        <v>675</v>
      </c>
      <c r="B1569" s="1" t="n">
        <v>323.15</v>
      </c>
      <c r="C1569" s="1" t="n">
        <f aca="false">1/B1569</f>
        <v>0.00309453814018258</v>
      </c>
      <c r="D1569" s="1" t="n">
        <v>1.731</v>
      </c>
      <c r="E1569" s="1" t="n">
        <f aca="false">LN(D1569)</f>
        <v>0.548699276194072</v>
      </c>
    </row>
    <row r="1570" customFormat="false" ht="15.75" hidden="false" customHeight="false" outlineLevel="0" collapsed="false">
      <c r="A1570" s="1" t="s">
        <v>675</v>
      </c>
      <c r="B1570" s="1" t="n">
        <v>333.15</v>
      </c>
      <c r="C1570" s="1" t="n">
        <f aca="false">1/B1570</f>
        <v>0.0030016509079994</v>
      </c>
      <c r="D1570" s="1" t="n">
        <v>1.463</v>
      </c>
      <c r="E1570" s="1" t="n">
        <f aca="false">LN(D1570)</f>
        <v>0.380489122037987</v>
      </c>
    </row>
    <row r="1571" customFormat="false" ht="15.75" hidden="false" customHeight="false" outlineLevel="0" collapsed="false">
      <c r="A1571" s="1" t="s">
        <v>675</v>
      </c>
      <c r="B1571" s="1" t="n">
        <v>348.15</v>
      </c>
      <c r="C1571" s="1" t="n">
        <f aca="false">1/B1571</f>
        <v>0.00287232514720666</v>
      </c>
      <c r="D1571" s="1" t="n">
        <v>1.177</v>
      </c>
      <c r="E1571" s="1" t="n">
        <f aca="false">LN(D1571)</f>
        <v>0.16296882827814</v>
      </c>
    </row>
    <row r="1572" customFormat="false" ht="15.75" hidden="false" customHeight="false" outlineLevel="0" collapsed="false">
      <c r="A1572" s="1" t="s">
        <v>675</v>
      </c>
      <c r="B1572" s="1" t="n">
        <v>373.15</v>
      </c>
      <c r="C1572" s="1" t="n">
        <f aca="false">1/B1572</f>
        <v>0.00267988744472732</v>
      </c>
      <c r="D1572" s="1" t="n">
        <v>0.861</v>
      </c>
      <c r="E1572" s="1" t="n">
        <f aca="false">LN(D1572)</f>
        <v>-0.149660774554406</v>
      </c>
    </row>
    <row r="1573" customFormat="false" ht="15.75" hidden="false" customHeight="false" outlineLevel="0" collapsed="false">
      <c r="A1573" s="1" t="s">
        <v>675</v>
      </c>
      <c r="B1573" s="1" t="n">
        <v>398.15</v>
      </c>
      <c r="C1573" s="1" t="n">
        <f aca="false">1/B1573</f>
        <v>0.00251161622504081</v>
      </c>
      <c r="D1573" s="1" t="n">
        <v>0.665</v>
      </c>
      <c r="E1573" s="1" t="n">
        <f aca="false">LN(D1573)</f>
        <v>-0.407968238326283</v>
      </c>
    </row>
    <row r="1574" customFormat="false" ht="15.75" hidden="false" customHeight="false" outlineLevel="0" collapsed="false">
      <c r="A1574" s="1" t="s">
        <v>677</v>
      </c>
      <c r="B1574" s="1" t="n">
        <v>303.15</v>
      </c>
      <c r="C1574" s="1" t="n">
        <f aca="false">1/B1574</f>
        <v>0.0032986970146792</v>
      </c>
      <c r="D1574" s="1" t="n">
        <v>12.9232</v>
      </c>
      <c r="E1574" s="1" t="n">
        <f aca="false">LN(D1574)</f>
        <v>2.55902414570589</v>
      </c>
    </row>
    <row r="1575" customFormat="false" ht="15.75" hidden="false" customHeight="false" outlineLevel="0" collapsed="false">
      <c r="A1575" s="1" t="s">
        <v>677</v>
      </c>
      <c r="B1575" s="1" t="n">
        <v>313.15</v>
      </c>
      <c r="C1575" s="1" t="n">
        <f aca="false">1/B1575</f>
        <v>0.00319335781574325</v>
      </c>
      <c r="D1575" s="1" t="n">
        <v>7.9302</v>
      </c>
      <c r="E1575" s="1" t="n">
        <f aca="false">LN(D1575)</f>
        <v>2.07067825600968</v>
      </c>
    </row>
    <row r="1576" customFormat="false" ht="15.75" hidden="false" customHeight="false" outlineLevel="0" collapsed="false">
      <c r="A1576" s="1" t="s">
        <v>677</v>
      </c>
      <c r="B1576" s="1" t="n">
        <v>333.15</v>
      </c>
      <c r="C1576" s="1" t="n">
        <f aca="false">1/B1576</f>
        <v>0.0030016509079994</v>
      </c>
      <c r="D1576" s="1" t="n">
        <v>3.7979</v>
      </c>
      <c r="E1576" s="1" t="n">
        <f aca="false">LN(D1576)</f>
        <v>1.33444828239628</v>
      </c>
    </row>
    <row r="1577" customFormat="false" ht="15.75" hidden="false" customHeight="false" outlineLevel="0" collapsed="false">
      <c r="A1577" s="1" t="s">
        <v>677</v>
      </c>
      <c r="B1577" s="1" t="n">
        <v>353.15</v>
      </c>
      <c r="C1577" s="1" t="n">
        <f aca="false">1/B1577</f>
        <v>0.00283165793572137</v>
      </c>
      <c r="D1577" s="1" t="n">
        <v>2.2356</v>
      </c>
      <c r="E1577" s="1" t="n">
        <f aca="false">LN(D1577)</f>
        <v>0.804509648413406</v>
      </c>
    </row>
    <row r="1578" customFormat="false" ht="15.75" hidden="false" customHeight="false" outlineLevel="0" collapsed="false">
      <c r="A1578" s="1" t="s">
        <v>677</v>
      </c>
      <c r="B1578" s="1" t="n">
        <v>373.15</v>
      </c>
      <c r="C1578" s="1" t="n">
        <f aca="false">1/B1578</f>
        <v>0.00267988744472732</v>
      </c>
      <c r="D1578" s="1" t="n">
        <v>1.4981</v>
      </c>
      <c r="E1578" s="1" t="n">
        <f aca="false">LN(D1578)</f>
        <v>0.404197638541199</v>
      </c>
    </row>
    <row r="1579" customFormat="false" ht="15.75" hidden="false" customHeight="false" outlineLevel="0" collapsed="false">
      <c r="A1579" s="1" t="s">
        <v>679</v>
      </c>
      <c r="B1579" s="1" t="n">
        <v>291.45</v>
      </c>
      <c r="C1579" s="1" t="n">
        <f aca="false">1/B1579</f>
        <v>0.00343112026076514</v>
      </c>
      <c r="D1579" s="1" t="n">
        <v>1.271</v>
      </c>
      <c r="E1579" s="1" t="n">
        <f aca="false">LN(D1579)</f>
        <v>0.239803992207317</v>
      </c>
    </row>
    <row r="1580" customFormat="false" ht="15.75" hidden="false" customHeight="false" outlineLevel="0" collapsed="false">
      <c r="A1580" s="1" t="s">
        <v>679</v>
      </c>
      <c r="B1580" s="1" t="n">
        <v>312.55</v>
      </c>
      <c r="C1580" s="1" t="n">
        <f aca="false">1/B1580</f>
        <v>0.00319948808190689</v>
      </c>
      <c r="D1580" s="1" t="n">
        <v>0.894</v>
      </c>
      <c r="E1580" s="1" t="n">
        <f aca="false">LN(D1580)</f>
        <v>-0.112049503808623</v>
      </c>
    </row>
    <row r="1581" customFormat="false" ht="15.75" hidden="false" customHeight="false" outlineLevel="0" collapsed="false">
      <c r="A1581" s="1" t="s">
        <v>679</v>
      </c>
      <c r="B1581" s="1" t="n">
        <v>318.15</v>
      </c>
      <c r="C1581" s="1" t="n">
        <f aca="false">1/B1581</f>
        <v>0.00314317146000314</v>
      </c>
      <c r="D1581" s="1" t="n">
        <v>0.825</v>
      </c>
      <c r="E1581" s="1" t="n">
        <f aca="false">LN(D1581)</f>
        <v>-0.192371892647456</v>
      </c>
    </row>
    <row r="1582" customFormat="false" ht="15.75" hidden="false" customHeight="false" outlineLevel="0" collapsed="false">
      <c r="A1582" s="1" t="s">
        <v>679</v>
      </c>
      <c r="B1582" s="1" t="n">
        <v>333.15</v>
      </c>
      <c r="C1582" s="1" t="n">
        <f aca="false">1/B1582</f>
        <v>0.0030016509079994</v>
      </c>
      <c r="D1582" s="1" t="n">
        <v>0.6765</v>
      </c>
      <c r="E1582" s="1" t="n">
        <f aca="false">LN(D1582)</f>
        <v>-0.390822831371294</v>
      </c>
    </row>
    <row r="1583" customFormat="false" ht="15.75" hidden="false" customHeight="false" outlineLevel="0" collapsed="false">
      <c r="A1583" s="1" t="s">
        <v>679</v>
      </c>
      <c r="B1583" s="1" t="n">
        <v>363.05</v>
      </c>
      <c r="C1583" s="1" t="n">
        <f aca="false">1/B1583</f>
        <v>0.00275444153697838</v>
      </c>
      <c r="D1583" s="1" t="n">
        <v>0.4892</v>
      </c>
      <c r="E1583" s="1" t="n">
        <f aca="false">LN(D1583)</f>
        <v>-0.71498387516912</v>
      </c>
    </row>
    <row r="1584" customFormat="false" ht="15.75" hidden="false" customHeight="false" outlineLevel="0" collapsed="false">
      <c r="A1584" s="1" t="s">
        <v>679</v>
      </c>
      <c r="B1584" s="1" t="n">
        <v>373.05</v>
      </c>
      <c r="C1584" s="1" t="n">
        <f aca="false">1/B1584</f>
        <v>0.00268060581691462</v>
      </c>
      <c r="D1584" s="1" t="n">
        <v>0.4446</v>
      </c>
      <c r="E1584" s="1" t="n">
        <f aca="false">LN(D1584)</f>
        <v>-0.810580277452041</v>
      </c>
    </row>
    <row r="1585" customFormat="false" ht="15.75" hidden="false" customHeight="false" outlineLevel="0" collapsed="false">
      <c r="A1585" s="1" t="s">
        <v>679</v>
      </c>
      <c r="B1585" s="1" t="n">
        <v>383.25</v>
      </c>
      <c r="C1585" s="1" t="n">
        <f aca="false">1/B1585</f>
        <v>0.00260926288323549</v>
      </c>
      <c r="D1585" s="1" t="n">
        <v>0.4039</v>
      </c>
      <c r="E1585" s="1" t="n">
        <f aca="false">LN(D1585)</f>
        <v>-0.90658795641277</v>
      </c>
    </row>
    <row r="1586" customFormat="false" ht="15.75" hidden="false" customHeight="false" outlineLevel="0" collapsed="false">
      <c r="A1586" s="1" t="s">
        <v>679</v>
      </c>
      <c r="B1586" s="1" t="n">
        <v>393.15</v>
      </c>
      <c r="C1586" s="1" t="n">
        <f aca="false">1/B1586</f>
        <v>0.00254355843825512</v>
      </c>
      <c r="D1586" s="1" t="n">
        <v>0.3707</v>
      </c>
      <c r="E1586" s="1" t="n">
        <f aca="false">LN(D1586)</f>
        <v>-0.992362168825451</v>
      </c>
    </row>
    <row r="1587" customFormat="false" ht="15.75" hidden="false" customHeight="false" outlineLevel="0" collapsed="false">
      <c r="A1587" s="1" t="s">
        <v>679</v>
      </c>
      <c r="B1587" s="1" t="n">
        <v>412.95</v>
      </c>
      <c r="C1587" s="1" t="n">
        <f aca="false">1/B1587</f>
        <v>0.00242160067804819</v>
      </c>
      <c r="D1587" s="1" t="n">
        <v>0.3156</v>
      </c>
      <c r="E1587" s="1" t="n">
        <f aca="false">LN(D1587)</f>
        <v>-1.15327969001042</v>
      </c>
    </row>
    <row r="1588" customFormat="false" ht="15.75" hidden="false" customHeight="false" outlineLevel="0" collapsed="false">
      <c r="A1588" s="1" t="s">
        <v>679</v>
      </c>
      <c r="B1588" s="1" t="n">
        <v>423.25</v>
      </c>
      <c r="C1588" s="1" t="n">
        <f aca="false">1/B1588</f>
        <v>0.00236266981689309</v>
      </c>
      <c r="D1588" s="1" t="n">
        <v>0.2931</v>
      </c>
      <c r="E1588" s="1" t="n">
        <f aca="false">LN(D1588)</f>
        <v>-1.22724143126529</v>
      </c>
    </row>
    <row r="1589" customFormat="false" ht="15.75" hidden="false" customHeight="false" outlineLevel="0" collapsed="false">
      <c r="A1589" s="1" t="s">
        <v>679</v>
      </c>
      <c r="B1589" s="1" t="n">
        <v>431.15</v>
      </c>
      <c r="C1589" s="1" t="n">
        <f aca="false">1/B1589</f>
        <v>0.00231937840658703</v>
      </c>
      <c r="D1589" s="1" t="n">
        <v>0.2743</v>
      </c>
      <c r="E1589" s="1" t="n">
        <f aca="false">LN(D1589)</f>
        <v>-1.29353288103858</v>
      </c>
    </row>
    <row r="1590" customFormat="false" ht="15.75" hidden="false" customHeight="false" outlineLevel="0" collapsed="false">
      <c r="A1590" s="1" t="s">
        <v>679</v>
      </c>
      <c r="B1590" s="1" t="n">
        <v>440.15</v>
      </c>
      <c r="C1590" s="1" t="n">
        <f aca="false">1/B1590</f>
        <v>0.00227195274338294</v>
      </c>
      <c r="D1590" s="1" t="n">
        <v>0.2606</v>
      </c>
      <c r="E1590" s="1" t="n">
        <f aca="false">LN(D1590)</f>
        <v>-1.34476861429139</v>
      </c>
    </row>
    <row r="1591" customFormat="false" ht="15.75" hidden="false" customHeight="false" outlineLevel="0" collapsed="false">
      <c r="A1591" s="1" t="s">
        <v>679</v>
      </c>
      <c r="B1591" s="1" t="n">
        <v>352.95</v>
      </c>
      <c r="C1591" s="1" t="n">
        <f aca="false">1/B1591</f>
        <v>0.00283326250177079</v>
      </c>
      <c r="D1591" s="1" t="n">
        <v>0.5426</v>
      </c>
      <c r="E1591" s="1" t="n">
        <f aca="false">LN(D1591)</f>
        <v>-0.611382878757306</v>
      </c>
    </row>
    <row r="1592" customFormat="false" ht="15.75" hidden="false" customHeight="false" outlineLevel="0" collapsed="false">
      <c r="A1592" s="1" t="s">
        <v>679</v>
      </c>
      <c r="B1592" s="1" t="n">
        <v>403.35</v>
      </c>
      <c r="C1592" s="1" t="n">
        <f aca="false">1/B1592</f>
        <v>0.00247923639519028</v>
      </c>
      <c r="D1592" s="1" t="n">
        <v>0.3414</v>
      </c>
      <c r="E1592" s="1" t="n">
        <f aca="false">LN(D1592)</f>
        <v>-1.0747004686218</v>
      </c>
    </row>
    <row r="1593" customFormat="false" ht="15.75" hidden="false" customHeight="false" outlineLevel="0" collapsed="false">
      <c r="A1593" s="1" t="s">
        <v>679</v>
      </c>
      <c r="B1593" s="1" t="n">
        <v>448.65</v>
      </c>
      <c r="C1593" s="1" t="n">
        <f aca="false">1/B1593</f>
        <v>0.00222890894906943</v>
      </c>
      <c r="D1593" s="1" t="n">
        <v>0.246</v>
      </c>
      <c r="E1593" s="1" t="n">
        <f aca="false">LN(D1593)</f>
        <v>-1.40242374304977</v>
      </c>
    </row>
    <row r="1594" customFormat="false" ht="15.75" hidden="false" customHeight="false" outlineLevel="0" collapsed="false">
      <c r="A1594" s="1" t="s">
        <v>681</v>
      </c>
      <c r="B1594" s="1" t="n">
        <v>298.15</v>
      </c>
      <c r="C1594" s="1" t="n">
        <f aca="false">1/B1594</f>
        <v>0.00335401643468053</v>
      </c>
      <c r="D1594" s="1" t="n">
        <v>2.475</v>
      </c>
      <c r="E1594" s="1" t="n">
        <f aca="false">LN(D1594)</f>
        <v>0.906240396020654</v>
      </c>
    </row>
    <row r="1595" customFormat="false" ht="15.75" hidden="false" customHeight="false" outlineLevel="0" collapsed="false">
      <c r="A1595" s="1" t="s">
        <v>681</v>
      </c>
      <c r="B1595" s="1" t="n">
        <v>303.15</v>
      </c>
      <c r="C1595" s="1" t="n">
        <f aca="false">1/B1595</f>
        <v>0.0032986970146792</v>
      </c>
      <c r="D1595" s="1" t="n">
        <v>2.2</v>
      </c>
      <c r="E1595" s="1" t="n">
        <f aca="false">LN(D1595)</f>
        <v>0.78845736036427</v>
      </c>
    </row>
    <row r="1596" customFormat="false" ht="15.75" hidden="false" customHeight="false" outlineLevel="0" collapsed="false">
      <c r="A1596" s="1" t="s">
        <v>681</v>
      </c>
      <c r="B1596" s="1" t="n">
        <v>313.15</v>
      </c>
      <c r="C1596" s="1" t="n">
        <f aca="false">1/B1596</f>
        <v>0.00319335781574325</v>
      </c>
      <c r="D1596" s="1" t="n">
        <v>1.75</v>
      </c>
      <c r="E1596" s="1" t="n">
        <f aca="false">LN(D1596)</f>
        <v>0.559615787935423</v>
      </c>
    </row>
    <row r="1597" customFormat="false" ht="15.75" hidden="false" customHeight="false" outlineLevel="0" collapsed="false">
      <c r="A1597" s="1" t="s">
        <v>681</v>
      </c>
      <c r="B1597" s="1" t="n">
        <v>323.15</v>
      </c>
      <c r="C1597" s="1" t="n">
        <f aca="false">1/B1597</f>
        <v>0.00309453814018258</v>
      </c>
      <c r="D1597" s="1" t="n">
        <v>1.48</v>
      </c>
      <c r="E1597" s="1" t="n">
        <f aca="false">LN(D1597)</f>
        <v>0.392042087776024</v>
      </c>
    </row>
    <row r="1598" customFormat="false" ht="15.75" hidden="false" customHeight="false" outlineLevel="0" collapsed="false">
      <c r="A1598" s="1" t="s">
        <v>681</v>
      </c>
      <c r="B1598" s="1" t="n">
        <v>333.15</v>
      </c>
      <c r="C1598" s="1" t="n">
        <f aca="false">1/B1598</f>
        <v>0.0030016509079994</v>
      </c>
      <c r="D1598" s="1" t="n">
        <v>1.25</v>
      </c>
      <c r="E1598" s="1" t="n">
        <f aca="false">LN(D1598)</f>
        <v>0.22314355131421</v>
      </c>
    </row>
    <row r="1599" customFormat="false" ht="15.75" hidden="false" customHeight="false" outlineLevel="0" collapsed="false">
      <c r="A1599" s="1" t="s">
        <v>1426</v>
      </c>
      <c r="B1599" s="1" t="n">
        <v>292.15</v>
      </c>
      <c r="C1599" s="1" t="n">
        <f aca="false">1/B1599</f>
        <v>0.00342289919561869</v>
      </c>
      <c r="D1599" s="1" t="n">
        <v>1.314</v>
      </c>
      <c r="E1599" s="1" t="n">
        <f aca="false">LN(D1599)</f>
        <v>0.273075920062419</v>
      </c>
    </row>
    <row r="1600" customFormat="false" ht="15.75" hidden="false" customHeight="false" outlineLevel="0" collapsed="false">
      <c r="A1600" s="1" t="s">
        <v>1426</v>
      </c>
      <c r="B1600" s="1" t="n">
        <v>303.25</v>
      </c>
      <c r="C1600" s="1" t="n">
        <f aca="false">1/B1600</f>
        <v>0.00329760923330585</v>
      </c>
      <c r="D1600" s="1" t="n">
        <v>1.09</v>
      </c>
      <c r="E1600" s="1" t="n">
        <f aca="false">LN(D1600)</f>
        <v>0.0861776962410524</v>
      </c>
    </row>
    <row r="1601" customFormat="false" ht="15.75" hidden="false" customHeight="false" outlineLevel="0" collapsed="false">
      <c r="A1601" s="1" t="s">
        <v>1426</v>
      </c>
      <c r="B1601" s="1" t="n">
        <v>313.18</v>
      </c>
      <c r="C1601" s="1" t="n">
        <f aca="false">1/B1601</f>
        <v>0.0031930519190242</v>
      </c>
      <c r="D1601" s="1" t="n">
        <v>0.93</v>
      </c>
      <c r="E1601" s="1" t="n">
        <f aca="false">LN(D1601)</f>
        <v>-0.0725706928348354</v>
      </c>
    </row>
    <row r="1602" customFormat="false" ht="15.75" hidden="false" customHeight="false" outlineLevel="0" collapsed="false">
      <c r="A1602" s="1" t="s">
        <v>1426</v>
      </c>
      <c r="B1602" s="1" t="n">
        <v>318.1</v>
      </c>
      <c r="C1602" s="1" t="n">
        <f aca="false">1/B1602</f>
        <v>0.00314366551398931</v>
      </c>
      <c r="D1602" s="1" t="n">
        <v>0.86</v>
      </c>
      <c r="E1602" s="1" t="n">
        <f aca="false">LN(D1602)</f>
        <v>-0.150822889734584</v>
      </c>
    </row>
    <row r="1603" customFormat="false" ht="15.75" hidden="false" customHeight="false" outlineLevel="0" collapsed="false">
      <c r="A1603" s="1" t="s">
        <v>1426</v>
      </c>
      <c r="B1603" s="1" t="n">
        <v>323.15</v>
      </c>
      <c r="C1603" s="1" t="n">
        <f aca="false">1/B1603</f>
        <v>0.00309453814018258</v>
      </c>
      <c r="D1603" s="1" t="n">
        <v>0.804</v>
      </c>
      <c r="E1603" s="1" t="n">
        <f aca="false">LN(D1603)</f>
        <v>-0.218156009803171</v>
      </c>
    </row>
    <row r="1604" customFormat="false" ht="15.75" hidden="false" customHeight="false" outlineLevel="0" collapsed="false">
      <c r="A1604" s="1" t="s">
        <v>1426</v>
      </c>
      <c r="B1604" s="1" t="n">
        <v>333.15</v>
      </c>
      <c r="C1604" s="1" t="n">
        <f aca="false">1/B1604</f>
        <v>0.0030016509079994</v>
      </c>
      <c r="D1604" s="1" t="n">
        <v>0.73</v>
      </c>
      <c r="E1604" s="1" t="n">
        <f aca="false">LN(D1604)</f>
        <v>-0.3147107448397</v>
      </c>
    </row>
    <row r="1605" customFormat="false" ht="15.75" hidden="false" customHeight="false" outlineLevel="0" collapsed="false">
      <c r="A1605" s="1" t="s">
        <v>683</v>
      </c>
      <c r="B1605" s="1" t="n">
        <v>293.15</v>
      </c>
      <c r="C1605" s="1" t="n">
        <f aca="false">1/B1605</f>
        <v>0.00341122292341805</v>
      </c>
      <c r="D1605" s="1" t="n">
        <v>0.608</v>
      </c>
      <c r="E1605" s="1" t="n">
        <f aca="false">LN(D1605)</f>
        <v>-0.49758039701597</v>
      </c>
    </row>
    <row r="1606" customFormat="false" ht="15.75" hidden="false" customHeight="false" outlineLevel="0" collapsed="false">
      <c r="A1606" s="1" t="s">
        <v>683</v>
      </c>
      <c r="B1606" s="1" t="n">
        <v>303.15</v>
      </c>
      <c r="C1606" s="1" t="n">
        <f aca="false">1/B1606</f>
        <v>0.0032986970146792</v>
      </c>
      <c r="D1606" s="1" t="n">
        <v>0.534</v>
      </c>
      <c r="E1606" s="1" t="n">
        <f aca="false">LN(D1606)</f>
        <v>-0.627359440021942</v>
      </c>
    </row>
    <row r="1607" customFormat="false" ht="15.75" hidden="false" customHeight="false" outlineLevel="0" collapsed="false">
      <c r="A1607" s="1" t="s">
        <v>683</v>
      </c>
      <c r="B1607" s="1" t="n">
        <v>313.15</v>
      </c>
      <c r="C1607" s="1" t="n">
        <f aca="false">1/B1607</f>
        <v>0.00319335781574325</v>
      </c>
      <c r="D1607" s="1" t="n">
        <v>0.481</v>
      </c>
      <c r="E1607" s="1" t="n">
        <f aca="false">LN(D1607)</f>
        <v>-0.731888008876376</v>
      </c>
    </row>
    <row r="1608" customFormat="false" ht="15.75" hidden="false" customHeight="false" outlineLevel="0" collapsed="false">
      <c r="A1608" s="1" t="s">
        <v>683</v>
      </c>
      <c r="B1608" s="1" t="n">
        <v>323.15</v>
      </c>
      <c r="C1608" s="1" t="n">
        <f aca="false">1/B1608</f>
        <v>0.00309453814018258</v>
      </c>
      <c r="D1608" s="1" t="n">
        <v>0.4537</v>
      </c>
      <c r="E1608" s="1" t="n">
        <f aca="false">LN(D1608)</f>
        <v>-0.790319092312219</v>
      </c>
    </row>
    <row r="1609" customFormat="false" ht="15.75" hidden="false" customHeight="false" outlineLevel="0" collapsed="false">
      <c r="A1609" s="1" t="s">
        <v>683</v>
      </c>
      <c r="B1609" s="1" t="n">
        <v>333.15</v>
      </c>
      <c r="C1609" s="1" t="n">
        <f aca="false">1/B1609</f>
        <v>0.0030016509079994</v>
      </c>
      <c r="D1609" s="1" t="n">
        <v>0.3955</v>
      </c>
      <c r="E1609" s="1" t="n">
        <f aca="false">LN(D1609)</f>
        <v>-0.927604491774429</v>
      </c>
    </row>
    <row r="1610" customFormat="false" ht="15.75" hidden="false" customHeight="false" outlineLevel="0" collapsed="false">
      <c r="A1610" s="1" t="s">
        <v>685</v>
      </c>
      <c r="B1610" s="1" t="n">
        <v>311.55</v>
      </c>
      <c r="C1610" s="1" t="n">
        <f aca="false">1/B1610</f>
        <v>0.00320975766329642</v>
      </c>
      <c r="D1610" s="1" t="n">
        <v>2.986</v>
      </c>
      <c r="E1610" s="1" t="n">
        <f aca="false">LN(D1610)</f>
        <v>1.093934699117</v>
      </c>
    </row>
    <row r="1611" customFormat="false" ht="15.75" hidden="false" customHeight="false" outlineLevel="0" collapsed="false">
      <c r="A1611" s="1" t="s">
        <v>685</v>
      </c>
      <c r="B1611" s="1" t="n">
        <v>327.05</v>
      </c>
      <c r="C1611" s="1" t="n">
        <f aca="false">1/B1611</f>
        <v>0.00305763644702645</v>
      </c>
      <c r="D1611" s="1" t="n">
        <v>1.688</v>
      </c>
      <c r="E1611" s="1" t="n">
        <f aca="false">LN(D1611)</f>
        <v>0.523544396173765</v>
      </c>
    </row>
    <row r="1612" customFormat="false" ht="15.75" hidden="false" customHeight="false" outlineLevel="0" collapsed="false">
      <c r="A1612" s="1" t="s">
        <v>685</v>
      </c>
      <c r="B1612" s="1" t="n">
        <v>346.65</v>
      </c>
      <c r="C1612" s="1" t="n">
        <f aca="false">1/B1612</f>
        <v>0.00288475407471513</v>
      </c>
      <c r="D1612" s="1" t="n">
        <v>1.024</v>
      </c>
      <c r="E1612" s="1" t="n">
        <f aca="false">LN(D1612)</f>
        <v>0.0237165266173161</v>
      </c>
    </row>
    <row r="1613" customFormat="false" ht="15.75" hidden="false" customHeight="false" outlineLevel="0" collapsed="false">
      <c r="A1613" s="1" t="s">
        <v>685</v>
      </c>
      <c r="B1613" s="1" t="n">
        <v>359.65</v>
      </c>
      <c r="C1613" s="1" t="n">
        <f aca="false">1/B1613</f>
        <v>0.00278048102321702</v>
      </c>
      <c r="D1613" s="1" t="n">
        <v>0.76</v>
      </c>
      <c r="E1613" s="1" t="n">
        <f aca="false">LN(D1613)</f>
        <v>-0.27443684570176</v>
      </c>
    </row>
    <row r="1614" customFormat="false" ht="15.75" hidden="false" customHeight="false" outlineLevel="0" collapsed="false">
      <c r="A1614" s="1" t="s">
        <v>685</v>
      </c>
      <c r="B1614" s="1" t="n">
        <v>371.55</v>
      </c>
      <c r="C1614" s="1" t="n">
        <f aca="false">1/B1614</f>
        <v>0.0026914278024492</v>
      </c>
      <c r="D1614" s="1" t="n">
        <v>0.6</v>
      </c>
      <c r="E1614" s="1" t="n">
        <f aca="false">LN(D1614)</f>
        <v>-0.510825623765991</v>
      </c>
    </row>
    <row r="1615" customFormat="false" ht="15.75" hidden="false" customHeight="false" outlineLevel="0" collapsed="false">
      <c r="A1615" s="1" t="s">
        <v>685</v>
      </c>
      <c r="B1615" s="1" t="n">
        <v>390.25</v>
      </c>
      <c r="C1615" s="1" t="n">
        <f aca="false">1/B1615</f>
        <v>0.0025624599615631</v>
      </c>
      <c r="D1615" s="1" t="n">
        <v>0.4404</v>
      </c>
      <c r="E1615" s="1" t="n">
        <f aca="false">LN(D1615)</f>
        <v>-0.820071874133612</v>
      </c>
    </row>
    <row r="1616" customFormat="false" ht="15.75" hidden="false" customHeight="false" outlineLevel="0" collapsed="false">
      <c r="A1616" s="1" t="s">
        <v>685</v>
      </c>
      <c r="B1616" s="1" t="n">
        <v>404.45</v>
      </c>
      <c r="C1616" s="1" t="n">
        <f aca="false">1/B1616</f>
        <v>0.00247249350970454</v>
      </c>
      <c r="D1616" s="1" t="n">
        <v>0.3601</v>
      </c>
      <c r="E1616" s="1" t="n">
        <f aca="false">LN(D1616)</f>
        <v>-1.02137350832731</v>
      </c>
    </row>
    <row r="1617" customFormat="false" ht="15.75" hidden="false" customHeight="false" outlineLevel="0" collapsed="false">
      <c r="A1617" s="1" t="s">
        <v>685</v>
      </c>
      <c r="B1617" s="1" t="n">
        <v>418.25</v>
      </c>
      <c r="C1617" s="1" t="n">
        <f aca="false">1/B1617</f>
        <v>0.00239091452480574</v>
      </c>
      <c r="D1617" s="1" t="n">
        <v>0.3026</v>
      </c>
      <c r="E1617" s="1" t="n">
        <f aca="false">LN(D1617)</f>
        <v>-1.19534347762788</v>
      </c>
    </row>
    <row r="1618" customFormat="false" ht="15.75" hidden="false" customHeight="false" outlineLevel="0" collapsed="false">
      <c r="A1618" s="1" t="s">
        <v>1427</v>
      </c>
      <c r="B1618" s="1" t="n">
        <v>298.15</v>
      </c>
      <c r="C1618" s="1" t="n">
        <f aca="false">1/B1618</f>
        <v>0.00335401643468053</v>
      </c>
      <c r="D1618" s="1" t="n">
        <v>4.3405</v>
      </c>
      <c r="E1618" s="1" t="n">
        <f aca="false">LN(D1618)</f>
        <v>1.46798954884973</v>
      </c>
    </row>
    <row r="1619" customFormat="false" ht="15.75" hidden="false" customHeight="false" outlineLevel="0" collapsed="false">
      <c r="A1619" s="1" t="s">
        <v>1428</v>
      </c>
      <c r="B1619" s="1" t="n">
        <v>278.15</v>
      </c>
      <c r="C1619" s="1" t="n">
        <f aca="false">1/B1619</f>
        <v>0.00359518245550962</v>
      </c>
      <c r="D1619" s="1" t="n">
        <v>6.0966</v>
      </c>
      <c r="E1619" s="1" t="n">
        <f aca="false">LN(D1619)</f>
        <v>1.80773123873775</v>
      </c>
    </row>
    <row r="1620" customFormat="false" ht="15.75" hidden="false" customHeight="false" outlineLevel="0" collapsed="false">
      <c r="A1620" s="1" t="s">
        <v>1428</v>
      </c>
      <c r="B1620" s="1" t="n">
        <v>288.15</v>
      </c>
      <c r="C1620" s="1" t="n">
        <f aca="false">1/B1620</f>
        <v>0.00347041471455839</v>
      </c>
      <c r="D1620" s="1" t="n">
        <v>4.643</v>
      </c>
      <c r="E1620" s="1" t="n">
        <f aca="false">LN(D1620)</f>
        <v>1.53536070903778</v>
      </c>
    </row>
    <row r="1621" customFormat="false" ht="15.75" hidden="false" customHeight="false" outlineLevel="0" collapsed="false">
      <c r="A1621" s="1" t="s">
        <v>1428</v>
      </c>
      <c r="B1621" s="1" t="n">
        <v>298.15</v>
      </c>
      <c r="C1621" s="1" t="n">
        <f aca="false">1/B1621</f>
        <v>0.00335401643468053</v>
      </c>
      <c r="D1621" s="1" t="n">
        <v>3.64</v>
      </c>
      <c r="E1621" s="1" t="n">
        <f aca="false">LN(D1621)</f>
        <v>1.29198368164865</v>
      </c>
    </row>
    <row r="1622" customFormat="false" ht="15.75" hidden="false" customHeight="false" outlineLevel="0" collapsed="false">
      <c r="A1622" s="1" t="s">
        <v>1428</v>
      </c>
      <c r="B1622" s="1" t="n">
        <v>308.15</v>
      </c>
      <c r="C1622" s="1" t="n">
        <f aca="false">1/B1622</f>
        <v>0.00324517280545189</v>
      </c>
      <c r="D1622" s="1" t="n">
        <v>2.9264</v>
      </c>
      <c r="E1622" s="1" t="n">
        <f aca="false">LN(D1622)</f>
        <v>1.07377299865446</v>
      </c>
    </row>
    <row r="1623" customFormat="false" ht="15.75" hidden="false" customHeight="false" outlineLevel="0" collapsed="false">
      <c r="A1623" s="1" t="s">
        <v>1428</v>
      </c>
      <c r="B1623" s="1" t="n">
        <v>318.15</v>
      </c>
      <c r="C1623" s="1" t="n">
        <f aca="false">1/B1623</f>
        <v>0.00314317146000314</v>
      </c>
      <c r="D1623" s="1" t="n">
        <v>2.4049</v>
      </c>
      <c r="E1623" s="1" t="n">
        <f aca="false">LN(D1623)</f>
        <v>0.87750832265167</v>
      </c>
    </row>
    <row r="1624" customFormat="false" ht="15.75" hidden="false" customHeight="false" outlineLevel="0" collapsed="false">
      <c r="A1624" s="1" t="s">
        <v>1428</v>
      </c>
      <c r="B1624" s="1" t="n">
        <v>328.15</v>
      </c>
      <c r="C1624" s="1" t="n">
        <f aca="false">1/B1624</f>
        <v>0.00304738686576261</v>
      </c>
      <c r="D1624" s="1" t="n">
        <v>2.0146</v>
      </c>
      <c r="E1624" s="1" t="n">
        <f aca="false">LN(D1624)</f>
        <v>0.700420664526444</v>
      </c>
    </row>
    <row r="1625" customFormat="false" ht="15.75" hidden="false" customHeight="false" outlineLevel="0" collapsed="false">
      <c r="A1625" s="1" t="s">
        <v>1428</v>
      </c>
      <c r="B1625" s="1" t="n">
        <v>338.15</v>
      </c>
      <c r="C1625" s="1" t="n">
        <f aca="false">1/B1625</f>
        <v>0.002957267484844</v>
      </c>
      <c r="D1625" s="1" t="n">
        <v>1.7164</v>
      </c>
      <c r="E1625" s="1" t="n">
        <f aca="false">LN(D1625)</f>
        <v>0.540229074135233</v>
      </c>
    </row>
    <row r="1626" customFormat="false" ht="15.75" hidden="false" customHeight="false" outlineLevel="0" collapsed="false">
      <c r="A1626" s="1" t="s">
        <v>1429</v>
      </c>
      <c r="B1626" s="1" t="n">
        <v>333.15</v>
      </c>
      <c r="C1626" s="1" t="n">
        <f aca="false">1/B1626</f>
        <v>0.0030016509079994</v>
      </c>
      <c r="D1626" s="1" t="n">
        <v>3.864</v>
      </c>
      <c r="E1626" s="1" t="n">
        <f aca="false">LN(D1626)</f>
        <v>1.35170291635027</v>
      </c>
    </row>
    <row r="1627" customFormat="false" ht="15.75" hidden="false" customHeight="false" outlineLevel="0" collapsed="false">
      <c r="A1627" s="1" t="s">
        <v>1429</v>
      </c>
      <c r="B1627" s="1" t="n">
        <v>348.15</v>
      </c>
      <c r="C1627" s="1" t="n">
        <f aca="false">1/B1627</f>
        <v>0.00287232514720666</v>
      </c>
      <c r="D1627" s="1" t="n">
        <v>2.879</v>
      </c>
      <c r="E1627" s="1" t="n">
        <f aca="false">LN(D1627)</f>
        <v>1.05744301163004</v>
      </c>
    </row>
    <row r="1628" customFormat="false" ht="15.75" hidden="false" customHeight="false" outlineLevel="0" collapsed="false">
      <c r="A1628" s="1" t="s">
        <v>1429</v>
      </c>
      <c r="B1628" s="1" t="n">
        <v>373.15</v>
      </c>
      <c r="C1628" s="1" t="n">
        <f aca="false">1/B1628</f>
        <v>0.00267988744472732</v>
      </c>
      <c r="D1628" s="1" t="n">
        <v>1.913</v>
      </c>
      <c r="E1628" s="1" t="n">
        <f aca="false">LN(D1628)</f>
        <v>0.648672690458116</v>
      </c>
    </row>
    <row r="1629" customFormat="false" ht="15.75" hidden="false" customHeight="false" outlineLevel="0" collapsed="false">
      <c r="A1629" s="1" t="s">
        <v>1429</v>
      </c>
      <c r="B1629" s="1" t="n">
        <v>398.15</v>
      </c>
      <c r="C1629" s="1" t="n">
        <f aca="false">1/B1629</f>
        <v>0.00251161622504081</v>
      </c>
      <c r="D1629" s="1" t="n">
        <v>1.379</v>
      </c>
      <c r="E1629" s="1" t="n">
        <f aca="false">LN(D1629)</f>
        <v>0.321358598811165</v>
      </c>
    </row>
    <row r="1630" customFormat="false" ht="15.75" hidden="false" customHeight="false" outlineLevel="0" collapsed="false">
      <c r="A1630" s="1" t="s">
        <v>687</v>
      </c>
      <c r="B1630" s="1" t="n">
        <v>329.2</v>
      </c>
      <c r="C1630" s="1" t="n">
        <f aca="false">1/B1630</f>
        <v>0.00303766707168894</v>
      </c>
      <c r="D1630" s="1" t="n">
        <v>7.587</v>
      </c>
      <c r="E1630" s="1" t="n">
        <f aca="false">LN(D1630)</f>
        <v>2.02643625635594</v>
      </c>
    </row>
    <row r="1631" customFormat="false" ht="15.75" hidden="false" customHeight="false" outlineLevel="0" collapsed="false">
      <c r="A1631" s="1" t="s">
        <v>687</v>
      </c>
      <c r="B1631" s="1" t="n">
        <v>353.35</v>
      </c>
      <c r="C1631" s="1" t="n">
        <f aca="false">1/B1631</f>
        <v>0.00283005518607613</v>
      </c>
      <c r="D1631" s="1" t="n">
        <v>3.477</v>
      </c>
      <c r="E1631" s="1" t="n">
        <f aca="false">LN(D1631)</f>
        <v>1.24616985302572</v>
      </c>
    </row>
    <row r="1632" customFormat="false" ht="15.75" hidden="false" customHeight="false" outlineLevel="0" collapsed="false">
      <c r="A1632" s="1" t="s">
        <v>687</v>
      </c>
      <c r="B1632" s="1" t="n">
        <v>373.05</v>
      </c>
      <c r="C1632" s="1" t="n">
        <f aca="false">1/B1632</f>
        <v>0.00268060581691462</v>
      </c>
      <c r="D1632" s="1" t="n">
        <v>2.177</v>
      </c>
      <c r="E1632" s="1" t="n">
        <f aca="false">LN(D1632)</f>
        <v>0.77794778225241</v>
      </c>
    </row>
    <row r="1633" customFormat="false" ht="15.75" hidden="false" customHeight="false" outlineLevel="0" collapsed="false">
      <c r="A1633" s="1" t="s">
        <v>687</v>
      </c>
      <c r="B1633" s="1" t="n">
        <v>393.15</v>
      </c>
      <c r="C1633" s="1" t="n">
        <f aca="false">1/B1633</f>
        <v>0.00254355843825512</v>
      </c>
      <c r="D1633" s="1" t="n">
        <v>1.476</v>
      </c>
      <c r="E1633" s="1" t="n">
        <f aca="false">LN(D1633)</f>
        <v>0.389335726178281</v>
      </c>
    </row>
    <row r="1634" customFormat="false" ht="15.75" hidden="false" customHeight="false" outlineLevel="0" collapsed="false">
      <c r="A1634" s="1" t="s">
        <v>687</v>
      </c>
      <c r="B1634" s="1" t="n">
        <v>412.65</v>
      </c>
      <c r="C1634" s="1" t="n">
        <f aca="false">1/B1634</f>
        <v>0.00242336120198716</v>
      </c>
      <c r="D1634" s="1" t="n">
        <v>1.089</v>
      </c>
      <c r="E1634" s="1" t="n">
        <f aca="false">LN(D1634)</f>
        <v>0.0852598439508234</v>
      </c>
    </row>
    <row r="1635" customFormat="false" ht="15.75" hidden="false" customHeight="false" outlineLevel="0" collapsed="false">
      <c r="A1635" s="1" t="s">
        <v>687</v>
      </c>
      <c r="B1635" s="1" t="n">
        <v>432.75</v>
      </c>
      <c r="C1635" s="1" t="n">
        <f aca="false">1/B1635</f>
        <v>0.00231080300404391</v>
      </c>
      <c r="D1635" s="1" t="n">
        <v>0.8239</v>
      </c>
      <c r="E1635" s="1" t="n">
        <f aca="false">LN(D1635)</f>
        <v>-0.193706115660593</v>
      </c>
    </row>
    <row r="1636" customFormat="false" ht="15.75" hidden="false" customHeight="false" outlineLevel="0" collapsed="false">
      <c r="A1636" s="1" t="s">
        <v>687</v>
      </c>
      <c r="B1636" s="1" t="n">
        <v>452.95</v>
      </c>
      <c r="C1636" s="1" t="n">
        <f aca="false">1/B1636</f>
        <v>0.00220774919969091</v>
      </c>
      <c r="D1636" s="1" t="n">
        <v>0.6506</v>
      </c>
      <c r="E1636" s="1" t="n">
        <f aca="false">LN(D1636)</f>
        <v>-0.429860264942886</v>
      </c>
    </row>
    <row r="1637" customFormat="false" ht="15.75" hidden="false" customHeight="false" outlineLevel="0" collapsed="false">
      <c r="A1637" s="1" t="s">
        <v>687</v>
      </c>
      <c r="B1637" s="1" t="n">
        <v>468.15</v>
      </c>
      <c r="C1637" s="1" t="n">
        <f aca="false">1/B1637</f>
        <v>0.00213606749973299</v>
      </c>
      <c r="D1637" s="1" t="n">
        <v>0.5562</v>
      </c>
      <c r="E1637" s="1" t="n">
        <f aca="false">LN(D1637)</f>
        <v>-0.586627337182273</v>
      </c>
    </row>
    <row r="1638" customFormat="false" ht="15.75" hidden="false" customHeight="false" outlineLevel="0" collapsed="false">
      <c r="A1638" s="1" t="s">
        <v>687</v>
      </c>
      <c r="B1638" s="1" t="n">
        <v>482.35</v>
      </c>
      <c r="C1638" s="1" t="n">
        <f aca="false">1/B1638</f>
        <v>0.00207318337306935</v>
      </c>
      <c r="D1638" s="1" t="n">
        <v>0.4856</v>
      </c>
      <c r="E1638" s="1" t="n">
        <f aca="false">LN(D1638)</f>
        <v>-0.722370039236849</v>
      </c>
    </row>
    <row r="1639" customFormat="false" ht="15.75" hidden="false" customHeight="false" outlineLevel="0" collapsed="false">
      <c r="A1639" s="1" t="s">
        <v>687</v>
      </c>
      <c r="B1639" s="1" t="n">
        <v>493.25</v>
      </c>
      <c r="C1639" s="1" t="n">
        <f aca="false">1/B1639</f>
        <v>0.0020273694880892</v>
      </c>
      <c r="D1639" s="1" t="n">
        <v>0.439</v>
      </c>
      <c r="E1639" s="1" t="n">
        <f aca="false">LN(D1639)</f>
        <v>-0.823255865906966</v>
      </c>
    </row>
    <row r="1640" customFormat="false" ht="15.75" hidden="false" customHeight="false" outlineLevel="0" collapsed="false">
      <c r="A1640" s="1" t="s">
        <v>687</v>
      </c>
      <c r="B1640" s="1" t="n">
        <v>503.15</v>
      </c>
      <c r="C1640" s="1" t="n">
        <f aca="false">1/B1640</f>
        <v>0.00198747888303687</v>
      </c>
      <c r="D1640" s="1" t="n">
        <v>0.4024</v>
      </c>
      <c r="E1640" s="1" t="n">
        <f aca="false">LN(D1640)</f>
        <v>-0.910308660196608</v>
      </c>
    </row>
    <row r="1641" customFormat="false" ht="15.75" hidden="false" customHeight="false" outlineLevel="0" collapsed="false">
      <c r="A1641" s="1" t="s">
        <v>687</v>
      </c>
      <c r="B1641" s="1" t="n">
        <v>518.35</v>
      </c>
      <c r="C1641" s="1" t="n">
        <f aca="false">1/B1641</f>
        <v>0.0019291984180573</v>
      </c>
      <c r="D1641" s="1" t="n">
        <v>0.3546</v>
      </c>
      <c r="E1641" s="1" t="n">
        <f aca="false">LN(D1641)</f>
        <v>-1.03676488534203</v>
      </c>
    </row>
    <row r="1642" customFormat="false" ht="15.75" hidden="false" customHeight="false" outlineLevel="0" collapsed="false">
      <c r="A1642" s="1" t="s">
        <v>1430</v>
      </c>
      <c r="B1642" s="1" t="n">
        <v>373.8542</v>
      </c>
      <c r="C1642" s="1" t="n">
        <f aca="false">1/B1642</f>
        <v>0.00267483954974961</v>
      </c>
      <c r="D1642" s="1" t="n">
        <v>0.743</v>
      </c>
      <c r="E1642" s="1" t="n">
        <f aca="false">LN(D1642)</f>
        <v>-0.297059234264378</v>
      </c>
    </row>
    <row r="1643" customFormat="false" ht="15.75" hidden="false" customHeight="false" outlineLevel="0" collapsed="false">
      <c r="A1643" s="1" t="s">
        <v>1430</v>
      </c>
      <c r="B1643" s="1" t="n">
        <v>399.65</v>
      </c>
      <c r="C1643" s="1" t="n">
        <f aca="false">1/B1643</f>
        <v>0.00250218941573877</v>
      </c>
      <c r="D1643" s="1" t="n">
        <v>0.558</v>
      </c>
      <c r="E1643" s="1" t="n">
        <f aca="false">LN(D1643)</f>
        <v>-0.583396316600826</v>
      </c>
    </row>
    <row r="1644" customFormat="false" ht="15.75" hidden="false" customHeight="false" outlineLevel="0" collapsed="false">
      <c r="A1644" s="1" t="s">
        <v>1430</v>
      </c>
      <c r="B1644" s="1" t="n">
        <v>412.35</v>
      </c>
      <c r="C1644" s="1" t="n">
        <f aca="false">1/B1644</f>
        <v>0.00242512428761974</v>
      </c>
      <c r="D1644" s="1" t="n">
        <v>0.49</v>
      </c>
      <c r="E1644" s="1" t="n">
        <f aca="false">LN(D1644)</f>
        <v>-0.713349887877465</v>
      </c>
    </row>
    <row r="1645" customFormat="false" ht="15.75" hidden="false" customHeight="false" outlineLevel="0" collapsed="false">
      <c r="A1645" s="1" t="s">
        <v>1430</v>
      </c>
      <c r="B1645" s="1" t="n">
        <v>424.45</v>
      </c>
      <c r="C1645" s="1" t="n">
        <f aca="false">1/B1645</f>
        <v>0.00235599010484156</v>
      </c>
      <c r="D1645" s="1" t="n">
        <v>0.4366</v>
      </c>
      <c r="E1645" s="1" t="n">
        <f aca="false">LN(D1645)</f>
        <v>-0.828737834866294</v>
      </c>
    </row>
    <row r="1646" customFormat="false" ht="15.75" hidden="false" customHeight="false" outlineLevel="0" collapsed="false">
      <c r="A1646" s="1" t="s">
        <v>1430</v>
      </c>
      <c r="B1646" s="1" t="n">
        <v>437.05</v>
      </c>
      <c r="C1646" s="1" t="n">
        <f aca="false">1/B1646</f>
        <v>0.00228806772680471</v>
      </c>
      <c r="D1646" s="1" t="n">
        <v>0.3904</v>
      </c>
      <c r="E1646" s="1" t="n">
        <f aca="false">LN(D1646)</f>
        <v>-0.9405834244432</v>
      </c>
    </row>
    <row r="1647" customFormat="false" ht="15.75" hidden="false" customHeight="false" outlineLevel="0" collapsed="false">
      <c r="A1647" s="1" t="s">
        <v>1430</v>
      </c>
      <c r="B1647" s="1" t="n">
        <v>448.85</v>
      </c>
      <c r="C1647" s="1" t="n">
        <f aca="false">1/B1647</f>
        <v>0.00222791578478333</v>
      </c>
      <c r="D1647" s="1" t="n">
        <v>0.3538</v>
      </c>
      <c r="E1647" s="1" t="n">
        <f aca="false">LN(D1647)</f>
        <v>-1.03902349725645</v>
      </c>
    </row>
    <row r="1648" customFormat="false" ht="15.75" hidden="false" customHeight="false" outlineLevel="0" collapsed="false">
      <c r="A1648" s="1" t="s">
        <v>1430</v>
      </c>
      <c r="B1648" s="1" t="n">
        <v>460.15</v>
      </c>
      <c r="C1648" s="1" t="n">
        <f aca="false">1/B1648</f>
        <v>0.00217320438987287</v>
      </c>
      <c r="D1648" s="1" t="n">
        <v>0.3232</v>
      </c>
      <c r="E1648" s="1" t="n">
        <f aca="false">LN(D1648)</f>
        <v>-1.1294839523352</v>
      </c>
    </row>
    <row r="1649" customFormat="false" ht="15.75" hidden="false" customHeight="false" outlineLevel="0" collapsed="false">
      <c r="A1649" s="1" t="s">
        <v>1430</v>
      </c>
      <c r="B1649" s="1" t="n">
        <v>465.95</v>
      </c>
      <c r="C1649" s="1" t="n">
        <f aca="false">1/B1649</f>
        <v>0.00214615302071038</v>
      </c>
      <c r="D1649" s="1" t="n">
        <v>0.3088</v>
      </c>
      <c r="E1649" s="1" t="n">
        <f aca="false">LN(D1649)</f>
        <v>-1.17506146083152</v>
      </c>
    </row>
    <row r="1650" customFormat="false" ht="15.75" hidden="false" customHeight="false" outlineLevel="0" collapsed="false">
      <c r="A1650" s="1" t="s">
        <v>1430</v>
      </c>
      <c r="B1650" s="1" t="n">
        <v>471.85</v>
      </c>
      <c r="C1650" s="1" t="n">
        <f aca="false">1/B1650</f>
        <v>0.00211931757973932</v>
      </c>
      <c r="D1650" s="1" t="n">
        <v>0.2955</v>
      </c>
      <c r="E1650" s="1" t="n">
        <f aca="false">LN(D1650)</f>
        <v>-1.21908644213598</v>
      </c>
    </row>
    <row r="1651" customFormat="false" ht="15.75" hidden="false" customHeight="false" outlineLevel="0" collapsed="false">
      <c r="A1651" s="1" t="s">
        <v>1430</v>
      </c>
      <c r="B1651" s="1" t="n">
        <v>273.1559</v>
      </c>
      <c r="C1651" s="1" t="n">
        <f aca="false">1/B1651</f>
        <v>0.00366091305368107</v>
      </c>
      <c r="D1651" s="1" t="n">
        <v>8.658</v>
      </c>
      <c r="E1651" s="1" t="n">
        <f aca="false">LN(D1651)</f>
        <v>2.15848374901979</v>
      </c>
    </row>
    <row r="1652" customFormat="false" ht="15.75" hidden="false" customHeight="false" outlineLevel="0" collapsed="false">
      <c r="A1652" s="1" t="s">
        <v>1430</v>
      </c>
      <c r="B1652" s="1" t="n">
        <v>293.15</v>
      </c>
      <c r="C1652" s="1" t="n">
        <f aca="false">1/B1652</f>
        <v>0.00341122292341805</v>
      </c>
      <c r="D1652" s="1" t="n">
        <v>3.8052</v>
      </c>
      <c r="E1652" s="1" t="n">
        <f aca="false">LN(D1652)</f>
        <v>1.33636855235017</v>
      </c>
    </row>
    <row r="1653" customFormat="false" ht="15.75" hidden="false" customHeight="false" outlineLevel="0" collapsed="false">
      <c r="A1653" s="1" t="s">
        <v>1430</v>
      </c>
      <c r="B1653" s="1" t="n">
        <v>353.15</v>
      </c>
      <c r="C1653" s="1" t="n">
        <f aca="false">1/B1653</f>
        <v>0.00283165793572137</v>
      </c>
      <c r="D1653" s="1" t="n">
        <v>1.0041</v>
      </c>
      <c r="E1653" s="1" t="n">
        <f aca="false">LN(D1653)</f>
        <v>0.00409161790325356</v>
      </c>
    </row>
    <row r="1654" customFormat="false" ht="15.75" hidden="false" customHeight="false" outlineLevel="0" collapsed="false">
      <c r="A1654" s="1" t="s">
        <v>689</v>
      </c>
      <c r="B1654" s="1" t="n">
        <v>293.15</v>
      </c>
      <c r="C1654" s="1" t="n">
        <f aca="false">1/B1654</f>
        <v>0.00341122292341805</v>
      </c>
      <c r="D1654" s="1" t="n">
        <v>1.653</v>
      </c>
      <c r="E1654" s="1" t="n">
        <f aca="false">LN(D1654)</f>
        <v>0.502591818838887</v>
      </c>
    </row>
    <row r="1655" customFormat="false" ht="15.75" hidden="false" customHeight="false" outlineLevel="0" collapsed="false">
      <c r="A1655" s="1" t="s">
        <v>689</v>
      </c>
      <c r="B1655" s="1" t="n">
        <v>303.15</v>
      </c>
      <c r="C1655" s="1" t="n">
        <f aca="false">1/B1655</f>
        <v>0.0032986970146792</v>
      </c>
      <c r="D1655" s="1" t="n">
        <v>1.37</v>
      </c>
      <c r="E1655" s="1" t="n">
        <f aca="false">LN(D1655)</f>
        <v>0.314810739840034</v>
      </c>
    </row>
    <row r="1656" customFormat="false" ht="15.75" hidden="false" customHeight="false" outlineLevel="0" collapsed="false">
      <c r="A1656" s="1" t="s">
        <v>689</v>
      </c>
      <c r="B1656" s="1" t="n">
        <v>313.15</v>
      </c>
      <c r="C1656" s="1" t="n">
        <f aca="false">1/B1656</f>
        <v>0.00319335781574325</v>
      </c>
      <c r="D1656" s="1" t="n">
        <v>1.16</v>
      </c>
      <c r="E1656" s="1" t="n">
        <f aca="false">LN(D1656)</f>
        <v>0.148420005118273</v>
      </c>
    </row>
    <row r="1657" customFormat="false" ht="15.75" hidden="false" customHeight="false" outlineLevel="0" collapsed="false">
      <c r="A1657" s="1" t="s">
        <v>689</v>
      </c>
      <c r="B1657" s="1" t="n">
        <v>323.15</v>
      </c>
      <c r="C1657" s="1" t="n">
        <f aca="false">1/B1657</f>
        <v>0.00309453814018258</v>
      </c>
      <c r="D1657" s="1" t="n">
        <v>0.999</v>
      </c>
      <c r="E1657" s="1" t="n">
        <f aca="false">LN(D1657)</f>
        <v>-0.00100050033358353</v>
      </c>
    </row>
    <row r="1658" customFormat="false" ht="15.75" hidden="false" customHeight="false" outlineLevel="0" collapsed="false">
      <c r="A1658" s="1" t="s">
        <v>689</v>
      </c>
      <c r="B1658" s="1" t="n">
        <v>333.15</v>
      </c>
      <c r="C1658" s="1" t="n">
        <f aca="false">1/B1658</f>
        <v>0.0030016509079994</v>
      </c>
      <c r="D1658" s="1" t="n">
        <v>0.873</v>
      </c>
      <c r="E1658" s="1" t="n">
        <f aca="false">LN(D1658)</f>
        <v>-0.135819723142535</v>
      </c>
    </row>
    <row r="1659" customFormat="false" ht="15.75" hidden="false" customHeight="false" outlineLevel="0" collapsed="false">
      <c r="A1659" s="1" t="s">
        <v>689</v>
      </c>
      <c r="B1659" s="1" t="n">
        <v>353.15</v>
      </c>
      <c r="C1659" s="1" t="n">
        <f aca="false">1/B1659</f>
        <v>0.00283165793572137</v>
      </c>
      <c r="D1659" s="1" t="n">
        <v>0.691</v>
      </c>
      <c r="E1659" s="1" t="n">
        <f aca="false">LN(D1659)</f>
        <v>-0.369615455214467</v>
      </c>
    </row>
    <row r="1660" customFormat="false" ht="15.75" hidden="false" customHeight="false" outlineLevel="0" collapsed="false">
      <c r="A1660" s="1" t="s">
        <v>689</v>
      </c>
      <c r="B1660" s="1" t="n">
        <v>373.15</v>
      </c>
      <c r="C1660" s="1" t="n">
        <f aca="false">1/B1660</f>
        <v>0.00267988744472732</v>
      </c>
      <c r="D1660" s="1" t="n">
        <v>0.564</v>
      </c>
      <c r="E1660" s="1" t="n">
        <f aca="false">LN(D1660)</f>
        <v>-0.572701027484078</v>
      </c>
    </row>
    <row r="1661" customFormat="false" ht="15.75" hidden="false" customHeight="false" outlineLevel="0" collapsed="false">
      <c r="A1661" s="1" t="s">
        <v>689</v>
      </c>
      <c r="B1661" s="1" t="n">
        <v>393.15</v>
      </c>
      <c r="C1661" s="1" t="n">
        <f aca="false">1/B1661</f>
        <v>0.00254355843825512</v>
      </c>
      <c r="D1661" s="1" t="n">
        <v>0.468</v>
      </c>
      <c r="E1661" s="1" t="n">
        <f aca="false">LN(D1661)</f>
        <v>-0.75928698306449</v>
      </c>
    </row>
    <row r="1662" customFormat="false" ht="15.75" hidden="false" customHeight="false" outlineLevel="0" collapsed="false">
      <c r="A1662" s="1" t="s">
        <v>689</v>
      </c>
      <c r="B1662" s="1" t="n">
        <v>413.15</v>
      </c>
      <c r="C1662" s="1" t="n">
        <f aca="false">1/B1662</f>
        <v>0.0024204284158296</v>
      </c>
      <c r="D1662" s="1" t="n">
        <v>0.399</v>
      </c>
      <c r="E1662" s="1" t="n">
        <f aca="false">LN(D1662)</f>
        <v>-0.918793862092273</v>
      </c>
    </row>
    <row r="1663" customFormat="false" ht="15.75" hidden="false" customHeight="false" outlineLevel="0" collapsed="false">
      <c r="A1663" s="1" t="s">
        <v>1431</v>
      </c>
      <c r="B1663" s="1" t="n">
        <v>312.2549</v>
      </c>
      <c r="C1663" s="1" t="n">
        <f aca="false">1/B1663</f>
        <v>0.00320251179405031</v>
      </c>
      <c r="D1663" s="1" t="n">
        <v>9.676</v>
      </c>
      <c r="E1663" s="1" t="n">
        <f aca="false">LN(D1663)</f>
        <v>2.26964859274778</v>
      </c>
    </row>
    <row r="1664" customFormat="false" ht="15.75" hidden="false" customHeight="false" outlineLevel="0" collapsed="false">
      <c r="A1664" s="1" t="s">
        <v>1431</v>
      </c>
      <c r="B1664" s="1" t="n">
        <v>339.05</v>
      </c>
      <c r="C1664" s="1" t="n">
        <f aca="false">1/B1664</f>
        <v>0.00294941749004572</v>
      </c>
      <c r="D1664" s="1" t="n">
        <v>3.204</v>
      </c>
      <c r="E1664" s="1" t="n">
        <f aca="false">LN(D1664)</f>
        <v>1.16440002920611</v>
      </c>
    </row>
    <row r="1665" customFormat="false" ht="15.75" hidden="false" customHeight="false" outlineLevel="0" collapsed="false">
      <c r="A1665" s="1" t="s">
        <v>1431</v>
      </c>
      <c r="B1665" s="1" t="n">
        <v>363.15</v>
      </c>
      <c r="C1665" s="1" t="n">
        <f aca="false">1/B1665</f>
        <v>0.00275368305108082</v>
      </c>
      <c r="D1665" s="1" t="n">
        <v>1.5678</v>
      </c>
      <c r="E1665" s="1" t="n">
        <f aca="false">LN(D1665)</f>
        <v>0.449673362772485</v>
      </c>
    </row>
    <row r="1666" customFormat="false" ht="15.75" hidden="false" customHeight="false" outlineLevel="0" collapsed="false">
      <c r="A1666" s="1" t="s">
        <v>1431</v>
      </c>
      <c r="B1666" s="1" t="n">
        <v>293.155</v>
      </c>
      <c r="C1666" s="1" t="n">
        <f aca="false">1/B1666</f>
        <v>0.00341116474220122</v>
      </c>
      <c r="D1666" s="1" t="n">
        <v>22.7998</v>
      </c>
      <c r="E1666" s="1" t="n">
        <f aca="false">LN(D1666)</f>
        <v>3.1267517639921</v>
      </c>
    </row>
    <row r="1667" customFormat="false" ht="15.75" hidden="false" customHeight="false" outlineLevel="0" collapsed="false">
      <c r="A1667" s="1" t="s">
        <v>691</v>
      </c>
      <c r="B1667" s="1" t="n">
        <v>290.4549</v>
      </c>
      <c r="C1667" s="1" t="n">
        <f aca="false">1/B1667</f>
        <v>0.00344287529664674</v>
      </c>
      <c r="D1667" s="1" t="n">
        <v>1.8386</v>
      </c>
      <c r="E1667" s="1" t="n">
        <f aca="false">LN(D1667)</f>
        <v>0.609004412447517</v>
      </c>
    </row>
    <row r="1668" customFormat="false" ht="15.75" hidden="false" customHeight="false" outlineLevel="0" collapsed="false">
      <c r="A1668" s="1" t="s">
        <v>691</v>
      </c>
      <c r="B1668" s="1" t="n">
        <v>312.25</v>
      </c>
      <c r="C1668" s="1" t="n">
        <f aca="false">1/B1668</f>
        <v>0.00320256204963971</v>
      </c>
      <c r="D1668" s="1" t="n">
        <v>1.2261</v>
      </c>
      <c r="E1668" s="1" t="n">
        <f aca="false">LN(D1668)</f>
        <v>0.203838400256204</v>
      </c>
    </row>
    <row r="1669" customFormat="false" ht="15.75" hidden="false" customHeight="false" outlineLevel="0" collapsed="false">
      <c r="A1669" s="1" t="s">
        <v>691</v>
      </c>
      <c r="B1669" s="1" t="n">
        <v>339.05</v>
      </c>
      <c r="C1669" s="1" t="n">
        <f aca="false">1/B1669</f>
        <v>0.00294941749004572</v>
      </c>
      <c r="D1669" s="1" t="n">
        <v>0.857</v>
      </c>
      <c r="E1669" s="1" t="n">
        <f aca="false">LN(D1669)</f>
        <v>-0.154317360384357</v>
      </c>
    </row>
    <row r="1670" customFormat="false" ht="15.75" hidden="false" customHeight="false" outlineLevel="0" collapsed="false">
      <c r="A1670" s="1" t="s">
        <v>691</v>
      </c>
      <c r="B1670" s="1" t="n">
        <v>288.1551</v>
      </c>
      <c r="C1670" s="1" t="n">
        <f aca="false">1/B1670</f>
        <v>0.00347035329237622</v>
      </c>
      <c r="D1670" s="1" t="n">
        <v>1.999</v>
      </c>
      <c r="E1670" s="1" t="n">
        <f aca="false">LN(D1670)</f>
        <v>0.692647055518263</v>
      </c>
    </row>
    <row r="1671" customFormat="false" ht="15.75" hidden="false" customHeight="false" outlineLevel="0" collapsed="false">
      <c r="A1671" s="1" t="s">
        <v>691</v>
      </c>
      <c r="B1671" s="1" t="n">
        <v>303.15</v>
      </c>
      <c r="C1671" s="1" t="n">
        <f aca="false">1/B1671</f>
        <v>0.0032986970146792</v>
      </c>
      <c r="D1671" s="1" t="n">
        <v>1.512</v>
      </c>
      <c r="E1671" s="1" t="n">
        <f aca="false">LN(D1671)</f>
        <v>0.413433277757341</v>
      </c>
    </row>
    <row r="1672" customFormat="false" ht="15.75" hidden="false" customHeight="false" outlineLevel="0" collapsed="false">
      <c r="A1672" s="1" t="s">
        <v>68</v>
      </c>
      <c r="B1672" s="1" t="n">
        <v>293.15</v>
      </c>
      <c r="C1672" s="1" t="n">
        <f aca="false">1/B1672</f>
        <v>0.00341122292341805</v>
      </c>
      <c r="D1672" s="1" t="n">
        <v>0.372</v>
      </c>
      <c r="E1672" s="1" t="n">
        <f aca="false">LN(D1672)</f>
        <v>-0.98886142470899</v>
      </c>
    </row>
    <row r="1673" customFormat="false" ht="15.75" hidden="false" customHeight="false" outlineLevel="0" collapsed="false">
      <c r="A1673" s="1" t="s">
        <v>68</v>
      </c>
      <c r="B1673" s="1" t="n">
        <v>288.15</v>
      </c>
      <c r="C1673" s="1" t="n">
        <f aca="false">1/B1673</f>
        <v>0.00347041471455839</v>
      </c>
      <c r="D1673" s="1" t="n">
        <v>0.386</v>
      </c>
      <c r="E1673" s="1" t="n">
        <f aca="false">LN(D1673)</f>
        <v>-0.951917909517306</v>
      </c>
    </row>
    <row r="1674" customFormat="false" ht="15.75" hidden="false" customHeight="false" outlineLevel="0" collapsed="false">
      <c r="A1674" s="1" t="s">
        <v>68</v>
      </c>
      <c r="B1674" s="1" t="n">
        <v>303.15</v>
      </c>
      <c r="C1674" s="1" t="n">
        <f aca="false">1/B1674</f>
        <v>0.0032986970146792</v>
      </c>
      <c r="D1674" s="1" t="n">
        <v>0.329</v>
      </c>
      <c r="E1674" s="1" t="n">
        <f aca="false">LN(D1674)</f>
        <v>-1.11169752821677</v>
      </c>
    </row>
    <row r="1675" customFormat="false" ht="15.75" hidden="false" customHeight="false" outlineLevel="0" collapsed="false">
      <c r="A1675" s="1" t="s">
        <v>693</v>
      </c>
      <c r="B1675" s="1" t="n">
        <v>273.15</v>
      </c>
      <c r="C1675" s="1" t="n">
        <f aca="false">1/B1675</f>
        <v>0.00366099212886692</v>
      </c>
      <c r="D1675" s="1" t="n">
        <v>0.394</v>
      </c>
      <c r="E1675" s="1" t="n">
        <f aca="false">LN(D1675)</f>
        <v>-0.931404369684203</v>
      </c>
    </row>
    <row r="1676" customFormat="false" ht="15.75" hidden="false" customHeight="false" outlineLevel="0" collapsed="false">
      <c r="A1676" s="1" t="s">
        <v>693</v>
      </c>
      <c r="B1676" s="1" t="n">
        <v>283.15</v>
      </c>
      <c r="C1676" s="1" t="n">
        <f aca="false">1/B1676</f>
        <v>0.00353169698039908</v>
      </c>
      <c r="D1676" s="1" t="n">
        <v>0.3566</v>
      </c>
      <c r="E1676" s="1" t="n">
        <f aca="false">LN(D1676)</f>
        <v>-1.0311405735531</v>
      </c>
    </row>
    <row r="1677" customFormat="false" ht="15.75" hidden="false" customHeight="false" outlineLevel="0" collapsed="false">
      <c r="A1677" s="1" t="s">
        <v>693</v>
      </c>
      <c r="B1677" s="1" t="n">
        <v>288.15</v>
      </c>
      <c r="C1677" s="1" t="n">
        <f aca="false">1/B1677</f>
        <v>0.00347041471455839</v>
      </c>
      <c r="D1677" s="1" t="n">
        <v>0.339</v>
      </c>
      <c r="E1677" s="1" t="n">
        <f aca="false">LN(D1677)</f>
        <v>-1.08175517160169</v>
      </c>
    </row>
    <row r="1678" customFormat="false" ht="15.75" hidden="false" customHeight="false" outlineLevel="0" collapsed="false">
      <c r="A1678" s="1" t="s">
        <v>693</v>
      </c>
      <c r="B1678" s="1" t="n">
        <v>293.15</v>
      </c>
      <c r="C1678" s="1" t="n">
        <f aca="false">1/B1678</f>
        <v>0.00341122292341805</v>
      </c>
      <c r="D1678" s="1" t="n">
        <v>0.3229</v>
      </c>
      <c r="E1678" s="1" t="n">
        <f aca="false">LN(D1678)</f>
        <v>-1.13041260121791</v>
      </c>
    </row>
    <row r="1679" customFormat="false" ht="15.75" hidden="false" customHeight="false" outlineLevel="0" collapsed="false">
      <c r="A1679" s="1" t="s">
        <v>693</v>
      </c>
      <c r="B1679" s="1" t="n">
        <v>298.15</v>
      </c>
      <c r="C1679" s="1" t="n">
        <f aca="false">1/B1679</f>
        <v>0.00335401643468053</v>
      </c>
      <c r="D1679" s="1" t="n">
        <v>0.307</v>
      </c>
      <c r="E1679" s="1" t="n">
        <f aca="false">LN(D1679)</f>
        <v>-1.18090753139494</v>
      </c>
    </row>
    <row r="1680" customFormat="false" ht="15.75" hidden="false" customHeight="false" outlineLevel="0" collapsed="false">
      <c r="A1680" s="1" t="s">
        <v>693</v>
      </c>
      <c r="B1680" s="1" t="n">
        <v>303.15</v>
      </c>
      <c r="C1680" s="1" t="n">
        <f aca="false">1/B1680</f>
        <v>0.0032986970146792</v>
      </c>
      <c r="D1680" s="1" t="n">
        <v>0.292</v>
      </c>
      <c r="E1680" s="1" t="n">
        <f aca="false">LN(D1680)</f>
        <v>-1.23100147671386</v>
      </c>
    </row>
    <row r="1681" customFormat="false" ht="15.75" hidden="false" customHeight="false" outlineLevel="0" collapsed="false">
      <c r="A1681" s="1" t="s">
        <v>1432</v>
      </c>
      <c r="B1681" s="1" t="n">
        <v>313.15</v>
      </c>
      <c r="C1681" s="1" t="n">
        <f aca="false">1/B1681</f>
        <v>0.00319335781574325</v>
      </c>
      <c r="D1681" s="1" t="n">
        <v>5.501</v>
      </c>
      <c r="E1681" s="1" t="n">
        <f aca="false">LN(D1681)</f>
        <v>1.70492989389332</v>
      </c>
    </row>
    <row r="1682" customFormat="false" ht="15.75" hidden="false" customHeight="false" outlineLevel="0" collapsed="false">
      <c r="A1682" s="1" t="s">
        <v>1432</v>
      </c>
      <c r="B1682" s="1" t="n">
        <v>323.15</v>
      </c>
      <c r="C1682" s="1" t="n">
        <f aca="false">1/B1682</f>
        <v>0.00309453814018258</v>
      </c>
      <c r="D1682" s="1" t="n">
        <v>4.367</v>
      </c>
      <c r="E1682" s="1" t="n">
        <f aca="false">LN(D1682)</f>
        <v>1.47407627450342</v>
      </c>
    </row>
    <row r="1683" customFormat="false" ht="15.75" hidden="false" customHeight="false" outlineLevel="0" collapsed="false">
      <c r="A1683" s="1" t="s">
        <v>1432</v>
      </c>
      <c r="B1683" s="1" t="n">
        <v>333.15</v>
      </c>
      <c r="C1683" s="1" t="n">
        <f aca="false">1/B1683</f>
        <v>0.0030016509079994</v>
      </c>
      <c r="D1683" s="1" t="n">
        <v>3.546</v>
      </c>
      <c r="E1683" s="1" t="n">
        <f aca="false">LN(D1683)</f>
        <v>1.26582020765202</v>
      </c>
    </row>
    <row r="1684" customFormat="false" ht="15.75" hidden="false" customHeight="false" outlineLevel="0" collapsed="false">
      <c r="A1684" s="1" t="s">
        <v>1432</v>
      </c>
      <c r="B1684" s="1" t="n">
        <v>348.15</v>
      </c>
      <c r="C1684" s="1" t="n">
        <f aca="false">1/B1684</f>
        <v>0.00287232514720666</v>
      </c>
      <c r="D1684" s="1" t="n">
        <v>2.731</v>
      </c>
      <c r="E1684" s="1" t="n">
        <f aca="false">LN(D1684)</f>
        <v>1.00466784249157</v>
      </c>
    </row>
    <row r="1685" customFormat="false" ht="15.75" hidden="false" customHeight="false" outlineLevel="0" collapsed="false">
      <c r="A1685" s="1" t="s">
        <v>1432</v>
      </c>
      <c r="B1685" s="1" t="n">
        <v>373.15</v>
      </c>
      <c r="C1685" s="1" t="n">
        <f aca="false">1/B1685</f>
        <v>0.00267988744472732</v>
      </c>
      <c r="D1685" s="1" t="n">
        <v>1.89</v>
      </c>
      <c r="E1685" s="1" t="n">
        <f aca="false">LN(D1685)</f>
        <v>0.636576829071551</v>
      </c>
    </row>
    <row r="1686" customFormat="false" ht="15.75" hidden="false" customHeight="false" outlineLevel="0" collapsed="false">
      <c r="A1686" s="1" t="s">
        <v>1432</v>
      </c>
      <c r="B1686" s="1" t="n">
        <v>398.15</v>
      </c>
      <c r="C1686" s="1" t="n">
        <f aca="false">1/B1686</f>
        <v>0.00251161622504081</v>
      </c>
      <c r="D1686" s="1" t="n">
        <v>1.413</v>
      </c>
      <c r="E1686" s="1" t="n">
        <f aca="false">LN(D1686)</f>
        <v>0.34571510370239</v>
      </c>
    </row>
    <row r="1687" customFormat="false" ht="15.75" hidden="false" customHeight="false" outlineLevel="0" collapsed="false">
      <c r="A1687" s="1" t="s">
        <v>695</v>
      </c>
      <c r="B1687" s="1" t="n">
        <v>273.19</v>
      </c>
      <c r="C1687" s="1" t="n">
        <f aca="false">1/B1687</f>
        <v>0.00366045609282917</v>
      </c>
      <c r="D1687" s="1" t="n">
        <v>3.5613</v>
      </c>
      <c r="E1687" s="1" t="n">
        <f aca="false">LN(D1687)</f>
        <v>1.27012564674546</v>
      </c>
    </row>
    <row r="1688" customFormat="false" ht="15.75" hidden="false" customHeight="false" outlineLevel="0" collapsed="false">
      <c r="A1688" s="1" t="s">
        <v>695</v>
      </c>
      <c r="B1688" s="1" t="n">
        <v>283.15</v>
      </c>
      <c r="C1688" s="1" t="n">
        <f aca="false">1/B1688</f>
        <v>0.00353169698039908</v>
      </c>
      <c r="D1688" s="1" t="n">
        <v>2.6822</v>
      </c>
      <c r="E1688" s="1" t="n">
        <f aca="false">LN(D1688)</f>
        <v>0.986637353294703</v>
      </c>
    </row>
    <row r="1689" customFormat="false" ht="15.75" hidden="false" customHeight="false" outlineLevel="0" collapsed="false">
      <c r="A1689" s="1" t="s">
        <v>695</v>
      </c>
      <c r="B1689" s="1" t="n">
        <v>293.15</v>
      </c>
      <c r="C1689" s="1" t="n">
        <f aca="false">1/B1689</f>
        <v>0.00341122292341805</v>
      </c>
      <c r="D1689" s="1" t="n">
        <v>2.0881</v>
      </c>
      <c r="E1689" s="1" t="n">
        <f aca="false">LN(D1689)</f>
        <v>0.736254561593879</v>
      </c>
    </row>
    <row r="1690" customFormat="false" ht="15.75" hidden="false" customHeight="false" outlineLevel="0" collapsed="false">
      <c r="A1690" s="1" t="s">
        <v>695</v>
      </c>
      <c r="B1690" s="1" t="n">
        <v>303.15</v>
      </c>
      <c r="C1690" s="1" t="n">
        <f aca="false">1/B1690</f>
        <v>0.0032986970146792</v>
      </c>
      <c r="D1690" s="1" t="n">
        <v>1.6672</v>
      </c>
      <c r="E1690" s="1" t="n">
        <f aca="false">LN(D1690)</f>
        <v>0.511145572576911</v>
      </c>
    </row>
    <row r="1691" customFormat="false" ht="15.75" hidden="false" customHeight="false" outlineLevel="0" collapsed="false">
      <c r="A1691" s="1" t="s">
        <v>695</v>
      </c>
      <c r="B1691" s="1" t="n">
        <v>313.15</v>
      </c>
      <c r="C1691" s="1" t="n">
        <f aca="false">1/B1691</f>
        <v>0.00319335781574325</v>
      </c>
      <c r="D1691" s="1" t="n">
        <v>1.3577</v>
      </c>
      <c r="E1691" s="1" t="n">
        <f aca="false">LN(D1691)</f>
        <v>0.305792091624098</v>
      </c>
    </row>
    <row r="1692" customFormat="false" ht="15.75" hidden="false" customHeight="false" outlineLevel="0" collapsed="false">
      <c r="A1692" s="1" t="s">
        <v>695</v>
      </c>
      <c r="B1692" s="1" t="n">
        <v>333.15</v>
      </c>
      <c r="C1692" s="1" t="n">
        <f aca="false">1/B1692</f>
        <v>0.0030016509079994</v>
      </c>
      <c r="D1692" s="1" t="n">
        <v>0.9459</v>
      </c>
      <c r="E1692" s="1" t="n">
        <f aca="false">LN(D1692)</f>
        <v>-0.0556184237630123</v>
      </c>
    </row>
    <row r="1693" customFormat="false" ht="15.75" hidden="false" customHeight="false" outlineLevel="0" collapsed="false">
      <c r="A1693" s="1" t="s">
        <v>695</v>
      </c>
      <c r="B1693" s="1" t="n">
        <v>353.15</v>
      </c>
      <c r="C1693" s="1" t="n">
        <f aca="false">1/B1693</f>
        <v>0.00283165793572137</v>
      </c>
      <c r="D1693" s="1" t="n">
        <v>0.6919</v>
      </c>
      <c r="E1693" s="1" t="n">
        <f aca="false">LN(D1693)</f>
        <v>-0.368313842477372</v>
      </c>
    </row>
    <row r="1694" customFormat="false" ht="15.75" hidden="false" customHeight="false" outlineLevel="0" collapsed="false">
      <c r="A1694" s="1" t="s">
        <v>695</v>
      </c>
      <c r="B1694" s="1" t="n">
        <v>373.62</v>
      </c>
      <c r="C1694" s="1" t="n">
        <f aca="false">1/B1694</f>
        <v>0.00267651624645362</v>
      </c>
      <c r="D1694" s="1" t="n">
        <v>0.5235</v>
      </c>
      <c r="E1694" s="1" t="n">
        <f aca="false">LN(D1694)</f>
        <v>-0.647218248671546</v>
      </c>
    </row>
    <row r="1695" customFormat="false" ht="15.75" hidden="false" customHeight="false" outlineLevel="0" collapsed="false">
      <c r="A1695" s="1" t="s">
        <v>697</v>
      </c>
      <c r="B1695" s="1" t="n">
        <v>291.35</v>
      </c>
      <c r="C1695" s="1" t="n">
        <f aca="false">1/B1695</f>
        <v>0.00343229792345976</v>
      </c>
      <c r="D1695" s="1" t="n">
        <v>5.358</v>
      </c>
      <c r="E1695" s="1" t="n">
        <f aca="false">LN(D1695)</f>
        <v>1.67859077112242</v>
      </c>
    </row>
    <row r="1696" customFormat="false" ht="15.75" hidden="false" customHeight="false" outlineLevel="0" collapsed="false">
      <c r="A1696" s="1" t="s">
        <v>697</v>
      </c>
      <c r="B1696" s="1" t="n">
        <v>303.95</v>
      </c>
      <c r="C1696" s="1" t="n">
        <f aca="false">1/B1696</f>
        <v>0.00329001480506662</v>
      </c>
      <c r="D1696" s="1" t="n">
        <v>3.066</v>
      </c>
      <c r="E1696" s="1" t="n">
        <f aca="false">LN(D1696)</f>
        <v>1.12037378044962</v>
      </c>
    </row>
    <row r="1697" customFormat="false" ht="15.75" hidden="false" customHeight="false" outlineLevel="0" collapsed="false">
      <c r="A1697" s="1" t="s">
        <v>697</v>
      </c>
      <c r="B1697" s="1" t="n">
        <v>320.65</v>
      </c>
      <c r="C1697" s="1" t="n">
        <f aca="false">1/B1697</f>
        <v>0.00311866521128957</v>
      </c>
      <c r="D1697" s="1" t="n">
        <v>1.676</v>
      </c>
      <c r="E1697" s="1" t="n">
        <f aca="false">LN(D1697)</f>
        <v>0.516410002059891</v>
      </c>
    </row>
    <row r="1698" customFormat="false" ht="15.75" hidden="false" customHeight="false" outlineLevel="0" collapsed="false">
      <c r="A1698" s="1" t="s">
        <v>697</v>
      </c>
      <c r="B1698" s="1" t="n">
        <v>332.55</v>
      </c>
      <c r="C1698" s="1" t="n">
        <f aca="false">1/B1698</f>
        <v>0.00300706660652533</v>
      </c>
      <c r="D1698" s="1" t="n">
        <v>1.191</v>
      </c>
      <c r="E1698" s="1" t="n">
        <f aca="false">LN(D1698)</f>
        <v>0.174793290373163</v>
      </c>
    </row>
    <row r="1699" customFormat="false" ht="15.75" hidden="false" customHeight="false" outlineLevel="0" collapsed="false">
      <c r="A1699" s="1" t="s">
        <v>697</v>
      </c>
      <c r="B1699" s="1" t="n">
        <v>349.65</v>
      </c>
      <c r="C1699" s="1" t="n">
        <f aca="false">1/B1699</f>
        <v>0.00286000286000286</v>
      </c>
      <c r="D1699" s="1" t="n">
        <v>0.787</v>
      </c>
      <c r="E1699" s="1" t="n">
        <f aca="false">LN(D1699)</f>
        <v>-0.239527030564734</v>
      </c>
    </row>
    <row r="1700" customFormat="false" ht="15.75" hidden="false" customHeight="false" outlineLevel="0" collapsed="false">
      <c r="A1700" s="1" t="s">
        <v>697</v>
      </c>
      <c r="B1700" s="1" t="n">
        <v>359.65</v>
      </c>
      <c r="C1700" s="1" t="n">
        <f aca="false">1/B1700</f>
        <v>0.00278048102321702</v>
      </c>
      <c r="D1700" s="1" t="n">
        <v>0.636</v>
      </c>
      <c r="E1700" s="1" t="n">
        <f aca="false">LN(D1700)</f>
        <v>-0.452556715642015</v>
      </c>
    </row>
    <row r="1701" customFormat="false" ht="15.75" hidden="false" customHeight="false" outlineLevel="0" collapsed="false">
      <c r="A1701" s="1" t="s">
        <v>697</v>
      </c>
      <c r="B1701" s="1" t="n">
        <v>372.35</v>
      </c>
      <c r="C1701" s="1" t="n">
        <f aca="false">1/B1701</f>
        <v>0.00268564522626561</v>
      </c>
      <c r="D1701" s="1" t="n">
        <v>0.5016</v>
      </c>
      <c r="E1701" s="1" t="n">
        <f aca="false">LN(D1701)</f>
        <v>-0.689952289663426</v>
      </c>
    </row>
    <row r="1702" customFormat="false" ht="15.75" hidden="false" customHeight="false" outlineLevel="0" collapsed="false">
      <c r="A1702" s="1" t="s">
        <v>697</v>
      </c>
      <c r="B1702" s="1" t="n">
        <v>379.95</v>
      </c>
      <c r="C1702" s="1" t="n">
        <f aca="false">1/B1702</f>
        <v>0.00263192525332281</v>
      </c>
      <c r="D1702" s="1" t="n">
        <v>0.4364</v>
      </c>
      <c r="E1702" s="1" t="n">
        <f aca="false">LN(D1702)</f>
        <v>-0.829196025023221</v>
      </c>
    </row>
    <row r="1703" customFormat="false" ht="15.75" hidden="false" customHeight="false" outlineLevel="0" collapsed="false">
      <c r="A1703" s="1" t="s">
        <v>699</v>
      </c>
      <c r="B1703" s="1" t="n">
        <v>273.2</v>
      </c>
      <c r="C1703" s="1" t="n">
        <f aca="false">1/B1703</f>
        <v>0.00366032210834553</v>
      </c>
      <c r="D1703" s="1" t="n">
        <v>3.0867</v>
      </c>
      <c r="E1703" s="1" t="n">
        <f aca="false">LN(D1703)</f>
        <v>1.12710255906774</v>
      </c>
    </row>
    <row r="1704" customFormat="false" ht="15.75" hidden="false" customHeight="false" outlineLevel="0" collapsed="false">
      <c r="A1704" s="1" t="s">
        <v>699</v>
      </c>
      <c r="B1704" s="1" t="n">
        <v>283.15</v>
      </c>
      <c r="C1704" s="1" t="n">
        <f aca="false">1/B1704</f>
        <v>0.00353169698039908</v>
      </c>
      <c r="D1704" s="1" t="n">
        <v>2.3569</v>
      </c>
      <c r="E1704" s="1" t="n">
        <f aca="false">LN(D1704)</f>
        <v>0.857347196240205</v>
      </c>
    </row>
    <row r="1705" customFormat="false" ht="15.75" hidden="false" customHeight="false" outlineLevel="0" collapsed="false">
      <c r="A1705" s="1" t="s">
        <v>699</v>
      </c>
      <c r="B1705" s="1" t="n">
        <v>303.15</v>
      </c>
      <c r="C1705" s="1" t="n">
        <f aca="false">1/B1705</f>
        <v>0.0032986970146792</v>
      </c>
      <c r="D1705" s="1" t="n">
        <v>1.4136</v>
      </c>
      <c r="E1705" s="1" t="n">
        <f aca="false">LN(D1705)</f>
        <v>0.34613964202335</v>
      </c>
    </row>
    <row r="1706" customFormat="false" ht="15.75" hidden="false" customHeight="false" outlineLevel="0" collapsed="false">
      <c r="A1706" s="1" t="s">
        <v>699</v>
      </c>
      <c r="B1706" s="1" t="n">
        <v>313.15</v>
      </c>
      <c r="C1706" s="1" t="n">
        <f aca="false">1/B1706</f>
        <v>0.00319335781574325</v>
      </c>
      <c r="D1706" s="1" t="n">
        <v>1.149</v>
      </c>
      <c r="E1706" s="1" t="n">
        <f aca="false">LN(D1706)</f>
        <v>0.138891998866619</v>
      </c>
    </row>
    <row r="1707" customFormat="false" ht="15.75" hidden="false" customHeight="false" outlineLevel="0" collapsed="false">
      <c r="A1707" s="1" t="s">
        <v>699</v>
      </c>
      <c r="B1707" s="1" t="n">
        <v>353.15</v>
      </c>
      <c r="C1707" s="1" t="n">
        <f aca="false">1/B1707</f>
        <v>0.00283165793572137</v>
      </c>
      <c r="D1707" s="1" t="n">
        <v>0.5937</v>
      </c>
      <c r="E1707" s="1" t="n">
        <f aca="false">LN(D1707)</f>
        <v>-0.521381137705507</v>
      </c>
    </row>
    <row r="1708" customFormat="false" ht="15.75" hidden="false" customHeight="false" outlineLevel="0" collapsed="false">
      <c r="A1708" s="1" t="s">
        <v>699</v>
      </c>
      <c r="B1708" s="1" t="n">
        <v>373.15</v>
      </c>
      <c r="C1708" s="1" t="n">
        <f aca="false">1/B1708</f>
        <v>0.00267988744472732</v>
      </c>
      <c r="D1708" s="1" t="n">
        <v>0.4581</v>
      </c>
      <c r="E1708" s="1" t="n">
        <f aca="false">LN(D1708)</f>
        <v>-0.780667778089441</v>
      </c>
    </row>
    <row r="1709" customFormat="false" ht="15.75" hidden="false" customHeight="false" outlineLevel="0" collapsed="false">
      <c r="A1709" s="1" t="s">
        <v>699</v>
      </c>
      <c r="B1709" s="1" t="n">
        <v>293.15</v>
      </c>
      <c r="C1709" s="1" t="n">
        <f aca="false">1/B1709</f>
        <v>0.00341122292341805</v>
      </c>
      <c r="D1709" s="1" t="n">
        <v>1.7805</v>
      </c>
      <c r="E1709" s="1" t="n">
        <f aca="false">LN(D1709)</f>
        <v>0.576894223735695</v>
      </c>
    </row>
    <row r="1710" customFormat="false" ht="15.75" hidden="false" customHeight="false" outlineLevel="0" collapsed="false">
      <c r="A1710" s="1" t="s">
        <v>699</v>
      </c>
      <c r="B1710" s="1" t="n">
        <v>333.15</v>
      </c>
      <c r="C1710" s="1" t="n">
        <f aca="false">1/B1710</f>
        <v>0.0030016509079994</v>
      </c>
      <c r="D1710" s="1" t="n">
        <v>0.8029</v>
      </c>
      <c r="E1710" s="1" t="n">
        <f aca="false">LN(D1710)</f>
        <v>-0.219525105791499</v>
      </c>
    </row>
    <row r="1711" customFormat="false" ht="15.75" hidden="false" customHeight="false" outlineLevel="0" collapsed="false">
      <c r="A1711" s="1" t="s">
        <v>701</v>
      </c>
      <c r="B1711" s="1" t="n">
        <v>278.15</v>
      </c>
      <c r="C1711" s="1" t="n">
        <f aca="false">1/B1711</f>
        <v>0.00359518245550962</v>
      </c>
      <c r="D1711" s="1" t="n">
        <v>3.6766</v>
      </c>
      <c r="E1711" s="1" t="n">
        <f aca="false">LN(D1711)</f>
        <v>1.30198841206663</v>
      </c>
    </row>
    <row r="1712" customFormat="false" ht="15.75" hidden="false" customHeight="false" outlineLevel="0" collapsed="false">
      <c r="A1712" s="1" t="s">
        <v>701</v>
      </c>
      <c r="B1712" s="1" t="n">
        <v>288.15</v>
      </c>
      <c r="C1712" s="1" t="n">
        <f aca="false">1/B1712</f>
        <v>0.00347041471455839</v>
      </c>
      <c r="D1712" s="1" t="n">
        <v>2.9911</v>
      </c>
      <c r="E1712" s="1" t="n">
        <f aca="false">LN(D1712)</f>
        <v>1.09564121272316</v>
      </c>
    </row>
    <row r="1713" customFormat="false" ht="15.75" hidden="false" customHeight="false" outlineLevel="0" collapsed="false">
      <c r="A1713" s="1" t="s">
        <v>701</v>
      </c>
      <c r="B1713" s="1" t="n">
        <v>298.15</v>
      </c>
      <c r="C1713" s="1" t="n">
        <f aca="false">1/B1713</f>
        <v>0.00335401643468053</v>
      </c>
      <c r="D1713" s="1" t="n">
        <v>2.4811</v>
      </c>
      <c r="E1713" s="1" t="n">
        <f aca="false">LN(D1713)</f>
        <v>0.908702010225479</v>
      </c>
    </row>
    <row r="1714" customFormat="false" ht="15.75" hidden="false" customHeight="false" outlineLevel="0" collapsed="false">
      <c r="A1714" s="1" t="s">
        <v>701</v>
      </c>
      <c r="B1714" s="1" t="n">
        <v>308.15</v>
      </c>
      <c r="C1714" s="1" t="n">
        <f aca="false">1/B1714</f>
        <v>0.00324517280545189</v>
      </c>
      <c r="D1714" s="1" t="n">
        <v>2.0934</v>
      </c>
      <c r="E1714" s="1" t="n">
        <f aca="false">LN(D1714)</f>
        <v>0.738789538438646</v>
      </c>
    </row>
    <row r="1715" customFormat="false" ht="15.75" hidden="false" customHeight="false" outlineLevel="0" collapsed="false">
      <c r="A1715" s="1" t="s">
        <v>701</v>
      </c>
      <c r="B1715" s="1" t="n">
        <v>318.15</v>
      </c>
      <c r="C1715" s="1" t="n">
        <f aca="false">1/B1715</f>
        <v>0.00314317146000314</v>
      </c>
      <c r="D1715" s="1" t="n">
        <v>1.7928</v>
      </c>
      <c r="E1715" s="1" t="n">
        <f aca="false">LN(D1715)</f>
        <v>0.58377864350458</v>
      </c>
    </row>
    <row r="1716" customFormat="false" ht="15.75" hidden="false" customHeight="false" outlineLevel="0" collapsed="false">
      <c r="A1716" s="1" t="s">
        <v>701</v>
      </c>
      <c r="B1716" s="1" t="n">
        <v>328.15</v>
      </c>
      <c r="C1716" s="1" t="n">
        <f aca="false">1/B1716</f>
        <v>0.00304738686576261</v>
      </c>
      <c r="D1716" s="1" t="n">
        <v>1.5558</v>
      </c>
      <c r="E1716" s="1" t="n">
        <f aca="false">LN(D1716)</f>
        <v>0.441989882790537</v>
      </c>
    </row>
    <row r="1717" customFormat="false" ht="15.75" hidden="false" customHeight="false" outlineLevel="0" collapsed="false">
      <c r="A1717" s="1" t="s">
        <v>701</v>
      </c>
      <c r="B1717" s="1" t="n">
        <v>338.15</v>
      </c>
      <c r="C1717" s="1" t="n">
        <f aca="false">1/B1717</f>
        <v>0.002957267484844</v>
      </c>
      <c r="D1717" s="1" t="n">
        <v>1.3661</v>
      </c>
      <c r="E1717" s="1" t="n">
        <f aca="false">LN(D1717)</f>
        <v>0.311959964911304</v>
      </c>
    </row>
    <row r="1718" customFormat="false" ht="15.75" hidden="false" customHeight="false" outlineLevel="0" collapsed="false">
      <c r="A1718" s="1" t="s">
        <v>703</v>
      </c>
      <c r="B1718" s="1" t="n">
        <v>273.23</v>
      </c>
      <c r="C1718" s="1" t="n">
        <f aca="false">1/B1718</f>
        <v>0.00365992021373934</v>
      </c>
      <c r="D1718" s="1" t="n">
        <v>19.7316</v>
      </c>
      <c r="E1718" s="1" t="n">
        <f aca="false">LN(D1718)</f>
        <v>2.98222141152604</v>
      </c>
    </row>
    <row r="1719" customFormat="false" ht="15.75" hidden="false" customHeight="false" outlineLevel="0" collapsed="false">
      <c r="A1719" s="1" t="s">
        <v>703</v>
      </c>
      <c r="B1719" s="1" t="n">
        <v>283.15</v>
      </c>
      <c r="C1719" s="1" t="n">
        <f aca="false">1/B1719</f>
        <v>0.00353169698039908</v>
      </c>
      <c r="D1719" s="1" t="n">
        <v>10.6056</v>
      </c>
      <c r="E1719" s="1" t="n">
        <f aca="false">LN(D1719)</f>
        <v>2.3613821635025</v>
      </c>
    </row>
    <row r="1720" customFormat="false" ht="15.75" hidden="false" customHeight="false" outlineLevel="0" collapsed="false">
      <c r="A1720" s="1" t="s">
        <v>703</v>
      </c>
      <c r="B1720" s="1" t="n">
        <v>293.15</v>
      </c>
      <c r="C1720" s="1" t="n">
        <f aca="false">1/B1720</f>
        <v>0.00341122292341805</v>
      </c>
      <c r="D1720" s="1" t="n">
        <v>6.1831</v>
      </c>
      <c r="E1720" s="1" t="n">
        <f aca="false">LN(D1720)</f>
        <v>1.82181976382426</v>
      </c>
    </row>
    <row r="1721" customFormat="false" ht="15.75" hidden="false" customHeight="false" outlineLevel="0" collapsed="false">
      <c r="A1721" s="1" t="s">
        <v>703</v>
      </c>
      <c r="B1721" s="1" t="n">
        <v>303.15</v>
      </c>
      <c r="C1721" s="1" t="n">
        <f aca="false">1/B1721</f>
        <v>0.0032986970146792</v>
      </c>
      <c r="D1721" s="1" t="n">
        <v>3.8917</v>
      </c>
      <c r="E1721" s="1" t="n">
        <f aca="false">LN(D1721)</f>
        <v>1.35884608016066</v>
      </c>
    </row>
    <row r="1722" customFormat="false" ht="15.75" hidden="false" customHeight="false" outlineLevel="0" collapsed="false">
      <c r="A1722" s="1" t="s">
        <v>703</v>
      </c>
      <c r="B1722" s="1" t="n">
        <v>313.15</v>
      </c>
      <c r="C1722" s="1" t="n">
        <f aca="false">1/B1722</f>
        <v>0.00319335781574325</v>
      </c>
      <c r="D1722" s="1" t="n">
        <v>2.6056</v>
      </c>
      <c r="E1722" s="1" t="n">
        <f aca="false">LN(D1722)</f>
        <v>0.957662974979887</v>
      </c>
    </row>
    <row r="1723" customFormat="false" ht="15.75" hidden="false" customHeight="false" outlineLevel="0" collapsed="false">
      <c r="A1723" s="1" t="s">
        <v>703</v>
      </c>
      <c r="B1723" s="1" t="n">
        <v>333.15</v>
      </c>
      <c r="C1723" s="1" t="n">
        <f aca="false">1/B1723</f>
        <v>0.0030016509079994</v>
      </c>
      <c r="D1723" s="1" t="n">
        <v>1.3563</v>
      </c>
      <c r="E1723" s="1" t="n">
        <f aca="false">LN(D1723)</f>
        <v>0.304760403986532</v>
      </c>
    </row>
    <row r="1724" customFormat="false" ht="15.75" hidden="false" customHeight="false" outlineLevel="0" collapsed="false">
      <c r="A1724" s="1" t="s">
        <v>703</v>
      </c>
      <c r="B1724" s="1" t="n">
        <v>353.15</v>
      </c>
      <c r="C1724" s="1" t="n">
        <f aca="false">1/B1724</f>
        <v>0.00283165793572137</v>
      </c>
      <c r="D1724" s="1" t="n">
        <v>0.829</v>
      </c>
      <c r="E1724" s="1" t="n">
        <f aca="false">LN(D1724)</f>
        <v>-0.187535123846842</v>
      </c>
    </row>
    <row r="1725" customFormat="false" ht="15.75" hidden="false" customHeight="false" outlineLevel="0" collapsed="false">
      <c r="A1725" s="1" t="s">
        <v>703</v>
      </c>
      <c r="B1725" s="1" t="n">
        <v>373.54</v>
      </c>
      <c r="C1725" s="1" t="n">
        <f aca="false">1/B1725</f>
        <v>0.00267708946833003</v>
      </c>
      <c r="D1725" s="1" t="n">
        <v>0.5658</v>
      </c>
      <c r="E1725" s="1" t="n">
        <f aca="false">LN(D1725)</f>
        <v>-0.56951462011467</v>
      </c>
    </row>
    <row r="1726" customFormat="false" ht="15.75" hidden="false" customHeight="false" outlineLevel="0" collapsed="false">
      <c r="A1726" s="1" t="s">
        <v>1433</v>
      </c>
      <c r="B1726" s="1" t="n">
        <v>298.15</v>
      </c>
      <c r="C1726" s="1" t="n">
        <f aca="false">1/B1726</f>
        <v>0.00335401643468053</v>
      </c>
      <c r="D1726" s="1" t="n">
        <v>3.9176</v>
      </c>
      <c r="E1726" s="1" t="n">
        <f aca="false">LN(D1726)</f>
        <v>1.36547922140597</v>
      </c>
    </row>
    <row r="1727" customFormat="false" ht="15.75" hidden="false" customHeight="false" outlineLevel="0" collapsed="false">
      <c r="A1727" s="1" t="s">
        <v>705</v>
      </c>
      <c r="B1727" s="1" t="n">
        <v>273.2</v>
      </c>
      <c r="C1727" s="1" t="n">
        <f aca="false">1/B1727</f>
        <v>0.00366032210834553</v>
      </c>
      <c r="D1727" s="1" t="n">
        <v>4.1958</v>
      </c>
      <c r="E1727" s="1" t="n">
        <f aca="false">LN(D1727)</f>
        <v>1.43408402495574</v>
      </c>
    </row>
    <row r="1728" customFormat="false" ht="15.75" hidden="false" customHeight="false" outlineLevel="0" collapsed="false">
      <c r="A1728" s="1" t="s">
        <v>705</v>
      </c>
      <c r="B1728" s="1" t="n">
        <v>283.15</v>
      </c>
      <c r="C1728" s="1" t="n">
        <f aca="false">1/B1728</f>
        <v>0.00353169698039908</v>
      </c>
      <c r="D1728" s="1" t="n">
        <v>2.9689</v>
      </c>
      <c r="E1728" s="1" t="n">
        <f aca="false">LN(D1728)</f>
        <v>1.08819151384019</v>
      </c>
    </row>
    <row r="1729" customFormat="false" ht="15.75" hidden="false" customHeight="false" outlineLevel="0" collapsed="false">
      <c r="A1729" s="1" t="s">
        <v>705</v>
      </c>
      <c r="B1729" s="1" t="n">
        <v>293.15</v>
      </c>
      <c r="C1729" s="1" t="n">
        <f aca="false">1/B1729</f>
        <v>0.00341122292341805</v>
      </c>
      <c r="D1729" s="1" t="n">
        <v>2.1933</v>
      </c>
      <c r="E1729" s="1" t="n">
        <f aca="false">LN(D1729)</f>
        <v>0.785407258985243</v>
      </c>
    </row>
    <row r="1730" customFormat="false" ht="15.75" hidden="false" customHeight="false" outlineLevel="0" collapsed="false">
      <c r="A1730" s="1" t="s">
        <v>705</v>
      </c>
      <c r="B1730" s="1" t="n">
        <v>303.15</v>
      </c>
      <c r="C1730" s="1" t="n">
        <f aca="false">1/B1730</f>
        <v>0.0032986970146792</v>
      </c>
      <c r="D1730" s="1" t="n">
        <v>1.6731</v>
      </c>
      <c r="E1730" s="1" t="n">
        <f aca="false">LN(D1730)</f>
        <v>0.514678193081481</v>
      </c>
    </row>
    <row r="1731" customFormat="false" ht="15.75" hidden="false" customHeight="false" outlineLevel="0" collapsed="false">
      <c r="A1731" s="1" t="s">
        <v>705</v>
      </c>
      <c r="B1731" s="1" t="n">
        <v>313.15</v>
      </c>
      <c r="C1731" s="1" t="n">
        <f aca="false">1/B1731</f>
        <v>0.00319335781574325</v>
      </c>
      <c r="D1731" s="1" t="n">
        <v>1.3153</v>
      </c>
      <c r="E1731" s="1" t="n">
        <f aca="false">LN(D1731)</f>
        <v>0.274064776492596</v>
      </c>
    </row>
    <row r="1732" customFormat="false" ht="15.75" hidden="false" customHeight="false" outlineLevel="0" collapsed="false">
      <c r="A1732" s="1" t="s">
        <v>705</v>
      </c>
      <c r="B1732" s="1" t="n">
        <v>333.15</v>
      </c>
      <c r="C1732" s="1" t="n">
        <f aca="false">1/B1732</f>
        <v>0.0030016509079994</v>
      </c>
      <c r="D1732" s="1" t="n">
        <v>0.8784</v>
      </c>
      <c r="E1732" s="1" t="n">
        <f aca="false">LN(D1732)</f>
        <v>-0.129653208226871</v>
      </c>
    </row>
    <row r="1733" customFormat="false" ht="15.75" hidden="false" customHeight="false" outlineLevel="0" collapsed="false">
      <c r="A1733" s="1" t="s">
        <v>705</v>
      </c>
      <c r="B1733" s="1" t="n">
        <v>353.15</v>
      </c>
      <c r="C1733" s="1" t="n">
        <f aca="false">1/B1733</f>
        <v>0.00283165793572137</v>
      </c>
      <c r="D1733" s="1" t="n">
        <v>0.6238</v>
      </c>
      <c r="E1733" s="1" t="n">
        <f aca="false">LN(D1733)</f>
        <v>-0.471925474808434</v>
      </c>
    </row>
    <row r="1734" customFormat="false" ht="15.75" hidden="false" customHeight="false" outlineLevel="0" collapsed="false">
      <c r="A1734" s="1" t="s">
        <v>705</v>
      </c>
      <c r="B1734" s="1" t="n">
        <v>373.12</v>
      </c>
      <c r="C1734" s="1" t="n">
        <f aca="false">1/B1734</f>
        <v>0.00268010291595197</v>
      </c>
      <c r="D1734" s="1" t="n">
        <v>0.4742</v>
      </c>
      <c r="E1734" s="1" t="n">
        <f aca="false">LN(D1734)</f>
        <v>-0.746126105350832</v>
      </c>
    </row>
    <row r="1735" customFormat="false" ht="15.75" hidden="false" customHeight="false" outlineLevel="0" collapsed="false">
      <c r="A1735" s="1" t="s">
        <v>707</v>
      </c>
      <c r="B1735" s="1" t="n">
        <v>273.19</v>
      </c>
      <c r="C1735" s="1" t="n">
        <f aca="false">1/B1735</f>
        <v>0.00366045609282917</v>
      </c>
      <c r="D1735" s="1" t="n">
        <v>2.0599</v>
      </c>
      <c r="E1735" s="1" t="n">
        <f aca="false">LN(D1735)</f>
        <v>0.722657437933886</v>
      </c>
    </row>
    <row r="1736" customFormat="false" ht="15.75" hidden="false" customHeight="false" outlineLevel="0" collapsed="false">
      <c r="A1736" s="1" t="s">
        <v>707</v>
      </c>
      <c r="B1736" s="1" t="n">
        <v>283.15</v>
      </c>
      <c r="C1736" s="1" t="n">
        <f aca="false">1/B1736</f>
        <v>0.00353169698039908</v>
      </c>
      <c r="D1736" s="1" t="n">
        <v>1.6124</v>
      </c>
      <c r="E1736" s="1" t="n">
        <f aca="false">LN(D1736)</f>
        <v>0.477723752260874</v>
      </c>
    </row>
    <row r="1737" customFormat="false" ht="15.75" hidden="false" customHeight="false" outlineLevel="0" collapsed="false">
      <c r="A1737" s="1" t="s">
        <v>707</v>
      </c>
      <c r="B1737" s="1" t="n">
        <v>293.15</v>
      </c>
      <c r="C1737" s="1" t="n">
        <f aca="false">1/B1737</f>
        <v>0.00341122292341805</v>
      </c>
      <c r="D1737" s="1" t="n">
        <v>1.2997</v>
      </c>
      <c r="E1737" s="1" t="n">
        <f aca="false">LN(D1737)</f>
        <v>0.262133468605406</v>
      </c>
    </row>
    <row r="1738" customFormat="false" ht="15.75" hidden="false" customHeight="false" outlineLevel="0" collapsed="false">
      <c r="A1738" s="1" t="s">
        <v>707</v>
      </c>
      <c r="B1738" s="1" t="n">
        <v>303.15</v>
      </c>
      <c r="C1738" s="1" t="n">
        <f aca="false">1/B1738</f>
        <v>0.0032986970146792</v>
      </c>
      <c r="D1738" s="1" t="n">
        <v>1.0693</v>
      </c>
      <c r="E1738" s="1" t="n">
        <f aca="false">LN(D1738)</f>
        <v>0.0670042287804738</v>
      </c>
    </row>
    <row r="1739" customFormat="false" ht="15.75" hidden="false" customHeight="false" outlineLevel="0" collapsed="false">
      <c r="A1739" s="1" t="s">
        <v>707</v>
      </c>
      <c r="B1739" s="1" t="n">
        <v>313.15</v>
      </c>
      <c r="C1739" s="1" t="n">
        <f aca="false">1/B1739</f>
        <v>0.00319335781574325</v>
      </c>
      <c r="D1739" s="1" t="n">
        <v>0.8954</v>
      </c>
      <c r="E1739" s="1" t="n">
        <f aca="false">LN(D1739)</f>
        <v>-0.110484733175272</v>
      </c>
    </row>
    <row r="1740" customFormat="false" ht="15.75" hidden="false" customHeight="false" outlineLevel="0" collapsed="false">
      <c r="A1740" s="1" t="s">
        <v>707</v>
      </c>
      <c r="B1740" s="1" t="n">
        <v>333.15</v>
      </c>
      <c r="C1740" s="1" t="n">
        <f aca="false">1/B1740</f>
        <v>0.0030016509079994</v>
      </c>
      <c r="D1740" s="1" t="n">
        <v>0.6584</v>
      </c>
      <c r="E1740" s="1" t="n">
        <f aca="false">LN(D1740)</f>
        <v>-0.417942629619277</v>
      </c>
    </row>
    <row r="1741" customFormat="false" ht="15.75" hidden="false" customHeight="false" outlineLevel="0" collapsed="false">
      <c r="A1741" s="1" t="s">
        <v>707</v>
      </c>
      <c r="B1741" s="1" t="n">
        <v>353.15</v>
      </c>
      <c r="C1741" s="1" t="n">
        <f aca="false">1/B1741</f>
        <v>0.00283165793572137</v>
      </c>
      <c r="D1741" s="1" t="n">
        <v>0.5046</v>
      </c>
      <c r="E1741" s="1" t="n">
        <f aca="false">LN(D1741)</f>
        <v>-0.68398924277518</v>
      </c>
    </row>
    <row r="1742" customFormat="false" ht="15.75" hidden="false" customHeight="false" outlineLevel="0" collapsed="false">
      <c r="A1742" s="1" t="s">
        <v>707</v>
      </c>
      <c r="B1742" s="1" t="n">
        <v>373.2</v>
      </c>
      <c r="C1742" s="1" t="n">
        <f aca="false">1/B1742</f>
        <v>0.00267952840300107</v>
      </c>
      <c r="D1742" s="1" t="n">
        <v>0.4002</v>
      </c>
      <c r="E1742" s="1" t="n">
        <f aca="false">LN(D1742)</f>
        <v>-0.915790856832504</v>
      </c>
    </row>
    <row r="1743" customFormat="false" ht="15.75" hidden="false" customHeight="false" outlineLevel="0" collapsed="false">
      <c r="A1743" s="1" t="s">
        <v>709</v>
      </c>
      <c r="B1743" s="1" t="n">
        <v>273.2</v>
      </c>
      <c r="C1743" s="1" t="n">
        <f aca="false">1/B1743</f>
        <v>0.00366032210834553</v>
      </c>
      <c r="D1743" s="1" t="n">
        <v>4.6551</v>
      </c>
      <c r="E1743" s="1" t="n">
        <f aca="false">LN(D1743)</f>
        <v>1.53796339277541</v>
      </c>
    </row>
    <row r="1744" customFormat="false" ht="15.75" hidden="false" customHeight="false" outlineLevel="0" collapsed="false">
      <c r="A1744" s="1" t="s">
        <v>709</v>
      </c>
      <c r="B1744" s="1" t="n">
        <v>283.15</v>
      </c>
      <c r="C1744" s="1" t="n">
        <f aca="false">1/B1744</f>
        <v>0.00353169698039908</v>
      </c>
      <c r="D1744" s="1" t="n">
        <v>3.3593</v>
      </c>
      <c r="E1744" s="1" t="n">
        <f aca="false">LN(D1744)</f>
        <v>1.21173261893738</v>
      </c>
    </row>
    <row r="1745" customFormat="false" ht="15.75" hidden="false" customHeight="false" outlineLevel="0" collapsed="false">
      <c r="A1745" s="1" t="s">
        <v>709</v>
      </c>
      <c r="B1745" s="1" t="n">
        <v>303.15</v>
      </c>
      <c r="C1745" s="1" t="n">
        <f aca="false">1/B1745</f>
        <v>0.0032986970146792</v>
      </c>
      <c r="D1745" s="1" t="n">
        <v>1.9318</v>
      </c>
      <c r="E1745" s="1" t="n">
        <f aca="false">LN(D1745)</f>
        <v>0.658452210763058</v>
      </c>
    </row>
    <row r="1746" customFormat="false" ht="15.75" hidden="false" customHeight="false" outlineLevel="0" collapsed="false">
      <c r="A1746" s="1" t="s">
        <v>709</v>
      </c>
      <c r="B1746" s="1" t="n">
        <v>313.15</v>
      </c>
      <c r="C1746" s="1" t="n">
        <f aca="false">1/B1746</f>
        <v>0.00319335781574325</v>
      </c>
      <c r="D1746" s="1" t="n">
        <v>1.5244</v>
      </c>
      <c r="E1746" s="1" t="n">
        <f aca="false">LN(D1746)</f>
        <v>0.421600890017568</v>
      </c>
    </row>
    <row r="1747" customFormat="false" ht="15.75" hidden="false" customHeight="false" outlineLevel="0" collapsed="false">
      <c r="A1747" s="1" t="s">
        <v>709</v>
      </c>
      <c r="B1747" s="1" t="n">
        <v>353.15</v>
      </c>
      <c r="C1747" s="1" t="n">
        <f aca="false">1/B1747</f>
        <v>0.00283165793572137</v>
      </c>
      <c r="D1747" s="1" t="n">
        <v>0.7178</v>
      </c>
      <c r="E1747" s="1" t="n">
        <f aca="false">LN(D1747)</f>
        <v>-0.33156430026863</v>
      </c>
    </row>
    <row r="1748" customFormat="false" ht="15.75" hidden="false" customHeight="false" outlineLevel="0" collapsed="false">
      <c r="A1748" s="1" t="s">
        <v>709</v>
      </c>
      <c r="B1748" s="1" t="n">
        <v>373.5</v>
      </c>
      <c r="C1748" s="1" t="n">
        <f aca="false">1/B1748</f>
        <v>0.00267737617135207</v>
      </c>
      <c r="D1748" s="1" t="n">
        <v>0.5221</v>
      </c>
      <c r="E1748" s="1" t="n">
        <f aca="false">LN(D1748)</f>
        <v>-0.64989613856563</v>
      </c>
    </row>
    <row r="1749" customFormat="false" ht="15.75" hidden="false" customHeight="false" outlineLevel="0" collapsed="false">
      <c r="A1749" s="1" t="s">
        <v>709</v>
      </c>
      <c r="B1749" s="1" t="n">
        <v>293.15</v>
      </c>
      <c r="C1749" s="1" t="n">
        <f aca="false">1/B1749</f>
        <v>0.00341122292341805</v>
      </c>
      <c r="D1749" s="1" t="n">
        <v>2.5088</v>
      </c>
      <c r="E1749" s="1" t="n">
        <f aca="false">LN(D1749)</f>
        <v>0.919804551173952</v>
      </c>
    </row>
    <row r="1750" customFormat="false" ht="15.75" hidden="false" customHeight="false" outlineLevel="0" collapsed="false">
      <c r="A1750" s="1" t="s">
        <v>709</v>
      </c>
      <c r="B1750" s="1" t="n">
        <v>333.15</v>
      </c>
      <c r="C1750" s="1" t="n">
        <f aca="false">1/B1750</f>
        <v>0.0030016509079994</v>
      </c>
      <c r="D1750" s="1" t="n">
        <v>1.0168</v>
      </c>
      <c r="E1750" s="1" t="n">
        <f aca="false">LN(D1750)</f>
        <v>0.0166604408931072</v>
      </c>
    </row>
    <row r="1751" customFormat="false" ht="15.75" hidden="false" customHeight="false" outlineLevel="0" collapsed="false">
      <c r="A1751" s="1" t="s">
        <v>711</v>
      </c>
      <c r="B1751" s="1" t="n">
        <v>273.32</v>
      </c>
      <c r="C1751" s="1" t="n">
        <f aca="false">1/B1751</f>
        <v>0.00365871505927118</v>
      </c>
      <c r="D1751" s="1" t="n">
        <v>13.7608</v>
      </c>
      <c r="E1751" s="1" t="n">
        <f aca="false">LN(D1751)</f>
        <v>2.62182397035004</v>
      </c>
    </row>
    <row r="1752" customFormat="false" ht="15.75" hidden="false" customHeight="false" outlineLevel="0" collapsed="false">
      <c r="A1752" s="1" t="s">
        <v>711</v>
      </c>
      <c r="B1752" s="1" t="n">
        <v>283.15</v>
      </c>
      <c r="C1752" s="1" t="n">
        <f aca="false">1/B1752</f>
        <v>0.00353169698039908</v>
      </c>
      <c r="D1752" s="1" t="n">
        <v>9.0375</v>
      </c>
      <c r="E1752" s="1" t="n">
        <f aca="false">LN(D1752)</f>
        <v>2.20138258748488</v>
      </c>
    </row>
    <row r="1753" customFormat="false" ht="15.75" hidden="false" customHeight="false" outlineLevel="0" collapsed="false">
      <c r="A1753" s="1" t="s">
        <v>711</v>
      </c>
      <c r="B1753" s="1" t="n">
        <v>293.15</v>
      </c>
      <c r="C1753" s="1" t="n">
        <f aca="false">1/B1753</f>
        <v>0.00341122292341805</v>
      </c>
      <c r="D1753" s="1" t="n">
        <v>6.2004</v>
      </c>
      <c r="E1753" s="1" t="n">
        <f aca="false">LN(D1753)</f>
        <v>1.824613806099</v>
      </c>
    </row>
    <row r="1754" customFormat="false" ht="15.75" hidden="false" customHeight="false" outlineLevel="0" collapsed="false">
      <c r="A1754" s="1" t="s">
        <v>711</v>
      </c>
      <c r="B1754" s="1" t="n">
        <v>303.15</v>
      </c>
      <c r="C1754" s="1" t="n">
        <f aca="false">1/B1754</f>
        <v>0.0032986970146792</v>
      </c>
      <c r="D1754" s="1" t="n">
        <v>4.3783</v>
      </c>
      <c r="E1754" s="1" t="n">
        <f aca="false">LN(D1754)</f>
        <v>1.47666052119336</v>
      </c>
    </row>
    <row r="1755" customFormat="false" ht="15.75" hidden="false" customHeight="false" outlineLevel="0" collapsed="false">
      <c r="A1755" s="1" t="s">
        <v>711</v>
      </c>
      <c r="B1755" s="1" t="n">
        <v>313.15</v>
      </c>
      <c r="C1755" s="1" t="n">
        <f aca="false">1/B1755</f>
        <v>0.00319335781574325</v>
      </c>
      <c r="D1755" s="1" t="n">
        <v>3.2206</v>
      </c>
      <c r="E1755" s="1" t="n">
        <f aca="false">LN(D1755)</f>
        <v>1.16956767760176</v>
      </c>
    </row>
    <row r="1756" customFormat="false" ht="15.75" hidden="false" customHeight="false" outlineLevel="0" collapsed="false">
      <c r="A1756" s="1" t="s">
        <v>711</v>
      </c>
      <c r="B1756" s="1" t="n">
        <v>333.15</v>
      </c>
      <c r="C1756" s="1" t="n">
        <f aca="false">1/B1756</f>
        <v>0.0030016509079994</v>
      </c>
      <c r="D1756" s="1" t="n">
        <v>1.895</v>
      </c>
      <c r="E1756" s="1" t="n">
        <f aca="false">LN(D1756)</f>
        <v>0.63921883853439</v>
      </c>
    </row>
    <row r="1757" customFormat="false" ht="15.75" hidden="false" customHeight="false" outlineLevel="0" collapsed="false">
      <c r="A1757" s="1" t="s">
        <v>711</v>
      </c>
      <c r="B1757" s="1" t="n">
        <v>353.15</v>
      </c>
      <c r="C1757" s="1" t="n">
        <f aca="false">1/B1757</f>
        <v>0.00283165793572137</v>
      </c>
      <c r="D1757" s="1" t="n">
        <v>1.2164</v>
      </c>
      <c r="E1757" s="1" t="n">
        <f aca="false">LN(D1757)</f>
        <v>0.195895676821072</v>
      </c>
    </row>
    <row r="1758" customFormat="false" ht="15.75" hidden="false" customHeight="false" outlineLevel="0" collapsed="false">
      <c r="A1758" s="1" t="s">
        <v>711</v>
      </c>
      <c r="B1758" s="1" t="n">
        <v>373.22</v>
      </c>
      <c r="C1758" s="1" t="n">
        <f aca="false">1/B1758</f>
        <v>0.00267938481324688</v>
      </c>
      <c r="D1758" s="1" t="n">
        <v>0.8334</v>
      </c>
      <c r="E1758" s="1" t="n">
        <f aca="false">LN(D1758)</f>
        <v>-0.182241559993784</v>
      </c>
    </row>
    <row r="1759" customFormat="false" ht="15.75" hidden="false" customHeight="false" outlineLevel="0" collapsed="false">
      <c r="A1759" s="1" t="s">
        <v>70</v>
      </c>
      <c r="B1759" s="1" t="n">
        <v>303.15</v>
      </c>
      <c r="C1759" s="1" t="n">
        <f aca="false">1/B1759</f>
        <v>0.0032986970146792</v>
      </c>
      <c r="D1759" s="1" t="n">
        <v>1.355</v>
      </c>
      <c r="E1759" s="1" t="n">
        <f aca="false">LN(D1759)</f>
        <v>0.303801454331664</v>
      </c>
    </row>
    <row r="1760" customFormat="false" ht="15.75" hidden="false" customHeight="false" outlineLevel="0" collapsed="false">
      <c r="A1760" s="1" t="s">
        <v>70</v>
      </c>
      <c r="B1760" s="1" t="n">
        <v>313.15</v>
      </c>
      <c r="C1760" s="1" t="n">
        <f aca="false">1/B1760</f>
        <v>0.00319335781574325</v>
      </c>
      <c r="D1760" s="1" t="n">
        <v>1.154</v>
      </c>
      <c r="E1760" s="1" t="n">
        <f aca="false">LN(D1760)</f>
        <v>0.143234168085908</v>
      </c>
    </row>
    <row r="1761" customFormat="false" ht="15.75" hidden="false" customHeight="false" outlineLevel="0" collapsed="false">
      <c r="A1761" s="1" t="s">
        <v>70</v>
      </c>
      <c r="B1761" s="1" t="n">
        <v>333.15</v>
      </c>
      <c r="C1761" s="1" t="n">
        <f aca="false">1/B1761</f>
        <v>0.0030016509079994</v>
      </c>
      <c r="D1761" s="1" t="n">
        <v>0.877</v>
      </c>
      <c r="E1761" s="1" t="n">
        <f aca="false">LN(D1761)</f>
        <v>-0.131248286609954</v>
      </c>
    </row>
    <row r="1762" customFormat="false" ht="15.75" hidden="false" customHeight="false" outlineLevel="0" collapsed="false">
      <c r="A1762" s="1" t="s">
        <v>72</v>
      </c>
      <c r="B1762" s="1" t="n">
        <v>303.15</v>
      </c>
      <c r="C1762" s="1" t="n">
        <f aca="false">1/B1762</f>
        <v>0.0032986970146792</v>
      </c>
      <c r="D1762" s="1" t="n">
        <v>1.097</v>
      </c>
      <c r="E1762" s="1" t="n">
        <f aca="false">LN(D1762)</f>
        <v>0.0925791812930932</v>
      </c>
    </row>
    <row r="1763" customFormat="false" ht="15.75" hidden="false" customHeight="false" outlineLevel="0" collapsed="false">
      <c r="A1763" s="1" t="s">
        <v>72</v>
      </c>
      <c r="B1763" s="1" t="n">
        <v>313.15</v>
      </c>
      <c r="C1763" s="1" t="n">
        <f aca="false">1/B1763</f>
        <v>0.00319335781574325</v>
      </c>
      <c r="D1763" s="1" t="n">
        <v>0.943</v>
      </c>
      <c r="E1763" s="1" t="n">
        <f aca="false">LN(D1763)</f>
        <v>-0.0586889963486796</v>
      </c>
    </row>
    <row r="1764" customFormat="false" ht="15.75" hidden="false" customHeight="false" outlineLevel="0" collapsed="false">
      <c r="A1764" s="1" t="s">
        <v>72</v>
      </c>
      <c r="B1764" s="1" t="n">
        <v>333.15</v>
      </c>
      <c r="C1764" s="1" t="n">
        <f aca="false">1/B1764</f>
        <v>0.0030016509079994</v>
      </c>
      <c r="D1764" s="1" t="n">
        <v>0.737</v>
      </c>
      <c r="E1764" s="1" t="n">
        <f aca="false">LN(D1764)</f>
        <v>-0.3051673867928</v>
      </c>
    </row>
    <row r="1765" customFormat="false" ht="15.75" hidden="false" customHeight="false" outlineLevel="0" collapsed="false">
      <c r="A1765" s="1" t="s">
        <v>74</v>
      </c>
      <c r="B1765" s="1" t="n">
        <v>303.15</v>
      </c>
      <c r="C1765" s="1" t="n">
        <f aca="false">1/B1765</f>
        <v>0.0032986970146792</v>
      </c>
      <c r="D1765" s="1" t="n">
        <v>2.038</v>
      </c>
      <c r="E1765" s="1" t="n">
        <f aca="false">LN(D1765)</f>
        <v>0.711968934800533</v>
      </c>
    </row>
    <row r="1766" customFormat="false" ht="15.75" hidden="false" customHeight="false" outlineLevel="0" collapsed="false">
      <c r="A1766" s="1" t="s">
        <v>74</v>
      </c>
      <c r="B1766" s="1" t="n">
        <v>313.15</v>
      </c>
      <c r="C1766" s="1" t="n">
        <f aca="false">1/B1766</f>
        <v>0.00319335781574325</v>
      </c>
      <c r="D1766" s="1" t="n">
        <v>1.68</v>
      </c>
      <c r="E1766" s="1" t="n">
        <f aca="false">LN(D1766)</f>
        <v>0.518793793415168</v>
      </c>
    </row>
    <row r="1767" customFormat="false" ht="15.75" hidden="false" customHeight="false" outlineLevel="0" collapsed="false">
      <c r="A1767" s="1" t="s">
        <v>74</v>
      </c>
      <c r="B1767" s="1" t="n">
        <v>333.15</v>
      </c>
      <c r="C1767" s="1" t="n">
        <f aca="false">1/B1767</f>
        <v>0.0030016509079994</v>
      </c>
      <c r="D1767" s="1" t="n">
        <v>1.215</v>
      </c>
      <c r="E1767" s="1" t="n">
        <f aca="false">LN(D1767)</f>
        <v>0.194744076792512</v>
      </c>
    </row>
    <row r="1768" customFormat="false" ht="15.75" hidden="false" customHeight="false" outlineLevel="0" collapsed="false">
      <c r="A1768" s="1" t="s">
        <v>76</v>
      </c>
      <c r="B1768" s="1" t="n">
        <v>303.15</v>
      </c>
      <c r="C1768" s="1" t="n">
        <f aca="false">1/B1768</f>
        <v>0.0032986970146792</v>
      </c>
      <c r="D1768" s="1" t="n">
        <v>1.673</v>
      </c>
      <c r="E1768" s="1" t="n">
        <f aca="false">LN(D1768)</f>
        <v>0.514618422004687</v>
      </c>
    </row>
    <row r="1769" customFormat="false" ht="15.75" hidden="false" customHeight="false" outlineLevel="0" collapsed="false">
      <c r="A1769" s="1" t="s">
        <v>76</v>
      </c>
      <c r="B1769" s="1" t="n">
        <v>313.15</v>
      </c>
      <c r="C1769" s="1" t="n">
        <f aca="false">1/B1769</f>
        <v>0.00319335781574325</v>
      </c>
      <c r="D1769" s="1" t="n">
        <v>1.402</v>
      </c>
      <c r="E1769" s="1" t="n">
        <f aca="false">LN(D1769)</f>
        <v>0.337899788612398</v>
      </c>
    </row>
    <row r="1770" customFormat="false" ht="15.75" hidden="false" customHeight="false" outlineLevel="0" collapsed="false">
      <c r="A1770" s="1" t="s">
        <v>76</v>
      </c>
      <c r="B1770" s="1" t="n">
        <v>333.15</v>
      </c>
      <c r="C1770" s="1" t="n">
        <f aca="false">1/B1770</f>
        <v>0.0030016509079994</v>
      </c>
      <c r="D1770" s="1" t="n">
        <v>1.04</v>
      </c>
      <c r="E1770" s="1" t="n">
        <f aca="false">LN(D1770)</f>
        <v>0.0392207131532813</v>
      </c>
    </row>
    <row r="1771" customFormat="false" ht="15.75" hidden="false" customHeight="false" outlineLevel="0" collapsed="false">
      <c r="A1771" s="1" t="s">
        <v>78</v>
      </c>
      <c r="B1771" s="1" t="n">
        <v>303.15</v>
      </c>
      <c r="C1771" s="1" t="n">
        <f aca="false">1/B1771</f>
        <v>0.0032986970146792</v>
      </c>
      <c r="D1771" s="1" t="n">
        <v>0.925</v>
      </c>
      <c r="E1771" s="1" t="n">
        <f aca="false">LN(D1771)</f>
        <v>-0.0779615414697118</v>
      </c>
    </row>
    <row r="1772" customFormat="false" ht="15.75" hidden="false" customHeight="false" outlineLevel="0" collapsed="false">
      <c r="A1772" s="1" t="s">
        <v>78</v>
      </c>
      <c r="B1772" s="1" t="n">
        <v>313.15</v>
      </c>
      <c r="C1772" s="1" t="n">
        <f aca="false">1/B1772</f>
        <v>0.00319335781574325</v>
      </c>
      <c r="D1772" s="1" t="n">
        <v>0.81</v>
      </c>
      <c r="E1772" s="1" t="n">
        <f aca="false">LN(D1772)</f>
        <v>-0.210721031315653</v>
      </c>
    </row>
    <row r="1773" customFormat="false" ht="15.75" hidden="false" customHeight="false" outlineLevel="0" collapsed="false">
      <c r="A1773" s="1" t="s">
        <v>78</v>
      </c>
      <c r="B1773" s="1" t="n">
        <v>333.15</v>
      </c>
      <c r="C1773" s="1" t="n">
        <f aca="false">1/B1773</f>
        <v>0.0030016509079994</v>
      </c>
      <c r="D1773" s="1" t="n">
        <v>0.646</v>
      </c>
      <c r="E1773" s="1" t="n">
        <f aca="false">LN(D1773)</f>
        <v>-0.436955775199535</v>
      </c>
    </row>
    <row r="1774" customFormat="false" ht="15.75" hidden="false" customHeight="false" outlineLevel="0" collapsed="false">
      <c r="A1774" s="1" t="s">
        <v>80</v>
      </c>
      <c r="B1774" s="1" t="n">
        <v>303.15</v>
      </c>
      <c r="C1774" s="1" t="n">
        <f aca="false">1/B1774</f>
        <v>0.0032986970146792</v>
      </c>
      <c r="D1774" s="1" t="n">
        <v>1.292</v>
      </c>
      <c r="E1774" s="1" t="n">
        <f aca="false">LN(D1774)</f>
        <v>0.25619140536041</v>
      </c>
    </row>
    <row r="1775" customFormat="false" ht="15.75" hidden="false" customHeight="false" outlineLevel="0" collapsed="false">
      <c r="A1775" s="1" t="s">
        <v>80</v>
      </c>
      <c r="B1775" s="1" t="n">
        <v>313.15</v>
      </c>
      <c r="C1775" s="1" t="n">
        <f aca="false">1/B1775</f>
        <v>0.00319335781574325</v>
      </c>
      <c r="D1775" s="1" t="n">
        <v>1.107</v>
      </c>
      <c r="E1775" s="1" t="n">
        <f aca="false">LN(D1775)</f>
        <v>0.1016536537265</v>
      </c>
    </row>
    <row r="1776" customFormat="false" ht="15.75" hidden="false" customHeight="false" outlineLevel="0" collapsed="false">
      <c r="A1776" s="1" t="s">
        <v>80</v>
      </c>
      <c r="B1776" s="1" t="n">
        <v>333.15</v>
      </c>
      <c r="C1776" s="1" t="n">
        <f aca="false">1/B1776</f>
        <v>0.0030016509079994</v>
      </c>
      <c r="D1776" s="1" t="n">
        <v>0.849</v>
      </c>
      <c r="E1776" s="1" t="n">
        <f aca="false">LN(D1776)</f>
        <v>-0.16369609267079</v>
      </c>
    </row>
    <row r="1777" customFormat="false" ht="15.75" hidden="false" customHeight="false" outlineLevel="0" collapsed="false">
      <c r="A1777" s="1" t="s">
        <v>82</v>
      </c>
      <c r="B1777" s="1" t="n">
        <v>303.15</v>
      </c>
      <c r="C1777" s="1" t="n">
        <f aca="false">1/B1777</f>
        <v>0.0032986970146792</v>
      </c>
      <c r="D1777" s="1" t="n">
        <v>0.996</v>
      </c>
      <c r="E1777" s="1" t="n">
        <f aca="false">LN(D1777)</f>
        <v>-0.00400802139753882</v>
      </c>
    </row>
    <row r="1778" customFormat="false" ht="15.75" hidden="false" customHeight="false" outlineLevel="0" collapsed="false">
      <c r="A1778" s="1" t="s">
        <v>82</v>
      </c>
      <c r="B1778" s="1" t="n">
        <v>313.15</v>
      </c>
      <c r="C1778" s="1" t="n">
        <f aca="false">1/B1778</f>
        <v>0.00319335781574325</v>
      </c>
      <c r="D1778" s="1" t="n">
        <v>0.869</v>
      </c>
      <c r="E1778" s="1" t="n">
        <f aca="false">LN(D1778)</f>
        <v>-0.140412153716745</v>
      </c>
    </row>
    <row r="1779" customFormat="false" ht="15.75" hidden="false" customHeight="false" outlineLevel="0" collapsed="false">
      <c r="A1779" s="1" t="s">
        <v>82</v>
      </c>
      <c r="B1779" s="1" t="n">
        <v>333.15</v>
      </c>
      <c r="C1779" s="1" t="n">
        <f aca="false">1/B1779</f>
        <v>0.0030016509079994</v>
      </c>
      <c r="D1779" s="1" t="n">
        <v>0.69</v>
      </c>
      <c r="E1779" s="1" t="n">
        <f aca="false">LN(D1779)</f>
        <v>-0.371063681390832</v>
      </c>
    </row>
    <row r="1780" customFormat="false" ht="15.75" hidden="false" customHeight="false" outlineLevel="0" collapsed="false">
      <c r="A1780" s="1" t="s">
        <v>84</v>
      </c>
      <c r="B1780" s="1" t="n">
        <v>303.15</v>
      </c>
      <c r="C1780" s="1" t="n">
        <f aca="false">1/B1780</f>
        <v>0.0032986970146792</v>
      </c>
      <c r="D1780" s="1" t="n">
        <v>1.915</v>
      </c>
      <c r="E1780" s="1" t="n">
        <f aca="false">LN(D1780)</f>
        <v>0.649717622632609</v>
      </c>
    </row>
    <row r="1781" customFormat="false" ht="15.75" hidden="false" customHeight="false" outlineLevel="0" collapsed="false">
      <c r="A1781" s="1" t="s">
        <v>84</v>
      </c>
      <c r="B1781" s="1" t="n">
        <v>313.15</v>
      </c>
      <c r="C1781" s="1" t="n">
        <f aca="false">1/B1781</f>
        <v>0.00319335781574325</v>
      </c>
      <c r="D1781" s="1" t="n">
        <v>1.595</v>
      </c>
      <c r="E1781" s="1" t="n">
        <f aca="false">LN(D1781)</f>
        <v>0.466873736236808</v>
      </c>
    </row>
    <row r="1782" customFormat="false" ht="15.75" hidden="false" customHeight="false" outlineLevel="0" collapsed="false">
      <c r="A1782" s="1" t="s">
        <v>84</v>
      </c>
      <c r="B1782" s="1" t="n">
        <v>333.15</v>
      </c>
      <c r="C1782" s="1" t="n">
        <f aca="false">1/B1782</f>
        <v>0.0030016509079994</v>
      </c>
      <c r="D1782" s="1" t="n">
        <v>1.168</v>
      </c>
      <c r="E1782" s="1" t="n">
        <f aca="false">LN(D1782)</f>
        <v>0.155292884406035</v>
      </c>
    </row>
    <row r="1783" customFormat="false" ht="15.75" hidden="false" customHeight="false" outlineLevel="0" collapsed="false">
      <c r="A1783" s="1" t="s">
        <v>86</v>
      </c>
      <c r="B1783" s="1" t="n">
        <v>303.15</v>
      </c>
      <c r="C1783" s="1" t="n">
        <f aca="false">1/B1783</f>
        <v>0.0032986970146792</v>
      </c>
      <c r="D1783" s="1" t="n">
        <v>1.536</v>
      </c>
      <c r="E1783" s="1" t="n">
        <f aca="false">LN(D1783)</f>
        <v>0.42918163472548</v>
      </c>
    </row>
    <row r="1784" customFormat="false" ht="15.75" hidden="false" customHeight="false" outlineLevel="0" collapsed="false">
      <c r="A1784" s="1" t="s">
        <v>86</v>
      </c>
      <c r="B1784" s="1" t="n">
        <v>313.15</v>
      </c>
      <c r="C1784" s="1" t="n">
        <f aca="false">1/B1784</f>
        <v>0.00319335781574325</v>
      </c>
      <c r="D1784" s="1" t="n">
        <v>1.301</v>
      </c>
      <c r="E1784" s="1" t="n">
        <f aca="false">LN(D1784)</f>
        <v>0.263133199530368</v>
      </c>
    </row>
    <row r="1785" customFormat="false" ht="15.75" hidden="false" customHeight="false" outlineLevel="0" collapsed="false">
      <c r="A1785" s="1" t="s">
        <v>86</v>
      </c>
      <c r="B1785" s="1" t="n">
        <v>333.15</v>
      </c>
      <c r="C1785" s="1" t="n">
        <f aca="false">1/B1785</f>
        <v>0.0030016509079994</v>
      </c>
      <c r="D1785" s="1" t="n">
        <v>0.984</v>
      </c>
      <c r="E1785" s="1" t="n">
        <f aca="false">LN(D1785)</f>
        <v>-0.0161293819298836</v>
      </c>
    </row>
    <row r="1786" customFormat="false" ht="15.75" hidden="false" customHeight="false" outlineLevel="0" collapsed="false">
      <c r="A1786" s="1" t="s">
        <v>713</v>
      </c>
      <c r="B1786" s="1" t="n">
        <v>363.15</v>
      </c>
      <c r="C1786" s="1" t="n">
        <f aca="false">1/B1786</f>
        <v>0.00275368305108082</v>
      </c>
      <c r="D1786" s="1" t="n">
        <v>4.139</v>
      </c>
      <c r="E1786" s="1" t="n">
        <f aca="false">LN(D1786)</f>
        <v>1.4204542127666</v>
      </c>
    </row>
    <row r="1787" customFormat="false" ht="15.75" hidden="false" customHeight="false" outlineLevel="0" collapsed="false">
      <c r="A1787" s="1" t="s">
        <v>713</v>
      </c>
      <c r="B1787" s="1" t="n">
        <v>365.15</v>
      </c>
      <c r="C1787" s="1" t="n">
        <f aca="false">1/B1787</f>
        <v>0.00273860057510612</v>
      </c>
      <c r="D1787" s="1" t="n">
        <v>3.988</v>
      </c>
      <c r="E1787" s="1" t="n">
        <f aca="false">LN(D1787)</f>
        <v>1.38328985209959</v>
      </c>
    </row>
    <row r="1788" customFormat="false" ht="15.75" hidden="false" customHeight="false" outlineLevel="0" collapsed="false">
      <c r="A1788" s="1" t="s">
        <v>713</v>
      </c>
      <c r="B1788" s="1" t="n">
        <v>367.15</v>
      </c>
      <c r="C1788" s="1" t="n">
        <f aca="false">1/B1788</f>
        <v>0.00272368241862999</v>
      </c>
      <c r="D1788" s="1" t="n">
        <v>3.73</v>
      </c>
      <c r="E1788" s="1" t="n">
        <f aca="false">LN(D1788)</f>
        <v>1.31640823365572</v>
      </c>
    </row>
    <row r="1789" customFormat="false" ht="15.75" hidden="false" customHeight="false" outlineLevel="0" collapsed="false">
      <c r="A1789" s="1" t="s">
        <v>713</v>
      </c>
      <c r="B1789" s="1" t="n">
        <v>369.15</v>
      </c>
      <c r="C1789" s="1" t="n">
        <f aca="false">1/B1789</f>
        <v>0.00270892591087634</v>
      </c>
      <c r="D1789" s="1" t="n">
        <v>3.581</v>
      </c>
      <c r="E1789" s="1" t="n">
        <f aca="false">LN(D1789)</f>
        <v>1.2756420910163</v>
      </c>
    </row>
    <row r="1790" customFormat="false" ht="15.75" hidden="false" customHeight="false" outlineLevel="0" collapsed="false">
      <c r="A1790" s="1" t="s">
        <v>713</v>
      </c>
      <c r="B1790" s="1" t="n">
        <v>373.15</v>
      </c>
      <c r="C1790" s="1" t="n">
        <f aca="false">1/B1790</f>
        <v>0.00267988744472732</v>
      </c>
      <c r="D1790" s="1" t="n">
        <v>3.261</v>
      </c>
      <c r="E1790" s="1" t="n">
        <f aca="false">LN(D1790)</f>
        <v>1.18203389680718</v>
      </c>
    </row>
    <row r="1791" customFormat="false" ht="15.75" hidden="false" customHeight="false" outlineLevel="0" collapsed="false">
      <c r="A1791" s="1" t="s">
        <v>713</v>
      </c>
      <c r="B1791" s="1" t="n">
        <v>375.15</v>
      </c>
      <c r="C1791" s="1" t="n">
        <f aca="false">1/B1791</f>
        <v>0.00266560042649607</v>
      </c>
      <c r="D1791" s="1" t="n">
        <v>3.137</v>
      </c>
      <c r="E1791" s="1" t="n">
        <f aca="false">LN(D1791)</f>
        <v>1.14326692920854</v>
      </c>
    </row>
    <row r="1792" customFormat="false" ht="15.75" hidden="false" customHeight="false" outlineLevel="0" collapsed="false">
      <c r="A1792" s="1" t="s">
        <v>713</v>
      </c>
      <c r="B1792" s="1" t="n">
        <v>377.15</v>
      </c>
      <c r="C1792" s="1" t="n">
        <f aca="false">1/B1792</f>
        <v>0.00265146493437624</v>
      </c>
      <c r="D1792" s="1" t="n">
        <v>3.006</v>
      </c>
      <c r="E1792" s="1" t="n">
        <f aca="false">LN(D1792)</f>
        <v>1.10061029133078</v>
      </c>
    </row>
    <row r="1793" customFormat="false" ht="15.75" hidden="false" customHeight="false" outlineLevel="0" collapsed="false">
      <c r="A1793" s="1" t="s">
        <v>713</v>
      </c>
      <c r="B1793" s="1" t="n">
        <v>379.15</v>
      </c>
      <c r="C1793" s="1" t="n">
        <f aca="false">1/B1793</f>
        <v>0.00263747857048661</v>
      </c>
      <c r="D1793" s="1" t="n">
        <v>2.872</v>
      </c>
      <c r="E1793" s="1" t="n">
        <f aca="false">LN(D1793)</f>
        <v>1.05500865118598</v>
      </c>
    </row>
    <row r="1794" customFormat="false" ht="15.75" hidden="false" customHeight="false" outlineLevel="0" collapsed="false">
      <c r="A1794" s="1" t="s">
        <v>713</v>
      </c>
      <c r="B1794" s="1" t="n">
        <v>383.15</v>
      </c>
      <c r="C1794" s="1" t="n">
        <f aca="false">1/B1794</f>
        <v>0.00260994388620645</v>
      </c>
      <c r="D1794" s="1" t="n">
        <v>2.667</v>
      </c>
      <c r="E1794" s="1" t="n">
        <f aca="false">LN(D1794)</f>
        <v>0.980954245199877</v>
      </c>
    </row>
    <row r="1795" customFormat="false" ht="15.75" hidden="false" customHeight="false" outlineLevel="0" collapsed="false">
      <c r="A1795" s="1" t="s">
        <v>713</v>
      </c>
      <c r="B1795" s="1" t="n">
        <v>388.15</v>
      </c>
      <c r="C1795" s="1" t="n">
        <f aca="false">1/B1795</f>
        <v>0.00257632358624243</v>
      </c>
      <c r="D1795" s="1" t="n">
        <v>2.428</v>
      </c>
      <c r="E1795" s="1" t="n">
        <f aca="false">LN(D1795)</f>
        <v>0.887067873197252</v>
      </c>
    </row>
    <row r="1796" customFormat="false" ht="15.75" hidden="false" customHeight="false" outlineLevel="0" collapsed="false">
      <c r="A1796" s="1" t="s">
        <v>713</v>
      </c>
      <c r="B1796" s="1" t="n">
        <v>393.15</v>
      </c>
      <c r="C1796" s="1" t="n">
        <f aca="false">1/B1796</f>
        <v>0.00254355843825512</v>
      </c>
      <c r="D1796" s="1" t="n">
        <v>2.206</v>
      </c>
      <c r="E1796" s="1" t="n">
        <f aca="false">LN(D1796)</f>
        <v>0.791180920831311</v>
      </c>
    </row>
    <row r="1797" customFormat="false" ht="15.75" hidden="false" customHeight="false" outlineLevel="0" collapsed="false">
      <c r="A1797" s="1" t="s">
        <v>713</v>
      </c>
      <c r="B1797" s="1" t="n">
        <v>398.15</v>
      </c>
      <c r="C1797" s="1" t="n">
        <f aca="false">1/B1797</f>
        <v>0.00251161622504081</v>
      </c>
      <c r="D1797" s="1" t="n">
        <v>2.017</v>
      </c>
      <c r="E1797" s="1" t="n">
        <f aca="false">LN(D1797)</f>
        <v>0.701611258972075</v>
      </c>
    </row>
    <row r="1798" customFormat="false" ht="15.75" hidden="false" customHeight="false" outlineLevel="0" collapsed="false">
      <c r="A1798" s="1" t="s">
        <v>713</v>
      </c>
      <c r="B1798" s="1" t="n">
        <v>371.15</v>
      </c>
      <c r="C1798" s="1" t="n">
        <f aca="false">1/B1798</f>
        <v>0.00269432843863667</v>
      </c>
      <c r="D1798" s="1" t="n">
        <v>3.423</v>
      </c>
      <c r="E1798" s="1" t="n">
        <f aca="false">LN(D1798)</f>
        <v>1.23051735954805</v>
      </c>
    </row>
    <row r="1799" customFormat="false" ht="15.75" hidden="false" customHeight="false" outlineLevel="0" collapsed="false">
      <c r="A1799" s="1" t="s">
        <v>713</v>
      </c>
      <c r="B1799" s="1" t="n">
        <v>381.15</v>
      </c>
      <c r="C1799" s="1" t="n">
        <f aca="false">1/B1799</f>
        <v>0.00262363898727535</v>
      </c>
      <c r="D1799" s="1" t="n">
        <v>2.761</v>
      </c>
      <c r="E1799" s="1" t="n">
        <f aca="false">LN(D1799)</f>
        <v>1.01559293294802</v>
      </c>
    </row>
    <row r="1800" customFormat="false" ht="15.75" hidden="false" customHeight="false" outlineLevel="0" collapsed="false">
      <c r="A1800" s="1" t="s">
        <v>715</v>
      </c>
      <c r="B1800" s="1" t="n">
        <v>293.15</v>
      </c>
      <c r="C1800" s="1" t="n">
        <f aca="false">1/B1800</f>
        <v>0.00341122292341805</v>
      </c>
      <c r="D1800" s="1" t="n">
        <v>2.3326</v>
      </c>
      <c r="E1800" s="1" t="n">
        <f aca="false">LN(D1800)</f>
        <v>0.846983525274812</v>
      </c>
    </row>
    <row r="1801" customFormat="false" ht="15.75" hidden="false" customHeight="false" outlineLevel="0" collapsed="false">
      <c r="A1801" s="1" t="s">
        <v>715</v>
      </c>
      <c r="B1801" s="1" t="n">
        <v>303.15</v>
      </c>
      <c r="C1801" s="1" t="n">
        <f aca="false">1/B1801</f>
        <v>0.0032986970146792</v>
      </c>
      <c r="D1801" s="1" t="n">
        <v>1.9066</v>
      </c>
      <c r="E1801" s="1" t="n">
        <f aca="false">LN(D1801)</f>
        <v>0.645321551077341</v>
      </c>
    </row>
    <row r="1802" customFormat="false" ht="15.75" hidden="false" customHeight="false" outlineLevel="0" collapsed="false">
      <c r="A1802" s="1" t="s">
        <v>715</v>
      </c>
      <c r="B1802" s="1" t="n">
        <v>313.15</v>
      </c>
      <c r="C1802" s="1" t="n">
        <f aca="false">1/B1802</f>
        <v>0.00319335781574325</v>
      </c>
      <c r="D1802" s="1" t="n">
        <v>1.5972</v>
      </c>
      <c r="E1802" s="1" t="n">
        <f aca="false">LN(D1802)</f>
        <v>0.468252096206929</v>
      </c>
    </row>
    <row r="1803" customFormat="false" ht="15.75" hidden="false" customHeight="false" outlineLevel="0" collapsed="false">
      <c r="A1803" s="1" t="s">
        <v>715</v>
      </c>
      <c r="B1803" s="1" t="n">
        <v>333.15</v>
      </c>
      <c r="C1803" s="1" t="n">
        <f aca="false">1/B1803</f>
        <v>0.0030016509079994</v>
      </c>
      <c r="D1803" s="1" t="n">
        <v>1.1818</v>
      </c>
      <c r="E1803" s="1" t="n">
        <f aca="false">LN(D1803)</f>
        <v>0.167038699929437</v>
      </c>
    </row>
    <row r="1804" customFormat="false" ht="15.75" hidden="false" customHeight="false" outlineLevel="0" collapsed="false">
      <c r="A1804" s="1" t="s">
        <v>715</v>
      </c>
      <c r="B1804" s="1" t="n">
        <v>353.15</v>
      </c>
      <c r="C1804" s="1" t="n">
        <f aca="false">1/B1804</f>
        <v>0.00283165793572137</v>
      </c>
      <c r="D1804" s="1" t="n">
        <v>0.9212</v>
      </c>
      <c r="E1804" s="1" t="n">
        <f aca="false">LN(D1804)</f>
        <v>-0.0820781110356069</v>
      </c>
    </row>
    <row r="1805" customFormat="false" ht="15.75" hidden="false" customHeight="false" outlineLevel="0" collapsed="false">
      <c r="A1805" s="1" t="s">
        <v>1434</v>
      </c>
      <c r="B1805" s="1" t="n">
        <v>298.15</v>
      </c>
      <c r="C1805" s="1" t="n">
        <f aca="false">1/B1805</f>
        <v>0.00335401643468053</v>
      </c>
      <c r="D1805" s="1" t="n">
        <v>14.7</v>
      </c>
      <c r="E1805" s="1" t="n">
        <f aca="false">LN(D1805)</f>
        <v>2.68784749378469</v>
      </c>
    </row>
    <row r="1806" customFormat="false" ht="15.75" hidden="false" customHeight="false" outlineLevel="0" collapsed="false">
      <c r="A1806" s="1" t="s">
        <v>1434</v>
      </c>
      <c r="B1806" s="1" t="n">
        <v>313.15</v>
      </c>
      <c r="C1806" s="1" t="n">
        <f aca="false">1/B1806</f>
        <v>0.00319335781574325</v>
      </c>
      <c r="D1806" s="1" t="n">
        <v>9.3</v>
      </c>
      <c r="E1806" s="1" t="n">
        <f aca="false">LN(D1806)</f>
        <v>2.23001440015921</v>
      </c>
    </row>
    <row r="1807" customFormat="false" ht="15.75" hidden="false" customHeight="false" outlineLevel="0" collapsed="false">
      <c r="A1807" s="1" t="s">
        <v>717</v>
      </c>
      <c r="B1807" s="1" t="n">
        <v>293.25</v>
      </c>
      <c r="C1807" s="1" t="n">
        <f aca="false">1/B1807</f>
        <v>0.00341005967604433</v>
      </c>
      <c r="D1807" s="1" t="n">
        <v>5.342</v>
      </c>
      <c r="E1807" s="1" t="n">
        <f aca="false">LN(D1807)</f>
        <v>1.67560011468777</v>
      </c>
    </row>
    <row r="1808" customFormat="false" ht="15.75" hidden="false" customHeight="false" outlineLevel="0" collapsed="false">
      <c r="A1808" s="1" t="s">
        <v>717</v>
      </c>
      <c r="B1808" s="1" t="n">
        <v>302.95</v>
      </c>
      <c r="C1808" s="1" t="n">
        <f aca="false">1/B1808</f>
        <v>0.00330087473180393</v>
      </c>
      <c r="D1808" s="1" t="n">
        <v>3.297</v>
      </c>
      <c r="E1808" s="1" t="n">
        <f aca="false">LN(D1808)</f>
        <v>1.19301296408959</v>
      </c>
    </row>
    <row r="1809" customFormat="false" ht="15.75" hidden="false" customHeight="false" outlineLevel="0" collapsed="false">
      <c r="A1809" s="1" t="s">
        <v>717</v>
      </c>
      <c r="B1809" s="1" t="n">
        <v>310.05</v>
      </c>
      <c r="C1809" s="1" t="n">
        <f aca="false">1/B1809</f>
        <v>0.00322528624415417</v>
      </c>
      <c r="D1809" s="1" t="n">
        <v>2.428</v>
      </c>
      <c r="E1809" s="1" t="n">
        <f aca="false">LN(D1809)</f>
        <v>0.887067873197252</v>
      </c>
    </row>
    <row r="1810" customFormat="false" ht="15.75" hidden="false" customHeight="false" outlineLevel="0" collapsed="false">
      <c r="A1810" s="1" t="s">
        <v>717</v>
      </c>
      <c r="B1810" s="1" t="n">
        <v>320.35</v>
      </c>
      <c r="C1810" s="1" t="n">
        <f aca="false">1/B1810</f>
        <v>0.00312158576556891</v>
      </c>
      <c r="D1810" s="1" t="n">
        <v>1.624</v>
      </c>
      <c r="E1810" s="1" t="n">
        <f aca="false">LN(D1810)</f>
        <v>0.484892241739486</v>
      </c>
    </row>
    <row r="1811" customFormat="false" ht="15.75" hidden="false" customHeight="false" outlineLevel="0" collapsed="false">
      <c r="A1811" s="1" t="s">
        <v>717</v>
      </c>
      <c r="B1811" s="1" t="n">
        <v>328.25</v>
      </c>
      <c r="C1811" s="1" t="n">
        <f aca="false">1/B1811</f>
        <v>0.00304645849200305</v>
      </c>
      <c r="D1811" s="1" t="n">
        <v>1.242</v>
      </c>
      <c r="E1811" s="1" t="n">
        <f aca="false">LN(D1811)</f>
        <v>0.216722983511287</v>
      </c>
    </row>
    <row r="1812" customFormat="false" ht="15.75" hidden="false" customHeight="false" outlineLevel="0" collapsed="false">
      <c r="A1812" s="1" t="s">
        <v>717</v>
      </c>
      <c r="B1812" s="1" t="n">
        <v>344.25</v>
      </c>
      <c r="C1812" s="1" t="n">
        <f aca="false">1/B1812</f>
        <v>0.00290486564996369</v>
      </c>
      <c r="D1812" s="1" t="n">
        <v>0.799</v>
      </c>
      <c r="E1812" s="1" t="n">
        <f aca="false">LN(D1812)</f>
        <v>-0.224394333215862</v>
      </c>
    </row>
    <row r="1813" customFormat="false" ht="15.75" hidden="false" customHeight="false" outlineLevel="0" collapsed="false">
      <c r="A1813" s="1" t="s">
        <v>717</v>
      </c>
      <c r="B1813" s="1" t="n">
        <v>352.65</v>
      </c>
      <c r="C1813" s="1" t="n">
        <f aca="false">1/B1813</f>
        <v>0.00283567276336311</v>
      </c>
      <c r="D1813" s="1" t="n">
        <v>0.653</v>
      </c>
      <c r="E1813" s="1" t="n">
        <f aca="false">LN(D1813)</f>
        <v>-0.426178149705706</v>
      </c>
    </row>
    <row r="1814" customFormat="false" ht="15.75" hidden="false" customHeight="false" outlineLevel="0" collapsed="false">
      <c r="A1814" s="1" t="s">
        <v>717</v>
      </c>
      <c r="B1814" s="1" t="n">
        <v>361.55</v>
      </c>
      <c r="C1814" s="1" t="n">
        <f aca="false">1/B1814</f>
        <v>0.00276586917438805</v>
      </c>
      <c r="D1814" s="1" t="n">
        <v>0.542</v>
      </c>
      <c r="E1814" s="1" t="n">
        <f aca="false">LN(D1814)</f>
        <v>-0.612489277542491</v>
      </c>
    </row>
    <row r="1815" customFormat="false" ht="15.75" hidden="false" customHeight="false" outlineLevel="0" collapsed="false">
      <c r="A1815" s="1" t="s">
        <v>717</v>
      </c>
      <c r="B1815" s="1" t="n">
        <v>382.15</v>
      </c>
      <c r="C1815" s="1" t="n">
        <f aca="false">1/B1815</f>
        <v>0.002616773518252</v>
      </c>
      <c r="D1815" s="1" t="n">
        <v>0.375</v>
      </c>
      <c r="E1815" s="1" t="n">
        <f aca="false">LN(D1815)</f>
        <v>-0.980829253011726</v>
      </c>
    </row>
    <row r="1816" customFormat="false" ht="15.75" hidden="false" customHeight="false" outlineLevel="0" collapsed="false">
      <c r="A1816" s="1" t="s">
        <v>719</v>
      </c>
      <c r="B1816" s="1" t="n">
        <v>273.614</v>
      </c>
      <c r="C1816" s="1" t="n">
        <f aca="false">1/B1816</f>
        <v>0.00365478374644572</v>
      </c>
      <c r="D1816" s="1" t="n">
        <v>0.5914</v>
      </c>
      <c r="E1816" s="1" t="n">
        <f aca="false">LN(D1816)</f>
        <v>-0.52526267156376</v>
      </c>
    </row>
    <row r="1817" customFormat="false" ht="15.75" hidden="false" customHeight="false" outlineLevel="0" collapsed="false">
      <c r="A1817" s="1" t="s">
        <v>719</v>
      </c>
      <c r="B1817" s="1" t="n">
        <v>282.25</v>
      </c>
      <c r="C1817" s="1" t="n">
        <f aca="false">1/B1817</f>
        <v>0.00354295837023915</v>
      </c>
      <c r="D1817" s="1" t="n">
        <v>0.5302</v>
      </c>
      <c r="E1817" s="1" t="n">
        <f aca="false">LN(D1817)</f>
        <v>-0.634500985127212</v>
      </c>
    </row>
    <row r="1818" customFormat="false" ht="15.75" hidden="false" customHeight="false" outlineLevel="0" collapsed="false">
      <c r="A1818" s="1" t="s">
        <v>719</v>
      </c>
      <c r="B1818" s="1" t="n">
        <v>291.85</v>
      </c>
      <c r="C1818" s="1" t="n">
        <f aca="false">1/B1818</f>
        <v>0.00342641768031523</v>
      </c>
      <c r="D1818" s="1" t="n">
        <v>0.4748</v>
      </c>
      <c r="E1818" s="1" t="n">
        <f aca="false">LN(D1818)</f>
        <v>-0.744861616246624</v>
      </c>
    </row>
    <row r="1819" customFormat="false" ht="15.75" hidden="false" customHeight="false" outlineLevel="0" collapsed="false">
      <c r="A1819" s="1" t="s">
        <v>719</v>
      </c>
      <c r="B1819" s="1" t="n">
        <v>300.22</v>
      </c>
      <c r="C1819" s="1" t="n">
        <f aca="false">1/B1819</f>
        <v>0.00333089068016788</v>
      </c>
      <c r="D1819" s="1" t="n">
        <v>0.4328</v>
      </c>
      <c r="E1819" s="1" t="n">
        <f aca="false">LN(D1819)</f>
        <v>-0.837479551449865</v>
      </c>
    </row>
    <row r="1820" customFormat="false" ht="15.75" hidden="false" customHeight="false" outlineLevel="0" collapsed="false">
      <c r="A1820" s="1" t="s">
        <v>719</v>
      </c>
      <c r="B1820" s="1" t="n">
        <v>309.36</v>
      </c>
      <c r="C1820" s="1" t="n">
        <f aca="false">1/B1820</f>
        <v>0.00323247995862426</v>
      </c>
      <c r="D1820" s="1" t="n">
        <v>0.3939</v>
      </c>
      <c r="E1820" s="1" t="n">
        <f aca="false">LN(D1820)</f>
        <v>-0.931658209005277</v>
      </c>
    </row>
    <row r="1821" customFormat="false" ht="15.75" hidden="false" customHeight="false" outlineLevel="0" collapsed="false">
      <c r="A1821" s="1" t="s">
        <v>719</v>
      </c>
      <c r="B1821" s="1" t="n">
        <v>317.85</v>
      </c>
      <c r="C1821" s="1" t="n">
        <f aca="false">1/B1821</f>
        <v>0.00314613811546327</v>
      </c>
      <c r="D1821" s="1" t="n">
        <v>0.3623</v>
      </c>
      <c r="E1821" s="1" t="n">
        <f aca="false">LN(D1821)</f>
        <v>-1.01528268108111</v>
      </c>
    </row>
    <row r="1822" customFormat="false" ht="15.75" hidden="false" customHeight="false" outlineLevel="0" collapsed="false">
      <c r="A1822" s="1" t="s">
        <v>719</v>
      </c>
      <c r="B1822" s="1" t="n">
        <v>326.59</v>
      </c>
      <c r="C1822" s="1" t="n">
        <f aca="false">1/B1822</f>
        <v>0.00306194310909703</v>
      </c>
      <c r="D1822" s="1" t="n">
        <v>0.3339</v>
      </c>
      <c r="E1822" s="1" t="n">
        <f aca="false">LN(D1822)</f>
        <v>-1.09691373203253</v>
      </c>
    </row>
    <row r="1823" customFormat="false" ht="15.75" hidden="false" customHeight="false" outlineLevel="0" collapsed="false">
      <c r="A1823" s="1" t="s">
        <v>719</v>
      </c>
      <c r="B1823" s="1" t="n">
        <v>335.58</v>
      </c>
      <c r="C1823" s="1" t="n">
        <f aca="false">1/B1823</f>
        <v>0.00297991537040348</v>
      </c>
      <c r="D1823" s="1" t="n">
        <v>0.3079</v>
      </c>
      <c r="E1823" s="1" t="n">
        <f aca="false">LN(D1823)</f>
        <v>-1.17798022405168</v>
      </c>
    </row>
    <row r="1824" customFormat="false" ht="15.75" hidden="false" customHeight="false" outlineLevel="0" collapsed="false">
      <c r="A1824" s="1" t="s">
        <v>719</v>
      </c>
      <c r="B1824" s="1" t="n">
        <v>345.35</v>
      </c>
      <c r="C1824" s="1" t="n">
        <f aca="false">1/B1824</f>
        <v>0.00289561314608368</v>
      </c>
      <c r="D1824" s="1" t="n">
        <v>0.2834</v>
      </c>
      <c r="E1824" s="1" t="n">
        <f aca="false">LN(D1824)</f>
        <v>-1.26089595172556</v>
      </c>
    </row>
    <row r="1825" customFormat="false" ht="15.75" hidden="false" customHeight="false" outlineLevel="0" collapsed="false">
      <c r="A1825" s="1" t="s">
        <v>719</v>
      </c>
      <c r="B1825" s="1" t="n">
        <v>354.62</v>
      </c>
      <c r="C1825" s="1" t="n">
        <f aca="false">1/B1825</f>
        <v>0.00281991991427443</v>
      </c>
      <c r="D1825" s="1" t="n">
        <v>0.2623</v>
      </c>
      <c r="E1825" s="1" t="n">
        <f aca="false">LN(D1825)</f>
        <v>-1.33826639210931</v>
      </c>
    </row>
    <row r="1826" customFormat="false" ht="15.75" hidden="false" customHeight="false" outlineLevel="0" collapsed="false">
      <c r="A1826" s="1" t="s">
        <v>719</v>
      </c>
      <c r="B1826" s="1" t="n">
        <v>364.12</v>
      </c>
      <c r="C1826" s="1" t="n">
        <f aca="false">1/B1826</f>
        <v>0.00274634735801384</v>
      </c>
      <c r="D1826" s="1" t="n">
        <v>0.2426</v>
      </c>
      <c r="E1826" s="1" t="n">
        <f aca="false">LN(D1826)</f>
        <v>-1.41634128247219</v>
      </c>
    </row>
    <row r="1827" customFormat="false" ht="15.75" hidden="false" customHeight="false" outlineLevel="0" collapsed="false">
      <c r="A1827" s="1" t="s">
        <v>719</v>
      </c>
      <c r="B1827" s="1" t="n">
        <v>371.97</v>
      </c>
      <c r="C1827" s="1" t="n">
        <f aca="false">1/B1827</f>
        <v>0.00268838884856306</v>
      </c>
      <c r="D1827" s="1" t="n">
        <v>0.2279</v>
      </c>
      <c r="E1827" s="1" t="n">
        <f aca="false">LN(D1827)</f>
        <v>-1.4788483427305</v>
      </c>
    </row>
    <row r="1828" customFormat="false" ht="15.75" hidden="false" customHeight="false" outlineLevel="0" collapsed="false">
      <c r="A1828" s="1" t="s">
        <v>719</v>
      </c>
      <c r="B1828" s="1" t="n">
        <v>288.1561</v>
      </c>
      <c r="C1828" s="1" t="n">
        <f aca="false">1/B1828</f>
        <v>0.00347034124906604</v>
      </c>
      <c r="D1828" s="1" t="n">
        <v>0.493</v>
      </c>
      <c r="E1828" s="1" t="n">
        <f aca="false">LN(D1828)</f>
        <v>-0.707246104939447</v>
      </c>
    </row>
    <row r="1829" customFormat="false" ht="15.75" hidden="false" customHeight="false" outlineLevel="0" collapsed="false">
      <c r="A1829" s="1" t="s">
        <v>719</v>
      </c>
      <c r="B1829" s="1" t="n">
        <v>313.15</v>
      </c>
      <c r="C1829" s="1" t="n">
        <f aca="false">1/B1829</f>
        <v>0.00319335781574325</v>
      </c>
      <c r="D1829" s="1" t="n">
        <v>0.423</v>
      </c>
      <c r="E1829" s="1" t="n">
        <f aca="false">LN(D1829)</f>
        <v>-0.860383099935859</v>
      </c>
    </row>
    <row r="1830" customFormat="false" ht="15.75" hidden="false" customHeight="false" outlineLevel="0" collapsed="false">
      <c r="A1830" s="1" t="s">
        <v>721</v>
      </c>
      <c r="B1830" s="1" t="n">
        <v>318.15</v>
      </c>
      <c r="C1830" s="1" t="n">
        <f aca="false">1/B1830</f>
        <v>0.00314317146000314</v>
      </c>
      <c r="D1830" s="1" t="n">
        <v>5.975</v>
      </c>
      <c r="E1830" s="1" t="n">
        <f aca="false">LN(D1830)</f>
        <v>1.78758409781757</v>
      </c>
    </row>
    <row r="1831" customFormat="false" ht="15.75" hidden="false" customHeight="false" outlineLevel="0" collapsed="false">
      <c r="A1831" s="1" t="s">
        <v>721</v>
      </c>
      <c r="B1831" s="1" t="n">
        <v>323.15</v>
      </c>
      <c r="C1831" s="1" t="n">
        <f aca="false">1/B1831</f>
        <v>0.00309453814018258</v>
      </c>
      <c r="D1831" s="1" t="n">
        <v>5.133</v>
      </c>
      <c r="E1831" s="1" t="n">
        <f aca="false">LN(D1831)</f>
        <v>1.63569028357817</v>
      </c>
    </row>
    <row r="1832" customFormat="false" ht="15.75" hidden="false" customHeight="false" outlineLevel="0" collapsed="false">
      <c r="A1832" s="1" t="s">
        <v>721</v>
      </c>
      <c r="B1832" s="1" t="n">
        <v>348.15</v>
      </c>
      <c r="C1832" s="1" t="n">
        <f aca="false">1/B1832</f>
        <v>0.00287232514720666</v>
      </c>
      <c r="D1832" s="1" t="n">
        <v>2.794</v>
      </c>
      <c r="E1832" s="1" t="n">
        <f aca="false">LN(D1832)</f>
        <v>1.02747426083477</v>
      </c>
    </row>
    <row r="1833" customFormat="false" ht="15.75" hidden="false" customHeight="false" outlineLevel="0" collapsed="false">
      <c r="A1833" s="1" t="s">
        <v>721</v>
      </c>
      <c r="B1833" s="1" t="n">
        <v>373.15</v>
      </c>
      <c r="C1833" s="1" t="n">
        <f aca="false">1/B1833</f>
        <v>0.00267988744472732</v>
      </c>
      <c r="D1833" s="1" t="n">
        <v>1.785</v>
      </c>
      <c r="E1833" s="1" t="n">
        <f aca="false">LN(D1833)</f>
        <v>0.579418415231602</v>
      </c>
    </row>
    <row r="1834" customFormat="false" ht="15.75" hidden="false" customHeight="false" outlineLevel="0" collapsed="false">
      <c r="A1834" s="1" t="s">
        <v>721</v>
      </c>
      <c r="B1834" s="1" t="n">
        <v>398.15</v>
      </c>
      <c r="C1834" s="1" t="n">
        <f aca="false">1/B1834</f>
        <v>0.00251161622504081</v>
      </c>
      <c r="D1834" s="1" t="n">
        <v>1.264</v>
      </c>
      <c r="E1834" s="1" t="n">
        <f aca="false">LN(D1834)</f>
        <v>0.234281295724666</v>
      </c>
    </row>
    <row r="1835" customFormat="false" ht="15.75" hidden="false" customHeight="false" outlineLevel="0" collapsed="false">
      <c r="A1835" s="1" t="s">
        <v>1435</v>
      </c>
      <c r="B1835" s="1" t="n">
        <v>278.15</v>
      </c>
      <c r="C1835" s="1" t="n">
        <f aca="false">1/B1835</f>
        <v>0.00359518245550962</v>
      </c>
      <c r="D1835" s="1" t="n">
        <v>10.591</v>
      </c>
      <c r="E1835" s="1" t="n">
        <f aca="false">LN(D1835)</f>
        <v>2.36000458386153</v>
      </c>
    </row>
    <row r="1836" customFormat="false" ht="15.75" hidden="false" customHeight="false" outlineLevel="0" collapsed="false">
      <c r="A1836" s="1" t="s">
        <v>1435</v>
      </c>
      <c r="B1836" s="1" t="n">
        <v>288.15</v>
      </c>
      <c r="C1836" s="1" t="n">
        <f aca="false">1/B1836</f>
        <v>0.00347041471455839</v>
      </c>
      <c r="D1836" s="1" t="n">
        <v>7.5759</v>
      </c>
      <c r="E1836" s="1" t="n">
        <f aca="false">LN(D1836)</f>
        <v>2.02497215621905</v>
      </c>
    </row>
    <row r="1837" customFormat="false" ht="15.75" hidden="false" customHeight="false" outlineLevel="0" collapsed="false">
      <c r="A1837" s="1" t="s">
        <v>1435</v>
      </c>
      <c r="B1837" s="1" t="n">
        <v>308.15</v>
      </c>
      <c r="C1837" s="1" t="n">
        <f aca="false">1/B1837</f>
        <v>0.00324517280545189</v>
      </c>
      <c r="D1837" s="1" t="n">
        <v>4.3141</v>
      </c>
      <c r="E1837" s="1" t="n">
        <f aca="false">LN(D1837)</f>
        <v>1.46188872804137</v>
      </c>
    </row>
    <row r="1838" customFormat="false" ht="15.75" hidden="false" customHeight="false" outlineLevel="0" collapsed="false">
      <c r="A1838" s="1" t="s">
        <v>1435</v>
      </c>
      <c r="B1838" s="1" t="n">
        <v>318.15</v>
      </c>
      <c r="C1838" s="1" t="n">
        <f aca="false">1/B1838</f>
        <v>0.00314317146000314</v>
      </c>
      <c r="D1838" s="1" t="n">
        <v>3.4026</v>
      </c>
      <c r="E1838" s="1" t="n">
        <f aca="false">LN(D1838)</f>
        <v>1.2245398452659</v>
      </c>
    </row>
    <row r="1839" customFormat="false" ht="15.75" hidden="false" customHeight="false" outlineLevel="0" collapsed="false">
      <c r="A1839" s="1" t="s">
        <v>1435</v>
      </c>
      <c r="B1839" s="1" t="n">
        <v>338.15</v>
      </c>
      <c r="C1839" s="1" t="n">
        <f aca="false">1/B1839</f>
        <v>0.002957267484844</v>
      </c>
      <c r="D1839" s="1" t="n">
        <v>2.2712</v>
      </c>
      <c r="E1839" s="1" t="n">
        <f aca="false">LN(D1839)</f>
        <v>0.820308326176624</v>
      </c>
    </row>
    <row r="1840" customFormat="false" ht="15.75" hidden="false" customHeight="false" outlineLevel="0" collapsed="false">
      <c r="A1840" s="1" t="s">
        <v>1435</v>
      </c>
      <c r="B1840" s="1" t="n">
        <v>298.15</v>
      </c>
      <c r="C1840" s="1" t="n">
        <f aca="false">1/B1840</f>
        <v>0.00335401643468053</v>
      </c>
      <c r="D1840" s="1" t="n">
        <v>5.6254</v>
      </c>
      <c r="E1840" s="1" t="n">
        <f aca="false">LN(D1840)</f>
        <v>1.72729205667332</v>
      </c>
    </row>
    <row r="1841" customFormat="false" ht="15.75" hidden="false" customHeight="false" outlineLevel="0" collapsed="false">
      <c r="A1841" s="1" t="s">
        <v>1435</v>
      </c>
      <c r="B1841" s="1" t="n">
        <v>328.15</v>
      </c>
      <c r="C1841" s="1" t="n">
        <f aca="false">1/B1841</f>
        <v>0.00304738686576261</v>
      </c>
      <c r="D1841" s="1" t="n">
        <v>2.7503</v>
      </c>
      <c r="E1841" s="1" t="n">
        <f aca="false">LN(D1841)</f>
        <v>1.01170999663759</v>
      </c>
    </row>
    <row r="1842" customFormat="false" ht="15.75" hidden="false" customHeight="false" outlineLevel="0" collapsed="false">
      <c r="A1842" s="1" t="s">
        <v>88</v>
      </c>
      <c r="B1842" s="1" t="n">
        <v>343.15</v>
      </c>
      <c r="C1842" s="1" t="n">
        <f aca="false">1/B1842</f>
        <v>0.00291417747340813</v>
      </c>
      <c r="D1842" s="1" t="n">
        <v>2.1277</v>
      </c>
      <c r="E1842" s="1" t="n">
        <f aca="false">LN(D1842)</f>
        <v>0.755041584097535</v>
      </c>
    </row>
    <row r="1843" customFormat="false" ht="15.75" hidden="false" customHeight="false" outlineLevel="0" collapsed="false">
      <c r="A1843" s="1" t="s">
        <v>88</v>
      </c>
      <c r="B1843" s="1" t="n">
        <v>353.15</v>
      </c>
      <c r="C1843" s="1" t="n">
        <f aca="false">1/B1843</f>
        <v>0.00283165793572137</v>
      </c>
      <c r="D1843" s="1" t="n">
        <v>1.8146</v>
      </c>
      <c r="E1843" s="1" t="n">
        <f aca="false">LN(D1843)</f>
        <v>0.595865057753391</v>
      </c>
    </row>
    <row r="1844" customFormat="false" ht="15.75" hidden="false" customHeight="false" outlineLevel="0" collapsed="false">
      <c r="A1844" s="1" t="s">
        <v>88</v>
      </c>
      <c r="B1844" s="1" t="n">
        <v>373.15</v>
      </c>
      <c r="C1844" s="1" t="n">
        <f aca="false">1/B1844</f>
        <v>0.00267988744472732</v>
      </c>
      <c r="D1844" s="1" t="n">
        <v>1.3818</v>
      </c>
      <c r="E1844" s="1" t="n">
        <f aca="false">LN(D1844)</f>
        <v>0.323386997072557</v>
      </c>
    </row>
    <row r="1845" customFormat="false" ht="15.75" hidden="false" customHeight="false" outlineLevel="0" collapsed="false">
      <c r="A1845" s="1" t="s">
        <v>723</v>
      </c>
      <c r="B1845" s="1" t="n">
        <v>303.15</v>
      </c>
      <c r="C1845" s="1" t="n">
        <f aca="false">1/B1845</f>
        <v>0.0032986970146792</v>
      </c>
      <c r="D1845" s="1" t="n">
        <v>1.095</v>
      </c>
      <c r="E1845" s="1" t="n">
        <f aca="false">LN(D1845)</f>
        <v>0.0907543632684641</v>
      </c>
    </row>
    <row r="1846" customFormat="false" ht="15.75" hidden="false" customHeight="false" outlineLevel="0" collapsed="false">
      <c r="A1846" s="1" t="s">
        <v>723</v>
      </c>
      <c r="B1846" s="1" t="n">
        <v>313.15</v>
      </c>
      <c r="C1846" s="1" t="n">
        <f aca="false">1/B1846</f>
        <v>0.00319335781574325</v>
      </c>
      <c r="D1846" s="1" t="n">
        <v>0.944</v>
      </c>
      <c r="E1846" s="1" t="n">
        <f aca="false">LN(D1846)</f>
        <v>-0.0576291128366364</v>
      </c>
    </row>
    <row r="1847" customFormat="false" ht="15.75" hidden="false" customHeight="false" outlineLevel="0" collapsed="false">
      <c r="A1847" s="1" t="s">
        <v>723</v>
      </c>
      <c r="B1847" s="1" t="n">
        <v>333.15</v>
      </c>
      <c r="C1847" s="1" t="n">
        <f aca="false">1/B1847</f>
        <v>0.0030016509079994</v>
      </c>
      <c r="D1847" s="1" t="n">
        <v>0.768</v>
      </c>
      <c r="E1847" s="1" t="n">
        <f aca="false">LN(D1847)</f>
        <v>-0.263965545834465</v>
      </c>
    </row>
    <row r="1848" customFormat="false" ht="15.75" hidden="false" customHeight="false" outlineLevel="0" collapsed="false">
      <c r="A1848" s="1" t="s">
        <v>723</v>
      </c>
      <c r="B1848" s="1" t="n">
        <v>353.15</v>
      </c>
      <c r="C1848" s="1" t="n">
        <f aca="false">1/B1848</f>
        <v>0.00283165793572137</v>
      </c>
      <c r="D1848" s="1" t="n">
        <v>0.63</v>
      </c>
      <c r="E1848" s="1" t="n">
        <f aca="false">LN(D1848)</f>
        <v>-0.462035459596559</v>
      </c>
    </row>
    <row r="1849" customFormat="false" ht="15.75" hidden="false" customHeight="false" outlineLevel="0" collapsed="false">
      <c r="A1849" s="1" t="s">
        <v>723</v>
      </c>
      <c r="B1849" s="1" t="n">
        <v>373.15</v>
      </c>
      <c r="C1849" s="1" t="n">
        <f aca="false">1/B1849</f>
        <v>0.00267988744472732</v>
      </c>
      <c r="D1849" s="1" t="n">
        <v>0.531</v>
      </c>
      <c r="E1849" s="1" t="n">
        <f aca="false">LN(D1849)</f>
        <v>-0.632993257740198</v>
      </c>
    </row>
    <row r="1850" customFormat="false" ht="15.75" hidden="false" customHeight="false" outlineLevel="0" collapsed="false">
      <c r="A1850" s="1" t="s">
        <v>725</v>
      </c>
      <c r="B1850" s="1" t="n">
        <v>365.1542</v>
      </c>
      <c r="C1850" s="1" t="n">
        <f aca="false">1/B1850</f>
        <v>0.00273856907574937</v>
      </c>
      <c r="D1850" s="1" t="n">
        <v>1.187</v>
      </c>
      <c r="E1850" s="1" t="n">
        <f aca="false">LN(D1850)</f>
        <v>0.171429115627531</v>
      </c>
    </row>
    <row r="1851" customFormat="false" ht="15.75" hidden="false" customHeight="false" outlineLevel="0" collapsed="false">
      <c r="A1851" s="1" t="s">
        <v>725</v>
      </c>
      <c r="B1851" s="1" t="n">
        <v>385.15</v>
      </c>
      <c r="C1851" s="1" t="n">
        <f aca="false">1/B1851</f>
        <v>0.00259639101648708</v>
      </c>
      <c r="D1851" s="1" t="n">
        <v>0.929</v>
      </c>
      <c r="E1851" s="1" t="n">
        <f aca="false">LN(D1851)</f>
        <v>-0.0736465401682985</v>
      </c>
    </row>
    <row r="1852" customFormat="false" ht="15.75" hidden="false" customHeight="false" outlineLevel="0" collapsed="false">
      <c r="A1852" s="1" t="s">
        <v>725</v>
      </c>
      <c r="B1852" s="1" t="n">
        <v>404.95</v>
      </c>
      <c r="C1852" s="1" t="n">
        <f aca="false">1/B1852</f>
        <v>0.00246944067168786</v>
      </c>
      <c r="D1852" s="1" t="n">
        <v>0.755</v>
      </c>
      <c r="E1852" s="1" t="n">
        <f aca="false">LN(D1852)</f>
        <v>-0.281037529733112</v>
      </c>
    </row>
    <row r="1853" customFormat="false" ht="15.75" hidden="false" customHeight="false" outlineLevel="0" collapsed="false">
      <c r="A1853" s="1" t="s">
        <v>725</v>
      </c>
      <c r="B1853" s="1" t="n">
        <v>425.05</v>
      </c>
      <c r="C1853" s="1" t="n">
        <f aca="false">1/B1853</f>
        <v>0.00235266439242442</v>
      </c>
      <c r="D1853" s="1" t="n">
        <v>0.622</v>
      </c>
      <c r="E1853" s="1" t="n">
        <f aca="false">LN(D1853)</f>
        <v>-0.474815186242958</v>
      </c>
    </row>
    <row r="1854" customFormat="false" ht="15.75" hidden="false" customHeight="false" outlineLevel="0" collapsed="false">
      <c r="A1854" s="1" t="s">
        <v>725</v>
      </c>
      <c r="B1854" s="1" t="n">
        <v>435.25</v>
      </c>
      <c r="C1854" s="1" t="n">
        <f aca="false">1/B1854</f>
        <v>0.00229753015508329</v>
      </c>
      <c r="D1854" s="1" t="n">
        <v>0.5682</v>
      </c>
      <c r="E1854" s="1" t="n">
        <f aca="false">LN(D1854)</f>
        <v>-0.565281809562049</v>
      </c>
    </row>
    <row r="1855" customFormat="false" ht="15.75" hidden="false" customHeight="false" outlineLevel="0" collapsed="false">
      <c r="A1855" s="1" t="s">
        <v>725</v>
      </c>
      <c r="B1855" s="1" t="n">
        <v>444.65</v>
      </c>
      <c r="C1855" s="1" t="n">
        <f aca="false">1/B1855</f>
        <v>0.00224895985606657</v>
      </c>
      <c r="D1855" s="1" t="n">
        <v>0.5249</v>
      </c>
      <c r="E1855" s="1" t="n">
        <f aca="false">LN(D1855)</f>
        <v>-0.644547510723883</v>
      </c>
    </row>
    <row r="1856" customFormat="false" ht="15.75" hidden="false" customHeight="false" outlineLevel="0" collapsed="false">
      <c r="A1856" s="1" t="s">
        <v>725</v>
      </c>
      <c r="B1856" s="1" t="n">
        <v>454.65</v>
      </c>
      <c r="C1856" s="1" t="n">
        <f aca="false">1/B1856</f>
        <v>0.00219949411635324</v>
      </c>
      <c r="D1856" s="1" t="n">
        <v>0.4834</v>
      </c>
      <c r="E1856" s="1" t="n">
        <f aca="false">LN(D1856)</f>
        <v>-0.726910810712754</v>
      </c>
    </row>
    <row r="1857" customFormat="false" ht="15.75" hidden="false" customHeight="false" outlineLevel="0" collapsed="false">
      <c r="A1857" s="1" t="s">
        <v>725</v>
      </c>
      <c r="B1857" s="1" t="n">
        <v>465.15</v>
      </c>
      <c r="C1857" s="1" t="n">
        <f aca="false">1/B1857</f>
        <v>0.00214984413630012</v>
      </c>
      <c r="D1857" s="1" t="n">
        <v>0.4467</v>
      </c>
      <c r="E1857" s="1" t="n">
        <f aca="false">LN(D1857)</f>
        <v>-0.805868050624064</v>
      </c>
    </row>
    <row r="1858" customFormat="false" ht="15.75" hidden="false" customHeight="false" outlineLevel="0" collapsed="false">
      <c r="A1858" s="1" t="s">
        <v>725</v>
      </c>
      <c r="B1858" s="1" t="n">
        <v>474.15</v>
      </c>
      <c r="C1858" s="1" t="n">
        <f aca="false">1/B1858</f>
        <v>0.00210903722450701</v>
      </c>
      <c r="D1858" s="1" t="n">
        <v>0.4174</v>
      </c>
      <c r="E1858" s="1" t="n">
        <f aca="false">LN(D1858)</f>
        <v>-0.873710284339037</v>
      </c>
    </row>
    <row r="1859" customFormat="false" ht="15.75" hidden="false" customHeight="false" outlineLevel="0" collapsed="false">
      <c r="A1859" s="1" t="s">
        <v>725</v>
      </c>
      <c r="B1859" s="1" t="n">
        <v>483.15</v>
      </c>
      <c r="C1859" s="1" t="n">
        <f aca="false">1/B1859</f>
        <v>0.0020697505950533</v>
      </c>
      <c r="D1859" s="1" t="n">
        <v>0.391</v>
      </c>
      <c r="E1859" s="1" t="n">
        <f aca="false">LN(D1859)</f>
        <v>-0.939047718996771</v>
      </c>
    </row>
    <row r="1860" customFormat="false" ht="15.75" hidden="false" customHeight="false" outlineLevel="0" collapsed="false">
      <c r="A1860" s="1" t="s">
        <v>725</v>
      </c>
      <c r="B1860" s="1" t="n">
        <v>485.15</v>
      </c>
      <c r="C1860" s="1" t="n">
        <f aca="false">1/B1860</f>
        <v>0.00206121817994435</v>
      </c>
      <c r="D1860" s="1" t="n">
        <v>0.3864</v>
      </c>
      <c r="E1860" s="1" t="n">
        <f aca="false">LN(D1860)</f>
        <v>-0.950882176643774</v>
      </c>
    </row>
    <row r="1861" customFormat="false" ht="15.75" hidden="false" customHeight="false" outlineLevel="0" collapsed="false">
      <c r="A1861" s="1" t="s">
        <v>725</v>
      </c>
      <c r="B1861" s="1" t="n">
        <v>503.15</v>
      </c>
      <c r="C1861" s="1" t="n">
        <f aca="false">1/B1861</f>
        <v>0.00198747888303687</v>
      </c>
      <c r="D1861" s="1" t="n">
        <v>0.342</v>
      </c>
      <c r="E1861" s="1" t="n">
        <f aca="false">LN(D1861)</f>
        <v>-1.07294454191953</v>
      </c>
    </row>
    <row r="1862" customFormat="false" ht="15.75" hidden="false" customHeight="false" outlineLevel="0" collapsed="false">
      <c r="A1862" s="1" t="s">
        <v>725</v>
      </c>
      <c r="B1862" s="1" t="n">
        <v>383.1535</v>
      </c>
      <c r="C1862" s="1" t="n">
        <f aca="false">1/B1862</f>
        <v>0.00260992004509942</v>
      </c>
      <c r="D1862" s="1" t="n">
        <v>0.896</v>
      </c>
      <c r="E1862" s="1" t="n">
        <f aca="false">LN(D1862)</f>
        <v>-0.109814866007207</v>
      </c>
    </row>
    <row r="1863" customFormat="false" ht="15.75" hidden="false" customHeight="false" outlineLevel="0" collapsed="false">
      <c r="A1863" s="1" t="s">
        <v>725</v>
      </c>
      <c r="B1863" s="1" t="n">
        <v>388.15</v>
      </c>
      <c r="C1863" s="1" t="n">
        <f aca="false">1/B1863</f>
        <v>0.00257632358624243</v>
      </c>
      <c r="D1863" s="1" t="n">
        <v>0.844</v>
      </c>
      <c r="E1863" s="1" t="n">
        <f aca="false">LN(D1863)</f>
        <v>-0.16960278438618</v>
      </c>
    </row>
    <row r="1864" customFormat="false" ht="15.75" hidden="false" customHeight="false" outlineLevel="0" collapsed="false">
      <c r="A1864" s="1" t="s">
        <v>725</v>
      </c>
      <c r="B1864" s="1" t="n">
        <v>393.15</v>
      </c>
      <c r="C1864" s="1" t="n">
        <f aca="false">1/B1864</f>
        <v>0.00254355843825512</v>
      </c>
      <c r="D1864" s="1" t="n">
        <v>0.805</v>
      </c>
      <c r="E1864" s="1" t="n">
        <f aca="false">LN(D1864)</f>
        <v>-0.216913001563574</v>
      </c>
    </row>
    <row r="1865" customFormat="false" ht="15.75" hidden="false" customHeight="false" outlineLevel="0" collapsed="false">
      <c r="A1865" s="1" t="s">
        <v>90</v>
      </c>
      <c r="B1865" s="1" t="n">
        <v>383.15</v>
      </c>
      <c r="C1865" s="1" t="n">
        <f aca="false">1/B1865</f>
        <v>0.00260994388620645</v>
      </c>
      <c r="D1865" s="1" t="n">
        <v>0.589</v>
      </c>
      <c r="E1865" s="1" t="n">
        <f aca="false">LN(D1865)</f>
        <v>-0.52932909533055</v>
      </c>
    </row>
    <row r="1866" customFormat="false" ht="15.75" hidden="false" customHeight="false" outlineLevel="0" collapsed="false">
      <c r="A1866" s="1" t="s">
        <v>90</v>
      </c>
      <c r="B1866" s="1" t="n">
        <v>388.15</v>
      </c>
      <c r="C1866" s="1" t="n">
        <f aca="false">1/B1866</f>
        <v>0.00257632358624243</v>
      </c>
      <c r="D1866" s="1" t="n">
        <v>0.583</v>
      </c>
      <c r="E1866" s="1" t="n">
        <f aca="false">LN(D1866)</f>
        <v>-0.539568092631645</v>
      </c>
    </row>
    <row r="1867" customFormat="false" ht="15.75" hidden="false" customHeight="false" outlineLevel="0" collapsed="false">
      <c r="A1867" s="1" t="s">
        <v>90</v>
      </c>
      <c r="B1867" s="1" t="n">
        <v>393.15</v>
      </c>
      <c r="C1867" s="1" t="n">
        <f aca="false">1/B1867</f>
        <v>0.00254355843825512</v>
      </c>
      <c r="D1867" s="1" t="n">
        <v>0.578</v>
      </c>
      <c r="E1867" s="1" t="n">
        <f aca="false">LN(D1867)</f>
        <v>-0.54818141030976</v>
      </c>
    </row>
    <row r="1868" customFormat="false" ht="15.75" hidden="false" customHeight="false" outlineLevel="0" collapsed="false">
      <c r="A1868" s="1" t="s">
        <v>92</v>
      </c>
      <c r="B1868" s="1" t="n">
        <v>383.15</v>
      </c>
      <c r="C1868" s="1" t="n">
        <f aca="false">1/B1868</f>
        <v>0.00260994388620645</v>
      </c>
      <c r="D1868" s="1" t="n">
        <v>0.64</v>
      </c>
      <c r="E1868" s="1" t="n">
        <f aca="false">LN(D1868)</f>
        <v>-0.446287102628419</v>
      </c>
    </row>
    <row r="1869" customFormat="false" ht="15.75" hidden="false" customHeight="false" outlineLevel="0" collapsed="false">
      <c r="A1869" s="1" t="s">
        <v>92</v>
      </c>
      <c r="B1869" s="1" t="n">
        <v>388.15</v>
      </c>
      <c r="C1869" s="1" t="n">
        <f aca="false">1/B1869</f>
        <v>0.00257632358624243</v>
      </c>
      <c r="D1869" s="1" t="n">
        <v>0.616</v>
      </c>
      <c r="E1869" s="1" t="n">
        <f aca="false">LN(D1869)</f>
        <v>-0.484508315448617</v>
      </c>
    </row>
    <row r="1870" customFormat="false" ht="15.75" hidden="false" customHeight="false" outlineLevel="0" collapsed="false">
      <c r="A1870" s="1" t="s">
        <v>92</v>
      </c>
      <c r="B1870" s="1" t="n">
        <v>393.15</v>
      </c>
      <c r="C1870" s="1" t="n">
        <f aca="false">1/B1870</f>
        <v>0.00254355843825512</v>
      </c>
      <c r="D1870" s="1" t="n">
        <v>0.591</v>
      </c>
      <c r="E1870" s="1" t="n">
        <f aca="false">LN(D1870)</f>
        <v>-0.525939261576039</v>
      </c>
    </row>
    <row r="1871" customFormat="false" ht="15.75" hidden="false" customHeight="false" outlineLevel="0" collapsed="false">
      <c r="A1871" s="1" t="s">
        <v>727</v>
      </c>
      <c r="B1871" s="1" t="n">
        <v>371.85</v>
      </c>
      <c r="C1871" s="1" t="n">
        <f aca="false">1/B1871</f>
        <v>0.0026892564205997</v>
      </c>
      <c r="D1871" s="1" t="n">
        <v>1.5</v>
      </c>
      <c r="E1871" s="1" t="n">
        <f aca="false">LN(D1871)</f>
        <v>0.405465108108164</v>
      </c>
    </row>
    <row r="1872" customFormat="false" ht="15.75" hidden="false" customHeight="false" outlineLevel="0" collapsed="false">
      <c r="A1872" s="1" t="s">
        <v>727</v>
      </c>
      <c r="B1872" s="1" t="n">
        <v>389.95</v>
      </c>
      <c r="C1872" s="1" t="n">
        <f aca="false">1/B1872</f>
        <v>0.00256443133735094</v>
      </c>
      <c r="D1872" s="1" t="n">
        <v>1.127</v>
      </c>
      <c r="E1872" s="1" t="n">
        <f aca="false">LN(D1872)</f>
        <v>0.119559235057639</v>
      </c>
    </row>
    <row r="1873" customFormat="false" ht="15.75" hidden="false" customHeight="false" outlineLevel="0" collapsed="false">
      <c r="A1873" s="1" t="s">
        <v>727</v>
      </c>
      <c r="B1873" s="1" t="n">
        <v>398.65</v>
      </c>
      <c r="C1873" s="1" t="n">
        <f aca="false">1/B1873</f>
        <v>0.00250846607299636</v>
      </c>
      <c r="D1873" s="1" t="n">
        <v>0.9956</v>
      </c>
      <c r="E1873" s="1" t="n">
        <f aca="false">LN(D1873)</f>
        <v>-0.00440970848870007</v>
      </c>
    </row>
    <row r="1874" customFormat="false" ht="15.75" hidden="false" customHeight="false" outlineLevel="0" collapsed="false">
      <c r="A1874" s="1" t="s">
        <v>727</v>
      </c>
      <c r="B1874" s="1" t="n">
        <v>410.35</v>
      </c>
      <c r="C1874" s="1" t="n">
        <f aca="false">1/B1874</f>
        <v>0.00243694407213354</v>
      </c>
      <c r="D1874" s="1" t="n">
        <v>0.856</v>
      </c>
      <c r="E1874" s="1" t="n">
        <f aca="false">LN(D1874)</f>
        <v>-0.155484902840395</v>
      </c>
    </row>
    <row r="1875" customFormat="false" ht="15.75" hidden="false" customHeight="false" outlineLevel="0" collapsed="false">
      <c r="A1875" s="1" t="s">
        <v>727</v>
      </c>
      <c r="B1875" s="1" t="n">
        <v>423.65</v>
      </c>
      <c r="C1875" s="1" t="n">
        <f aca="false">1/B1875</f>
        <v>0.00236043904166175</v>
      </c>
      <c r="D1875" s="1" t="n">
        <v>0.7345</v>
      </c>
      <c r="E1875" s="1" t="n">
        <f aca="false">LN(D1875)</f>
        <v>-0.308565283368205</v>
      </c>
    </row>
    <row r="1876" customFormat="false" ht="15.75" hidden="false" customHeight="false" outlineLevel="0" collapsed="false">
      <c r="A1876" s="1" t="s">
        <v>727</v>
      </c>
      <c r="B1876" s="1" t="n">
        <v>435.25</v>
      </c>
      <c r="C1876" s="1" t="n">
        <f aca="false">1/B1876</f>
        <v>0.00229753015508329</v>
      </c>
      <c r="D1876" s="1" t="n">
        <v>0.6486</v>
      </c>
      <c r="E1876" s="1" t="n">
        <f aca="false">LN(D1876)</f>
        <v>-0.43293908510892</v>
      </c>
    </row>
    <row r="1877" customFormat="false" ht="15.75" hidden="false" customHeight="false" outlineLevel="0" collapsed="false">
      <c r="A1877" s="1" t="s">
        <v>727</v>
      </c>
      <c r="B1877" s="1" t="n">
        <v>447.15</v>
      </c>
      <c r="C1877" s="1" t="n">
        <f aca="false">1/B1877</f>
        <v>0.00223638600022364</v>
      </c>
      <c r="D1877" s="1" t="n">
        <v>0.573</v>
      </c>
      <c r="E1877" s="1" t="n">
        <f aca="false">LN(D1877)</f>
        <v>-0.556869562267398</v>
      </c>
    </row>
    <row r="1878" customFormat="false" ht="15.75" hidden="false" customHeight="false" outlineLevel="0" collapsed="false">
      <c r="A1878" s="1" t="s">
        <v>727</v>
      </c>
      <c r="B1878" s="1" t="n">
        <v>448.65</v>
      </c>
      <c r="C1878" s="1" t="n">
        <f aca="false">1/B1878</f>
        <v>0.00222890894906943</v>
      </c>
      <c r="D1878" s="1" t="n">
        <v>0.5662</v>
      </c>
      <c r="E1878" s="1" t="n">
        <f aca="false">LN(D1878)</f>
        <v>-0.568807906304338</v>
      </c>
    </row>
    <row r="1879" customFormat="false" ht="15.75" hidden="false" customHeight="false" outlineLevel="0" collapsed="false">
      <c r="A1879" s="1" t="s">
        <v>727</v>
      </c>
      <c r="B1879" s="1" t="n">
        <v>460.1</v>
      </c>
      <c r="C1879" s="1" t="n">
        <f aca="false">1/B1879</f>
        <v>0.00217344055640078</v>
      </c>
      <c r="D1879" s="1" t="n">
        <v>0.5072</v>
      </c>
      <c r="E1879" s="1" t="n">
        <f aca="false">LN(D1879)</f>
        <v>-0.678849875859121</v>
      </c>
    </row>
    <row r="1880" customFormat="false" ht="15.75" hidden="false" customHeight="false" outlineLevel="0" collapsed="false">
      <c r="A1880" s="1" t="s">
        <v>727</v>
      </c>
      <c r="B1880" s="1" t="n">
        <v>473.25</v>
      </c>
      <c r="C1880" s="1" t="n">
        <f aca="false">1/B1880</f>
        <v>0.00211304807184363</v>
      </c>
      <c r="D1880" s="1" t="n">
        <v>0.4508</v>
      </c>
      <c r="E1880" s="1" t="n">
        <f aca="false">LN(D1880)</f>
        <v>-0.796731496816516</v>
      </c>
    </row>
    <row r="1881" customFormat="false" ht="15.75" hidden="false" customHeight="false" outlineLevel="0" collapsed="false">
      <c r="A1881" s="1" t="s">
        <v>727</v>
      </c>
      <c r="B1881" s="1" t="n">
        <v>483.15</v>
      </c>
      <c r="C1881" s="1" t="n">
        <f aca="false">1/B1881</f>
        <v>0.0020697505950533</v>
      </c>
      <c r="D1881" s="1" t="n">
        <v>0.4131</v>
      </c>
      <c r="E1881" s="1" t="n">
        <f aca="false">LN(D1881)</f>
        <v>-0.884065584579418</v>
      </c>
    </row>
    <row r="1882" customFormat="false" ht="15.75" hidden="false" customHeight="false" outlineLevel="0" collapsed="false">
      <c r="A1882" s="1" t="s">
        <v>727</v>
      </c>
      <c r="B1882" s="1" t="n">
        <v>491.15</v>
      </c>
      <c r="C1882" s="1" t="n">
        <f aca="false">1/B1882</f>
        <v>0.00203603787030439</v>
      </c>
      <c r="D1882" s="1" t="n">
        <v>0.3868</v>
      </c>
      <c r="E1882" s="1" t="n">
        <f aca="false">LN(D1882)</f>
        <v>-0.949847515402998</v>
      </c>
    </row>
    <row r="1883" customFormat="false" ht="15.75" hidden="false" customHeight="false" outlineLevel="0" collapsed="false">
      <c r="A1883" s="1" t="s">
        <v>729</v>
      </c>
      <c r="B1883" s="1" t="n">
        <v>305.451</v>
      </c>
      <c r="C1883" s="1" t="n">
        <f aca="false">1/B1883</f>
        <v>0.00327384752382543</v>
      </c>
      <c r="D1883" s="1" t="n">
        <v>0.759</v>
      </c>
      <c r="E1883" s="1" t="n">
        <f aca="false">LN(D1883)</f>
        <v>-0.275753501586507</v>
      </c>
    </row>
    <row r="1884" customFormat="false" ht="15.75" hidden="false" customHeight="false" outlineLevel="0" collapsed="false">
      <c r="A1884" s="1" t="s">
        <v>729</v>
      </c>
      <c r="B1884" s="1" t="n">
        <v>327.55</v>
      </c>
      <c r="C1884" s="1" t="n">
        <f aca="false">1/B1884</f>
        <v>0.00305296901236452</v>
      </c>
      <c r="D1884" s="1" t="n">
        <v>0.582</v>
      </c>
      <c r="E1884" s="1" t="n">
        <f aca="false">LN(D1884)</f>
        <v>-0.541284831250699</v>
      </c>
    </row>
    <row r="1885" customFormat="false" ht="15.75" hidden="false" customHeight="false" outlineLevel="0" collapsed="false">
      <c r="A1885" s="1" t="s">
        <v>729</v>
      </c>
      <c r="B1885" s="1" t="n">
        <v>348.85</v>
      </c>
      <c r="C1885" s="1" t="n">
        <f aca="false">1/B1885</f>
        <v>0.00286656155940949</v>
      </c>
      <c r="D1885" s="1" t="n">
        <v>0.4753</v>
      </c>
      <c r="E1885" s="1" t="n">
        <f aca="false">LN(D1885)</f>
        <v>-0.743809095362173</v>
      </c>
    </row>
    <row r="1886" customFormat="false" ht="15.75" hidden="false" customHeight="false" outlineLevel="0" collapsed="false">
      <c r="A1886" s="1" t="s">
        <v>729</v>
      </c>
      <c r="B1886" s="1" t="n">
        <v>367.95</v>
      </c>
      <c r="C1886" s="1" t="n">
        <f aca="false">1/B1886</f>
        <v>0.0027177605652942</v>
      </c>
      <c r="D1886" s="1" t="n">
        <v>0.4046</v>
      </c>
      <c r="E1886" s="1" t="n">
        <f aca="false">LN(D1886)</f>
        <v>-0.904856354248492</v>
      </c>
    </row>
    <row r="1887" customFormat="false" ht="15.75" hidden="false" customHeight="false" outlineLevel="0" collapsed="false">
      <c r="A1887" s="1" t="s">
        <v>729</v>
      </c>
      <c r="B1887" s="1" t="n">
        <v>393.15</v>
      </c>
      <c r="C1887" s="1" t="n">
        <f aca="false">1/B1887</f>
        <v>0.00254355843825512</v>
      </c>
      <c r="D1887" s="1" t="n">
        <v>0.3361</v>
      </c>
      <c r="E1887" s="1" t="n">
        <f aca="false">LN(D1887)</f>
        <v>-1.09034654425108</v>
      </c>
    </row>
    <row r="1888" customFormat="false" ht="15.75" hidden="false" customHeight="false" outlineLevel="0" collapsed="false">
      <c r="A1888" s="1" t="s">
        <v>729</v>
      </c>
      <c r="B1888" s="1" t="n">
        <v>398.25</v>
      </c>
      <c r="C1888" s="1" t="n">
        <f aca="false">1/B1888</f>
        <v>0.00251098556183302</v>
      </c>
      <c r="D1888" s="1" t="n">
        <v>0.3242</v>
      </c>
      <c r="E1888" s="1" t="n">
        <f aca="false">LN(D1888)</f>
        <v>-1.12639466968056</v>
      </c>
    </row>
    <row r="1889" customFormat="false" ht="15.75" hidden="false" customHeight="false" outlineLevel="0" collapsed="false">
      <c r="A1889" s="1" t="s">
        <v>729</v>
      </c>
      <c r="B1889" s="1" t="n">
        <v>408.15</v>
      </c>
      <c r="C1889" s="1" t="n">
        <f aca="false">1/B1889</f>
        <v>0.0024500796275879</v>
      </c>
      <c r="D1889" s="1" t="n">
        <v>0.3043</v>
      </c>
      <c r="E1889" s="1" t="n">
        <f aca="false">LN(D1889)</f>
        <v>-1.18974122207921</v>
      </c>
    </row>
    <row r="1890" customFormat="false" ht="15.75" hidden="false" customHeight="false" outlineLevel="0" collapsed="false">
      <c r="A1890" s="1" t="s">
        <v>729</v>
      </c>
      <c r="B1890" s="1" t="n">
        <v>418.65</v>
      </c>
      <c r="C1890" s="1" t="n">
        <f aca="false">1/B1890</f>
        <v>0.00238863012062582</v>
      </c>
      <c r="D1890" s="1" t="n">
        <v>0.2845</v>
      </c>
      <c r="E1890" s="1" t="n">
        <f aca="false">LN(D1890)</f>
        <v>-1.25702202541575</v>
      </c>
    </row>
    <row r="1891" customFormat="false" ht="15.75" hidden="false" customHeight="false" outlineLevel="0" collapsed="false">
      <c r="A1891" s="1" t="s">
        <v>729</v>
      </c>
      <c r="B1891" s="1" t="n">
        <v>425.25</v>
      </c>
      <c r="C1891" s="1" t="n">
        <f aca="false">1/B1891</f>
        <v>0.00235155790711346</v>
      </c>
      <c r="D1891" s="1" t="n">
        <v>0.2733</v>
      </c>
      <c r="E1891" s="1" t="n">
        <f aca="false">LN(D1891)</f>
        <v>-1.29718518604811</v>
      </c>
    </row>
    <row r="1892" customFormat="false" ht="15.75" hidden="false" customHeight="false" outlineLevel="0" collapsed="false">
      <c r="A1892" s="1" t="s">
        <v>729</v>
      </c>
      <c r="B1892" s="1" t="n">
        <v>293.15</v>
      </c>
      <c r="C1892" s="1" t="n">
        <f aca="false">1/B1892</f>
        <v>0.00341122292341805</v>
      </c>
      <c r="D1892" s="1" t="n">
        <v>0.8925</v>
      </c>
      <c r="E1892" s="1" t="n">
        <f aca="false">LN(D1892)</f>
        <v>-0.113728765328343</v>
      </c>
    </row>
    <row r="1893" customFormat="false" ht="15.75" hidden="false" customHeight="false" outlineLevel="0" collapsed="false">
      <c r="A1893" s="1" t="s">
        <v>729</v>
      </c>
      <c r="B1893" s="1" t="n">
        <v>303.15</v>
      </c>
      <c r="C1893" s="1" t="n">
        <f aca="false">1/B1893</f>
        <v>0.0032986970146792</v>
      </c>
      <c r="D1893" s="1" t="n">
        <v>0.7843</v>
      </c>
      <c r="E1893" s="1" t="n">
        <f aca="false">LN(D1893)</f>
        <v>-0.242963678763516</v>
      </c>
    </row>
    <row r="1894" customFormat="false" ht="15.75" hidden="false" customHeight="false" outlineLevel="0" collapsed="false">
      <c r="A1894" s="1" t="s">
        <v>729</v>
      </c>
      <c r="B1894" s="1" t="n">
        <v>313.15</v>
      </c>
      <c r="C1894" s="1" t="n">
        <f aca="false">1/B1894</f>
        <v>0.00319335781574325</v>
      </c>
      <c r="D1894" s="1" t="n">
        <v>0.6976</v>
      </c>
      <c r="E1894" s="1" t="n">
        <f aca="false">LN(D1894)</f>
        <v>-0.360109406387367</v>
      </c>
    </row>
    <row r="1895" customFormat="false" ht="15.75" hidden="false" customHeight="false" outlineLevel="0" collapsed="false">
      <c r="A1895" s="1" t="s">
        <v>729</v>
      </c>
      <c r="B1895" s="1" t="n">
        <v>333.15</v>
      </c>
      <c r="C1895" s="1" t="n">
        <f aca="false">1/B1895</f>
        <v>0.0030016509079994</v>
      </c>
      <c r="D1895" s="1" t="n">
        <v>0.5642</v>
      </c>
      <c r="E1895" s="1" t="n">
        <f aca="false">LN(D1895)</f>
        <v>-0.572346480414241</v>
      </c>
    </row>
    <row r="1896" customFormat="false" ht="15.75" hidden="false" customHeight="false" outlineLevel="0" collapsed="false">
      <c r="A1896" s="1" t="s">
        <v>729</v>
      </c>
      <c r="B1896" s="1" t="n">
        <v>388.05</v>
      </c>
      <c r="C1896" s="1" t="n">
        <f aca="false">1/B1896</f>
        <v>0.00257698750161062</v>
      </c>
      <c r="D1896" s="1" t="n">
        <v>0.3483</v>
      </c>
      <c r="E1896" s="1" t="n">
        <f aca="false">LN(D1896)</f>
        <v>-1.05469110161018</v>
      </c>
    </row>
    <row r="1897" customFormat="false" ht="15.75" hidden="false" customHeight="false" outlineLevel="0" collapsed="false">
      <c r="A1897" s="1" t="s">
        <v>729</v>
      </c>
      <c r="B1897" s="1" t="n">
        <v>434.85</v>
      </c>
      <c r="C1897" s="1" t="n">
        <f aca="false">1/B1897</f>
        <v>0.00229964355524894</v>
      </c>
      <c r="D1897" s="1" t="n">
        <v>0.2587</v>
      </c>
      <c r="E1897" s="1" t="n">
        <f aca="false">LN(D1897)</f>
        <v>-1.35208618979015</v>
      </c>
    </row>
    <row r="1898" customFormat="false" ht="15.75" hidden="false" customHeight="false" outlineLevel="0" collapsed="false">
      <c r="A1898" s="1" t="s">
        <v>729</v>
      </c>
      <c r="B1898" s="1" t="n">
        <v>353.15</v>
      </c>
      <c r="C1898" s="1" t="n">
        <f aca="false">1/B1898</f>
        <v>0.00283165793572137</v>
      </c>
      <c r="D1898" s="1" t="n">
        <v>0.4686</v>
      </c>
      <c r="E1898" s="1" t="n">
        <f aca="false">LN(D1898)</f>
        <v>-0.758005752908442</v>
      </c>
    </row>
    <row r="1899" customFormat="false" ht="15.75" hidden="false" customHeight="false" outlineLevel="0" collapsed="false">
      <c r="A1899" s="1" t="s">
        <v>731</v>
      </c>
      <c r="B1899" s="1" t="n">
        <v>353.15</v>
      </c>
      <c r="C1899" s="1" t="n">
        <f aca="false">1/B1899</f>
        <v>0.00283165793572137</v>
      </c>
      <c r="D1899" s="1" t="n">
        <v>0.977</v>
      </c>
      <c r="E1899" s="1" t="n">
        <f aca="false">LN(D1899)</f>
        <v>-0.0232686269393543</v>
      </c>
    </row>
    <row r="1900" customFormat="false" ht="15.75" hidden="false" customHeight="false" outlineLevel="0" collapsed="false">
      <c r="A1900" s="1" t="s">
        <v>731</v>
      </c>
      <c r="B1900" s="1" t="n">
        <v>363.15</v>
      </c>
      <c r="C1900" s="1" t="n">
        <f aca="false">1/B1900</f>
        <v>0.00275368305108082</v>
      </c>
      <c r="D1900" s="1" t="n">
        <v>0.86</v>
      </c>
      <c r="E1900" s="1" t="n">
        <f aca="false">LN(D1900)</f>
        <v>-0.150822889734584</v>
      </c>
    </row>
    <row r="1901" customFormat="false" ht="15.75" hidden="false" customHeight="false" outlineLevel="0" collapsed="false">
      <c r="A1901" s="1" t="s">
        <v>731</v>
      </c>
      <c r="B1901" s="1" t="n">
        <v>373.15</v>
      </c>
      <c r="C1901" s="1" t="n">
        <f aca="false">1/B1901</f>
        <v>0.00267988744472732</v>
      </c>
      <c r="D1901" s="1" t="n">
        <v>0.77</v>
      </c>
      <c r="E1901" s="1" t="n">
        <f aca="false">LN(D1901)</f>
        <v>-0.261364764134407</v>
      </c>
    </row>
    <row r="1902" customFormat="false" ht="15.75" hidden="false" customHeight="false" outlineLevel="0" collapsed="false">
      <c r="A1902" s="1" t="s">
        <v>731</v>
      </c>
      <c r="B1902" s="1" t="n">
        <v>383.15</v>
      </c>
      <c r="C1902" s="1" t="n">
        <f aca="false">1/B1902</f>
        <v>0.00260994388620645</v>
      </c>
      <c r="D1902" s="1" t="n">
        <v>0.694</v>
      </c>
      <c r="E1902" s="1" t="n">
        <f aca="false">LN(D1902)</f>
        <v>-0.365283318475333</v>
      </c>
    </row>
    <row r="1903" customFormat="false" ht="15.75" hidden="false" customHeight="false" outlineLevel="0" collapsed="false">
      <c r="A1903" s="1" t="s">
        <v>731</v>
      </c>
      <c r="B1903" s="1" t="n">
        <v>398.15</v>
      </c>
      <c r="C1903" s="1" t="n">
        <f aca="false">1/B1903</f>
        <v>0.00251161622504081</v>
      </c>
      <c r="D1903" s="1" t="n">
        <v>0.598</v>
      </c>
      <c r="E1903" s="1" t="n">
        <f aca="false">LN(D1903)</f>
        <v>-0.514164525031505</v>
      </c>
    </row>
    <row r="1904" customFormat="false" ht="15.75" hidden="false" customHeight="false" outlineLevel="0" collapsed="false">
      <c r="A1904" s="1" t="s">
        <v>733</v>
      </c>
      <c r="B1904" s="1" t="n">
        <v>289.9</v>
      </c>
      <c r="C1904" s="1" t="n">
        <f aca="false">1/B1904</f>
        <v>0.0034494653328734</v>
      </c>
      <c r="D1904" s="1" t="n">
        <v>1.359</v>
      </c>
      <c r="E1904" s="1" t="n">
        <f aca="false">LN(D1904)</f>
        <v>0.306749135169007</v>
      </c>
    </row>
    <row r="1905" customFormat="false" ht="15.75" hidden="false" customHeight="false" outlineLevel="0" collapsed="false">
      <c r="A1905" s="1" t="s">
        <v>733</v>
      </c>
      <c r="B1905" s="1" t="n">
        <v>308.75</v>
      </c>
      <c r="C1905" s="1" t="n">
        <f aca="false">1/B1905</f>
        <v>0.00323886639676113</v>
      </c>
      <c r="D1905" s="1" t="n">
        <v>0.983</v>
      </c>
      <c r="E1905" s="1" t="n">
        <f aca="false">LN(D1905)</f>
        <v>-0.0171461588349705</v>
      </c>
    </row>
    <row r="1906" customFormat="false" ht="15.75" hidden="false" customHeight="false" outlineLevel="0" collapsed="false">
      <c r="A1906" s="1" t="s">
        <v>733</v>
      </c>
      <c r="B1906" s="1" t="n">
        <v>318.15</v>
      </c>
      <c r="C1906" s="1" t="n">
        <f aca="false">1/B1906</f>
        <v>0.00314317146000314</v>
      </c>
      <c r="D1906" s="1" t="n">
        <v>0.864</v>
      </c>
      <c r="E1906" s="1" t="n">
        <f aca="false">LN(D1906)</f>
        <v>-0.146182510178081</v>
      </c>
    </row>
    <row r="1907" customFormat="false" ht="15.75" hidden="false" customHeight="false" outlineLevel="0" collapsed="false">
      <c r="A1907" s="1" t="s">
        <v>733</v>
      </c>
      <c r="B1907" s="1" t="n">
        <v>328.75</v>
      </c>
      <c r="C1907" s="1" t="n">
        <f aca="false">1/B1907</f>
        <v>0.00304182509505703</v>
      </c>
      <c r="D1907" s="1" t="n">
        <v>0.751</v>
      </c>
      <c r="E1907" s="1" t="n">
        <f aca="false">LN(D1907)</f>
        <v>-0.286349627218002</v>
      </c>
    </row>
    <row r="1908" customFormat="false" ht="15.75" hidden="false" customHeight="false" outlineLevel="0" collapsed="false">
      <c r="A1908" s="1" t="s">
        <v>733</v>
      </c>
      <c r="B1908" s="1" t="n">
        <v>338.15</v>
      </c>
      <c r="C1908" s="1" t="n">
        <f aca="false">1/B1908</f>
        <v>0.002957267484844</v>
      </c>
      <c r="D1908" s="1" t="n">
        <v>0.619</v>
      </c>
      <c r="E1908" s="1" t="n">
        <f aca="false">LN(D1908)</f>
        <v>-0.479650006297541</v>
      </c>
    </row>
    <row r="1909" customFormat="false" ht="15.75" hidden="false" customHeight="false" outlineLevel="0" collapsed="false">
      <c r="A1909" s="1" t="s">
        <v>733</v>
      </c>
      <c r="B1909" s="1" t="n">
        <v>358.85</v>
      </c>
      <c r="C1909" s="1" t="n">
        <f aca="false">1/B1909</f>
        <v>0.0027866796711718</v>
      </c>
      <c r="D1909" s="1" t="n">
        <v>0.5304</v>
      </c>
      <c r="E1909" s="1" t="n">
        <f aca="false">LN(D1909)</f>
        <v>-0.634123840110484</v>
      </c>
    </row>
    <row r="1910" customFormat="false" ht="15.75" hidden="false" customHeight="false" outlineLevel="0" collapsed="false">
      <c r="A1910" s="1" t="s">
        <v>733</v>
      </c>
      <c r="B1910" s="1" t="n">
        <v>367.85</v>
      </c>
      <c r="C1910" s="1" t="n">
        <f aca="false">1/B1910</f>
        <v>0.00271849938833764</v>
      </c>
      <c r="D1910" s="1" t="n">
        <v>0.4812</v>
      </c>
      <c r="E1910" s="1" t="n">
        <f aca="false">LN(D1910)</f>
        <v>-0.731472294881613</v>
      </c>
    </row>
    <row r="1911" customFormat="false" ht="15.75" hidden="false" customHeight="false" outlineLevel="0" collapsed="false">
      <c r="A1911" s="1" t="s">
        <v>733</v>
      </c>
      <c r="B1911" s="1" t="n">
        <v>378.15</v>
      </c>
      <c r="C1911" s="1" t="n">
        <f aca="false">1/B1911</f>
        <v>0.00264445325928864</v>
      </c>
      <c r="D1911" s="1" t="n">
        <v>0.4355</v>
      </c>
      <c r="E1911" s="1" t="n">
        <f aca="false">LN(D1911)</f>
        <v>-0.83126048268958</v>
      </c>
    </row>
    <row r="1912" customFormat="false" ht="15.75" hidden="false" customHeight="false" outlineLevel="0" collapsed="false">
      <c r="A1912" s="1" t="s">
        <v>733</v>
      </c>
      <c r="B1912" s="1" t="n">
        <v>387.75</v>
      </c>
      <c r="C1912" s="1" t="n">
        <f aca="false">1/B1912</f>
        <v>0.00257898130238556</v>
      </c>
      <c r="D1912" s="1" t="n">
        <v>0.3972</v>
      </c>
      <c r="E1912" s="1" t="n">
        <f aca="false">LN(D1912)</f>
        <v>-0.923315346811119</v>
      </c>
    </row>
    <row r="1913" customFormat="false" ht="15.75" hidden="false" customHeight="false" outlineLevel="0" collapsed="false">
      <c r="A1913" s="1" t="s">
        <v>733</v>
      </c>
      <c r="B1913" s="1" t="n">
        <v>393.15</v>
      </c>
      <c r="C1913" s="1" t="n">
        <f aca="false">1/B1913</f>
        <v>0.00254355843825512</v>
      </c>
      <c r="D1913" s="1" t="n">
        <v>0.3785</v>
      </c>
      <c r="E1913" s="1" t="n">
        <f aca="false">LN(D1913)</f>
        <v>-0.971539206104634</v>
      </c>
    </row>
    <row r="1914" customFormat="false" ht="15.75" hidden="false" customHeight="false" outlineLevel="0" collapsed="false">
      <c r="A1914" s="1" t="s">
        <v>733</v>
      </c>
      <c r="B1914" s="1" t="n">
        <v>408.15</v>
      </c>
      <c r="C1914" s="1" t="n">
        <f aca="false">1/B1914</f>
        <v>0.0024500796275879</v>
      </c>
      <c r="D1914" s="1" t="n">
        <v>0.3323</v>
      </c>
      <c r="E1914" s="1" t="n">
        <f aca="false">LN(D1914)</f>
        <v>-1.10171710362159</v>
      </c>
    </row>
    <row r="1915" customFormat="false" ht="15.75" hidden="false" customHeight="false" outlineLevel="0" collapsed="false">
      <c r="A1915" s="1" t="s">
        <v>733</v>
      </c>
      <c r="B1915" s="1" t="n">
        <v>417.65</v>
      </c>
      <c r="C1915" s="1" t="n">
        <f aca="false">1/B1915</f>
        <v>0.00239434933556806</v>
      </c>
      <c r="D1915" s="1" t="n">
        <v>0.3083</v>
      </c>
      <c r="E1915" s="1" t="n">
        <f aca="false">LN(D1915)</f>
        <v>-1.17668194409003</v>
      </c>
    </row>
    <row r="1916" customFormat="false" ht="15.75" hidden="false" customHeight="false" outlineLevel="0" collapsed="false">
      <c r="A1916" s="1" t="s">
        <v>733</v>
      </c>
      <c r="B1916" s="1" t="n">
        <v>428.75</v>
      </c>
      <c r="C1916" s="1" t="n">
        <f aca="false">1/B1916</f>
        <v>0.00233236151603499</v>
      </c>
      <c r="D1916" s="1" t="n">
        <v>0.2834</v>
      </c>
      <c r="E1916" s="1" t="n">
        <f aca="false">LN(D1916)</f>
        <v>-1.26089595172556</v>
      </c>
    </row>
    <row r="1917" customFormat="false" ht="15.75" hidden="false" customHeight="false" outlineLevel="0" collapsed="false">
      <c r="A1917" s="1" t="s">
        <v>733</v>
      </c>
      <c r="B1917" s="1" t="n">
        <v>438.45</v>
      </c>
      <c r="C1917" s="1" t="n">
        <f aca="false">1/B1917</f>
        <v>0.00228076177443266</v>
      </c>
      <c r="D1917" s="1" t="n">
        <v>0.2639</v>
      </c>
      <c r="E1917" s="1" t="n">
        <f aca="false">LN(D1917)</f>
        <v>-1.33218503547286</v>
      </c>
    </row>
    <row r="1918" customFormat="false" ht="15.75" hidden="false" customHeight="false" outlineLevel="0" collapsed="false">
      <c r="A1918" s="1" t="s">
        <v>733</v>
      </c>
      <c r="B1918" s="1" t="n">
        <v>449.15</v>
      </c>
      <c r="C1918" s="1" t="n">
        <f aca="false">1/B1918</f>
        <v>0.00222642769676055</v>
      </c>
      <c r="D1918" s="1" t="n">
        <v>0.2446</v>
      </c>
      <c r="E1918" s="1" t="n">
        <f aca="false">LN(D1918)</f>
        <v>-1.40813105572907</v>
      </c>
    </row>
    <row r="1919" customFormat="false" ht="15.75" hidden="false" customHeight="false" outlineLevel="0" collapsed="false">
      <c r="A1919" s="1" t="s">
        <v>733</v>
      </c>
      <c r="B1919" s="1" t="n">
        <v>347.85</v>
      </c>
      <c r="C1919" s="1" t="n">
        <f aca="false">1/B1919</f>
        <v>0.00287480235733793</v>
      </c>
      <c r="D1919" s="1" t="n">
        <v>0.595</v>
      </c>
      <c r="E1919" s="1" t="n">
        <f aca="false">LN(D1919)</f>
        <v>-0.519193873436507</v>
      </c>
    </row>
    <row r="1920" customFormat="false" ht="15.75" hidden="false" customHeight="false" outlineLevel="0" collapsed="false">
      <c r="A1920" s="1" t="s">
        <v>733</v>
      </c>
      <c r="B1920" s="1" t="n">
        <v>397.95</v>
      </c>
      <c r="C1920" s="1" t="n">
        <f aca="false">1/B1920</f>
        <v>0.00251287850232441</v>
      </c>
      <c r="D1920" s="1" t="n">
        <v>0.3631</v>
      </c>
      <c r="E1920" s="1" t="n">
        <f aca="false">LN(D1920)</f>
        <v>-1.01307700056185</v>
      </c>
    </row>
    <row r="1921" customFormat="false" ht="15.75" hidden="false" customHeight="false" outlineLevel="0" collapsed="false">
      <c r="A1921" s="1" t="s">
        <v>735</v>
      </c>
      <c r="B1921" s="1" t="n">
        <v>293.15</v>
      </c>
      <c r="C1921" s="1" t="n">
        <f aca="false">1/B1921</f>
        <v>0.00341122292341805</v>
      </c>
      <c r="D1921" s="1" t="n">
        <v>3.025</v>
      </c>
      <c r="E1921" s="1" t="n">
        <f aca="false">LN(D1921)</f>
        <v>1.1069110914828</v>
      </c>
    </row>
    <row r="1922" customFormat="false" ht="15.75" hidden="false" customHeight="false" outlineLevel="0" collapsed="false">
      <c r="A1922" s="1" t="s">
        <v>735</v>
      </c>
      <c r="B1922" s="1" t="n">
        <v>303.15</v>
      </c>
      <c r="C1922" s="1" t="n">
        <f aca="false">1/B1922</f>
        <v>0.0032986970146792</v>
      </c>
      <c r="D1922" s="1" t="n">
        <v>2.37</v>
      </c>
      <c r="E1922" s="1" t="n">
        <f aca="false">LN(D1922)</f>
        <v>0.86288995514704</v>
      </c>
    </row>
    <row r="1923" customFormat="false" ht="15.75" hidden="false" customHeight="false" outlineLevel="0" collapsed="false">
      <c r="A1923" s="1" t="s">
        <v>735</v>
      </c>
      <c r="B1923" s="1" t="n">
        <v>313.15</v>
      </c>
      <c r="C1923" s="1" t="n">
        <f aca="false">1/B1923</f>
        <v>0.00319335781574325</v>
      </c>
      <c r="D1923" s="1" t="n">
        <v>1.925</v>
      </c>
      <c r="E1923" s="1" t="n">
        <f aca="false">LN(D1923)</f>
        <v>0.654925967739748</v>
      </c>
    </row>
    <row r="1924" customFormat="false" ht="15.75" hidden="false" customHeight="false" outlineLevel="0" collapsed="false">
      <c r="A1924" s="1" t="s">
        <v>735</v>
      </c>
      <c r="B1924" s="1" t="n">
        <v>323.15</v>
      </c>
      <c r="C1924" s="1" t="n">
        <f aca="false">1/B1924</f>
        <v>0.00309453814018258</v>
      </c>
      <c r="D1924" s="1" t="n">
        <v>1.58</v>
      </c>
      <c r="E1924" s="1" t="n">
        <f aca="false">LN(D1924)</f>
        <v>0.457424847038875</v>
      </c>
    </row>
    <row r="1925" customFormat="false" ht="15.75" hidden="false" customHeight="false" outlineLevel="0" collapsed="false">
      <c r="A1925" s="1" t="s">
        <v>735</v>
      </c>
      <c r="B1925" s="1" t="n">
        <v>333.15</v>
      </c>
      <c r="C1925" s="1" t="n">
        <f aca="false">1/B1925</f>
        <v>0.0030016509079994</v>
      </c>
      <c r="D1925" s="1" t="n">
        <v>1.34</v>
      </c>
      <c r="E1925" s="1" t="n">
        <f aca="false">LN(D1925)</f>
        <v>0.29266961396282</v>
      </c>
    </row>
    <row r="1926" customFormat="false" ht="15.75" hidden="false" customHeight="false" outlineLevel="0" collapsed="false">
      <c r="A1926" s="1" t="s">
        <v>737</v>
      </c>
      <c r="B1926" s="1" t="n">
        <v>293.3</v>
      </c>
      <c r="C1926" s="1" t="n">
        <f aca="false">1/B1926</f>
        <v>0.00340947834981248</v>
      </c>
      <c r="D1926" s="1" t="n">
        <v>1.34</v>
      </c>
      <c r="E1926" s="1" t="n">
        <f aca="false">LN(D1926)</f>
        <v>0.29266961396282</v>
      </c>
    </row>
    <row r="1927" customFormat="false" ht="15.75" hidden="false" customHeight="false" outlineLevel="0" collapsed="false">
      <c r="A1927" s="1" t="s">
        <v>737</v>
      </c>
      <c r="B1927" s="1" t="n">
        <v>303.15</v>
      </c>
      <c r="C1927" s="1" t="n">
        <f aca="false">1/B1927</f>
        <v>0.0032986970146792</v>
      </c>
      <c r="D1927" s="1" t="n">
        <v>1.113</v>
      </c>
      <c r="E1927" s="1" t="n">
        <f aca="false">LN(D1927)</f>
        <v>0.107059072293408</v>
      </c>
    </row>
    <row r="1928" customFormat="false" ht="15.75" hidden="false" customHeight="false" outlineLevel="0" collapsed="false">
      <c r="A1928" s="1" t="s">
        <v>737</v>
      </c>
      <c r="B1928" s="1" t="n">
        <v>313.15</v>
      </c>
      <c r="C1928" s="1" t="n">
        <f aca="false">1/B1928</f>
        <v>0.00319335781574325</v>
      </c>
      <c r="D1928" s="1" t="n">
        <v>0.95</v>
      </c>
      <c r="E1928" s="1" t="n">
        <f aca="false">LN(D1928)</f>
        <v>-0.0512932943875506</v>
      </c>
    </row>
    <row r="1929" customFormat="false" ht="15.75" hidden="false" customHeight="false" outlineLevel="0" collapsed="false">
      <c r="A1929" s="1" t="s">
        <v>737</v>
      </c>
      <c r="B1929" s="1" t="n">
        <v>323.15</v>
      </c>
      <c r="C1929" s="1" t="n">
        <f aca="false">1/B1929</f>
        <v>0.00309453814018258</v>
      </c>
      <c r="D1929" s="1" t="n">
        <v>0.82</v>
      </c>
      <c r="E1929" s="1" t="n">
        <f aca="false">LN(D1929)</f>
        <v>-0.198450938723838</v>
      </c>
    </row>
    <row r="1930" customFormat="false" ht="15.75" hidden="false" customHeight="false" outlineLevel="0" collapsed="false">
      <c r="A1930" s="1" t="s">
        <v>737</v>
      </c>
      <c r="B1930" s="1" t="n">
        <v>333.15</v>
      </c>
      <c r="C1930" s="1" t="n">
        <f aca="false">1/B1930</f>
        <v>0.0030016509079994</v>
      </c>
      <c r="D1930" s="1" t="n">
        <v>0.715</v>
      </c>
      <c r="E1930" s="1" t="n">
        <f aca="false">LN(D1930)</f>
        <v>-0.335472736288129</v>
      </c>
    </row>
    <row r="1931" customFormat="false" ht="15.75" hidden="false" customHeight="false" outlineLevel="0" collapsed="false">
      <c r="A1931" s="1" t="s">
        <v>94</v>
      </c>
      <c r="B1931" s="1" t="n">
        <v>293.15</v>
      </c>
      <c r="C1931" s="1" t="n">
        <f aca="false">1/B1931</f>
        <v>0.00341122292341805</v>
      </c>
      <c r="D1931" s="1" t="n">
        <v>0.6215</v>
      </c>
      <c r="E1931" s="1" t="n">
        <f aca="false">LN(D1931)</f>
        <v>-0.475619368031371</v>
      </c>
    </row>
    <row r="1932" customFormat="false" ht="15.75" hidden="false" customHeight="false" outlineLevel="0" collapsed="false">
      <c r="A1932" s="1" t="s">
        <v>94</v>
      </c>
      <c r="B1932" s="1" t="n">
        <v>303.15</v>
      </c>
      <c r="C1932" s="1" t="n">
        <f aca="false">1/B1932</f>
        <v>0.0032986970146792</v>
      </c>
      <c r="D1932" s="1" t="n">
        <v>0.5525</v>
      </c>
      <c r="E1932" s="1" t="n">
        <f aca="false">LN(D1932)</f>
        <v>-0.593301845590229</v>
      </c>
    </row>
    <row r="1933" customFormat="false" ht="15.75" hidden="false" customHeight="false" outlineLevel="0" collapsed="false">
      <c r="A1933" s="1" t="s">
        <v>94</v>
      </c>
      <c r="B1933" s="1" t="n">
        <v>313.15</v>
      </c>
      <c r="C1933" s="1" t="n">
        <f aca="false">1/B1933</f>
        <v>0.00319335781574325</v>
      </c>
      <c r="D1933" s="1" t="n">
        <v>0.495</v>
      </c>
      <c r="E1933" s="1" t="n">
        <f aca="false">LN(D1933)</f>
        <v>-0.703197516413447</v>
      </c>
    </row>
    <row r="1934" customFormat="false" ht="15.75" hidden="false" customHeight="false" outlineLevel="0" collapsed="false">
      <c r="A1934" s="1" t="s">
        <v>94</v>
      </c>
      <c r="B1934" s="1" t="n">
        <v>333.15</v>
      </c>
      <c r="C1934" s="1" t="n">
        <f aca="false">1/B1934</f>
        <v>0.0030016509079994</v>
      </c>
      <c r="D1934" s="1" t="n">
        <v>0.405</v>
      </c>
      <c r="E1934" s="1" t="n">
        <f aca="false">LN(D1934)</f>
        <v>-0.903868211875598</v>
      </c>
    </row>
    <row r="1935" customFormat="false" ht="15.75" hidden="false" customHeight="false" outlineLevel="0" collapsed="false">
      <c r="A1935" s="1" t="s">
        <v>739</v>
      </c>
      <c r="B1935" s="1" t="n">
        <v>291.15</v>
      </c>
      <c r="C1935" s="1" t="n">
        <f aca="false">1/B1935</f>
        <v>0.0034346556757685</v>
      </c>
      <c r="D1935" s="1" t="n">
        <v>5.745</v>
      </c>
      <c r="E1935" s="1" t="n">
        <f aca="false">LN(D1935)</f>
        <v>1.74832991130072</v>
      </c>
    </row>
    <row r="1936" customFormat="false" ht="15.75" hidden="false" customHeight="false" outlineLevel="0" collapsed="false">
      <c r="A1936" s="1" t="s">
        <v>739</v>
      </c>
      <c r="B1936" s="1" t="n">
        <v>307.95</v>
      </c>
      <c r="C1936" s="1" t="n">
        <f aca="false">1/B1936</f>
        <v>0.00324728040266277</v>
      </c>
      <c r="D1936" s="1" t="n">
        <v>2.866</v>
      </c>
      <c r="E1936" s="1" t="n">
        <f aca="false">LN(D1936)</f>
        <v>1.05291732940598</v>
      </c>
    </row>
    <row r="1937" customFormat="false" ht="15.75" hidden="false" customHeight="false" outlineLevel="0" collapsed="false">
      <c r="A1937" s="1" t="s">
        <v>739</v>
      </c>
      <c r="B1937" s="1" t="n">
        <v>323.15</v>
      </c>
      <c r="C1937" s="1" t="n">
        <f aca="false">1/B1937</f>
        <v>0.00309453814018258</v>
      </c>
      <c r="D1937" s="1" t="n">
        <v>1.703</v>
      </c>
      <c r="E1937" s="1" t="n">
        <f aca="false">LN(D1937)</f>
        <v>0.532391401680551</v>
      </c>
    </row>
    <row r="1938" customFormat="false" ht="15.75" hidden="false" customHeight="false" outlineLevel="0" collapsed="false">
      <c r="A1938" s="1" t="s">
        <v>739</v>
      </c>
      <c r="B1938" s="1" t="n">
        <v>336.95</v>
      </c>
      <c r="C1938" s="1" t="n">
        <f aca="false">1/B1938</f>
        <v>0.00296779937676213</v>
      </c>
      <c r="D1938" s="1" t="n">
        <v>1.152</v>
      </c>
      <c r="E1938" s="1" t="n">
        <f aca="false">LN(D1938)</f>
        <v>0.141499562273699</v>
      </c>
    </row>
    <row r="1939" customFormat="false" ht="15.75" hidden="false" customHeight="false" outlineLevel="0" collapsed="false">
      <c r="A1939" s="1" t="s">
        <v>739</v>
      </c>
      <c r="B1939" s="1" t="n">
        <v>352.05</v>
      </c>
      <c r="C1939" s="1" t="n">
        <f aca="false">1/B1939</f>
        <v>0.00284050560999858</v>
      </c>
      <c r="D1939" s="1" t="n">
        <v>0.812</v>
      </c>
      <c r="E1939" s="1" t="n">
        <f aca="false">LN(D1939)</f>
        <v>-0.208254938820459</v>
      </c>
    </row>
    <row r="1940" customFormat="false" ht="15.75" hidden="false" customHeight="false" outlineLevel="0" collapsed="false">
      <c r="A1940" s="1" t="s">
        <v>739</v>
      </c>
      <c r="B1940" s="1" t="n">
        <v>367.65</v>
      </c>
      <c r="C1940" s="1" t="n">
        <f aca="false">1/B1940</f>
        <v>0.00271997824017408</v>
      </c>
      <c r="D1940" s="1" t="n">
        <v>0.591</v>
      </c>
      <c r="E1940" s="1" t="n">
        <f aca="false">LN(D1940)</f>
        <v>-0.525939261576039</v>
      </c>
    </row>
    <row r="1941" customFormat="false" ht="15.75" hidden="false" customHeight="false" outlineLevel="0" collapsed="false">
      <c r="A1941" s="1" t="s">
        <v>739</v>
      </c>
      <c r="B1941" s="1" t="n">
        <v>382.65</v>
      </c>
      <c r="C1941" s="1" t="n">
        <f aca="false">1/B1941</f>
        <v>0.00261335424016726</v>
      </c>
      <c r="D1941" s="1" t="n">
        <v>0.459</v>
      </c>
      <c r="E1941" s="1" t="n">
        <f aca="false">LN(D1941)</f>
        <v>-0.778705068921592</v>
      </c>
    </row>
    <row r="1942" customFormat="false" ht="15.75" hidden="false" customHeight="false" outlineLevel="0" collapsed="false">
      <c r="A1942" s="1" t="s">
        <v>739</v>
      </c>
      <c r="B1942" s="1" t="n">
        <v>398.75</v>
      </c>
      <c r="C1942" s="1" t="n">
        <f aca="false">1/B1942</f>
        <v>0.00250783699059561</v>
      </c>
      <c r="D1942" s="1" t="n">
        <v>0.3637</v>
      </c>
      <c r="E1942" s="1" t="n">
        <f aca="false">LN(D1942)</f>
        <v>-1.01142592698919</v>
      </c>
    </row>
    <row r="1943" customFormat="false" ht="15.75" hidden="false" customHeight="false" outlineLevel="0" collapsed="false">
      <c r="A1943" s="1" t="s">
        <v>739</v>
      </c>
      <c r="B1943" s="1" t="n">
        <v>414.45</v>
      </c>
      <c r="C1943" s="1" t="n">
        <f aca="false">1/B1943</f>
        <v>0.00241283628905779</v>
      </c>
      <c r="D1943" s="1" t="n">
        <v>0.2985</v>
      </c>
      <c r="E1943" s="1" t="n">
        <f aca="false">LN(D1943)</f>
        <v>-1.20898534614948</v>
      </c>
    </row>
    <row r="1944" customFormat="false" ht="15.75" hidden="false" customHeight="false" outlineLevel="0" collapsed="false">
      <c r="A1944" s="1" t="s">
        <v>739</v>
      </c>
      <c r="B1944" s="1" t="n">
        <v>419.45</v>
      </c>
      <c r="C1944" s="1" t="n">
        <f aca="false">1/B1944</f>
        <v>0.00238407438312075</v>
      </c>
      <c r="D1944" s="1" t="n">
        <v>0.2828</v>
      </c>
      <c r="E1944" s="1" t="n">
        <f aca="false">LN(D1944)</f>
        <v>-1.26301534495972</v>
      </c>
    </row>
    <row r="1945" customFormat="false" ht="15.75" hidden="false" customHeight="false" outlineLevel="0" collapsed="false">
      <c r="A1945" s="1" t="s">
        <v>741</v>
      </c>
      <c r="B1945" s="1" t="n">
        <v>403.65</v>
      </c>
      <c r="C1945" s="1" t="n">
        <f aca="false">1/B1945</f>
        <v>0.00247739378174161</v>
      </c>
      <c r="D1945" s="1" t="n">
        <v>4.55</v>
      </c>
      <c r="E1945" s="1" t="n">
        <f aca="false">LN(D1945)</f>
        <v>1.51512723296286</v>
      </c>
    </row>
    <row r="1946" customFormat="false" ht="15.75" hidden="false" customHeight="false" outlineLevel="0" collapsed="false">
      <c r="A1946" s="1" t="s">
        <v>741</v>
      </c>
      <c r="B1946" s="1" t="n">
        <v>413.25</v>
      </c>
      <c r="C1946" s="1" t="n">
        <f aca="false">1/B1946</f>
        <v>0.00241984271022384</v>
      </c>
      <c r="D1946" s="1" t="n">
        <v>3.68</v>
      </c>
      <c r="E1946" s="1" t="n">
        <f aca="false">LN(D1946)</f>
        <v>1.30291275218084</v>
      </c>
    </row>
    <row r="1947" customFormat="false" ht="15.75" hidden="false" customHeight="false" outlineLevel="0" collapsed="false">
      <c r="A1947" s="1" t="s">
        <v>741</v>
      </c>
      <c r="B1947" s="1" t="n">
        <v>422.85</v>
      </c>
      <c r="C1947" s="1" t="n">
        <f aca="false">1/B1947</f>
        <v>0.00236490481258129</v>
      </c>
      <c r="D1947" s="1" t="n">
        <v>3.097</v>
      </c>
      <c r="E1947" s="1" t="n">
        <f aca="false">LN(D1947)</f>
        <v>1.13043390099107</v>
      </c>
    </row>
    <row r="1948" customFormat="false" ht="15.75" hidden="false" customHeight="false" outlineLevel="0" collapsed="false">
      <c r="A1948" s="1" t="s">
        <v>741</v>
      </c>
      <c r="B1948" s="1" t="n">
        <v>423.15</v>
      </c>
      <c r="C1948" s="1" t="n">
        <f aca="false">1/B1948</f>
        <v>0.00236322816967978</v>
      </c>
      <c r="D1948" s="1" t="n">
        <v>3.08</v>
      </c>
      <c r="E1948" s="1" t="n">
        <f aca="false">LN(D1948)</f>
        <v>1.12492959698548</v>
      </c>
    </row>
    <row r="1949" customFormat="false" ht="15.75" hidden="false" customHeight="false" outlineLevel="0" collapsed="false">
      <c r="A1949" s="1" t="s">
        <v>741</v>
      </c>
      <c r="B1949" s="1" t="n">
        <v>433.15</v>
      </c>
      <c r="C1949" s="1" t="n">
        <f aca="false">1/B1949</f>
        <v>0.00230866905229135</v>
      </c>
      <c r="D1949" s="1" t="n">
        <v>2.619</v>
      </c>
      <c r="E1949" s="1" t="n">
        <f aca="false">LN(D1949)</f>
        <v>0.962792565525575</v>
      </c>
    </row>
    <row r="1950" customFormat="false" ht="15.75" hidden="false" customHeight="false" outlineLevel="0" collapsed="false">
      <c r="A1950" s="1" t="s">
        <v>743</v>
      </c>
      <c r="B1950" s="1" t="n">
        <v>345.45</v>
      </c>
      <c r="C1950" s="1" t="n">
        <f aca="false">1/B1950</f>
        <v>0.0028947749312491</v>
      </c>
      <c r="D1950" s="1" t="n">
        <v>4.58</v>
      </c>
      <c r="E1950" s="1" t="n">
        <f aca="false">LN(D1950)</f>
        <v>1.52169899812609</v>
      </c>
    </row>
    <row r="1951" customFormat="false" ht="15.75" hidden="false" customHeight="false" outlineLevel="0" collapsed="false">
      <c r="A1951" s="1" t="s">
        <v>743</v>
      </c>
      <c r="B1951" s="1" t="n">
        <v>365.15</v>
      </c>
      <c r="C1951" s="1" t="n">
        <f aca="false">1/B1951</f>
        <v>0.00273860057510612</v>
      </c>
      <c r="D1951" s="1" t="n">
        <v>2.745</v>
      </c>
      <c r="E1951" s="1" t="n">
        <f aca="false">LN(D1951)</f>
        <v>1.00978107496149</v>
      </c>
    </row>
    <row r="1952" customFormat="false" ht="15.75" hidden="false" customHeight="false" outlineLevel="0" collapsed="false">
      <c r="A1952" s="1" t="s">
        <v>743</v>
      </c>
      <c r="B1952" s="1" t="n">
        <v>385.15</v>
      </c>
      <c r="C1952" s="1" t="n">
        <f aca="false">1/B1952</f>
        <v>0.00259639101648708</v>
      </c>
      <c r="D1952" s="1" t="n">
        <v>1.813</v>
      </c>
      <c r="E1952" s="1" t="n">
        <f aca="false">LN(D1952)</f>
        <v>0.594982931772714</v>
      </c>
    </row>
    <row r="1953" customFormat="false" ht="15.75" hidden="false" customHeight="false" outlineLevel="0" collapsed="false">
      <c r="A1953" s="1" t="s">
        <v>743</v>
      </c>
      <c r="B1953" s="1" t="n">
        <v>404.65</v>
      </c>
      <c r="C1953" s="1" t="n">
        <f aca="false">1/B1953</f>
        <v>0.00247127146917089</v>
      </c>
      <c r="D1953" s="1" t="n">
        <v>1.296</v>
      </c>
      <c r="E1953" s="1" t="n">
        <f aca="false">LN(D1953)</f>
        <v>0.259282597930083</v>
      </c>
    </row>
    <row r="1954" customFormat="false" ht="15.75" hidden="false" customHeight="false" outlineLevel="0" collapsed="false">
      <c r="A1954" s="1" t="s">
        <v>743</v>
      </c>
      <c r="B1954" s="1" t="n">
        <v>424.05</v>
      </c>
      <c r="C1954" s="1" t="n">
        <f aca="false">1/B1954</f>
        <v>0.00235821247494399</v>
      </c>
      <c r="D1954" s="1" t="n">
        <v>0.9782</v>
      </c>
      <c r="E1954" s="1" t="n">
        <f aca="false">LN(D1954)</f>
        <v>-0.0220411308768803</v>
      </c>
    </row>
    <row r="1955" customFormat="false" ht="15.75" hidden="false" customHeight="false" outlineLevel="0" collapsed="false">
      <c r="A1955" s="1" t="s">
        <v>743</v>
      </c>
      <c r="B1955" s="1" t="n">
        <v>445.75</v>
      </c>
      <c r="C1955" s="1" t="n">
        <f aca="false">1/B1955</f>
        <v>0.00224340998317443</v>
      </c>
      <c r="D1955" s="1" t="n">
        <v>0.726</v>
      </c>
      <c r="E1955" s="1" t="n">
        <f aca="false">LN(D1955)</f>
        <v>-0.320205264157341</v>
      </c>
    </row>
    <row r="1956" customFormat="false" ht="15.75" hidden="false" customHeight="false" outlineLevel="0" collapsed="false">
      <c r="A1956" s="1" t="s">
        <v>743</v>
      </c>
      <c r="B1956" s="1" t="n">
        <v>456.15</v>
      </c>
      <c r="C1956" s="1" t="n">
        <f aca="false">1/B1956</f>
        <v>0.00219226131754905</v>
      </c>
      <c r="D1956" s="1" t="n">
        <v>0.6489</v>
      </c>
      <c r="E1956" s="1" t="n">
        <f aca="false">LN(D1956)</f>
        <v>-0.432476657355014</v>
      </c>
    </row>
    <row r="1957" customFormat="false" ht="15.75" hidden="false" customHeight="false" outlineLevel="0" collapsed="false">
      <c r="A1957" s="1" t="s">
        <v>743</v>
      </c>
      <c r="B1957" s="1" t="n">
        <v>468.15</v>
      </c>
      <c r="C1957" s="1" t="n">
        <f aca="false">1/B1957</f>
        <v>0.00213606749973299</v>
      </c>
      <c r="D1957" s="1" t="n">
        <v>0.5713</v>
      </c>
      <c r="E1957" s="1" t="n">
        <f aca="false">LN(D1957)</f>
        <v>-0.55984081325172</v>
      </c>
    </row>
    <row r="1958" customFormat="false" ht="15.75" hidden="false" customHeight="false" outlineLevel="0" collapsed="false">
      <c r="A1958" s="1" t="s">
        <v>743</v>
      </c>
      <c r="B1958" s="1" t="n">
        <v>481.35</v>
      </c>
      <c r="C1958" s="1" t="n">
        <f aca="false">1/B1958</f>
        <v>0.00207749039160694</v>
      </c>
      <c r="D1958" s="1" t="n">
        <v>0.5055</v>
      </c>
      <c r="E1958" s="1" t="n">
        <f aca="false">LN(D1958)</f>
        <v>-0.682207240521611</v>
      </c>
    </row>
    <row r="1959" customFormat="false" ht="15.75" hidden="false" customHeight="false" outlineLevel="0" collapsed="false">
      <c r="A1959" s="1" t="s">
        <v>743</v>
      </c>
      <c r="B1959" s="1" t="n">
        <v>494.65</v>
      </c>
      <c r="C1959" s="1" t="n">
        <f aca="false">1/B1959</f>
        <v>0.00202163145658546</v>
      </c>
      <c r="D1959" s="1" t="n">
        <v>0.4495</v>
      </c>
      <c r="E1959" s="1" t="n">
        <f aca="false">LN(D1959)</f>
        <v>-0.799619425070462</v>
      </c>
    </row>
    <row r="1960" customFormat="false" ht="15.75" hidden="false" customHeight="false" outlineLevel="0" collapsed="false">
      <c r="A1960" s="1" t="s">
        <v>743</v>
      </c>
      <c r="B1960" s="1" t="n">
        <v>507.15</v>
      </c>
      <c r="C1960" s="1" t="n">
        <f aca="false">1/B1960</f>
        <v>0.00197180321403924</v>
      </c>
      <c r="D1960" s="1" t="n">
        <v>0.4016</v>
      </c>
      <c r="E1960" s="1" t="n">
        <f aca="false">LN(D1960)</f>
        <v>-0.912298710604618</v>
      </c>
    </row>
    <row r="1961" customFormat="false" ht="15.75" hidden="false" customHeight="false" outlineLevel="0" collapsed="false">
      <c r="A1961" s="1" t="s">
        <v>743</v>
      </c>
      <c r="B1961" s="1" t="n">
        <v>517.15</v>
      </c>
      <c r="C1961" s="1" t="n">
        <f aca="false">1/B1961</f>
        <v>0.00193367494924103</v>
      </c>
      <c r="D1961" s="1" t="n">
        <v>0.3733</v>
      </c>
      <c r="E1961" s="1" t="n">
        <f aca="false">LN(D1961)</f>
        <v>-0.985372893061599</v>
      </c>
    </row>
    <row r="1962" customFormat="false" ht="15.75" hidden="false" customHeight="false" outlineLevel="0" collapsed="false">
      <c r="A1962" s="1" t="s">
        <v>745</v>
      </c>
      <c r="B1962" s="1" t="n">
        <v>408.7542</v>
      </c>
      <c r="C1962" s="1" t="n">
        <f aca="false">1/B1962</f>
        <v>0.00244645804251063</v>
      </c>
      <c r="D1962" s="1" t="n">
        <v>0.518</v>
      </c>
      <c r="E1962" s="1" t="n">
        <f aca="false">LN(D1962)</f>
        <v>-0.657780036722654</v>
      </c>
    </row>
    <row r="1963" customFormat="false" ht="15.75" hidden="false" customHeight="false" outlineLevel="0" collapsed="false">
      <c r="A1963" s="1" t="s">
        <v>745</v>
      </c>
      <c r="B1963" s="1" t="n">
        <v>426.45</v>
      </c>
      <c r="C1963" s="1" t="n">
        <f aca="false">1/B1963</f>
        <v>0.00234494079024505</v>
      </c>
      <c r="D1963" s="1" t="n">
        <v>0.432</v>
      </c>
      <c r="E1963" s="1" t="n">
        <f aca="false">LN(D1963)</f>
        <v>-0.839329690738027</v>
      </c>
    </row>
    <row r="1964" customFormat="false" ht="15.75" hidden="false" customHeight="false" outlineLevel="0" collapsed="false">
      <c r="A1964" s="1" t="s">
        <v>745</v>
      </c>
      <c r="B1964" s="1" t="n">
        <v>440.65</v>
      </c>
      <c r="C1964" s="1" t="n">
        <f aca="false">1/B1964</f>
        <v>0.00226937478724611</v>
      </c>
      <c r="D1964" s="1" t="n">
        <v>0.379</v>
      </c>
      <c r="E1964" s="1" t="n">
        <f aca="false">LN(D1964)</f>
        <v>-0.970219073899711</v>
      </c>
    </row>
    <row r="1965" customFormat="false" ht="15.75" hidden="false" customHeight="false" outlineLevel="0" collapsed="false">
      <c r="A1965" s="1" t="s">
        <v>745</v>
      </c>
      <c r="B1965" s="1" t="n">
        <v>451.15</v>
      </c>
      <c r="C1965" s="1" t="n">
        <f aca="false">1/B1965</f>
        <v>0.00221655768591378</v>
      </c>
      <c r="D1965" s="1" t="n">
        <v>0.3466</v>
      </c>
      <c r="E1965" s="1" t="n">
        <f aca="false">LN(D1965)</f>
        <v>-1.05958390170063</v>
      </c>
    </row>
    <row r="1966" customFormat="false" ht="15.75" hidden="false" customHeight="false" outlineLevel="0" collapsed="false">
      <c r="A1966" s="1" t="s">
        <v>745</v>
      </c>
      <c r="B1966" s="1" t="n">
        <v>463.15</v>
      </c>
      <c r="C1966" s="1" t="n">
        <f aca="false">1/B1966</f>
        <v>0.00215912771240419</v>
      </c>
      <c r="D1966" s="1" t="n">
        <v>0.3137</v>
      </c>
      <c r="E1966" s="1" t="n">
        <f aca="false">LN(D1966)</f>
        <v>-1.1593181637855</v>
      </c>
    </row>
    <row r="1967" customFormat="false" ht="15.75" hidden="false" customHeight="false" outlineLevel="0" collapsed="false">
      <c r="A1967" s="1" t="s">
        <v>745</v>
      </c>
      <c r="B1967" s="1" t="n">
        <v>473.15</v>
      </c>
      <c r="C1967" s="1" t="n">
        <f aca="false">1/B1967</f>
        <v>0.00211349466342597</v>
      </c>
      <c r="D1967" s="1" t="n">
        <v>0.289</v>
      </c>
      <c r="E1967" s="1" t="n">
        <f aca="false">LN(D1967)</f>
        <v>-1.24132859086971</v>
      </c>
    </row>
    <row r="1968" customFormat="false" ht="15.75" hidden="false" customHeight="false" outlineLevel="0" collapsed="false">
      <c r="A1968" s="1" t="s">
        <v>745</v>
      </c>
      <c r="B1968" s="1" t="n">
        <v>313.0563</v>
      </c>
      <c r="C1968" s="1" t="n">
        <f aca="false">1/B1968</f>
        <v>0.00319431361068281</v>
      </c>
      <c r="D1968" s="1" t="n">
        <v>4.79</v>
      </c>
      <c r="E1968" s="1" t="n">
        <f aca="false">LN(D1968)</f>
        <v>1.56653041142282</v>
      </c>
    </row>
    <row r="1969" customFormat="false" ht="15.75" hidden="false" customHeight="false" outlineLevel="0" collapsed="false">
      <c r="A1969" s="1" t="s">
        <v>745</v>
      </c>
      <c r="B1969" s="1" t="n">
        <v>333.05</v>
      </c>
      <c r="C1969" s="1" t="n">
        <f aca="false">1/B1969</f>
        <v>0.00300255216934394</v>
      </c>
      <c r="D1969" s="1" t="n">
        <v>2.52</v>
      </c>
      <c r="E1969" s="1" t="n">
        <f aca="false">LN(D1969)</f>
        <v>0.924258901523332</v>
      </c>
    </row>
    <row r="1970" customFormat="false" ht="15.75" hidden="false" customHeight="false" outlineLevel="0" collapsed="false">
      <c r="A1970" s="1" t="s">
        <v>745</v>
      </c>
      <c r="B1970" s="1" t="n">
        <v>352.95</v>
      </c>
      <c r="C1970" s="1" t="n">
        <f aca="false">1/B1970</f>
        <v>0.00283326250177079</v>
      </c>
      <c r="D1970" s="1" t="n">
        <v>1.581</v>
      </c>
      <c r="E1970" s="1" t="n">
        <f aca="false">LN(D1970)</f>
        <v>0.458057558227335</v>
      </c>
    </row>
    <row r="1971" customFormat="false" ht="15.75" hidden="false" customHeight="false" outlineLevel="0" collapsed="false">
      <c r="A1971" s="1" t="s">
        <v>745</v>
      </c>
      <c r="B1971" s="1" t="n">
        <v>373.05</v>
      </c>
      <c r="C1971" s="1" t="n">
        <f aca="false">1/B1971</f>
        <v>0.00268060581691462</v>
      </c>
      <c r="D1971" s="1" t="n">
        <v>1.115</v>
      </c>
      <c r="E1971" s="1" t="n">
        <f aca="false">LN(D1971)</f>
        <v>0.108854404912082</v>
      </c>
    </row>
    <row r="1972" customFormat="false" ht="15.75" hidden="false" customHeight="false" outlineLevel="0" collapsed="false">
      <c r="A1972" s="1" t="s">
        <v>745</v>
      </c>
      <c r="B1972" s="1" t="n">
        <v>398.15</v>
      </c>
      <c r="C1972" s="1" t="n">
        <f aca="false">1/B1972</f>
        <v>0.00251161622504081</v>
      </c>
      <c r="D1972" s="1" t="n">
        <v>0.77</v>
      </c>
      <c r="E1972" s="1" t="n">
        <f aca="false">LN(D1972)</f>
        <v>-0.261364764134407</v>
      </c>
    </row>
    <row r="1973" customFormat="false" ht="15.75" hidden="false" customHeight="false" outlineLevel="0" collapsed="false">
      <c r="A1973" s="1" t="s">
        <v>747</v>
      </c>
      <c r="B1973" s="1" t="n">
        <v>303.15</v>
      </c>
      <c r="C1973" s="1" t="n">
        <f aca="false">1/B1973</f>
        <v>0.0032986970146792</v>
      </c>
      <c r="D1973" s="1" t="n">
        <v>1.437</v>
      </c>
      <c r="E1973" s="1" t="n">
        <f aca="false">LN(D1973)</f>
        <v>0.362557607096888</v>
      </c>
    </row>
    <row r="1974" customFormat="false" ht="15.75" hidden="false" customHeight="false" outlineLevel="0" collapsed="false">
      <c r="A1974" s="1" t="s">
        <v>747</v>
      </c>
      <c r="B1974" s="1" t="n">
        <v>313.15</v>
      </c>
      <c r="C1974" s="1" t="n">
        <f aca="false">1/B1974</f>
        <v>0.00319335781574325</v>
      </c>
      <c r="D1974" s="1" t="n">
        <v>1.22</v>
      </c>
      <c r="E1974" s="1" t="n">
        <f aca="false">LN(D1974)</f>
        <v>0.198850858745165</v>
      </c>
    </row>
    <row r="1975" customFormat="false" ht="15.75" hidden="false" customHeight="false" outlineLevel="0" collapsed="false">
      <c r="A1975" s="1" t="s">
        <v>747</v>
      </c>
      <c r="B1975" s="1" t="n">
        <v>323.15</v>
      </c>
      <c r="C1975" s="1" t="n">
        <f aca="false">1/B1975</f>
        <v>0.00309453814018258</v>
      </c>
      <c r="D1975" s="1" t="n">
        <v>1.05</v>
      </c>
      <c r="E1975" s="1" t="n">
        <f aca="false">LN(D1975)</f>
        <v>0.048790164169432</v>
      </c>
    </row>
    <row r="1976" customFormat="false" ht="15.75" hidden="false" customHeight="false" outlineLevel="0" collapsed="false">
      <c r="A1976" s="1" t="s">
        <v>747</v>
      </c>
      <c r="B1976" s="1" t="n">
        <v>333.15</v>
      </c>
      <c r="C1976" s="1" t="n">
        <f aca="false">1/B1976</f>
        <v>0.0030016509079994</v>
      </c>
      <c r="D1976" s="1" t="n">
        <v>0.916</v>
      </c>
      <c r="E1976" s="1" t="n">
        <f aca="false">LN(D1976)</f>
        <v>-0.0877389143080067</v>
      </c>
    </row>
    <row r="1977" customFormat="false" ht="15.75" hidden="false" customHeight="false" outlineLevel="0" collapsed="false">
      <c r="A1977" s="1" t="s">
        <v>747</v>
      </c>
      <c r="B1977" s="1" t="n">
        <v>353.15</v>
      </c>
      <c r="C1977" s="1" t="n">
        <f aca="false">1/B1977</f>
        <v>0.00283165793572137</v>
      </c>
      <c r="D1977" s="1" t="n">
        <v>0.722</v>
      </c>
      <c r="E1977" s="1" t="n">
        <f aca="false">LN(D1977)</f>
        <v>-0.325730140089311</v>
      </c>
    </row>
    <row r="1978" customFormat="false" ht="15.75" hidden="false" customHeight="false" outlineLevel="0" collapsed="false">
      <c r="A1978" s="1" t="s">
        <v>747</v>
      </c>
      <c r="B1978" s="1" t="n">
        <v>373.15</v>
      </c>
      <c r="C1978" s="1" t="n">
        <f aca="false">1/B1978</f>
        <v>0.00267988744472732</v>
      </c>
      <c r="D1978" s="1" t="n">
        <v>0.588</v>
      </c>
      <c r="E1978" s="1" t="n">
        <f aca="false">LN(D1978)</f>
        <v>-0.53102833108351</v>
      </c>
    </row>
    <row r="1979" customFormat="false" ht="15.75" hidden="false" customHeight="false" outlineLevel="0" collapsed="false">
      <c r="A1979" s="1" t="s">
        <v>747</v>
      </c>
      <c r="B1979" s="1" t="n">
        <v>393.15</v>
      </c>
      <c r="C1979" s="1" t="n">
        <f aca="false">1/B1979</f>
        <v>0.00254355843825512</v>
      </c>
      <c r="D1979" s="1" t="n">
        <v>0.491</v>
      </c>
      <c r="E1979" s="1" t="n">
        <f aca="false">LN(D1979)</f>
        <v>-0.711311151187616</v>
      </c>
    </row>
    <row r="1980" customFormat="false" ht="15.75" hidden="false" customHeight="false" outlineLevel="0" collapsed="false">
      <c r="A1980" s="1" t="s">
        <v>747</v>
      </c>
      <c r="B1980" s="1" t="n">
        <v>413.15</v>
      </c>
      <c r="C1980" s="1" t="n">
        <f aca="false">1/B1980</f>
        <v>0.0024204284158296</v>
      </c>
      <c r="D1980" s="1" t="n">
        <v>0.415</v>
      </c>
      <c r="E1980" s="1" t="n">
        <f aca="false">LN(D1980)</f>
        <v>-0.879476758751439</v>
      </c>
    </row>
    <row r="1981" customFormat="false" ht="15.75" hidden="false" customHeight="false" outlineLevel="0" collapsed="false">
      <c r="A1981" s="1" t="s">
        <v>1436</v>
      </c>
      <c r="B1981" s="1" t="n">
        <v>312.25</v>
      </c>
      <c r="C1981" s="1" t="n">
        <f aca="false">1/B1981</f>
        <v>0.00320256204963971</v>
      </c>
      <c r="D1981" s="1" t="n">
        <v>14.36</v>
      </c>
      <c r="E1981" s="1" t="n">
        <f aca="false">LN(D1981)</f>
        <v>2.66444656362008</v>
      </c>
    </row>
    <row r="1982" customFormat="false" ht="15.75" hidden="false" customHeight="false" outlineLevel="0" collapsed="false">
      <c r="A1982" s="1" t="s">
        <v>1436</v>
      </c>
      <c r="B1982" s="1" t="n">
        <v>339.05</v>
      </c>
      <c r="C1982" s="1" t="n">
        <f aca="false">1/B1982</f>
        <v>0.00294941749004572</v>
      </c>
      <c r="D1982" s="1" t="n">
        <v>4.257</v>
      </c>
      <c r="E1982" s="1" t="n">
        <f aca="false">LN(D1982)</f>
        <v>1.44856468684602</v>
      </c>
    </row>
    <row r="1983" customFormat="false" ht="15.75" hidden="false" customHeight="false" outlineLevel="0" collapsed="false">
      <c r="A1983" s="1" t="s">
        <v>1436</v>
      </c>
      <c r="B1983" s="1" t="n">
        <v>363.15</v>
      </c>
      <c r="C1983" s="1" t="n">
        <f aca="false">1/B1983</f>
        <v>0.00275368305108082</v>
      </c>
      <c r="D1983" s="1" t="n">
        <v>1.829</v>
      </c>
      <c r="E1983" s="1" t="n">
        <f aca="false">LN(D1983)</f>
        <v>0.603769369408729</v>
      </c>
    </row>
    <row r="1984" customFormat="false" ht="15.75" hidden="false" customHeight="false" outlineLevel="0" collapsed="false">
      <c r="A1984" s="1" t="s">
        <v>749</v>
      </c>
      <c r="B1984" s="1" t="n">
        <v>290.4549</v>
      </c>
      <c r="C1984" s="1" t="n">
        <f aca="false">1/B1984</f>
        <v>0.00344287529664674</v>
      </c>
      <c r="D1984" s="1" t="n">
        <v>1.8382</v>
      </c>
      <c r="E1984" s="1" t="n">
        <f aca="false">LN(D1984)</f>
        <v>0.608786831941872</v>
      </c>
    </row>
    <row r="1985" customFormat="false" ht="15.75" hidden="false" customHeight="false" outlineLevel="0" collapsed="false">
      <c r="A1985" s="1" t="s">
        <v>749</v>
      </c>
      <c r="B1985" s="1" t="n">
        <v>312.25</v>
      </c>
      <c r="C1985" s="1" t="n">
        <f aca="false">1/B1985</f>
        <v>0.00320256204963971</v>
      </c>
      <c r="D1985" s="1" t="n">
        <v>1.2337</v>
      </c>
      <c r="E1985" s="1" t="n">
        <f aca="false">LN(D1985)</f>
        <v>0.210017784095282</v>
      </c>
    </row>
    <row r="1986" customFormat="false" ht="15.75" hidden="false" customHeight="false" outlineLevel="0" collapsed="false">
      <c r="A1986" s="1" t="s">
        <v>749</v>
      </c>
      <c r="B1986" s="1" t="n">
        <v>339.05</v>
      </c>
      <c r="C1986" s="1" t="n">
        <f aca="false">1/B1986</f>
        <v>0.00294941749004572</v>
      </c>
      <c r="D1986" s="1" t="n">
        <v>0.8688</v>
      </c>
      <c r="E1986" s="1" t="n">
        <f aca="false">LN(D1986)</f>
        <v>-0.140642329802466</v>
      </c>
    </row>
    <row r="1987" customFormat="false" ht="15.75" hidden="false" customHeight="false" outlineLevel="0" collapsed="false">
      <c r="A1987" s="1" t="s">
        <v>749</v>
      </c>
      <c r="B1987" s="1" t="n">
        <v>363.15</v>
      </c>
      <c r="C1987" s="1" t="n">
        <f aca="false">1/B1987</f>
        <v>0.00275368305108082</v>
      </c>
      <c r="D1987" s="1" t="n">
        <v>0.6882</v>
      </c>
      <c r="E1987" s="1" t="n">
        <f aca="false">LN(D1987)</f>
        <v>-0.373675785618757</v>
      </c>
    </row>
    <row r="1988" customFormat="false" ht="15.75" hidden="false" customHeight="false" outlineLevel="0" collapsed="false">
      <c r="A1988" s="1" t="s">
        <v>749</v>
      </c>
      <c r="B1988" s="1" t="n">
        <v>288.1551</v>
      </c>
      <c r="C1988" s="1" t="n">
        <f aca="false">1/B1988</f>
        <v>0.00347035329237622</v>
      </c>
      <c r="D1988" s="1" t="n">
        <v>1.916</v>
      </c>
      <c r="E1988" s="1" t="n">
        <f aca="false">LN(D1988)</f>
        <v>0.650239679548669</v>
      </c>
    </row>
    <row r="1989" customFormat="false" ht="15.75" hidden="false" customHeight="false" outlineLevel="0" collapsed="false">
      <c r="A1989" s="1" t="s">
        <v>749</v>
      </c>
      <c r="B1989" s="1" t="n">
        <v>303.15</v>
      </c>
      <c r="C1989" s="1" t="n">
        <f aca="false">1/B1989</f>
        <v>0.0032986970146792</v>
      </c>
      <c r="D1989" s="1" t="n">
        <v>1.457</v>
      </c>
      <c r="E1989" s="1" t="n">
        <f aca="false">LN(D1989)</f>
        <v>0.376379527213068</v>
      </c>
    </row>
    <row r="1990" customFormat="false" ht="15.75" hidden="false" customHeight="false" outlineLevel="0" collapsed="false">
      <c r="A1990" s="1" t="s">
        <v>96</v>
      </c>
      <c r="B1990" s="1" t="n">
        <v>298.15</v>
      </c>
      <c r="C1990" s="1" t="n">
        <f aca="false">1/B1990</f>
        <v>0.00335401643468053</v>
      </c>
      <c r="D1990" s="1" t="n">
        <v>3.8229</v>
      </c>
      <c r="E1990" s="1" t="n">
        <f aca="false">LN(D1990)</f>
        <v>1.34100929690421</v>
      </c>
    </row>
    <row r="1991" customFormat="false" ht="15.75" hidden="false" customHeight="false" outlineLevel="0" collapsed="false">
      <c r="A1991" s="1" t="s">
        <v>751</v>
      </c>
      <c r="B1991" s="1" t="n">
        <v>293.1547</v>
      </c>
      <c r="C1991" s="1" t="n">
        <f aca="false">1/B1991</f>
        <v>0.00341116823301827</v>
      </c>
      <c r="D1991" s="1" t="n">
        <v>0.575</v>
      </c>
      <c r="E1991" s="1" t="n">
        <f aca="false">LN(D1991)</f>
        <v>-0.553385238184787</v>
      </c>
    </row>
    <row r="1992" customFormat="false" ht="15.75" hidden="false" customHeight="false" outlineLevel="0" collapsed="false">
      <c r="A1992" s="1" t="s">
        <v>751</v>
      </c>
      <c r="B1992" s="1" t="n">
        <v>298.15</v>
      </c>
      <c r="C1992" s="1" t="n">
        <f aca="false">1/B1992</f>
        <v>0.00335401643468053</v>
      </c>
      <c r="D1992" s="1" t="n">
        <v>0.543</v>
      </c>
      <c r="E1992" s="1" t="n">
        <f aca="false">LN(D1992)</f>
        <v>-0.610645959048201</v>
      </c>
    </row>
    <row r="1993" customFormat="false" ht="15.75" hidden="false" customHeight="false" outlineLevel="0" collapsed="false">
      <c r="A1993" s="1" t="s">
        <v>751</v>
      </c>
      <c r="B1993" s="1" t="n">
        <v>303.15</v>
      </c>
      <c r="C1993" s="1" t="n">
        <f aca="false">1/B1993</f>
        <v>0.0032986970146792</v>
      </c>
      <c r="D1993" s="1" t="n">
        <v>0.518</v>
      </c>
      <c r="E1993" s="1" t="n">
        <f aca="false">LN(D1993)</f>
        <v>-0.657780036722654</v>
      </c>
    </row>
    <row r="1994" customFormat="false" ht="15.75" hidden="false" customHeight="false" outlineLevel="0" collapsed="false">
      <c r="A1994" s="1" t="s">
        <v>751</v>
      </c>
      <c r="B1994" s="1" t="n">
        <v>308.15</v>
      </c>
      <c r="C1994" s="1" t="n">
        <f aca="false">1/B1994</f>
        <v>0.00324517280545189</v>
      </c>
      <c r="D1994" s="1" t="n">
        <v>0.494</v>
      </c>
      <c r="E1994" s="1" t="n">
        <f aca="false">LN(D1994)</f>
        <v>-0.705219761794215</v>
      </c>
    </row>
    <row r="1995" customFormat="false" ht="15.75" hidden="false" customHeight="false" outlineLevel="0" collapsed="false">
      <c r="A1995" s="1" t="s">
        <v>751</v>
      </c>
      <c r="B1995" s="1" t="n">
        <v>303.1519</v>
      </c>
      <c r="C1995" s="1" t="n">
        <f aca="false">1/B1995</f>
        <v>0.00329867634014499</v>
      </c>
      <c r="D1995" s="1" t="n">
        <v>0.497</v>
      </c>
      <c r="E1995" s="1" t="n">
        <f aca="false">LN(D1995)</f>
        <v>-0.699165252885508</v>
      </c>
    </row>
    <row r="1996" customFormat="false" ht="15.75" hidden="false" customHeight="false" outlineLevel="0" collapsed="false">
      <c r="A1996" s="1" t="s">
        <v>751</v>
      </c>
      <c r="B1996" s="1" t="n">
        <v>313.15</v>
      </c>
      <c r="C1996" s="1" t="n">
        <f aca="false">1/B1996</f>
        <v>0.00319335781574325</v>
      </c>
      <c r="D1996" s="1" t="n">
        <v>0.443</v>
      </c>
      <c r="E1996" s="1" t="n">
        <f aca="false">LN(D1996)</f>
        <v>-0.814185508937001</v>
      </c>
    </row>
    <row r="1997" customFormat="false" ht="15.75" hidden="false" customHeight="false" outlineLevel="0" collapsed="false">
      <c r="A1997" s="1" t="s">
        <v>751</v>
      </c>
      <c r="B1997" s="1" t="n">
        <v>323.15</v>
      </c>
      <c r="C1997" s="1" t="n">
        <f aca="false">1/B1997</f>
        <v>0.00309453814018258</v>
      </c>
      <c r="D1997" s="1" t="n">
        <v>0.401</v>
      </c>
      <c r="E1997" s="1" t="n">
        <f aca="false">LN(D1997)</f>
        <v>-0.913793851675568</v>
      </c>
    </row>
    <row r="1998" customFormat="false" ht="15.75" hidden="false" customHeight="false" outlineLevel="0" collapsed="false">
      <c r="A1998" s="1" t="s">
        <v>751</v>
      </c>
      <c r="B1998" s="1" t="n">
        <v>333.15</v>
      </c>
      <c r="C1998" s="1" t="n">
        <f aca="false">1/B1998</f>
        <v>0.0030016509079994</v>
      </c>
      <c r="D1998" s="1" t="n">
        <v>0.365</v>
      </c>
      <c r="E1998" s="1" t="n">
        <f aca="false">LN(D1998)</f>
        <v>-1.00785792539965</v>
      </c>
    </row>
    <row r="1999" customFormat="false" ht="15.75" hidden="false" customHeight="false" outlineLevel="0" collapsed="false">
      <c r="A1999" s="1" t="s">
        <v>751</v>
      </c>
      <c r="B1999" s="1" t="n">
        <v>293.1562</v>
      </c>
      <c r="C1999" s="1" t="n">
        <f aca="false">1/B1999</f>
        <v>0.0034111507790045</v>
      </c>
      <c r="D1999" s="1" t="n">
        <v>0.5878</v>
      </c>
      <c r="E1999" s="1" t="n">
        <f aca="false">LN(D1999)</f>
        <v>-0.53136852499732</v>
      </c>
    </row>
    <row r="2000" customFormat="false" ht="15.75" hidden="false" customHeight="false" outlineLevel="0" collapsed="false">
      <c r="A2000" s="1" t="s">
        <v>751</v>
      </c>
      <c r="B2000" s="1" t="n">
        <v>298.15</v>
      </c>
      <c r="C2000" s="1" t="n">
        <f aca="false">1/B2000</f>
        <v>0.00335401643468053</v>
      </c>
      <c r="D2000" s="1" t="n">
        <v>0.5463</v>
      </c>
      <c r="E2000" s="1" t="n">
        <f aca="false">LN(D2000)</f>
        <v>-0.604587003580465</v>
      </c>
    </row>
    <row r="2001" customFormat="false" ht="15.75" hidden="false" customHeight="false" outlineLevel="0" collapsed="false">
      <c r="A2001" s="1" t="s">
        <v>751</v>
      </c>
      <c r="B2001" s="1" t="n">
        <v>308.15</v>
      </c>
      <c r="C2001" s="1" t="n">
        <f aca="false">1/B2001</f>
        <v>0.00324517280545189</v>
      </c>
      <c r="D2001" s="1" t="n">
        <v>0.4871</v>
      </c>
      <c r="E2001" s="1" t="n">
        <f aca="false">LN(D2001)</f>
        <v>-0.71928583816964</v>
      </c>
    </row>
    <row r="2002" customFormat="false" ht="15.75" hidden="false" customHeight="false" outlineLevel="0" collapsed="false">
      <c r="A2002" s="1" t="s">
        <v>751</v>
      </c>
      <c r="B2002" s="1" t="n">
        <v>318.15</v>
      </c>
      <c r="C2002" s="1" t="n">
        <f aca="false">1/B2002</f>
        <v>0.00314317146000314</v>
      </c>
      <c r="D2002" s="1" t="n">
        <v>0.4373</v>
      </c>
      <c r="E2002" s="1" t="n">
        <f aca="false">LN(D2002)</f>
        <v>-0.827135820563262</v>
      </c>
    </row>
    <row r="2003" customFormat="false" ht="15.75" hidden="false" customHeight="false" outlineLevel="0" collapsed="false">
      <c r="A2003" s="1" t="s">
        <v>753</v>
      </c>
      <c r="B2003" s="1" t="n">
        <v>273.18</v>
      </c>
      <c r="C2003" s="1" t="n">
        <f aca="false">1/B2003</f>
        <v>0.00366059008712204</v>
      </c>
      <c r="D2003" s="1" t="n">
        <v>1.8985</v>
      </c>
      <c r="E2003" s="1" t="n">
        <f aca="false">LN(D2003)</f>
        <v>0.64106410068972</v>
      </c>
    </row>
    <row r="2004" customFormat="false" ht="15.75" hidden="false" customHeight="false" outlineLevel="0" collapsed="false">
      <c r="A2004" s="1" t="s">
        <v>753</v>
      </c>
      <c r="B2004" s="1" t="n">
        <v>283.15</v>
      </c>
      <c r="C2004" s="1" t="n">
        <f aca="false">1/B2004</f>
        <v>0.00353169698039908</v>
      </c>
      <c r="D2004" s="1" t="n">
        <v>1.4932</v>
      </c>
      <c r="E2004" s="1" t="n">
        <f aca="false">LN(D2004)</f>
        <v>0.400921468058292</v>
      </c>
    </row>
    <row r="2005" customFormat="false" ht="15.75" hidden="false" customHeight="false" outlineLevel="0" collapsed="false">
      <c r="A2005" s="1" t="s">
        <v>753</v>
      </c>
      <c r="B2005" s="1" t="n">
        <v>293.15</v>
      </c>
      <c r="C2005" s="1" t="n">
        <f aca="false">1/B2005</f>
        <v>0.00341122292341805</v>
      </c>
      <c r="D2005" s="1" t="n">
        <v>1.2005</v>
      </c>
      <c r="E2005" s="1" t="n">
        <f aca="false">LN(D2005)</f>
        <v>0.182738136679171</v>
      </c>
    </row>
    <row r="2006" customFormat="false" ht="15.75" hidden="false" customHeight="false" outlineLevel="0" collapsed="false">
      <c r="A2006" s="1" t="s">
        <v>753</v>
      </c>
      <c r="B2006" s="1" t="n">
        <v>303.15</v>
      </c>
      <c r="C2006" s="1" t="n">
        <f aca="false">1/B2006</f>
        <v>0.0032986970146792</v>
      </c>
      <c r="D2006" s="1" t="n">
        <v>0.9872</v>
      </c>
      <c r="E2006" s="1" t="n">
        <f aca="false">LN(D2006)</f>
        <v>-0.0128826258310137</v>
      </c>
    </row>
    <row r="2007" customFormat="false" ht="15.75" hidden="false" customHeight="false" outlineLevel="0" collapsed="false">
      <c r="A2007" s="1" t="s">
        <v>753</v>
      </c>
      <c r="B2007" s="1" t="n">
        <v>313.15</v>
      </c>
      <c r="C2007" s="1" t="n">
        <f aca="false">1/B2007</f>
        <v>0.00319335781574325</v>
      </c>
      <c r="D2007" s="1" t="n">
        <v>0.8258</v>
      </c>
      <c r="E2007" s="1" t="n">
        <f aca="false">LN(D2007)</f>
        <v>-0.191402665530147</v>
      </c>
    </row>
    <row r="2008" customFormat="false" ht="15.75" hidden="false" customHeight="false" outlineLevel="0" collapsed="false">
      <c r="A2008" s="1" t="s">
        <v>753</v>
      </c>
      <c r="B2008" s="1" t="n">
        <v>333.15</v>
      </c>
      <c r="C2008" s="1" t="n">
        <f aca="false">1/B2008</f>
        <v>0.0030016509079994</v>
      </c>
      <c r="D2008" s="1" t="n">
        <v>0.6061</v>
      </c>
      <c r="E2008" s="1" t="n">
        <f aca="false">LN(D2008)</f>
        <v>-0.500710290024898</v>
      </c>
    </row>
    <row r="2009" customFormat="false" ht="15.75" hidden="false" customHeight="false" outlineLevel="0" collapsed="false">
      <c r="A2009" s="1" t="s">
        <v>753</v>
      </c>
      <c r="B2009" s="1" t="n">
        <v>353.15</v>
      </c>
      <c r="C2009" s="1" t="n">
        <f aca="false">1/B2009</f>
        <v>0.00283165793572137</v>
      </c>
      <c r="D2009" s="1" t="n">
        <v>0.4673</v>
      </c>
      <c r="E2009" s="1" t="n">
        <f aca="false">LN(D2009)</f>
        <v>-0.760783829275757</v>
      </c>
    </row>
    <row r="2010" customFormat="false" ht="15.75" hidden="false" customHeight="false" outlineLevel="0" collapsed="false">
      <c r="A2010" s="1" t="s">
        <v>753</v>
      </c>
      <c r="B2010" s="1" t="n">
        <v>373.15</v>
      </c>
      <c r="C2010" s="1" t="n">
        <f aca="false">1/B2010</f>
        <v>0.00267988744472732</v>
      </c>
      <c r="D2010" s="1" t="n">
        <v>0.3745</v>
      </c>
      <c r="E2010" s="1" t="n">
        <f aca="false">LN(D2010)</f>
        <v>-0.982163476024863</v>
      </c>
    </row>
    <row r="2011" customFormat="false" ht="15.75" hidden="false" customHeight="false" outlineLevel="0" collapsed="false">
      <c r="A2011" s="1" t="s">
        <v>98</v>
      </c>
      <c r="B2011" s="1" t="n">
        <v>303.15</v>
      </c>
      <c r="C2011" s="1" t="n">
        <f aca="false">1/B2011</f>
        <v>0.0032986970146792</v>
      </c>
      <c r="D2011" s="1" t="n">
        <v>1.235</v>
      </c>
      <c r="E2011" s="1" t="n">
        <f aca="false">LN(D2011)</f>
        <v>0.211070970079941</v>
      </c>
    </row>
    <row r="2012" customFormat="false" ht="15.75" hidden="false" customHeight="false" outlineLevel="0" collapsed="false">
      <c r="A2012" s="1" t="s">
        <v>98</v>
      </c>
      <c r="B2012" s="1" t="n">
        <v>313.15</v>
      </c>
      <c r="C2012" s="1" t="n">
        <f aca="false">1/B2012</f>
        <v>0.00319335781574325</v>
      </c>
      <c r="D2012" s="1" t="n">
        <v>1.063</v>
      </c>
      <c r="E2012" s="1" t="n">
        <f aca="false">LN(D2012)</f>
        <v>0.0610950993598108</v>
      </c>
    </row>
    <row r="2013" customFormat="false" ht="15.75" hidden="false" customHeight="false" outlineLevel="0" collapsed="false">
      <c r="A2013" s="1" t="s">
        <v>98</v>
      </c>
      <c r="B2013" s="1" t="n">
        <v>333.15</v>
      </c>
      <c r="C2013" s="1" t="n">
        <f aca="false">1/B2013</f>
        <v>0.0030016509079994</v>
      </c>
      <c r="D2013" s="1" t="n">
        <v>0.821</v>
      </c>
      <c r="E2013" s="1" t="n">
        <f aca="false">LN(D2013)</f>
        <v>-0.197232169529709</v>
      </c>
    </row>
    <row r="2014" customFormat="false" ht="15.75" hidden="false" customHeight="false" outlineLevel="0" collapsed="false">
      <c r="A2014" s="1" t="s">
        <v>100</v>
      </c>
      <c r="B2014" s="1" t="n">
        <v>303.15</v>
      </c>
      <c r="C2014" s="1" t="n">
        <f aca="false">1/B2014</f>
        <v>0.0032986970146792</v>
      </c>
      <c r="D2014" s="1" t="n">
        <v>1.899</v>
      </c>
      <c r="E2014" s="1" t="n">
        <f aca="false">LN(D2014)</f>
        <v>0.641327431830149</v>
      </c>
    </row>
    <row r="2015" customFormat="false" ht="15.75" hidden="false" customHeight="false" outlineLevel="0" collapsed="false">
      <c r="A2015" s="1" t="s">
        <v>100</v>
      </c>
      <c r="B2015" s="1" t="n">
        <v>313.15</v>
      </c>
      <c r="C2015" s="1" t="n">
        <f aca="false">1/B2015</f>
        <v>0.00319335781574325</v>
      </c>
      <c r="D2015" s="1" t="n">
        <v>1.576</v>
      </c>
      <c r="E2015" s="1" t="n">
        <f aca="false">LN(D2015)</f>
        <v>0.454889991435687</v>
      </c>
    </row>
    <row r="2016" customFormat="false" ht="15.75" hidden="false" customHeight="false" outlineLevel="0" collapsed="false">
      <c r="A2016" s="1" t="s">
        <v>100</v>
      </c>
      <c r="B2016" s="1" t="n">
        <v>333.15</v>
      </c>
      <c r="C2016" s="1" t="n">
        <f aca="false">1/B2016</f>
        <v>0.0030016509079994</v>
      </c>
      <c r="D2016" s="1" t="n">
        <v>1.151</v>
      </c>
      <c r="E2016" s="1" t="n">
        <f aca="false">LN(D2016)</f>
        <v>0.140631129739746</v>
      </c>
    </row>
    <row r="2017" customFormat="false" ht="15.75" hidden="false" customHeight="false" outlineLevel="0" collapsed="false">
      <c r="A2017" s="1" t="s">
        <v>102</v>
      </c>
      <c r="B2017" s="1" t="n">
        <v>303.15</v>
      </c>
      <c r="C2017" s="1" t="n">
        <f aca="false">1/B2017</f>
        <v>0.0032986970146792</v>
      </c>
      <c r="D2017" s="1" t="n">
        <v>1.499</v>
      </c>
      <c r="E2017" s="1" t="n">
        <f aca="false">LN(D2017)</f>
        <v>0.404798219120461</v>
      </c>
    </row>
    <row r="2018" customFormat="false" ht="15.75" hidden="false" customHeight="false" outlineLevel="0" collapsed="false">
      <c r="A2018" s="1" t="s">
        <v>102</v>
      </c>
      <c r="B2018" s="1" t="n">
        <v>313.15</v>
      </c>
      <c r="C2018" s="1" t="n">
        <f aca="false">1/B2018</f>
        <v>0.00319335781574325</v>
      </c>
      <c r="D2018" s="1" t="n">
        <v>1.268</v>
      </c>
      <c r="E2018" s="1" t="n">
        <f aca="false">LN(D2018)</f>
        <v>0.237440856015034</v>
      </c>
    </row>
    <row r="2019" customFormat="false" ht="15.75" hidden="false" customHeight="false" outlineLevel="0" collapsed="false">
      <c r="A2019" s="1" t="s">
        <v>102</v>
      </c>
      <c r="B2019" s="1" t="n">
        <v>333.15</v>
      </c>
      <c r="C2019" s="1" t="n">
        <f aca="false">1/B2019</f>
        <v>0.0030016509079994</v>
      </c>
      <c r="D2019" s="1" t="n">
        <v>0.955</v>
      </c>
      <c r="E2019" s="1" t="n">
        <f aca="false">LN(D2019)</f>
        <v>-0.0460439385014069</v>
      </c>
    </row>
    <row r="2020" customFormat="false" ht="15.75" hidden="false" customHeight="false" outlineLevel="0" collapsed="false">
      <c r="A2020" s="1" t="s">
        <v>104</v>
      </c>
      <c r="B2020" s="1" t="n">
        <v>303.15</v>
      </c>
      <c r="C2020" s="1" t="n">
        <f aca="false">1/B2020</f>
        <v>0.0032986970146792</v>
      </c>
      <c r="D2020" s="1" t="n">
        <v>1.872</v>
      </c>
      <c r="E2020" s="1" t="n">
        <f aca="false">LN(D2020)</f>
        <v>0.6270073780554</v>
      </c>
    </row>
    <row r="2021" customFormat="false" ht="15.75" hidden="false" customHeight="false" outlineLevel="0" collapsed="false">
      <c r="A2021" s="1" t="s">
        <v>104</v>
      </c>
      <c r="B2021" s="1" t="n">
        <v>313.15</v>
      </c>
      <c r="C2021" s="1" t="n">
        <f aca="false">1/B2021</f>
        <v>0.00319335781574325</v>
      </c>
      <c r="D2021" s="1" t="n">
        <v>1.56</v>
      </c>
      <c r="E2021" s="1" t="n">
        <f aca="false">LN(D2021)</f>
        <v>0.444685821261446</v>
      </c>
    </row>
    <row r="2022" customFormat="false" ht="15.75" hidden="false" customHeight="false" outlineLevel="0" collapsed="false">
      <c r="A2022" s="1" t="s">
        <v>104</v>
      </c>
      <c r="B2022" s="1" t="n">
        <v>333.15</v>
      </c>
      <c r="C2022" s="1" t="n">
        <f aca="false">1/B2022</f>
        <v>0.0030016509079994</v>
      </c>
      <c r="D2022" s="1" t="n">
        <v>1.146</v>
      </c>
      <c r="E2022" s="1" t="n">
        <f aca="false">LN(D2022)</f>
        <v>0.136277618292548</v>
      </c>
    </row>
    <row r="2023" customFormat="false" ht="15.75" hidden="false" customHeight="false" outlineLevel="0" collapsed="false">
      <c r="A2023" s="1" t="s">
        <v>106</v>
      </c>
      <c r="B2023" s="1" t="n">
        <v>303.15</v>
      </c>
      <c r="C2023" s="1" t="n">
        <f aca="false">1/B2023</f>
        <v>0.0032986970146792</v>
      </c>
      <c r="D2023" s="1" t="n">
        <v>1.603</v>
      </c>
      <c r="E2023" s="1" t="n">
        <f aca="false">LN(D2023)</f>
        <v>0.471876873627416</v>
      </c>
    </row>
    <row r="2024" customFormat="false" ht="15.75" hidden="false" customHeight="false" outlineLevel="0" collapsed="false">
      <c r="A2024" s="1" t="s">
        <v>106</v>
      </c>
      <c r="B2024" s="1" t="n">
        <v>313.15</v>
      </c>
      <c r="C2024" s="1" t="n">
        <f aca="false">1/B2024</f>
        <v>0.00319335781574325</v>
      </c>
      <c r="D2024" s="1" t="n">
        <v>1.347</v>
      </c>
      <c r="E2024" s="1" t="n">
        <f aca="false">LN(D2024)</f>
        <v>0.297879897428227</v>
      </c>
    </row>
    <row r="2025" customFormat="false" ht="15.75" hidden="false" customHeight="false" outlineLevel="0" collapsed="false">
      <c r="A2025" s="1" t="s">
        <v>106</v>
      </c>
      <c r="B2025" s="1" t="n">
        <v>333.15</v>
      </c>
      <c r="C2025" s="1" t="n">
        <f aca="false">1/B2025</f>
        <v>0.0030016509079994</v>
      </c>
      <c r="D2025" s="1" t="n">
        <v>1.005</v>
      </c>
      <c r="E2025" s="1" t="n">
        <f aca="false">LN(D2025)</f>
        <v>0.00498754151103897</v>
      </c>
    </row>
    <row r="2026" customFormat="false" ht="15.75" hidden="false" customHeight="false" outlineLevel="0" collapsed="false">
      <c r="A2026" s="1" t="s">
        <v>755</v>
      </c>
      <c r="B2026" s="1" t="n">
        <v>379.1553</v>
      </c>
      <c r="C2026" s="1" t="n">
        <f aca="false">1/B2026</f>
        <v>0.00263744170264796</v>
      </c>
      <c r="D2026" s="1" t="n">
        <v>4.633</v>
      </c>
      <c r="E2026" s="1" t="n">
        <f aca="false">LN(D2026)</f>
        <v>1.53320460643451</v>
      </c>
    </row>
    <row r="2027" customFormat="false" ht="15.75" hidden="false" customHeight="false" outlineLevel="0" collapsed="false">
      <c r="A2027" s="1" t="s">
        <v>755</v>
      </c>
      <c r="B2027" s="1" t="n">
        <v>381.15</v>
      </c>
      <c r="C2027" s="1" t="n">
        <f aca="false">1/B2027</f>
        <v>0.00262363898727535</v>
      </c>
      <c r="D2027" s="1" t="n">
        <v>4.408</v>
      </c>
      <c r="E2027" s="1" t="n">
        <f aca="false">LN(D2027)</f>
        <v>1.48342107185061</v>
      </c>
    </row>
    <row r="2028" customFormat="false" ht="15.75" hidden="false" customHeight="false" outlineLevel="0" collapsed="false">
      <c r="A2028" s="1" t="s">
        <v>755</v>
      </c>
      <c r="B2028" s="1" t="n">
        <v>383.15</v>
      </c>
      <c r="C2028" s="1" t="n">
        <f aca="false">1/B2028</f>
        <v>0.00260994388620645</v>
      </c>
      <c r="D2028" s="1" t="n">
        <v>4.236</v>
      </c>
      <c r="E2028" s="1" t="n">
        <f aca="false">LN(D2028)</f>
        <v>1.44361942773916</v>
      </c>
    </row>
    <row r="2029" customFormat="false" ht="15.75" hidden="false" customHeight="false" outlineLevel="0" collapsed="false">
      <c r="A2029" s="1" t="s">
        <v>755</v>
      </c>
      <c r="B2029" s="1" t="n">
        <v>384.15</v>
      </c>
      <c r="C2029" s="1" t="n">
        <f aca="false">1/B2029</f>
        <v>0.00260314981127164</v>
      </c>
      <c r="D2029" s="1" t="n">
        <v>4.106</v>
      </c>
      <c r="E2029" s="1" t="n">
        <f aca="false">LN(D2029)</f>
        <v>1.41244931859674</v>
      </c>
    </row>
    <row r="2030" customFormat="false" ht="15.75" hidden="false" customHeight="false" outlineLevel="0" collapsed="false">
      <c r="A2030" s="1" t="s">
        <v>755</v>
      </c>
      <c r="B2030" s="1" t="n">
        <v>386.15</v>
      </c>
      <c r="C2030" s="1" t="n">
        <f aca="false">1/B2030</f>
        <v>0.00258966722776123</v>
      </c>
      <c r="D2030" s="1" t="n">
        <v>3.902</v>
      </c>
      <c r="E2030" s="1" t="n">
        <f aca="false">LN(D2030)</f>
        <v>1.36148924220092</v>
      </c>
    </row>
    <row r="2031" customFormat="false" ht="15.75" hidden="false" customHeight="false" outlineLevel="0" collapsed="false">
      <c r="A2031" s="1" t="s">
        <v>755</v>
      </c>
      <c r="B2031" s="1" t="n">
        <v>387.15</v>
      </c>
      <c r="C2031" s="1" t="n">
        <f aca="false">1/B2031</f>
        <v>0.00258297817383443</v>
      </c>
      <c r="D2031" s="1" t="n">
        <v>3.814</v>
      </c>
      <c r="E2031" s="1" t="n">
        <f aca="false">LN(D2031)</f>
        <v>1.33867850717823</v>
      </c>
    </row>
    <row r="2032" customFormat="false" ht="15.75" hidden="false" customHeight="false" outlineLevel="0" collapsed="false">
      <c r="A2032" s="1" t="s">
        <v>755</v>
      </c>
      <c r="B2032" s="1" t="n">
        <v>390.15</v>
      </c>
      <c r="C2032" s="1" t="n">
        <f aca="false">1/B2032</f>
        <v>0.00256311674996796</v>
      </c>
      <c r="D2032" s="1" t="n">
        <v>3.63</v>
      </c>
      <c r="E2032" s="1" t="n">
        <f aca="false">LN(D2032)</f>
        <v>1.28923264827676</v>
      </c>
    </row>
    <row r="2033" customFormat="false" ht="15.75" hidden="false" customHeight="false" outlineLevel="0" collapsed="false">
      <c r="A2033" s="1" t="s">
        <v>755</v>
      </c>
      <c r="B2033" s="1" t="n">
        <v>393.15</v>
      </c>
      <c r="C2033" s="1" t="n">
        <f aca="false">1/B2033</f>
        <v>0.00254355843825512</v>
      </c>
      <c r="D2033" s="1" t="n">
        <v>3.41</v>
      </c>
      <c r="E2033" s="1" t="n">
        <f aca="false">LN(D2033)</f>
        <v>1.22671229129543</v>
      </c>
    </row>
    <row r="2034" customFormat="false" ht="15.75" hidden="false" customHeight="false" outlineLevel="0" collapsed="false">
      <c r="A2034" s="1" t="s">
        <v>755</v>
      </c>
      <c r="B2034" s="1" t="n">
        <v>395.15</v>
      </c>
      <c r="C2034" s="1" t="n">
        <f aca="false">1/B2034</f>
        <v>0.00253068455017082</v>
      </c>
      <c r="D2034" s="1" t="n">
        <v>3.281</v>
      </c>
      <c r="E2034" s="1" t="n">
        <f aca="false">LN(D2034)</f>
        <v>1.18814825397896</v>
      </c>
    </row>
    <row r="2035" customFormat="false" ht="15.75" hidden="false" customHeight="false" outlineLevel="0" collapsed="false">
      <c r="A2035" s="1" t="s">
        <v>755</v>
      </c>
      <c r="B2035" s="1" t="n">
        <v>398.15</v>
      </c>
      <c r="C2035" s="1" t="n">
        <f aca="false">1/B2035</f>
        <v>0.00251161622504081</v>
      </c>
      <c r="D2035" s="1" t="n">
        <v>3.099</v>
      </c>
      <c r="E2035" s="1" t="n">
        <f aca="false">LN(D2035)</f>
        <v>1.13107947880561</v>
      </c>
    </row>
    <row r="2036" customFormat="false" ht="15.75" hidden="false" customHeight="false" outlineLevel="0" collapsed="false">
      <c r="A2036" s="1" t="s">
        <v>755</v>
      </c>
      <c r="B2036" s="1" t="n">
        <v>400.15</v>
      </c>
      <c r="C2036" s="1" t="n">
        <f aca="false">1/B2036</f>
        <v>0.00249906285143071</v>
      </c>
      <c r="D2036" s="1" t="n">
        <v>2.999</v>
      </c>
      <c r="E2036" s="1" t="n">
        <f aca="false">LN(D2036)</f>
        <v>1.09827889976687</v>
      </c>
    </row>
    <row r="2037" customFormat="false" ht="15.75" hidden="false" customHeight="false" outlineLevel="0" collapsed="false">
      <c r="A2037" s="1" t="s">
        <v>755</v>
      </c>
      <c r="B2037" s="1" t="n">
        <v>405.15</v>
      </c>
      <c r="C2037" s="1" t="n">
        <f aca="false">1/B2037</f>
        <v>0.00246822164630384</v>
      </c>
      <c r="D2037" s="1" t="n">
        <v>2.762</v>
      </c>
      <c r="E2037" s="1" t="n">
        <f aca="false">LN(D2037)</f>
        <v>1.0159550549871</v>
      </c>
    </row>
    <row r="2038" customFormat="false" ht="15.75" hidden="false" customHeight="false" outlineLevel="0" collapsed="false">
      <c r="A2038" s="1" t="s">
        <v>755</v>
      </c>
      <c r="B2038" s="1" t="n">
        <v>408.15</v>
      </c>
      <c r="C2038" s="1" t="n">
        <f aca="false">1/B2038</f>
        <v>0.0024500796275879</v>
      </c>
      <c r="D2038" s="1" t="n">
        <v>2.605</v>
      </c>
      <c r="E2038" s="1" t="n">
        <f aca="false">LN(D2038)</f>
        <v>0.95743267520533</v>
      </c>
    </row>
    <row r="2039" customFormat="false" ht="15.75" hidden="false" customHeight="false" outlineLevel="0" collapsed="false">
      <c r="A2039" s="1" t="s">
        <v>755</v>
      </c>
      <c r="B2039" s="1" t="n">
        <v>402.151</v>
      </c>
      <c r="C2039" s="1" t="n">
        <f aca="false">1/B2039</f>
        <v>0.00248662815708527</v>
      </c>
      <c r="D2039" s="1" t="n">
        <v>2.941</v>
      </c>
      <c r="E2039" s="1" t="n">
        <f aca="false">LN(D2039)</f>
        <v>1.07874965957186</v>
      </c>
    </row>
    <row r="2040" customFormat="false" ht="15.75" hidden="false" customHeight="false" outlineLevel="0" collapsed="false">
      <c r="A2040" s="1" t="s">
        <v>755</v>
      </c>
      <c r="B2040" s="1" t="n">
        <v>422.65</v>
      </c>
      <c r="C2040" s="1" t="n">
        <f aca="false">1/B2040</f>
        <v>0.00236602389684136</v>
      </c>
      <c r="D2040" s="1" t="n">
        <v>2.096</v>
      </c>
      <c r="E2040" s="1" t="n">
        <f aca="false">LN(D2040)</f>
        <v>0.740030766458796</v>
      </c>
    </row>
    <row r="2041" customFormat="false" ht="15.75" hidden="false" customHeight="false" outlineLevel="0" collapsed="false">
      <c r="A2041" s="1" t="s">
        <v>755</v>
      </c>
      <c r="B2041" s="1" t="n">
        <v>423.15</v>
      </c>
      <c r="C2041" s="1" t="n">
        <f aca="false">1/B2041</f>
        <v>0.00236322816967978</v>
      </c>
      <c r="D2041" s="1" t="n">
        <v>2.08</v>
      </c>
      <c r="E2041" s="1" t="n">
        <f aca="false">LN(D2041)</f>
        <v>0.732367893713227</v>
      </c>
    </row>
    <row r="2042" customFormat="false" ht="15.75" hidden="false" customHeight="false" outlineLevel="0" collapsed="false">
      <c r="A2042" s="1" t="s">
        <v>755</v>
      </c>
      <c r="B2042" s="1" t="n">
        <v>442.45</v>
      </c>
      <c r="C2042" s="1" t="n">
        <f aca="false">1/B2042</f>
        <v>0.00226014238897051</v>
      </c>
      <c r="D2042" s="1" t="n">
        <v>1.58</v>
      </c>
      <c r="E2042" s="1" t="n">
        <f aca="false">LN(D2042)</f>
        <v>0.457424847038875</v>
      </c>
    </row>
    <row r="2043" customFormat="false" ht="15.75" hidden="false" customHeight="false" outlineLevel="0" collapsed="false">
      <c r="A2043" s="1" t="s">
        <v>755</v>
      </c>
      <c r="B2043" s="1" t="n">
        <v>486.15</v>
      </c>
      <c r="C2043" s="1" t="n">
        <f aca="false">1/B2043</f>
        <v>0.00205697829887895</v>
      </c>
      <c r="D2043" s="1" t="n">
        <v>0.914</v>
      </c>
      <c r="E2043" s="1" t="n">
        <f aca="false">LN(D2043)</f>
        <v>-0.089924707527987</v>
      </c>
    </row>
    <row r="2044" customFormat="false" ht="15.75" hidden="false" customHeight="false" outlineLevel="0" collapsed="false">
      <c r="A2044" s="1" t="s">
        <v>755</v>
      </c>
      <c r="B2044" s="1" t="n">
        <v>496.3</v>
      </c>
      <c r="C2044" s="1" t="n">
        <f aca="false">1/B2044</f>
        <v>0.00201491033649003</v>
      </c>
      <c r="D2044" s="1" t="n">
        <v>0.811</v>
      </c>
      <c r="E2044" s="1" t="n">
        <f aca="false">LN(D2044)</f>
        <v>-0.209487224866724</v>
      </c>
    </row>
    <row r="2045" customFormat="false" ht="15.75" hidden="false" customHeight="false" outlineLevel="0" collapsed="false">
      <c r="A2045" s="1" t="s">
        <v>755</v>
      </c>
      <c r="B2045" s="1" t="n">
        <v>385.15</v>
      </c>
      <c r="C2045" s="1" t="n">
        <f aca="false">1/B2045</f>
        <v>0.00259639101648708</v>
      </c>
      <c r="D2045" s="1" t="n">
        <v>4.036</v>
      </c>
      <c r="E2045" s="1" t="n">
        <f aca="false">LN(D2045)</f>
        <v>1.39525410249136</v>
      </c>
    </row>
    <row r="2046" customFormat="false" ht="15.75" hidden="false" customHeight="false" outlineLevel="0" collapsed="false">
      <c r="A2046" s="1" t="s">
        <v>755</v>
      </c>
      <c r="B2046" s="1" t="n">
        <v>388.15</v>
      </c>
      <c r="C2046" s="1" t="n">
        <f aca="false">1/B2046</f>
        <v>0.00257632358624243</v>
      </c>
      <c r="D2046" s="1" t="n">
        <v>3.755</v>
      </c>
      <c r="E2046" s="1" t="n">
        <f aca="false">LN(D2046)</f>
        <v>1.3230882852161</v>
      </c>
    </row>
    <row r="2047" customFormat="false" ht="15.75" hidden="false" customHeight="false" outlineLevel="0" collapsed="false">
      <c r="A2047" s="1" t="s">
        <v>755</v>
      </c>
      <c r="B2047" s="1" t="n">
        <v>403.15</v>
      </c>
      <c r="C2047" s="1" t="n">
        <f aca="false">1/B2047</f>
        <v>0.0024804663276696</v>
      </c>
      <c r="D2047" s="1" t="n">
        <v>2.816</v>
      </c>
      <c r="E2047" s="1" t="n">
        <f aca="false">LN(D2047)</f>
        <v>1.0353174382958</v>
      </c>
    </row>
    <row r="2048" customFormat="false" ht="15.75" hidden="false" customHeight="false" outlineLevel="0" collapsed="false">
      <c r="A2048" s="1" t="s">
        <v>755</v>
      </c>
      <c r="B2048" s="1" t="n">
        <v>413.15</v>
      </c>
      <c r="C2048" s="1" t="n">
        <f aca="false">1/B2048</f>
        <v>0.0024204284158296</v>
      </c>
      <c r="D2048" s="1" t="n">
        <v>2.385</v>
      </c>
      <c r="E2048" s="1" t="n">
        <f aca="false">LN(D2048)</f>
        <v>0.869199124340304</v>
      </c>
    </row>
    <row r="2049" customFormat="false" ht="15.75" hidden="false" customHeight="false" outlineLevel="0" collapsed="false">
      <c r="A2049" s="1" t="s">
        <v>755</v>
      </c>
      <c r="B2049" s="1" t="n">
        <v>453.95</v>
      </c>
      <c r="C2049" s="1" t="n">
        <f aca="false">1/B2049</f>
        <v>0.00220288578037229</v>
      </c>
      <c r="D2049" s="1" t="n">
        <v>1.365</v>
      </c>
      <c r="E2049" s="1" t="n">
        <f aca="false">LN(D2049)</f>
        <v>0.311154428636923</v>
      </c>
    </row>
    <row r="2050" customFormat="false" ht="15.75" hidden="false" customHeight="false" outlineLevel="0" collapsed="false">
      <c r="A2050" s="1" t="s">
        <v>755</v>
      </c>
      <c r="B2050" s="1" t="n">
        <v>568.15</v>
      </c>
      <c r="C2050" s="1" t="n">
        <f aca="false">1/B2050</f>
        <v>0.00176009856551967</v>
      </c>
      <c r="D2050" s="1" t="n">
        <v>0.41</v>
      </c>
      <c r="E2050" s="1" t="n">
        <f aca="false">LN(D2050)</f>
        <v>-0.891598119283784</v>
      </c>
    </row>
    <row r="2051" customFormat="false" ht="15.75" hidden="false" customHeight="false" outlineLevel="0" collapsed="false">
      <c r="A2051" s="1" t="s">
        <v>757</v>
      </c>
      <c r="B2051" s="1" t="n">
        <v>333.1539</v>
      </c>
      <c r="C2051" s="1" t="n">
        <f aca="false">1/B2051</f>
        <v>0.00300161576976887</v>
      </c>
      <c r="D2051" s="1" t="n">
        <v>1.1986</v>
      </c>
      <c r="E2051" s="1" t="n">
        <f aca="false">LN(D2051)</f>
        <v>0.181154209041948</v>
      </c>
    </row>
    <row r="2052" customFormat="false" ht="15.75" hidden="false" customHeight="false" outlineLevel="0" collapsed="false">
      <c r="A2052" s="1" t="s">
        <v>757</v>
      </c>
      <c r="B2052" s="1" t="n">
        <v>353.15</v>
      </c>
      <c r="C2052" s="1" t="n">
        <f aca="false">1/B2052</f>
        <v>0.00283165793572137</v>
      </c>
      <c r="D2052" s="1" t="n">
        <v>0.9374</v>
      </c>
      <c r="E2052" s="1" t="n">
        <f aca="false">LN(D2052)</f>
        <v>-0.0646451934935313</v>
      </c>
    </row>
    <row r="2053" customFormat="false" ht="15.75" hidden="false" customHeight="false" outlineLevel="0" collapsed="false">
      <c r="A2053" s="1" t="s">
        <v>757</v>
      </c>
      <c r="B2053" s="1" t="n">
        <v>373.15</v>
      </c>
      <c r="C2053" s="1" t="n">
        <f aca="false">1/B2053</f>
        <v>0.00267988744472732</v>
      </c>
      <c r="D2053" s="1" t="n">
        <v>0.7577</v>
      </c>
      <c r="E2053" s="1" t="n">
        <f aca="false">LN(D2053)</f>
        <v>-0.277467750044809</v>
      </c>
    </row>
    <row r="2054" customFormat="false" ht="15.75" hidden="false" customHeight="false" outlineLevel="0" collapsed="false">
      <c r="A2054" s="1" t="s">
        <v>757</v>
      </c>
      <c r="B2054" s="1" t="n">
        <v>372.151</v>
      </c>
      <c r="C2054" s="1" t="n">
        <f aca="false">1/B2054</f>
        <v>0.00268708131914196</v>
      </c>
      <c r="D2054" s="1" t="n">
        <v>0.7534</v>
      </c>
      <c r="E2054" s="1" t="n">
        <f aca="false">LN(D2054)</f>
        <v>-0.283158983724196</v>
      </c>
    </row>
    <row r="2055" customFormat="false" ht="15.75" hidden="false" customHeight="false" outlineLevel="0" collapsed="false">
      <c r="A2055" s="1" t="s">
        <v>757</v>
      </c>
      <c r="B2055" s="1" t="n">
        <v>393.15</v>
      </c>
      <c r="C2055" s="1" t="n">
        <f aca="false">1/B2055</f>
        <v>0.00254355843825512</v>
      </c>
      <c r="D2055" s="1" t="n">
        <v>0.614</v>
      </c>
      <c r="E2055" s="1" t="n">
        <f aca="false">LN(D2055)</f>
        <v>-0.487760350834995</v>
      </c>
    </row>
    <row r="2056" customFormat="false" ht="15.75" hidden="false" customHeight="false" outlineLevel="0" collapsed="false">
      <c r="A2056" s="1" t="s">
        <v>757</v>
      </c>
      <c r="B2056" s="1" t="n">
        <v>397.35</v>
      </c>
      <c r="C2056" s="1" t="n">
        <f aca="false">1/B2056</f>
        <v>0.00251667295834906</v>
      </c>
      <c r="D2056" s="1" t="n">
        <v>0.5946</v>
      </c>
      <c r="E2056" s="1" t="n">
        <f aca="false">LN(D2056)</f>
        <v>-0.51986636841814</v>
      </c>
    </row>
    <row r="2057" customFormat="false" ht="15.75" hidden="false" customHeight="false" outlineLevel="0" collapsed="false">
      <c r="A2057" s="1" t="s">
        <v>757</v>
      </c>
      <c r="B2057" s="1" t="n">
        <v>411.75</v>
      </c>
      <c r="C2057" s="1" t="n">
        <f aca="false">1/B2057</f>
        <v>0.00242865816636308</v>
      </c>
      <c r="D2057" s="1" t="n">
        <v>0.5278</v>
      </c>
      <c r="E2057" s="1" t="n">
        <f aca="false">LN(D2057)</f>
        <v>-0.639037854912913</v>
      </c>
    </row>
    <row r="2058" customFormat="false" ht="15.75" hidden="false" customHeight="false" outlineLevel="0" collapsed="false">
      <c r="A2058" s="1" t="s">
        <v>757</v>
      </c>
      <c r="B2058" s="1" t="n">
        <v>423.15</v>
      </c>
      <c r="C2058" s="1" t="n">
        <f aca="false">1/B2058</f>
        <v>0.00236322816967978</v>
      </c>
      <c r="D2058" s="1" t="n">
        <v>0.482</v>
      </c>
      <c r="E2058" s="1" t="n">
        <f aca="false">LN(D2058)</f>
        <v>-0.729811164931537</v>
      </c>
    </row>
    <row r="2059" customFormat="false" ht="15.75" hidden="false" customHeight="false" outlineLevel="0" collapsed="false">
      <c r="A2059" s="1" t="s">
        <v>757</v>
      </c>
      <c r="B2059" s="1" t="n">
        <v>423.45</v>
      </c>
      <c r="C2059" s="1" t="n">
        <f aca="false">1/B2059</f>
        <v>0.00236155390246782</v>
      </c>
      <c r="D2059" s="1" t="n">
        <v>0.4807</v>
      </c>
      <c r="E2059" s="1" t="n">
        <f aca="false">LN(D2059)</f>
        <v>-0.732511904082222</v>
      </c>
    </row>
    <row r="2060" customFormat="false" ht="15.75" hidden="false" customHeight="false" outlineLevel="0" collapsed="false">
      <c r="A2060" s="1" t="s">
        <v>757</v>
      </c>
      <c r="B2060" s="1" t="n">
        <v>435.35</v>
      </c>
      <c r="C2060" s="1" t="n">
        <f aca="false">1/B2060</f>
        <v>0.00229700241185253</v>
      </c>
      <c r="D2060" s="1" t="n">
        <v>0.4424</v>
      </c>
      <c r="E2060" s="1" t="n">
        <f aca="false">LN(D2060)</f>
        <v>-0.815540828774012</v>
      </c>
    </row>
    <row r="2061" customFormat="false" ht="15.75" hidden="false" customHeight="false" outlineLevel="0" collapsed="false">
      <c r="A2061" s="1" t="s">
        <v>757</v>
      </c>
      <c r="B2061" s="1" t="n">
        <v>450.65</v>
      </c>
      <c r="C2061" s="1" t="n">
        <f aca="false">1/B2061</f>
        <v>0.00221901697547986</v>
      </c>
      <c r="D2061" s="1" t="n">
        <v>0.3992</v>
      </c>
      <c r="E2061" s="1" t="n">
        <f aca="false">LN(D2061)</f>
        <v>-0.918292734544828</v>
      </c>
    </row>
    <row r="2062" customFormat="false" ht="15.75" hidden="false" customHeight="false" outlineLevel="0" collapsed="false">
      <c r="A2062" s="1" t="s">
        <v>757</v>
      </c>
      <c r="B2062" s="1" t="n">
        <v>460.85</v>
      </c>
      <c r="C2062" s="1" t="n">
        <f aca="false">1/B2062</f>
        <v>0.00216990343929695</v>
      </c>
      <c r="D2062" s="1" t="n">
        <v>0.3737</v>
      </c>
      <c r="E2062" s="1" t="n">
        <f aca="false">LN(D2062)</f>
        <v>-0.984301942490699</v>
      </c>
    </row>
    <row r="2063" customFormat="false" ht="15.75" hidden="false" customHeight="false" outlineLevel="0" collapsed="false">
      <c r="A2063" s="1" t="s">
        <v>757</v>
      </c>
      <c r="B2063" s="1" t="n">
        <v>473.65</v>
      </c>
      <c r="C2063" s="1" t="n">
        <f aca="false">1/B2063</f>
        <v>0.00211126359125937</v>
      </c>
      <c r="D2063" s="1" t="n">
        <v>0.3465</v>
      </c>
      <c r="E2063" s="1" t="n">
        <f aca="false">LN(D2063)</f>
        <v>-1.05987246035218</v>
      </c>
    </row>
    <row r="2064" customFormat="false" ht="15.75" hidden="false" customHeight="false" outlineLevel="0" collapsed="false">
      <c r="A2064" s="1" t="s">
        <v>757</v>
      </c>
      <c r="B2064" s="1" t="n">
        <v>488.65</v>
      </c>
      <c r="C2064" s="1" t="n">
        <f aca="false">1/B2064</f>
        <v>0.00204645451754835</v>
      </c>
      <c r="D2064" s="1" t="n">
        <v>0.3184</v>
      </c>
      <c r="E2064" s="1" t="n">
        <f aca="false">LN(D2064)</f>
        <v>-1.14444682501191</v>
      </c>
    </row>
    <row r="2065" customFormat="false" ht="15.75" hidden="false" customHeight="false" outlineLevel="0" collapsed="false">
      <c r="A2065" s="1" t="s">
        <v>757</v>
      </c>
      <c r="B2065" s="1" t="n">
        <v>510.65</v>
      </c>
      <c r="C2065" s="1" t="n">
        <f aca="false">1/B2065</f>
        <v>0.00195828845588955</v>
      </c>
      <c r="D2065" s="1" t="n">
        <v>0.2838</v>
      </c>
      <c r="E2065" s="1" t="n">
        <f aca="false">LN(D2065)</f>
        <v>-1.25948551425619</v>
      </c>
    </row>
    <row r="2066" customFormat="false" ht="15.75" hidden="false" customHeight="false" outlineLevel="0" collapsed="false">
      <c r="A2066" s="1" t="s">
        <v>108</v>
      </c>
      <c r="B2066" s="1" t="n">
        <v>303.15</v>
      </c>
      <c r="C2066" s="1" t="n">
        <f aca="false">1/B2066</f>
        <v>0.0032986970146792</v>
      </c>
      <c r="D2066" s="1" t="n">
        <v>1.927</v>
      </c>
      <c r="E2066" s="1" t="n">
        <f aca="false">LN(D2066)</f>
        <v>0.655964389432229</v>
      </c>
    </row>
    <row r="2067" customFormat="false" ht="15.75" hidden="false" customHeight="false" outlineLevel="0" collapsed="false">
      <c r="A2067" s="1" t="s">
        <v>108</v>
      </c>
      <c r="B2067" s="1" t="n">
        <v>313.15</v>
      </c>
      <c r="C2067" s="1" t="n">
        <f aca="false">1/B2067</f>
        <v>0.00319335781574325</v>
      </c>
      <c r="D2067" s="1" t="n">
        <v>1.595</v>
      </c>
      <c r="E2067" s="1" t="n">
        <f aca="false">LN(D2067)</f>
        <v>0.466873736236808</v>
      </c>
    </row>
    <row r="2068" customFormat="false" ht="15.75" hidden="false" customHeight="false" outlineLevel="0" collapsed="false">
      <c r="A2068" s="1" t="s">
        <v>108</v>
      </c>
      <c r="B2068" s="1" t="n">
        <v>333.15</v>
      </c>
      <c r="C2068" s="1" t="n">
        <f aca="false">1/B2068</f>
        <v>0.0030016509079994</v>
      </c>
      <c r="D2068" s="1" t="n">
        <v>1.162</v>
      </c>
      <c r="E2068" s="1" t="n">
        <f aca="false">LN(D2068)</f>
        <v>0.150142658429719</v>
      </c>
    </row>
    <row r="2069" customFormat="false" ht="15.75" hidden="false" customHeight="false" outlineLevel="0" collapsed="false">
      <c r="A2069" s="1" t="s">
        <v>759</v>
      </c>
      <c r="B2069" s="1" t="n">
        <v>273.15</v>
      </c>
      <c r="C2069" s="1" t="n">
        <f aca="false">1/B2069</f>
        <v>0.00366099212886692</v>
      </c>
      <c r="D2069" s="1" t="n">
        <v>74.55</v>
      </c>
      <c r="E2069" s="1" t="n">
        <f aca="false">LN(D2069)</f>
        <v>4.31147004121075</v>
      </c>
    </row>
    <row r="2070" customFormat="false" ht="15.75" hidden="false" customHeight="false" outlineLevel="0" collapsed="false">
      <c r="A2070" s="1" t="s">
        <v>759</v>
      </c>
      <c r="B2070" s="1" t="n">
        <v>293.15</v>
      </c>
      <c r="C2070" s="1" t="n">
        <f aca="false">1/B2070</f>
        <v>0.00341122292341805</v>
      </c>
      <c r="D2070" s="1" t="n">
        <v>24.03</v>
      </c>
      <c r="E2070" s="1" t="n">
        <f aca="false">LN(D2070)</f>
        <v>3.17930304974838</v>
      </c>
    </row>
    <row r="2071" customFormat="false" ht="15.75" hidden="false" customHeight="false" outlineLevel="0" collapsed="false">
      <c r="A2071" s="1" t="s">
        <v>759</v>
      </c>
      <c r="B2071" s="1" t="n">
        <v>310.95</v>
      </c>
      <c r="C2071" s="1" t="n">
        <f aca="false">1/B2071</f>
        <v>0.00321595111754301</v>
      </c>
      <c r="D2071" s="1" t="n">
        <v>11.24</v>
      </c>
      <c r="E2071" s="1" t="n">
        <f aca="false">LN(D2071)</f>
        <v>2.41947884446554</v>
      </c>
    </row>
    <row r="2072" customFormat="false" ht="15.75" hidden="false" customHeight="false" outlineLevel="0" collapsed="false">
      <c r="A2072" s="1" t="s">
        <v>759</v>
      </c>
      <c r="B2072" s="1" t="n">
        <v>333.15</v>
      </c>
      <c r="C2072" s="1" t="n">
        <f aca="false">1/B2072</f>
        <v>0.0030016509079994</v>
      </c>
      <c r="D2072" s="1" t="n">
        <v>5.491</v>
      </c>
      <c r="E2072" s="1" t="n">
        <f aca="false">LN(D2072)</f>
        <v>1.70311038829674</v>
      </c>
    </row>
    <row r="2073" customFormat="false" ht="15.75" hidden="false" customHeight="false" outlineLevel="0" collapsed="false">
      <c r="A2073" s="1" t="s">
        <v>759</v>
      </c>
      <c r="B2073" s="1" t="n">
        <v>372.05</v>
      </c>
      <c r="C2073" s="1" t="n">
        <f aca="false">1/B2073</f>
        <v>0.00268781077812122</v>
      </c>
      <c r="D2073" s="1" t="n">
        <v>2.283</v>
      </c>
      <c r="E2073" s="1" t="n">
        <f aca="false">LN(D2073)</f>
        <v>0.825490367547658</v>
      </c>
    </row>
    <row r="2074" customFormat="false" ht="15.75" hidden="false" customHeight="false" outlineLevel="0" collapsed="false">
      <c r="A2074" s="1" t="s">
        <v>238</v>
      </c>
      <c r="B2074" s="1" t="n">
        <v>293.15</v>
      </c>
      <c r="C2074" s="1" t="n">
        <f aca="false">1/B2074</f>
        <v>0.00341122292341805</v>
      </c>
      <c r="D2074" s="1" t="n">
        <v>29.45</v>
      </c>
      <c r="E2074" s="1" t="n">
        <f aca="false">LN(D2074)</f>
        <v>3.3826939100976</v>
      </c>
    </row>
    <row r="2075" customFormat="false" ht="15.75" hidden="false" customHeight="false" outlineLevel="0" collapsed="false">
      <c r="A2075" s="1" t="s">
        <v>238</v>
      </c>
      <c r="B2075" s="1" t="n">
        <v>310.95</v>
      </c>
      <c r="C2075" s="1" t="n">
        <f aca="false">1/B2075</f>
        <v>0.00321595111754301</v>
      </c>
      <c r="D2075" s="1" t="n">
        <v>15.15</v>
      </c>
      <c r="E2075" s="1" t="n">
        <f aca="false">LN(D2075)</f>
        <v>2.71800053195538</v>
      </c>
    </row>
    <row r="2076" customFormat="false" ht="15.75" hidden="false" customHeight="false" outlineLevel="0" collapsed="false">
      <c r="A2076" s="1" t="s">
        <v>238</v>
      </c>
      <c r="B2076" s="1" t="n">
        <v>333.15</v>
      </c>
      <c r="C2076" s="1" t="n">
        <f aca="false">1/B2076</f>
        <v>0.0030016509079994</v>
      </c>
      <c r="D2076" s="1" t="n">
        <v>7.923</v>
      </c>
      <c r="E2076" s="1" t="n">
        <f aca="false">LN(D2076)</f>
        <v>2.0697699219831</v>
      </c>
    </row>
    <row r="2077" customFormat="false" ht="15.75" hidden="false" customHeight="false" outlineLevel="0" collapsed="false">
      <c r="A2077" s="1" t="s">
        <v>238</v>
      </c>
      <c r="B2077" s="1" t="n">
        <v>372.05</v>
      </c>
      <c r="C2077" s="1" t="n">
        <f aca="false">1/B2077</f>
        <v>0.00268781077812122</v>
      </c>
      <c r="D2077" s="1" t="n">
        <v>3.456</v>
      </c>
      <c r="E2077" s="1" t="n">
        <f aca="false">LN(D2077)</f>
        <v>1.24011185094181</v>
      </c>
    </row>
    <row r="2078" customFormat="false" ht="15.75" hidden="false" customHeight="false" outlineLevel="0" collapsed="false">
      <c r="A2078" s="1" t="s">
        <v>761</v>
      </c>
      <c r="B2078" s="1" t="n">
        <v>273.1665</v>
      </c>
      <c r="C2078" s="1" t="n">
        <f aca="false">1/B2078</f>
        <v>0.00366077099497925</v>
      </c>
      <c r="D2078" s="1" t="n">
        <v>0.2711</v>
      </c>
      <c r="E2078" s="1" t="n">
        <f aca="false">LN(D2078)</f>
        <v>-1.30526752247752</v>
      </c>
    </row>
    <row r="2079" customFormat="false" ht="15.75" hidden="false" customHeight="false" outlineLevel="0" collapsed="false">
      <c r="A2079" s="1" t="s">
        <v>761</v>
      </c>
      <c r="B2079" s="1" t="n">
        <v>277.55</v>
      </c>
      <c r="C2079" s="1" t="n">
        <f aca="false">1/B2079</f>
        <v>0.00360295442262655</v>
      </c>
      <c r="D2079" s="1" t="n">
        <v>0.26</v>
      </c>
      <c r="E2079" s="1" t="n">
        <f aca="false">LN(D2079)</f>
        <v>-1.34707364796661</v>
      </c>
    </row>
    <row r="2080" customFormat="false" ht="15.75" hidden="false" customHeight="false" outlineLevel="0" collapsed="false">
      <c r="A2080" s="1" t="s">
        <v>761</v>
      </c>
      <c r="B2080" s="1" t="n">
        <v>281.35</v>
      </c>
      <c r="C2080" s="1" t="n">
        <f aca="false">1/B2080</f>
        <v>0.00355429180735738</v>
      </c>
      <c r="D2080" s="1" t="n">
        <v>0.2509</v>
      </c>
      <c r="E2080" s="1" t="n">
        <f aca="false">LN(D2080)</f>
        <v>-1.38270082560976</v>
      </c>
    </row>
    <row r="2081" customFormat="false" ht="15.75" hidden="false" customHeight="false" outlineLevel="0" collapsed="false">
      <c r="A2081" s="1" t="s">
        <v>761</v>
      </c>
      <c r="B2081" s="1" t="n">
        <v>285.35</v>
      </c>
      <c r="C2081" s="1" t="n">
        <f aca="false">1/B2081</f>
        <v>0.00350446819695111</v>
      </c>
      <c r="D2081" s="1" t="n">
        <v>0.2414</v>
      </c>
      <c r="E2081" s="1" t="n">
        <f aca="false">LN(D2081)</f>
        <v>-1.42129997031871</v>
      </c>
    </row>
    <row r="2082" customFormat="false" ht="15.75" hidden="false" customHeight="false" outlineLevel="0" collapsed="false">
      <c r="A2082" s="1" t="s">
        <v>761</v>
      </c>
      <c r="B2082" s="1" t="n">
        <v>289.35</v>
      </c>
      <c r="C2082" s="1" t="n">
        <f aca="false">1/B2082</f>
        <v>0.00345602211854156</v>
      </c>
      <c r="D2082" s="1" t="n">
        <v>0.2326</v>
      </c>
      <c r="E2082" s="1" t="n">
        <f aca="false">LN(D2082)</f>
        <v>-1.45843503889757</v>
      </c>
    </row>
    <row r="2083" customFormat="false" ht="15.75" hidden="false" customHeight="false" outlineLevel="0" collapsed="false">
      <c r="A2083" s="1" t="s">
        <v>761</v>
      </c>
      <c r="B2083" s="1" t="n">
        <v>293.35</v>
      </c>
      <c r="C2083" s="1" t="n">
        <f aca="false">1/B2083</f>
        <v>0.00340889722174876</v>
      </c>
      <c r="D2083" s="1" t="n">
        <v>0.2237</v>
      </c>
      <c r="E2083" s="1" t="n">
        <f aca="false">LN(D2083)</f>
        <v>-1.49744941048605</v>
      </c>
    </row>
    <row r="2084" customFormat="false" ht="15.75" hidden="false" customHeight="false" outlineLevel="0" collapsed="false">
      <c r="A2084" s="1" t="s">
        <v>761</v>
      </c>
      <c r="B2084" s="1" t="n">
        <v>294.75</v>
      </c>
      <c r="C2084" s="1" t="n">
        <f aca="false">1/B2084</f>
        <v>0.00339270568278202</v>
      </c>
      <c r="D2084" s="1" t="n">
        <v>0.2213</v>
      </c>
      <c r="E2084" s="1" t="n">
        <f aca="false">LN(D2084)</f>
        <v>-1.50823603192513</v>
      </c>
    </row>
    <row r="2085" customFormat="false" ht="15.75" hidden="false" customHeight="false" outlineLevel="0" collapsed="false">
      <c r="A2085" s="1" t="s">
        <v>761</v>
      </c>
      <c r="B2085" s="1" t="n">
        <v>273.484</v>
      </c>
      <c r="C2085" s="1" t="n">
        <f aca="false">1/B2085</f>
        <v>0.00365652103962206</v>
      </c>
      <c r="D2085" s="1" t="n">
        <v>0.2663</v>
      </c>
      <c r="E2085" s="1" t="n">
        <f aca="false">LN(D2085)</f>
        <v>-1.32313178616225</v>
      </c>
    </row>
    <row r="2086" customFormat="false" ht="15.75" hidden="false" customHeight="false" outlineLevel="0" collapsed="false">
      <c r="A2086" s="1" t="s">
        <v>761</v>
      </c>
      <c r="B2086" s="1" t="n">
        <v>278.5</v>
      </c>
      <c r="C2086" s="1" t="n">
        <f aca="false">1/B2086</f>
        <v>0.00359066427289048</v>
      </c>
      <c r="D2086" s="1" t="n">
        <v>0.2538</v>
      </c>
      <c r="E2086" s="1" t="n">
        <f aca="false">LN(D2086)</f>
        <v>-1.37120872370185</v>
      </c>
    </row>
    <row r="2087" customFormat="false" ht="15.75" hidden="false" customHeight="false" outlineLevel="0" collapsed="false">
      <c r="A2087" s="1" t="s">
        <v>761</v>
      </c>
      <c r="B2087" s="1" t="n">
        <v>282.71</v>
      </c>
      <c r="C2087" s="1" t="n">
        <f aca="false">1/B2087</f>
        <v>0.00353719359060521</v>
      </c>
      <c r="D2087" s="1" t="n">
        <v>0.2442</v>
      </c>
      <c r="E2087" s="1" t="n">
        <f aca="false">LN(D2087)</f>
        <v>-1.40976771730553</v>
      </c>
    </row>
    <row r="2088" customFormat="false" ht="15.75" hidden="false" customHeight="false" outlineLevel="0" collapsed="false">
      <c r="A2088" s="1" t="s">
        <v>761</v>
      </c>
      <c r="B2088" s="1" t="n">
        <v>287.07</v>
      </c>
      <c r="C2088" s="1" t="n">
        <f aca="false">1/B2088</f>
        <v>0.00348347093043509</v>
      </c>
      <c r="D2088" s="1" t="n">
        <v>0.2345</v>
      </c>
      <c r="E2088" s="1" t="n">
        <f aca="false">LN(D2088)</f>
        <v>-1.4502996910958</v>
      </c>
    </row>
    <row r="2089" customFormat="false" ht="15.75" hidden="false" customHeight="false" outlineLevel="0" collapsed="false">
      <c r="A2089" s="1" t="s">
        <v>761</v>
      </c>
      <c r="B2089" s="1" t="n">
        <v>292.32</v>
      </c>
      <c r="C2089" s="1" t="n">
        <f aca="false">1/B2089</f>
        <v>0.00342090859332239</v>
      </c>
      <c r="D2089" s="1" t="n">
        <v>0.2234</v>
      </c>
      <c r="E2089" s="1" t="n">
        <f aca="false">LN(D2089)</f>
        <v>-1.49879139234704</v>
      </c>
    </row>
    <row r="2090" customFormat="false" ht="15.75" hidden="false" customHeight="false" outlineLevel="0" collapsed="false">
      <c r="A2090" s="1" t="s">
        <v>763</v>
      </c>
      <c r="B2090" s="1" t="n">
        <v>364.25</v>
      </c>
      <c r="C2090" s="1" t="n">
        <f aca="false">1/B2090</f>
        <v>0.00274536719286205</v>
      </c>
      <c r="D2090" s="1" t="n">
        <v>2.182</v>
      </c>
      <c r="E2090" s="1" t="n">
        <f aca="false">LN(D2090)</f>
        <v>0.780241887410879</v>
      </c>
    </row>
    <row r="2091" customFormat="false" ht="15.75" hidden="false" customHeight="false" outlineLevel="0" collapsed="false">
      <c r="A2091" s="1" t="s">
        <v>763</v>
      </c>
      <c r="B2091" s="1" t="n">
        <v>384.95</v>
      </c>
      <c r="C2091" s="1" t="n">
        <f aca="false">1/B2091</f>
        <v>0.00259773996622938</v>
      </c>
      <c r="D2091" s="1" t="n">
        <v>1.461</v>
      </c>
      <c r="E2091" s="1" t="n">
        <f aca="false">LN(D2091)</f>
        <v>0.379121132768562</v>
      </c>
    </row>
    <row r="2092" customFormat="false" ht="15.75" hidden="false" customHeight="false" outlineLevel="0" collapsed="false">
      <c r="A2092" s="1" t="s">
        <v>763</v>
      </c>
      <c r="B2092" s="1" t="n">
        <v>404.85</v>
      </c>
      <c r="C2092" s="1" t="n">
        <f aca="false">1/B2092</f>
        <v>0.00247005063603804</v>
      </c>
      <c r="D2092" s="1" t="n">
        <v>1.056</v>
      </c>
      <c r="E2092" s="1" t="n">
        <f aca="false">LN(D2092)</f>
        <v>0.0544881852840698</v>
      </c>
    </row>
    <row r="2093" customFormat="false" ht="15.75" hidden="false" customHeight="false" outlineLevel="0" collapsed="false">
      <c r="A2093" s="1" t="s">
        <v>763</v>
      </c>
      <c r="B2093" s="1" t="n">
        <v>424.35</v>
      </c>
      <c r="C2093" s="1" t="n">
        <f aca="false">1/B2093</f>
        <v>0.00235654530458348</v>
      </c>
      <c r="D2093" s="1" t="n">
        <v>0.8039</v>
      </c>
      <c r="E2093" s="1" t="n">
        <f aca="false">LN(D2093)</f>
        <v>-0.218280395648222</v>
      </c>
    </row>
    <row r="2094" customFormat="false" ht="15.75" hidden="false" customHeight="false" outlineLevel="0" collapsed="false">
      <c r="A2094" s="1" t="s">
        <v>763</v>
      </c>
      <c r="B2094" s="1" t="n">
        <v>443.45</v>
      </c>
      <c r="C2094" s="1" t="n">
        <f aca="false">1/B2094</f>
        <v>0.00225504566467471</v>
      </c>
      <c r="D2094" s="1" t="n">
        <v>0.6405</v>
      </c>
      <c r="E2094" s="1" t="n">
        <f aca="false">LN(D2094)</f>
        <v>-0.445506157645348</v>
      </c>
    </row>
    <row r="2095" customFormat="false" ht="15.75" hidden="false" customHeight="false" outlineLevel="0" collapsed="false">
      <c r="A2095" s="1" t="s">
        <v>763</v>
      </c>
      <c r="B2095" s="1" t="n">
        <v>463.95</v>
      </c>
      <c r="C2095" s="1" t="n">
        <f aca="false">1/B2095</f>
        <v>0.00215540467722815</v>
      </c>
      <c r="D2095" s="1" t="n">
        <v>0.518</v>
      </c>
      <c r="E2095" s="1" t="n">
        <f aca="false">LN(D2095)</f>
        <v>-0.657780036722654</v>
      </c>
    </row>
    <row r="2096" customFormat="false" ht="15.75" hidden="false" customHeight="false" outlineLevel="0" collapsed="false">
      <c r="A2096" s="1" t="s">
        <v>763</v>
      </c>
      <c r="B2096" s="1" t="n">
        <v>483.15</v>
      </c>
      <c r="C2096" s="1" t="n">
        <f aca="false">1/B2096</f>
        <v>0.0020697505950533</v>
      </c>
      <c r="D2096" s="1" t="n">
        <v>0.432</v>
      </c>
      <c r="E2096" s="1" t="n">
        <f aca="false">LN(D2096)</f>
        <v>-0.839329690738027</v>
      </c>
    </row>
    <row r="2097" customFormat="false" ht="15.75" hidden="false" customHeight="false" outlineLevel="0" collapsed="false">
      <c r="A2097" s="1" t="s">
        <v>763</v>
      </c>
      <c r="B2097" s="1" t="n">
        <v>495.95</v>
      </c>
      <c r="C2097" s="1" t="n">
        <f aca="false">1/B2097</f>
        <v>0.00201633229156165</v>
      </c>
      <c r="D2097" s="1" t="n">
        <v>0.3857</v>
      </c>
      <c r="E2097" s="1" t="n">
        <f aca="false">LN(D2097)</f>
        <v>-0.952695413767955</v>
      </c>
    </row>
    <row r="2098" customFormat="false" ht="15.75" hidden="false" customHeight="false" outlineLevel="0" collapsed="false">
      <c r="A2098" s="1" t="s">
        <v>1437</v>
      </c>
      <c r="B2098" s="1" t="n">
        <v>298.1567</v>
      </c>
      <c r="C2098" s="1" t="n">
        <f aca="false">1/B2098</f>
        <v>0.00335394106521839</v>
      </c>
      <c r="D2098" s="1" t="n">
        <v>1.139</v>
      </c>
      <c r="E2098" s="1" t="n">
        <f aca="false">LN(D2098)</f>
        <v>0.130150684465045</v>
      </c>
    </row>
    <row r="2099" customFormat="false" ht="15.75" hidden="false" customHeight="false" outlineLevel="0" collapsed="false">
      <c r="A2099" s="1" t="s">
        <v>1437</v>
      </c>
      <c r="B2099" s="1" t="n">
        <v>273.1568</v>
      </c>
      <c r="C2099" s="1" t="n">
        <f aca="false">1/B2099</f>
        <v>0.00366090099166486</v>
      </c>
      <c r="D2099" s="1" t="n">
        <v>1.2289</v>
      </c>
      <c r="E2099" s="1" t="n">
        <f aca="false">LN(D2099)</f>
        <v>0.206119460308415</v>
      </c>
    </row>
    <row r="2100" customFormat="false" ht="15.75" hidden="false" customHeight="false" outlineLevel="0" collapsed="false">
      <c r="A2100" s="1" t="s">
        <v>1437</v>
      </c>
      <c r="B2100" s="1" t="n">
        <v>298.15</v>
      </c>
      <c r="C2100" s="1" t="n">
        <f aca="false">1/B2100</f>
        <v>0.00335401643468053</v>
      </c>
      <c r="D2100" s="1" t="n">
        <v>1.1365</v>
      </c>
      <c r="E2100" s="1" t="n">
        <f aca="false">LN(D2100)</f>
        <v>0.127953364310461</v>
      </c>
    </row>
    <row r="2101" customFormat="false" ht="15.75" hidden="false" customHeight="false" outlineLevel="0" collapsed="false">
      <c r="A2101" s="1" t="s">
        <v>1437</v>
      </c>
      <c r="B2101" s="1" t="n">
        <v>310.95</v>
      </c>
      <c r="C2101" s="1" t="n">
        <f aca="false">1/B2101</f>
        <v>0.00321595111754301</v>
      </c>
      <c r="D2101" s="1" t="n">
        <v>0.9384</v>
      </c>
      <c r="E2101" s="1" t="n">
        <f aca="false">LN(D2101)</f>
        <v>-0.0635789816428713</v>
      </c>
    </row>
    <row r="2102" customFormat="false" ht="15.75" hidden="false" customHeight="false" outlineLevel="0" collapsed="false">
      <c r="A2102" s="1" t="s">
        <v>1437</v>
      </c>
      <c r="B2102" s="1" t="n">
        <v>323.2</v>
      </c>
      <c r="C2102" s="1" t="n">
        <f aca="false">1/B2102</f>
        <v>0.00309405940594059</v>
      </c>
      <c r="D2102" s="1" t="n">
        <v>0.7979</v>
      </c>
      <c r="E2102" s="1" t="n">
        <f aca="false">LN(D2102)</f>
        <v>-0.225772002667902</v>
      </c>
    </row>
    <row r="2103" customFormat="false" ht="15.75" hidden="false" customHeight="false" outlineLevel="0" collapsed="false">
      <c r="A2103" s="1" t="s">
        <v>1437</v>
      </c>
      <c r="B2103" s="1" t="n">
        <v>333.26</v>
      </c>
      <c r="C2103" s="1" t="n">
        <f aca="false">1/B2103</f>
        <v>0.00300066014523195</v>
      </c>
      <c r="D2103" s="1" t="n">
        <v>0.7042</v>
      </c>
      <c r="E2103" s="1" t="n">
        <f aca="false">LN(D2103)</f>
        <v>-0.350692872261185</v>
      </c>
    </row>
    <row r="2104" customFormat="false" ht="15.75" hidden="false" customHeight="false" outlineLevel="0" collapsed="false">
      <c r="A2104" s="1" t="s">
        <v>1437</v>
      </c>
      <c r="B2104" s="1" t="n">
        <v>343.35</v>
      </c>
      <c r="C2104" s="1" t="n">
        <f aca="false">1/B2104</f>
        <v>0.00291247997670016</v>
      </c>
      <c r="D2104" s="1" t="n">
        <v>0.6272</v>
      </c>
      <c r="E2104" s="1" t="n">
        <f aca="false">LN(D2104)</f>
        <v>-0.466489809945939</v>
      </c>
    </row>
    <row r="2105" customFormat="false" ht="15.75" hidden="false" customHeight="false" outlineLevel="0" collapsed="false">
      <c r="A2105" s="1" t="s">
        <v>1437</v>
      </c>
      <c r="B2105" s="1" t="n">
        <v>353.5</v>
      </c>
      <c r="C2105" s="1" t="n">
        <f aca="false">1/B2105</f>
        <v>0.00282885431400283</v>
      </c>
      <c r="D2105" s="1" t="n">
        <v>0.5622</v>
      </c>
      <c r="E2105" s="1" t="n">
        <f aca="false">LN(D2105)</f>
        <v>-0.575897620509705</v>
      </c>
    </row>
    <row r="2106" customFormat="false" ht="15.75" hidden="false" customHeight="false" outlineLevel="0" collapsed="false">
      <c r="A2106" s="1" t="s">
        <v>1437</v>
      </c>
      <c r="B2106" s="1" t="n">
        <v>363.69</v>
      </c>
      <c r="C2106" s="1" t="n">
        <f aca="false">1/B2106</f>
        <v>0.00274959443482086</v>
      </c>
      <c r="D2106" s="1" t="n">
        <v>0.5061</v>
      </c>
      <c r="E2106" s="1" t="n">
        <f aca="false">LN(D2106)</f>
        <v>-0.681021000762105</v>
      </c>
    </row>
    <row r="2107" customFormat="false" ht="15.75" hidden="false" customHeight="false" outlineLevel="0" collapsed="false">
      <c r="A2107" s="1" t="s">
        <v>1437</v>
      </c>
      <c r="B2107" s="1" t="n">
        <v>304.014</v>
      </c>
      <c r="C2107" s="1" t="n">
        <f aca="false">1/B2107</f>
        <v>0.003289322202267</v>
      </c>
      <c r="D2107" s="1" t="n">
        <v>1.025</v>
      </c>
      <c r="E2107" s="1" t="n">
        <f aca="false">LN(D2107)</f>
        <v>0.0246926125903714</v>
      </c>
    </row>
    <row r="2108" customFormat="false" ht="15.75" hidden="false" customHeight="false" outlineLevel="0" collapsed="false">
      <c r="A2108" s="1" t="s">
        <v>1437</v>
      </c>
      <c r="B2108" s="1" t="n">
        <v>313.03</v>
      </c>
      <c r="C2108" s="1" t="n">
        <f aca="false">1/B2108</f>
        <v>0.00319458198894675</v>
      </c>
      <c r="D2108" s="1" t="n">
        <v>0.903</v>
      </c>
      <c r="E2108" s="1" t="n">
        <f aca="false">LN(D2108)</f>
        <v>-0.102032725565152</v>
      </c>
    </row>
    <row r="2109" customFormat="false" ht="15.75" hidden="false" customHeight="false" outlineLevel="0" collapsed="false">
      <c r="A2109" s="1" t="s">
        <v>1437</v>
      </c>
      <c r="B2109" s="1" t="n">
        <v>321.62</v>
      </c>
      <c r="C2109" s="1" t="n">
        <f aca="false">1/B2109</f>
        <v>0.00310925937441701</v>
      </c>
      <c r="D2109" s="1" t="n">
        <v>0.806</v>
      </c>
      <c r="E2109" s="1" t="n">
        <f aca="false">LN(D2109)</f>
        <v>-0.215671536475509</v>
      </c>
    </row>
    <row r="2110" customFormat="false" ht="15.75" hidden="false" customHeight="false" outlineLevel="0" collapsed="false">
      <c r="A2110" s="1" t="s">
        <v>1437</v>
      </c>
      <c r="B2110" s="1" t="n">
        <v>330.61</v>
      </c>
      <c r="C2110" s="1" t="n">
        <f aca="false">1/B2110</f>
        <v>0.00302471189619189</v>
      </c>
      <c r="D2110" s="1" t="n">
        <v>0.721</v>
      </c>
      <c r="E2110" s="1" t="n">
        <f aca="false">LN(D2110)</f>
        <v>-0.327116141697188</v>
      </c>
    </row>
    <row r="2111" customFormat="false" ht="15.75" hidden="false" customHeight="false" outlineLevel="0" collapsed="false">
      <c r="A2111" s="1" t="s">
        <v>1437</v>
      </c>
      <c r="B2111" s="1" t="n">
        <v>341.25</v>
      </c>
      <c r="C2111" s="1" t="n">
        <f aca="false">1/B2111</f>
        <v>0.00293040293040293</v>
      </c>
      <c r="D2111" s="1" t="n">
        <v>0.638</v>
      </c>
      <c r="E2111" s="1" t="n">
        <f aca="false">LN(D2111)</f>
        <v>-0.449416995637347</v>
      </c>
    </row>
    <row r="2112" customFormat="false" ht="15.75" hidden="false" customHeight="false" outlineLevel="0" collapsed="false">
      <c r="A2112" s="1" t="s">
        <v>1437</v>
      </c>
      <c r="B2112" s="1" t="n">
        <v>349.81</v>
      </c>
      <c r="C2112" s="1" t="n">
        <f aca="false">1/B2112</f>
        <v>0.00285869471999085</v>
      </c>
      <c r="D2112" s="1" t="n">
        <v>0.58</v>
      </c>
      <c r="E2112" s="1" t="n">
        <f aca="false">LN(D2112)</f>
        <v>-0.544727175441672</v>
      </c>
    </row>
    <row r="2113" customFormat="false" ht="15.75" hidden="false" customHeight="false" outlineLevel="0" collapsed="false">
      <c r="A2113" s="1" t="s">
        <v>1437</v>
      </c>
      <c r="B2113" s="1" t="n">
        <v>357.68</v>
      </c>
      <c r="C2113" s="1" t="n">
        <f aca="false">1/B2113</f>
        <v>0.0027957951241333</v>
      </c>
      <c r="D2113" s="1" t="n">
        <v>0.534</v>
      </c>
      <c r="E2113" s="1" t="n">
        <f aca="false">LN(D2113)</f>
        <v>-0.627359440021942</v>
      </c>
    </row>
    <row r="2114" customFormat="false" ht="15.75" hidden="false" customHeight="false" outlineLevel="0" collapsed="false">
      <c r="A2114" s="1" t="s">
        <v>1437</v>
      </c>
      <c r="B2114" s="1" t="n">
        <v>367.12</v>
      </c>
      <c r="C2114" s="1" t="n">
        <f aca="false">1/B2114</f>
        <v>0.00272390499019394</v>
      </c>
      <c r="D2114" s="1" t="n">
        <v>0.484</v>
      </c>
      <c r="E2114" s="1" t="n">
        <f aca="false">LN(D2114)</f>
        <v>-0.725670372265505</v>
      </c>
    </row>
    <row r="2115" customFormat="false" ht="15.75" hidden="false" customHeight="false" outlineLevel="0" collapsed="false">
      <c r="A2115" s="1" t="s">
        <v>1437</v>
      </c>
      <c r="B2115" s="1" t="n">
        <v>376.04</v>
      </c>
      <c r="C2115" s="1" t="n">
        <f aca="false">1/B2115</f>
        <v>0.00265929156472716</v>
      </c>
      <c r="D2115" s="1" t="n">
        <v>0.445</v>
      </c>
      <c r="E2115" s="1" t="n">
        <f aca="false">LN(D2115)</f>
        <v>-0.809680996815897</v>
      </c>
    </row>
    <row r="2116" customFormat="false" ht="15.75" hidden="false" customHeight="false" outlineLevel="0" collapsed="false">
      <c r="A2116" s="1" t="s">
        <v>1437</v>
      </c>
      <c r="B2116" s="1" t="n">
        <v>385.72</v>
      </c>
      <c r="C2116" s="1" t="n">
        <f aca="false">1/B2116</f>
        <v>0.00259255418438245</v>
      </c>
      <c r="D2116" s="1" t="n">
        <v>0.406</v>
      </c>
      <c r="E2116" s="1" t="n">
        <f aca="false">LN(D2116)</f>
        <v>-0.901402119380404</v>
      </c>
    </row>
    <row r="2117" customFormat="false" ht="15.75" hidden="false" customHeight="false" outlineLevel="0" collapsed="false">
      <c r="A2117" s="1" t="s">
        <v>765</v>
      </c>
      <c r="B2117" s="1" t="n">
        <v>273.334</v>
      </c>
      <c r="C2117" s="1" t="n">
        <f aca="false">1/B2117</f>
        <v>0.00365852766212765</v>
      </c>
      <c r="D2117" s="1" t="n">
        <v>1.238</v>
      </c>
      <c r="E2117" s="1" t="n">
        <f aca="false">LN(D2117)</f>
        <v>0.213497174262404</v>
      </c>
    </row>
    <row r="2118" customFormat="false" ht="15.75" hidden="false" customHeight="false" outlineLevel="0" collapsed="false">
      <c r="A2118" s="1" t="s">
        <v>765</v>
      </c>
      <c r="B2118" s="1" t="n">
        <v>285.67</v>
      </c>
      <c r="C2118" s="1" t="n">
        <f aca="false">1/B2118</f>
        <v>0.00350054258410054</v>
      </c>
      <c r="D2118" s="1" t="n">
        <v>1.007</v>
      </c>
      <c r="E2118" s="1" t="n">
        <f aca="false">LN(D2118)</f>
        <v>0.00697561373642514</v>
      </c>
    </row>
    <row r="2119" customFormat="false" ht="15.75" hidden="false" customHeight="false" outlineLevel="0" collapsed="false">
      <c r="A2119" s="1" t="s">
        <v>765</v>
      </c>
      <c r="B2119" s="1" t="n">
        <v>297.25</v>
      </c>
      <c r="C2119" s="1" t="n">
        <f aca="false">1/B2119</f>
        <v>0.00336417157275021</v>
      </c>
      <c r="D2119" s="1" t="n">
        <v>0.852</v>
      </c>
      <c r="E2119" s="1" t="n">
        <f aca="false">LN(D2119)</f>
        <v>-0.160168752152821</v>
      </c>
    </row>
    <row r="2120" customFormat="false" ht="15.75" hidden="false" customHeight="false" outlineLevel="0" collapsed="false">
      <c r="A2120" s="1" t="s">
        <v>765</v>
      </c>
      <c r="B2120" s="1" t="n">
        <v>308.55</v>
      </c>
      <c r="C2120" s="1" t="n">
        <f aca="false">1/B2120</f>
        <v>0.00324096580781073</v>
      </c>
      <c r="D2120" s="1" t="n">
        <v>0.734</v>
      </c>
      <c r="E2120" s="1" t="n">
        <f aca="false">LN(D2120)</f>
        <v>-0.309246250367621</v>
      </c>
    </row>
    <row r="2121" customFormat="false" ht="15.75" hidden="false" customHeight="false" outlineLevel="0" collapsed="false">
      <c r="A2121" s="1" t="s">
        <v>765</v>
      </c>
      <c r="B2121" s="1" t="n">
        <v>333.54</v>
      </c>
      <c r="C2121" s="1" t="n">
        <f aca="false">1/B2121</f>
        <v>0.00299814115248546</v>
      </c>
      <c r="D2121" s="1" t="n">
        <v>0.551</v>
      </c>
      <c r="E2121" s="1" t="n">
        <f aca="false">LN(D2121)</f>
        <v>-0.596020469829223</v>
      </c>
    </row>
    <row r="2122" customFormat="false" ht="15.75" hidden="false" customHeight="false" outlineLevel="0" collapsed="false">
      <c r="A2122" s="1" t="s">
        <v>765</v>
      </c>
      <c r="B2122" s="1" t="n">
        <v>344.19</v>
      </c>
      <c r="C2122" s="1" t="n">
        <f aca="false">1/B2122</f>
        <v>0.00290537203288881</v>
      </c>
      <c r="D2122" s="1" t="n">
        <v>0.494</v>
      </c>
      <c r="E2122" s="1" t="n">
        <f aca="false">LN(D2122)</f>
        <v>-0.705219761794215</v>
      </c>
    </row>
    <row r="2123" customFormat="false" ht="15.75" hidden="false" customHeight="false" outlineLevel="0" collapsed="false">
      <c r="A2123" s="1" t="s">
        <v>765</v>
      </c>
      <c r="B2123" s="1" t="n">
        <v>357.57</v>
      </c>
      <c r="C2123" s="1" t="n">
        <f aca="false">1/B2123</f>
        <v>0.00279665520038034</v>
      </c>
      <c r="D2123" s="1" t="n">
        <v>0.434</v>
      </c>
      <c r="E2123" s="1" t="n">
        <f aca="false">LN(D2123)</f>
        <v>-0.834710744881732</v>
      </c>
    </row>
    <row r="2124" customFormat="false" ht="15.75" hidden="false" customHeight="false" outlineLevel="0" collapsed="false">
      <c r="A2124" s="1" t="s">
        <v>765</v>
      </c>
      <c r="B2124" s="1" t="n">
        <v>368.24</v>
      </c>
      <c r="C2124" s="1" t="n">
        <f aca="false">1/B2124</f>
        <v>0.00271562024766457</v>
      </c>
      <c r="D2124" s="1" t="n">
        <v>0.394</v>
      </c>
      <c r="E2124" s="1" t="n">
        <f aca="false">LN(D2124)</f>
        <v>-0.931404369684203</v>
      </c>
    </row>
    <row r="2125" customFormat="false" ht="15.75" hidden="false" customHeight="false" outlineLevel="0" collapsed="false">
      <c r="A2125" s="1" t="s">
        <v>765</v>
      </c>
      <c r="B2125" s="1" t="n">
        <v>382.07</v>
      </c>
      <c r="C2125" s="1" t="n">
        <f aca="false">1/B2125</f>
        <v>0.00261732143324522</v>
      </c>
      <c r="D2125" s="1" t="n">
        <v>0.351</v>
      </c>
      <c r="E2125" s="1" t="n">
        <f aca="false">LN(D2125)</f>
        <v>-1.04696905551627</v>
      </c>
    </row>
    <row r="2126" customFormat="false" ht="15.75" hidden="false" customHeight="false" outlineLevel="0" collapsed="false">
      <c r="A2126" s="1" t="s">
        <v>765</v>
      </c>
      <c r="B2126" s="1" t="n">
        <v>393.38</v>
      </c>
      <c r="C2126" s="1" t="n">
        <f aca="false">1/B2126</f>
        <v>0.00254207127967868</v>
      </c>
      <c r="D2126" s="1" t="n">
        <v>0.32</v>
      </c>
      <c r="E2126" s="1" t="n">
        <f aca="false">LN(D2126)</f>
        <v>-1.13943428318836</v>
      </c>
    </row>
    <row r="2127" customFormat="false" ht="15.75" hidden="false" customHeight="false" outlineLevel="0" collapsed="false">
      <c r="A2127" s="1" t="s">
        <v>765</v>
      </c>
      <c r="B2127" s="1" t="n">
        <v>303.15</v>
      </c>
      <c r="C2127" s="1" t="n">
        <f aca="false">1/B2127</f>
        <v>0.0032986970146792</v>
      </c>
      <c r="D2127" s="1" t="n">
        <v>0.783</v>
      </c>
      <c r="E2127" s="1" t="n">
        <f aca="false">LN(D2127)</f>
        <v>-0.244622582991334</v>
      </c>
    </row>
    <row r="2128" customFormat="false" ht="15.75" hidden="false" customHeight="false" outlineLevel="0" collapsed="false">
      <c r="A2128" s="1" t="s">
        <v>765</v>
      </c>
      <c r="B2128" s="1" t="n">
        <v>273.1526</v>
      </c>
      <c r="C2128" s="1" t="n">
        <f aca="false">1/B2128</f>
        <v>0.00366095728175386</v>
      </c>
      <c r="D2128" s="1" t="n">
        <v>1.2448</v>
      </c>
      <c r="E2128" s="1" t="n">
        <f aca="false">LN(D2128)</f>
        <v>0.21897487444199</v>
      </c>
    </row>
    <row r="2129" customFormat="false" ht="15.75" hidden="false" customHeight="false" outlineLevel="0" collapsed="false">
      <c r="A2129" s="1" t="s">
        <v>765</v>
      </c>
      <c r="B2129" s="1" t="n">
        <v>293.15</v>
      </c>
      <c r="C2129" s="1" t="n">
        <f aca="false">1/B2129</f>
        <v>0.00341122292341805</v>
      </c>
      <c r="D2129" s="1" t="n">
        <v>0.901</v>
      </c>
      <c r="E2129" s="1" t="n">
        <f aca="false">LN(D2129)</f>
        <v>-0.104250021373799</v>
      </c>
    </row>
    <row r="2130" customFormat="false" ht="15.75" hidden="false" customHeight="false" outlineLevel="0" collapsed="false">
      <c r="A2130" s="1" t="s">
        <v>765</v>
      </c>
      <c r="B2130" s="1" t="n">
        <v>303.15</v>
      </c>
      <c r="C2130" s="1" t="n">
        <f aca="false">1/B2130</f>
        <v>0.0032986970146792</v>
      </c>
      <c r="D2130" s="1" t="n">
        <v>0.786</v>
      </c>
      <c r="E2130" s="1" t="n">
        <f aca="false">LN(D2130)</f>
        <v>-0.24079848655293</v>
      </c>
    </row>
    <row r="2131" customFormat="false" ht="15.75" hidden="false" customHeight="false" outlineLevel="0" collapsed="false">
      <c r="A2131" s="1" t="s">
        <v>765</v>
      </c>
      <c r="B2131" s="1" t="n">
        <v>321.3</v>
      </c>
      <c r="C2131" s="1" t="n">
        <f aca="false">1/B2131</f>
        <v>0.00311235605353252</v>
      </c>
      <c r="D2131" s="1" t="n">
        <v>0.63</v>
      </c>
      <c r="E2131" s="1" t="n">
        <f aca="false">LN(D2131)</f>
        <v>-0.462035459596559</v>
      </c>
    </row>
    <row r="2132" customFormat="false" ht="15.75" hidden="false" customHeight="false" outlineLevel="0" collapsed="false">
      <c r="A2132" s="1" t="s">
        <v>765</v>
      </c>
      <c r="B2132" s="1" t="n">
        <v>406.54</v>
      </c>
      <c r="C2132" s="1" t="n">
        <f aca="false">1/B2132</f>
        <v>0.00245978255522212</v>
      </c>
      <c r="D2132" s="1" t="n">
        <v>0.289</v>
      </c>
      <c r="E2132" s="1" t="n">
        <f aca="false">LN(D2132)</f>
        <v>-1.24132859086971</v>
      </c>
    </row>
    <row r="2133" customFormat="false" ht="15.75" hidden="false" customHeight="false" outlineLevel="0" collapsed="false">
      <c r="A2133" s="1" t="s">
        <v>765</v>
      </c>
      <c r="B2133" s="1" t="n">
        <v>313.15</v>
      </c>
      <c r="C2133" s="1" t="n">
        <f aca="false">1/B2133</f>
        <v>0.00319335781574325</v>
      </c>
      <c r="D2133" s="1" t="n">
        <v>0.691</v>
      </c>
      <c r="E2133" s="1" t="n">
        <f aca="false">LN(D2133)</f>
        <v>-0.369615455214467</v>
      </c>
    </row>
    <row r="2134" customFormat="false" ht="15.75" hidden="false" customHeight="false" outlineLevel="0" collapsed="false">
      <c r="A2134" s="1" t="s">
        <v>767</v>
      </c>
      <c r="B2134" s="1" t="n">
        <v>183.1569</v>
      </c>
      <c r="C2134" s="1" t="n">
        <f aca="false">1/B2134</f>
        <v>0.00545979976730333</v>
      </c>
      <c r="D2134" s="1" t="n">
        <v>1.993</v>
      </c>
      <c r="E2134" s="1" t="n">
        <f aca="false">LN(D2134)</f>
        <v>0.689641041230658</v>
      </c>
    </row>
    <row r="2135" customFormat="false" ht="15.75" hidden="false" customHeight="false" outlineLevel="0" collapsed="false">
      <c r="A2135" s="1" t="s">
        <v>767</v>
      </c>
      <c r="B2135" s="1" t="n">
        <v>193.15</v>
      </c>
      <c r="C2135" s="1" t="n">
        <f aca="false">1/B2135</f>
        <v>0.00517732332384157</v>
      </c>
      <c r="D2135" s="1" t="n">
        <v>1.497</v>
      </c>
      <c r="E2135" s="1" t="n">
        <f aca="false">LN(D2135)</f>
        <v>0.403463105437491</v>
      </c>
    </row>
    <row r="2136" customFormat="false" ht="15.75" hidden="false" customHeight="false" outlineLevel="0" collapsed="false">
      <c r="A2136" s="1" t="s">
        <v>767</v>
      </c>
      <c r="B2136" s="1" t="n">
        <v>203.15</v>
      </c>
      <c r="C2136" s="1" t="n">
        <f aca="false">1/B2136</f>
        <v>0.0049224710804824</v>
      </c>
      <c r="D2136" s="1" t="n">
        <v>1.171</v>
      </c>
      <c r="E2136" s="1" t="n">
        <f aca="false">LN(D2136)</f>
        <v>0.15785808461558</v>
      </c>
    </row>
    <row r="2137" customFormat="false" ht="15.75" hidden="false" customHeight="false" outlineLevel="0" collapsed="false">
      <c r="A2137" s="1" t="s">
        <v>767</v>
      </c>
      <c r="B2137" s="1" t="n">
        <v>213.15</v>
      </c>
      <c r="C2137" s="1" t="n">
        <f aca="false">1/B2137</f>
        <v>0.00469153178512784</v>
      </c>
      <c r="D2137" s="1" t="n">
        <v>0.9495</v>
      </c>
      <c r="E2137" s="1" t="n">
        <f aca="false">LN(D2137)</f>
        <v>-0.0518197487297965</v>
      </c>
    </row>
    <row r="2138" customFormat="false" ht="15.75" hidden="false" customHeight="false" outlineLevel="0" collapsed="false">
      <c r="A2138" s="1" t="s">
        <v>767</v>
      </c>
      <c r="B2138" s="1" t="n">
        <v>223.15</v>
      </c>
      <c r="C2138" s="1" t="n">
        <f aca="false">1/B2138</f>
        <v>0.00448129061169617</v>
      </c>
      <c r="D2138" s="1" t="n">
        <v>0.7897</v>
      </c>
      <c r="E2138" s="1" t="n">
        <f aca="false">LN(D2138)</f>
        <v>-0.236102152478602</v>
      </c>
    </row>
    <row r="2139" customFormat="false" ht="15.75" hidden="false" customHeight="false" outlineLevel="0" collapsed="false">
      <c r="A2139" s="1" t="s">
        <v>767</v>
      </c>
      <c r="B2139" s="1" t="n">
        <v>233.15</v>
      </c>
      <c r="C2139" s="1" t="n">
        <f aca="false">1/B2139</f>
        <v>0.00428908428050611</v>
      </c>
      <c r="D2139" s="1" t="n">
        <v>0.6708</v>
      </c>
      <c r="E2139" s="1" t="n">
        <f aca="false">LN(D2139)</f>
        <v>-0.399284249033083</v>
      </c>
    </row>
    <row r="2140" customFormat="false" ht="15.75" hidden="false" customHeight="false" outlineLevel="0" collapsed="false">
      <c r="A2140" s="1" t="s">
        <v>767</v>
      </c>
      <c r="B2140" s="1" t="n">
        <v>243.15</v>
      </c>
      <c r="C2140" s="1" t="n">
        <f aca="false">1/B2140</f>
        <v>0.00411268764137364</v>
      </c>
      <c r="D2140" s="1" t="n">
        <v>0.5783</v>
      </c>
      <c r="E2140" s="1" t="n">
        <f aca="false">LN(D2140)</f>
        <v>-0.547662513817964</v>
      </c>
    </row>
    <row r="2141" customFormat="false" ht="15.75" hidden="false" customHeight="false" outlineLevel="0" collapsed="false">
      <c r="A2141" s="1" t="s">
        <v>767</v>
      </c>
      <c r="B2141" s="1" t="n">
        <v>253.15</v>
      </c>
      <c r="C2141" s="1" t="n">
        <f aca="false">1/B2141</f>
        <v>0.00395022713806044</v>
      </c>
      <c r="D2141" s="1" t="n">
        <v>0.505</v>
      </c>
      <c r="E2141" s="1" t="n">
        <f aca="false">LN(D2141)</f>
        <v>-0.683196849706777</v>
      </c>
    </row>
    <row r="2142" customFormat="false" ht="15.75" hidden="false" customHeight="false" outlineLevel="0" collapsed="false">
      <c r="A2142" s="1" t="s">
        <v>767</v>
      </c>
      <c r="B2142" s="1" t="n">
        <v>263.15</v>
      </c>
      <c r="C2142" s="1" t="n">
        <f aca="false">1/B2142</f>
        <v>0.0038001140034201</v>
      </c>
      <c r="D2142" s="1" t="n">
        <v>0.4457</v>
      </c>
      <c r="E2142" s="1" t="n">
        <f aca="false">LN(D2142)</f>
        <v>-0.808109199029627</v>
      </c>
    </row>
    <row r="2143" customFormat="false" ht="15.75" hidden="false" customHeight="false" outlineLevel="0" collapsed="false">
      <c r="A2143" s="1" t="s">
        <v>767</v>
      </c>
      <c r="B2143" s="1" t="n">
        <v>273.15</v>
      </c>
      <c r="C2143" s="1" t="n">
        <f aca="false">1/B2143</f>
        <v>0.00366099212886692</v>
      </c>
      <c r="D2143" s="1" t="n">
        <v>0.3976</v>
      </c>
      <c r="E2143" s="1" t="n">
        <f aca="false">LN(D2143)</f>
        <v>-0.922308804199718</v>
      </c>
    </row>
    <row r="2144" customFormat="false" ht="15.75" hidden="false" customHeight="false" outlineLevel="0" collapsed="false">
      <c r="A2144" s="1" t="s">
        <v>767</v>
      </c>
      <c r="B2144" s="1" t="n">
        <v>283.15</v>
      </c>
      <c r="C2144" s="1" t="n">
        <f aca="false">1/B2144</f>
        <v>0.00353169698039908</v>
      </c>
      <c r="D2144" s="1" t="n">
        <v>0.3562</v>
      </c>
      <c r="E2144" s="1" t="n">
        <f aca="false">LN(D2144)</f>
        <v>-1.03226290812658</v>
      </c>
    </row>
    <row r="2145" customFormat="false" ht="15.75" hidden="false" customHeight="false" outlineLevel="0" collapsed="false">
      <c r="A2145" s="1" t="s">
        <v>767</v>
      </c>
      <c r="B2145" s="1" t="n">
        <v>281.014</v>
      </c>
      <c r="C2145" s="1" t="n">
        <f aca="false">1/B2145</f>
        <v>0.00355854156732405</v>
      </c>
      <c r="D2145" s="1" t="n">
        <v>0.3638</v>
      </c>
      <c r="E2145" s="1" t="n">
        <f aca="false">LN(D2145)</f>
        <v>-1.01115101289812</v>
      </c>
    </row>
    <row r="2146" customFormat="false" ht="15.75" hidden="false" customHeight="false" outlineLevel="0" collapsed="false">
      <c r="A2146" s="1" t="s">
        <v>767</v>
      </c>
      <c r="B2146" s="1" t="n">
        <v>284.87</v>
      </c>
      <c r="C2146" s="1" t="n">
        <f aca="false">1/B2146</f>
        <v>0.00351037315266613</v>
      </c>
      <c r="D2146" s="1" t="n">
        <v>0.3495</v>
      </c>
      <c r="E2146" s="1" t="n">
        <f aca="false">LN(D2146)</f>
        <v>-1.05125171730827</v>
      </c>
    </row>
    <row r="2147" customFormat="false" ht="15.75" hidden="false" customHeight="false" outlineLevel="0" collapsed="false">
      <c r="A2147" s="1" t="s">
        <v>767</v>
      </c>
      <c r="B2147" s="1" t="n">
        <v>288.39</v>
      </c>
      <c r="C2147" s="1" t="n">
        <f aca="false">1/B2147</f>
        <v>0.00346752661326676</v>
      </c>
      <c r="D2147" s="1" t="n">
        <v>0.3376</v>
      </c>
      <c r="E2147" s="1" t="n">
        <f aca="false">LN(D2147)</f>
        <v>-1.08589351626034</v>
      </c>
    </row>
    <row r="2148" customFormat="false" ht="15.75" hidden="false" customHeight="false" outlineLevel="0" collapsed="false">
      <c r="A2148" s="1" t="s">
        <v>767</v>
      </c>
      <c r="B2148" s="1" t="n">
        <v>292.17</v>
      </c>
      <c r="C2148" s="1" t="n">
        <f aca="false">1/B2148</f>
        <v>0.00342266488688093</v>
      </c>
      <c r="D2148" s="1" t="n">
        <v>0.3258</v>
      </c>
      <c r="E2148" s="1" t="n">
        <f aca="false">LN(D2148)</f>
        <v>-1.12147158281419</v>
      </c>
    </row>
    <row r="2149" customFormat="false" ht="15.75" hidden="false" customHeight="false" outlineLevel="0" collapsed="false">
      <c r="A2149" s="1" t="s">
        <v>767</v>
      </c>
      <c r="B2149" s="1" t="n">
        <v>296.16</v>
      </c>
      <c r="C2149" s="1" t="n">
        <f aca="false">1/B2149</f>
        <v>0.00337655321447866</v>
      </c>
      <c r="D2149" s="1" t="n">
        <v>0.3131</v>
      </c>
      <c r="E2149" s="1" t="n">
        <f aca="false">LN(D2149)</f>
        <v>-1.16123265064978</v>
      </c>
    </row>
    <row r="2150" customFormat="false" ht="15.75" hidden="false" customHeight="false" outlineLevel="0" collapsed="false">
      <c r="A2150" s="1" t="s">
        <v>767</v>
      </c>
      <c r="B2150" s="1" t="n">
        <v>300.37</v>
      </c>
      <c r="C2150" s="1" t="n">
        <f aca="false">1/B2150</f>
        <v>0.00332922728634684</v>
      </c>
      <c r="D2150" s="1" t="n">
        <v>0.3007</v>
      </c>
      <c r="E2150" s="1" t="n">
        <f aca="false">LN(D2150)</f>
        <v>-1.20164218898765</v>
      </c>
    </row>
    <row r="2151" customFormat="false" ht="15.75" hidden="false" customHeight="false" outlineLevel="0" collapsed="false">
      <c r="A2151" s="1" t="s">
        <v>767</v>
      </c>
      <c r="B2151" s="1" t="n">
        <v>305.58</v>
      </c>
      <c r="C2151" s="1" t="n">
        <f aca="false">1/B2151</f>
        <v>0.00327246547548923</v>
      </c>
      <c r="D2151" s="1" t="n">
        <v>0.2863</v>
      </c>
      <c r="E2151" s="1" t="n">
        <f aca="false">LN(D2151)</f>
        <v>-1.25071506687807</v>
      </c>
    </row>
    <row r="2152" customFormat="false" ht="15.75" hidden="false" customHeight="false" outlineLevel="0" collapsed="false">
      <c r="A2152" s="1" t="s">
        <v>767</v>
      </c>
      <c r="B2152" s="1" t="n">
        <v>309.15</v>
      </c>
      <c r="C2152" s="1" t="n">
        <f aca="false">1/B2152</f>
        <v>0.00323467572375869</v>
      </c>
      <c r="D2152" s="1" t="n">
        <v>0.2772</v>
      </c>
      <c r="E2152" s="1" t="n">
        <f aca="false">LN(D2152)</f>
        <v>-1.28301601166639</v>
      </c>
    </row>
    <row r="2153" customFormat="false" ht="15.75" hidden="false" customHeight="false" outlineLevel="0" collapsed="false">
      <c r="A2153" s="1" t="s">
        <v>767</v>
      </c>
      <c r="B2153" s="1" t="n">
        <v>313.19</v>
      </c>
      <c r="C2153" s="1" t="n">
        <f aca="false">1/B2153</f>
        <v>0.00319294996647403</v>
      </c>
      <c r="D2153" s="1" t="n">
        <v>0.2675</v>
      </c>
      <c r="E2153" s="1" t="n">
        <f aca="false">LN(D2153)</f>
        <v>-1.31863571264608</v>
      </c>
    </row>
    <row r="2154" customFormat="false" ht="15.75" hidden="false" customHeight="false" outlineLevel="0" collapsed="false">
      <c r="A2154" s="1" t="s">
        <v>767</v>
      </c>
      <c r="B2154" s="1" t="n">
        <v>317.27</v>
      </c>
      <c r="C2154" s="1" t="n">
        <f aca="false">1/B2154</f>
        <v>0.0031518895577899</v>
      </c>
      <c r="D2154" s="1" t="n">
        <v>0.2584</v>
      </c>
      <c r="E2154" s="1" t="n">
        <f aca="false">LN(D2154)</f>
        <v>-1.35324650707369</v>
      </c>
    </row>
    <row r="2155" customFormat="false" ht="15.75" hidden="false" customHeight="false" outlineLevel="0" collapsed="false">
      <c r="A2155" s="1" t="s">
        <v>767</v>
      </c>
      <c r="B2155" s="1" t="n">
        <v>320</v>
      </c>
      <c r="C2155" s="1" t="n">
        <f aca="false">1/B2155</f>
        <v>0.003125</v>
      </c>
      <c r="D2155" s="1" t="n">
        <v>0.2503</v>
      </c>
      <c r="E2155" s="1" t="n">
        <f aca="false">LN(D2155)</f>
        <v>-1.38509508054441</v>
      </c>
    </row>
    <row r="2156" customFormat="false" ht="15.75" hidden="false" customHeight="false" outlineLevel="0" collapsed="false">
      <c r="A2156" s="1" t="s">
        <v>767</v>
      </c>
      <c r="B2156" s="1" t="n">
        <v>325.35</v>
      </c>
      <c r="C2156" s="1" t="n">
        <f aca="false">1/B2156</f>
        <v>0.00307361303211926</v>
      </c>
      <c r="D2156" s="1" t="n">
        <v>0.2405</v>
      </c>
      <c r="E2156" s="1" t="n">
        <f aca="false">LN(D2156)</f>
        <v>-1.42503518943632</v>
      </c>
    </row>
    <row r="2157" customFormat="false" ht="15.75" hidden="false" customHeight="false" outlineLevel="0" collapsed="false">
      <c r="A2157" s="1" t="s">
        <v>767</v>
      </c>
      <c r="B2157" s="1" t="n">
        <v>327.01</v>
      </c>
      <c r="C2157" s="1" t="n">
        <f aca="false">1/B2157</f>
        <v>0.00305801045839577</v>
      </c>
      <c r="D2157" s="1" t="n">
        <v>0.2377</v>
      </c>
      <c r="E2157" s="1" t="n">
        <f aca="false">LN(D2157)</f>
        <v>-1.43674590461599</v>
      </c>
    </row>
    <row r="2158" customFormat="false" ht="15.75" hidden="false" customHeight="false" outlineLevel="0" collapsed="false">
      <c r="A2158" s="1" t="s">
        <v>1438</v>
      </c>
      <c r="B2158" s="1" t="n">
        <v>289.75</v>
      </c>
      <c r="C2158" s="1" t="n">
        <f aca="false">1/B2158</f>
        <v>0.00345125107851596</v>
      </c>
      <c r="D2158" s="1" t="n">
        <v>0.395</v>
      </c>
      <c r="E2158" s="1" t="n">
        <f aca="false">LN(D2158)</f>
        <v>-0.928869514081015</v>
      </c>
    </row>
    <row r="2159" customFormat="false" ht="15.75" hidden="false" customHeight="false" outlineLevel="0" collapsed="false">
      <c r="A2159" s="1" t="s">
        <v>1438</v>
      </c>
      <c r="B2159" s="1" t="n">
        <v>314.55</v>
      </c>
      <c r="C2159" s="1" t="n">
        <f aca="false">1/B2159</f>
        <v>0.0031791448100461</v>
      </c>
      <c r="D2159" s="1" t="n">
        <v>0.308</v>
      </c>
      <c r="E2159" s="1" t="n">
        <f aca="false">LN(D2159)</f>
        <v>-1.17765549600856</v>
      </c>
    </row>
    <row r="2160" customFormat="false" ht="15.75" hidden="false" customHeight="false" outlineLevel="0" collapsed="false">
      <c r="A2160" s="1" t="s">
        <v>1438</v>
      </c>
      <c r="B2160" s="1" t="n">
        <v>334.95</v>
      </c>
      <c r="C2160" s="1" t="n">
        <f aca="false">1/B2160</f>
        <v>0.00298552022689954</v>
      </c>
      <c r="D2160" s="1" t="n">
        <v>0.2583</v>
      </c>
      <c r="E2160" s="1" t="n">
        <f aca="false">LN(D2160)</f>
        <v>-1.35363357888034</v>
      </c>
    </row>
    <row r="2161" customFormat="false" ht="15.75" hidden="false" customHeight="false" outlineLevel="0" collapsed="false">
      <c r="A2161" s="1" t="s">
        <v>1438</v>
      </c>
      <c r="B2161" s="1" t="n">
        <v>341.85</v>
      </c>
      <c r="C2161" s="1" t="n">
        <f aca="false">1/B2161</f>
        <v>0.00292525961679099</v>
      </c>
      <c r="D2161" s="1" t="n">
        <v>0.2445</v>
      </c>
      <c r="E2161" s="1" t="n">
        <f aca="false">LN(D2161)</f>
        <v>-1.40853997006721</v>
      </c>
    </row>
    <row r="2162" customFormat="false" ht="15.75" hidden="false" customHeight="false" outlineLevel="0" collapsed="false">
      <c r="A2162" s="1" t="s">
        <v>1438</v>
      </c>
      <c r="B2162" s="1" t="n">
        <v>354.65</v>
      </c>
      <c r="C2162" s="1" t="n">
        <f aca="false">1/B2162</f>
        <v>0.00281968137600451</v>
      </c>
      <c r="D2162" s="1" t="n">
        <v>0.2217</v>
      </c>
      <c r="E2162" s="1" t="n">
        <f aca="false">LN(D2162)</f>
        <v>-1.50643016235987</v>
      </c>
    </row>
    <row r="2163" customFormat="false" ht="15.75" hidden="false" customHeight="false" outlineLevel="0" collapsed="false">
      <c r="A2163" s="1" t="s">
        <v>1438</v>
      </c>
      <c r="B2163" s="1" t="n">
        <v>324.75</v>
      </c>
      <c r="C2163" s="1" t="n">
        <f aca="false">1/B2163</f>
        <v>0.00307929176289453</v>
      </c>
      <c r="D2163" s="1" t="n">
        <v>0.2816</v>
      </c>
      <c r="E2163" s="1" t="n">
        <f aca="false">LN(D2163)</f>
        <v>-1.26726765469825</v>
      </c>
    </row>
    <row r="2164" customFormat="false" ht="15.75" hidden="false" customHeight="false" outlineLevel="0" collapsed="false">
      <c r="A2164" s="1" t="s">
        <v>1438</v>
      </c>
      <c r="B2164" s="1" t="n">
        <v>359.95</v>
      </c>
      <c r="C2164" s="1" t="n">
        <f aca="false">1/B2164</f>
        <v>0.00277816363383803</v>
      </c>
      <c r="D2164" s="1" t="n">
        <v>0.2295</v>
      </c>
      <c r="E2164" s="1" t="n">
        <f aca="false">LN(D2164)</f>
        <v>-1.47185224948154</v>
      </c>
    </row>
    <row r="2165" customFormat="false" ht="15.75" hidden="false" customHeight="false" outlineLevel="0" collapsed="false">
      <c r="A2165" s="1" t="s">
        <v>769</v>
      </c>
      <c r="B2165" s="1" t="n">
        <v>372.1515</v>
      </c>
      <c r="C2165" s="1" t="n">
        <f aca="false">1/B2165</f>
        <v>0.0026870777089438</v>
      </c>
      <c r="D2165" s="1" t="n">
        <v>0.6349</v>
      </c>
      <c r="E2165" s="1" t="n">
        <f aca="false">LN(D2165)</f>
        <v>-0.454287772805733</v>
      </c>
    </row>
    <row r="2166" customFormat="false" ht="15.75" hidden="false" customHeight="false" outlineLevel="0" collapsed="false">
      <c r="A2166" s="1" t="s">
        <v>769</v>
      </c>
      <c r="B2166" s="1" t="n">
        <v>395.15</v>
      </c>
      <c r="C2166" s="1" t="n">
        <f aca="false">1/B2166</f>
        <v>0.00253068455017082</v>
      </c>
      <c r="D2166" s="1" t="n">
        <v>0.5165</v>
      </c>
      <c r="E2166" s="1" t="n">
        <f aca="false">LN(D2166)</f>
        <v>-0.660679990422444</v>
      </c>
    </row>
    <row r="2167" customFormat="false" ht="15.75" hidden="false" customHeight="false" outlineLevel="0" collapsed="false">
      <c r="A2167" s="1" t="s">
        <v>769</v>
      </c>
      <c r="B2167" s="1" t="n">
        <v>414.65</v>
      </c>
      <c r="C2167" s="1" t="n">
        <f aca="false">1/B2167</f>
        <v>0.0024116724948752</v>
      </c>
      <c r="D2167" s="1" t="n">
        <v>0.4393</v>
      </c>
      <c r="E2167" s="1" t="n">
        <f aca="false">LN(D2167)</f>
        <v>-0.822572728000403</v>
      </c>
    </row>
    <row r="2168" customFormat="false" ht="15.75" hidden="false" customHeight="false" outlineLevel="0" collapsed="false">
      <c r="A2168" s="1" t="s">
        <v>769</v>
      </c>
      <c r="B2168" s="1" t="n">
        <v>435.15</v>
      </c>
      <c r="C2168" s="1" t="n">
        <f aca="false">1/B2168</f>
        <v>0.00229805814087096</v>
      </c>
      <c r="D2168" s="1" t="n">
        <v>0.3788</v>
      </c>
      <c r="E2168" s="1" t="n">
        <f aca="false">LN(D2168)</f>
        <v>-0.970746917670214</v>
      </c>
    </row>
    <row r="2169" customFormat="false" ht="15.75" hidden="false" customHeight="false" outlineLevel="0" collapsed="false">
      <c r="A2169" s="1" t="s">
        <v>769</v>
      </c>
      <c r="B2169" s="1" t="n">
        <v>460.65</v>
      </c>
      <c r="C2169" s="1" t="n">
        <f aca="false">1/B2169</f>
        <v>0.00217084554433952</v>
      </c>
      <c r="D2169" s="1" t="n">
        <v>0.3184</v>
      </c>
      <c r="E2169" s="1" t="n">
        <f aca="false">LN(D2169)</f>
        <v>-1.14444682501191</v>
      </c>
    </row>
    <row r="2170" customFormat="false" ht="15.75" hidden="false" customHeight="false" outlineLevel="0" collapsed="false">
      <c r="A2170" s="1" t="s">
        <v>769</v>
      </c>
      <c r="B2170" s="1" t="n">
        <v>474.45</v>
      </c>
      <c r="C2170" s="1" t="n">
        <f aca="false">1/B2170</f>
        <v>0.00210770365686584</v>
      </c>
      <c r="D2170" s="1" t="n">
        <v>0.29</v>
      </c>
      <c r="E2170" s="1" t="n">
        <f aca="false">LN(D2170)</f>
        <v>-1.23787435600162</v>
      </c>
    </row>
    <row r="2171" customFormat="false" ht="15.75" hidden="false" customHeight="false" outlineLevel="0" collapsed="false">
      <c r="A2171" s="1" t="s">
        <v>769</v>
      </c>
      <c r="B2171" s="1" t="n">
        <v>298.157</v>
      </c>
      <c r="C2171" s="1" t="n">
        <f aca="false">1/B2171</f>
        <v>0.00335393769054558</v>
      </c>
      <c r="D2171" s="1" t="n">
        <v>1.681</v>
      </c>
      <c r="E2171" s="1" t="n">
        <f aca="false">LN(D2171)</f>
        <v>0.519388854426478</v>
      </c>
    </row>
    <row r="2172" customFormat="false" ht="15.75" hidden="false" customHeight="false" outlineLevel="0" collapsed="false">
      <c r="A2172" s="1" t="s">
        <v>769</v>
      </c>
      <c r="B2172" s="1" t="n">
        <v>298.16</v>
      </c>
      <c r="C2172" s="1" t="n">
        <f aca="false">1/B2172</f>
        <v>0.00335390394419104</v>
      </c>
      <c r="D2172" s="1" t="n">
        <v>1.617</v>
      </c>
      <c r="E2172" s="1" t="n">
        <f aca="false">LN(D2172)</f>
        <v>0.48057258059497</v>
      </c>
    </row>
    <row r="2173" customFormat="false" ht="15.75" hidden="false" customHeight="false" outlineLevel="0" collapsed="false">
      <c r="A2173" s="1" t="s">
        <v>769</v>
      </c>
      <c r="B2173" s="1" t="n">
        <v>353.16</v>
      </c>
      <c r="C2173" s="1" t="n">
        <f aca="false">1/B2173</f>
        <v>0.00283157775512516</v>
      </c>
      <c r="D2173" s="1" t="n">
        <v>0.738</v>
      </c>
      <c r="E2173" s="1" t="n">
        <f aca="false">LN(D2173)</f>
        <v>-0.303811454381665</v>
      </c>
    </row>
    <row r="2174" customFormat="false" ht="15.75" hidden="false" customHeight="false" outlineLevel="0" collapsed="false">
      <c r="A2174" s="1" t="s">
        <v>769</v>
      </c>
      <c r="B2174" s="1" t="n">
        <v>298.16</v>
      </c>
      <c r="C2174" s="1" t="n">
        <f aca="false">1/B2174</f>
        <v>0.00335390394419104</v>
      </c>
      <c r="D2174" s="1" t="n">
        <v>1.617</v>
      </c>
      <c r="E2174" s="1" t="n">
        <f aca="false">LN(D2174)</f>
        <v>0.48057258059497</v>
      </c>
    </row>
    <row r="2175" customFormat="false" ht="15.75" hidden="false" customHeight="false" outlineLevel="0" collapsed="false">
      <c r="A2175" s="1" t="s">
        <v>769</v>
      </c>
      <c r="B2175" s="1" t="n">
        <v>353.16</v>
      </c>
      <c r="C2175" s="1" t="n">
        <f aca="false">1/B2175</f>
        <v>0.00283157775512516</v>
      </c>
      <c r="D2175" s="1" t="n">
        <v>0.738</v>
      </c>
      <c r="E2175" s="1" t="n">
        <f aca="false">LN(D2175)</f>
        <v>-0.303811454381665</v>
      </c>
    </row>
    <row r="2176" customFormat="false" ht="15.75" hidden="false" customHeight="false" outlineLevel="0" collapsed="false">
      <c r="A2176" s="1" t="s">
        <v>771</v>
      </c>
      <c r="B2176" s="1" t="n">
        <v>294.25</v>
      </c>
      <c r="C2176" s="1" t="n">
        <f aca="false">1/B2176</f>
        <v>0.00339847068819031</v>
      </c>
      <c r="D2176" s="1" t="n">
        <v>0.382</v>
      </c>
      <c r="E2176" s="1" t="n">
        <f aca="false">LN(D2176)</f>
        <v>-0.962334670375562</v>
      </c>
    </row>
    <row r="2177" customFormat="false" ht="15.75" hidden="false" customHeight="false" outlineLevel="0" collapsed="false">
      <c r="A2177" s="1" t="s">
        <v>771</v>
      </c>
      <c r="B2177" s="1" t="n">
        <v>305.35</v>
      </c>
      <c r="C2177" s="1" t="n">
        <f aca="false">1/B2177</f>
        <v>0.00327493040772884</v>
      </c>
      <c r="D2177" s="1" t="n">
        <v>0.345</v>
      </c>
      <c r="E2177" s="1" t="n">
        <f aca="false">LN(D2177)</f>
        <v>-1.06421086195078</v>
      </c>
    </row>
    <row r="2178" customFormat="false" ht="15.75" hidden="false" customHeight="false" outlineLevel="0" collapsed="false">
      <c r="A2178" s="1" t="s">
        <v>771</v>
      </c>
      <c r="B2178" s="1" t="n">
        <v>312.05</v>
      </c>
      <c r="C2178" s="1" t="n">
        <f aca="false">1/B2178</f>
        <v>0.00320461464508893</v>
      </c>
      <c r="D2178" s="1" t="n">
        <v>0.3234</v>
      </c>
      <c r="E2178" s="1" t="n">
        <f aca="false">LN(D2178)</f>
        <v>-1.12886533183913</v>
      </c>
    </row>
    <row r="2179" customFormat="false" ht="15.75" hidden="false" customHeight="false" outlineLevel="0" collapsed="false">
      <c r="A2179" s="1" t="s">
        <v>771</v>
      </c>
      <c r="B2179" s="1" t="n">
        <v>316.15</v>
      </c>
      <c r="C2179" s="1" t="n">
        <f aca="false">1/B2179</f>
        <v>0.00316305551162423</v>
      </c>
      <c r="D2179" s="1" t="n">
        <v>0.312</v>
      </c>
      <c r="E2179" s="1" t="n">
        <f aca="false">LN(D2179)</f>
        <v>-1.16475209117265</v>
      </c>
    </row>
    <row r="2180" customFormat="false" ht="15.75" hidden="false" customHeight="false" outlineLevel="0" collapsed="false">
      <c r="A2180" s="1" t="s">
        <v>771</v>
      </c>
      <c r="B2180" s="1" t="n">
        <v>322.05</v>
      </c>
      <c r="C2180" s="1" t="n">
        <f aca="false">1/B2180</f>
        <v>0.00310510790249961</v>
      </c>
      <c r="D2180" s="1" t="n">
        <v>0.2967</v>
      </c>
      <c r="E2180" s="1" t="n">
        <f aca="false">LN(D2180)</f>
        <v>-1.21503375168536</v>
      </c>
    </row>
    <row r="2181" customFormat="false" ht="15.75" hidden="false" customHeight="false" outlineLevel="0" collapsed="false">
      <c r="A2181" s="1" t="s">
        <v>771</v>
      </c>
      <c r="B2181" s="1" t="n">
        <v>328.25</v>
      </c>
      <c r="C2181" s="1" t="n">
        <f aca="false">1/B2181</f>
        <v>0.00304645849200305</v>
      </c>
      <c r="D2181" s="1" t="n">
        <v>0.282</v>
      </c>
      <c r="E2181" s="1" t="n">
        <f aca="false">LN(D2181)</f>
        <v>-1.26584820804402</v>
      </c>
    </row>
    <row r="2182" customFormat="false" ht="15.75" hidden="false" customHeight="false" outlineLevel="0" collapsed="false">
      <c r="A2182" s="1" t="s">
        <v>773</v>
      </c>
      <c r="B2182" s="1" t="n">
        <v>280.564</v>
      </c>
      <c r="C2182" s="1" t="n">
        <f aca="false">1/B2182</f>
        <v>0.00356424915527295</v>
      </c>
      <c r="D2182" s="1" t="n">
        <v>1.81</v>
      </c>
      <c r="E2182" s="1" t="n">
        <f aca="false">LN(D2182)</f>
        <v>0.593326845277734</v>
      </c>
    </row>
    <row r="2183" customFormat="false" ht="15.75" hidden="false" customHeight="false" outlineLevel="0" collapsed="false">
      <c r="A2183" s="1" t="s">
        <v>773</v>
      </c>
      <c r="B2183" s="1" t="n">
        <v>288.46</v>
      </c>
      <c r="C2183" s="1" t="n">
        <f aca="false">1/B2183</f>
        <v>0.00346668515565416</v>
      </c>
      <c r="D2183" s="1" t="n">
        <v>1.508</v>
      </c>
      <c r="E2183" s="1" t="n">
        <f aca="false">LN(D2183)</f>
        <v>0.410784269585764</v>
      </c>
    </row>
    <row r="2184" customFormat="false" ht="15.75" hidden="false" customHeight="false" outlineLevel="0" collapsed="false">
      <c r="A2184" s="1" t="s">
        <v>773</v>
      </c>
      <c r="B2184" s="1" t="n">
        <v>295.96</v>
      </c>
      <c r="C2184" s="1" t="n">
        <f aca="false">1/B2184</f>
        <v>0.00337883497769969</v>
      </c>
      <c r="D2184" s="1" t="n">
        <v>1.283</v>
      </c>
      <c r="E2184" s="1" t="n">
        <f aca="false">LN(D2184)</f>
        <v>0.249201085633499</v>
      </c>
    </row>
    <row r="2185" customFormat="false" ht="15.75" hidden="false" customHeight="false" outlineLevel="0" collapsed="false">
      <c r="A2185" s="1" t="s">
        <v>773</v>
      </c>
      <c r="B2185" s="1" t="n">
        <v>311.65</v>
      </c>
      <c r="C2185" s="1" t="n">
        <f aca="false">1/B2185</f>
        <v>0.00320872773945131</v>
      </c>
      <c r="D2185" s="1" t="n">
        <v>0.946</v>
      </c>
      <c r="E2185" s="1" t="n">
        <f aca="false">LN(D2185)</f>
        <v>-0.0555127099302588</v>
      </c>
    </row>
    <row r="2186" customFormat="false" ht="15.75" hidden="false" customHeight="false" outlineLevel="0" collapsed="false">
      <c r="A2186" s="1" t="s">
        <v>773</v>
      </c>
      <c r="B2186" s="1" t="n">
        <v>319.51</v>
      </c>
      <c r="C2186" s="1" t="n">
        <f aca="false">1/B2186</f>
        <v>0.0031297924947576</v>
      </c>
      <c r="D2186" s="1" t="n">
        <v>0.811</v>
      </c>
      <c r="E2186" s="1" t="n">
        <f aca="false">LN(D2186)</f>
        <v>-0.209487224866724</v>
      </c>
    </row>
    <row r="2187" customFormat="false" ht="15.75" hidden="false" customHeight="false" outlineLevel="0" collapsed="false">
      <c r="A2187" s="1" t="s">
        <v>773</v>
      </c>
      <c r="B2187" s="1" t="n">
        <v>327.25</v>
      </c>
      <c r="C2187" s="1" t="n">
        <f aca="false">1/B2187</f>
        <v>0.00305576776165011</v>
      </c>
      <c r="D2187" s="1" t="n">
        <v>0.708</v>
      </c>
      <c r="E2187" s="1" t="n">
        <f aca="false">LN(D2187)</f>
        <v>-0.345311185288417</v>
      </c>
    </row>
    <row r="2188" customFormat="false" ht="15.75" hidden="false" customHeight="false" outlineLevel="0" collapsed="false">
      <c r="A2188" s="1" t="s">
        <v>773</v>
      </c>
      <c r="B2188" s="1" t="n">
        <v>333.92</v>
      </c>
      <c r="C2188" s="1" t="n">
        <f aca="false">1/B2188</f>
        <v>0.00299472927647341</v>
      </c>
      <c r="D2188" s="1" t="n">
        <v>0.633</v>
      </c>
      <c r="E2188" s="1" t="n">
        <f aca="false">LN(D2188)</f>
        <v>-0.457284856837961</v>
      </c>
    </row>
    <row r="2189" customFormat="false" ht="15.75" hidden="false" customHeight="false" outlineLevel="0" collapsed="false">
      <c r="A2189" s="1" t="s">
        <v>773</v>
      </c>
      <c r="B2189" s="1" t="n">
        <v>349.96</v>
      </c>
      <c r="C2189" s="1" t="n">
        <f aca="false">1/B2189</f>
        <v>0.00285746942507715</v>
      </c>
      <c r="D2189" s="1" t="n">
        <v>0.492</v>
      </c>
      <c r="E2189" s="1" t="n">
        <f aca="false">LN(D2189)</f>
        <v>-0.709276562489829</v>
      </c>
    </row>
    <row r="2190" customFormat="false" ht="15.75" hidden="false" customHeight="false" outlineLevel="0" collapsed="false">
      <c r="A2190" s="1" t="s">
        <v>773</v>
      </c>
      <c r="B2190" s="1" t="n">
        <v>357.65</v>
      </c>
      <c r="C2190" s="1" t="n">
        <f aca="false">1/B2190</f>
        <v>0.00279602963791416</v>
      </c>
      <c r="D2190" s="1" t="n">
        <v>0.44</v>
      </c>
      <c r="E2190" s="1" t="n">
        <f aca="false">LN(D2190)</f>
        <v>-0.82098055206983</v>
      </c>
    </row>
    <row r="2191" customFormat="false" ht="15.75" hidden="false" customHeight="false" outlineLevel="0" collapsed="false">
      <c r="A2191" s="1" t="s">
        <v>773</v>
      </c>
      <c r="B2191" s="1" t="n">
        <v>365.41</v>
      </c>
      <c r="C2191" s="1" t="n">
        <f aca="false">1/B2191</f>
        <v>0.00273665197996771</v>
      </c>
      <c r="D2191" s="1" t="n">
        <v>0.394</v>
      </c>
      <c r="E2191" s="1" t="n">
        <f aca="false">LN(D2191)</f>
        <v>-0.931404369684203</v>
      </c>
    </row>
    <row r="2192" customFormat="false" ht="15.75" hidden="false" customHeight="false" outlineLevel="0" collapsed="false">
      <c r="A2192" s="1" t="s">
        <v>773</v>
      </c>
      <c r="B2192" s="1" t="n">
        <v>368.39</v>
      </c>
      <c r="C2192" s="1" t="n">
        <f aca="false">1/B2192</f>
        <v>0.00271451450908005</v>
      </c>
      <c r="D2192" s="1" t="n">
        <v>0.379</v>
      </c>
      <c r="E2192" s="1" t="n">
        <f aca="false">LN(D2192)</f>
        <v>-0.970219073899711</v>
      </c>
    </row>
    <row r="2193" customFormat="false" ht="15.75" hidden="false" customHeight="false" outlineLevel="0" collapsed="false">
      <c r="A2193" s="1" t="s">
        <v>773</v>
      </c>
      <c r="B2193" s="1" t="n">
        <v>303.15</v>
      </c>
      <c r="C2193" s="1" t="n">
        <f aca="false">1/B2193</f>
        <v>0.0032986970146792</v>
      </c>
      <c r="D2193" s="1" t="n">
        <v>1.072</v>
      </c>
      <c r="E2193" s="1" t="n">
        <f aca="false">LN(D2193)</f>
        <v>0.0695260626486103</v>
      </c>
    </row>
    <row r="2194" customFormat="false" ht="15.75" hidden="false" customHeight="false" outlineLevel="0" collapsed="false">
      <c r="A2194" s="1" t="s">
        <v>773</v>
      </c>
      <c r="B2194" s="1" t="n">
        <v>303.65</v>
      </c>
      <c r="C2194" s="1" t="n">
        <f aca="false">1/B2194</f>
        <v>0.0032932652725177</v>
      </c>
      <c r="D2194" s="1" t="n">
        <v>1.0996</v>
      </c>
      <c r="E2194" s="1" t="n">
        <f aca="false">LN(D2194)</f>
        <v>0.0949464773089535</v>
      </c>
    </row>
    <row r="2195" customFormat="false" ht="15.75" hidden="false" customHeight="false" outlineLevel="0" collapsed="false">
      <c r="A2195" s="1" t="s">
        <v>773</v>
      </c>
      <c r="B2195" s="1" t="n">
        <v>342.01</v>
      </c>
      <c r="C2195" s="1" t="n">
        <f aca="false">1/B2195</f>
        <v>0.0029238911142949</v>
      </c>
      <c r="D2195" s="1" t="n">
        <v>0.557</v>
      </c>
      <c r="E2195" s="1" t="n">
        <f aca="false">LN(D2195)</f>
        <v>-0.585190039054853</v>
      </c>
    </row>
    <row r="2196" customFormat="false" ht="15.75" hidden="false" customHeight="false" outlineLevel="0" collapsed="false">
      <c r="A2196" s="1" t="s">
        <v>775</v>
      </c>
      <c r="B2196" s="1" t="n">
        <v>273.45</v>
      </c>
      <c r="C2196" s="1" t="n">
        <f aca="false">1/B2196</f>
        <v>0.00365697568111172</v>
      </c>
      <c r="D2196" s="1" t="n">
        <v>0.6168</v>
      </c>
      <c r="E2196" s="1" t="n">
        <f aca="false">LN(D2196)</f>
        <v>-0.483210456733017</v>
      </c>
    </row>
    <row r="2197" customFormat="false" ht="15.75" hidden="false" customHeight="false" outlineLevel="0" collapsed="false">
      <c r="A2197" s="1" t="s">
        <v>775</v>
      </c>
      <c r="B2197" s="1" t="n">
        <v>279.79</v>
      </c>
      <c r="C2197" s="1" t="n">
        <f aca="false">1/B2197</f>
        <v>0.00357410915329354</v>
      </c>
      <c r="D2197" s="1" t="n">
        <v>0.573</v>
      </c>
      <c r="E2197" s="1" t="n">
        <f aca="false">LN(D2197)</f>
        <v>-0.556869562267398</v>
      </c>
    </row>
    <row r="2198" customFormat="false" ht="15.75" hidden="false" customHeight="false" outlineLevel="0" collapsed="false">
      <c r="A2198" s="1" t="s">
        <v>775</v>
      </c>
      <c r="B2198" s="1" t="n">
        <v>285.57</v>
      </c>
      <c r="C2198" s="1" t="n">
        <f aca="false">1/B2198</f>
        <v>0.00350176839303848</v>
      </c>
      <c r="D2198" s="1" t="n">
        <v>0.5372</v>
      </c>
      <c r="E2198" s="1" t="n">
        <f aca="false">LN(D2198)</f>
        <v>-0.621384814333054</v>
      </c>
    </row>
    <row r="2199" customFormat="false" ht="15.75" hidden="false" customHeight="false" outlineLevel="0" collapsed="false">
      <c r="A2199" s="1" t="s">
        <v>775</v>
      </c>
      <c r="B2199" s="1" t="n">
        <v>291.49</v>
      </c>
      <c r="C2199" s="1" t="n">
        <f aca="false">1/B2199</f>
        <v>0.00343064942193557</v>
      </c>
      <c r="D2199" s="1" t="n">
        <v>0.5046</v>
      </c>
      <c r="E2199" s="1" t="n">
        <f aca="false">LN(D2199)</f>
        <v>-0.68398924277518</v>
      </c>
    </row>
    <row r="2200" customFormat="false" ht="15.75" hidden="false" customHeight="false" outlineLevel="0" collapsed="false">
      <c r="A2200" s="1" t="s">
        <v>775</v>
      </c>
      <c r="B2200" s="1" t="n">
        <v>297.88</v>
      </c>
      <c r="C2200" s="1" t="n">
        <f aca="false">1/B2200</f>
        <v>0.00335705653283201</v>
      </c>
      <c r="D2200" s="1" t="n">
        <v>0.4727</v>
      </c>
      <c r="E2200" s="1" t="n">
        <f aca="false">LN(D2200)</f>
        <v>-0.749294341182946</v>
      </c>
    </row>
    <row r="2201" customFormat="false" ht="15.75" hidden="false" customHeight="false" outlineLevel="0" collapsed="false">
      <c r="A2201" s="1" t="s">
        <v>775</v>
      </c>
      <c r="B2201" s="1" t="n">
        <v>303.99</v>
      </c>
      <c r="C2201" s="1" t="n">
        <f aca="false">1/B2201</f>
        <v>0.00328958189414125</v>
      </c>
      <c r="D2201" s="1" t="n">
        <v>0.4449</v>
      </c>
      <c r="E2201" s="1" t="n">
        <f aca="false">LN(D2201)</f>
        <v>-0.809905741170141</v>
      </c>
    </row>
    <row r="2202" customFormat="false" ht="15.75" hidden="false" customHeight="false" outlineLevel="0" collapsed="false">
      <c r="A2202" s="1" t="s">
        <v>775</v>
      </c>
      <c r="B2202" s="1" t="n">
        <v>310.37</v>
      </c>
      <c r="C2202" s="1" t="n">
        <f aca="false">1/B2202</f>
        <v>0.00322196088539485</v>
      </c>
      <c r="D2202" s="1" t="n">
        <v>0.4198</v>
      </c>
      <c r="E2202" s="1" t="n">
        <f aca="false">LN(D2202)</f>
        <v>-0.867976871595604</v>
      </c>
    </row>
    <row r="2203" customFormat="false" ht="15.75" hidden="false" customHeight="false" outlineLevel="0" collapsed="false">
      <c r="A2203" s="1" t="s">
        <v>775</v>
      </c>
      <c r="B2203" s="1" t="n">
        <v>315.99</v>
      </c>
      <c r="C2203" s="1" t="n">
        <f aca="false">1/B2203</f>
        <v>0.0031646571094022</v>
      </c>
      <c r="D2203" s="1" t="n">
        <v>0.3988</v>
      </c>
      <c r="E2203" s="1" t="n">
        <f aca="false">LN(D2203)</f>
        <v>-0.919295240894454</v>
      </c>
    </row>
    <row r="2204" customFormat="false" ht="15.75" hidden="false" customHeight="false" outlineLevel="0" collapsed="false">
      <c r="A2204" s="1" t="s">
        <v>775</v>
      </c>
      <c r="B2204" s="1" t="n">
        <v>321.01</v>
      </c>
      <c r="C2204" s="1" t="n">
        <f aca="false">1/B2204</f>
        <v>0.00311516775178343</v>
      </c>
      <c r="D2204" s="1" t="n">
        <v>0.3805</v>
      </c>
      <c r="E2204" s="1" t="n">
        <f aca="false">LN(D2204)</f>
        <v>-0.966269101680397</v>
      </c>
    </row>
    <row r="2205" customFormat="false" ht="15.75" hidden="false" customHeight="false" outlineLevel="0" collapsed="false">
      <c r="A2205" s="1" t="s">
        <v>775</v>
      </c>
      <c r="B2205" s="1" t="n">
        <v>327.7</v>
      </c>
      <c r="C2205" s="1" t="n">
        <f aca="false">1/B2205</f>
        <v>0.00305157155935307</v>
      </c>
      <c r="D2205" s="1" t="n">
        <v>0.3587</v>
      </c>
      <c r="E2205" s="1" t="n">
        <f aca="false">LN(D2205)</f>
        <v>-1.0252688944439</v>
      </c>
    </row>
    <row r="2206" customFormat="false" ht="15.75" hidden="false" customHeight="false" outlineLevel="0" collapsed="false">
      <c r="A2206" s="1" t="s">
        <v>775</v>
      </c>
      <c r="B2206" s="1" t="n">
        <v>334.3</v>
      </c>
      <c r="C2206" s="1" t="n">
        <f aca="false">1/B2206</f>
        <v>0.00299132515704457</v>
      </c>
      <c r="D2206" s="1" t="n">
        <v>0.3402</v>
      </c>
      <c r="E2206" s="1" t="n">
        <f aca="false">LN(D2206)</f>
        <v>-1.07822159902038</v>
      </c>
    </row>
    <row r="2207" customFormat="false" ht="15.75" hidden="false" customHeight="false" outlineLevel="0" collapsed="false">
      <c r="A2207" s="1" t="s">
        <v>775</v>
      </c>
      <c r="B2207" s="1" t="n">
        <v>341.82</v>
      </c>
      <c r="C2207" s="1" t="n">
        <f aca="false">1/B2207</f>
        <v>0.00292551635363642</v>
      </c>
      <c r="D2207" s="1" t="n">
        <v>0.3193</v>
      </c>
      <c r="E2207" s="1" t="n">
        <f aca="false">LN(D2207)</f>
        <v>-1.1416241792614</v>
      </c>
    </row>
    <row r="2208" customFormat="false" ht="15.75" hidden="false" customHeight="false" outlineLevel="0" collapsed="false">
      <c r="A2208" s="1" t="s">
        <v>777</v>
      </c>
      <c r="B2208" s="1" t="n">
        <v>288.1526</v>
      </c>
      <c r="C2208" s="1" t="n">
        <f aca="false">1/B2208</f>
        <v>0.00347038340101738</v>
      </c>
      <c r="D2208" s="1" t="n">
        <v>0.3475</v>
      </c>
      <c r="E2208" s="1" t="n">
        <f aca="false">LN(D2208)</f>
        <v>-1.05699061397729</v>
      </c>
    </row>
    <row r="2209" customFormat="false" ht="15.75" hidden="false" customHeight="false" outlineLevel="0" collapsed="false">
      <c r="A2209" s="1" t="s">
        <v>777</v>
      </c>
      <c r="B2209" s="1" t="n">
        <v>293.15</v>
      </c>
      <c r="C2209" s="1" t="n">
        <f aca="false">1/B2209</f>
        <v>0.00341122292341805</v>
      </c>
      <c r="D2209" s="1" t="n">
        <v>0.33</v>
      </c>
      <c r="E2209" s="1" t="n">
        <f aca="false">LN(D2209)</f>
        <v>-1.10866262452161</v>
      </c>
    </row>
    <row r="2210" customFormat="false" ht="15.75" hidden="false" customHeight="false" outlineLevel="0" collapsed="false">
      <c r="A2210" s="1" t="s">
        <v>777</v>
      </c>
      <c r="B2210" s="1" t="n">
        <v>298.15</v>
      </c>
      <c r="C2210" s="1" t="n">
        <f aca="false">1/B2210</f>
        <v>0.00335401643468053</v>
      </c>
      <c r="D2210" s="1" t="n">
        <v>0.313</v>
      </c>
      <c r="E2210" s="1" t="n">
        <f aca="false">LN(D2210)</f>
        <v>-1.16155208844198</v>
      </c>
    </row>
    <row r="2211" customFormat="false" ht="15.75" hidden="false" customHeight="false" outlineLevel="0" collapsed="false">
      <c r="A2211" s="1" t="s">
        <v>777</v>
      </c>
      <c r="B2211" s="1" t="n">
        <v>303.15</v>
      </c>
      <c r="C2211" s="1" t="n">
        <f aca="false">1/B2211</f>
        <v>0.0032986970146792</v>
      </c>
      <c r="D2211" s="1" t="n">
        <v>0.302</v>
      </c>
      <c r="E2211" s="1" t="n">
        <f aca="false">LN(D2211)</f>
        <v>-1.19732826160727</v>
      </c>
    </row>
    <row r="2212" customFormat="false" ht="15.75" hidden="false" customHeight="false" outlineLevel="0" collapsed="false">
      <c r="A2212" s="1" t="s">
        <v>777</v>
      </c>
      <c r="B2212" s="1" t="n">
        <v>313.15</v>
      </c>
      <c r="C2212" s="1" t="n">
        <f aca="false">1/B2212</f>
        <v>0.00319335781574325</v>
      </c>
      <c r="D2212" s="1" t="n">
        <v>0.273</v>
      </c>
      <c r="E2212" s="1" t="n">
        <f aca="false">LN(D2212)</f>
        <v>-1.29828348379718</v>
      </c>
    </row>
    <row r="2213" customFormat="false" ht="15.75" hidden="false" customHeight="false" outlineLevel="0" collapsed="false">
      <c r="A2213" s="1" t="s">
        <v>777</v>
      </c>
      <c r="B2213" s="1" t="n">
        <v>273.684</v>
      </c>
      <c r="C2213" s="1" t="n">
        <f aca="false">1/B2213</f>
        <v>0.0036538489644992</v>
      </c>
      <c r="D2213" s="1" t="n">
        <v>0.4035</v>
      </c>
      <c r="E2213" s="1" t="n">
        <f aca="false">LN(D2213)</f>
        <v>-0.907578791272134</v>
      </c>
    </row>
    <row r="2214" customFormat="false" ht="15.75" hidden="false" customHeight="false" outlineLevel="0" collapsed="false">
      <c r="A2214" s="1" t="s">
        <v>777</v>
      </c>
      <c r="B2214" s="1" t="n">
        <v>279.13</v>
      </c>
      <c r="C2214" s="1" t="n">
        <f aca="false">1/B2214</f>
        <v>0.00358256009744563</v>
      </c>
      <c r="D2214" s="1" t="n">
        <v>0.38</v>
      </c>
      <c r="E2214" s="1" t="n">
        <f aca="false">LN(D2214)</f>
        <v>-0.967584026261706</v>
      </c>
    </row>
    <row r="2215" customFormat="false" ht="15.75" hidden="false" customHeight="false" outlineLevel="0" collapsed="false">
      <c r="A2215" s="1" t="s">
        <v>777</v>
      </c>
      <c r="B2215" s="1" t="n">
        <v>284.34</v>
      </c>
      <c r="C2215" s="1" t="n">
        <f aca="false">1/B2215</f>
        <v>0.00351691636772878</v>
      </c>
      <c r="D2215" s="1" t="n">
        <v>0.3598</v>
      </c>
      <c r="E2215" s="1" t="n">
        <f aca="false">LN(D2215)</f>
        <v>-1.0222069574657</v>
      </c>
    </row>
    <row r="2216" customFormat="false" ht="15.75" hidden="false" customHeight="false" outlineLevel="0" collapsed="false">
      <c r="A2216" s="1" t="s">
        <v>777</v>
      </c>
      <c r="B2216" s="1" t="n">
        <v>295.08</v>
      </c>
      <c r="C2216" s="1" t="n">
        <f aca="false">1/B2216</f>
        <v>0.0033889114816321</v>
      </c>
      <c r="D2216" s="1" t="n">
        <v>0.323</v>
      </c>
      <c r="E2216" s="1" t="n">
        <f aca="false">LN(D2216)</f>
        <v>-1.13010295575948</v>
      </c>
    </row>
    <row r="2217" customFormat="false" ht="15.75" hidden="false" customHeight="false" outlineLevel="0" collapsed="false">
      <c r="A2217" s="1" t="s">
        <v>777</v>
      </c>
      <c r="B2217" s="1" t="n">
        <v>301.47</v>
      </c>
      <c r="C2217" s="1" t="n">
        <f aca="false">1/B2217</f>
        <v>0.00331707964308223</v>
      </c>
      <c r="D2217" s="1" t="n">
        <v>0.3039</v>
      </c>
      <c r="E2217" s="1" t="n">
        <f aca="false">LN(D2217)</f>
        <v>-1.19105657905939</v>
      </c>
    </row>
    <row r="2218" customFormat="false" ht="15.75" hidden="false" customHeight="false" outlineLevel="0" collapsed="false">
      <c r="A2218" s="1" t="s">
        <v>777</v>
      </c>
      <c r="B2218" s="1" t="n">
        <v>307.12</v>
      </c>
      <c r="C2218" s="1" t="n">
        <f aca="false">1/B2218</f>
        <v>0.00325605626465225</v>
      </c>
      <c r="D2218" s="1" t="n">
        <v>0.2885</v>
      </c>
      <c r="E2218" s="1" t="n">
        <f aca="false">LN(D2218)</f>
        <v>-1.24306019303398</v>
      </c>
    </row>
    <row r="2219" customFormat="false" ht="15.75" hidden="false" customHeight="false" outlineLevel="0" collapsed="false">
      <c r="A2219" s="1" t="s">
        <v>777</v>
      </c>
      <c r="B2219" s="1" t="n">
        <v>311.52</v>
      </c>
      <c r="C2219" s="1" t="n">
        <f aca="false">1/B2219</f>
        <v>0.0032100667693888</v>
      </c>
      <c r="D2219" s="1" t="n">
        <v>0.2774</v>
      </c>
      <c r="E2219" s="1" t="n">
        <f aca="false">LN(D2219)</f>
        <v>-1.28229477110141</v>
      </c>
    </row>
    <row r="2220" customFormat="false" ht="15.75" hidden="false" customHeight="false" outlineLevel="0" collapsed="false">
      <c r="A2220" s="1" t="s">
        <v>777</v>
      </c>
      <c r="B2220" s="1" t="n">
        <v>308.15</v>
      </c>
      <c r="C2220" s="1" t="n">
        <f aca="false">1/B2220</f>
        <v>0.00324517280545189</v>
      </c>
      <c r="D2220" s="1" t="n">
        <v>0.286</v>
      </c>
      <c r="E2220" s="1" t="n">
        <f aca="false">LN(D2220)</f>
        <v>-1.25176346816228</v>
      </c>
    </row>
    <row r="2221" customFormat="false" ht="15.75" hidden="false" customHeight="false" outlineLevel="0" collapsed="false">
      <c r="A2221" s="1" t="s">
        <v>777</v>
      </c>
      <c r="B2221" s="1" t="n">
        <v>289.81</v>
      </c>
      <c r="C2221" s="1" t="n">
        <f aca="false">1/B2221</f>
        <v>0.00345053655843484</v>
      </c>
      <c r="D2221" s="1" t="n">
        <v>0.3408</v>
      </c>
      <c r="E2221" s="1" t="n">
        <f aca="false">LN(D2221)</f>
        <v>-1.07645948402698</v>
      </c>
    </row>
    <row r="2222" customFormat="false" ht="15.75" hidden="false" customHeight="false" outlineLevel="0" collapsed="false">
      <c r="A2222" s="1" t="s">
        <v>777</v>
      </c>
      <c r="B2222" s="1" t="n">
        <v>315.25</v>
      </c>
      <c r="C2222" s="1" t="n">
        <f aca="false">1/B2222</f>
        <v>0.00317208564631245</v>
      </c>
      <c r="D2222" s="1" t="n">
        <v>0.2681</v>
      </c>
      <c r="E2222" s="1" t="n">
        <f aca="false">LN(D2222)</f>
        <v>-1.31639523374022</v>
      </c>
    </row>
    <row r="2223" customFormat="false" ht="15.75" hidden="false" customHeight="false" outlineLevel="0" collapsed="false">
      <c r="A2223" s="1" t="s">
        <v>779</v>
      </c>
      <c r="B2223" s="1" t="n">
        <v>293.15</v>
      </c>
      <c r="C2223" s="1" t="n">
        <f aca="false">1/B2223</f>
        <v>0.00341122292341805</v>
      </c>
      <c r="D2223" s="1" t="n">
        <v>0.441</v>
      </c>
      <c r="E2223" s="1" t="n">
        <f aca="false">LN(D2223)</f>
        <v>-0.818710403535291</v>
      </c>
    </row>
    <row r="2224" customFormat="false" ht="15.75" hidden="false" customHeight="false" outlineLevel="0" collapsed="false">
      <c r="A2224" s="1" t="s">
        <v>779</v>
      </c>
      <c r="B2224" s="1" t="n">
        <v>298.15</v>
      </c>
      <c r="C2224" s="1" t="n">
        <f aca="false">1/B2224</f>
        <v>0.00335401643468053</v>
      </c>
      <c r="D2224" s="1" t="n">
        <v>0.417</v>
      </c>
      <c r="E2224" s="1" t="n">
        <f aca="false">LN(D2224)</f>
        <v>-0.874669057183336</v>
      </c>
    </row>
    <row r="2225" customFormat="false" ht="15.75" hidden="false" customHeight="false" outlineLevel="0" collapsed="false">
      <c r="A2225" s="1" t="s">
        <v>779</v>
      </c>
      <c r="B2225" s="1" t="n">
        <v>303.15</v>
      </c>
      <c r="C2225" s="1" t="n">
        <f aca="false">1/B2225</f>
        <v>0.0032986970146792</v>
      </c>
      <c r="D2225" s="1" t="n">
        <v>0.392</v>
      </c>
      <c r="E2225" s="1" t="n">
        <f aca="false">LN(D2225)</f>
        <v>-0.936493439191674</v>
      </c>
    </row>
    <row r="2226" customFormat="false" ht="15.75" hidden="false" customHeight="false" outlineLevel="0" collapsed="false">
      <c r="A2226" s="1" t="s">
        <v>779</v>
      </c>
      <c r="B2226" s="1" t="n">
        <v>313.15</v>
      </c>
      <c r="C2226" s="1" t="n">
        <f aca="false">1/B2226</f>
        <v>0.00319335781574325</v>
      </c>
      <c r="D2226" s="1" t="n">
        <v>0.35</v>
      </c>
      <c r="E2226" s="1" t="n">
        <f aca="false">LN(D2226)</f>
        <v>-1.04982212449868</v>
      </c>
    </row>
    <row r="2227" customFormat="false" ht="15.75" hidden="false" customHeight="false" outlineLevel="0" collapsed="false">
      <c r="A2227" s="1" t="s">
        <v>779</v>
      </c>
      <c r="B2227" s="1" t="n">
        <v>323.15</v>
      </c>
      <c r="C2227" s="1" t="n">
        <f aca="false">1/B2227</f>
        <v>0.00309453814018258</v>
      </c>
      <c r="D2227" s="1" t="n">
        <v>0.315</v>
      </c>
      <c r="E2227" s="1" t="n">
        <f aca="false">LN(D2227)</f>
        <v>-1.1551826401565</v>
      </c>
    </row>
    <row r="2228" customFormat="false" ht="15.75" hidden="false" customHeight="false" outlineLevel="0" collapsed="false">
      <c r="A2228" s="1" t="s">
        <v>779</v>
      </c>
      <c r="B2228" s="1" t="n">
        <v>333.15</v>
      </c>
      <c r="C2228" s="1" t="n">
        <f aca="false">1/B2228</f>
        <v>0.0030016509079994</v>
      </c>
      <c r="D2228" s="1" t="n">
        <v>0.285</v>
      </c>
      <c r="E2228" s="1" t="n">
        <f aca="false">LN(D2228)</f>
        <v>-1.25526609871349</v>
      </c>
    </row>
    <row r="2229" customFormat="false" ht="15.75" hidden="false" customHeight="false" outlineLevel="0" collapsed="false">
      <c r="A2229" s="1" t="s">
        <v>779</v>
      </c>
      <c r="B2229" s="1" t="n">
        <v>353.15</v>
      </c>
      <c r="C2229" s="1" t="n">
        <f aca="false">1/B2229</f>
        <v>0.00283165793572137</v>
      </c>
      <c r="D2229" s="1" t="n">
        <v>0.234</v>
      </c>
      <c r="E2229" s="1" t="n">
        <f aca="false">LN(D2229)</f>
        <v>-1.45243416362444</v>
      </c>
    </row>
    <row r="2230" customFormat="false" ht="15.75" hidden="false" customHeight="false" outlineLevel="0" collapsed="false">
      <c r="A2230" s="1" t="s">
        <v>781</v>
      </c>
      <c r="B2230" s="1" t="n">
        <v>273.48</v>
      </c>
      <c r="C2230" s="1" t="n">
        <f aca="false">1/B2230</f>
        <v>0.00365657452098874</v>
      </c>
      <c r="D2230" s="1" t="n">
        <v>0.926</v>
      </c>
      <c r="E2230" s="1" t="n">
        <f aca="false">LN(D2230)</f>
        <v>-0.0768810443359576</v>
      </c>
    </row>
    <row r="2231" customFormat="false" ht="15.75" hidden="false" customHeight="false" outlineLevel="0" collapsed="false">
      <c r="A2231" s="1" t="s">
        <v>781</v>
      </c>
      <c r="B2231" s="1" t="n">
        <v>282.48</v>
      </c>
      <c r="C2231" s="1" t="n">
        <f aca="false">1/B2231</f>
        <v>0.00354007363353158</v>
      </c>
      <c r="D2231" s="1" t="n">
        <v>0.825</v>
      </c>
      <c r="E2231" s="1" t="n">
        <f aca="false">LN(D2231)</f>
        <v>-0.192371892647456</v>
      </c>
    </row>
    <row r="2232" customFormat="false" ht="15.75" hidden="false" customHeight="false" outlineLevel="0" collapsed="false">
      <c r="A2232" s="1" t="s">
        <v>781</v>
      </c>
      <c r="B2232" s="1" t="n">
        <v>289.92</v>
      </c>
      <c r="C2232" s="1" t="n">
        <f aca="false">1/B2232</f>
        <v>0.00344922737306843</v>
      </c>
      <c r="D2232" s="1" t="n">
        <v>0.754</v>
      </c>
      <c r="E2232" s="1" t="n">
        <f aca="false">LN(D2232)</f>
        <v>-0.282362910974181</v>
      </c>
    </row>
    <row r="2233" customFormat="false" ht="15.75" hidden="false" customHeight="false" outlineLevel="0" collapsed="false">
      <c r="A2233" s="1" t="s">
        <v>781</v>
      </c>
      <c r="B2233" s="1" t="n">
        <v>299.27</v>
      </c>
      <c r="C2233" s="1" t="n">
        <f aca="false">1/B2233</f>
        <v>0.00334146422962542</v>
      </c>
      <c r="D2233" s="1" t="n">
        <v>0.679</v>
      </c>
      <c r="E2233" s="1" t="n">
        <f aca="false">LN(D2233)</f>
        <v>-0.387134151423441</v>
      </c>
    </row>
    <row r="2234" customFormat="false" ht="15.75" hidden="false" customHeight="false" outlineLevel="0" collapsed="false">
      <c r="A2234" s="1" t="s">
        <v>781</v>
      </c>
      <c r="B2234" s="1" t="n">
        <v>308.92</v>
      </c>
      <c r="C2234" s="1" t="n">
        <f aca="false">1/B2234</f>
        <v>0.00323708403470154</v>
      </c>
      <c r="D2234" s="1" t="n">
        <v>0.614</v>
      </c>
      <c r="E2234" s="1" t="n">
        <f aca="false">LN(D2234)</f>
        <v>-0.487760350834995</v>
      </c>
    </row>
    <row r="2235" customFormat="false" ht="15.75" hidden="false" customHeight="false" outlineLevel="0" collapsed="false">
      <c r="A2235" s="1" t="s">
        <v>781</v>
      </c>
      <c r="B2235" s="1" t="n">
        <v>317.33</v>
      </c>
      <c r="C2235" s="1" t="n">
        <f aca="false">1/B2235</f>
        <v>0.00315129360602527</v>
      </c>
      <c r="D2235" s="1" t="n">
        <v>0.565</v>
      </c>
      <c r="E2235" s="1" t="n">
        <f aca="false">LN(D2235)</f>
        <v>-0.570929547835696</v>
      </c>
    </row>
    <row r="2236" customFormat="false" ht="15.75" hidden="false" customHeight="false" outlineLevel="0" collapsed="false">
      <c r="A2236" s="1" t="s">
        <v>781</v>
      </c>
      <c r="B2236" s="1" t="n">
        <v>328.31</v>
      </c>
      <c r="C2236" s="1" t="n">
        <f aca="false">1/B2236</f>
        <v>0.00304590173920989</v>
      </c>
      <c r="D2236" s="1" t="n">
        <v>0.51</v>
      </c>
      <c r="E2236" s="1" t="n">
        <f aca="false">LN(D2236)</f>
        <v>-0.673344553263766</v>
      </c>
    </row>
    <row r="2237" customFormat="false" ht="15.75" hidden="false" customHeight="false" outlineLevel="0" collapsed="false">
      <c r="A2237" s="1" t="s">
        <v>781</v>
      </c>
      <c r="B2237" s="1" t="n">
        <v>336.59</v>
      </c>
      <c r="C2237" s="1" t="n">
        <f aca="false">1/B2237</f>
        <v>0.0029709735880448</v>
      </c>
      <c r="D2237" s="1" t="n">
        <v>0.476</v>
      </c>
      <c r="E2237" s="1" t="n">
        <f aca="false">LN(D2237)</f>
        <v>-0.742337424750717</v>
      </c>
    </row>
    <row r="2238" customFormat="false" ht="15.75" hidden="false" customHeight="false" outlineLevel="0" collapsed="false">
      <c r="A2238" s="1" t="s">
        <v>781</v>
      </c>
      <c r="B2238" s="1" t="n">
        <v>344.29</v>
      </c>
      <c r="C2238" s="1" t="n">
        <f aca="false">1/B2238</f>
        <v>0.00290452815940051</v>
      </c>
      <c r="D2238" s="1" t="n">
        <v>0.443</v>
      </c>
      <c r="E2238" s="1" t="n">
        <f aca="false">LN(D2238)</f>
        <v>-0.814185508937001</v>
      </c>
    </row>
    <row r="2239" customFormat="false" ht="15.75" hidden="false" customHeight="false" outlineLevel="0" collapsed="false">
      <c r="A2239" s="1" t="s">
        <v>781</v>
      </c>
      <c r="B2239" s="1" t="n">
        <v>354.44</v>
      </c>
      <c r="C2239" s="1" t="n">
        <f aca="false">1/B2239</f>
        <v>0.00282135199187451</v>
      </c>
      <c r="D2239" s="1" t="n">
        <v>0.41</v>
      </c>
      <c r="E2239" s="1" t="n">
        <f aca="false">LN(D2239)</f>
        <v>-0.891598119283784</v>
      </c>
    </row>
    <row r="2240" customFormat="false" ht="15.75" hidden="false" customHeight="false" outlineLevel="0" collapsed="false">
      <c r="A2240" s="1" t="s">
        <v>781</v>
      </c>
      <c r="B2240" s="1" t="n">
        <v>365.01</v>
      </c>
      <c r="C2240" s="1" t="n">
        <f aca="false">1/B2240</f>
        <v>0.00273965096846662</v>
      </c>
      <c r="D2240" s="1" t="n">
        <v>0.375</v>
      </c>
      <c r="E2240" s="1" t="n">
        <f aca="false">LN(D2240)</f>
        <v>-0.980829253011726</v>
      </c>
    </row>
    <row r="2241" customFormat="false" ht="15.75" hidden="false" customHeight="false" outlineLevel="0" collapsed="false">
      <c r="A2241" s="1" t="s">
        <v>781</v>
      </c>
      <c r="B2241" s="1" t="n">
        <v>371.6</v>
      </c>
      <c r="C2241" s="1" t="n">
        <f aca="false">1/B2241</f>
        <v>0.00269106566200215</v>
      </c>
      <c r="D2241" s="1" t="n">
        <v>0.358</v>
      </c>
      <c r="E2241" s="1" t="n">
        <f aca="false">LN(D2241)</f>
        <v>-1.02722229258144</v>
      </c>
    </row>
    <row r="2242" customFormat="false" ht="15.75" hidden="false" customHeight="false" outlineLevel="0" collapsed="false">
      <c r="A2242" s="1" t="s">
        <v>1439</v>
      </c>
      <c r="B2242" s="1" t="n">
        <v>195.49</v>
      </c>
      <c r="C2242" s="1" t="n">
        <f aca="false">1/B2242</f>
        <v>0.00511535116885774</v>
      </c>
      <c r="D2242" s="1" t="n">
        <v>0.57082</v>
      </c>
      <c r="E2242" s="1" t="n">
        <f aca="false">LN(D2242)</f>
        <v>-0.560681355450894</v>
      </c>
    </row>
    <row r="2243" customFormat="false" ht="15.75" hidden="false" customHeight="false" outlineLevel="0" collapsed="false">
      <c r="A2243" s="1" t="s">
        <v>1439</v>
      </c>
      <c r="B2243" s="1" t="n">
        <v>196.37</v>
      </c>
      <c r="C2243" s="1" t="n">
        <f aca="false">1/B2243</f>
        <v>0.00509242756021796</v>
      </c>
      <c r="D2243" s="1" t="n">
        <v>0.5595</v>
      </c>
      <c r="E2243" s="1" t="n">
        <f aca="false">LN(D2243)</f>
        <v>-0.580711751230157</v>
      </c>
    </row>
    <row r="2244" customFormat="false" ht="15.75" hidden="false" customHeight="false" outlineLevel="0" collapsed="false">
      <c r="A2244" s="1" t="s">
        <v>1439</v>
      </c>
      <c r="B2244" s="1" t="n">
        <v>197.26</v>
      </c>
      <c r="C2244" s="1" t="n">
        <f aca="false">1/B2244</f>
        <v>0.00506945148534929</v>
      </c>
      <c r="D2244" s="1" t="n">
        <v>0.54851</v>
      </c>
      <c r="E2244" s="1" t="n">
        <f aca="false">LN(D2244)</f>
        <v>-0.600549767892479</v>
      </c>
    </row>
    <row r="2245" customFormat="false" ht="15.75" hidden="false" customHeight="false" outlineLevel="0" collapsed="false">
      <c r="A2245" s="1" t="s">
        <v>1439</v>
      </c>
      <c r="B2245" s="1" t="n">
        <v>198.14</v>
      </c>
      <c r="C2245" s="1" t="n">
        <f aca="false">1/B2245</f>
        <v>0.00504693650953871</v>
      </c>
      <c r="D2245" s="1" t="n">
        <v>0.53781</v>
      </c>
      <c r="E2245" s="1" t="n">
        <f aca="false">LN(D2245)</f>
        <v>-0.62024994104728</v>
      </c>
    </row>
    <row r="2246" customFormat="false" ht="15.75" hidden="false" customHeight="false" outlineLevel="0" collapsed="false">
      <c r="A2246" s="1" t="s">
        <v>1439</v>
      </c>
      <c r="B2246" s="1" t="n">
        <v>199.02</v>
      </c>
      <c r="C2246" s="1" t="n">
        <f aca="false">1/B2246</f>
        <v>0.00502462064114159</v>
      </c>
      <c r="D2246" s="1" t="n">
        <v>0.52742</v>
      </c>
      <c r="E2246" s="1" t="n">
        <f aca="false">LN(D2246)</f>
        <v>-0.639758083901042</v>
      </c>
    </row>
    <row r="2247" customFormat="false" ht="15.75" hidden="false" customHeight="false" outlineLevel="0" collapsed="false">
      <c r="A2247" s="1" t="s">
        <v>1439</v>
      </c>
      <c r="B2247" s="1" t="n">
        <v>199.9</v>
      </c>
      <c r="C2247" s="1" t="n">
        <f aca="false">1/B2247</f>
        <v>0.00500250125062531</v>
      </c>
      <c r="D2247" s="1" t="n">
        <v>0.51731</v>
      </c>
      <c r="E2247" s="1" t="n">
        <f aca="false">LN(D2247)</f>
        <v>-0.659112971017041</v>
      </c>
    </row>
    <row r="2248" customFormat="false" ht="15.75" hidden="false" customHeight="false" outlineLevel="0" collapsed="false">
      <c r="A2248" s="1" t="s">
        <v>1439</v>
      </c>
      <c r="B2248" s="1" t="n">
        <v>200.79</v>
      </c>
      <c r="C2248" s="1" t="n">
        <f aca="false">1/B2248</f>
        <v>0.00498032770556303</v>
      </c>
      <c r="D2248" s="1" t="n">
        <v>0.50748</v>
      </c>
      <c r="E2248" s="1" t="n">
        <f aca="false">LN(D2248)</f>
        <v>-0.678297977709739</v>
      </c>
    </row>
    <row r="2249" customFormat="false" ht="15.75" hidden="false" customHeight="false" outlineLevel="0" collapsed="false">
      <c r="A2249" s="1" t="s">
        <v>1439</v>
      </c>
      <c r="B2249" s="1" t="n">
        <v>201.67</v>
      </c>
      <c r="C2249" s="1" t="n">
        <f aca="false">1/B2249</f>
        <v>0.00495859572569048</v>
      </c>
      <c r="D2249" s="1" t="n">
        <v>0.49792</v>
      </c>
      <c r="E2249" s="1" t="n">
        <f aca="false">LN(D2249)</f>
        <v>-0.697315857432165</v>
      </c>
    </row>
    <row r="2250" customFormat="false" ht="15.75" hidden="false" customHeight="false" outlineLevel="0" collapsed="false">
      <c r="A2250" s="1" t="s">
        <v>1439</v>
      </c>
      <c r="B2250" s="1" t="n">
        <v>202.55</v>
      </c>
      <c r="C2250" s="1" t="n">
        <f aca="false">1/B2250</f>
        <v>0.00493705257960997</v>
      </c>
      <c r="D2250" s="1" t="n">
        <v>0.48861</v>
      </c>
      <c r="E2250" s="1" t="n">
        <f aca="false">LN(D2250)</f>
        <v>-0.716190653728558</v>
      </c>
    </row>
    <row r="2251" customFormat="false" ht="15.75" hidden="false" customHeight="false" outlineLevel="0" collapsed="false">
      <c r="A2251" s="1" t="s">
        <v>1439</v>
      </c>
      <c r="B2251" s="1" t="n">
        <v>203.43</v>
      </c>
      <c r="C2251" s="1" t="n">
        <f aca="false">1/B2251</f>
        <v>0.00491569581674286</v>
      </c>
      <c r="D2251" s="1" t="n">
        <v>0.47956</v>
      </c>
      <c r="E2251" s="1" t="n">
        <f aca="false">LN(D2251)</f>
        <v>-0.734886262142684</v>
      </c>
    </row>
    <row r="2252" customFormat="false" ht="15.75" hidden="false" customHeight="false" outlineLevel="0" collapsed="false">
      <c r="A2252" s="1" t="s">
        <v>1439</v>
      </c>
      <c r="B2252" s="1" t="n">
        <v>204.32</v>
      </c>
      <c r="C2252" s="1" t="n">
        <f aca="false">1/B2252</f>
        <v>0.00489428347689898</v>
      </c>
      <c r="D2252" s="1" t="n">
        <v>0.47075</v>
      </c>
      <c r="E2252" s="1" t="n">
        <f aca="false">LN(D2252)</f>
        <v>-0.753428111444875</v>
      </c>
    </row>
    <row r="2253" customFormat="false" ht="15.75" hidden="false" customHeight="false" outlineLevel="0" collapsed="false">
      <c r="A2253" s="1" t="s">
        <v>1439</v>
      </c>
      <c r="B2253" s="1" t="n">
        <v>205.2</v>
      </c>
      <c r="C2253" s="1" t="n">
        <f aca="false">1/B2253</f>
        <v>0.00487329434697856</v>
      </c>
      <c r="D2253" s="1" t="n">
        <v>0.46218</v>
      </c>
      <c r="E2253" s="1" t="n">
        <f aca="false">LN(D2253)</f>
        <v>-0.771800853389208</v>
      </c>
    </row>
    <row r="2254" customFormat="false" ht="15.75" hidden="false" customHeight="false" outlineLevel="0" collapsed="false">
      <c r="A2254" s="1" t="s">
        <v>1439</v>
      </c>
      <c r="B2254" s="1" t="n">
        <v>206.08</v>
      </c>
      <c r="C2254" s="1" t="n">
        <f aca="false">1/B2254</f>
        <v>0.00485248447204969</v>
      </c>
      <c r="D2254" s="1" t="n">
        <v>0.45383</v>
      </c>
      <c r="E2254" s="1" t="n">
        <f aca="false">LN(D2254)</f>
        <v>-0.790032600403656</v>
      </c>
    </row>
    <row r="2255" customFormat="false" ht="15.75" hidden="false" customHeight="false" outlineLevel="0" collapsed="false">
      <c r="A2255" s="1" t="s">
        <v>1439</v>
      </c>
      <c r="B2255" s="1" t="n">
        <v>206.96</v>
      </c>
      <c r="C2255" s="1" t="n">
        <f aca="false">1/B2255</f>
        <v>0.00483185156551991</v>
      </c>
      <c r="D2255" s="1" t="n">
        <v>0.44571</v>
      </c>
      <c r="E2255" s="1" t="n">
        <f aca="false">LN(D2255)</f>
        <v>-0.808086762664766</v>
      </c>
    </row>
    <row r="2256" customFormat="false" ht="15.75" hidden="false" customHeight="false" outlineLevel="0" collapsed="false">
      <c r="A2256" s="1" t="s">
        <v>1439</v>
      </c>
      <c r="B2256" s="1" t="n">
        <v>207.85</v>
      </c>
      <c r="C2256" s="1" t="n">
        <f aca="false">1/B2256</f>
        <v>0.00481116189559779</v>
      </c>
      <c r="D2256" s="1" t="n">
        <v>0.43779</v>
      </c>
      <c r="E2256" s="1" t="n">
        <f aca="false">LN(D2256)</f>
        <v>-0.826015935634373</v>
      </c>
    </row>
    <row r="2257" customFormat="false" ht="15.75" hidden="false" customHeight="false" outlineLevel="0" collapsed="false">
      <c r="A2257" s="1" t="s">
        <v>1439</v>
      </c>
      <c r="B2257" s="1" t="n">
        <v>208.73</v>
      </c>
      <c r="C2257" s="1" t="n">
        <f aca="false">1/B2257</f>
        <v>0.00479087816796819</v>
      </c>
      <c r="D2257" s="1" t="n">
        <v>0.43009</v>
      </c>
      <c r="E2257" s="1" t="n">
        <f aca="false">LN(D2257)</f>
        <v>-0.843760789869624</v>
      </c>
    </row>
    <row r="2258" customFormat="false" ht="15.75" hidden="false" customHeight="false" outlineLevel="0" collapsed="false">
      <c r="A2258" s="1" t="s">
        <v>1439</v>
      </c>
      <c r="B2258" s="1" t="n">
        <v>209.61</v>
      </c>
      <c r="C2258" s="1" t="n">
        <f aca="false">1/B2258</f>
        <v>0.00477076475359</v>
      </c>
      <c r="D2258" s="1" t="n">
        <v>0.42259</v>
      </c>
      <c r="E2258" s="1" t="n">
        <f aca="false">LN(D2258)</f>
        <v>-0.861352837118489</v>
      </c>
    </row>
    <row r="2259" customFormat="false" ht="15.75" hidden="false" customHeight="false" outlineLevel="0" collapsed="false">
      <c r="A2259" s="1" t="s">
        <v>1439</v>
      </c>
      <c r="B2259" s="1" t="n">
        <v>210.49</v>
      </c>
      <c r="C2259" s="1" t="n">
        <f aca="false">1/B2259</f>
        <v>0.00475081951636657</v>
      </c>
      <c r="D2259" s="1" t="n">
        <v>0.41528</v>
      </c>
      <c r="E2259" s="1" t="n">
        <f aca="false">LN(D2259)</f>
        <v>-0.878802287463163</v>
      </c>
    </row>
    <row r="2260" customFormat="false" ht="15.75" hidden="false" customHeight="false" outlineLevel="0" collapsed="false">
      <c r="A2260" s="1" t="s">
        <v>1439</v>
      </c>
      <c r="B2260" s="1" t="n">
        <v>211.38</v>
      </c>
      <c r="C2260" s="1" t="n">
        <f aca="false">1/B2260</f>
        <v>0.00473081653893462</v>
      </c>
      <c r="D2260" s="1" t="n">
        <v>0.40816</v>
      </c>
      <c r="E2260" s="1" t="n">
        <f aca="false">LN(D2260)</f>
        <v>-0.896096024588636</v>
      </c>
    </row>
    <row r="2261" customFormat="false" ht="15.75" hidden="false" customHeight="false" outlineLevel="0" collapsed="false">
      <c r="A2261" s="1" t="s">
        <v>1439</v>
      </c>
      <c r="B2261" s="1" t="n">
        <v>212.26</v>
      </c>
      <c r="C2261" s="1" t="n">
        <f aca="false">1/B2261</f>
        <v>0.00471120324130783</v>
      </c>
      <c r="D2261" s="1" t="n">
        <v>0.40122</v>
      </c>
      <c r="E2261" s="1" t="n">
        <f aca="false">LN(D2261)</f>
        <v>-0.913245373688195</v>
      </c>
    </row>
    <row r="2262" customFormat="false" ht="15.75" hidden="false" customHeight="false" outlineLevel="0" collapsed="false">
      <c r="A2262" s="1" t="s">
        <v>1439</v>
      </c>
      <c r="B2262" s="1" t="n">
        <v>213.14</v>
      </c>
      <c r="C2262" s="1" t="n">
        <f aca="false">1/B2262</f>
        <v>0.00469175190015952</v>
      </c>
      <c r="D2262" s="1" t="n">
        <v>0.39446</v>
      </c>
      <c r="E2262" s="1" t="n">
        <f aca="false">LN(D2262)</f>
        <v>-0.93023753800678</v>
      </c>
    </row>
    <row r="2263" customFormat="false" ht="15.75" hidden="false" customHeight="false" outlineLevel="0" collapsed="false">
      <c r="A2263" s="1" t="s">
        <v>1439</v>
      </c>
      <c r="B2263" s="1" t="n">
        <v>214.02</v>
      </c>
      <c r="C2263" s="1" t="n">
        <f aca="false">1/B2263</f>
        <v>0.00467246051770862</v>
      </c>
      <c r="D2263" s="1" t="n">
        <v>0.38787</v>
      </c>
      <c r="E2263" s="1" t="n">
        <f aca="false">LN(D2263)</f>
        <v>-0.947085047047565</v>
      </c>
    </row>
    <row r="2264" customFormat="false" ht="15.75" hidden="false" customHeight="false" outlineLevel="0" collapsed="false">
      <c r="A2264" s="1" t="s">
        <v>1439</v>
      </c>
      <c r="B2264" s="1" t="n">
        <v>214.91</v>
      </c>
      <c r="C2264" s="1" t="n">
        <f aca="false">1/B2264</f>
        <v>0.00465311060443907</v>
      </c>
      <c r="D2264" s="1" t="n">
        <v>0.38145</v>
      </c>
      <c r="E2264" s="1" t="n">
        <f aca="false">LN(D2264)</f>
        <v>-0.963775498445899</v>
      </c>
    </row>
    <row r="2265" customFormat="false" ht="15.75" hidden="false" customHeight="false" outlineLevel="0" collapsed="false">
      <c r="A2265" s="1" t="s">
        <v>1439</v>
      </c>
      <c r="B2265" s="1" t="n">
        <v>215.79</v>
      </c>
      <c r="C2265" s="1" t="n">
        <f aca="false">1/B2265</f>
        <v>0.00463413503869503</v>
      </c>
      <c r="D2265" s="1" t="n">
        <v>0.37518</v>
      </c>
      <c r="E2265" s="1" t="n">
        <f aca="false">LN(D2265)</f>
        <v>-0.980349368174876</v>
      </c>
    </row>
    <row r="2266" customFormat="false" ht="15.75" hidden="false" customHeight="false" outlineLevel="0" collapsed="false">
      <c r="A2266" s="1" t="s">
        <v>1439</v>
      </c>
      <c r="B2266" s="1" t="n">
        <v>216.67</v>
      </c>
      <c r="C2266" s="1" t="n">
        <f aca="false">1/B2266</f>
        <v>0.00461531361055984</v>
      </c>
      <c r="D2266" s="1" t="n">
        <v>0.36908</v>
      </c>
      <c r="E2266" s="1" t="n">
        <f aca="false">LN(D2266)</f>
        <v>-0.996741856271782</v>
      </c>
    </row>
    <row r="2267" customFormat="false" ht="15.75" hidden="false" customHeight="false" outlineLevel="0" collapsed="false">
      <c r="A2267" s="1" t="s">
        <v>1439</v>
      </c>
      <c r="B2267" s="1" t="n">
        <v>217.55</v>
      </c>
      <c r="C2267" s="1" t="n">
        <f aca="false">1/B2267</f>
        <v>0.00459664444955183</v>
      </c>
      <c r="D2267" s="1" t="n">
        <v>0.36312</v>
      </c>
      <c r="E2267" s="1" t="n">
        <f aca="false">LN(D2267)</f>
        <v>-1.01302192083393</v>
      </c>
    </row>
    <row r="2268" customFormat="false" ht="15.75" hidden="false" customHeight="false" outlineLevel="0" collapsed="false">
      <c r="A2268" s="1" t="s">
        <v>1439</v>
      </c>
      <c r="B2268" s="1" t="n">
        <v>218.44</v>
      </c>
      <c r="C2268" s="1" t="n">
        <f aca="false">1/B2268</f>
        <v>0.00457791613257645</v>
      </c>
      <c r="D2268" s="1" t="n">
        <v>0.35732</v>
      </c>
      <c r="E2268" s="1" t="n">
        <f aca="false">LN(D2268)</f>
        <v>-1.0291235401485</v>
      </c>
    </row>
    <row r="2269" customFormat="false" ht="15.75" hidden="false" customHeight="false" outlineLevel="0" collapsed="false">
      <c r="A2269" s="1" t="s">
        <v>1439</v>
      </c>
      <c r="B2269" s="1" t="n">
        <v>219.32</v>
      </c>
      <c r="C2269" s="1" t="n">
        <f aca="false">1/B2269</f>
        <v>0.00455954769286887</v>
      </c>
      <c r="D2269" s="1" t="n">
        <v>0.35165</v>
      </c>
      <c r="E2269" s="1" t="n">
        <f aca="false">LN(D2269)</f>
        <v>-1.04511891622811</v>
      </c>
    </row>
    <row r="2270" customFormat="false" ht="15.75" hidden="false" customHeight="false" outlineLevel="0" collapsed="false">
      <c r="A2270" s="1" t="s">
        <v>1439</v>
      </c>
      <c r="B2270" s="1" t="n">
        <v>220.2</v>
      </c>
      <c r="C2270" s="1" t="n">
        <f aca="false">1/B2270</f>
        <v>0.00454132606721163</v>
      </c>
      <c r="D2270" s="1" t="n">
        <v>0.34612</v>
      </c>
      <c r="E2270" s="1" t="n">
        <f aca="false">LN(D2270)</f>
        <v>-1.0609697432436</v>
      </c>
    </row>
    <row r="2271" customFormat="false" ht="15.75" hidden="false" customHeight="false" outlineLevel="0" collapsed="false">
      <c r="A2271" s="1" t="s">
        <v>1439</v>
      </c>
      <c r="B2271" s="1" t="n">
        <v>221.08</v>
      </c>
      <c r="C2271" s="1" t="n">
        <f aca="false">1/B2271</f>
        <v>0.00452324950244255</v>
      </c>
      <c r="D2271" s="1" t="n">
        <v>0.34073</v>
      </c>
      <c r="E2271" s="1" t="n">
        <f aca="false">LN(D2271)</f>
        <v>-1.07666490418529</v>
      </c>
    </row>
    <row r="2272" customFormat="false" ht="15.75" hidden="false" customHeight="false" outlineLevel="0" collapsed="false">
      <c r="A2272" s="1" t="s">
        <v>1439</v>
      </c>
      <c r="B2272" s="1" t="n">
        <v>221.97</v>
      </c>
      <c r="C2272" s="1" t="n">
        <f aca="false">1/B2272</f>
        <v>0.00450511330359959</v>
      </c>
      <c r="D2272" s="1" t="n">
        <v>0.33547</v>
      </c>
      <c r="E2272" s="1" t="n">
        <f aca="false">LN(D2272)</f>
        <v>-1.09222274534644</v>
      </c>
    </row>
    <row r="2273" customFormat="false" ht="15.75" hidden="false" customHeight="false" outlineLevel="0" collapsed="false">
      <c r="A2273" s="1" t="s">
        <v>1439</v>
      </c>
      <c r="B2273" s="1" t="n">
        <v>222.85</v>
      </c>
      <c r="C2273" s="1" t="n">
        <f aca="false">1/B2273</f>
        <v>0.0044873233116446</v>
      </c>
      <c r="D2273" s="1" t="n">
        <v>0.33033</v>
      </c>
      <c r="E2273" s="1" t="n">
        <f aca="false">LN(D2273)</f>
        <v>-1.10766312418853</v>
      </c>
    </row>
    <row r="2274" customFormat="false" ht="15.75" hidden="false" customHeight="false" outlineLevel="0" collapsed="false">
      <c r="A2274" s="1" t="s">
        <v>1439</v>
      </c>
      <c r="B2274" s="1" t="n">
        <v>223.73</v>
      </c>
      <c r="C2274" s="1" t="n">
        <f aca="false">1/B2274</f>
        <v>0.00446967326688419</v>
      </c>
      <c r="D2274" s="1" t="n">
        <v>0.32532</v>
      </c>
      <c r="E2274" s="1" t="n">
        <f aca="false">LN(D2274)</f>
        <v>-1.12294596568356</v>
      </c>
    </row>
    <row r="2275" customFormat="false" ht="15.75" hidden="false" customHeight="false" outlineLevel="0" collapsed="false">
      <c r="A2275" s="1" t="s">
        <v>1439</v>
      </c>
      <c r="B2275" s="1" t="n">
        <v>224.61</v>
      </c>
      <c r="C2275" s="1" t="n">
        <f aca="false">1/B2275</f>
        <v>0.00445216152442011</v>
      </c>
      <c r="D2275" s="1" t="n">
        <v>0.32043</v>
      </c>
      <c r="E2275" s="1" t="n">
        <f aca="false">LN(D2275)</f>
        <v>-1.13809143521242</v>
      </c>
    </row>
    <row r="2276" customFormat="false" ht="15.75" hidden="false" customHeight="false" outlineLevel="0" collapsed="false">
      <c r="A2276" s="1" t="s">
        <v>1439</v>
      </c>
      <c r="B2276" s="1" t="n">
        <v>225.5</v>
      </c>
      <c r="C2276" s="1" t="n">
        <f aca="false">1/B2276</f>
        <v>0.00443458980044346</v>
      </c>
      <c r="D2276" s="1" t="n">
        <v>0.31565</v>
      </c>
      <c r="E2276" s="1" t="n">
        <f aca="false">LN(D2276)</f>
        <v>-1.1531212741685</v>
      </c>
    </row>
    <row r="2277" customFormat="false" ht="15.75" hidden="false" customHeight="false" outlineLevel="0" collapsed="false">
      <c r="A2277" s="1" t="s">
        <v>1439</v>
      </c>
      <c r="B2277" s="1" t="n">
        <v>226.38</v>
      </c>
      <c r="C2277" s="1" t="n">
        <f aca="false">1/B2277</f>
        <v>0.00441735135612687</v>
      </c>
      <c r="D2277" s="1" t="n">
        <v>0.31098</v>
      </c>
      <c r="E2277" s="1" t="n">
        <f aca="false">LN(D2277)</f>
        <v>-1.16802667755247</v>
      </c>
    </row>
    <row r="2278" customFormat="false" ht="15.75" hidden="false" customHeight="false" outlineLevel="0" collapsed="false">
      <c r="A2278" s="1" t="s">
        <v>1439</v>
      </c>
      <c r="B2278" s="1" t="n">
        <v>227.26</v>
      </c>
      <c r="C2278" s="1" t="n">
        <f aca="false">1/B2278</f>
        <v>0.00440024641379917</v>
      </c>
      <c r="D2278" s="1" t="n">
        <v>0.30643</v>
      </c>
      <c r="E2278" s="1" t="n">
        <f aca="false">LN(D2278)</f>
        <v>-1.18276593468154</v>
      </c>
    </row>
    <row r="2279" customFormat="false" ht="15.75" hidden="false" customHeight="false" outlineLevel="0" collapsed="false">
      <c r="A2279" s="1" t="s">
        <v>1439</v>
      </c>
      <c r="B2279" s="1" t="n">
        <v>228.14</v>
      </c>
      <c r="C2279" s="1" t="n">
        <f aca="false">1/B2279</f>
        <v>0.00438327342859648</v>
      </c>
      <c r="D2279" s="1" t="n">
        <v>0.30198</v>
      </c>
      <c r="E2279" s="1" t="n">
        <f aca="false">LN(D2279)</f>
        <v>-1.19739448896581</v>
      </c>
    </row>
    <row r="2280" customFormat="false" ht="15.75" hidden="false" customHeight="false" outlineLevel="0" collapsed="false">
      <c r="A2280" s="1" t="s">
        <v>1439</v>
      </c>
      <c r="B2280" s="1" t="n">
        <v>229.03</v>
      </c>
      <c r="C2280" s="1" t="n">
        <f aca="false">1/B2280</f>
        <v>0.00436624023053748</v>
      </c>
      <c r="D2280" s="1" t="n">
        <v>0.29763</v>
      </c>
      <c r="E2280" s="1" t="n">
        <f aca="false">LN(D2280)</f>
        <v>-1.21190417465222</v>
      </c>
    </row>
    <row r="2281" customFormat="false" ht="15.75" hidden="false" customHeight="false" outlineLevel="0" collapsed="false">
      <c r="A2281" s="1" t="s">
        <v>1439</v>
      </c>
      <c r="B2281" s="1" t="n">
        <v>229.91</v>
      </c>
      <c r="C2281" s="1" t="n">
        <f aca="false">1/B2281</f>
        <v>0.00434952807620373</v>
      </c>
      <c r="D2281" s="1" t="n">
        <v>0.29338</v>
      </c>
      <c r="E2281" s="1" t="n">
        <f aca="false">LN(D2281)</f>
        <v>-1.22628658192252</v>
      </c>
    </row>
    <row r="2282" customFormat="false" ht="15.75" hidden="false" customHeight="false" outlineLevel="0" collapsed="false">
      <c r="A2282" s="1" t="s">
        <v>1439</v>
      </c>
      <c r="B2282" s="1" t="n">
        <v>230.79</v>
      </c>
      <c r="C2282" s="1" t="n">
        <f aca="false">1/B2282</f>
        <v>0.00433294336843017</v>
      </c>
      <c r="D2282" s="1" t="n">
        <v>0.28923</v>
      </c>
      <c r="E2282" s="1" t="n">
        <f aca="false">LN(D2282)</f>
        <v>-1.24053305963774</v>
      </c>
    </row>
    <row r="2283" customFormat="false" ht="15.75" hidden="false" customHeight="false" outlineLevel="0" collapsed="false">
      <c r="A2283" s="1" t="s">
        <v>1439</v>
      </c>
      <c r="B2283" s="1" t="n">
        <v>231.67</v>
      </c>
      <c r="C2283" s="1" t="n">
        <f aca="false">1/B2283</f>
        <v>0.00431648465489705</v>
      </c>
      <c r="D2283" s="1" t="n">
        <v>0.28517</v>
      </c>
      <c r="E2283" s="1" t="n">
        <f aca="false">LN(D2283)</f>
        <v>-1.2546697853156</v>
      </c>
    </row>
    <row r="2284" customFormat="false" ht="15.75" hidden="false" customHeight="false" outlineLevel="0" collapsed="false">
      <c r="A2284" s="1" t="s">
        <v>1439</v>
      </c>
      <c r="B2284" s="1" t="n">
        <v>232.56</v>
      </c>
      <c r="C2284" s="1" t="n">
        <f aca="false">1/B2284</f>
        <v>0.0042999656002752</v>
      </c>
      <c r="D2284" s="1" t="n">
        <v>0.2812</v>
      </c>
      <c r="E2284" s="1" t="n">
        <f aca="false">LN(D2284)</f>
        <v>-1.26868911904563</v>
      </c>
    </row>
    <row r="2285" customFormat="false" ht="15.75" hidden="false" customHeight="false" outlineLevel="0" collapsed="false">
      <c r="A2285" s="1" t="s">
        <v>1439</v>
      </c>
      <c r="B2285" s="1" t="n">
        <v>233.44</v>
      </c>
      <c r="C2285" s="1" t="n">
        <f aca="false">1/B2285</f>
        <v>0.0042837559972584</v>
      </c>
      <c r="D2285" s="1" t="n">
        <v>0.27732</v>
      </c>
      <c r="E2285" s="1" t="n">
        <f aca="false">LN(D2285)</f>
        <v>-1.28258320490785</v>
      </c>
    </row>
    <row r="2286" customFormat="false" ht="15.75" hidden="false" customHeight="false" outlineLevel="0" collapsed="false">
      <c r="A2286" s="1" t="s">
        <v>1439</v>
      </c>
      <c r="B2286" s="1" t="n">
        <v>234.32</v>
      </c>
      <c r="C2286" s="1" t="n">
        <f aca="false">1/B2286</f>
        <v>0.00426766814612496</v>
      </c>
      <c r="D2286" s="1" t="n">
        <v>0.27353</v>
      </c>
      <c r="E2286" s="1" t="n">
        <f aca="false">LN(D2286)</f>
        <v>-1.29634397392163</v>
      </c>
    </row>
    <row r="2287" customFormat="false" ht="15.75" hidden="false" customHeight="false" outlineLevel="0" collapsed="false">
      <c r="A2287" s="1" t="s">
        <v>1439</v>
      </c>
      <c r="B2287" s="1" t="n">
        <v>235.2</v>
      </c>
      <c r="C2287" s="1" t="n">
        <f aca="false">1/B2287</f>
        <v>0.00425170068027211</v>
      </c>
      <c r="D2287" s="1" t="n">
        <v>0.26982</v>
      </c>
      <c r="E2287" s="1" t="n">
        <f aca="false">LN(D2287)</f>
        <v>-1.31000020897147</v>
      </c>
    </row>
    <row r="2288" customFormat="false" ht="15.75" hidden="false" customHeight="false" outlineLevel="0" collapsed="false">
      <c r="A2288" s="1" t="s">
        <v>1439</v>
      </c>
      <c r="B2288" s="1" t="n">
        <v>236.09</v>
      </c>
      <c r="C2288" s="1" t="n">
        <f aca="false">1/B2288</f>
        <v>0.0042356728366301</v>
      </c>
      <c r="D2288" s="1" t="n">
        <v>0.2662</v>
      </c>
      <c r="E2288" s="1" t="n">
        <f aca="false">LN(D2288)</f>
        <v>-1.32350737302113</v>
      </c>
    </row>
    <row r="2289" customFormat="false" ht="15.75" hidden="false" customHeight="false" outlineLevel="0" collapsed="false">
      <c r="A2289" s="1" t="s">
        <v>1439</v>
      </c>
      <c r="B2289" s="1" t="n">
        <v>236.97</v>
      </c>
      <c r="C2289" s="1" t="n">
        <f aca="false">1/B2289</f>
        <v>0.00421994345275773</v>
      </c>
      <c r="D2289" s="1" t="n">
        <v>0.26265</v>
      </c>
      <c r="E2289" s="1" t="n">
        <f aca="false">LN(D2289)</f>
        <v>-1.33693293158217</v>
      </c>
    </row>
    <row r="2290" customFormat="false" ht="15.75" hidden="false" customHeight="false" outlineLevel="0" collapsed="false">
      <c r="A2290" s="1" t="s">
        <v>1439</v>
      </c>
      <c r="B2290" s="1" t="n">
        <v>237.85</v>
      </c>
      <c r="C2290" s="1" t="n">
        <f aca="false">1/B2290</f>
        <v>0.00420433046037419</v>
      </c>
      <c r="D2290" s="1" t="n">
        <v>0.25918</v>
      </c>
      <c r="E2290" s="1" t="n">
        <f aca="false">LN(D2290)</f>
        <v>-1.35023247797487</v>
      </c>
    </row>
    <row r="2291" customFormat="false" ht="15.75" hidden="false" customHeight="false" outlineLevel="0" collapsed="false">
      <c r="A2291" s="1" t="s">
        <v>1439</v>
      </c>
      <c r="B2291" s="1" t="n">
        <v>238.73</v>
      </c>
      <c r="C2291" s="1" t="n">
        <f aca="false">1/B2291</f>
        <v>0.00418883257236208</v>
      </c>
      <c r="D2291" s="1" t="n">
        <v>0.25578</v>
      </c>
      <c r="E2291" s="1" t="n">
        <f aca="false">LN(D2291)</f>
        <v>-1.36343757897696</v>
      </c>
    </row>
    <row r="2292" customFormat="false" ht="15.75" hidden="false" customHeight="false" outlineLevel="0" collapsed="false">
      <c r="A2292" s="1" t="s">
        <v>1439</v>
      </c>
      <c r="B2292" s="1" t="n">
        <v>239.57</v>
      </c>
      <c r="C2292" s="1" t="n">
        <f aca="false">1/B2292</f>
        <v>0.00417414534374087</v>
      </c>
      <c r="D2292" s="1" t="n">
        <v>0.25262</v>
      </c>
      <c r="E2292" s="1" t="n">
        <f aca="false">LN(D2292)</f>
        <v>-1.37586889563631</v>
      </c>
    </row>
    <row r="2293" customFormat="false" ht="15.75" hidden="false" customHeight="false" outlineLevel="0" collapsed="false">
      <c r="A2293" s="1" t="s">
        <v>783</v>
      </c>
      <c r="B2293" s="1" t="n">
        <v>278.15</v>
      </c>
      <c r="C2293" s="1" t="n">
        <f aca="false">1/B2293</f>
        <v>0.00359518245550962</v>
      </c>
      <c r="D2293" s="1" t="n">
        <v>0.915</v>
      </c>
      <c r="E2293" s="1" t="n">
        <f aca="false">LN(D2293)</f>
        <v>-0.0888312137066157</v>
      </c>
    </row>
    <row r="2294" customFormat="false" ht="15.75" hidden="false" customHeight="false" outlineLevel="0" collapsed="false">
      <c r="A2294" s="1" t="s">
        <v>783</v>
      </c>
      <c r="B2294" s="1" t="n">
        <v>288.15</v>
      </c>
      <c r="C2294" s="1" t="n">
        <f aca="false">1/B2294</f>
        <v>0.00347041471455839</v>
      </c>
      <c r="D2294" s="1" t="n">
        <v>0.823</v>
      </c>
      <c r="E2294" s="1" t="n">
        <f aca="false">LN(D2294)</f>
        <v>-0.194799078305067</v>
      </c>
    </row>
    <row r="2295" customFormat="false" ht="15.75" hidden="false" customHeight="false" outlineLevel="0" collapsed="false">
      <c r="A2295" s="1" t="s">
        <v>783</v>
      </c>
      <c r="B2295" s="1" t="n">
        <v>298.15</v>
      </c>
      <c r="C2295" s="1" t="n">
        <f aca="false">1/B2295</f>
        <v>0.00335401643468053</v>
      </c>
      <c r="D2295" s="1" t="n">
        <v>0.718</v>
      </c>
      <c r="E2295" s="1" t="n">
        <f aca="false">LN(D2295)</f>
        <v>-0.331285709933913</v>
      </c>
    </row>
    <row r="2296" customFormat="false" ht="15.75" hidden="false" customHeight="false" outlineLevel="0" collapsed="false">
      <c r="A2296" s="1" t="s">
        <v>783</v>
      </c>
      <c r="B2296" s="1" t="n">
        <v>308.15</v>
      </c>
      <c r="C2296" s="1" t="n">
        <f aca="false">1/B2296</f>
        <v>0.00324517280545189</v>
      </c>
      <c r="D2296" s="1" t="n">
        <v>0.622</v>
      </c>
      <c r="E2296" s="1" t="n">
        <f aca="false">LN(D2296)</f>
        <v>-0.474815186242958</v>
      </c>
    </row>
    <row r="2297" customFormat="false" ht="15.75" hidden="false" customHeight="false" outlineLevel="0" collapsed="false">
      <c r="A2297" s="1" t="s">
        <v>783</v>
      </c>
      <c r="B2297" s="1" t="n">
        <v>318.15</v>
      </c>
      <c r="C2297" s="1" t="n">
        <f aca="false">1/B2297</f>
        <v>0.00314317146000314</v>
      </c>
      <c r="D2297" s="1" t="n">
        <v>0.535</v>
      </c>
      <c r="E2297" s="1" t="n">
        <f aca="false">LN(D2297)</f>
        <v>-0.62548853208613</v>
      </c>
    </row>
    <row r="2298" customFormat="false" ht="15.75" hidden="false" customHeight="false" outlineLevel="0" collapsed="false">
      <c r="A2298" s="1" t="s">
        <v>783</v>
      </c>
      <c r="B2298" s="1" t="n">
        <v>328.15</v>
      </c>
      <c r="C2298" s="1" t="n">
        <f aca="false">1/B2298</f>
        <v>0.00304738686576261</v>
      </c>
      <c r="D2298" s="1" t="n">
        <v>0.461</v>
      </c>
      <c r="E2298" s="1" t="n">
        <f aca="false">LN(D2298)</f>
        <v>-0.774357235985488</v>
      </c>
    </row>
    <row r="2299" customFormat="false" ht="15.75" hidden="false" customHeight="false" outlineLevel="0" collapsed="false">
      <c r="A2299" s="1" t="s">
        <v>783</v>
      </c>
      <c r="B2299" s="1" t="n">
        <v>343.15</v>
      </c>
      <c r="C2299" s="1" t="n">
        <f aca="false">1/B2299</f>
        <v>0.00291417747340813</v>
      </c>
      <c r="D2299" s="1" t="n">
        <v>0.369</v>
      </c>
      <c r="E2299" s="1" t="n">
        <f aca="false">LN(D2299)</f>
        <v>-0.99695863494161</v>
      </c>
    </row>
    <row r="2300" customFormat="false" ht="15.75" hidden="false" customHeight="false" outlineLevel="0" collapsed="false">
      <c r="A2300" s="1" t="s">
        <v>783</v>
      </c>
      <c r="B2300" s="1" t="n">
        <v>353.15</v>
      </c>
      <c r="C2300" s="1" t="n">
        <f aca="false">1/B2300</f>
        <v>0.00283165793572137</v>
      </c>
      <c r="D2300" s="1" t="n">
        <v>0.333</v>
      </c>
      <c r="E2300" s="1" t="n">
        <f aca="false">LN(D2300)</f>
        <v>-1.09961278900169</v>
      </c>
    </row>
    <row r="2301" customFormat="false" ht="15.75" hidden="false" customHeight="false" outlineLevel="0" collapsed="false">
      <c r="A2301" s="1" t="s">
        <v>785</v>
      </c>
      <c r="B2301" s="1" t="n">
        <v>273.15</v>
      </c>
      <c r="C2301" s="1" t="n">
        <f aca="false">1/B2301</f>
        <v>0.00366099212886692</v>
      </c>
      <c r="D2301" s="1" t="n">
        <v>1.7749</v>
      </c>
      <c r="E2301" s="1" t="n">
        <f aca="false">LN(D2301)</f>
        <v>0.573744083312164</v>
      </c>
    </row>
    <row r="2302" customFormat="false" ht="15.75" hidden="false" customHeight="false" outlineLevel="0" collapsed="false">
      <c r="A2302" s="1" t="s">
        <v>785</v>
      </c>
      <c r="B2302" s="1" t="n">
        <v>283.15</v>
      </c>
      <c r="C2302" s="1" t="n">
        <f aca="false">1/B2302</f>
        <v>0.00353169698039908</v>
      </c>
      <c r="D2302" s="1" t="n">
        <v>1.5118</v>
      </c>
      <c r="E2302" s="1" t="n">
        <f aca="false">LN(D2302)</f>
        <v>0.413300993875939</v>
      </c>
    </row>
    <row r="2303" customFormat="false" ht="15.75" hidden="false" customHeight="false" outlineLevel="0" collapsed="false">
      <c r="A2303" s="1" t="s">
        <v>785</v>
      </c>
      <c r="B2303" s="1" t="n">
        <v>303.15</v>
      </c>
      <c r="C2303" s="1" t="n">
        <f aca="false">1/B2303</f>
        <v>0.0032986970146792</v>
      </c>
      <c r="D2303" s="1" t="n">
        <v>1.0328</v>
      </c>
      <c r="E2303" s="1" t="n">
        <f aca="false">LN(D2303)</f>
        <v>0.0322735605502956</v>
      </c>
    </row>
    <row r="2304" customFormat="false" ht="15.75" hidden="false" customHeight="false" outlineLevel="0" collapsed="false">
      <c r="A2304" s="1" t="s">
        <v>785</v>
      </c>
      <c r="B2304" s="1" t="n">
        <v>313.15</v>
      </c>
      <c r="C2304" s="1" t="n">
        <f aca="false">1/B2304</f>
        <v>0.00319335781574325</v>
      </c>
      <c r="D2304" s="1" t="n">
        <v>0.8911</v>
      </c>
      <c r="E2304" s="1" t="n">
        <f aca="false">LN(D2304)</f>
        <v>-0.115298624363463</v>
      </c>
    </row>
    <row r="2305" customFormat="false" ht="15.75" hidden="false" customHeight="false" outlineLevel="0" collapsed="false">
      <c r="A2305" s="1" t="s">
        <v>785</v>
      </c>
      <c r="B2305" s="1" t="n">
        <v>353.15</v>
      </c>
      <c r="C2305" s="1" t="n">
        <f aca="false">1/B2305</f>
        <v>0.00283165793572137</v>
      </c>
      <c r="D2305" s="1" t="n">
        <v>0.5445</v>
      </c>
      <c r="E2305" s="1" t="n">
        <f aca="false">LN(D2305)</f>
        <v>-0.607887336609122</v>
      </c>
    </row>
    <row r="2306" customFormat="false" ht="15.75" hidden="false" customHeight="false" outlineLevel="0" collapsed="false">
      <c r="A2306" s="1" t="s">
        <v>785</v>
      </c>
      <c r="B2306" s="1" t="n">
        <v>373.15</v>
      </c>
      <c r="C2306" s="1" t="n">
        <f aca="false">1/B2306</f>
        <v>0.00267988744472732</v>
      </c>
      <c r="D2306" s="1" t="n">
        <v>0.4465</v>
      </c>
      <c r="E2306" s="1" t="n">
        <f aca="false">LN(D2306)</f>
        <v>-0.806315878665583</v>
      </c>
    </row>
    <row r="2307" customFormat="false" ht="15.75" hidden="false" customHeight="false" outlineLevel="0" collapsed="false">
      <c r="A2307" s="1" t="s">
        <v>785</v>
      </c>
      <c r="B2307" s="1" t="n">
        <v>293.15</v>
      </c>
      <c r="C2307" s="1" t="n">
        <f aca="false">1/B2307</f>
        <v>0.00341122292341805</v>
      </c>
      <c r="D2307" s="1" t="n">
        <v>1.2133</v>
      </c>
      <c r="E2307" s="1" t="n">
        <f aca="false">LN(D2307)</f>
        <v>0.19334392007569</v>
      </c>
    </row>
    <row r="2308" customFormat="false" ht="15.75" hidden="false" customHeight="false" outlineLevel="0" collapsed="false">
      <c r="A2308" s="1" t="s">
        <v>785</v>
      </c>
      <c r="B2308" s="1" t="n">
        <v>333.15</v>
      </c>
      <c r="C2308" s="1" t="n">
        <f aca="false">1/B2308</f>
        <v>0.0030016509079994</v>
      </c>
      <c r="D2308" s="1" t="n">
        <v>0.6879</v>
      </c>
      <c r="E2308" s="1" t="n">
        <f aca="false">LN(D2308)</f>
        <v>-0.374111800450169</v>
      </c>
    </row>
    <row r="2309" customFormat="false" ht="15.75" hidden="false" customHeight="false" outlineLevel="0" collapsed="false">
      <c r="A2309" s="1" t="s">
        <v>787</v>
      </c>
      <c r="B2309" s="1" t="n">
        <v>378.95</v>
      </c>
      <c r="C2309" s="1" t="n">
        <f aca="false">1/B2309</f>
        <v>0.00263887056339887</v>
      </c>
      <c r="D2309" s="1" t="n">
        <v>0.788</v>
      </c>
      <c r="E2309" s="1" t="n">
        <f aca="false">LN(D2309)</f>
        <v>-0.238257189124258</v>
      </c>
    </row>
    <row r="2310" customFormat="false" ht="15.75" hidden="false" customHeight="false" outlineLevel="0" collapsed="false">
      <c r="A2310" s="1" t="s">
        <v>787</v>
      </c>
      <c r="B2310" s="1" t="n">
        <v>407.35</v>
      </c>
      <c r="C2310" s="1" t="n">
        <f aca="false">1/B2310</f>
        <v>0.00245489137105683</v>
      </c>
      <c r="D2310" s="1" t="n">
        <v>0.5708</v>
      </c>
      <c r="E2310" s="1" t="n">
        <f aca="false">LN(D2310)</f>
        <v>-0.560716393379456</v>
      </c>
    </row>
    <row r="2311" customFormat="false" ht="15.75" hidden="false" customHeight="false" outlineLevel="0" collapsed="false">
      <c r="A2311" s="1" t="s">
        <v>787</v>
      </c>
      <c r="B2311" s="1" t="n">
        <v>428.75</v>
      </c>
      <c r="C2311" s="1" t="n">
        <f aca="false">1/B2311</f>
        <v>0.00233236151603499</v>
      </c>
      <c r="D2311" s="1" t="n">
        <v>0.4613</v>
      </c>
      <c r="E2311" s="1" t="n">
        <f aca="false">LN(D2311)</f>
        <v>-0.773706688418362</v>
      </c>
    </row>
    <row r="2312" customFormat="false" ht="15.75" hidden="false" customHeight="false" outlineLevel="0" collapsed="false">
      <c r="A2312" s="1" t="s">
        <v>787</v>
      </c>
      <c r="B2312" s="1" t="n">
        <v>442.55</v>
      </c>
      <c r="C2312" s="1" t="n">
        <f aca="false">1/B2312</f>
        <v>0.00225963168003615</v>
      </c>
      <c r="D2312" s="1" t="n">
        <v>0.4052</v>
      </c>
      <c r="E2312" s="1" t="n">
        <f aca="false">LN(D2312)</f>
        <v>-0.903374506607609</v>
      </c>
    </row>
    <row r="2313" customFormat="false" ht="15.75" hidden="false" customHeight="false" outlineLevel="0" collapsed="false">
      <c r="A2313" s="1" t="s">
        <v>787</v>
      </c>
      <c r="B2313" s="1" t="n">
        <v>456.35</v>
      </c>
      <c r="C2313" s="1" t="n">
        <f aca="false">1/B2313</f>
        <v>0.00219130053686863</v>
      </c>
      <c r="D2313" s="1" t="n">
        <v>0.36</v>
      </c>
      <c r="E2313" s="1" t="n">
        <f aca="false">LN(D2313)</f>
        <v>-1.02165124753198</v>
      </c>
    </row>
    <row r="2314" customFormat="false" ht="15.75" hidden="false" customHeight="false" outlineLevel="0" collapsed="false">
      <c r="A2314" s="1" t="s">
        <v>787</v>
      </c>
      <c r="B2314" s="1" t="n">
        <v>303.1576</v>
      </c>
      <c r="C2314" s="1" t="n">
        <f aca="false">1/B2314</f>
        <v>0.00329861431809725</v>
      </c>
      <c r="D2314" s="1" t="n">
        <v>3.1457</v>
      </c>
      <c r="E2314" s="1" t="n">
        <f aca="false">LN(D2314)</f>
        <v>1.14603644090284</v>
      </c>
    </row>
    <row r="2315" customFormat="false" ht="15.75" hidden="false" customHeight="false" outlineLevel="0" collapsed="false">
      <c r="A2315" s="1" t="s">
        <v>787</v>
      </c>
      <c r="B2315" s="1" t="n">
        <v>288.15</v>
      </c>
      <c r="C2315" s="1" t="n">
        <f aca="false">1/B2315</f>
        <v>0.00347041471455839</v>
      </c>
      <c r="D2315" s="1" t="n">
        <v>5.299</v>
      </c>
      <c r="E2315" s="1" t="n">
        <f aca="false">LN(D2315)</f>
        <v>1.66751812351063</v>
      </c>
    </row>
    <row r="2316" customFormat="false" ht="15.75" hidden="false" customHeight="false" outlineLevel="0" collapsed="false">
      <c r="A2316" s="1" t="s">
        <v>787</v>
      </c>
      <c r="B2316" s="1" t="n">
        <v>303.15</v>
      </c>
      <c r="C2316" s="1" t="n">
        <f aca="false">1/B2316</f>
        <v>0.0032986970146792</v>
      </c>
      <c r="D2316" s="1" t="n">
        <v>3.176</v>
      </c>
      <c r="E2316" s="1" t="n">
        <f aca="false">LN(D2316)</f>
        <v>1.15562254338489</v>
      </c>
    </row>
    <row r="2317" customFormat="false" ht="15.75" hidden="false" customHeight="false" outlineLevel="0" collapsed="false">
      <c r="A2317" s="1" t="s">
        <v>787</v>
      </c>
      <c r="B2317" s="1" t="n">
        <v>293</v>
      </c>
      <c r="C2317" s="1" t="n">
        <f aca="false">1/B2317</f>
        <v>0.00341296928327645</v>
      </c>
      <c r="D2317" s="1" t="n">
        <v>4.708</v>
      </c>
      <c r="E2317" s="1" t="n">
        <f aca="false">LN(D2317)</f>
        <v>1.54926318939803</v>
      </c>
    </row>
    <row r="2318" customFormat="false" ht="15.75" hidden="false" customHeight="false" outlineLevel="0" collapsed="false">
      <c r="A2318" s="1" t="s">
        <v>787</v>
      </c>
      <c r="B2318" s="1" t="n">
        <v>298</v>
      </c>
      <c r="C2318" s="1" t="n">
        <f aca="false">1/B2318</f>
        <v>0.00335570469798658</v>
      </c>
      <c r="D2318" s="1" t="n">
        <v>3.995</v>
      </c>
      <c r="E2318" s="1" t="n">
        <f aca="false">LN(D2318)</f>
        <v>1.38504357921824</v>
      </c>
    </row>
    <row r="2319" customFormat="false" ht="15.75" hidden="false" customHeight="false" outlineLevel="0" collapsed="false">
      <c r="A2319" s="1" t="s">
        <v>787</v>
      </c>
      <c r="B2319" s="1" t="n">
        <v>303</v>
      </c>
      <c r="C2319" s="1" t="n">
        <f aca="false">1/B2319</f>
        <v>0.0033003300330033</v>
      </c>
      <c r="D2319" s="1" t="n">
        <v>3.42</v>
      </c>
      <c r="E2319" s="1" t="n">
        <f aca="false">LN(D2319)</f>
        <v>1.22964055107451</v>
      </c>
    </row>
    <row r="2320" customFormat="false" ht="15.75" hidden="false" customHeight="false" outlineLevel="0" collapsed="false">
      <c r="A2320" s="1" t="s">
        <v>787</v>
      </c>
      <c r="B2320" s="1" t="n">
        <v>303.15178</v>
      </c>
      <c r="C2320" s="1" t="n">
        <f aca="false">1/B2320</f>
        <v>0.00329867764589738</v>
      </c>
      <c r="D2320" s="1" t="n">
        <v>3.708</v>
      </c>
      <c r="E2320" s="1" t="n">
        <f aca="false">LN(D2320)</f>
        <v>1.31049264770361</v>
      </c>
    </row>
    <row r="2321" customFormat="false" ht="15.75" hidden="false" customHeight="false" outlineLevel="0" collapsed="false">
      <c r="A2321" s="1" t="s">
        <v>787</v>
      </c>
      <c r="B2321" s="1" t="n">
        <v>311</v>
      </c>
      <c r="C2321" s="1" t="n">
        <f aca="false">1/B2321</f>
        <v>0.00321543408360129</v>
      </c>
      <c r="D2321" s="1" t="n">
        <v>2.63</v>
      </c>
      <c r="E2321" s="1" t="n">
        <f aca="false">LN(D2321)</f>
        <v>0.966983846189673</v>
      </c>
    </row>
    <row r="2322" customFormat="false" ht="15.75" hidden="false" customHeight="false" outlineLevel="0" collapsed="false">
      <c r="A2322" s="1" t="s">
        <v>787</v>
      </c>
      <c r="B2322" s="1" t="n">
        <v>313</v>
      </c>
      <c r="C2322" s="1" t="n">
        <f aca="false">1/B2322</f>
        <v>0.00319488817891374</v>
      </c>
      <c r="D2322" s="1" t="n">
        <v>2.597</v>
      </c>
      <c r="E2322" s="1" t="n">
        <f aca="false">LN(D2322)</f>
        <v>0.954356932680611</v>
      </c>
    </row>
    <row r="2323" customFormat="false" ht="15.75" hidden="false" customHeight="false" outlineLevel="0" collapsed="false">
      <c r="A2323" s="1" t="s">
        <v>787</v>
      </c>
      <c r="B2323" s="1" t="n">
        <v>318</v>
      </c>
      <c r="C2323" s="1" t="n">
        <f aca="false">1/B2323</f>
        <v>0.00314465408805031</v>
      </c>
      <c r="D2323" s="1" t="n">
        <v>2.255</v>
      </c>
      <c r="E2323" s="1" t="n">
        <f aca="false">LN(D2323)</f>
        <v>0.813149972954642</v>
      </c>
    </row>
    <row r="2324" customFormat="false" ht="15.75" hidden="false" customHeight="false" outlineLevel="0" collapsed="false">
      <c r="A2324" s="1" t="s">
        <v>787</v>
      </c>
      <c r="B2324" s="1" t="n">
        <v>323</v>
      </c>
      <c r="C2324" s="1" t="n">
        <f aca="false">1/B2324</f>
        <v>0.00309597523219814</v>
      </c>
      <c r="D2324" s="1" t="n">
        <v>2</v>
      </c>
      <c r="E2324" s="1" t="n">
        <f aca="false">LN(D2324)</f>
        <v>0.693147180559945</v>
      </c>
    </row>
    <row r="2325" customFormat="false" ht="15.75" hidden="false" customHeight="false" outlineLevel="0" collapsed="false">
      <c r="A2325" s="1" t="s">
        <v>787</v>
      </c>
      <c r="B2325" s="1" t="n">
        <v>372</v>
      </c>
      <c r="C2325" s="1" t="n">
        <f aca="false">1/B2325</f>
        <v>0.00268817204301075</v>
      </c>
      <c r="D2325" s="1" t="n">
        <v>0.91</v>
      </c>
      <c r="E2325" s="1" t="n">
        <f aca="false">LN(D2325)</f>
        <v>-0.0943106794712413</v>
      </c>
    </row>
    <row r="2326" customFormat="false" ht="15.75" hidden="false" customHeight="false" outlineLevel="0" collapsed="false">
      <c r="A2326" s="1" t="s">
        <v>787</v>
      </c>
      <c r="B2326" s="1" t="n">
        <v>313.15</v>
      </c>
      <c r="C2326" s="1" t="n">
        <f aca="false">1/B2326</f>
        <v>0.00319335781574325</v>
      </c>
      <c r="D2326" s="1" t="n">
        <v>2.327</v>
      </c>
      <c r="E2326" s="1" t="n">
        <f aca="false">LN(D2326)</f>
        <v>0.844579884320155</v>
      </c>
    </row>
    <row r="2327" customFormat="false" ht="15.75" hidden="false" customHeight="false" outlineLevel="0" collapsed="false">
      <c r="A2327" s="1" t="s">
        <v>789</v>
      </c>
      <c r="B2327" s="1" t="n">
        <v>287.7042</v>
      </c>
      <c r="C2327" s="1" t="n">
        <f aca="false">1/B2327</f>
        <v>0.00347579215041004</v>
      </c>
      <c r="D2327" s="1" t="n">
        <v>1.242</v>
      </c>
      <c r="E2327" s="1" t="n">
        <f aca="false">LN(D2327)</f>
        <v>0.216722983511287</v>
      </c>
    </row>
    <row r="2328" customFormat="false" ht="15.75" hidden="false" customHeight="false" outlineLevel="0" collapsed="false">
      <c r="A2328" s="1" t="s">
        <v>789</v>
      </c>
      <c r="B2328" s="1" t="n">
        <v>329.05</v>
      </c>
      <c r="C2328" s="1" t="n">
        <f aca="false">1/B2328</f>
        <v>0.00303905181583346</v>
      </c>
      <c r="D2328" s="1" t="n">
        <v>0.692</v>
      </c>
      <c r="E2328" s="1" t="n">
        <f aca="false">LN(D2328)</f>
        <v>-0.368169323364468</v>
      </c>
    </row>
    <row r="2329" customFormat="false" ht="15.75" hidden="false" customHeight="false" outlineLevel="0" collapsed="false">
      <c r="A2329" s="1" t="s">
        <v>789</v>
      </c>
      <c r="B2329" s="1" t="n">
        <v>353.65</v>
      </c>
      <c r="C2329" s="1" t="n">
        <f aca="false">1/B2329</f>
        <v>0.00282765446062491</v>
      </c>
      <c r="D2329" s="1" t="n">
        <v>0.5236</v>
      </c>
      <c r="E2329" s="1" t="n">
        <f aca="false">LN(D2329)</f>
        <v>-0.647027244946392</v>
      </c>
    </row>
    <row r="2330" customFormat="false" ht="15.75" hidden="false" customHeight="false" outlineLevel="0" collapsed="false">
      <c r="A2330" s="1" t="s">
        <v>789</v>
      </c>
      <c r="B2330" s="1" t="n">
        <v>298.15</v>
      </c>
      <c r="C2330" s="1" t="n">
        <f aca="false">1/B2330</f>
        <v>0.00335401643468053</v>
      </c>
      <c r="D2330" s="1" t="n">
        <v>1.0849</v>
      </c>
      <c r="E2330" s="1" t="n">
        <f aca="false">LN(D2330)</f>
        <v>0.0814878168462679</v>
      </c>
    </row>
    <row r="2331" customFormat="false" ht="15.75" hidden="false" customHeight="false" outlineLevel="0" collapsed="false">
      <c r="A2331" s="1" t="s">
        <v>789</v>
      </c>
      <c r="B2331" s="1" t="n">
        <v>374.15</v>
      </c>
      <c r="C2331" s="1" t="n">
        <f aca="false">1/B2331</f>
        <v>0.00267272484297742</v>
      </c>
      <c r="D2331" s="1" t="n">
        <v>0.4236</v>
      </c>
      <c r="E2331" s="1" t="n">
        <f aca="false">LN(D2331)</f>
        <v>-0.858965665254886</v>
      </c>
    </row>
    <row r="2332" customFormat="false" ht="15.75" hidden="false" customHeight="false" outlineLevel="0" collapsed="false">
      <c r="A2332" s="1" t="s">
        <v>789</v>
      </c>
      <c r="B2332" s="1" t="n">
        <v>387.65</v>
      </c>
      <c r="C2332" s="1" t="n">
        <f aca="false">1/B2332</f>
        <v>0.00257964658841739</v>
      </c>
      <c r="D2332" s="1" t="n">
        <v>0.3726</v>
      </c>
      <c r="E2332" s="1" t="n">
        <f aca="false">LN(D2332)</f>
        <v>-0.987249820814649</v>
      </c>
    </row>
    <row r="2333" customFormat="false" ht="15.75" hidden="false" customHeight="false" outlineLevel="0" collapsed="false">
      <c r="A2333" s="1" t="s">
        <v>789</v>
      </c>
      <c r="B2333" s="1" t="n">
        <v>401.15</v>
      </c>
      <c r="C2333" s="1" t="n">
        <f aca="false">1/B2333</f>
        <v>0.00249283310482363</v>
      </c>
      <c r="D2333" s="1" t="n">
        <v>0.332</v>
      </c>
      <c r="E2333" s="1" t="n">
        <f aca="false">LN(D2333)</f>
        <v>-1.10262031006565</v>
      </c>
    </row>
    <row r="2334" customFormat="false" ht="15.75" hidden="false" customHeight="false" outlineLevel="0" collapsed="false">
      <c r="A2334" s="1" t="s">
        <v>789</v>
      </c>
      <c r="B2334" s="1" t="n">
        <v>415.25</v>
      </c>
      <c r="C2334" s="1" t="n">
        <f aca="false">1/B2334</f>
        <v>0.00240818783865141</v>
      </c>
      <c r="D2334" s="1" t="n">
        <v>0.2945</v>
      </c>
      <c r="E2334" s="1" t="n">
        <f aca="false">LN(D2334)</f>
        <v>-1.2224762758905</v>
      </c>
    </row>
    <row r="2335" customFormat="false" ht="15.75" hidden="false" customHeight="false" outlineLevel="0" collapsed="false">
      <c r="A2335" s="1" t="s">
        <v>789</v>
      </c>
      <c r="B2335" s="1" t="n">
        <v>425.35</v>
      </c>
      <c r="C2335" s="1" t="n">
        <f aca="false">1/B2335</f>
        <v>0.00235100505466087</v>
      </c>
      <c r="D2335" s="1" t="n">
        <v>0.2735</v>
      </c>
      <c r="E2335" s="1" t="n">
        <f aca="false">LN(D2335)</f>
        <v>-1.2964536571201</v>
      </c>
    </row>
    <row r="2336" customFormat="false" ht="15.75" hidden="false" customHeight="false" outlineLevel="0" collapsed="false">
      <c r="A2336" s="1" t="s">
        <v>789</v>
      </c>
      <c r="B2336" s="1" t="n">
        <v>288.15177</v>
      </c>
      <c r="C2336" s="1" t="n">
        <f aca="false">1/B2336</f>
        <v>0.00347039339720176</v>
      </c>
      <c r="D2336" s="1" t="n">
        <v>1.2388</v>
      </c>
      <c r="E2336" s="1" t="n">
        <f aca="false">LN(D2336)</f>
        <v>0.214143169116911</v>
      </c>
    </row>
    <row r="2337" customFormat="false" ht="15.75" hidden="false" customHeight="false" outlineLevel="0" collapsed="false">
      <c r="A2337" s="1" t="s">
        <v>1440</v>
      </c>
      <c r="B2337" s="1" t="n">
        <v>298.16</v>
      </c>
      <c r="C2337" s="1" t="n">
        <f aca="false">1/B2337</f>
        <v>0.00335390394419104</v>
      </c>
      <c r="D2337" s="1" t="n">
        <v>1.39</v>
      </c>
      <c r="E2337" s="1" t="n">
        <f aca="false">LN(D2337)</f>
        <v>0.3293037471426</v>
      </c>
    </row>
    <row r="2338" customFormat="false" ht="15.75" hidden="false" customHeight="false" outlineLevel="0" collapsed="false">
      <c r="A2338" s="1" t="s">
        <v>791</v>
      </c>
      <c r="B2338" s="1" t="n">
        <v>278.67</v>
      </c>
      <c r="C2338" s="1" t="n">
        <f aca="false">1/B2338</f>
        <v>0.00358847382208347</v>
      </c>
      <c r="D2338" s="1" t="n">
        <v>0.81303</v>
      </c>
      <c r="E2338" s="1" t="n">
        <f aca="false">LN(D2338)</f>
        <v>-0.206987269746125</v>
      </c>
    </row>
    <row r="2339" customFormat="false" ht="15.75" hidden="false" customHeight="false" outlineLevel="0" collapsed="false">
      <c r="A2339" s="1" t="s">
        <v>791</v>
      </c>
      <c r="B2339" s="1" t="n">
        <v>279.42</v>
      </c>
      <c r="C2339" s="1" t="n">
        <f aca="false">1/B2339</f>
        <v>0.00357884188676544</v>
      </c>
      <c r="D2339" s="1" t="n">
        <v>0.8028</v>
      </c>
      <c r="E2339" s="1" t="n">
        <f aca="false">LN(D2339)</f>
        <v>-0.219649662059954</v>
      </c>
    </row>
    <row r="2340" customFormat="false" ht="15.75" hidden="false" customHeight="false" outlineLevel="0" collapsed="false">
      <c r="A2340" s="1" t="s">
        <v>791</v>
      </c>
      <c r="B2340" s="1" t="n">
        <v>280.16</v>
      </c>
      <c r="C2340" s="1" t="n">
        <f aca="false">1/B2340</f>
        <v>0.00356938892061679</v>
      </c>
      <c r="D2340" s="1" t="n">
        <v>0.79279</v>
      </c>
      <c r="E2340" s="1" t="n">
        <f aca="false">LN(D2340)</f>
        <v>-0.232196909567605</v>
      </c>
    </row>
    <row r="2341" customFormat="false" ht="15.75" hidden="false" customHeight="false" outlineLevel="0" collapsed="false">
      <c r="A2341" s="1" t="s">
        <v>791</v>
      </c>
      <c r="B2341" s="1" t="n">
        <v>280.91</v>
      </c>
      <c r="C2341" s="1" t="n">
        <f aca="false">1/B2341</f>
        <v>0.00355985902958243</v>
      </c>
      <c r="D2341" s="1" t="n">
        <v>0.783</v>
      </c>
      <c r="E2341" s="1" t="n">
        <f aca="false">LN(D2341)</f>
        <v>-0.244622582991334</v>
      </c>
    </row>
    <row r="2342" customFormat="false" ht="15.75" hidden="false" customHeight="false" outlineLevel="0" collapsed="false">
      <c r="A2342" s="1" t="s">
        <v>791</v>
      </c>
      <c r="B2342" s="1" t="n">
        <v>281.65</v>
      </c>
      <c r="C2342" s="1" t="n">
        <f aca="false">1/B2342</f>
        <v>0.00355050594709746</v>
      </c>
      <c r="D2342" s="1" t="n">
        <v>0.77341</v>
      </c>
      <c r="E2342" s="1" t="n">
        <f aca="false">LN(D2342)</f>
        <v>-0.256945969972696</v>
      </c>
    </row>
    <row r="2343" customFormat="false" ht="15.75" hidden="false" customHeight="false" outlineLevel="0" collapsed="false">
      <c r="A2343" s="1" t="s">
        <v>791</v>
      </c>
      <c r="B2343" s="1" t="n">
        <v>282.39</v>
      </c>
      <c r="C2343" s="1" t="n">
        <f aca="false">1/B2343</f>
        <v>0.0035412018839194</v>
      </c>
      <c r="D2343" s="1" t="n">
        <v>0.76402</v>
      </c>
      <c r="E2343" s="1" t="n">
        <f aca="false">LN(D2343)</f>
        <v>-0.269161312147783</v>
      </c>
    </row>
    <row r="2344" customFormat="false" ht="15.75" hidden="false" customHeight="false" outlineLevel="0" collapsed="false">
      <c r="A2344" s="1" t="s">
        <v>791</v>
      </c>
      <c r="B2344" s="1" t="n">
        <v>283.14</v>
      </c>
      <c r="C2344" s="1" t="n">
        <f aca="false">1/B2344</f>
        <v>0.0035318217136399</v>
      </c>
      <c r="D2344" s="1" t="n">
        <v>0.75483</v>
      </c>
      <c r="E2344" s="1" t="n">
        <f aca="false">LN(D2344)</f>
        <v>-0.281262720649597</v>
      </c>
    </row>
    <row r="2345" customFormat="false" ht="15.75" hidden="false" customHeight="false" outlineLevel="0" collapsed="false">
      <c r="A2345" s="1" t="s">
        <v>791</v>
      </c>
      <c r="B2345" s="1" t="n">
        <v>283.88</v>
      </c>
      <c r="C2345" s="1" t="n">
        <f aca="false">1/B2345</f>
        <v>0.0035226151895167</v>
      </c>
      <c r="D2345" s="1" t="n">
        <v>0.74583</v>
      </c>
      <c r="E2345" s="1" t="n">
        <f aca="false">LN(D2345)</f>
        <v>-0.293257586784967</v>
      </c>
    </row>
    <row r="2346" customFormat="false" ht="15.75" hidden="false" customHeight="false" outlineLevel="0" collapsed="false">
      <c r="A2346" s="1" t="s">
        <v>791</v>
      </c>
      <c r="B2346" s="1" t="n">
        <v>284.63</v>
      </c>
      <c r="C2346" s="1" t="n">
        <f aca="false">1/B2346</f>
        <v>0.00351333309911113</v>
      </c>
      <c r="D2346" s="1" t="n">
        <v>0.737</v>
      </c>
      <c r="E2346" s="1" t="n">
        <f aca="false">LN(D2346)</f>
        <v>-0.3051673867928</v>
      </c>
    </row>
    <row r="2347" customFormat="false" ht="15.75" hidden="false" customHeight="false" outlineLevel="0" collapsed="false">
      <c r="A2347" s="1" t="s">
        <v>791</v>
      </c>
      <c r="B2347" s="1" t="n">
        <v>285.37</v>
      </c>
      <c r="C2347" s="1" t="n">
        <f aca="false">1/B2347</f>
        <v>0.0035042225882188</v>
      </c>
      <c r="D2347" s="1" t="n">
        <v>0.72836</v>
      </c>
      <c r="E2347" s="1" t="n">
        <f aca="false">LN(D2347)</f>
        <v>-0.316959847518494</v>
      </c>
    </row>
    <row r="2348" customFormat="false" ht="15.75" hidden="false" customHeight="false" outlineLevel="0" collapsed="false">
      <c r="A2348" s="1" t="s">
        <v>791</v>
      </c>
      <c r="B2348" s="1" t="n">
        <v>286.11</v>
      </c>
      <c r="C2348" s="1" t="n">
        <f aca="false">1/B2348</f>
        <v>0.00349515920450176</v>
      </c>
      <c r="D2348" s="1" t="n">
        <v>0.71989</v>
      </c>
      <c r="E2348" s="1" t="n">
        <f aca="false">LN(D2348)</f>
        <v>-0.328656856421527</v>
      </c>
    </row>
    <row r="2349" customFormat="false" ht="15.75" hidden="false" customHeight="false" outlineLevel="0" collapsed="false">
      <c r="A2349" s="1" t="s">
        <v>791</v>
      </c>
      <c r="B2349" s="1" t="n">
        <v>286.86</v>
      </c>
      <c r="C2349" s="1" t="n">
        <f aca="false">1/B2349</f>
        <v>0.00348602105556718</v>
      </c>
      <c r="D2349" s="1" t="n">
        <v>0.71159</v>
      </c>
      <c r="E2349" s="1" t="n">
        <f aca="false">LN(D2349)</f>
        <v>-0.340253376127873</v>
      </c>
    </row>
    <row r="2350" customFormat="false" ht="15.75" hidden="false" customHeight="false" outlineLevel="0" collapsed="false">
      <c r="A2350" s="1" t="s">
        <v>791</v>
      </c>
      <c r="B2350" s="1" t="n">
        <v>287.6</v>
      </c>
      <c r="C2350" s="1" t="n">
        <f aca="false">1/B2350</f>
        <v>0.00347705146036161</v>
      </c>
      <c r="D2350" s="1" t="n">
        <v>0.70344</v>
      </c>
      <c r="E2350" s="1" t="n">
        <f aca="false">LN(D2350)</f>
        <v>-0.35177269391139</v>
      </c>
    </row>
    <row r="2351" customFormat="false" ht="15.75" hidden="false" customHeight="false" outlineLevel="0" collapsed="false">
      <c r="A2351" s="1" t="s">
        <v>791</v>
      </c>
      <c r="B2351" s="1" t="n">
        <v>288.34</v>
      </c>
      <c r="C2351" s="1" t="n">
        <f aca="false">1/B2351</f>
        <v>0.00346812790455712</v>
      </c>
      <c r="D2351" s="1" t="n">
        <v>0.69546</v>
      </c>
      <c r="E2351" s="1" t="n">
        <f aca="false">LN(D2351)</f>
        <v>-0.363181781853428</v>
      </c>
    </row>
    <row r="2352" customFormat="false" ht="15.75" hidden="false" customHeight="false" outlineLevel="0" collapsed="false">
      <c r="A2352" s="1" t="s">
        <v>791</v>
      </c>
      <c r="B2352" s="1" t="n">
        <v>289.09</v>
      </c>
      <c r="C2352" s="1" t="n">
        <f aca="false">1/B2352</f>
        <v>0.00345913037462382</v>
      </c>
      <c r="D2352" s="1" t="n">
        <v>0.68763</v>
      </c>
      <c r="E2352" s="1" t="n">
        <f aca="false">LN(D2352)</f>
        <v>-0.374504376407752</v>
      </c>
    </row>
    <row r="2353" customFormat="false" ht="15.75" hidden="false" customHeight="false" outlineLevel="0" collapsed="false">
      <c r="A2353" s="1" t="s">
        <v>791</v>
      </c>
      <c r="B2353" s="1" t="n">
        <v>289.83</v>
      </c>
      <c r="C2353" s="1" t="n">
        <f aca="false">1/B2353</f>
        <v>0.003450298450816</v>
      </c>
      <c r="D2353" s="1" t="n">
        <v>0.67994</v>
      </c>
      <c r="E2353" s="1" t="n">
        <f aca="false">LN(D2353)</f>
        <v>-0.385750719999065</v>
      </c>
    </row>
    <row r="2354" customFormat="false" ht="15.75" hidden="false" customHeight="false" outlineLevel="0" collapsed="false">
      <c r="A2354" s="1" t="s">
        <v>791</v>
      </c>
      <c r="B2354" s="1" t="n">
        <v>290.58</v>
      </c>
      <c r="C2354" s="1" t="n">
        <f aca="false">1/B2354</f>
        <v>0.00344139307591713</v>
      </c>
      <c r="D2354" s="1" t="n">
        <v>0.67241</v>
      </c>
      <c r="E2354" s="1" t="n">
        <f aca="false">LN(D2354)</f>
        <v>-0.396887005458325</v>
      </c>
    </row>
    <row r="2355" customFormat="false" ht="15.75" hidden="false" customHeight="false" outlineLevel="0" collapsed="false">
      <c r="A2355" s="1" t="s">
        <v>791</v>
      </c>
      <c r="B2355" s="1" t="n">
        <v>291.32</v>
      </c>
      <c r="C2355" s="1" t="n">
        <f aca="false">1/B2355</f>
        <v>0.00343265137992585</v>
      </c>
      <c r="D2355" s="1" t="n">
        <v>0.66501</v>
      </c>
      <c r="E2355" s="1" t="n">
        <f aca="false">LN(D2355)</f>
        <v>-0.407953200845361</v>
      </c>
    </row>
    <row r="2356" customFormat="false" ht="15.75" hidden="false" customHeight="false" outlineLevel="0" collapsed="false">
      <c r="A2356" s="1" t="s">
        <v>791</v>
      </c>
      <c r="B2356" s="1" t="n">
        <v>292.06</v>
      </c>
      <c r="C2356" s="1" t="n">
        <f aca="false">1/B2356</f>
        <v>0.00342395398205848</v>
      </c>
      <c r="D2356" s="1" t="n">
        <v>0.65774</v>
      </c>
      <c r="E2356" s="1" t="n">
        <f aca="false">LN(D2356)</f>
        <v>-0.418945562522043</v>
      </c>
    </row>
    <row r="2357" customFormat="false" ht="15.75" hidden="false" customHeight="false" outlineLevel="0" collapsed="false">
      <c r="A2357" s="1" t="s">
        <v>791</v>
      </c>
      <c r="B2357" s="1" t="n">
        <v>292.81</v>
      </c>
      <c r="C2357" s="1" t="n">
        <f aca="false">1/B2357</f>
        <v>0.00341518390765343</v>
      </c>
      <c r="D2357" s="1" t="n">
        <v>0.65061</v>
      </c>
      <c r="E2357" s="1" t="n">
        <f aca="false">LN(D2357)</f>
        <v>-0.429844894633712</v>
      </c>
    </row>
    <row r="2358" customFormat="false" ht="15.75" hidden="false" customHeight="false" outlineLevel="0" collapsed="false">
      <c r="A2358" s="1" t="s">
        <v>791</v>
      </c>
      <c r="B2358" s="1" t="n">
        <v>293.55</v>
      </c>
      <c r="C2358" s="1" t="n">
        <f aca="false">1/B2358</f>
        <v>0.00340657468915006</v>
      </c>
      <c r="D2358" s="1" t="n">
        <v>0.64361</v>
      </c>
      <c r="E2358" s="1" t="n">
        <f aca="false">LN(D2358)</f>
        <v>-0.440662326383622</v>
      </c>
    </row>
    <row r="2359" customFormat="false" ht="15.75" hidden="false" customHeight="false" outlineLevel="0" collapsed="false">
      <c r="A2359" s="1" t="s">
        <v>791</v>
      </c>
      <c r="B2359" s="1" t="n">
        <v>294.3</v>
      </c>
      <c r="C2359" s="1" t="n">
        <f aca="false">1/B2359</f>
        <v>0.00339789330615019</v>
      </c>
      <c r="D2359" s="1" t="n">
        <v>0.63674</v>
      </c>
      <c r="E2359" s="1" t="n">
        <f aca="false">LN(D2359)</f>
        <v>-0.451393869996579</v>
      </c>
    </row>
    <row r="2360" customFormat="false" ht="15.75" hidden="false" customHeight="false" outlineLevel="0" collapsed="false">
      <c r="A2360" s="1" t="s">
        <v>791</v>
      </c>
      <c r="B2360" s="1" t="n">
        <v>295.04</v>
      </c>
      <c r="C2360" s="1" t="n">
        <f aca="false">1/B2360</f>
        <v>0.00338937093275488</v>
      </c>
      <c r="D2360" s="1" t="n">
        <v>0.62999</v>
      </c>
      <c r="E2360" s="1" t="n">
        <f aca="false">LN(D2360)</f>
        <v>-0.462051332738409</v>
      </c>
    </row>
    <row r="2361" customFormat="false" ht="15.75" hidden="false" customHeight="false" outlineLevel="0" collapsed="false">
      <c r="A2361" s="1" t="s">
        <v>791</v>
      </c>
      <c r="B2361" s="1" t="n">
        <v>295.78</v>
      </c>
      <c r="C2361" s="1" t="n">
        <f aca="false">1/B2361</f>
        <v>0.00338089120292109</v>
      </c>
      <c r="D2361" s="1" t="n">
        <v>0.62335</v>
      </c>
      <c r="E2361" s="1" t="n">
        <f aca="false">LN(D2361)</f>
        <v>-0.472647120191153</v>
      </c>
    </row>
    <row r="2362" customFormat="false" ht="15.75" hidden="false" customHeight="false" outlineLevel="0" collapsed="false">
      <c r="A2362" s="1" t="s">
        <v>791</v>
      </c>
      <c r="B2362" s="1" t="n">
        <v>296.53</v>
      </c>
      <c r="C2362" s="1" t="n">
        <f aca="false">1/B2362</f>
        <v>0.00337234006677233</v>
      </c>
      <c r="D2362" s="1" t="n">
        <v>0.61683</v>
      </c>
      <c r="E2362" s="1" t="n">
        <f aca="false">LN(D2362)</f>
        <v>-0.483161819783517</v>
      </c>
    </row>
    <row r="2363" customFormat="false" ht="15.75" hidden="false" customHeight="false" outlineLevel="0" collapsed="false">
      <c r="A2363" s="1" t="s">
        <v>791</v>
      </c>
      <c r="B2363" s="1" t="n">
        <v>297.27</v>
      </c>
      <c r="C2363" s="1" t="n">
        <f aca="false">1/B2363</f>
        <v>0.00336394523497157</v>
      </c>
      <c r="D2363" s="1" t="n">
        <v>0.61043</v>
      </c>
      <c r="E2363" s="1" t="n">
        <f aca="false">LN(D2363)</f>
        <v>-0.493591652120011</v>
      </c>
    </row>
    <row r="2364" customFormat="false" ht="15.75" hidden="false" customHeight="false" outlineLevel="0" collapsed="false">
      <c r="A2364" s="1" t="s">
        <v>791</v>
      </c>
      <c r="B2364" s="1" t="n">
        <v>298.01</v>
      </c>
      <c r="C2364" s="1" t="n">
        <f aca="false">1/B2364</f>
        <v>0.00335559209422503</v>
      </c>
      <c r="D2364" s="1" t="n">
        <v>0.60413</v>
      </c>
      <c r="E2364" s="1" t="n">
        <f aca="false">LN(D2364)</f>
        <v>-0.503965872418281</v>
      </c>
    </row>
    <row r="2365" customFormat="false" ht="15.75" hidden="false" customHeight="false" outlineLevel="0" collapsed="false">
      <c r="A2365" s="1" t="s">
        <v>791</v>
      </c>
      <c r="B2365" s="1" t="n">
        <v>298.76</v>
      </c>
      <c r="C2365" s="1" t="n">
        <f aca="false">1/B2365</f>
        <v>0.0033471682956219</v>
      </c>
      <c r="D2365" s="1" t="n">
        <v>0.59794</v>
      </c>
      <c r="E2365" s="1" t="n">
        <f aca="false">LN(D2365)</f>
        <v>-0.514264864513503</v>
      </c>
    </row>
    <row r="2366" customFormat="false" ht="15.75" hidden="false" customHeight="false" outlineLevel="0" collapsed="false">
      <c r="A2366" s="1" t="s">
        <v>791</v>
      </c>
      <c r="B2366" s="1" t="n">
        <v>299.5</v>
      </c>
      <c r="C2366" s="1" t="n">
        <f aca="false">1/B2366</f>
        <v>0.00333889816360601</v>
      </c>
      <c r="D2366" s="1" t="n">
        <v>0.59186</v>
      </c>
      <c r="E2366" s="1" t="n">
        <f aca="false">LN(D2366)</f>
        <v>-0.524485158551956</v>
      </c>
    </row>
    <row r="2367" customFormat="false" ht="15.75" hidden="false" customHeight="false" outlineLevel="0" collapsed="false">
      <c r="A2367" s="1" t="s">
        <v>791</v>
      </c>
      <c r="B2367" s="1" t="n">
        <v>300.25</v>
      </c>
      <c r="C2367" s="1" t="n">
        <f aca="false">1/B2367</f>
        <v>0.00333055786844296</v>
      </c>
      <c r="D2367" s="1" t="n">
        <v>0.58588</v>
      </c>
      <c r="E2367" s="1" t="n">
        <f aca="false">LN(D2367)</f>
        <v>-0.534640288532031</v>
      </c>
    </row>
    <row r="2368" customFormat="false" ht="15.75" hidden="false" customHeight="false" outlineLevel="0" collapsed="false">
      <c r="A2368" s="1" t="s">
        <v>791</v>
      </c>
      <c r="B2368" s="1" t="n">
        <v>300.99</v>
      </c>
      <c r="C2368" s="1" t="n">
        <f aca="false">1/B2368</f>
        <v>0.00332236951393734</v>
      </c>
      <c r="D2368" s="1" t="n">
        <v>0.57999</v>
      </c>
      <c r="E2368" s="1" t="n">
        <f aca="false">LN(D2368)</f>
        <v>-0.544744416969617</v>
      </c>
    </row>
    <row r="2369" customFormat="false" ht="15.75" hidden="false" customHeight="false" outlineLevel="0" collapsed="false">
      <c r="A2369" s="1" t="s">
        <v>791</v>
      </c>
      <c r="B2369" s="1" t="n">
        <v>301.73</v>
      </c>
      <c r="C2369" s="1" t="n">
        <f aca="false">1/B2369</f>
        <v>0.0033142213237</v>
      </c>
      <c r="D2369" s="1" t="n">
        <v>0.57421</v>
      </c>
      <c r="E2369" s="1" t="n">
        <f aca="false">LN(D2369)</f>
        <v>-0.554760095912165</v>
      </c>
    </row>
    <row r="2370" customFormat="false" ht="15.75" hidden="false" customHeight="false" outlineLevel="0" collapsed="false">
      <c r="A2370" s="1" t="s">
        <v>791</v>
      </c>
      <c r="B2370" s="1" t="n">
        <v>302.48</v>
      </c>
      <c r="C2370" s="1" t="n">
        <f aca="false">1/B2370</f>
        <v>0.00330600370272415</v>
      </c>
      <c r="D2370" s="1" t="n">
        <v>0.56851</v>
      </c>
      <c r="E2370" s="1" t="n">
        <f aca="false">LN(D2370)</f>
        <v>-0.564736375796735</v>
      </c>
    </row>
    <row r="2371" customFormat="false" ht="15.75" hidden="false" customHeight="false" outlineLevel="0" collapsed="false">
      <c r="A2371" s="1" t="s">
        <v>791</v>
      </c>
      <c r="B2371" s="1" t="n">
        <v>303.22</v>
      </c>
      <c r="C2371" s="1" t="n">
        <f aca="false">1/B2371</f>
        <v>0.00329793549238177</v>
      </c>
      <c r="D2371" s="1" t="n">
        <v>0.56291</v>
      </c>
      <c r="E2371" s="1" t="n">
        <f aca="false">LN(D2371)</f>
        <v>-0.574635521525168</v>
      </c>
    </row>
    <row r="2372" customFormat="false" ht="15.75" hidden="false" customHeight="false" outlineLevel="0" collapsed="false">
      <c r="A2372" s="1" t="s">
        <v>791</v>
      </c>
      <c r="B2372" s="1" t="n">
        <v>303.97</v>
      </c>
      <c r="C2372" s="1" t="n">
        <f aca="false">1/B2372</f>
        <v>0.00328979833536204</v>
      </c>
      <c r="D2372" s="1" t="n">
        <v>0.5574</v>
      </c>
      <c r="E2372" s="1" t="n">
        <f aca="false">LN(D2372)</f>
        <v>-0.584472163934289</v>
      </c>
    </row>
    <row r="2373" customFormat="false" ht="15.75" hidden="false" customHeight="false" outlineLevel="0" collapsed="false">
      <c r="A2373" s="1" t="s">
        <v>791</v>
      </c>
      <c r="B2373" s="1" t="n">
        <v>304.71</v>
      </c>
      <c r="C2373" s="1" t="n">
        <f aca="false">1/B2373</f>
        <v>0.00328180893308392</v>
      </c>
      <c r="D2373" s="1" t="n">
        <v>0.55198</v>
      </c>
      <c r="E2373" s="1" t="n">
        <f aca="false">LN(D2373)</f>
        <v>-0.59424346524549</v>
      </c>
    </row>
    <row r="2374" customFormat="false" ht="15.75" hidden="false" customHeight="false" outlineLevel="0" collapsed="false">
      <c r="A2374" s="1" t="s">
        <v>791</v>
      </c>
      <c r="B2374" s="1" t="n">
        <v>305.45</v>
      </c>
      <c r="C2374" s="1" t="n">
        <f aca="false">1/B2374</f>
        <v>0.00327385824193812</v>
      </c>
      <c r="D2374" s="1" t="n">
        <v>0.54664</v>
      </c>
      <c r="E2374" s="1" t="n">
        <f aca="false">LN(D2374)</f>
        <v>-0.603964828509614</v>
      </c>
    </row>
    <row r="2375" customFormat="false" ht="15.75" hidden="false" customHeight="false" outlineLevel="0" collapsed="false">
      <c r="A2375" s="1" t="s">
        <v>791</v>
      </c>
      <c r="B2375" s="1" t="n">
        <v>306.2</v>
      </c>
      <c r="C2375" s="1" t="n">
        <f aca="false">1/B2375</f>
        <v>0.00326583932070542</v>
      </c>
      <c r="D2375" s="1" t="n">
        <v>0.54139</v>
      </c>
      <c r="E2375" s="1" t="n">
        <f aca="false">LN(D2375)</f>
        <v>-0.613615372604216</v>
      </c>
    </row>
    <row r="2376" customFormat="false" ht="15.75" hidden="false" customHeight="false" outlineLevel="0" collapsed="false">
      <c r="A2376" s="1" t="s">
        <v>791</v>
      </c>
      <c r="B2376" s="1" t="n">
        <v>306.94</v>
      </c>
      <c r="C2376" s="1" t="n">
        <f aca="false">1/B2376</f>
        <v>0.00325796572620056</v>
      </c>
      <c r="D2376" s="1" t="n">
        <v>0.53622</v>
      </c>
      <c r="E2376" s="1" t="n">
        <f aca="false">LN(D2376)</f>
        <v>-0.623210754360781</v>
      </c>
    </row>
    <row r="2377" customFormat="false" ht="15.75" hidden="false" customHeight="false" outlineLevel="0" collapsed="false">
      <c r="A2377" s="1" t="s">
        <v>791</v>
      </c>
      <c r="B2377" s="1" t="n">
        <v>307.69</v>
      </c>
      <c r="C2377" s="1" t="n">
        <f aca="false">1/B2377</f>
        <v>0.00325002437518281</v>
      </c>
      <c r="D2377" s="1" t="n">
        <v>0.53112</v>
      </c>
      <c r="E2377" s="1" t="n">
        <f aca="false">LN(D2377)</f>
        <v>-0.632767294571233</v>
      </c>
    </row>
    <row r="2378" customFormat="false" ht="15.75" hidden="false" customHeight="false" outlineLevel="0" collapsed="false">
      <c r="A2378" s="1" t="s">
        <v>791</v>
      </c>
      <c r="B2378" s="1" t="n">
        <v>308.43</v>
      </c>
      <c r="C2378" s="1" t="n">
        <f aca="false">1/B2378</f>
        <v>0.00324222676133969</v>
      </c>
      <c r="D2378" s="1" t="n">
        <v>0.52611</v>
      </c>
      <c r="E2378" s="1" t="n">
        <f aca="false">LN(D2378)</f>
        <v>-0.642244962632826</v>
      </c>
    </row>
    <row r="2379" customFormat="false" ht="15.75" hidden="false" customHeight="false" outlineLevel="0" collapsed="false">
      <c r="A2379" s="1" t="s">
        <v>791</v>
      </c>
      <c r="B2379" s="1" t="n">
        <v>309.17</v>
      </c>
      <c r="C2379" s="1" t="n">
        <f aca="false">1/B2379</f>
        <v>0.00323446647475499</v>
      </c>
      <c r="D2379" s="1" t="n">
        <v>0.52117</v>
      </c>
      <c r="E2379" s="1" t="n">
        <f aca="false">LN(D2379)</f>
        <v>-0.651678994866185</v>
      </c>
    </row>
    <row r="2380" customFormat="false" ht="15.75" hidden="false" customHeight="false" outlineLevel="0" collapsed="false">
      <c r="A2380" s="1" t="s">
        <v>791</v>
      </c>
      <c r="B2380" s="1" t="n">
        <v>309.92</v>
      </c>
      <c r="C2380" s="1" t="n">
        <f aca="false">1/B2380</f>
        <v>0.0032266391326794</v>
      </c>
      <c r="D2380" s="1" t="n">
        <v>0.51631</v>
      </c>
      <c r="E2380" s="1" t="n">
        <f aca="false">LN(D2380)</f>
        <v>-0.661047918699946</v>
      </c>
    </row>
    <row r="2381" customFormat="false" ht="15.75" hidden="false" customHeight="false" outlineLevel="0" collapsed="false">
      <c r="A2381" s="1" t="s">
        <v>791</v>
      </c>
      <c r="B2381" s="1" t="n">
        <v>310.66</v>
      </c>
      <c r="C2381" s="1" t="n">
        <f aca="false">1/B2381</f>
        <v>0.00321895319642052</v>
      </c>
      <c r="D2381" s="1" t="n">
        <v>0.51151</v>
      </c>
      <c r="E2381" s="1" t="n">
        <f aca="false">LN(D2381)</f>
        <v>-0.67038814343943</v>
      </c>
    </row>
    <row r="2382" customFormat="false" ht="15.75" hidden="false" customHeight="false" outlineLevel="0" collapsed="false">
      <c r="A2382" s="1" t="s">
        <v>791</v>
      </c>
      <c r="B2382" s="1" t="n">
        <v>311.4</v>
      </c>
      <c r="C2382" s="1" t="n">
        <f aca="false">1/B2382</f>
        <v>0.00321130378933847</v>
      </c>
      <c r="D2382" s="1" t="n">
        <v>0.50679</v>
      </c>
      <c r="E2382" s="1" t="n">
        <f aca="false">LN(D2382)</f>
        <v>-0.679658562379391</v>
      </c>
    </row>
    <row r="2383" customFormat="false" ht="15.75" hidden="false" customHeight="false" outlineLevel="0" collapsed="false">
      <c r="A2383" s="1" t="s">
        <v>791</v>
      </c>
      <c r="B2383" s="1" t="n">
        <v>312.15</v>
      </c>
      <c r="C2383" s="1" t="n">
        <f aca="false">1/B2383</f>
        <v>0.00320358801858081</v>
      </c>
      <c r="D2383" s="1" t="n">
        <v>0.50214</v>
      </c>
      <c r="E2383" s="1" t="n">
        <f aca="false">LN(D2383)</f>
        <v>-0.688876313709299</v>
      </c>
    </row>
    <row r="2384" customFormat="false" ht="15.75" hidden="false" customHeight="false" outlineLevel="0" collapsed="false">
      <c r="A2384" s="1" t="s">
        <v>791</v>
      </c>
      <c r="B2384" s="1" t="n">
        <v>312.89</v>
      </c>
      <c r="C2384" s="1" t="n">
        <f aca="false">1/B2384</f>
        <v>0.0031960113778005</v>
      </c>
      <c r="D2384" s="1" t="n">
        <v>0.49756</v>
      </c>
      <c r="E2384" s="1" t="n">
        <f aca="false">LN(D2384)</f>
        <v>-0.698039126640373</v>
      </c>
    </row>
    <row r="2385" customFormat="false" ht="15.75" hidden="false" customHeight="false" outlineLevel="0" collapsed="false">
      <c r="A2385" s="1" t="s">
        <v>791</v>
      </c>
      <c r="B2385" s="1" t="n">
        <v>313.64</v>
      </c>
      <c r="C2385" s="1" t="n">
        <f aca="false">1/B2385</f>
        <v>0.00318836883050631</v>
      </c>
      <c r="D2385" s="1" t="n">
        <v>0.49304</v>
      </c>
      <c r="E2385" s="1" t="n">
        <f aca="false">LN(D2385)</f>
        <v>-0.707164972328149</v>
      </c>
    </row>
    <row r="2386" customFormat="false" ht="15.75" hidden="false" customHeight="false" outlineLevel="0" collapsed="false">
      <c r="A2386" s="1" t="s">
        <v>791</v>
      </c>
      <c r="B2386" s="1" t="n">
        <v>314.38</v>
      </c>
      <c r="C2386" s="1" t="n">
        <f aca="false">1/B2386</f>
        <v>0.00318086392264139</v>
      </c>
      <c r="D2386" s="1" t="n">
        <v>0.48859</v>
      </c>
      <c r="E2386" s="1" t="n">
        <f aca="false">LN(D2386)</f>
        <v>-0.716231587007319</v>
      </c>
    </row>
    <row r="2387" customFormat="false" ht="15.75" hidden="false" customHeight="false" outlineLevel="0" collapsed="false">
      <c r="A2387" s="1" t="s">
        <v>791</v>
      </c>
      <c r="B2387" s="1" t="n">
        <v>315.12</v>
      </c>
      <c r="C2387" s="1" t="n">
        <f aca="false">1/B2387</f>
        <v>0.00317339426250317</v>
      </c>
      <c r="D2387" s="1" t="n">
        <v>0.4842</v>
      </c>
      <c r="E2387" s="1" t="n">
        <f aca="false">LN(D2387)</f>
        <v>-0.725257234478179</v>
      </c>
    </row>
    <row r="2388" customFormat="false" ht="15.75" hidden="false" customHeight="false" outlineLevel="0" collapsed="false">
      <c r="A2388" s="1" t="s">
        <v>791</v>
      </c>
      <c r="B2388" s="1" t="n">
        <v>315.87</v>
      </c>
      <c r="C2388" s="1" t="n">
        <f aca="false">1/B2388</f>
        <v>0.00316585937252667</v>
      </c>
      <c r="D2388" s="1" t="n">
        <v>0.47988</v>
      </c>
      <c r="E2388" s="1" t="n">
        <f aca="false">LN(D2388)</f>
        <v>-0.73421920633541</v>
      </c>
    </row>
    <row r="2389" customFormat="false" ht="15.75" hidden="false" customHeight="false" outlineLevel="0" collapsed="false">
      <c r="A2389" s="1" t="s">
        <v>791</v>
      </c>
      <c r="B2389" s="1" t="n">
        <v>316.61</v>
      </c>
      <c r="C2389" s="1" t="n">
        <f aca="false">1/B2389</f>
        <v>0.00315845993493573</v>
      </c>
      <c r="D2389" s="1" t="n">
        <v>0.47561</v>
      </c>
      <c r="E2389" s="1" t="n">
        <f aca="false">LN(D2389)</f>
        <v>-0.743157088314225</v>
      </c>
    </row>
    <row r="2390" customFormat="false" ht="15.75" hidden="false" customHeight="false" outlineLevel="0" collapsed="false">
      <c r="A2390" s="1" t="s">
        <v>791</v>
      </c>
      <c r="B2390" s="1" t="n">
        <v>317.36</v>
      </c>
      <c r="C2390" s="1" t="n">
        <f aca="false">1/B2390</f>
        <v>0.00315099571464583</v>
      </c>
      <c r="D2390" s="1" t="n">
        <v>0.47141</v>
      </c>
      <c r="E2390" s="1" t="n">
        <f aca="false">LN(D2390)</f>
        <v>-0.752027075298234</v>
      </c>
    </row>
    <row r="2391" customFormat="false" ht="15.75" hidden="false" customHeight="false" outlineLevel="0" collapsed="false">
      <c r="A2391" s="1" t="s">
        <v>791</v>
      </c>
      <c r="B2391" s="1" t="n">
        <v>318.1</v>
      </c>
      <c r="C2391" s="1" t="n">
        <f aca="false">1/B2391</f>
        <v>0.00314366551398931</v>
      </c>
      <c r="D2391" s="1" t="n">
        <v>0.46726</v>
      </c>
      <c r="E2391" s="1" t="n">
        <f aca="false">LN(D2391)</f>
        <v>-0.760869431056326</v>
      </c>
    </row>
    <row r="2392" customFormat="false" ht="15.75" hidden="false" customHeight="false" outlineLevel="0" collapsed="false">
      <c r="A2392" s="1" t="s">
        <v>791</v>
      </c>
      <c r="B2392" s="1" t="n">
        <v>318.84</v>
      </c>
      <c r="C2392" s="1" t="n">
        <f aca="false">1/B2392</f>
        <v>0.00313636933885334</v>
      </c>
      <c r="D2392" s="1" t="n">
        <v>0.46317</v>
      </c>
      <c r="E2392" s="1" t="n">
        <f aca="false">LN(D2392)</f>
        <v>-0.769661121660192</v>
      </c>
    </row>
    <row r="2393" customFormat="false" ht="15.75" hidden="false" customHeight="false" outlineLevel="0" collapsed="false">
      <c r="A2393" s="1" t="s">
        <v>791</v>
      </c>
      <c r="B2393" s="1" t="n">
        <v>319.59</v>
      </c>
      <c r="C2393" s="1" t="n">
        <f aca="false">1/B2393</f>
        <v>0.00312900904283613</v>
      </c>
      <c r="D2393" s="1" t="n">
        <v>0.45914</v>
      </c>
      <c r="E2393" s="1" t="n">
        <f aca="false">LN(D2393)</f>
        <v>-0.778400104534712</v>
      </c>
    </row>
    <row r="2394" customFormat="false" ht="15.75" hidden="false" customHeight="false" outlineLevel="0" collapsed="false">
      <c r="A2394" s="1" t="s">
        <v>791</v>
      </c>
      <c r="B2394" s="1" t="n">
        <v>320.33</v>
      </c>
      <c r="C2394" s="1" t="n">
        <f aca="false">1/B2394</f>
        <v>0.00312178066369057</v>
      </c>
      <c r="D2394" s="1" t="n">
        <v>0.45516</v>
      </c>
      <c r="E2394" s="1" t="n">
        <f aca="false">LN(D2394)</f>
        <v>-0.787106273493329</v>
      </c>
    </row>
    <row r="2395" customFormat="false" ht="15.75" hidden="false" customHeight="false" outlineLevel="0" collapsed="false">
      <c r="A2395" s="1" t="s">
        <v>791</v>
      </c>
      <c r="B2395" s="1" t="n">
        <v>321.07</v>
      </c>
      <c r="C2395" s="1" t="n">
        <f aca="false">1/B2395</f>
        <v>0.00311458560438534</v>
      </c>
      <c r="D2395" s="1" t="n">
        <v>0.45123</v>
      </c>
      <c r="E2395" s="1" t="n">
        <f aca="false">LN(D2395)</f>
        <v>-0.795778091646905</v>
      </c>
    </row>
    <row r="2396" customFormat="false" ht="15.75" hidden="false" customHeight="false" outlineLevel="0" collapsed="false">
      <c r="A2396" s="1" t="s">
        <v>791</v>
      </c>
      <c r="B2396" s="1" t="n">
        <v>321.82</v>
      </c>
      <c r="C2396" s="1" t="n">
        <f aca="false">1/B2396</f>
        <v>0.00310732707724815</v>
      </c>
      <c r="D2396" s="1" t="n">
        <v>0.44736</v>
      </c>
      <c r="E2396" s="1" t="n">
        <f aca="false">LN(D2396)</f>
        <v>-0.804391639376746</v>
      </c>
    </row>
    <row r="2397" customFormat="false" ht="15.75" hidden="false" customHeight="false" outlineLevel="0" collapsed="false">
      <c r="A2397" s="1" t="s">
        <v>791</v>
      </c>
      <c r="B2397" s="1" t="n">
        <v>322.56</v>
      </c>
      <c r="C2397" s="1" t="n">
        <f aca="false">1/B2397</f>
        <v>0.00310019841269841</v>
      </c>
      <c r="D2397" s="1" t="n">
        <v>0.44354</v>
      </c>
      <c r="E2397" s="1" t="n">
        <f aca="false">LN(D2397)</f>
        <v>-0.812967289642254</v>
      </c>
    </row>
    <row r="2398" customFormat="false" ht="15.75" hidden="false" customHeight="false" outlineLevel="0" collapsed="false">
      <c r="A2398" s="1" t="s">
        <v>791</v>
      </c>
      <c r="B2398" s="1" t="n">
        <v>323.31</v>
      </c>
      <c r="C2398" s="1" t="n">
        <f aca="false">1/B2398</f>
        <v>0.00309300671182456</v>
      </c>
      <c r="D2398" s="1" t="n">
        <v>0.43977</v>
      </c>
      <c r="E2398" s="1" t="n">
        <f aca="false">LN(D2398)</f>
        <v>-0.821503416012088</v>
      </c>
    </row>
    <row r="2399" customFormat="false" ht="15.75" hidden="false" customHeight="false" outlineLevel="0" collapsed="false">
      <c r="A2399" s="1" t="s">
        <v>791</v>
      </c>
      <c r="B2399" s="1" t="n">
        <v>324.05</v>
      </c>
      <c r="C2399" s="1" t="n">
        <f aca="false">1/B2399</f>
        <v>0.00308594352723345</v>
      </c>
      <c r="D2399" s="1" t="n">
        <v>0.43605</v>
      </c>
      <c r="E2399" s="1" t="n">
        <f aca="false">LN(D2399)</f>
        <v>-0.829998363309142</v>
      </c>
    </row>
    <row r="2400" customFormat="false" ht="15.75" hidden="false" customHeight="false" outlineLevel="0" collapsed="false">
      <c r="A2400" s="1" t="s">
        <v>791</v>
      </c>
      <c r="B2400" s="1" t="n">
        <v>324.79</v>
      </c>
      <c r="C2400" s="1" t="n">
        <f aca="false">1/B2400</f>
        <v>0.00307891252809508</v>
      </c>
      <c r="D2400" s="1" t="n">
        <v>0.43237</v>
      </c>
      <c r="E2400" s="1" t="n">
        <f aca="false">LN(D2400)</f>
        <v>-0.838473575827517</v>
      </c>
    </row>
    <row r="2401" customFormat="false" ht="15.75" hidden="false" customHeight="false" outlineLevel="0" collapsed="false">
      <c r="A2401" s="1" t="s">
        <v>791</v>
      </c>
      <c r="B2401" s="1" t="n">
        <v>325.54</v>
      </c>
      <c r="C2401" s="1" t="n">
        <f aca="false">1/B2401</f>
        <v>0.00307181913128955</v>
      </c>
      <c r="D2401" s="1" t="n">
        <v>0.42875</v>
      </c>
      <c r="E2401" s="1" t="n">
        <f aca="false">LN(D2401)</f>
        <v>-0.846881280501987</v>
      </c>
    </row>
    <row r="2402" customFormat="false" ht="15.75" hidden="false" customHeight="false" outlineLevel="0" collapsed="false">
      <c r="A2402" s="1" t="s">
        <v>791</v>
      </c>
      <c r="B2402" s="1" t="n">
        <v>326.28</v>
      </c>
      <c r="C2402" s="1" t="n">
        <f aca="false">1/B2402</f>
        <v>0.00306485227412039</v>
      </c>
      <c r="D2402" s="1" t="n">
        <v>0.42517</v>
      </c>
      <c r="E2402" s="1" t="n">
        <f aca="false">LN(D2402)</f>
        <v>-0.855266190036393</v>
      </c>
    </row>
    <row r="2403" customFormat="false" ht="15.75" hidden="false" customHeight="false" outlineLevel="0" collapsed="false">
      <c r="A2403" s="1" t="s">
        <v>791</v>
      </c>
      <c r="B2403" s="1" t="n">
        <v>327.03</v>
      </c>
      <c r="C2403" s="1" t="n">
        <f aca="false">1/B2403</f>
        <v>0.0030578234412745</v>
      </c>
      <c r="D2403" s="1" t="n">
        <v>0.42164</v>
      </c>
      <c r="E2403" s="1" t="n">
        <f aca="false">LN(D2403)</f>
        <v>-0.863603409595149</v>
      </c>
    </row>
    <row r="2404" customFormat="false" ht="15.75" hidden="false" customHeight="false" outlineLevel="0" collapsed="false">
      <c r="A2404" s="1" t="s">
        <v>791</v>
      </c>
      <c r="B2404" s="1" t="n">
        <v>327.77</v>
      </c>
      <c r="C2404" s="1" t="n">
        <f aca="false">1/B2404</f>
        <v>0.00305091985233548</v>
      </c>
      <c r="D2404" s="1" t="n">
        <v>0.41815</v>
      </c>
      <c r="E2404" s="1" t="n">
        <f aca="false">LN(D2404)</f>
        <v>-0.871915059154602</v>
      </c>
    </row>
    <row r="2405" customFormat="false" ht="15.75" hidden="false" customHeight="false" outlineLevel="0" collapsed="false">
      <c r="A2405" s="1" t="s">
        <v>791</v>
      </c>
      <c r="B2405" s="1" t="n">
        <v>328.51</v>
      </c>
      <c r="C2405" s="1" t="n">
        <f aca="false">1/B2405</f>
        <v>0.00304404736537701</v>
      </c>
      <c r="D2405" s="1" t="n">
        <v>0.41471</v>
      </c>
      <c r="E2405" s="1" t="n">
        <f aca="false">LN(D2405)</f>
        <v>-0.880175798203318</v>
      </c>
    </row>
    <row r="2406" customFormat="false" ht="15.75" hidden="false" customHeight="false" outlineLevel="0" collapsed="false">
      <c r="A2406" s="1" t="s">
        <v>791</v>
      </c>
      <c r="B2406" s="1" t="n">
        <v>329.26</v>
      </c>
      <c r="C2406" s="1" t="n">
        <f aca="false">1/B2406</f>
        <v>0.00303711352730365</v>
      </c>
      <c r="D2406" s="1" t="n">
        <v>0.4113</v>
      </c>
      <c r="E2406" s="1" t="n">
        <f aca="false">LN(D2406)</f>
        <v>-0.888432403745759</v>
      </c>
    </row>
    <row r="2407" customFormat="false" ht="15.75" hidden="false" customHeight="false" outlineLevel="0" collapsed="false">
      <c r="A2407" s="1" t="s">
        <v>791</v>
      </c>
      <c r="B2407" s="1" t="n">
        <v>330</v>
      </c>
      <c r="C2407" s="1" t="n">
        <f aca="false">1/B2407</f>
        <v>0.00303030303030303</v>
      </c>
      <c r="D2407" s="1" t="n">
        <v>0.40795</v>
      </c>
      <c r="E2407" s="1" t="n">
        <f aca="false">LN(D2407)</f>
        <v>-0.896610661107328</v>
      </c>
    </row>
    <row r="2408" customFormat="false" ht="15.75" hidden="false" customHeight="false" outlineLevel="0" collapsed="false">
      <c r="A2408" s="1" t="s">
        <v>791</v>
      </c>
      <c r="B2408" s="1" t="n">
        <v>330.75</v>
      </c>
      <c r="C2408" s="1" t="n">
        <f aca="false">1/B2408</f>
        <v>0.00302343159486017</v>
      </c>
      <c r="D2408" s="1" t="n">
        <v>0.40463</v>
      </c>
      <c r="E2408" s="1" t="n">
        <f aca="false">LN(D2408)</f>
        <v>-0.904782209691286</v>
      </c>
    </row>
    <row r="2409" customFormat="false" ht="15.75" hidden="false" customHeight="false" outlineLevel="0" collapsed="false">
      <c r="A2409" s="1" t="s">
        <v>791</v>
      </c>
      <c r="B2409" s="1" t="n">
        <v>331.49</v>
      </c>
      <c r="C2409" s="1" t="n">
        <f aca="false">1/B2409</f>
        <v>0.00301668225285831</v>
      </c>
      <c r="D2409" s="1" t="n">
        <v>0.40135</v>
      </c>
      <c r="E2409" s="1" t="n">
        <f aca="false">LN(D2409)</f>
        <v>-0.912921414404551</v>
      </c>
    </row>
    <row r="2410" customFormat="false" ht="15.75" hidden="false" customHeight="false" outlineLevel="0" collapsed="false">
      <c r="A2410" s="1" t="s">
        <v>791</v>
      </c>
      <c r="B2410" s="1" t="n">
        <v>332.23</v>
      </c>
      <c r="C2410" s="1" t="n">
        <f aca="false">1/B2410</f>
        <v>0.00300996297745538</v>
      </c>
      <c r="D2410" s="1" t="n">
        <v>0.39812</v>
      </c>
      <c r="E2410" s="1" t="n">
        <f aca="false">LN(D2410)</f>
        <v>-0.921001811604274</v>
      </c>
    </row>
    <row r="2411" customFormat="false" ht="15.75" hidden="false" customHeight="false" outlineLevel="0" collapsed="false">
      <c r="A2411" s="1" t="s">
        <v>791</v>
      </c>
      <c r="B2411" s="1" t="n">
        <v>332.98</v>
      </c>
      <c r="C2411" s="1" t="n">
        <f aca="false">1/B2411</f>
        <v>0.00300318337437684</v>
      </c>
      <c r="D2411" s="1" t="n">
        <v>0.39492</v>
      </c>
      <c r="E2411" s="1" t="n">
        <f aca="false">LN(D2411)</f>
        <v>-0.929072066238888</v>
      </c>
    </row>
    <row r="2412" customFormat="false" ht="15.75" hidden="false" customHeight="false" outlineLevel="0" collapsed="false">
      <c r="A2412" s="1" t="s">
        <v>791</v>
      </c>
      <c r="B2412" s="1" t="n">
        <v>333.72</v>
      </c>
      <c r="C2412" s="1" t="n">
        <f aca="false">1/B2412</f>
        <v>0.00299652403212274</v>
      </c>
      <c r="D2412" s="1" t="n">
        <v>0.39176</v>
      </c>
      <c r="E2412" s="1" t="n">
        <f aca="false">LN(D2412)</f>
        <v>-0.937105871588075</v>
      </c>
    </row>
    <row r="2413" customFormat="false" ht="15.75" hidden="false" customHeight="false" outlineLevel="0" collapsed="false">
      <c r="A2413" s="1" t="s">
        <v>791</v>
      </c>
      <c r="B2413" s="1" t="n">
        <v>334.46</v>
      </c>
      <c r="C2413" s="1" t="n">
        <f aca="false">1/B2413</f>
        <v>0.00298989415774682</v>
      </c>
      <c r="D2413" s="1" t="n">
        <v>0.38865</v>
      </c>
      <c r="E2413" s="1" t="n">
        <f aca="false">LN(D2413)</f>
        <v>-0.945076083305908</v>
      </c>
    </row>
    <row r="2414" customFormat="false" ht="15.75" hidden="false" customHeight="false" outlineLevel="0" collapsed="false">
      <c r="A2414" s="1" t="s">
        <v>791</v>
      </c>
      <c r="B2414" s="1" t="n">
        <v>335.21</v>
      </c>
      <c r="C2414" s="1" t="n">
        <f aca="false">1/B2414</f>
        <v>0.00298320455833657</v>
      </c>
      <c r="D2414" s="1" t="n">
        <v>0.38556</v>
      </c>
      <c r="E2414" s="1" t="n">
        <f aca="false">LN(D2414)</f>
        <v>-0.95305845606637</v>
      </c>
    </row>
    <row r="2415" customFormat="false" ht="15.75" hidden="false" customHeight="false" outlineLevel="0" collapsed="false">
      <c r="A2415" s="1" t="s">
        <v>791</v>
      </c>
      <c r="B2415" s="1" t="n">
        <v>335.95</v>
      </c>
      <c r="C2415" s="1" t="n">
        <f aca="false">1/B2415</f>
        <v>0.00297663342759339</v>
      </c>
      <c r="D2415" s="1" t="n">
        <v>0.38252</v>
      </c>
      <c r="E2415" s="1" t="n">
        <f aca="false">LN(D2415)</f>
        <v>-0.960974339500795</v>
      </c>
    </row>
    <row r="2416" customFormat="false" ht="15.75" hidden="false" customHeight="false" outlineLevel="0" collapsed="false">
      <c r="A2416" s="1" t="s">
        <v>791</v>
      </c>
      <c r="B2416" s="1" t="n">
        <v>336.7</v>
      </c>
      <c r="C2416" s="1" t="n">
        <f aca="false">1/B2416</f>
        <v>0.00297000297000297</v>
      </c>
      <c r="D2416" s="1" t="n">
        <v>0.37951</v>
      </c>
      <c r="E2416" s="1" t="n">
        <f aca="false">LN(D2416)</f>
        <v>-0.968874332032487</v>
      </c>
    </row>
    <row r="2417" customFormat="false" ht="15.75" hidden="false" customHeight="false" outlineLevel="0" collapsed="false">
      <c r="A2417" s="1" t="s">
        <v>791</v>
      </c>
      <c r="B2417" s="1" t="n">
        <v>337.44</v>
      </c>
      <c r="C2417" s="1" t="n">
        <f aca="false">1/B2417</f>
        <v>0.00296348980559507</v>
      </c>
      <c r="D2417" s="1" t="n">
        <v>0.37653</v>
      </c>
      <c r="E2417" s="1" t="n">
        <f aca="false">LN(D2417)</f>
        <v>-0.976757553641673</v>
      </c>
    </row>
    <row r="2418" customFormat="false" ht="15.75" hidden="false" customHeight="false" outlineLevel="0" collapsed="false">
      <c r="A2418" s="1" t="s">
        <v>791</v>
      </c>
      <c r="B2418" s="1" t="n">
        <v>338.18</v>
      </c>
      <c r="C2418" s="1" t="n">
        <f aca="false">1/B2418</f>
        <v>0.00295700514518895</v>
      </c>
      <c r="D2418" s="1" t="n">
        <v>0.37359</v>
      </c>
      <c r="E2418" s="1" t="n">
        <f aca="false">LN(D2418)</f>
        <v>-0.98459633958097</v>
      </c>
    </row>
    <row r="2419" customFormat="false" ht="15.75" hidden="false" customHeight="false" outlineLevel="0" collapsed="false">
      <c r="A2419" s="1" t="s">
        <v>791</v>
      </c>
      <c r="B2419" s="1" t="n">
        <v>338.93</v>
      </c>
      <c r="C2419" s="1" t="n">
        <f aca="false">1/B2419</f>
        <v>0.00295046174726345</v>
      </c>
      <c r="D2419" s="1" t="n">
        <v>0.37069</v>
      </c>
      <c r="E2419" s="1" t="n">
        <f aca="false">LN(D2419)</f>
        <v>-0.992389145180677</v>
      </c>
    </row>
    <row r="2420" customFormat="false" ht="15.75" hidden="false" customHeight="false" outlineLevel="0" collapsed="false">
      <c r="A2420" s="1" t="s">
        <v>791</v>
      </c>
      <c r="B2420" s="1" t="n">
        <v>339.67</v>
      </c>
      <c r="C2420" s="1" t="n">
        <f aca="false">1/B2420</f>
        <v>0.0029440339152707</v>
      </c>
      <c r="D2420" s="1" t="n">
        <v>0.36781</v>
      </c>
      <c r="E2420" s="1" t="n">
        <f aca="false">LN(D2420)</f>
        <v>-1.00018877849202</v>
      </c>
    </row>
    <row r="2421" customFormat="false" ht="15.75" hidden="false" customHeight="false" outlineLevel="0" collapsed="false">
      <c r="A2421" s="1" t="s">
        <v>791</v>
      </c>
      <c r="B2421" s="1" t="n">
        <v>340.42</v>
      </c>
      <c r="C2421" s="1" t="n">
        <f aca="false">1/B2421</f>
        <v>0.0029375477351507</v>
      </c>
      <c r="D2421" s="1" t="n">
        <v>0.36497</v>
      </c>
      <c r="E2421" s="1" t="n">
        <f aca="false">LN(D2421)</f>
        <v>-1.0079401205584</v>
      </c>
    </row>
    <row r="2422" customFormat="false" ht="15.75" hidden="false" customHeight="false" outlineLevel="0" collapsed="false">
      <c r="A2422" s="1" t="s">
        <v>791</v>
      </c>
      <c r="B2422" s="1" t="n">
        <v>341.16</v>
      </c>
      <c r="C2422" s="1" t="n">
        <f aca="false">1/B2422</f>
        <v>0.00293117598780631</v>
      </c>
      <c r="D2422" s="1" t="n">
        <v>0.36217</v>
      </c>
      <c r="E2422" s="1" t="n">
        <f aca="false">LN(D2422)</f>
        <v>-1.01564156413049</v>
      </c>
    </row>
    <row r="2423" customFormat="false" ht="15.75" hidden="false" customHeight="false" outlineLevel="0" collapsed="false">
      <c r="A2423" s="1" t="s">
        <v>791</v>
      </c>
      <c r="B2423" s="1" t="n">
        <v>341.9</v>
      </c>
      <c r="C2423" s="1" t="n">
        <f aca="false">1/B2423</f>
        <v>0.00292483182217023</v>
      </c>
      <c r="D2423" s="1" t="n">
        <v>0.35939</v>
      </c>
      <c r="E2423" s="1" t="n">
        <f aca="false">LN(D2423)</f>
        <v>-1.02334712917114</v>
      </c>
    </row>
    <row r="2424" customFormat="false" ht="15.75" hidden="false" customHeight="false" outlineLevel="0" collapsed="false">
      <c r="A2424" s="1" t="s">
        <v>791</v>
      </c>
      <c r="B2424" s="1" t="n">
        <v>342.65</v>
      </c>
      <c r="C2424" s="1" t="n">
        <f aca="false">1/B2424</f>
        <v>0.00291842988472202</v>
      </c>
      <c r="D2424" s="1" t="n">
        <v>0.35665</v>
      </c>
      <c r="E2424" s="1" t="n">
        <f aca="false">LN(D2424)</f>
        <v>-1.03100037025809</v>
      </c>
    </row>
    <row r="2425" customFormat="false" ht="15.75" hidden="false" customHeight="false" outlineLevel="0" collapsed="false">
      <c r="A2425" s="1" t="s">
        <v>791</v>
      </c>
      <c r="B2425" s="1" t="n">
        <v>343.39</v>
      </c>
      <c r="C2425" s="1" t="n">
        <f aca="false">1/B2425</f>
        <v>0.00291214071463933</v>
      </c>
      <c r="D2425" s="1" t="n">
        <v>0.35393</v>
      </c>
      <c r="E2425" s="1" t="n">
        <f aca="false">LN(D2425)</f>
        <v>-1.03865612551451</v>
      </c>
    </row>
    <row r="2426" customFormat="false" ht="15.75" hidden="false" customHeight="false" outlineLevel="0" collapsed="false">
      <c r="A2426" s="1" t="s">
        <v>791</v>
      </c>
      <c r="B2426" s="1" t="n">
        <v>344.14</v>
      </c>
      <c r="C2426" s="1" t="n">
        <f aca="false">1/B2426</f>
        <v>0.00290579415354216</v>
      </c>
      <c r="D2426" s="1" t="n">
        <v>0.35125</v>
      </c>
      <c r="E2426" s="1" t="n">
        <f aca="false">LN(D2426)</f>
        <v>-1.04625705833418</v>
      </c>
    </row>
    <row r="2427" customFormat="false" ht="15.75" hidden="false" customHeight="false" outlineLevel="0" collapsed="false">
      <c r="A2427" s="1" t="s">
        <v>791</v>
      </c>
      <c r="B2427" s="1" t="n">
        <v>344.88</v>
      </c>
      <c r="C2427" s="1" t="n">
        <f aca="false">1/B2427</f>
        <v>0.00289955926699142</v>
      </c>
      <c r="D2427" s="1" t="n">
        <v>0.34859</v>
      </c>
      <c r="E2427" s="1" t="n">
        <f aca="false">LN(D2427)</f>
        <v>-1.05385883248094</v>
      </c>
    </row>
    <row r="2428" customFormat="false" ht="15.75" hidden="false" customHeight="false" outlineLevel="0" collapsed="false">
      <c r="A2428" s="1" t="s">
        <v>791</v>
      </c>
      <c r="B2428" s="1" t="n">
        <v>345.62</v>
      </c>
      <c r="C2428" s="1" t="n">
        <f aca="false">1/B2428</f>
        <v>0.00289335107921995</v>
      </c>
      <c r="D2428" s="1" t="n">
        <v>0.34597</v>
      </c>
      <c r="E2428" s="1" t="n">
        <f aca="false">LN(D2428)</f>
        <v>-1.06140321288584</v>
      </c>
    </row>
    <row r="2429" customFormat="false" ht="15.75" hidden="false" customHeight="false" outlineLevel="0" collapsed="false">
      <c r="A2429" s="1" t="s">
        <v>791</v>
      </c>
      <c r="B2429" s="1" t="n">
        <v>346.37</v>
      </c>
      <c r="C2429" s="1" t="n">
        <f aca="false">1/B2429</f>
        <v>0.00288708606403557</v>
      </c>
      <c r="D2429" s="1" t="n">
        <v>0.34337</v>
      </c>
      <c r="E2429" s="1" t="n">
        <f aca="false">LN(D2429)</f>
        <v>-1.06894669601236</v>
      </c>
    </row>
    <row r="2430" customFormat="false" ht="15.75" hidden="false" customHeight="false" outlineLevel="0" collapsed="false">
      <c r="A2430" s="1" t="s">
        <v>791</v>
      </c>
      <c r="B2430" s="1" t="n">
        <v>347.11</v>
      </c>
      <c r="C2430" s="1" t="n">
        <f aca="false">1/B2430</f>
        <v>0.00288093111693699</v>
      </c>
      <c r="D2430" s="1" t="n">
        <v>0.3408</v>
      </c>
      <c r="E2430" s="1" t="n">
        <f aca="false">LN(D2430)</f>
        <v>-1.07645948402698</v>
      </c>
    </row>
    <row r="2431" customFormat="false" ht="15.75" hidden="false" customHeight="false" outlineLevel="0" collapsed="false">
      <c r="A2431" s="1" t="s">
        <v>791</v>
      </c>
      <c r="B2431" s="1" t="n">
        <v>347.85</v>
      </c>
      <c r="C2431" s="1" t="n">
        <f aca="false">1/B2431</f>
        <v>0.00287480235733793</v>
      </c>
      <c r="D2431" s="1" t="n">
        <v>0.33826</v>
      </c>
      <c r="E2431" s="1" t="n">
        <f aca="false">LN(D2431)</f>
        <v>-1.08394044843624</v>
      </c>
    </row>
    <row r="2432" customFormat="false" ht="15.75" hidden="false" customHeight="false" outlineLevel="0" collapsed="false">
      <c r="A2432" s="1" t="s">
        <v>791</v>
      </c>
      <c r="B2432" s="1" t="n">
        <v>348.6</v>
      </c>
      <c r="C2432" s="1" t="n">
        <f aca="false">1/B2432</f>
        <v>0.00286861732644865</v>
      </c>
      <c r="D2432" s="1" t="n">
        <v>0.33575</v>
      </c>
      <c r="E2432" s="1" t="n">
        <f aca="false">LN(D2432)</f>
        <v>-1.09138844357879</v>
      </c>
    </row>
    <row r="2433" customFormat="false" ht="15.75" hidden="false" customHeight="false" outlineLevel="0" collapsed="false">
      <c r="A2433" s="1" t="s">
        <v>791</v>
      </c>
      <c r="B2433" s="1" t="n">
        <v>349.34</v>
      </c>
      <c r="C2433" s="1" t="n">
        <f aca="false">1/B2433</f>
        <v>0.00286254079120627</v>
      </c>
      <c r="D2433" s="1" t="n">
        <v>0.33327</v>
      </c>
      <c r="E2433" s="1" t="n">
        <f aca="false">LN(D2433)</f>
        <v>-1.0988023067204</v>
      </c>
    </row>
    <row r="2434" customFormat="false" ht="15.75" hidden="false" customHeight="false" outlineLevel="0" collapsed="false">
      <c r="A2434" s="1" t="s">
        <v>791</v>
      </c>
      <c r="B2434" s="1" t="n">
        <v>350.09</v>
      </c>
      <c r="C2434" s="1" t="n">
        <f aca="false">1/B2434</f>
        <v>0.00285640835213802</v>
      </c>
      <c r="D2434" s="1" t="n">
        <v>0.33081</v>
      </c>
      <c r="E2434" s="1" t="n">
        <f aca="false">LN(D2434)</f>
        <v>-1.10621108654344</v>
      </c>
    </row>
    <row r="2435" customFormat="false" ht="15.75" hidden="false" customHeight="false" outlineLevel="0" collapsed="false">
      <c r="A2435" s="1" t="s">
        <v>791</v>
      </c>
      <c r="B2435" s="1" t="n">
        <v>350.83</v>
      </c>
      <c r="C2435" s="1" t="n">
        <f aca="false">1/B2435</f>
        <v>0.00285038337656415</v>
      </c>
      <c r="D2435" s="1" t="n">
        <v>0.32837</v>
      </c>
      <c r="E2435" s="1" t="n">
        <f aca="false">LN(D2435)</f>
        <v>-1.11361425758646</v>
      </c>
    </row>
    <row r="2436" customFormat="false" ht="15.75" hidden="false" customHeight="false" outlineLevel="0" collapsed="false">
      <c r="A2436" s="1" t="s">
        <v>791</v>
      </c>
      <c r="B2436" s="1" t="n">
        <v>351.57</v>
      </c>
      <c r="C2436" s="1" t="n">
        <f aca="false">1/B2436</f>
        <v>0.00284438376425747</v>
      </c>
      <c r="D2436" s="1" t="n">
        <v>0.32596</v>
      </c>
      <c r="E2436" s="1" t="n">
        <f aca="false">LN(D2436)</f>
        <v>-1.12098060453012</v>
      </c>
    </row>
    <row r="2437" customFormat="false" ht="15.75" hidden="false" customHeight="false" outlineLevel="0" collapsed="false">
      <c r="A2437" s="1" t="s">
        <v>791</v>
      </c>
      <c r="B2437" s="1" t="n">
        <v>352.32</v>
      </c>
      <c r="C2437" s="1" t="n">
        <f aca="false">1/B2437</f>
        <v>0.00283832879200727</v>
      </c>
      <c r="D2437" s="1" t="n">
        <v>0.32358</v>
      </c>
      <c r="E2437" s="1" t="n">
        <f aca="false">LN(D2437)</f>
        <v>-1.12830890040495</v>
      </c>
    </row>
    <row r="2438" customFormat="false" ht="15.75" hidden="false" customHeight="false" outlineLevel="0" collapsed="false">
      <c r="A2438" s="1" t="s">
        <v>791</v>
      </c>
      <c r="B2438" s="1" t="n">
        <v>352.79</v>
      </c>
      <c r="C2438" s="1" t="n">
        <f aca="false">1/B2438</f>
        <v>0.00283454746449729</v>
      </c>
      <c r="D2438" s="1" t="n">
        <v>0.32208</v>
      </c>
      <c r="E2438" s="1" t="n">
        <f aca="false">LN(D2438)</f>
        <v>-1.13295531709066</v>
      </c>
    </row>
    <row r="2439" customFormat="false" ht="15.75" hidden="false" customHeight="false" outlineLevel="0" collapsed="false">
      <c r="A2439" s="1" t="s">
        <v>793</v>
      </c>
      <c r="B2439" s="1" t="n">
        <v>292.85</v>
      </c>
      <c r="C2439" s="1" t="n">
        <f aca="false">1/B2439</f>
        <v>0.00341471743213249</v>
      </c>
      <c r="D2439" s="1" t="n">
        <v>1.471</v>
      </c>
      <c r="E2439" s="1" t="n">
        <f aca="false">LN(D2439)</f>
        <v>0.3859424416193</v>
      </c>
    </row>
    <row r="2440" customFormat="false" ht="15.75" hidden="false" customHeight="false" outlineLevel="0" collapsed="false">
      <c r="A2440" s="1" t="s">
        <v>793</v>
      </c>
      <c r="B2440" s="1" t="n">
        <v>348.15</v>
      </c>
      <c r="C2440" s="1" t="n">
        <f aca="false">1/B2440</f>
        <v>0.00287232514720666</v>
      </c>
      <c r="D2440" s="1" t="n">
        <v>0.7</v>
      </c>
      <c r="E2440" s="1" t="n">
        <f aca="false">LN(D2440)</f>
        <v>-0.356674943938732</v>
      </c>
    </row>
    <row r="2441" customFormat="false" ht="15.75" hidden="false" customHeight="false" outlineLevel="0" collapsed="false">
      <c r="A2441" s="1" t="s">
        <v>793</v>
      </c>
      <c r="B2441" s="1" t="n">
        <v>373.85</v>
      </c>
      <c r="C2441" s="1" t="n">
        <f aca="false">1/B2441</f>
        <v>0.00267486960010699</v>
      </c>
      <c r="D2441" s="1" t="n">
        <v>0.544</v>
      </c>
      <c r="E2441" s="1" t="n">
        <f aca="false">LN(D2441)</f>
        <v>-0.608806032126194</v>
      </c>
    </row>
    <row r="2442" customFormat="false" ht="15.75" hidden="false" customHeight="false" outlineLevel="0" collapsed="false">
      <c r="A2442" s="1" t="s">
        <v>793</v>
      </c>
      <c r="B2442" s="1" t="n">
        <v>393.15</v>
      </c>
      <c r="C2442" s="1" t="n">
        <f aca="false">1/B2442</f>
        <v>0.00254355843825512</v>
      </c>
      <c r="D2442" s="1" t="n">
        <v>0.4626</v>
      </c>
      <c r="E2442" s="1" t="n">
        <f aca="false">LN(D2442)</f>
        <v>-0.770892529184798</v>
      </c>
    </row>
    <row r="2443" customFormat="false" ht="15.75" hidden="false" customHeight="false" outlineLevel="0" collapsed="false">
      <c r="A2443" s="1" t="s">
        <v>793</v>
      </c>
      <c r="B2443" s="1" t="n">
        <v>413.05</v>
      </c>
      <c r="C2443" s="1" t="n">
        <f aca="false">1/B2443</f>
        <v>0.00242101440503571</v>
      </c>
      <c r="D2443" s="1" t="n">
        <v>0.3961</v>
      </c>
      <c r="E2443" s="1" t="n">
        <f aca="false">LN(D2443)</f>
        <v>-0.926088574354266</v>
      </c>
    </row>
    <row r="2444" customFormat="false" ht="15.75" hidden="false" customHeight="false" outlineLevel="0" collapsed="false">
      <c r="A2444" s="1" t="s">
        <v>793</v>
      </c>
      <c r="B2444" s="1" t="n">
        <v>433.55</v>
      </c>
      <c r="C2444" s="1" t="n">
        <f aca="false">1/B2444</f>
        <v>0.00230653903817322</v>
      </c>
      <c r="D2444" s="1" t="n">
        <v>0.3487</v>
      </c>
      <c r="E2444" s="1" t="n">
        <f aca="false">LN(D2444)</f>
        <v>-1.05354332530053</v>
      </c>
    </row>
    <row r="2445" customFormat="false" ht="15.75" hidden="false" customHeight="false" outlineLevel="0" collapsed="false">
      <c r="A2445" s="1" t="s">
        <v>793</v>
      </c>
      <c r="B2445" s="1" t="n">
        <v>293.15</v>
      </c>
      <c r="C2445" s="1" t="n">
        <f aca="false">1/B2445</f>
        <v>0.00341122292341805</v>
      </c>
      <c r="D2445" s="1" t="n">
        <v>1.3817</v>
      </c>
      <c r="E2445" s="1" t="n">
        <f aca="false">LN(D2445)</f>
        <v>0.323314625080487</v>
      </c>
    </row>
    <row r="2446" customFormat="false" ht="15.75" hidden="false" customHeight="false" outlineLevel="0" collapsed="false">
      <c r="A2446" s="1" t="s">
        <v>793</v>
      </c>
      <c r="B2446" s="1" t="n">
        <v>453.85</v>
      </c>
      <c r="C2446" s="1" t="n">
        <f aca="false">1/B2446</f>
        <v>0.00220337115787154</v>
      </c>
      <c r="D2446" s="1" t="n">
        <v>0.3023</v>
      </c>
      <c r="E2446" s="1" t="n">
        <f aca="false">LN(D2446)</f>
        <v>-1.19633537719672</v>
      </c>
    </row>
    <row r="2447" customFormat="false" ht="15.75" hidden="false" customHeight="false" outlineLevel="0" collapsed="false">
      <c r="A2447" s="1" t="s">
        <v>793</v>
      </c>
      <c r="B2447" s="1" t="n">
        <v>463.65</v>
      </c>
      <c r="C2447" s="1" t="n">
        <f aca="false">1/B2447</f>
        <v>0.00215679930982422</v>
      </c>
      <c r="D2447" s="1" t="n">
        <v>0.285</v>
      </c>
      <c r="E2447" s="1" t="n">
        <f aca="false">LN(D2447)</f>
        <v>-1.25526609871349</v>
      </c>
    </row>
    <row r="2448" customFormat="false" ht="15.75" hidden="false" customHeight="false" outlineLevel="0" collapsed="false">
      <c r="A2448" s="1" t="s">
        <v>793</v>
      </c>
      <c r="B2448" s="1" t="n">
        <v>273.15</v>
      </c>
      <c r="C2448" s="1" t="n">
        <f aca="false">1/B2448</f>
        <v>0.00366099212886692</v>
      </c>
      <c r="D2448" s="1" t="n">
        <v>1.957</v>
      </c>
      <c r="E2448" s="1" t="n">
        <f aca="false">LN(D2448)</f>
        <v>0.671412688413939</v>
      </c>
    </row>
    <row r="2449" customFormat="false" ht="15.75" hidden="false" customHeight="false" outlineLevel="0" collapsed="false">
      <c r="A2449" s="1" t="s">
        <v>793</v>
      </c>
      <c r="B2449" s="1" t="n">
        <v>293.15</v>
      </c>
      <c r="C2449" s="1" t="n">
        <f aca="false">1/B2449</f>
        <v>0.00341122292341805</v>
      </c>
      <c r="D2449" s="1" t="n">
        <v>1.3298</v>
      </c>
      <c r="E2449" s="1" t="n">
        <f aca="false">LN(D2449)</f>
        <v>0.285028554986218</v>
      </c>
    </row>
    <row r="2450" customFormat="false" ht="15.75" hidden="false" customHeight="false" outlineLevel="0" collapsed="false">
      <c r="A2450" s="1" t="s">
        <v>793</v>
      </c>
      <c r="B2450" s="1" t="n">
        <v>303.15</v>
      </c>
      <c r="C2450" s="1" t="n">
        <f aca="false">1/B2450</f>
        <v>0.0032986970146792</v>
      </c>
      <c r="D2450" s="1" t="n">
        <v>1.1331</v>
      </c>
      <c r="E2450" s="1" t="n">
        <f aca="false">LN(D2450)</f>
        <v>0.124957239404384</v>
      </c>
    </row>
    <row r="2451" customFormat="false" ht="15.75" hidden="false" customHeight="false" outlineLevel="0" collapsed="false">
      <c r="A2451" s="1" t="s">
        <v>793</v>
      </c>
      <c r="B2451" s="1" t="n">
        <v>313.15</v>
      </c>
      <c r="C2451" s="1" t="n">
        <f aca="false">1/B2451</f>
        <v>0.00319335781574325</v>
      </c>
      <c r="D2451" s="1" t="n">
        <v>0.9838</v>
      </c>
      <c r="E2451" s="1" t="n">
        <f aca="false">LN(D2451)</f>
        <v>-0.0163326546208976</v>
      </c>
    </row>
    <row r="2452" customFormat="false" ht="15.75" hidden="false" customHeight="false" outlineLevel="0" collapsed="false">
      <c r="A2452" s="1" t="s">
        <v>793</v>
      </c>
      <c r="B2452" s="1" t="n">
        <v>298.15</v>
      </c>
      <c r="C2452" s="1" t="n">
        <f aca="false">1/B2452</f>
        <v>0.00335401643468053</v>
      </c>
      <c r="D2452" s="1" t="n">
        <v>1.2815</v>
      </c>
      <c r="E2452" s="1" t="n">
        <f aca="false">LN(D2452)</f>
        <v>0.248031266821989</v>
      </c>
    </row>
    <row r="2453" customFormat="false" ht="15.75" hidden="false" customHeight="false" outlineLevel="0" collapsed="false">
      <c r="A2453" s="1" t="s">
        <v>793</v>
      </c>
      <c r="B2453" s="1" t="n">
        <v>323.15</v>
      </c>
      <c r="C2453" s="1" t="n">
        <f aca="false">1/B2453</f>
        <v>0.00309453814018258</v>
      </c>
      <c r="D2453" s="1" t="n">
        <v>0.8639</v>
      </c>
      <c r="E2453" s="1" t="n">
        <f aca="false">LN(D2453)</f>
        <v>-0.146298257617299</v>
      </c>
    </row>
    <row r="2454" customFormat="false" ht="15.75" hidden="false" customHeight="false" outlineLevel="0" collapsed="false">
      <c r="A2454" s="1" t="s">
        <v>793</v>
      </c>
      <c r="B2454" s="1" t="n">
        <v>333.15</v>
      </c>
      <c r="C2454" s="1" t="n">
        <f aca="false">1/B2454</f>
        <v>0.0030016509079994</v>
      </c>
      <c r="D2454" s="1" t="n">
        <v>0.7673</v>
      </c>
      <c r="E2454" s="1" t="n">
        <f aca="false">LN(D2454)</f>
        <v>-0.264877419798518</v>
      </c>
    </row>
    <row r="2455" customFormat="false" ht="15.75" hidden="false" customHeight="false" outlineLevel="0" collapsed="false">
      <c r="A2455" s="1" t="s">
        <v>793</v>
      </c>
      <c r="B2455" s="1" t="n">
        <v>343.15</v>
      </c>
      <c r="C2455" s="1" t="n">
        <f aca="false">1/B2455</f>
        <v>0.00291417747340813</v>
      </c>
      <c r="D2455" s="1" t="n">
        <v>0.6876</v>
      </c>
      <c r="E2455" s="1" t="n">
        <f aca="false">LN(D2455)</f>
        <v>-0.374548005473443</v>
      </c>
    </row>
    <row r="2456" customFormat="false" ht="15.75" hidden="false" customHeight="false" outlineLevel="0" collapsed="false">
      <c r="A2456" s="1" t="s">
        <v>793</v>
      </c>
      <c r="B2456" s="1" t="n">
        <v>353.15</v>
      </c>
      <c r="C2456" s="1" t="n">
        <f aca="false">1/B2456</f>
        <v>0.00283165793572137</v>
      </c>
      <c r="D2456" s="1" t="n">
        <v>0.6227</v>
      </c>
      <c r="E2456" s="1" t="n">
        <f aca="false">LN(D2456)</f>
        <v>-0.473690417103731</v>
      </c>
    </row>
    <row r="2457" customFormat="false" ht="15.75" hidden="false" customHeight="false" outlineLevel="0" collapsed="false">
      <c r="A2457" s="1" t="s">
        <v>793</v>
      </c>
      <c r="B2457" s="1" t="n">
        <v>373.15</v>
      </c>
      <c r="C2457" s="1" t="n">
        <f aca="false">1/B2457</f>
        <v>0.00267988744472732</v>
      </c>
      <c r="D2457" s="1" t="n">
        <v>0.5137</v>
      </c>
      <c r="E2457" s="1" t="n">
        <f aca="false">LN(D2457)</f>
        <v>-0.666115841508915</v>
      </c>
    </row>
    <row r="2458" customFormat="false" ht="15.75" hidden="false" customHeight="false" outlineLevel="0" collapsed="false">
      <c r="A2458" s="1" t="s">
        <v>793</v>
      </c>
      <c r="B2458" s="1" t="n">
        <v>288.15177</v>
      </c>
      <c r="C2458" s="1" t="n">
        <f aca="false">1/B2458</f>
        <v>0.00347039339720176</v>
      </c>
      <c r="D2458" s="1" t="n">
        <v>1.4915</v>
      </c>
      <c r="E2458" s="1" t="n">
        <f aca="false">LN(D2458)</f>
        <v>0.399782324972666</v>
      </c>
    </row>
    <row r="2459" customFormat="false" ht="15.75" hidden="false" customHeight="false" outlineLevel="0" collapsed="false">
      <c r="A2459" s="1" t="s">
        <v>795</v>
      </c>
      <c r="B2459" s="1" t="n">
        <v>288.1583</v>
      </c>
      <c r="C2459" s="1" t="n">
        <f aca="false">1/B2459</f>
        <v>0.00347031475407788</v>
      </c>
      <c r="D2459" s="1" t="n">
        <v>7.76</v>
      </c>
      <c r="E2459" s="1" t="n">
        <f aca="false">LN(D2459)</f>
        <v>2.04898233419513</v>
      </c>
    </row>
    <row r="2460" customFormat="false" ht="15.75" hidden="false" customHeight="false" outlineLevel="0" collapsed="false">
      <c r="A2460" s="1" t="s">
        <v>795</v>
      </c>
      <c r="B2460" s="1" t="n">
        <v>303.15</v>
      </c>
      <c r="C2460" s="1" t="n">
        <f aca="false">1/B2460</f>
        <v>0.0032986970146792</v>
      </c>
      <c r="D2460" s="1" t="n">
        <v>4.65</v>
      </c>
      <c r="E2460" s="1" t="n">
        <f aca="false">LN(D2460)</f>
        <v>1.53686721959927</v>
      </c>
    </row>
    <row r="2461" customFormat="false" ht="15.75" hidden="false" customHeight="false" outlineLevel="0" collapsed="false">
      <c r="A2461" s="1" t="s">
        <v>795</v>
      </c>
      <c r="B2461" s="1" t="n">
        <v>321.751</v>
      </c>
      <c r="C2461" s="1" t="n">
        <f aca="false">1/B2461</f>
        <v>0.00310799344834981</v>
      </c>
      <c r="D2461" s="1" t="n">
        <v>2.836</v>
      </c>
      <c r="E2461" s="1" t="n">
        <f aca="false">LN(D2461)</f>
        <v>1.04239460866988</v>
      </c>
    </row>
    <row r="2462" customFormat="false" ht="15.75" hidden="false" customHeight="false" outlineLevel="0" collapsed="false">
      <c r="A2462" s="1" t="s">
        <v>795</v>
      </c>
      <c r="B2462" s="1" t="n">
        <v>341.05</v>
      </c>
      <c r="C2462" s="1" t="n">
        <f aca="false">1/B2462</f>
        <v>0.00293212138982554</v>
      </c>
      <c r="D2462" s="1" t="n">
        <v>1.845</v>
      </c>
      <c r="E2462" s="1" t="n">
        <f aca="false">LN(D2462)</f>
        <v>0.612479277492491</v>
      </c>
    </row>
    <row r="2463" customFormat="false" ht="15.75" hidden="false" customHeight="false" outlineLevel="0" collapsed="false">
      <c r="A2463" s="1" t="s">
        <v>795</v>
      </c>
      <c r="B2463" s="1" t="n">
        <v>360.85</v>
      </c>
      <c r="C2463" s="1" t="n">
        <f aca="false">1/B2463</f>
        <v>0.00277123458500762</v>
      </c>
      <c r="D2463" s="1" t="n">
        <v>1.284</v>
      </c>
      <c r="E2463" s="1" t="n">
        <f aca="false">LN(D2463)</f>
        <v>0.249980205267769</v>
      </c>
    </row>
    <row r="2464" customFormat="false" ht="15.75" hidden="false" customHeight="false" outlineLevel="0" collapsed="false">
      <c r="A2464" s="1" t="s">
        <v>795</v>
      </c>
      <c r="B2464" s="1" t="n">
        <v>380.35</v>
      </c>
      <c r="C2464" s="1" t="n">
        <f aca="false">1/B2464</f>
        <v>0.0026291573550677</v>
      </c>
      <c r="D2464" s="1" t="n">
        <v>0.946</v>
      </c>
      <c r="E2464" s="1" t="n">
        <f aca="false">LN(D2464)</f>
        <v>-0.0555127099302588</v>
      </c>
    </row>
    <row r="2465" customFormat="false" ht="15.75" hidden="false" customHeight="false" outlineLevel="0" collapsed="false">
      <c r="A2465" s="1" t="s">
        <v>795</v>
      </c>
      <c r="B2465" s="1" t="n">
        <v>400.75</v>
      </c>
      <c r="C2465" s="1" t="n">
        <f aca="false">1/B2465</f>
        <v>0.00249532127261385</v>
      </c>
      <c r="D2465" s="1" t="n">
        <v>0.7223</v>
      </c>
      <c r="E2465" s="1" t="n">
        <f aca="false">LN(D2465)</f>
        <v>-0.325314713925336</v>
      </c>
    </row>
    <row r="2466" customFormat="false" ht="15.75" hidden="false" customHeight="false" outlineLevel="0" collapsed="false">
      <c r="A2466" s="1" t="s">
        <v>795</v>
      </c>
      <c r="B2466" s="1" t="n">
        <v>421.15</v>
      </c>
      <c r="C2466" s="1" t="n">
        <f aca="false">1/B2466</f>
        <v>0.00237445090822747</v>
      </c>
      <c r="D2466" s="1" t="n">
        <v>0.5721</v>
      </c>
      <c r="E2466" s="1" t="n">
        <f aca="false">LN(D2466)</f>
        <v>-0.558441477707654</v>
      </c>
    </row>
    <row r="2467" customFormat="false" ht="15.75" hidden="false" customHeight="false" outlineLevel="0" collapsed="false">
      <c r="A2467" s="1" t="s">
        <v>795</v>
      </c>
      <c r="B2467" s="1" t="n">
        <v>435.65</v>
      </c>
      <c r="C2467" s="1" t="n">
        <f aca="false">1/B2467</f>
        <v>0.00229542063583152</v>
      </c>
      <c r="D2467" s="1" t="n">
        <v>0.492</v>
      </c>
      <c r="E2467" s="1" t="n">
        <f aca="false">LN(D2467)</f>
        <v>-0.709276562489829</v>
      </c>
    </row>
    <row r="2468" customFormat="false" ht="15.75" hidden="false" customHeight="false" outlineLevel="0" collapsed="false">
      <c r="A2468" s="1" t="s">
        <v>795</v>
      </c>
      <c r="B2468" s="1" t="n">
        <v>451.85</v>
      </c>
      <c r="C2468" s="1" t="n">
        <f aca="false">1/B2468</f>
        <v>0.00221312382427797</v>
      </c>
      <c r="D2468" s="1" t="n">
        <v>0.4207</v>
      </c>
      <c r="E2468" s="1" t="n">
        <f aca="false">LN(D2468)</f>
        <v>-0.865835288385662</v>
      </c>
    </row>
    <row r="2469" customFormat="false" ht="15.75" hidden="false" customHeight="false" outlineLevel="0" collapsed="false">
      <c r="A2469" s="1" t="s">
        <v>795</v>
      </c>
      <c r="B2469" s="1" t="n">
        <v>458.25</v>
      </c>
      <c r="C2469" s="1" t="n">
        <f aca="false">1/B2469</f>
        <v>0.00218221494817239</v>
      </c>
      <c r="D2469" s="1" t="n">
        <v>0.397</v>
      </c>
      <c r="E2469" s="1" t="n">
        <f aca="false">LN(D2469)</f>
        <v>-0.923818998294947</v>
      </c>
    </row>
    <row r="2470" customFormat="false" ht="15.75" hidden="false" customHeight="false" outlineLevel="0" collapsed="false">
      <c r="A2470" s="1" t="s">
        <v>795</v>
      </c>
      <c r="B2470" s="1" t="n">
        <v>466.15</v>
      </c>
      <c r="C2470" s="1" t="n">
        <f aca="false">1/B2470</f>
        <v>0.00214523222138797</v>
      </c>
      <c r="D2470" s="1" t="n">
        <v>0.37</v>
      </c>
      <c r="E2470" s="1" t="n">
        <f aca="false">LN(D2470)</f>
        <v>-0.994252273343867</v>
      </c>
    </row>
    <row r="2471" customFormat="false" ht="15.75" hidden="false" customHeight="false" outlineLevel="0" collapsed="false">
      <c r="A2471" s="1" t="s">
        <v>795</v>
      </c>
      <c r="B2471" s="1" t="n">
        <v>478.15</v>
      </c>
      <c r="C2471" s="1" t="n">
        <f aca="false">1/B2471</f>
        <v>0.00209139391404371</v>
      </c>
      <c r="D2471" s="1" t="n">
        <v>0.334</v>
      </c>
      <c r="E2471" s="1" t="n">
        <f aca="false">LN(D2471)</f>
        <v>-1.09661428600544</v>
      </c>
    </row>
    <row r="2472" customFormat="false" ht="15.75" hidden="false" customHeight="false" outlineLevel="0" collapsed="false">
      <c r="A2472" s="1" t="s">
        <v>797</v>
      </c>
      <c r="B2472" s="1" t="n">
        <v>294.35</v>
      </c>
      <c r="C2472" s="1" t="n">
        <f aca="false">1/B2472</f>
        <v>0.00339731612026499</v>
      </c>
      <c r="D2472" s="1" t="n">
        <v>1.78</v>
      </c>
      <c r="E2472" s="1" t="n">
        <f aca="false">LN(D2472)</f>
        <v>0.576613364303994</v>
      </c>
    </row>
    <row r="2473" customFormat="false" ht="15.75" hidden="false" customHeight="false" outlineLevel="0" collapsed="false">
      <c r="A2473" s="1" t="s">
        <v>797</v>
      </c>
      <c r="B2473" s="1" t="n">
        <v>334.05</v>
      </c>
      <c r="C2473" s="1" t="n">
        <f aca="false">1/B2473</f>
        <v>0.00299356383774884</v>
      </c>
      <c r="D2473" s="1" t="n">
        <v>0.912</v>
      </c>
      <c r="E2473" s="1" t="n">
        <f aca="false">LN(D2473)</f>
        <v>-0.0921152889078056</v>
      </c>
    </row>
    <row r="2474" customFormat="false" ht="15.75" hidden="false" customHeight="false" outlineLevel="0" collapsed="false">
      <c r="A2474" s="1" t="s">
        <v>797</v>
      </c>
      <c r="B2474" s="1" t="n">
        <v>353.85</v>
      </c>
      <c r="C2474" s="1" t="n">
        <f aca="false">1/B2474</f>
        <v>0.00282605623851915</v>
      </c>
      <c r="D2474" s="1" t="n">
        <v>0.714</v>
      </c>
      <c r="E2474" s="1" t="n">
        <f aca="false">LN(D2474)</f>
        <v>-0.336872316642553</v>
      </c>
    </row>
    <row r="2475" customFormat="false" ht="15.75" hidden="false" customHeight="false" outlineLevel="0" collapsed="false">
      <c r="A2475" s="1" t="s">
        <v>797</v>
      </c>
      <c r="B2475" s="1" t="n">
        <v>374.15</v>
      </c>
      <c r="C2475" s="1" t="n">
        <f aca="false">1/B2475</f>
        <v>0.00267272484297742</v>
      </c>
      <c r="D2475" s="1" t="n">
        <v>0.5721</v>
      </c>
      <c r="E2475" s="1" t="n">
        <f aca="false">LN(D2475)</f>
        <v>-0.558441477707654</v>
      </c>
    </row>
    <row r="2476" customFormat="false" ht="15.75" hidden="false" customHeight="false" outlineLevel="0" collapsed="false">
      <c r="A2476" s="1" t="s">
        <v>797</v>
      </c>
      <c r="B2476" s="1" t="n">
        <v>392.15</v>
      </c>
      <c r="C2476" s="1" t="n">
        <f aca="false">1/B2476</f>
        <v>0.00255004462578095</v>
      </c>
      <c r="D2476" s="1" t="n">
        <v>0.4777</v>
      </c>
      <c r="E2476" s="1" t="n">
        <f aca="false">LN(D2476)</f>
        <v>-0.738772358586221</v>
      </c>
    </row>
    <row r="2477" customFormat="false" ht="15.75" hidden="false" customHeight="false" outlineLevel="0" collapsed="false">
      <c r="A2477" s="1" t="s">
        <v>797</v>
      </c>
      <c r="B2477" s="1" t="n">
        <v>414.05</v>
      </c>
      <c r="C2477" s="1" t="n">
        <f aca="false">1/B2477</f>
        <v>0.00241516725033209</v>
      </c>
      <c r="D2477" s="1" t="n">
        <v>0.3935</v>
      </c>
      <c r="E2477" s="1" t="n">
        <f aca="false">LN(D2477)</f>
        <v>-0.932674211124679</v>
      </c>
    </row>
    <row r="2478" customFormat="false" ht="15.75" hidden="false" customHeight="false" outlineLevel="0" collapsed="false">
      <c r="A2478" s="1" t="s">
        <v>797</v>
      </c>
      <c r="B2478" s="1" t="n">
        <v>429.35</v>
      </c>
      <c r="C2478" s="1" t="n">
        <f aca="false">1/B2478</f>
        <v>0.00232910213112845</v>
      </c>
      <c r="D2478" s="1" t="n">
        <v>0.3478</v>
      </c>
      <c r="E2478" s="1" t="n">
        <f aca="false">LN(D2478)</f>
        <v>-1.05612767706195</v>
      </c>
    </row>
    <row r="2479" customFormat="false" ht="15.75" hidden="false" customHeight="false" outlineLevel="0" collapsed="false">
      <c r="A2479" s="1" t="s">
        <v>797</v>
      </c>
      <c r="B2479" s="1" t="n">
        <v>443.15</v>
      </c>
      <c r="C2479" s="1" t="n">
        <f aca="false">1/B2479</f>
        <v>0.00225657226672684</v>
      </c>
      <c r="D2479" s="1" t="n">
        <v>0.3122</v>
      </c>
      <c r="E2479" s="1" t="n">
        <f aca="false">LN(D2479)</f>
        <v>-1.16411127090081</v>
      </c>
    </row>
    <row r="2480" customFormat="false" ht="15.75" hidden="false" customHeight="false" outlineLevel="0" collapsed="false">
      <c r="A2480" s="1" t="s">
        <v>797</v>
      </c>
      <c r="B2480" s="1" t="n">
        <v>451.35</v>
      </c>
      <c r="C2480" s="1" t="n">
        <f aca="false">1/B2480</f>
        <v>0.00221557549573502</v>
      </c>
      <c r="D2480" s="1" t="n">
        <v>0.2948</v>
      </c>
      <c r="E2480" s="1" t="n">
        <f aca="false">LN(D2480)</f>
        <v>-1.22145811866696</v>
      </c>
    </row>
    <row r="2481" customFormat="false" ht="15.75" hidden="false" customHeight="false" outlineLevel="0" collapsed="false">
      <c r="A2481" s="1" t="s">
        <v>797</v>
      </c>
      <c r="B2481" s="1" t="n">
        <v>457.15</v>
      </c>
      <c r="C2481" s="1" t="n">
        <f aca="false">1/B2481</f>
        <v>0.00218746582084655</v>
      </c>
      <c r="D2481" s="1" t="n">
        <v>0.283</v>
      </c>
      <c r="E2481" s="1" t="n">
        <f aca="false">LN(D2481)</f>
        <v>-1.2623083813389</v>
      </c>
    </row>
    <row r="2482" customFormat="false" ht="15.75" hidden="false" customHeight="false" outlineLevel="0" collapsed="false">
      <c r="A2482" s="1" t="s">
        <v>797</v>
      </c>
      <c r="B2482" s="1" t="n">
        <v>298.1584</v>
      </c>
      <c r="C2482" s="1" t="n">
        <f aca="false">1/B2482</f>
        <v>0.00335392194216229</v>
      </c>
      <c r="D2482" s="1" t="n">
        <v>1.59</v>
      </c>
      <c r="E2482" s="1" t="n">
        <f aca="false">LN(D2482)</f>
        <v>0.46373401623214</v>
      </c>
    </row>
    <row r="2483" customFormat="false" ht="15.75" hidden="false" customHeight="false" outlineLevel="0" collapsed="false">
      <c r="A2483" s="1" t="s">
        <v>797</v>
      </c>
      <c r="B2483" s="1" t="n">
        <v>403.15</v>
      </c>
      <c r="C2483" s="1" t="n">
        <f aca="false">1/B2483</f>
        <v>0.0024804663276696</v>
      </c>
      <c r="D2483" s="1" t="n">
        <v>0.442</v>
      </c>
      <c r="E2483" s="1" t="n">
        <f aca="false">LN(D2483)</f>
        <v>-0.816445396904439</v>
      </c>
    </row>
    <row r="2484" customFormat="false" ht="15.75" hidden="false" customHeight="false" outlineLevel="0" collapsed="false">
      <c r="A2484" s="1" t="s">
        <v>799</v>
      </c>
      <c r="B2484" s="1" t="n">
        <v>278.1585</v>
      </c>
      <c r="C2484" s="1" t="n">
        <f aca="false">1/B2484</f>
        <v>0.00359507259350334</v>
      </c>
      <c r="D2484" s="1" t="n">
        <v>19.28</v>
      </c>
      <c r="E2484" s="1" t="n">
        <f aca="false">LN(D2484)</f>
        <v>2.9590682891824</v>
      </c>
    </row>
    <row r="2485" customFormat="false" ht="15.75" hidden="false" customHeight="false" outlineLevel="0" collapsed="false">
      <c r="A2485" s="1" t="s">
        <v>799</v>
      </c>
      <c r="B2485" s="1" t="n">
        <v>288.15</v>
      </c>
      <c r="C2485" s="1" t="n">
        <f aca="false">1/B2485</f>
        <v>0.00347041471455839</v>
      </c>
      <c r="D2485" s="1" t="n">
        <v>12.12</v>
      </c>
      <c r="E2485" s="1" t="n">
        <f aca="false">LN(D2485)</f>
        <v>2.49485698064117</v>
      </c>
    </row>
    <row r="2486" customFormat="false" ht="15.75" hidden="false" customHeight="false" outlineLevel="0" collapsed="false">
      <c r="A2486" s="1" t="s">
        <v>799</v>
      </c>
      <c r="B2486" s="1" t="n">
        <v>298.15</v>
      </c>
      <c r="C2486" s="1" t="n">
        <f aca="false">1/B2486</f>
        <v>0.00335401643468053</v>
      </c>
      <c r="D2486" s="1" t="n">
        <v>8.292</v>
      </c>
      <c r="E2486" s="1" t="n">
        <f aca="false">LN(D2486)</f>
        <v>2.11529119457353</v>
      </c>
    </row>
    <row r="2487" customFormat="false" ht="15.75" hidden="false" customHeight="false" outlineLevel="0" collapsed="false">
      <c r="A2487" s="1" t="s">
        <v>799</v>
      </c>
      <c r="B2487" s="1" t="n">
        <v>313.15</v>
      </c>
      <c r="C2487" s="1" t="n">
        <f aca="false">1/B2487</f>
        <v>0.00319335781574325</v>
      </c>
      <c r="D2487" s="1" t="n">
        <v>5.243</v>
      </c>
      <c r="E2487" s="1" t="n">
        <f aca="false">LN(D2487)</f>
        <v>1.6568938535904</v>
      </c>
    </row>
    <row r="2488" customFormat="false" ht="15.75" hidden="false" customHeight="false" outlineLevel="0" collapsed="false">
      <c r="A2488" s="1" t="s">
        <v>799</v>
      </c>
      <c r="B2488" s="1" t="n">
        <v>333.15</v>
      </c>
      <c r="C2488" s="1" t="n">
        <f aca="false">1/B2488</f>
        <v>0.0030016509079994</v>
      </c>
      <c r="D2488" s="1" t="n">
        <v>3.259</v>
      </c>
      <c r="E2488" s="1" t="n">
        <f aca="false">LN(D2488)</f>
        <v>1.18142039985542</v>
      </c>
    </row>
    <row r="2489" customFormat="false" ht="15.75" hidden="false" customHeight="false" outlineLevel="0" collapsed="false">
      <c r="A2489" s="1" t="s">
        <v>799</v>
      </c>
      <c r="B2489" s="1" t="n">
        <v>353.15</v>
      </c>
      <c r="C2489" s="1" t="n">
        <f aca="false">1/B2489</f>
        <v>0.00283165793572137</v>
      </c>
      <c r="D2489" s="1" t="n">
        <v>2.245</v>
      </c>
      <c r="E2489" s="1" t="n">
        <f aca="false">LN(D2489)</f>
        <v>0.808705521194218</v>
      </c>
    </row>
    <row r="2490" customFormat="false" ht="15.75" hidden="false" customHeight="false" outlineLevel="0" collapsed="false">
      <c r="A2490" s="1" t="s">
        <v>799</v>
      </c>
      <c r="B2490" s="1" t="n">
        <v>363.15</v>
      </c>
      <c r="C2490" s="1" t="n">
        <f aca="false">1/B2490</f>
        <v>0.00275368305108082</v>
      </c>
      <c r="D2490" s="1" t="n">
        <v>1.912</v>
      </c>
      <c r="E2490" s="1" t="n">
        <f aca="false">LN(D2490)</f>
        <v>0.64814981462921</v>
      </c>
    </row>
    <row r="2491" customFormat="false" ht="15.75" hidden="false" customHeight="false" outlineLevel="0" collapsed="false">
      <c r="A2491" s="1" t="s">
        <v>799</v>
      </c>
      <c r="B2491" s="1" t="n">
        <v>373.15</v>
      </c>
      <c r="C2491" s="1" t="n">
        <f aca="false">1/B2491</f>
        <v>0.00267988744472732</v>
      </c>
      <c r="D2491" s="1" t="n">
        <v>1.655</v>
      </c>
      <c r="E2491" s="1" t="n">
        <f aca="false">LN(D2491)</f>
        <v>0.503801008829026</v>
      </c>
    </row>
    <row r="2492" customFormat="false" ht="15.75" hidden="false" customHeight="false" outlineLevel="0" collapsed="false">
      <c r="A2492" s="1" t="s">
        <v>799</v>
      </c>
      <c r="B2492" s="1" t="n">
        <v>298.1586</v>
      </c>
      <c r="C2492" s="1" t="n">
        <f aca="false">1/B2492</f>
        <v>0.00335391969240532</v>
      </c>
      <c r="D2492" s="1" t="n">
        <v>8.4538</v>
      </c>
      <c r="E2492" s="1" t="n">
        <f aca="false">LN(D2492)</f>
        <v>2.13461604442449</v>
      </c>
    </row>
    <row r="2493" customFormat="false" ht="15.75" hidden="false" customHeight="false" outlineLevel="0" collapsed="false">
      <c r="A2493" s="1" t="s">
        <v>799</v>
      </c>
      <c r="B2493" s="1" t="n">
        <v>298.1587</v>
      </c>
      <c r="C2493" s="1" t="n">
        <f aca="false">1/B2493</f>
        <v>0.00335391856752796</v>
      </c>
      <c r="D2493" s="1" t="n">
        <v>8.5143</v>
      </c>
      <c r="E2493" s="1" t="n">
        <f aca="false">LN(D2493)</f>
        <v>2.14174710286693</v>
      </c>
    </row>
    <row r="2494" customFormat="false" ht="15.75" hidden="false" customHeight="false" outlineLevel="0" collapsed="false">
      <c r="A2494" s="1" t="s">
        <v>1441</v>
      </c>
      <c r="B2494" s="1" t="n">
        <v>288.15</v>
      </c>
      <c r="C2494" s="1" t="n">
        <f aca="false">1/B2494</f>
        <v>0.00347041471455839</v>
      </c>
      <c r="D2494" s="1" t="n">
        <v>1.501</v>
      </c>
      <c r="E2494" s="1" t="n">
        <f aca="false">LN(D2494)</f>
        <v>0.406131552651325</v>
      </c>
    </row>
    <row r="2495" customFormat="false" ht="15.75" hidden="false" customHeight="false" outlineLevel="0" collapsed="false">
      <c r="A2495" s="1" t="s">
        <v>1441</v>
      </c>
      <c r="B2495" s="1" t="n">
        <v>298.15</v>
      </c>
      <c r="C2495" s="1" t="n">
        <f aca="false">1/B2495</f>
        <v>0.00335401643468053</v>
      </c>
      <c r="D2495" s="1" t="n">
        <v>1.28</v>
      </c>
      <c r="E2495" s="1" t="n">
        <f aca="false">LN(D2495)</f>
        <v>0.246860077931526</v>
      </c>
    </row>
    <row r="2496" customFormat="false" ht="15.75" hidden="false" customHeight="false" outlineLevel="0" collapsed="false">
      <c r="A2496" s="1" t="s">
        <v>1441</v>
      </c>
      <c r="B2496" s="1" t="n">
        <v>303.15</v>
      </c>
      <c r="C2496" s="1" t="n">
        <f aca="false">1/B2496</f>
        <v>0.0032986970146792</v>
      </c>
      <c r="D2496" s="1" t="n">
        <v>1.175</v>
      </c>
      <c r="E2496" s="1" t="n">
        <f aca="false">LN(D2496)</f>
        <v>0.161268147596122</v>
      </c>
    </row>
    <row r="2497" customFormat="false" ht="15.75" hidden="false" customHeight="false" outlineLevel="0" collapsed="false">
      <c r="A2497" s="1" t="s">
        <v>1441</v>
      </c>
      <c r="B2497" s="1" t="n">
        <v>308.15</v>
      </c>
      <c r="C2497" s="1" t="n">
        <f aca="false">1/B2497</f>
        <v>0.00324517280545189</v>
      </c>
      <c r="D2497" s="1" t="n">
        <v>1.099</v>
      </c>
      <c r="E2497" s="1" t="n">
        <f aca="false">LN(D2497)</f>
        <v>0.0944006754214843</v>
      </c>
    </row>
    <row r="2498" customFormat="false" ht="15.75" hidden="false" customHeight="false" outlineLevel="0" collapsed="false">
      <c r="A2498" s="1" t="s">
        <v>801</v>
      </c>
      <c r="B2498" s="1" t="n">
        <v>293.1526</v>
      </c>
      <c r="C2498" s="1" t="n">
        <f aca="false">1/B2498</f>
        <v>0.00341119266893761</v>
      </c>
      <c r="D2498" s="1" t="n">
        <v>2.161</v>
      </c>
      <c r="E2498" s="1" t="n">
        <f aca="false">LN(D2498)</f>
        <v>0.770571077524749</v>
      </c>
    </row>
    <row r="2499" customFormat="false" ht="15.75" hidden="false" customHeight="false" outlineLevel="0" collapsed="false">
      <c r="A2499" s="1" t="s">
        <v>801</v>
      </c>
      <c r="B2499" s="1" t="n">
        <v>303.15</v>
      </c>
      <c r="C2499" s="1" t="n">
        <f aca="false">1/B2499</f>
        <v>0.0032986970146792</v>
      </c>
      <c r="D2499" s="1" t="n">
        <v>1.779</v>
      </c>
      <c r="E2499" s="1" t="n">
        <f aca="false">LN(D2499)</f>
        <v>0.576051408683698</v>
      </c>
    </row>
    <row r="2500" customFormat="false" ht="15.75" hidden="false" customHeight="false" outlineLevel="0" collapsed="false">
      <c r="A2500" s="1" t="s">
        <v>801</v>
      </c>
      <c r="B2500" s="1" t="n">
        <v>313.15</v>
      </c>
      <c r="C2500" s="1" t="n">
        <f aca="false">1/B2500</f>
        <v>0.00319335781574325</v>
      </c>
      <c r="D2500" s="1" t="n">
        <v>1.505</v>
      </c>
      <c r="E2500" s="1" t="n">
        <f aca="false">LN(D2500)</f>
        <v>0.408792898200839</v>
      </c>
    </row>
    <row r="2501" customFormat="false" ht="15.75" hidden="false" customHeight="false" outlineLevel="0" collapsed="false">
      <c r="A2501" s="1" t="s">
        <v>801</v>
      </c>
      <c r="B2501" s="1" t="n">
        <v>323.15</v>
      </c>
      <c r="C2501" s="1" t="n">
        <f aca="false">1/B2501</f>
        <v>0.00309453814018258</v>
      </c>
      <c r="D2501" s="1" t="n">
        <v>1.293</v>
      </c>
      <c r="E2501" s="1" t="n">
        <f aca="false">LN(D2501)</f>
        <v>0.25696509978972</v>
      </c>
    </row>
    <row r="2502" customFormat="false" ht="15.75" hidden="false" customHeight="false" outlineLevel="0" collapsed="false">
      <c r="A2502" s="1" t="s">
        <v>801</v>
      </c>
      <c r="B2502" s="1" t="n">
        <v>333.15</v>
      </c>
      <c r="C2502" s="1" t="n">
        <f aca="false">1/B2502</f>
        <v>0.0030016509079994</v>
      </c>
      <c r="D2502" s="1" t="n">
        <v>1.125</v>
      </c>
      <c r="E2502" s="1" t="n">
        <f aca="false">LN(D2502)</f>
        <v>0.117783035656383</v>
      </c>
    </row>
    <row r="2503" customFormat="false" ht="15.75" hidden="false" customHeight="false" outlineLevel="0" collapsed="false">
      <c r="A2503" s="1" t="s">
        <v>801</v>
      </c>
      <c r="B2503" s="1" t="n">
        <v>353.15</v>
      </c>
      <c r="C2503" s="1" t="n">
        <f aca="false">1/B2503</f>
        <v>0.00283165793572137</v>
      </c>
      <c r="D2503" s="1" t="n">
        <v>0.88</v>
      </c>
      <c r="E2503" s="1" t="n">
        <f aca="false">LN(D2503)</f>
        <v>-0.127833371509885</v>
      </c>
    </row>
    <row r="2504" customFormat="false" ht="15.75" hidden="false" customHeight="false" outlineLevel="0" collapsed="false">
      <c r="A2504" s="1" t="s">
        <v>801</v>
      </c>
      <c r="B2504" s="1" t="n">
        <v>373.15</v>
      </c>
      <c r="C2504" s="1" t="n">
        <f aca="false">1/B2504</f>
        <v>0.00267988744472732</v>
      </c>
      <c r="D2504" s="1" t="n">
        <v>0.712</v>
      </c>
      <c r="E2504" s="1" t="n">
        <f aca="false">LN(D2504)</f>
        <v>-0.339677367570161</v>
      </c>
    </row>
    <row r="2505" customFormat="false" ht="15.75" hidden="false" customHeight="false" outlineLevel="0" collapsed="false">
      <c r="A2505" s="1" t="s">
        <v>801</v>
      </c>
      <c r="B2505" s="1" t="n">
        <v>393.15</v>
      </c>
      <c r="C2505" s="1" t="n">
        <f aca="false">1/B2505</f>
        <v>0.00254355843825512</v>
      </c>
      <c r="D2505" s="1" t="n">
        <v>0.586</v>
      </c>
      <c r="E2505" s="1" t="n">
        <f aca="false">LN(D2505)</f>
        <v>-0.534435489405124</v>
      </c>
    </row>
    <row r="2506" customFormat="false" ht="15.75" hidden="false" customHeight="false" outlineLevel="0" collapsed="false">
      <c r="A2506" s="1" t="s">
        <v>801</v>
      </c>
      <c r="B2506" s="1" t="n">
        <v>413.15</v>
      </c>
      <c r="C2506" s="1" t="n">
        <f aca="false">1/B2506</f>
        <v>0.0024204284158296</v>
      </c>
      <c r="D2506" s="1" t="n">
        <v>0.512</v>
      </c>
      <c r="E2506" s="1" t="n">
        <f aca="false">LN(D2506)</f>
        <v>-0.669430653942629</v>
      </c>
    </row>
    <row r="2507" customFormat="false" ht="15.75" hidden="false" customHeight="false" outlineLevel="0" collapsed="false">
      <c r="A2507" s="1" t="s">
        <v>801</v>
      </c>
      <c r="B2507" s="1" t="n">
        <v>291.3565</v>
      </c>
      <c r="C2507" s="1" t="n">
        <f aca="false">1/B2507</f>
        <v>0.00343222135081936</v>
      </c>
      <c r="D2507" s="1" t="n">
        <v>2.325</v>
      </c>
      <c r="E2507" s="1" t="n">
        <f aca="false">LN(D2507)</f>
        <v>0.84372003903932</v>
      </c>
    </row>
    <row r="2508" customFormat="false" ht="15.75" hidden="false" customHeight="false" outlineLevel="0" collapsed="false">
      <c r="A2508" s="1" t="s">
        <v>801</v>
      </c>
      <c r="B2508" s="1" t="n">
        <v>363.35</v>
      </c>
      <c r="C2508" s="1" t="n">
        <f aca="false">1/B2508</f>
        <v>0.00275216733177377</v>
      </c>
      <c r="D2508" s="1" t="n">
        <v>0.8046</v>
      </c>
      <c r="E2508" s="1" t="n">
        <f aca="false">LN(D2508)</f>
        <v>-0.217410019466449</v>
      </c>
    </row>
    <row r="2509" customFormat="false" ht="15.75" hidden="false" customHeight="false" outlineLevel="0" collapsed="false">
      <c r="A2509" s="1" t="s">
        <v>801</v>
      </c>
      <c r="B2509" s="1" t="n">
        <v>393.65</v>
      </c>
      <c r="C2509" s="1" t="n">
        <f aca="false">1/B2509</f>
        <v>0.00254032770227359</v>
      </c>
      <c r="D2509" s="1" t="n">
        <v>0.6005</v>
      </c>
      <c r="E2509" s="1" t="n">
        <f aca="false">LN(D2509)</f>
        <v>-0.509992637462099</v>
      </c>
    </row>
    <row r="2510" customFormat="false" ht="15.75" hidden="false" customHeight="false" outlineLevel="0" collapsed="false">
      <c r="A2510" s="1" t="s">
        <v>801</v>
      </c>
      <c r="B2510" s="1" t="n">
        <v>413.45</v>
      </c>
      <c r="C2510" s="1" t="n">
        <f aca="false">1/B2510</f>
        <v>0.0024186721489902</v>
      </c>
      <c r="D2510" s="1" t="n">
        <v>0.5083</v>
      </c>
      <c r="E2510" s="1" t="n">
        <f aca="false">LN(D2510)</f>
        <v>-0.67668345452928</v>
      </c>
    </row>
    <row r="2511" customFormat="false" ht="15.75" hidden="false" customHeight="false" outlineLevel="0" collapsed="false">
      <c r="A2511" s="1" t="s">
        <v>801</v>
      </c>
      <c r="B2511" s="1" t="n">
        <v>433.85</v>
      </c>
      <c r="C2511" s="1" t="n">
        <f aca="false">1/B2511</f>
        <v>0.00230494410510545</v>
      </c>
      <c r="D2511" s="1" t="n">
        <v>0.4303</v>
      </c>
      <c r="E2511" s="1" t="n">
        <f aca="false">LN(D2511)</f>
        <v>-0.843272639137583</v>
      </c>
    </row>
    <row r="2512" customFormat="false" ht="15.75" hidden="false" customHeight="false" outlineLevel="0" collapsed="false">
      <c r="A2512" s="1" t="s">
        <v>801</v>
      </c>
      <c r="B2512" s="1" t="n">
        <v>453.65</v>
      </c>
      <c r="C2512" s="1" t="n">
        <f aca="false">1/B2512</f>
        <v>0.00220434255483302</v>
      </c>
      <c r="D2512" s="1" t="n">
        <v>0.3754</v>
      </c>
      <c r="E2512" s="1" t="n">
        <f aca="false">LN(D2512)</f>
        <v>-0.979763154829728</v>
      </c>
    </row>
    <row r="2513" customFormat="false" ht="15.75" hidden="false" customHeight="false" outlineLevel="0" collapsed="false">
      <c r="A2513" s="1" t="s">
        <v>801</v>
      </c>
      <c r="B2513" s="1" t="n">
        <v>473.25</v>
      </c>
      <c r="C2513" s="1" t="n">
        <f aca="false">1/B2513</f>
        <v>0.00211304807184363</v>
      </c>
      <c r="D2513" s="1" t="n">
        <v>0.3312</v>
      </c>
      <c r="E2513" s="1" t="n">
        <f aca="false">LN(D2513)</f>
        <v>-1.10503285647103</v>
      </c>
    </row>
    <row r="2514" customFormat="false" ht="15.75" hidden="false" customHeight="false" outlineLevel="0" collapsed="false">
      <c r="A2514" s="1" t="s">
        <v>801</v>
      </c>
      <c r="B2514" s="1" t="n">
        <v>504.15</v>
      </c>
      <c r="C2514" s="1" t="n">
        <f aca="false">1/B2514</f>
        <v>0.00198353664583953</v>
      </c>
      <c r="D2514" s="1" t="n">
        <v>0.276</v>
      </c>
      <c r="E2514" s="1" t="n">
        <f aca="false">LN(D2514)</f>
        <v>-1.28735441326499</v>
      </c>
    </row>
    <row r="2515" customFormat="false" ht="15.75" hidden="false" customHeight="false" outlineLevel="0" collapsed="false">
      <c r="A2515" s="1" t="s">
        <v>803</v>
      </c>
      <c r="B2515" s="1" t="n">
        <v>273.15</v>
      </c>
      <c r="C2515" s="1" t="n">
        <f aca="false">1/B2515</f>
        <v>0.00366099212886692</v>
      </c>
      <c r="D2515" s="1" t="n">
        <v>10.53</v>
      </c>
      <c r="E2515" s="1" t="n">
        <f aca="false">LN(D2515)</f>
        <v>2.35422832614588</v>
      </c>
    </row>
    <row r="2516" customFormat="false" ht="15.75" hidden="false" customHeight="false" outlineLevel="0" collapsed="false">
      <c r="A2516" s="1" t="s">
        <v>803</v>
      </c>
      <c r="B2516" s="1" t="n">
        <v>283.15</v>
      </c>
      <c r="C2516" s="1" t="n">
        <f aca="false">1/B2516</f>
        <v>0.00353169698039908</v>
      </c>
      <c r="D2516" s="1" t="n">
        <v>7.2516</v>
      </c>
      <c r="E2516" s="1" t="n">
        <f aca="false">LN(D2516)</f>
        <v>1.98122213417338</v>
      </c>
    </row>
    <row r="2517" customFormat="false" ht="15.75" hidden="false" customHeight="false" outlineLevel="0" collapsed="false">
      <c r="A2517" s="1" t="s">
        <v>803</v>
      </c>
      <c r="B2517" s="1" t="n">
        <v>293.15</v>
      </c>
      <c r="C2517" s="1" t="n">
        <f aca="false">1/B2517</f>
        <v>0.00341122292341805</v>
      </c>
      <c r="D2517" s="1" t="n">
        <v>5.3333</v>
      </c>
      <c r="E2517" s="1" t="n">
        <f aca="false">LN(D2517)</f>
        <v>1.67397018355214</v>
      </c>
    </row>
    <row r="2518" customFormat="false" ht="15.75" hidden="false" customHeight="false" outlineLevel="0" collapsed="false">
      <c r="A2518" s="1" t="s">
        <v>803</v>
      </c>
      <c r="B2518" s="1" t="n">
        <v>303.15</v>
      </c>
      <c r="C2518" s="1" t="n">
        <f aca="false">1/B2518</f>
        <v>0.0032986970146792</v>
      </c>
      <c r="D2518" s="1" t="n">
        <v>4.0617</v>
      </c>
      <c r="E2518" s="1" t="n">
        <f aca="false">LN(D2518)</f>
        <v>1.40160160518704</v>
      </c>
    </row>
    <row r="2519" customFormat="false" ht="15.75" hidden="false" customHeight="false" outlineLevel="0" collapsed="false">
      <c r="A2519" s="1" t="s">
        <v>803</v>
      </c>
      <c r="B2519" s="1" t="n">
        <v>313.15</v>
      </c>
      <c r="C2519" s="1" t="n">
        <f aca="false">1/B2519</f>
        <v>0.00319335781574325</v>
      </c>
      <c r="D2519" s="1" t="n">
        <v>3.2062</v>
      </c>
      <c r="E2519" s="1" t="n">
        <f aca="false">LN(D2519)</f>
        <v>1.16508643527344</v>
      </c>
    </row>
    <row r="2520" customFormat="false" ht="15.75" hidden="false" customHeight="false" outlineLevel="0" collapsed="false">
      <c r="A2520" s="1" t="s">
        <v>803</v>
      </c>
      <c r="B2520" s="1" t="n">
        <v>333.15</v>
      </c>
      <c r="C2520" s="1" t="n">
        <f aca="false">1/B2520</f>
        <v>0.0030016509079994</v>
      </c>
      <c r="D2520" s="1" t="n">
        <v>2.1645</v>
      </c>
      <c r="E2520" s="1" t="n">
        <f aca="false">LN(D2520)</f>
        <v>0.772189387899898</v>
      </c>
    </row>
    <row r="2521" customFormat="false" ht="15.75" hidden="false" customHeight="false" outlineLevel="0" collapsed="false">
      <c r="A2521" s="1" t="s">
        <v>803</v>
      </c>
      <c r="B2521" s="1" t="n">
        <v>353.15</v>
      </c>
      <c r="C2521" s="1" t="n">
        <f aca="false">1/B2521</f>
        <v>0.00283165793572137</v>
      </c>
      <c r="D2521" s="1" t="n">
        <v>1.5686</v>
      </c>
      <c r="E2521" s="1" t="n">
        <f aca="false">LN(D2521)</f>
        <v>0.450183501796429</v>
      </c>
    </row>
    <row r="2522" customFormat="false" ht="15.75" hidden="false" customHeight="false" outlineLevel="0" collapsed="false">
      <c r="A2522" s="1" t="s">
        <v>803</v>
      </c>
      <c r="B2522" s="1" t="n">
        <v>373.15</v>
      </c>
      <c r="C2522" s="1" t="n">
        <f aca="false">1/B2522</f>
        <v>0.00267988744472732</v>
      </c>
      <c r="D2522" s="1" t="n">
        <v>1.2003</v>
      </c>
      <c r="E2522" s="1" t="n">
        <f aca="false">LN(D2522)</f>
        <v>0.182571525549162</v>
      </c>
    </row>
    <row r="2523" customFormat="false" ht="15.75" hidden="false" customHeight="false" outlineLevel="0" collapsed="false">
      <c r="A2523" s="1" t="s">
        <v>1442</v>
      </c>
      <c r="B2523" s="1" t="n">
        <v>328.16</v>
      </c>
      <c r="C2523" s="1" t="n">
        <f aca="false">1/B2523</f>
        <v>0.0030472940029254</v>
      </c>
      <c r="D2523" s="1" t="n">
        <v>5.39</v>
      </c>
      <c r="E2523" s="1" t="n">
        <f aca="false">LN(D2523)</f>
        <v>1.68454538492091</v>
      </c>
    </row>
    <row r="2524" customFormat="false" ht="15.75" hidden="false" customHeight="false" outlineLevel="0" collapsed="false">
      <c r="A2524" s="1" t="s">
        <v>1442</v>
      </c>
      <c r="B2524" s="1" t="n">
        <v>403.16</v>
      </c>
      <c r="C2524" s="1" t="n">
        <f aca="false">1/B2524</f>
        <v>0.0024804048020637</v>
      </c>
      <c r="D2524" s="1" t="n">
        <v>1.2</v>
      </c>
      <c r="E2524" s="1" t="n">
        <f aca="false">LN(D2524)</f>
        <v>0.182321556793955</v>
      </c>
    </row>
    <row r="2525" customFormat="false" ht="15.75" hidden="false" customHeight="false" outlineLevel="0" collapsed="false">
      <c r="A2525" s="1" t="s">
        <v>805</v>
      </c>
      <c r="B2525" s="1" t="n">
        <v>373.15</v>
      </c>
      <c r="C2525" s="1" t="n">
        <f aca="false">1/B2525</f>
        <v>0.00267988744472732</v>
      </c>
      <c r="D2525" s="1" t="n">
        <v>0.95</v>
      </c>
      <c r="E2525" s="1" t="n">
        <f aca="false">LN(D2525)</f>
        <v>-0.0512932943875506</v>
      </c>
    </row>
    <row r="2526" customFormat="false" ht="15.75" hidden="false" customHeight="false" outlineLevel="0" collapsed="false">
      <c r="A2526" s="1" t="s">
        <v>805</v>
      </c>
      <c r="B2526" s="1" t="n">
        <v>398.15</v>
      </c>
      <c r="C2526" s="1" t="n">
        <f aca="false">1/B2526</f>
        <v>0.00251161622504081</v>
      </c>
      <c r="D2526" s="1" t="n">
        <v>0.73</v>
      </c>
      <c r="E2526" s="1" t="n">
        <f aca="false">LN(D2526)</f>
        <v>-0.3147107448397</v>
      </c>
    </row>
    <row r="2527" customFormat="false" ht="15.75" hidden="false" customHeight="false" outlineLevel="0" collapsed="false">
      <c r="A2527" s="1" t="s">
        <v>805</v>
      </c>
      <c r="B2527" s="1" t="n">
        <v>423.15</v>
      </c>
      <c r="C2527" s="1" t="n">
        <f aca="false">1/B2527</f>
        <v>0.00236322816967978</v>
      </c>
      <c r="D2527" s="1" t="n">
        <v>0.57</v>
      </c>
      <c r="E2527" s="1" t="n">
        <f aca="false">LN(D2527)</f>
        <v>-0.562118918153541</v>
      </c>
    </row>
    <row r="2528" customFormat="false" ht="15.75" hidden="false" customHeight="false" outlineLevel="0" collapsed="false">
      <c r="A2528" s="1" t="s">
        <v>805</v>
      </c>
      <c r="B2528" s="1" t="n">
        <v>448.15</v>
      </c>
      <c r="C2528" s="1" t="n">
        <f aca="false">1/B2528</f>
        <v>0.00223139573803414</v>
      </c>
      <c r="D2528" s="1" t="n">
        <v>0.46</v>
      </c>
      <c r="E2528" s="1" t="n">
        <f aca="false">LN(D2528)</f>
        <v>-0.776528789498996</v>
      </c>
    </row>
    <row r="2529" customFormat="false" ht="15.75" hidden="false" customHeight="false" outlineLevel="0" collapsed="false">
      <c r="A2529" s="1" t="s">
        <v>805</v>
      </c>
      <c r="B2529" s="1" t="n">
        <v>584.15</v>
      </c>
      <c r="C2529" s="1" t="n">
        <f aca="false">1/B2529</f>
        <v>0.00171188906958829</v>
      </c>
      <c r="D2529" s="1" t="n">
        <v>0.261</v>
      </c>
      <c r="E2529" s="1" t="n">
        <f aca="false">LN(D2529)</f>
        <v>-1.34323487165944</v>
      </c>
    </row>
    <row r="2530" customFormat="false" ht="15.75" hidden="false" customHeight="false" outlineLevel="0" collapsed="false">
      <c r="A2530" s="1" t="s">
        <v>805</v>
      </c>
      <c r="B2530" s="1" t="n">
        <v>644.15</v>
      </c>
      <c r="C2530" s="1" t="n">
        <f aca="false">1/B2530</f>
        <v>0.00155243343941629</v>
      </c>
      <c r="D2530" s="1" t="n">
        <v>0.158</v>
      </c>
      <c r="E2530" s="1" t="n">
        <f aca="false">LN(D2530)</f>
        <v>-1.84516024595517</v>
      </c>
    </row>
    <row r="2531" customFormat="false" ht="15.75" hidden="false" customHeight="false" outlineLevel="0" collapsed="false">
      <c r="A2531" s="1" t="s">
        <v>805</v>
      </c>
      <c r="B2531" s="1" t="n">
        <v>473.15</v>
      </c>
      <c r="C2531" s="1" t="n">
        <f aca="false">1/B2531</f>
        <v>0.00211349466342597</v>
      </c>
      <c r="D2531" s="1" t="n">
        <v>0.38</v>
      </c>
      <c r="E2531" s="1" t="n">
        <f aca="false">LN(D2531)</f>
        <v>-0.967584026261706</v>
      </c>
    </row>
    <row r="2532" customFormat="false" ht="15.75" hidden="false" customHeight="false" outlineLevel="0" collapsed="false">
      <c r="A2532" s="1" t="s">
        <v>805</v>
      </c>
      <c r="B2532" s="1" t="n">
        <v>498.15</v>
      </c>
      <c r="C2532" s="1" t="n">
        <f aca="false">1/B2532</f>
        <v>0.00200742748168222</v>
      </c>
      <c r="D2532" s="1" t="n">
        <v>0.32</v>
      </c>
      <c r="E2532" s="1" t="n">
        <f aca="false">LN(D2532)</f>
        <v>-1.13943428318836</v>
      </c>
    </row>
    <row r="2533" customFormat="false" ht="15.75" hidden="false" customHeight="false" outlineLevel="0" collapsed="false">
      <c r="A2533" s="1" t="s">
        <v>805</v>
      </c>
      <c r="B2533" s="1" t="n">
        <v>398.15</v>
      </c>
      <c r="C2533" s="1" t="n">
        <f aca="false">1/B2533</f>
        <v>0.00251161622504081</v>
      </c>
      <c r="D2533" s="1" t="n">
        <v>0.71</v>
      </c>
      <c r="E2533" s="1" t="n">
        <f aca="false">LN(D2533)</f>
        <v>-0.342490308946776</v>
      </c>
    </row>
    <row r="2534" customFormat="false" ht="15.75" hidden="false" customHeight="false" outlineLevel="0" collapsed="false">
      <c r="A2534" s="1" t="s">
        <v>805</v>
      </c>
      <c r="B2534" s="1" t="n">
        <v>423.15</v>
      </c>
      <c r="C2534" s="1" t="n">
        <f aca="false">1/B2534</f>
        <v>0.00236322816967978</v>
      </c>
      <c r="D2534" s="1" t="n">
        <v>0.55</v>
      </c>
      <c r="E2534" s="1" t="n">
        <f aca="false">LN(D2534)</f>
        <v>-0.59783700075562</v>
      </c>
    </row>
    <row r="2535" customFormat="false" ht="15.75" hidden="false" customHeight="false" outlineLevel="0" collapsed="false">
      <c r="A2535" s="1" t="s">
        <v>805</v>
      </c>
      <c r="B2535" s="1" t="n">
        <v>594.15</v>
      </c>
      <c r="C2535" s="1" t="n">
        <f aca="false">1/B2535</f>
        <v>0.00168307666414205</v>
      </c>
      <c r="D2535" s="1" t="n">
        <v>0.23</v>
      </c>
      <c r="E2535" s="1" t="n">
        <f aca="false">LN(D2535)</f>
        <v>-1.46967597005894</v>
      </c>
    </row>
    <row r="2536" customFormat="false" ht="15.75" hidden="false" customHeight="false" outlineLevel="0" collapsed="false">
      <c r="A2536" s="1" t="s">
        <v>805</v>
      </c>
      <c r="B2536" s="1" t="n">
        <v>654.15</v>
      </c>
      <c r="C2536" s="1" t="n">
        <f aca="false">1/B2536</f>
        <v>0.00152870136818772</v>
      </c>
      <c r="D2536" s="1" t="n">
        <v>0.151</v>
      </c>
      <c r="E2536" s="1" t="n">
        <f aca="false">LN(D2536)</f>
        <v>-1.89047544216721</v>
      </c>
    </row>
    <row r="2537" customFormat="false" ht="15.75" hidden="false" customHeight="false" outlineLevel="0" collapsed="false">
      <c r="A2537" s="1" t="s">
        <v>805</v>
      </c>
      <c r="B2537" s="1" t="n">
        <v>448.15</v>
      </c>
      <c r="C2537" s="1" t="n">
        <f aca="false">1/B2537</f>
        <v>0.00223139573803414</v>
      </c>
      <c r="D2537" s="1" t="n">
        <v>0.44</v>
      </c>
      <c r="E2537" s="1" t="n">
        <f aca="false">LN(D2537)</f>
        <v>-0.82098055206983</v>
      </c>
    </row>
    <row r="2538" customFormat="false" ht="15.75" hidden="false" customHeight="false" outlineLevel="0" collapsed="false">
      <c r="A2538" s="1" t="s">
        <v>805</v>
      </c>
      <c r="B2538" s="1" t="n">
        <v>473.15</v>
      </c>
      <c r="C2538" s="1" t="n">
        <f aca="false">1/B2538</f>
        <v>0.00211349466342597</v>
      </c>
      <c r="D2538" s="1" t="n">
        <v>0.37</v>
      </c>
      <c r="E2538" s="1" t="n">
        <f aca="false">LN(D2538)</f>
        <v>-0.994252273343867</v>
      </c>
    </row>
    <row r="2539" customFormat="false" ht="15.75" hidden="false" customHeight="false" outlineLevel="0" collapsed="false">
      <c r="A2539" s="1" t="s">
        <v>805</v>
      </c>
      <c r="B2539" s="1" t="n">
        <v>498.15</v>
      </c>
      <c r="C2539" s="1" t="n">
        <f aca="false">1/B2539</f>
        <v>0.00200742748168222</v>
      </c>
      <c r="D2539" s="1" t="n">
        <v>0.31</v>
      </c>
      <c r="E2539" s="1" t="n">
        <f aca="false">LN(D2539)</f>
        <v>-1.17118298150295</v>
      </c>
    </row>
    <row r="2540" customFormat="false" ht="15.75" hidden="false" customHeight="false" outlineLevel="0" collapsed="false">
      <c r="A2540" s="1" t="s">
        <v>805</v>
      </c>
      <c r="B2540" s="1" t="n">
        <v>574.15182</v>
      </c>
      <c r="C2540" s="1" t="n">
        <f aca="false">1/B2540</f>
        <v>0.00174169960830221</v>
      </c>
      <c r="D2540" s="1" t="n">
        <v>0.282</v>
      </c>
      <c r="E2540" s="1" t="n">
        <f aca="false">LN(D2540)</f>
        <v>-1.26584820804402</v>
      </c>
    </row>
    <row r="2541" customFormat="false" ht="15.75" hidden="false" customHeight="false" outlineLevel="0" collapsed="false">
      <c r="A2541" s="1" t="s">
        <v>805</v>
      </c>
      <c r="B2541" s="1" t="n">
        <v>604.15</v>
      </c>
      <c r="C2541" s="1" t="n">
        <f aca="false">1/B2541</f>
        <v>0.00165521807498138</v>
      </c>
      <c r="D2541" s="1" t="n">
        <v>0.215</v>
      </c>
      <c r="E2541" s="1" t="n">
        <f aca="false">LN(D2541)</f>
        <v>-1.53711725085447</v>
      </c>
    </row>
    <row r="2542" customFormat="false" ht="15.75" hidden="false" customHeight="false" outlineLevel="0" collapsed="false">
      <c r="A2542" s="1" t="s">
        <v>805</v>
      </c>
      <c r="B2542" s="1" t="n">
        <v>664.15</v>
      </c>
      <c r="C2542" s="1" t="n">
        <f aca="false">1/B2542</f>
        <v>0.00150568395693744</v>
      </c>
      <c r="D2542" s="1" t="n">
        <v>0.142</v>
      </c>
      <c r="E2542" s="1" t="n">
        <f aca="false">LN(D2542)</f>
        <v>-1.95192822138088</v>
      </c>
    </row>
    <row r="2543" customFormat="false" ht="15.75" hidden="false" customHeight="false" outlineLevel="0" collapsed="false">
      <c r="A2543" s="1" t="s">
        <v>805</v>
      </c>
      <c r="B2543" s="1" t="n">
        <v>614.15</v>
      </c>
      <c r="C2543" s="1" t="n">
        <f aca="false">1/B2543</f>
        <v>0.00162826671008711</v>
      </c>
      <c r="D2543" s="1" t="n">
        <v>0.199</v>
      </c>
      <c r="E2543" s="1" t="n">
        <f aca="false">LN(D2543)</f>
        <v>-1.61445045425764</v>
      </c>
    </row>
    <row r="2544" customFormat="false" ht="15.75" hidden="false" customHeight="false" outlineLevel="0" collapsed="false">
      <c r="A2544" s="1" t="s">
        <v>805</v>
      </c>
      <c r="B2544" s="1" t="n">
        <v>674.15</v>
      </c>
      <c r="C2544" s="1" t="n">
        <f aca="false">1/B2544</f>
        <v>0.00148334940295187</v>
      </c>
      <c r="D2544" s="1" t="n">
        <v>0.134</v>
      </c>
      <c r="E2544" s="1" t="n">
        <f aca="false">LN(D2544)</f>
        <v>-2.00991547903123</v>
      </c>
    </row>
    <row r="2545" customFormat="false" ht="15.75" hidden="false" customHeight="false" outlineLevel="0" collapsed="false">
      <c r="A2545" s="1" t="s">
        <v>805</v>
      </c>
      <c r="B2545" s="1" t="n">
        <v>624.15</v>
      </c>
      <c r="C2545" s="1" t="n">
        <f aca="false">1/B2545</f>
        <v>0.00160217896339021</v>
      </c>
      <c r="D2545" s="1" t="n">
        <v>0.187</v>
      </c>
      <c r="E2545" s="1" t="n">
        <f aca="false">LN(D2545)</f>
        <v>-1.67664666212755</v>
      </c>
    </row>
    <row r="2546" customFormat="false" ht="15.75" hidden="false" customHeight="false" outlineLevel="0" collapsed="false">
      <c r="A2546" s="1" t="s">
        <v>805</v>
      </c>
      <c r="B2546" s="1" t="n">
        <v>634.15</v>
      </c>
      <c r="C2546" s="1" t="n">
        <f aca="false">1/B2546</f>
        <v>0.00157691397934243</v>
      </c>
      <c r="D2546" s="1" t="n">
        <v>0.172</v>
      </c>
      <c r="E2546" s="1" t="n">
        <f aca="false">LN(D2546)</f>
        <v>-1.76026080216868</v>
      </c>
    </row>
    <row r="2547" customFormat="false" ht="15.75" hidden="false" customHeight="false" outlineLevel="0" collapsed="false">
      <c r="A2547" s="1" t="s">
        <v>807</v>
      </c>
      <c r="B2547" s="1" t="n">
        <v>233.15</v>
      </c>
      <c r="C2547" s="1" t="n">
        <f aca="false">1/B2547</f>
        <v>0.00428908428050611</v>
      </c>
      <c r="D2547" s="1" t="n">
        <v>0.4794</v>
      </c>
      <c r="E2547" s="1" t="n">
        <f aca="false">LN(D2547)</f>
        <v>-0.735219956981853</v>
      </c>
    </row>
    <row r="2548" customFormat="false" ht="15.75" hidden="false" customHeight="false" outlineLevel="0" collapsed="false">
      <c r="A2548" s="1" t="s">
        <v>807</v>
      </c>
      <c r="B2548" s="1" t="n">
        <v>238.15</v>
      </c>
      <c r="C2548" s="1" t="n">
        <f aca="false">1/B2548</f>
        <v>0.00419903422212891</v>
      </c>
      <c r="D2548" s="1" t="n">
        <v>0.4599</v>
      </c>
      <c r="E2548" s="1" t="n">
        <f aca="false">LN(D2548)</f>
        <v>-0.776746204436259</v>
      </c>
    </row>
    <row r="2549" customFormat="false" ht="15.75" hidden="false" customHeight="false" outlineLevel="0" collapsed="false">
      <c r="A2549" s="1" t="s">
        <v>807</v>
      </c>
      <c r="B2549" s="1" t="n">
        <v>243.15</v>
      </c>
      <c r="C2549" s="1" t="n">
        <f aca="false">1/B2549</f>
        <v>0.00411268764137364</v>
      </c>
      <c r="D2549" s="1" t="n">
        <v>0.4406</v>
      </c>
      <c r="E2549" s="1" t="n">
        <f aca="false">LN(D2549)</f>
        <v>-0.819617844613894</v>
      </c>
    </row>
    <row r="2550" customFormat="false" ht="15.75" hidden="false" customHeight="false" outlineLevel="0" collapsed="false">
      <c r="A2550" s="1" t="s">
        <v>807</v>
      </c>
      <c r="B2550" s="1" t="n">
        <v>248.15</v>
      </c>
      <c r="C2550" s="1" t="n">
        <f aca="false">1/B2550</f>
        <v>0.00402982067298005</v>
      </c>
      <c r="D2550" s="1" t="n">
        <v>0.4215</v>
      </c>
      <c r="E2550" s="1" t="n">
        <f aca="false">LN(D2550)</f>
        <v>-0.863935501540227</v>
      </c>
    </row>
    <row r="2551" customFormat="false" ht="15.75" hidden="false" customHeight="false" outlineLevel="0" collapsed="false">
      <c r="A2551" s="1" t="s">
        <v>807</v>
      </c>
      <c r="B2551" s="1" t="n">
        <v>253.15</v>
      </c>
      <c r="C2551" s="1" t="n">
        <f aca="false">1/B2551</f>
        <v>0.00395022713806044</v>
      </c>
      <c r="D2551" s="1" t="n">
        <v>0.4024</v>
      </c>
      <c r="E2551" s="1" t="n">
        <f aca="false">LN(D2551)</f>
        <v>-0.910308660196608</v>
      </c>
    </row>
    <row r="2552" customFormat="false" ht="15.75" hidden="false" customHeight="false" outlineLevel="0" collapsed="false">
      <c r="A2552" s="1" t="s">
        <v>807</v>
      </c>
      <c r="B2552" s="1" t="n">
        <v>258.15</v>
      </c>
      <c r="C2552" s="1" t="n">
        <f aca="false">1/B2552</f>
        <v>0.00387371683129963</v>
      </c>
      <c r="D2552" s="1" t="n">
        <v>0.385</v>
      </c>
      <c r="E2552" s="1" t="n">
        <f aca="false">LN(D2552)</f>
        <v>-0.954511944694353</v>
      </c>
    </row>
    <row r="2553" customFormat="false" ht="15.75" hidden="false" customHeight="false" outlineLevel="0" collapsed="false">
      <c r="A2553" s="1" t="s">
        <v>807</v>
      </c>
      <c r="B2553" s="1" t="n">
        <v>263.15</v>
      </c>
      <c r="C2553" s="1" t="n">
        <f aca="false">1/B2553</f>
        <v>0.0038001140034201</v>
      </c>
      <c r="D2553" s="1" t="n">
        <v>0.3684</v>
      </c>
      <c r="E2553" s="1" t="n">
        <f aca="false">LN(D2553)</f>
        <v>-0.998585974600985</v>
      </c>
    </row>
    <row r="2554" customFormat="false" ht="15.75" hidden="false" customHeight="false" outlineLevel="0" collapsed="false">
      <c r="A2554" s="1" t="s">
        <v>807</v>
      </c>
      <c r="B2554" s="1" t="n">
        <v>268.15</v>
      </c>
      <c r="C2554" s="1" t="n">
        <f aca="false">1/B2554</f>
        <v>0.00372925601342532</v>
      </c>
      <c r="D2554" s="1" t="n">
        <v>0.3548</v>
      </c>
      <c r="E2554" s="1" t="n">
        <f aca="false">LN(D2554)</f>
        <v>-1.03620102854671</v>
      </c>
    </row>
    <row r="2555" customFormat="false" ht="15.75" hidden="false" customHeight="false" outlineLevel="0" collapsed="false">
      <c r="A2555" s="1" t="s">
        <v>807</v>
      </c>
      <c r="B2555" s="1" t="n">
        <v>273.15</v>
      </c>
      <c r="C2555" s="1" t="n">
        <f aca="false">1/B2555</f>
        <v>0.00366099212886692</v>
      </c>
      <c r="D2555" s="1" t="n">
        <v>0.3429</v>
      </c>
      <c r="E2555" s="1" t="n">
        <f aca="false">LN(D2555)</f>
        <v>-1.07031641951326</v>
      </c>
    </row>
    <row r="2556" customFormat="false" ht="15.75" hidden="false" customHeight="false" outlineLevel="0" collapsed="false">
      <c r="A2556" s="1" t="s">
        <v>807</v>
      </c>
      <c r="B2556" s="1" t="n">
        <v>278.15</v>
      </c>
      <c r="C2556" s="1" t="n">
        <f aca="false">1/B2556</f>
        <v>0.00359518245550962</v>
      </c>
      <c r="D2556" s="1" t="n">
        <v>0.3325</v>
      </c>
      <c r="E2556" s="1" t="n">
        <f aca="false">LN(D2556)</f>
        <v>-1.10111541888623</v>
      </c>
    </row>
    <row r="2557" customFormat="false" ht="15.75" hidden="false" customHeight="false" outlineLevel="0" collapsed="false">
      <c r="A2557" s="1" t="s">
        <v>807</v>
      </c>
      <c r="B2557" s="1" t="n">
        <v>283.15</v>
      </c>
      <c r="C2557" s="1" t="n">
        <f aca="false">1/B2557</f>
        <v>0.00353169698039908</v>
      </c>
      <c r="D2557" s="1" t="n">
        <v>0.3236</v>
      </c>
      <c r="E2557" s="1" t="n">
        <f aca="false">LN(D2557)</f>
        <v>-1.1282470937978</v>
      </c>
    </row>
    <row r="2558" customFormat="false" ht="15.75" hidden="false" customHeight="false" outlineLevel="0" collapsed="false">
      <c r="A2558" s="1" t="s">
        <v>240</v>
      </c>
      <c r="B2558" s="1" t="n">
        <v>313.15</v>
      </c>
      <c r="C2558" s="1" t="n">
        <f aca="false">1/B2558</f>
        <v>0.00319335781574325</v>
      </c>
      <c r="D2558" s="1" t="n">
        <v>46.0829</v>
      </c>
      <c r="E2558" s="1" t="n">
        <f aca="false">LN(D2558)</f>
        <v>3.83044194843515</v>
      </c>
    </row>
    <row r="2559" customFormat="false" ht="15.75" hidden="false" customHeight="false" outlineLevel="0" collapsed="false">
      <c r="A2559" s="1" t="s">
        <v>240</v>
      </c>
      <c r="B2559" s="1" t="n">
        <v>333.15</v>
      </c>
      <c r="C2559" s="1" t="n">
        <f aca="false">1/B2559</f>
        <v>0.0030016509079994</v>
      </c>
      <c r="D2559" s="1" t="n">
        <v>10.9051</v>
      </c>
      <c r="E2559" s="1" t="n">
        <f aca="false">LN(D2559)</f>
        <v>2.389230569717</v>
      </c>
    </row>
    <row r="2560" customFormat="false" ht="15.75" hidden="false" customHeight="false" outlineLevel="0" collapsed="false">
      <c r="A2560" s="1" t="s">
        <v>240</v>
      </c>
      <c r="B2560" s="1" t="n">
        <v>353.15</v>
      </c>
      <c r="C2560" s="1" t="n">
        <f aca="false">1/B2560</f>
        <v>0.00283165793572137</v>
      </c>
      <c r="D2560" s="1" t="n">
        <v>4.2017</v>
      </c>
      <c r="E2560" s="1" t="n">
        <f aca="false">LN(D2560)</f>
        <v>1.43548920530008</v>
      </c>
    </row>
    <row r="2561" customFormat="false" ht="15.75" hidden="false" customHeight="false" outlineLevel="0" collapsed="false">
      <c r="A2561" s="1" t="s">
        <v>240</v>
      </c>
      <c r="B2561" s="1" t="n">
        <v>373.15</v>
      </c>
      <c r="C2561" s="1" t="n">
        <f aca="false">1/B2561</f>
        <v>0.00267988744472732</v>
      </c>
      <c r="D2561" s="1" t="n">
        <v>2</v>
      </c>
      <c r="E2561" s="1" t="n">
        <f aca="false">LN(D2561)</f>
        <v>0.693147180559945</v>
      </c>
    </row>
    <row r="2562" customFormat="false" ht="15.75" hidden="false" customHeight="false" outlineLevel="0" collapsed="false">
      <c r="A2562" s="1" t="s">
        <v>809</v>
      </c>
      <c r="B2562" s="1" t="n">
        <v>273.71</v>
      </c>
      <c r="C2562" s="1" t="n">
        <f aca="false">1/B2562</f>
        <v>0.00365350188155347</v>
      </c>
      <c r="D2562" s="1" t="n">
        <v>1.245</v>
      </c>
      <c r="E2562" s="1" t="n">
        <f aca="false">LN(D2562)</f>
        <v>0.219135529916671</v>
      </c>
    </row>
    <row r="2563" customFormat="false" ht="15.75" hidden="false" customHeight="false" outlineLevel="0" collapsed="false">
      <c r="A2563" s="1" t="s">
        <v>809</v>
      </c>
      <c r="B2563" s="1" t="n">
        <v>278.46</v>
      </c>
      <c r="C2563" s="1" t="n">
        <f aca="false">1/B2563</f>
        <v>0.0035911800617683</v>
      </c>
      <c r="D2563" s="1" t="n">
        <v>1.173</v>
      </c>
      <c r="E2563" s="1" t="n">
        <f aca="false">LN(D2563)</f>
        <v>0.159564569671338</v>
      </c>
    </row>
    <row r="2564" customFormat="false" ht="15.75" hidden="false" customHeight="false" outlineLevel="0" collapsed="false">
      <c r="A2564" s="1" t="s">
        <v>809</v>
      </c>
      <c r="B2564" s="1" t="n">
        <v>283.6</v>
      </c>
      <c r="C2564" s="1" t="n">
        <f aca="false">1/B2564</f>
        <v>0.00352609308885755</v>
      </c>
      <c r="D2564" s="1" t="n">
        <v>1.104</v>
      </c>
      <c r="E2564" s="1" t="n">
        <f aca="false">LN(D2564)</f>
        <v>0.0989399478549037</v>
      </c>
    </row>
    <row r="2565" customFormat="false" ht="15.75" hidden="false" customHeight="false" outlineLevel="0" collapsed="false">
      <c r="A2565" s="1" t="s">
        <v>809</v>
      </c>
      <c r="B2565" s="1" t="n">
        <v>294.22</v>
      </c>
      <c r="C2565" s="1" t="n">
        <f aca="false">1/B2565</f>
        <v>0.00339881721161036</v>
      </c>
      <c r="D2565" s="1" t="n">
        <v>0.983</v>
      </c>
      <c r="E2565" s="1" t="n">
        <f aca="false">LN(D2565)</f>
        <v>-0.0171461588349705</v>
      </c>
    </row>
    <row r="2566" customFormat="false" ht="15.75" hidden="false" customHeight="false" outlineLevel="0" collapsed="false">
      <c r="A2566" s="1" t="s">
        <v>809</v>
      </c>
      <c r="B2566" s="1" t="n">
        <v>299.14</v>
      </c>
      <c r="C2566" s="1" t="n">
        <f aca="false">1/B2566</f>
        <v>0.00334291636023267</v>
      </c>
      <c r="D2566" s="1" t="n">
        <v>0.934</v>
      </c>
      <c r="E2566" s="1" t="n">
        <f aca="false">LN(D2566)</f>
        <v>-0.0682788407532944</v>
      </c>
    </row>
    <row r="2567" customFormat="false" ht="15.75" hidden="false" customHeight="false" outlineLevel="0" collapsed="false">
      <c r="A2567" s="1" t="s">
        <v>809</v>
      </c>
      <c r="B2567" s="1" t="n">
        <v>304.35</v>
      </c>
      <c r="C2567" s="1" t="n">
        <f aca="false">1/B2567</f>
        <v>0.00328569081649417</v>
      </c>
      <c r="D2567" s="1" t="n">
        <v>0.888</v>
      </c>
      <c r="E2567" s="1" t="n">
        <f aca="false">LN(D2567)</f>
        <v>-0.118783535989967</v>
      </c>
    </row>
    <row r="2568" customFormat="false" ht="15.75" hidden="false" customHeight="false" outlineLevel="0" collapsed="false">
      <c r="A2568" s="1" t="s">
        <v>809</v>
      </c>
      <c r="B2568" s="1" t="n">
        <v>314.08</v>
      </c>
      <c r="C2568" s="1" t="n">
        <f aca="false">1/B2568</f>
        <v>0.00318390219052471</v>
      </c>
      <c r="D2568" s="1" t="n">
        <v>0.809</v>
      </c>
      <c r="E2568" s="1" t="n">
        <f aca="false">LN(D2568)</f>
        <v>-0.211956361923645</v>
      </c>
    </row>
    <row r="2569" customFormat="false" ht="15.75" hidden="false" customHeight="false" outlineLevel="0" collapsed="false">
      <c r="A2569" s="1" t="s">
        <v>809</v>
      </c>
      <c r="B2569" s="1" t="n">
        <v>319.34</v>
      </c>
      <c r="C2569" s="1" t="n">
        <f aca="false">1/B2569</f>
        <v>0.00313145863343145</v>
      </c>
      <c r="D2569" s="1" t="n">
        <v>0.772</v>
      </c>
      <c r="E2569" s="1" t="n">
        <f aca="false">LN(D2569)</f>
        <v>-0.258770728957361</v>
      </c>
    </row>
    <row r="2570" customFormat="false" ht="15.75" hidden="false" customHeight="false" outlineLevel="0" collapsed="false">
      <c r="A2570" s="1" t="s">
        <v>809</v>
      </c>
      <c r="B2570" s="1" t="n">
        <v>323.43</v>
      </c>
      <c r="C2570" s="1" t="n">
        <f aca="false">1/B2570</f>
        <v>0.00309185913489781</v>
      </c>
      <c r="D2570" s="1" t="n">
        <v>0.744</v>
      </c>
      <c r="E2570" s="1" t="n">
        <f aca="false">LN(D2570)</f>
        <v>-0.295714244149045</v>
      </c>
    </row>
    <row r="2571" customFormat="false" ht="15.75" hidden="false" customHeight="false" outlineLevel="0" collapsed="false">
      <c r="A2571" s="1" t="s">
        <v>809</v>
      </c>
      <c r="B2571" s="1" t="n">
        <v>289.31</v>
      </c>
      <c r="C2571" s="1" t="n">
        <f aca="false">1/B2571</f>
        <v>0.0034564999481525</v>
      </c>
      <c r="D2571" s="1" t="n">
        <v>1.035</v>
      </c>
      <c r="E2571" s="1" t="n">
        <f aca="false">LN(D2571)</f>
        <v>0.0344014267173323</v>
      </c>
    </row>
    <row r="2572" customFormat="false" ht="15.75" hidden="false" customHeight="false" outlineLevel="0" collapsed="false">
      <c r="A2572" s="1" t="s">
        <v>809</v>
      </c>
      <c r="B2572" s="1" t="n">
        <v>309.01</v>
      </c>
      <c r="C2572" s="1" t="n">
        <f aca="false">1/B2572</f>
        <v>0.00323614122520307</v>
      </c>
      <c r="D2572" s="1" t="n">
        <v>0.848</v>
      </c>
      <c r="E2572" s="1" t="n">
        <f aca="false">LN(D2572)</f>
        <v>-0.164874643190234</v>
      </c>
    </row>
    <row r="2573" customFormat="false" ht="15.75" hidden="false" customHeight="false" outlineLevel="0" collapsed="false">
      <c r="A2573" s="1" t="s">
        <v>809</v>
      </c>
      <c r="B2573" s="1" t="n">
        <v>329.56</v>
      </c>
      <c r="C2573" s="1" t="n">
        <f aca="false">1/B2573</f>
        <v>0.00303434882874135</v>
      </c>
      <c r="D2573" s="1" t="n">
        <v>0.706</v>
      </c>
      <c r="E2573" s="1" t="n">
        <f aca="false">LN(D2573)</f>
        <v>-0.348140041488895</v>
      </c>
    </row>
    <row r="2574" customFormat="false" ht="15.75" hidden="false" customHeight="false" outlineLevel="0" collapsed="false">
      <c r="A2574" s="1" t="s">
        <v>811</v>
      </c>
      <c r="B2574" s="1" t="n">
        <v>273.05</v>
      </c>
      <c r="C2574" s="1" t="n">
        <f aca="false">1/B2574</f>
        <v>0.00366233290606116</v>
      </c>
      <c r="D2574" s="1" t="n">
        <v>1.506</v>
      </c>
      <c r="E2574" s="1" t="n">
        <f aca="false">LN(D2574)</f>
        <v>0.409457129377702</v>
      </c>
    </row>
    <row r="2575" customFormat="false" ht="15.75" hidden="false" customHeight="false" outlineLevel="0" collapsed="false">
      <c r="A2575" s="1" t="s">
        <v>811</v>
      </c>
      <c r="B2575" s="1" t="n">
        <v>279.05</v>
      </c>
      <c r="C2575" s="1" t="n">
        <f aca="false">1/B2575</f>
        <v>0.00358358717075793</v>
      </c>
      <c r="D2575" s="1" t="n">
        <v>1.441</v>
      </c>
      <c r="E2575" s="1" t="n">
        <f aca="false">LN(D2575)</f>
        <v>0.365337317017385</v>
      </c>
    </row>
    <row r="2576" customFormat="false" ht="15.75" hidden="false" customHeight="false" outlineLevel="0" collapsed="false">
      <c r="A2576" s="1" t="s">
        <v>811</v>
      </c>
      <c r="B2576" s="1" t="n">
        <v>279.75</v>
      </c>
      <c r="C2576" s="1" t="n">
        <f aca="false">1/B2576</f>
        <v>0.00357462019660411</v>
      </c>
      <c r="D2576" s="1" t="n">
        <v>1.423</v>
      </c>
      <c r="E2576" s="1" t="n">
        <f aca="false">LN(D2576)</f>
        <v>0.352767319107715</v>
      </c>
    </row>
    <row r="2577" customFormat="false" ht="15.75" hidden="false" customHeight="false" outlineLevel="0" collapsed="false">
      <c r="A2577" s="1" t="s">
        <v>811</v>
      </c>
      <c r="B2577" s="1" t="n">
        <v>283.25</v>
      </c>
      <c r="C2577" s="1" t="n">
        <f aca="false">1/B2577</f>
        <v>0.00353045013239188</v>
      </c>
      <c r="D2577" s="1" t="n">
        <v>1.33</v>
      </c>
      <c r="E2577" s="1" t="n">
        <f aca="false">LN(D2577)</f>
        <v>0.285178942233662</v>
      </c>
    </row>
    <row r="2578" customFormat="false" ht="15.75" hidden="false" customHeight="false" outlineLevel="0" collapsed="false">
      <c r="A2578" s="1" t="s">
        <v>811</v>
      </c>
      <c r="B2578" s="1" t="n">
        <v>289.75</v>
      </c>
      <c r="C2578" s="1" t="n">
        <f aca="false">1/B2578</f>
        <v>0.00345125107851596</v>
      </c>
      <c r="D2578" s="1" t="n">
        <v>1.204</v>
      </c>
      <c r="E2578" s="1" t="n">
        <f aca="false">LN(D2578)</f>
        <v>0.185649346886629</v>
      </c>
    </row>
    <row r="2579" customFormat="false" ht="15.75" hidden="false" customHeight="false" outlineLevel="0" collapsed="false">
      <c r="A2579" s="1" t="s">
        <v>811</v>
      </c>
      <c r="B2579" s="1" t="n">
        <v>291.35</v>
      </c>
      <c r="C2579" s="1" t="n">
        <f aca="false">1/B2579</f>
        <v>0.00343229792345976</v>
      </c>
      <c r="D2579" s="1" t="n">
        <v>1.173</v>
      </c>
      <c r="E2579" s="1" t="n">
        <f aca="false">LN(D2579)</f>
        <v>0.159564569671338</v>
      </c>
    </row>
    <row r="2580" customFormat="false" ht="15.75" hidden="false" customHeight="false" outlineLevel="0" collapsed="false">
      <c r="A2580" s="1" t="s">
        <v>811</v>
      </c>
      <c r="B2580" s="1" t="n">
        <v>295.05</v>
      </c>
      <c r="C2580" s="1" t="n">
        <f aca="false">1/B2580</f>
        <v>0.0033892560582952</v>
      </c>
      <c r="D2580" s="1" t="n">
        <v>1.123</v>
      </c>
      <c r="E2580" s="1" t="n">
        <f aca="false">LN(D2580)</f>
        <v>0.116003675756306</v>
      </c>
    </row>
    <row r="2581" customFormat="false" ht="15.75" hidden="false" customHeight="false" outlineLevel="0" collapsed="false">
      <c r="A2581" s="1" t="s">
        <v>811</v>
      </c>
      <c r="B2581" s="1" t="n">
        <v>296.55</v>
      </c>
      <c r="C2581" s="1" t="n">
        <f aca="false">1/B2581</f>
        <v>0.00337211262856179</v>
      </c>
      <c r="D2581" s="1" t="n">
        <v>1.1</v>
      </c>
      <c r="E2581" s="1" t="n">
        <f aca="false">LN(D2581)</f>
        <v>0.0953101798043249</v>
      </c>
    </row>
    <row r="2582" customFormat="false" ht="15.75" hidden="false" customHeight="false" outlineLevel="0" collapsed="false">
      <c r="A2582" s="1" t="s">
        <v>811</v>
      </c>
      <c r="B2582" s="1" t="n">
        <v>301.45</v>
      </c>
      <c r="C2582" s="1" t="n">
        <f aca="false">1/B2582</f>
        <v>0.00331729971802952</v>
      </c>
      <c r="D2582" s="1" t="n">
        <v>1.029</v>
      </c>
      <c r="E2582" s="1" t="n">
        <f aca="false">LN(D2582)</f>
        <v>0.0285874568519125</v>
      </c>
    </row>
    <row r="2583" customFormat="false" ht="15.75" hidden="false" customHeight="false" outlineLevel="0" collapsed="false">
      <c r="A2583" s="1" t="s">
        <v>811</v>
      </c>
      <c r="B2583" s="1" t="n">
        <v>306.25</v>
      </c>
      <c r="C2583" s="1" t="n">
        <f aca="false">1/B2583</f>
        <v>0.00326530612244898</v>
      </c>
      <c r="D2583" s="1" t="n">
        <v>0.972</v>
      </c>
      <c r="E2583" s="1" t="n">
        <f aca="false">LN(D2583)</f>
        <v>-0.028399474521698</v>
      </c>
    </row>
    <row r="2584" customFormat="false" ht="15.75" hidden="false" customHeight="false" outlineLevel="0" collapsed="false">
      <c r="A2584" s="1" t="s">
        <v>811</v>
      </c>
      <c r="B2584" s="1" t="n">
        <v>316.75</v>
      </c>
      <c r="C2584" s="1" t="n">
        <f aca="false">1/B2584</f>
        <v>0.00315706393054459</v>
      </c>
      <c r="D2584" s="1" t="n">
        <v>0.853</v>
      </c>
      <c r="E2584" s="1" t="n">
        <f aca="false">LN(D2584)</f>
        <v>-0.158995731490458</v>
      </c>
    </row>
    <row r="2585" customFormat="false" ht="15.75" hidden="false" customHeight="false" outlineLevel="0" collapsed="false">
      <c r="A2585" s="1" t="s">
        <v>811</v>
      </c>
      <c r="B2585" s="1" t="n">
        <v>322.65</v>
      </c>
      <c r="C2585" s="1" t="n">
        <f aca="false">1/B2585</f>
        <v>0.0030993336432667</v>
      </c>
      <c r="D2585" s="1" t="n">
        <v>0.804</v>
      </c>
      <c r="E2585" s="1" t="n">
        <f aca="false">LN(D2585)</f>
        <v>-0.218156009803171</v>
      </c>
    </row>
    <row r="2586" customFormat="false" ht="15.75" hidden="false" customHeight="false" outlineLevel="0" collapsed="false">
      <c r="A2586" s="1" t="s">
        <v>811</v>
      </c>
      <c r="B2586" s="1" t="n">
        <v>334.55</v>
      </c>
      <c r="C2586" s="1" t="n">
        <f aca="false">1/B2586</f>
        <v>0.00298908982214916</v>
      </c>
      <c r="D2586" s="1" t="n">
        <v>0.71</v>
      </c>
      <c r="E2586" s="1" t="n">
        <f aca="false">LN(D2586)</f>
        <v>-0.342490308946776</v>
      </c>
    </row>
    <row r="2587" customFormat="false" ht="15.75" hidden="false" customHeight="false" outlineLevel="0" collapsed="false">
      <c r="A2587" s="1" t="s">
        <v>811</v>
      </c>
      <c r="B2587" s="1" t="n">
        <v>344.35</v>
      </c>
      <c r="C2587" s="1" t="n">
        <f aca="false">1/B2587</f>
        <v>0.00290402207056774</v>
      </c>
      <c r="D2587" s="1" t="n">
        <v>0.645</v>
      </c>
      <c r="E2587" s="1" t="n">
        <f aca="false">LN(D2587)</f>
        <v>-0.438504962186365</v>
      </c>
    </row>
    <row r="2588" customFormat="false" ht="15.75" hidden="false" customHeight="false" outlineLevel="0" collapsed="false">
      <c r="A2588" s="1" t="s">
        <v>811</v>
      </c>
      <c r="B2588" s="1" t="n">
        <v>353.85</v>
      </c>
      <c r="C2588" s="1" t="n">
        <f aca="false">1/B2588</f>
        <v>0.00282605623851915</v>
      </c>
      <c r="D2588" s="1" t="n">
        <v>0.6</v>
      </c>
      <c r="E2588" s="1" t="n">
        <f aca="false">LN(D2588)</f>
        <v>-0.510825623765991</v>
      </c>
    </row>
    <row r="2589" customFormat="false" ht="15.75" hidden="false" customHeight="false" outlineLevel="0" collapsed="false">
      <c r="A2589" s="1" t="s">
        <v>811</v>
      </c>
      <c r="B2589" s="1" t="n">
        <v>364.15</v>
      </c>
      <c r="C2589" s="1" t="n">
        <f aca="false">1/B2589</f>
        <v>0.00274612110394068</v>
      </c>
      <c r="D2589" s="1" t="n">
        <v>0.549</v>
      </c>
      <c r="E2589" s="1" t="n">
        <f aca="false">LN(D2589)</f>
        <v>-0.599656837472606</v>
      </c>
    </row>
    <row r="2590" customFormat="false" ht="15.75" hidden="false" customHeight="false" outlineLevel="0" collapsed="false">
      <c r="A2590" s="1" t="s">
        <v>811</v>
      </c>
      <c r="B2590" s="1" t="n">
        <v>375.35</v>
      </c>
      <c r="C2590" s="1" t="n">
        <f aca="false">1/B2590</f>
        <v>0.00266418009857466</v>
      </c>
      <c r="D2590" s="1" t="n">
        <v>0.51</v>
      </c>
      <c r="E2590" s="1" t="n">
        <f aca="false">LN(D2590)</f>
        <v>-0.673344553263766</v>
      </c>
    </row>
    <row r="2591" customFormat="false" ht="15.75" hidden="false" customHeight="false" outlineLevel="0" collapsed="false">
      <c r="A2591" s="1" t="s">
        <v>811</v>
      </c>
      <c r="B2591" s="1" t="n">
        <v>384.85</v>
      </c>
      <c r="C2591" s="1" t="n">
        <f aca="false">1/B2591</f>
        <v>0.00259841496687021</v>
      </c>
      <c r="D2591" s="1" t="n">
        <v>0.473</v>
      </c>
      <c r="E2591" s="1" t="n">
        <f aca="false">LN(D2591)</f>
        <v>-0.748659890490204</v>
      </c>
    </row>
    <row r="2592" customFormat="false" ht="15.75" hidden="false" customHeight="false" outlineLevel="0" collapsed="false">
      <c r="A2592" s="1" t="s">
        <v>811</v>
      </c>
      <c r="B2592" s="1" t="n">
        <v>394.85</v>
      </c>
      <c r="C2592" s="1" t="n">
        <f aca="false">1/B2592</f>
        <v>0.00253260731923515</v>
      </c>
      <c r="D2592" s="1" t="n">
        <v>0.446</v>
      </c>
      <c r="E2592" s="1" t="n">
        <f aca="false">LN(D2592)</f>
        <v>-0.807436326962073</v>
      </c>
    </row>
    <row r="2593" customFormat="false" ht="15.75" hidden="false" customHeight="false" outlineLevel="0" collapsed="false">
      <c r="A2593" s="1" t="s">
        <v>811</v>
      </c>
      <c r="B2593" s="1" t="n">
        <v>405.45</v>
      </c>
      <c r="C2593" s="1" t="n">
        <f aca="false">1/B2593</f>
        <v>0.00246639536317672</v>
      </c>
      <c r="D2593" s="1" t="n">
        <v>0.413</v>
      </c>
      <c r="E2593" s="1" t="n">
        <f aca="false">LN(D2593)</f>
        <v>-0.884307686021104</v>
      </c>
    </row>
    <row r="2594" customFormat="false" ht="15.75" hidden="false" customHeight="false" outlineLevel="0" collapsed="false">
      <c r="A2594" s="1" t="s">
        <v>811</v>
      </c>
      <c r="B2594" s="1" t="n">
        <v>415.65</v>
      </c>
      <c r="C2594" s="1" t="n">
        <f aca="false">1/B2594</f>
        <v>0.00240587032358956</v>
      </c>
      <c r="D2594" s="1" t="n">
        <v>0.385</v>
      </c>
      <c r="E2594" s="1" t="n">
        <f aca="false">LN(D2594)</f>
        <v>-0.954511944694353</v>
      </c>
    </row>
    <row r="2595" customFormat="false" ht="15.75" hidden="false" customHeight="false" outlineLevel="0" collapsed="false">
      <c r="A2595" s="1" t="s">
        <v>811</v>
      </c>
      <c r="B2595" s="1" t="n">
        <v>288.15</v>
      </c>
      <c r="C2595" s="1" t="n">
        <f aca="false">1/B2595</f>
        <v>0.00347041471455839</v>
      </c>
      <c r="D2595" s="1" t="n">
        <v>1.196</v>
      </c>
      <c r="E2595" s="1" t="n">
        <f aca="false">LN(D2595)</f>
        <v>0.17898265552844</v>
      </c>
    </row>
    <row r="2596" customFormat="false" ht="15.75" hidden="false" customHeight="false" outlineLevel="0" collapsed="false">
      <c r="A2596" s="1" t="s">
        <v>811</v>
      </c>
      <c r="B2596" s="1" t="n">
        <v>293.15</v>
      </c>
      <c r="C2596" s="1" t="n">
        <f aca="false">1/B2596</f>
        <v>0.00341122292341805</v>
      </c>
      <c r="D2596" s="1" t="n">
        <v>0.985</v>
      </c>
      <c r="E2596" s="1" t="n">
        <f aca="false">LN(D2596)</f>
        <v>-0.0151136378100482</v>
      </c>
    </row>
    <row r="2597" customFormat="false" ht="15.75" hidden="false" customHeight="false" outlineLevel="0" collapsed="false">
      <c r="A2597" s="1" t="s">
        <v>811</v>
      </c>
      <c r="B2597" s="1" t="n">
        <v>303.15178</v>
      </c>
      <c r="C2597" s="1" t="n">
        <f aca="false">1/B2597</f>
        <v>0.00329867764589738</v>
      </c>
      <c r="D2597" s="1" t="n">
        <v>0.985</v>
      </c>
      <c r="E2597" s="1" t="n">
        <f aca="false">LN(D2597)</f>
        <v>-0.0151136378100482</v>
      </c>
    </row>
    <row r="2598" customFormat="false" ht="15.75" hidden="false" customHeight="false" outlineLevel="0" collapsed="false">
      <c r="A2598" s="1" t="s">
        <v>811</v>
      </c>
      <c r="B2598" s="1" t="n">
        <v>313.15</v>
      </c>
      <c r="C2598" s="1" t="n">
        <f aca="false">1/B2598</f>
        <v>0.00319335781574325</v>
      </c>
      <c r="D2598" s="1" t="n">
        <v>0.895</v>
      </c>
      <c r="E2598" s="1" t="n">
        <f aca="false">LN(D2598)</f>
        <v>-0.110931560707282</v>
      </c>
    </row>
    <row r="2599" customFormat="false" ht="15.75" hidden="false" customHeight="false" outlineLevel="0" collapsed="false">
      <c r="A2599" s="1" t="s">
        <v>1443</v>
      </c>
      <c r="B2599" s="1" t="n">
        <v>283.1596</v>
      </c>
      <c r="C2599" s="1" t="n">
        <f aca="false">1/B2599</f>
        <v>0.00353157724477644</v>
      </c>
      <c r="D2599" s="1" t="n">
        <v>2.2173</v>
      </c>
      <c r="E2599" s="1" t="n">
        <f aca="false">LN(D2599)</f>
        <v>0.796290239476814</v>
      </c>
    </row>
    <row r="2600" customFormat="false" ht="15.75" hidden="false" customHeight="false" outlineLevel="0" collapsed="false">
      <c r="A2600" s="1" t="s">
        <v>1443</v>
      </c>
      <c r="B2600" s="1" t="n">
        <v>288.15</v>
      </c>
      <c r="C2600" s="1" t="n">
        <f aca="false">1/B2600</f>
        <v>0.00347041471455839</v>
      </c>
      <c r="D2600" s="1" t="n">
        <v>2.153</v>
      </c>
      <c r="E2600" s="1" t="n">
        <f aca="false">LN(D2600)</f>
        <v>0.766862218382226</v>
      </c>
    </row>
    <row r="2601" customFormat="false" ht="15.75" hidden="false" customHeight="false" outlineLevel="0" collapsed="false">
      <c r="A2601" s="1" t="s">
        <v>1443</v>
      </c>
      <c r="B2601" s="1" t="n">
        <v>303.15</v>
      </c>
      <c r="C2601" s="1" t="n">
        <f aca="false">1/B2601</f>
        <v>0.0032986970146792</v>
      </c>
      <c r="D2601" s="1" t="n">
        <v>1.741</v>
      </c>
      <c r="E2601" s="1" t="n">
        <f aca="false">LN(D2601)</f>
        <v>0.554459660786052</v>
      </c>
    </row>
    <row r="2602" customFormat="false" ht="15.75" hidden="false" customHeight="false" outlineLevel="0" collapsed="false">
      <c r="A2602" s="1" t="s">
        <v>1443</v>
      </c>
      <c r="B2602" s="1" t="n">
        <v>349.65</v>
      </c>
      <c r="C2602" s="1" t="n">
        <f aca="false">1/B2602</f>
        <v>0.00286000286000286</v>
      </c>
      <c r="D2602" s="1" t="n">
        <v>1.0091</v>
      </c>
      <c r="E2602" s="1" t="n">
        <f aca="false">LN(D2602)</f>
        <v>0.00905884448834615</v>
      </c>
    </row>
    <row r="2603" customFormat="false" ht="15.75" hidden="false" customHeight="false" outlineLevel="0" collapsed="false">
      <c r="A2603" s="1" t="s">
        <v>813</v>
      </c>
      <c r="B2603" s="1" t="n">
        <v>134.9</v>
      </c>
      <c r="C2603" s="1" t="n">
        <f aca="false">1/B2603</f>
        <v>0.00741289844329133</v>
      </c>
      <c r="D2603" s="1" t="n">
        <v>2.3625</v>
      </c>
      <c r="E2603" s="1" t="n">
        <f aca="false">LN(D2603)</f>
        <v>0.859720380385761</v>
      </c>
    </row>
    <row r="2604" customFormat="false" ht="15.75" hidden="false" customHeight="false" outlineLevel="0" collapsed="false">
      <c r="A2604" s="1" t="s">
        <v>813</v>
      </c>
      <c r="B2604" s="1" t="n">
        <v>135.63</v>
      </c>
      <c r="C2604" s="1" t="n">
        <f aca="false">1/B2604</f>
        <v>0.00737300007373</v>
      </c>
      <c r="D2604" s="1" t="n">
        <v>2.2941</v>
      </c>
      <c r="E2604" s="1" t="n">
        <f aca="false">LN(D2604)</f>
        <v>0.830340609736152</v>
      </c>
    </row>
    <row r="2605" customFormat="false" ht="15.75" hidden="false" customHeight="false" outlineLevel="0" collapsed="false">
      <c r="A2605" s="1" t="s">
        <v>813</v>
      </c>
      <c r="B2605" s="1" t="n">
        <v>136.36</v>
      </c>
      <c r="C2605" s="1" t="n">
        <f aca="false">1/B2605</f>
        <v>0.00733352889410384</v>
      </c>
      <c r="D2605" s="1" t="n">
        <v>2.2287</v>
      </c>
      <c r="E2605" s="1" t="n">
        <f aca="false">LN(D2605)</f>
        <v>0.801418455843733</v>
      </c>
    </row>
    <row r="2606" customFormat="false" ht="15.75" hidden="false" customHeight="false" outlineLevel="0" collapsed="false">
      <c r="A2606" s="1" t="s">
        <v>813</v>
      </c>
      <c r="B2606" s="1" t="n">
        <v>137.1</v>
      </c>
      <c r="C2606" s="1" t="n">
        <f aca="false">1/B2606</f>
        <v>0.00729394602479942</v>
      </c>
      <c r="D2606" s="1" t="n">
        <v>2.1659</v>
      </c>
      <c r="E2606" s="1" t="n">
        <f aca="false">LN(D2606)</f>
        <v>0.772835979461313</v>
      </c>
    </row>
    <row r="2607" customFormat="false" ht="15.75" hidden="false" customHeight="false" outlineLevel="0" collapsed="false">
      <c r="A2607" s="1" t="s">
        <v>813</v>
      </c>
      <c r="B2607" s="1" t="n">
        <v>137.83</v>
      </c>
      <c r="C2607" s="1" t="n">
        <f aca="false">1/B2607</f>
        <v>0.00725531451788435</v>
      </c>
      <c r="D2607" s="1" t="n">
        <v>2.1056</v>
      </c>
      <c r="E2607" s="1" t="n">
        <f aca="false">LN(D2607)</f>
        <v>0.744600462148861</v>
      </c>
    </row>
    <row r="2608" customFormat="false" ht="15.75" hidden="false" customHeight="false" outlineLevel="0" collapsed="false">
      <c r="A2608" s="1" t="s">
        <v>813</v>
      </c>
      <c r="B2608" s="1" t="n">
        <v>138.56</v>
      </c>
      <c r="C2608" s="1" t="n">
        <f aca="false">1/B2608</f>
        <v>0.00721709006928406</v>
      </c>
      <c r="D2608" s="1" t="n">
        <v>2.0478</v>
      </c>
      <c r="E2608" s="1" t="n">
        <f aca="false">LN(D2608)</f>
        <v>0.716766046158579</v>
      </c>
    </row>
    <row r="2609" customFormat="false" ht="15.75" hidden="false" customHeight="false" outlineLevel="0" collapsed="false">
      <c r="A2609" s="1" t="s">
        <v>813</v>
      </c>
      <c r="B2609" s="1" t="n">
        <v>139.3</v>
      </c>
      <c r="C2609" s="1" t="n">
        <f aca="false">1/B2609</f>
        <v>0.00717875089734386</v>
      </c>
      <c r="D2609" s="1" t="n">
        <v>1.9924</v>
      </c>
      <c r="E2609" s="1" t="n">
        <f aca="false">LN(D2609)</f>
        <v>0.689339942216991</v>
      </c>
    </row>
    <row r="2610" customFormat="false" ht="15.75" hidden="false" customHeight="false" outlineLevel="0" collapsed="false">
      <c r="A2610" s="1" t="s">
        <v>813</v>
      </c>
      <c r="B2610" s="1" t="n">
        <v>140.03</v>
      </c>
      <c r="C2610" s="1" t="n">
        <f aca="false">1/B2610</f>
        <v>0.00714132685853032</v>
      </c>
      <c r="D2610" s="1" t="n">
        <v>1.9391</v>
      </c>
      <c r="E2610" s="1" t="n">
        <f aca="false">LN(D2610)</f>
        <v>0.662223947906435</v>
      </c>
    </row>
    <row r="2611" customFormat="false" ht="15.75" hidden="false" customHeight="false" outlineLevel="0" collapsed="false">
      <c r="A2611" s="1" t="s">
        <v>813</v>
      </c>
      <c r="B2611" s="1" t="n">
        <v>140.76</v>
      </c>
      <c r="C2611" s="1" t="n">
        <f aca="false">1/B2611</f>
        <v>0.00710429099175902</v>
      </c>
      <c r="D2611" s="1" t="n">
        <v>1.888</v>
      </c>
      <c r="E2611" s="1" t="n">
        <f aca="false">LN(D2611)</f>
        <v>0.635518067723309</v>
      </c>
    </row>
    <row r="2612" customFormat="false" ht="15.75" hidden="false" customHeight="false" outlineLevel="0" collapsed="false">
      <c r="A2612" s="1" t="s">
        <v>813</v>
      </c>
      <c r="B2612" s="1" t="n">
        <v>141.5</v>
      </c>
      <c r="C2612" s="1" t="n">
        <f aca="false">1/B2612</f>
        <v>0.00706713780918728</v>
      </c>
      <c r="D2612" s="1" t="n">
        <v>1.8388</v>
      </c>
      <c r="E2612" s="1" t="n">
        <f aca="false">LN(D2612)</f>
        <v>0.609113184949936</v>
      </c>
    </row>
    <row r="2613" customFormat="false" ht="15.75" hidden="false" customHeight="false" outlineLevel="0" collapsed="false">
      <c r="A2613" s="1" t="s">
        <v>813</v>
      </c>
      <c r="B2613" s="1" t="n">
        <v>142.23</v>
      </c>
      <c r="C2613" s="1" t="n">
        <f aca="false">1/B2613</f>
        <v>0.00703086549954299</v>
      </c>
      <c r="D2613" s="1" t="n">
        <v>1.7916</v>
      </c>
      <c r="E2613" s="1" t="n">
        <f aca="false">LN(D2613)</f>
        <v>0.583109075351008</v>
      </c>
    </row>
    <row r="2614" customFormat="false" ht="15.75" hidden="false" customHeight="false" outlineLevel="0" collapsed="false">
      <c r="A2614" s="1" t="s">
        <v>813</v>
      </c>
      <c r="B2614" s="1" t="n">
        <v>142.96</v>
      </c>
      <c r="C2614" s="1" t="n">
        <f aca="false">1/B2614</f>
        <v>0.00699496362618914</v>
      </c>
      <c r="D2614" s="1" t="n">
        <v>1.7462</v>
      </c>
      <c r="E2614" s="1" t="n">
        <f aca="false">LN(D2614)</f>
        <v>0.55744199839457</v>
      </c>
    </row>
    <row r="2615" customFormat="false" ht="15.75" hidden="false" customHeight="false" outlineLevel="0" collapsed="false">
      <c r="A2615" s="1" t="s">
        <v>813</v>
      </c>
      <c r="B2615" s="1" t="n">
        <v>143.7</v>
      </c>
      <c r="C2615" s="1" t="n">
        <f aca="false">1/B2615</f>
        <v>0.0069589422407794</v>
      </c>
      <c r="D2615" s="1" t="n">
        <v>1.7025</v>
      </c>
      <c r="E2615" s="1" t="n">
        <f aca="false">LN(D2615)</f>
        <v>0.53209775904153</v>
      </c>
    </row>
    <row r="2616" customFormat="false" ht="15.75" hidden="false" customHeight="false" outlineLevel="0" collapsed="false">
      <c r="A2616" s="1" t="s">
        <v>813</v>
      </c>
      <c r="B2616" s="1" t="n">
        <v>144.43</v>
      </c>
      <c r="C2616" s="1" t="n">
        <f aca="false">1/B2616</f>
        <v>0.00692376930000692</v>
      </c>
      <c r="D2616" s="1" t="n">
        <v>1.6604</v>
      </c>
      <c r="E2616" s="1" t="n">
        <f aca="false">LN(D2616)</f>
        <v>0.507058537196747</v>
      </c>
    </row>
    <row r="2617" customFormat="false" ht="15.75" hidden="false" customHeight="false" outlineLevel="0" collapsed="false">
      <c r="A2617" s="1" t="s">
        <v>813</v>
      </c>
      <c r="B2617" s="1" t="n">
        <v>145.16</v>
      </c>
      <c r="C2617" s="1" t="n">
        <f aca="false">1/B2617</f>
        <v>0.0068889501240011</v>
      </c>
      <c r="D2617" s="1" t="n">
        <v>1.62</v>
      </c>
      <c r="E2617" s="1" t="n">
        <f aca="false">LN(D2617)</f>
        <v>0.482426149244293</v>
      </c>
    </row>
    <row r="2618" customFormat="false" ht="15.75" hidden="false" customHeight="false" outlineLevel="0" collapsed="false">
      <c r="A2618" s="1" t="s">
        <v>813</v>
      </c>
      <c r="B2618" s="1" t="n">
        <v>145.9</v>
      </c>
      <c r="C2618" s="1" t="n">
        <f aca="false">1/B2618</f>
        <v>0.00685400959561343</v>
      </c>
      <c r="D2618" s="1" t="n">
        <v>1.581</v>
      </c>
      <c r="E2618" s="1" t="n">
        <f aca="false">LN(D2618)</f>
        <v>0.458057558227335</v>
      </c>
    </row>
    <row r="2619" customFormat="false" ht="15.75" hidden="false" customHeight="false" outlineLevel="0" collapsed="false">
      <c r="A2619" s="1" t="s">
        <v>813</v>
      </c>
      <c r="B2619" s="1" t="n">
        <v>146.63</v>
      </c>
      <c r="C2619" s="1" t="n">
        <f aca="false">1/B2619</f>
        <v>0.00681988678987929</v>
      </c>
      <c r="D2619" s="1" t="n">
        <v>1.5435</v>
      </c>
      <c r="E2619" s="1" t="n">
        <f aca="false">LN(D2619)</f>
        <v>0.434052564960077</v>
      </c>
    </row>
    <row r="2620" customFormat="false" ht="15.75" hidden="false" customHeight="false" outlineLevel="0" collapsed="false">
      <c r="A2620" s="1" t="s">
        <v>813</v>
      </c>
      <c r="B2620" s="1" t="n">
        <v>147.36</v>
      </c>
      <c r="C2620" s="1" t="n">
        <f aca="false">1/B2620</f>
        <v>0.00678610206297503</v>
      </c>
      <c r="D2620" s="1" t="n">
        <v>1.5074</v>
      </c>
      <c r="E2620" s="1" t="n">
        <f aca="false">LN(D2620)</f>
        <v>0.410386312427232</v>
      </c>
    </row>
    <row r="2621" customFormat="false" ht="15.75" hidden="false" customHeight="false" outlineLevel="0" collapsed="false">
      <c r="A2621" s="1" t="s">
        <v>813</v>
      </c>
      <c r="B2621" s="1" t="n">
        <v>148.1</v>
      </c>
      <c r="C2621" s="1" t="n">
        <f aca="false">1/B2621</f>
        <v>0.00675219446320054</v>
      </c>
      <c r="D2621" s="1" t="n">
        <v>1.4726</v>
      </c>
      <c r="E2621" s="1" t="n">
        <f aca="false">LN(D2621)</f>
        <v>0.387029545952479</v>
      </c>
    </row>
    <row r="2622" customFormat="false" ht="15.75" hidden="false" customHeight="false" outlineLevel="0" collapsed="false">
      <c r="A2622" s="1" t="s">
        <v>813</v>
      </c>
      <c r="B2622" s="1" t="n">
        <v>148.83</v>
      </c>
      <c r="C2622" s="1" t="n">
        <f aca="false">1/B2622</f>
        <v>0.00671907545521736</v>
      </c>
      <c r="D2622" s="1" t="n">
        <v>1.439</v>
      </c>
      <c r="E2622" s="1" t="n">
        <f aca="false">LN(D2622)</f>
        <v>0.363948427905231</v>
      </c>
    </row>
    <row r="2623" customFormat="false" ht="15.75" hidden="false" customHeight="false" outlineLevel="0" collapsed="false">
      <c r="A2623" s="1" t="s">
        <v>813</v>
      </c>
      <c r="B2623" s="1" t="n">
        <v>149.57</v>
      </c>
      <c r="C2623" s="1" t="n">
        <f aca="false">1/B2623</f>
        <v>0.00668583272046533</v>
      </c>
      <c r="D2623" s="1" t="n">
        <v>1.4066</v>
      </c>
      <c r="E2623" s="1" t="n">
        <f aca="false">LN(D2623)</f>
        <v>0.341175444891781</v>
      </c>
    </row>
    <row r="2624" customFormat="false" ht="15.75" hidden="false" customHeight="false" outlineLevel="0" collapsed="false">
      <c r="A2624" s="1" t="s">
        <v>813</v>
      </c>
      <c r="B2624" s="1" t="n">
        <v>150.3</v>
      </c>
      <c r="C2624" s="1" t="n">
        <f aca="false">1/B2624</f>
        <v>0.00665335994677312</v>
      </c>
      <c r="D2624" s="1" t="n">
        <v>1.3754</v>
      </c>
      <c r="E2624" s="1" t="n">
        <f aca="false">LN(D2624)</f>
        <v>0.318744597903599</v>
      </c>
    </row>
    <row r="2625" customFormat="false" ht="15.75" hidden="false" customHeight="false" outlineLevel="0" collapsed="false">
      <c r="A2625" s="1" t="s">
        <v>813</v>
      </c>
      <c r="B2625" s="1" t="n">
        <v>151.03</v>
      </c>
      <c r="C2625" s="1" t="n">
        <f aca="false">1/B2625</f>
        <v>0.00662120108587698</v>
      </c>
      <c r="D2625" s="1" t="n">
        <v>1.3452</v>
      </c>
      <c r="E2625" s="1" t="n">
        <f aca="false">LN(D2625)</f>
        <v>0.296542700883977</v>
      </c>
    </row>
    <row r="2626" customFormat="false" ht="15.75" hidden="false" customHeight="false" outlineLevel="0" collapsed="false">
      <c r="A2626" s="1" t="s">
        <v>813</v>
      </c>
      <c r="B2626" s="1" t="n">
        <v>151.77</v>
      </c>
      <c r="C2626" s="1" t="n">
        <f aca="false">1/B2626</f>
        <v>0.00658891744086447</v>
      </c>
      <c r="D2626" s="1" t="n">
        <v>1.3161</v>
      </c>
      <c r="E2626" s="1" t="n">
        <f aca="false">LN(D2626)</f>
        <v>0.274672817858141</v>
      </c>
    </row>
    <row r="2627" customFormat="false" ht="15.75" hidden="false" customHeight="false" outlineLevel="0" collapsed="false">
      <c r="A2627" s="1" t="s">
        <v>813</v>
      </c>
      <c r="B2627" s="1" t="n">
        <v>152.5</v>
      </c>
      <c r="C2627" s="1" t="n">
        <f aca="false">1/B2627</f>
        <v>0.00655737704918033</v>
      </c>
      <c r="D2627" s="1" t="n">
        <v>1.288</v>
      </c>
      <c r="E2627" s="1" t="n">
        <f aca="false">LN(D2627)</f>
        <v>0.253090627682162</v>
      </c>
    </row>
    <row r="2628" customFormat="false" ht="15.75" hidden="false" customHeight="false" outlineLevel="0" collapsed="false">
      <c r="A2628" s="1" t="s">
        <v>813</v>
      </c>
      <c r="B2628" s="1" t="n">
        <v>153.23</v>
      </c>
      <c r="C2628" s="1" t="n">
        <f aca="false">1/B2628</f>
        <v>0.00652613717940351</v>
      </c>
      <c r="D2628" s="1" t="n">
        <v>1.2608</v>
      </c>
      <c r="E2628" s="1" t="n">
        <f aca="false">LN(D2628)</f>
        <v>0.231746440121478</v>
      </c>
    </row>
    <row r="2629" customFormat="false" ht="15.75" hidden="false" customHeight="false" outlineLevel="0" collapsed="false">
      <c r="A2629" s="1" t="s">
        <v>813</v>
      </c>
      <c r="B2629" s="1" t="n">
        <v>153.97</v>
      </c>
      <c r="C2629" s="1" t="n">
        <f aca="false">1/B2629</f>
        <v>0.00649477170877444</v>
      </c>
      <c r="D2629" s="1" t="n">
        <v>1.2346</v>
      </c>
      <c r="E2629" s="1" t="n">
        <f aca="false">LN(D2629)</f>
        <v>0.210747030977658</v>
      </c>
    </row>
    <row r="2630" customFormat="false" ht="15.75" hidden="false" customHeight="false" outlineLevel="0" collapsed="false">
      <c r="A2630" s="1" t="s">
        <v>813</v>
      </c>
      <c r="B2630" s="1" t="n">
        <v>154.7</v>
      </c>
      <c r="C2630" s="1" t="n">
        <f aca="false">1/B2630</f>
        <v>0.00646412411118294</v>
      </c>
      <c r="D2630" s="1" t="n">
        <v>1.2092</v>
      </c>
      <c r="E2630" s="1" t="n">
        <f aca="false">LN(D2630)</f>
        <v>0.189958983923166</v>
      </c>
    </row>
    <row r="2631" customFormat="false" ht="15.75" hidden="false" customHeight="false" outlineLevel="0" collapsed="false">
      <c r="A2631" s="1" t="s">
        <v>813</v>
      </c>
      <c r="B2631" s="1" t="n">
        <v>155.43</v>
      </c>
      <c r="C2631" s="1" t="n">
        <f aca="false">1/B2631</f>
        <v>0.00643376439554783</v>
      </c>
      <c r="D2631" s="1" t="n">
        <v>1.1847</v>
      </c>
      <c r="E2631" s="1" t="n">
        <f aca="false">LN(D2631)</f>
        <v>0.169489577978576</v>
      </c>
    </row>
    <row r="2632" customFormat="false" ht="15.75" hidden="false" customHeight="false" outlineLevel="0" collapsed="false">
      <c r="A2632" s="1" t="s">
        <v>813</v>
      </c>
      <c r="B2632" s="1" t="n">
        <v>156.17</v>
      </c>
      <c r="C2632" s="1" t="n">
        <f aca="false">1/B2632</f>
        <v>0.00640327847858103</v>
      </c>
      <c r="D2632" s="1" t="n">
        <v>1.161</v>
      </c>
      <c r="E2632" s="1" t="n">
        <f aca="false">LN(D2632)</f>
        <v>0.149281702715754</v>
      </c>
    </row>
    <row r="2633" customFormat="false" ht="15.75" hidden="false" customHeight="false" outlineLevel="0" collapsed="false">
      <c r="A2633" s="1" t="s">
        <v>813</v>
      </c>
      <c r="B2633" s="1" t="n">
        <v>156.9</v>
      </c>
      <c r="C2633" s="1" t="n">
        <f aca="false">1/B2633</f>
        <v>0.00637348629700446</v>
      </c>
      <c r="D2633" s="1" t="n">
        <v>1.138</v>
      </c>
      <c r="E2633" s="1" t="n">
        <f aca="false">LN(D2633)</f>
        <v>0.129272335704139</v>
      </c>
    </row>
    <row r="2634" customFormat="false" ht="15.75" hidden="false" customHeight="false" outlineLevel="0" collapsed="false">
      <c r="A2634" s="1" t="s">
        <v>813</v>
      </c>
      <c r="B2634" s="1" t="n">
        <v>157.63</v>
      </c>
      <c r="C2634" s="1" t="n">
        <f aca="false">1/B2634</f>
        <v>0.00634397005646133</v>
      </c>
      <c r="D2634" s="1" t="n">
        <v>1.1158</v>
      </c>
      <c r="E2634" s="1" t="n">
        <f aca="false">LN(D2634)</f>
        <v>0.109571636429291</v>
      </c>
    </row>
    <row r="2635" customFormat="false" ht="15.75" hidden="false" customHeight="false" outlineLevel="0" collapsed="false">
      <c r="A2635" s="1" t="s">
        <v>813</v>
      </c>
      <c r="B2635" s="1" t="n">
        <v>158.37</v>
      </c>
      <c r="C2635" s="1" t="n">
        <f aca="false">1/B2635</f>
        <v>0.00631432720843594</v>
      </c>
      <c r="D2635" s="1" t="n">
        <v>1.0943</v>
      </c>
      <c r="E2635" s="1" t="n">
        <f aca="false">LN(D2635)</f>
        <v>0.0901148894422603</v>
      </c>
    </row>
    <row r="2636" customFormat="false" ht="15.75" hidden="false" customHeight="false" outlineLevel="0" collapsed="false">
      <c r="A2636" s="1" t="s">
        <v>813</v>
      </c>
      <c r="B2636" s="1" t="n">
        <v>159.1</v>
      </c>
      <c r="C2636" s="1" t="n">
        <f aca="false">1/B2636</f>
        <v>0.00628535512256443</v>
      </c>
      <c r="D2636" s="1" t="n">
        <v>1.0734</v>
      </c>
      <c r="E2636" s="1" t="n">
        <f aca="false">LN(D2636)</f>
        <v>0.0708311807605914</v>
      </c>
    </row>
    <row r="2637" customFormat="false" ht="15.75" hidden="false" customHeight="false" outlineLevel="0" collapsed="false">
      <c r="A2637" s="1" t="s">
        <v>813</v>
      </c>
      <c r="B2637" s="1" t="n">
        <v>159.83</v>
      </c>
      <c r="C2637" s="1" t="n">
        <f aca="false">1/B2637</f>
        <v>0.00625664768816868</v>
      </c>
      <c r="D2637" s="1" t="n">
        <v>1.0532</v>
      </c>
      <c r="E2637" s="1" t="n">
        <f aca="false">LN(D2637)</f>
        <v>0.0518331486400172</v>
      </c>
    </row>
    <row r="2638" customFormat="false" ht="15.75" hidden="false" customHeight="false" outlineLevel="0" collapsed="false">
      <c r="A2638" s="1" t="s">
        <v>813</v>
      </c>
      <c r="B2638" s="1" t="n">
        <v>160.57</v>
      </c>
      <c r="C2638" s="1" t="n">
        <f aca="false">1/B2638</f>
        <v>0.0062278134147101</v>
      </c>
      <c r="D2638" s="1" t="n">
        <v>1.0337</v>
      </c>
      <c r="E2638" s="1" t="n">
        <f aca="false">LN(D2638)</f>
        <v>0.0331445985923021</v>
      </c>
    </row>
    <row r="2639" customFormat="false" ht="15.75" hidden="false" customHeight="false" outlineLevel="0" collapsed="false">
      <c r="A2639" s="1" t="s">
        <v>813</v>
      </c>
      <c r="B2639" s="1" t="n">
        <v>161.3</v>
      </c>
      <c r="C2639" s="1" t="n">
        <f aca="false">1/B2639</f>
        <v>0.00619962802231866</v>
      </c>
      <c r="D2639" s="1" t="n">
        <v>1.0147</v>
      </c>
      <c r="E2639" s="1" t="n">
        <f aca="false">LN(D2639)</f>
        <v>0.0145930023029001</v>
      </c>
    </row>
    <row r="2640" customFormat="false" ht="15.75" hidden="false" customHeight="false" outlineLevel="0" collapsed="false">
      <c r="A2640" s="1" t="s">
        <v>813</v>
      </c>
      <c r="B2640" s="1" t="n">
        <v>162.03</v>
      </c>
      <c r="C2640" s="1" t="n">
        <f aca="false">1/B2640</f>
        <v>0.00617169659939517</v>
      </c>
      <c r="D2640" s="1" t="n">
        <v>0.99629</v>
      </c>
      <c r="E2640" s="1" t="n">
        <f aca="false">LN(D2640)</f>
        <v>-0.00371689911910728</v>
      </c>
    </row>
    <row r="2641" customFormat="false" ht="15.75" hidden="false" customHeight="false" outlineLevel="0" collapsed="false">
      <c r="A2641" s="1" t="s">
        <v>813</v>
      </c>
      <c r="B2641" s="1" t="n">
        <v>162.77</v>
      </c>
      <c r="C2641" s="1" t="n">
        <f aca="false">1/B2641</f>
        <v>0.0061436382625791</v>
      </c>
      <c r="D2641" s="1" t="n">
        <v>0.97843</v>
      </c>
      <c r="E2641" s="1" t="n">
        <f aca="false">LN(D2641)</f>
        <v>-0.0218060327734479</v>
      </c>
    </row>
    <row r="2642" customFormat="false" ht="15.75" hidden="false" customHeight="false" outlineLevel="0" collapsed="false">
      <c r="A2642" s="1" t="s">
        <v>813</v>
      </c>
      <c r="B2642" s="1" t="n">
        <v>163.5</v>
      </c>
      <c r="C2642" s="1" t="n">
        <f aca="false">1/B2642</f>
        <v>0.00611620795107034</v>
      </c>
      <c r="D2642" s="1" t="n">
        <v>0.96111</v>
      </c>
      <c r="E2642" s="1" t="n">
        <f aca="false">LN(D2642)</f>
        <v>-0.0396664124624638</v>
      </c>
    </row>
    <row r="2643" customFormat="false" ht="15.75" hidden="false" customHeight="false" outlineLevel="0" collapsed="false">
      <c r="A2643" s="1" t="s">
        <v>813</v>
      </c>
      <c r="B2643" s="1" t="n">
        <v>164.24</v>
      </c>
      <c r="C2643" s="1" t="n">
        <f aca="false">1/B2643</f>
        <v>0.00608865075499269</v>
      </c>
      <c r="D2643" s="1" t="n">
        <v>0.9443</v>
      </c>
      <c r="E2643" s="1" t="n">
        <f aca="false">LN(D2643)</f>
        <v>-0.0573113667131135</v>
      </c>
    </row>
    <row r="2644" customFormat="false" ht="15.75" hidden="false" customHeight="false" outlineLevel="0" collapsed="false">
      <c r="A2644" s="1" t="s">
        <v>813</v>
      </c>
      <c r="B2644" s="1" t="n">
        <v>164.97</v>
      </c>
      <c r="C2644" s="1" t="n">
        <f aca="false">1/B2644</f>
        <v>0.00606170818936776</v>
      </c>
      <c r="D2644" s="1" t="n">
        <v>0.92797</v>
      </c>
      <c r="E2644" s="1" t="n">
        <f aca="false">LN(D2644)</f>
        <v>-0.0747558743046911</v>
      </c>
    </row>
    <row r="2645" customFormat="false" ht="15.75" hidden="false" customHeight="false" outlineLevel="0" collapsed="false">
      <c r="A2645" s="1" t="s">
        <v>813</v>
      </c>
      <c r="B2645" s="1" t="n">
        <v>165.7</v>
      </c>
      <c r="C2645" s="1" t="n">
        <f aca="false">1/B2645</f>
        <v>0.00603500301750151</v>
      </c>
      <c r="D2645" s="1" t="n">
        <v>0.91212</v>
      </c>
      <c r="E2645" s="1" t="n">
        <f aca="false">LN(D2645)</f>
        <v>-0.0919837186161876</v>
      </c>
    </row>
    <row r="2646" customFormat="false" ht="15.75" hidden="false" customHeight="false" outlineLevel="0" collapsed="false">
      <c r="A2646" s="1" t="s">
        <v>813</v>
      </c>
      <c r="B2646" s="1" t="n">
        <v>166.44</v>
      </c>
      <c r="C2646" s="1" t="n">
        <f aca="false">1/B2646</f>
        <v>0.00600817111271329</v>
      </c>
      <c r="D2646" s="1" t="n">
        <v>0.89671</v>
      </c>
      <c r="E2646" s="1" t="n">
        <f aca="false">LN(D2646)</f>
        <v>-0.109022769084534</v>
      </c>
    </row>
    <row r="2647" customFormat="false" ht="15.75" hidden="false" customHeight="false" outlineLevel="0" collapsed="false">
      <c r="A2647" s="1" t="s">
        <v>813</v>
      </c>
      <c r="B2647" s="1" t="n">
        <v>167.17</v>
      </c>
      <c r="C2647" s="1" t="n">
        <f aca="false">1/B2647</f>
        <v>0.00598193455763594</v>
      </c>
      <c r="D2647" s="1" t="n">
        <v>0.88174</v>
      </c>
      <c r="E2647" s="1" t="n">
        <f aca="false">LN(D2647)</f>
        <v>-0.12585805101336</v>
      </c>
    </row>
    <row r="2648" customFormat="false" ht="15.75" hidden="false" customHeight="false" outlineLevel="0" collapsed="false">
      <c r="A2648" s="1" t="s">
        <v>813</v>
      </c>
      <c r="B2648" s="1" t="n">
        <v>167.9</v>
      </c>
      <c r="C2648" s="1" t="n">
        <f aca="false">1/B2648</f>
        <v>0.00595592614651578</v>
      </c>
      <c r="D2648" s="1" t="n">
        <v>0.86718</v>
      </c>
      <c r="E2648" s="1" t="n">
        <f aca="false">LN(D2648)</f>
        <v>-0.142508711293332</v>
      </c>
    </row>
    <row r="2649" customFormat="false" ht="15.75" hidden="false" customHeight="false" outlineLevel="0" collapsed="false">
      <c r="A2649" s="1" t="s">
        <v>813</v>
      </c>
      <c r="B2649" s="1" t="n">
        <v>168.64</v>
      </c>
      <c r="C2649" s="1" t="n">
        <f aca="false">1/B2649</f>
        <v>0.00592979127134725</v>
      </c>
      <c r="D2649" s="1" t="n">
        <v>0.85302</v>
      </c>
      <c r="E2649" s="1" t="n">
        <f aca="false">LN(D2649)</f>
        <v>-0.158972285106475</v>
      </c>
    </row>
    <row r="2650" customFormat="false" ht="15.75" hidden="false" customHeight="false" outlineLevel="0" collapsed="false">
      <c r="A2650" s="1" t="s">
        <v>813</v>
      </c>
      <c r="B2650" s="1" t="n">
        <v>169.37</v>
      </c>
      <c r="C2650" s="1" t="n">
        <f aca="false">1/B2650</f>
        <v>0.00590423333530141</v>
      </c>
      <c r="D2650" s="1" t="n">
        <v>0.83926</v>
      </c>
      <c r="E2650" s="1" t="n">
        <f aca="false">LN(D2650)</f>
        <v>-0.175234727792325</v>
      </c>
    </row>
    <row r="2651" customFormat="false" ht="15.75" hidden="false" customHeight="false" outlineLevel="0" collapsed="false">
      <c r="A2651" s="1" t="s">
        <v>813</v>
      </c>
      <c r="B2651" s="1" t="n">
        <v>170.1</v>
      </c>
      <c r="C2651" s="1" t="n">
        <f aca="false">1/B2651</f>
        <v>0.00587889476778366</v>
      </c>
      <c r="D2651" s="1" t="n">
        <v>0.82586</v>
      </c>
      <c r="E2651" s="1" t="n">
        <f aca="false">LN(D2651)</f>
        <v>-0.191330011351894</v>
      </c>
    </row>
    <row r="2652" customFormat="false" ht="15.75" hidden="false" customHeight="false" outlineLevel="0" collapsed="false">
      <c r="A2652" s="1" t="s">
        <v>813</v>
      </c>
      <c r="B2652" s="1" t="n">
        <v>170.84</v>
      </c>
      <c r="C2652" s="1" t="n">
        <f aca="false">1/B2652</f>
        <v>0.00585343011004449</v>
      </c>
      <c r="D2652" s="1" t="n">
        <v>0.81282</v>
      </c>
      <c r="E2652" s="1" t="n">
        <f aca="false">LN(D2652)</f>
        <v>-0.207245596161437</v>
      </c>
    </row>
    <row r="2653" customFormat="false" ht="15.75" hidden="false" customHeight="false" outlineLevel="0" collapsed="false">
      <c r="A2653" s="1" t="s">
        <v>813</v>
      </c>
      <c r="B2653" s="1" t="n">
        <v>171.57</v>
      </c>
      <c r="C2653" s="1" t="n">
        <f aca="false">1/B2653</f>
        <v>0.00582852480037303</v>
      </c>
      <c r="D2653" s="1" t="n">
        <v>0.80013</v>
      </c>
      <c r="E2653" s="1" t="n">
        <f aca="false">LN(D2653)</f>
        <v>-0.222981064515905</v>
      </c>
    </row>
    <row r="2654" customFormat="false" ht="15.75" hidden="false" customHeight="false" outlineLevel="0" collapsed="false">
      <c r="A2654" s="1" t="s">
        <v>813</v>
      </c>
      <c r="B2654" s="1" t="n">
        <v>172.3</v>
      </c>
      <c r="C2654" s="1" t="n">
        <f aca="false">1/B2654</f>
        <v>0.00580383052814858</v>
      </c>
      <c r="D2654" s="1" t="n">
        <v>0.78777</v>
      </c>
      <c r="E2654" s="1" t="n">
        <f aca="false">LN(D2654)</f>
        <v>-0.238549109901571</v>
      </c>
    </row>
    <row r="2655" customFormat="false" ht="15.75" hidden="false" customHeight="false" outlineLevel="0" collapsed="false">
      <c r="A2655" s="1" t="s">
        <v>813</v>
      </c>
      <c r="B2655" s="1" t="n">
        <v>173.04</v>
      </c>
      <c r="C2655" s="1" t="n">
        <f aca="false">1/B2655</f>
        <v>0.00577901063337957</v>
      </c>
      <c r="D2655" s="1" t="n">
        <v>0.77572</v>
      </c>
      <c r="E2655" s="1" t="n">
        <f aca="false">LN(D2655)</f>
        <v>-0.253963648654097</v>
      </c>
    </row>
    <row r="2656" customFormat="false" ht="15.75" hidden="false" customHeight="false" outlineLevel="0" collapsed="false">
      <c r="A2656" s="1" t="s">
        <v>813</v>
      </c>
      <c r="B2656" s="1" t="n">
        <v>173.77</v>
      </c>
      <c r="C2656" s="1" t="n">
        <f aca="false">1/B2656</f>
        <v>0.00575473326811302</v>
      </c>
      <c r="D2656" s="1" t="n">
        <v>0.76399</v>
      </c>
      <c r="E2656" s="1" t="n">
        <f aca="false">LN(D2656)</f>
        <v>-0.269200578906514</v>
      </c>
    </row>
    <row r="2657" customFormat="false" ht="15.75" hidden="false" customHeight="false" outlineLevel="0" collapsed="false">
      <c r="A2657" s="1" t="s">
        <v>813</v>
      </c>
      <c r="B2657" s="1" t="n">
        <v>174.5</v>
      </c>
      <c r="C2657" s="1" t="n">
        <f aca="false">1/B2657</f>
        <v>0.00573065902578797</v>
      </c>
      <c r="D2657" s="1" t="n">
        <v>0.75256</v>
      </c>
      <c r="E2657" s="1" t="n">
        <f aca="false">LN(D2657)</f>
        <v>-0.284274551318441</v>
      </c>
    </row>
    <row r="2658" customFormat="false" ht="15.75" hidden="false" customHeight="false" outlineLevel="0" collapsed="false">
      <c r="A2658" s="1" t="s">
        <v>813</v>
      </c>
      <c r="B2658" s="1" t="n">
        <v>175.24</v>
      </c>
      <c r="C2658" s="1" t="n">
        <f aca="false">1/B2658</f>
        <v>0.00570645971239443</v>
      </c>
      <c r="D2658" s="1" t="n">
        <v>0.74141</v>
      </c>
      <c r="E2658" s="1" t="n">
        <f aca="false">LN(D2658)</f>
        <v>-0.299201500360783</v>
      </c>
    </row>
    <row r="2659" customFormat="false" ht="15.75" hidden="false" customHeight="false" outlineLevel="0" collapsed="false">
      <c r="A2659" s="1" t="s">
        <v>813</v>
      </c>
      <c r="B2659" s="1" t="n">
        <v>175.97</v>
      </c>
      <c r="C2659" s="1" t="n">
        <f aca="false">1/B2659</f>
        <v>0.00568278683866568</v>
      </c>
      <c r="D2659" s="1" t="n">
        <v>0.73054</v>
      </c>
      <c r="E2659" s="1" t="n">
        <f aca="false">LN(D2659)</f>
        <v>-0.313971292274751</v>
      </c>
    </row>
    <row r="2660" customFormat="false" ht="15.75" hidden="false" customHeight="false" outlineLevel="0" collapsed="false">
      <c r="A2660" s="1" t="s">
        <v>813</v>
      </c>
      <c r="B2660" s="1" t="n">
        <v>176.7</v>
      </c>
      <c r="C2660" s="1" t="n">
        <f aca="false">1/B2660</f>
        <v>0.00565930956423316</v>
      </c>
      <c r="D2660" s="1" t="n">
        <v>0.71994</v>
      </c>
      <c r="E2660" s="1" t="n">
        <f aca="false">LN(D2660)</f>
        <v>-0.328587403777784</v>
      </c>
    </row>
    <row r="2661" customFormat="false" ht="15.75" hidden="false" customHeight="false" outlineLevel="0" collapsed="false">
      <c r="A2661" s="1" t="s">
        <v>813</v>
      </c>
      <c r="B2661" s="1" t="n">
        <v>177.44</v>
      </c>
      <c r="C2661" s="1" t="n">
        <f aca="false">1/B2661</f>
        <v>0.00563570784490532</v>
      </c>
      <c r="D2661" s="1" t="n">
        <v>0.70959</v>
      </c>
      <c r="E2661" s="1" t="n">
        <f aca="false">LN(D2661)</f>
        <v>-0.343067940532515</v>
      </c>
    </row>
    <row r="2662" customFormat="false" ht="15.75" hidden="false" customHeight="false" outlineLevel="0" collapsed="false">
      <c r="A2662" s="1" t="s">
        <v>813</v>
      </c>
      <c r="B2662" s="1" t="n">
        <v>178.17</v>
      </c>
      <c r="C2662" s="1" t="n">
        <f aca="false">1/B2662</f>
        <v>0.00561261716338329</v>
      </c>
      <c r="D2662" s="1" t="n">
        <v>0.6995</v>
      </c>
      <c r="E2662" s="1" t="n">
        <f aca="false">LN(D2662)</f>
        <v>-0.357389484876601</v>
      </c>
    </row>
    <row r="2663" customFormat="false" ht="15.75" hidden="false" customHeight="false" outlineLevel="0" collapsed="false">
      <c r="A2663" s="1" t="s">
        <v>813</v>
      </c>
      <c r="B2663" s="1" t="n">
        <v>178.91</v>
      </c>
      <c r="C2663" s="1" t="n">
        <f aca="false">1/B2663</f>
        <v>0.00558940249287351</v>
      </c>
      <c r="D2663" s="1" t="n">
        <v>0.68965</v>
      </c>
      <c r="E2663" s="1" t="n">
        <f aca="false">LN(D2663)</f>
        <v>-0.371571056460608</v>
      </c>
    </row>
    <row r="2664" customFormat="false" ht="15.75" hidden="false" customHeight="false" outlineLevel="0" collapsed="false">
      <c r="A2664" s="1" t="s">
        <v>813</v>
      </c>
      <c r="B2664" s="1" t="n">
        <v>179.64</v>
      </c>
      <c r="C2664" s="1" t="n">
        <f aca="false">1/B2664</f>
        <v>0.0055666889334224</v>
      </c>
      <c r="D2664" s="1" t="n">
        <v>0.68003</v>
      </c>
      <c r="E2664" s="1" t="n">
        <f aca="false">LN(D2664)</f>
        <v>-0.385618364138081</v>
      </c>
    </row>
    <row r="2665" customFormat="false" ht="15.75" hidden="false" customHeight="false" outlineLevel="0" collapsed="false">
      <c r="A2665" s="1" t="s">
        <v>813</v>
      </c>
      <c r="B2665" s="1" t="n">
        <v>180.37</v>
      </c>
      <c r="C2665" s="1" t="n">
        <f aca="false">1/B2665</f>
        <v>0.00554415922825304</v>
      </c>
      <c r="D2665" s="1" t="n">
        <v>0.67063</v>
      </c>
      <c r="E2665" s="1" t="n">
        <f aca="false">LN(D2665)</f>
        <v>-0.399537709893374</v>
      </c>
    </row>
    <row r="2666" customFormat="false" ht="15.75" hidden="false" customHeight="false" outlineLevel="0" collapsed="false">
      <c r="A2666" s="1" t="s">
        <v>813</v>
      </c>
      <c r="B2666" s="1" t="n">
        <v>181.11</v>
      </c>
      <c r="C2666" s="1" t="n">
        <f aca="false">1/B2666</f>
        <v>0.00552150626690961</v>
      </c>
      <c r="D2666" s="1" t="n">
        <v>0.66145</v>
      </c>
      <c r="E2666" s="1" t="n">
        <f aca="false">LN(D2666)</f>
        <v>-0.413320884073748</v>
      </c>
    </row>
    <row r="2667" customFormat="false" ht="15.75" hidden="false" customHeight="false" outlineLevel="0" collapsed="false">
      <c r="A2667" s="1" t="s">
        <v>813</v>
      </c>
      <c r="B2667" s="1" t="n">
        <v>181.84</v>
      </c>
      <c r="C2667" s="1" t="n">
        <f aca="false">1/B2667</f>
        <v>0.0054993400791905</v>
      </c>
      <c r="D2667" s="1" t="n">
        <v>0.65249</v>
      </c>
      <c r="E2667" s="1" t="n">
        <f aca="false">LN(D2667)</f>
        <v>-0.426959465573226</v>
      </c>
    </row>
    <row r="2668" customFormat="false" ht="15.75" hidden="false" customHeight="false" outlineLevel="0" collapsed="false">
      <c r="A2668" s="1" t="s">
        <v>813</v>
      </c>
      <c r="B2668" s="1" t="n">
        <v>182.57</v>
      </c>
      <c r="C2668" s="1" t="n">
        <f aca="false">1/B2668</f>
        <v>0.00547735115298242</v>
      </c>
      <c r="D2668" s="1" t="n">
        <v>0.64372</v>
      </c>
      <c r="E2668" s="1" t="n">
        <f aca="false">LN(D2668)</f>
        <v>-0.440491430031843</v>
      </c>
    </row>
    <row r="2669" customFormat="false" ht="15.75" hidden="false" customHeight="false" outlineLevel="0" collapsed="false">
      <c r="A2669" s="1" t="s">
        <v>813</v>
      </c>
      <c r="B2669" s="1" t="n">
        <v>183.31</v>
      </c>
      <c r="C2669" s="1" t="n">
        <f aca="false">1/B2669</f>
        <v>0.00545523975778735</v>
      </c>
      <c r="D2669" s="1" t="n">
        <v>0.63515</v>
      </c>
      <c r="E2669" s="1" t="n">
        <f aca="false">LN(D2669)</f>
        <v>-0.453894087512667</v>
      </c>
    </row>
    <row r="2670" customFormat="false" ht="15.75" hidden="false" customHeight="false" outlineLevel="0" collapsed="false">
      <c r="A2670" s="1" t="s">
        <v>813</v>
      </c>
      <c r="B2670" s="1" t="n">
        <v>184.04</v>
      </c>
      <c r="C2670" s="1" t="n">
        <f aca="false">1/B2670</f>
        <v>0.00543360139100196</v>
      </c>
      <c r="D2670" s="1" t="n">
        <v>0.62678</v>
      </c>
      <c r="E2670" s="1" t="n">
        <f aca="false">LN(D2670)</f>
        <v>-0.467159677114004</v>
      </c>
    </row>
    <row r="2671" customFormat="false" ht="15.75" hidden="false" customHeight="false" outlineLevel="0" collapsed="false">
      <c r="A2671" s="1" t="s">
        <v>813</v>
      </c>
      <c r="B2671" s="1" t="n">
        <v>184.77</v>
      </c>
      <c r="C2671" s="1" t="n">
        <f aca="false">1/B2671</f>
        <v>0.00541213400443795</v>
      </c>
      <c r="D2671" s="1" t="n">
        <v>0.61859</v>
      </c>
      <c r="E2671" s="1" t="n">
        <f aca="false">LN(D2671)</f>
        <v>-0.480312584396911</v>
      </c>
    </row>
    <row r="2672" customFormat="false" ht="15.75" hidden="false" customHeight="false" outlineLevel="0" collapsed="false">
      <c r="A2672" s="1" t="s">
        <v>813</v>
      </c>
      <c r="B2672" s="1" t="n">
        <v>185.51</v>
      </c>
      <c r="C2672" s="1" t="n">
        <f aca="false">1/B2672</f>
        <v>0.00539054498409789</v>
      </c>
      <c r="D2672" s="1" t="n">
        <v>0.61057</v>
      </c>
      <c r="E2672" s="1" t="n">
        <f aca="false">LN(D2672)</f>
        <v>-0.493362331889686</v>
      </c>
    </row>
    <row r="2673" customFormat="false" ht="15.75" hidden="false" customHeight="false" outlineLevel="0" collapsed="false">
      <c r="A2673" s="1" t="s">
        <v>813</v>
      </c>
      <c r="B2673" s="1" t="n">
        <v>186.24</v>
      </c>
      <c r="C2673" s="1" t="n">
        <f aca="false">1/B2673</f>
        <v>0.00536941580756014</v>
      </c>
      <c r="D2673" s="1" t="n">
        <v>0.60273</v>
      </c>
      <c r="E2673" s="1" t="n">
        <f aca="false">LN(D2673)</f>
        <v>-0.506285943723959</v>
      </c>
    </row>
    <row r="2674" customFormat="false" ht="15.75" hidden="false" customHeight="false" outlineLevel="0" collapsed="false">
      <c r="A2674" s="1" t="s">
        <v>813</v>
      </c>
      <c r="B2674" s="1" t="n">
        <v>186.97</v>
      </c>
      <c r="C2674" s="1" t="n">
        <f aca="false">1/B2674</f>
        <v>0.00534845162325507</v>
      </c>
      <c r="D2674" s="1" t="n">
        <v>0.59506</v>
      </c>
      <c r="E2674" s="1" t="n">
        <f aca="false">LN(D2674)</f>
        <v>-0.519093038184418</v>
      </c>
    </row>
    <row r="2675" customFormat="false" ht="15.75" hidden="false" customHeight="false" outlineLevel="0" collapsed="false">
      <c r="A2675" s="1" t="s">
        <v>813</v>
      </c>
      <c r="B2675" s="1" t="n">
        <v>187.71</v>
      </c>
      <c r="C2675" s="1" t="n">
        <f aca="false">1/B2675</f>
        <v>0.00532736668264877</v>
      </c>
      <c r="D2675" s="1" t="n">
        <v>0.58755</v>
      </c>
      <c r="E2675" s="1" t="n">
        <f aca="false">LN(D2675)</f>
        <v>-0.531793930202187</v>
      </c>
    </row>
    <row r="2676" customFormat="false" ht="15.75" hidden="false" customHeight="false" outlineLevel="0" collapsed="false">
      <c r="A2676" s="1" t="s">
        <v>813</v>
      </c>
      <c r="B2676" s="1" t="n">
        <v>188.44</v>
      </c>
      <c r="C2676" s="1" t="n">
        <f aca="false">1/B2676</f>
        <v>0.00530672893228614</v>
      </c>
      <c r="D2676" s="1" t="n">
        <v>0.5802</v>
      </c>
      <c r="E2676" s="1" t="n">
        <f aca="false">LN(D2676)</f>
        <v>-0.544382407294833</v>
      </c>
    </row>
    <row r="2677" customFormat="false" ht="15.75" hidden="false" customHeight="false" outlineLevel="0" collapsed="false">
      <c r="A2677" s="1" t="s">
        <v>813</v>
      </c>
      <c r="B2677" s="1" t="n">
        <v>189.17</v>
      </c>
      <c r="C2677" s="1" t="n">
        <f aca="false">1/B2677</f>
        <v>0.00528625046254692</v>
      </c>
      <c r="D2677" s="1" t="n">
        <v>0.573</v>
      </c>
      <c r="E2677" s="1" t="n">
        <f aca="false">LN(D2677)</f>
        <v>-0.556869562267398</v>
      </c>
    </row>
    <row r="2678" customFormat="false" ht="15.75" hidden="false" customHeight="false" outlineLevel="0" collapsed="false">
      <c r="A2678" s="1" t="s">
        <v>813</v>
      </c>
      <c r="B2678" s="1" t="n">
        <v>189.91</v>
      </c>
      <c r="C2678" s="1" t="n">
        <f aca="false">1/B2678</f>
        <v>0.0052656521510189</v>
      </c>
      <c r="D2678" s="1" t="n">
        <v>0.56594</v>
      </c>
      <c r="E2678" s="1" t="n">
        <f aca="false">LN(D2678)</f>
        <v>-0.569267213465238</v>
      </c>
    </row>
    <row r="2679" customFormat="false" ht="15.75" hidden="false" customHeight="false" outlineLevel="0" collapsed="false">
      <c r="A2679" s="1" t="s">
        <v>813</v>
      </c>
      <c r="B2679" s="1" t="n">
        <v>190.64</v>
      </c>
      <c r="C2679" s="1" t="n">
        <f aca="false">1/B2679</f>
        <v>0.00524548887956358</v>
      </c>
      <c r="D2679" s="1" t="n">
        <v>0.55904</v>
      </c>
      <c r="E2679" s="1" t="n">
        <f aca="false">LN(D2679)</f>
        <v>-0.581534252036445</v>
      </c>
    </row>
    <row r="2680" customFormat="false" ht="15.75" hidden="false" customHeight="false" outlineLevel="0" collapsed="false">
      <c r="A2680" s="1" t="s">
        <v>813</v>
      </c>
      <c r="B2680" s="1" t="n">
        <v>191.38</v>
      </c>
      <c r="C2680" s="1" t="n">
        <f aca="false">1/B2680</f>
        <v>0.00522520639565263</v>
      </c>
      <c r="D2680" s="1" t="n">
        <v>0.55227</v>
      </c>
      <c r="E2680" s="1" t="n">
        <f aca="false">LN(D2680)</f>
        <v>-0.593718221855557</v>
      </c>
    </row>
    <row r="2681" customFormat="false" ht="15.75" hidden="false" customHeight="false" outlineLevel="0" collapsed="false">
      <c r="A2681" s="1" t="s">
        <v>813</v>
      </c>
      <c r="B2681" s="1" t="n">
        <v>192.11</v>
      </c>
      <c r="C2681" s="1" t="n">
        <f aca="false">1/B2681</f>
        <v>0.00520535110093176</v>
      </c>
      <c r="D2681" s="1" t="n">
        <v>0.54563</v>
      </c>
      <c r="E2681" s="1" t="n">
        <f aca="false">LN(D2681)</f>
        <v>-0.60581418862728</v>
      </c>
    </row>
    <row r="2682" customFormat="false" ht="15.75" hidden="false" customHeight="false" outlineLevel="0" collapsed="false">
      <c r="A2682" s="1" t="s">
        <v>813</v>
      </c>
      <c r="B2682" s="1" t="n">
        <v>192.84</v>
      </c>
      <c r="C2682" s="1" t="n">
        <f aca="false">1/B2682</f>
        <v>0.00518564613150799</v>
      </c>
      <c r="D2682" s="1" t="n">
        <v>0.53913</v>
      </c>
      <c r="E2682" s="1" t="n">
        <f aca="false">LN(D2682)</f>
        <v>-0.617798549770097</v>
      </c>
    </row>
    <row r="2683" customFormat="false" ht="15.75" hidden="false" customHeight="false" outlineLevel="0" collapsed="false">
      <c r="A2683" s="1" t="s">
        <v>813</v>
      </c>
      <c r="B2683" s="1" t="n">
        <v>193.58</v>
      </c>
      <c r="C2683" s="1" t="n">
        <f aca="false">1/B2683</f>
        <v>0.00516582291559045</v>
      </c>
      <c r="D2683" s="1" t="n">
        <v>0.53276</v>
      </c>
      <c r="E2683" s="1" t="n">
        <f aca="false">LN(D2683)</f>
        <v>-0.629684237649307</v>
      </c>
    </row>
    <row r="2684" customFormat="false" ht="15.75" hidden="false" customHeight="false" outlineLevel="0" collapsed="false">
      <c r="A2684" s="1" t="s">
        <v>813</v>
      </c>
      <c r="B2684" s="1" t="n">
        <v>194.31</v>
      </c>
      <c r="C2684" s="1" t="n">
        <f aca="false">1/B2684</f>
        <v>0.00514641552158921</v>
      </c>
      <c r="D2684" s="1" t="n">
        <v>0.52651</v>
      </c>
      <c r="E2684" s="1" t="n">
        <f aca="false">LN(D2684)</f>
        <v>-0.641484954236152</v>
      </c>
    </row>
    <row r="2685" customFormat="false" ht="15.75" hidden="false" customHeight="false" outlineLevel="0" collapsed="false">
      <c r="A2685" s="1" t="s">
        <v>813</v>
      </c>
      <c r="B2685" s="1" t="n">
        <v>195.04</v>
      </c>
      <c r="C2685" s="1" t="n">
        <f aca="false">1/B2685</f>
        <v>0.00512715340442986</v>
      </c>
      <c r="D2685" s="1" t="n">
        <v>0.52038</v>
      </c>
      <c r="E2685" s="1" t="n">
        <f aca="false">LN(D2685)</f>
        <v>-0.653195965057718</v>
      </c>
    </row>
    <row r="2686" customFormat="false" ht="15.75" hidden="false" customHeight="false" outlineLevel="0" collapsed="false">
      <c r="A2686" s="1" t="s">
        <v>813</v>
      </c>
      <c r="B2686" s="1" t="n">
        <v>195.78</v>
      </c>
      <c r="C2686" s="1" t="n">
        <f aca="false">1/B2686</f>
        <v>0.00510777403207682</v>
      </c>
      <c r="D2686" s="1" t="n">
        <v>0.51436</v>
      </c>
      <c r="E2686" s="1" t="n">
        <f aca="false">LN(D2686)</f>
        <v>-0.664831869579899</v>
      </c>
    </row>
    <row r="2687" customFormat="false" ht="15.75" hidden="false" customHeight="false" outlineLevel="0" collapsed="false">
      <c r="A2687" s="1" t="s">
        <v>813</v>
      </c>
      <c r="B2687" s="1" t="n">
        <v>196.51</v>
      </c>
      <c r="C2687" s="1" t="n">
        <f aca="false">1/B2687</f>
        <v>0.00508879955218564</v>
      </c>
      <c r="D2687" s="1" t="n">
        <v>0.50846</v>
      </c>
      <c r="E2687" s="1" t="n">
        <f aca="false">LN(D2687)</f>
        <v>-0.676368729321127</v>
      </c>
    </row>
    <row r="2688" customFormat="false" ht="15.75" hidden="false" customHeight="false" outlineLevel="0" collapsed="false">
      <c r="A2688" s="1" t="s">
        <v>813</v>
      </c>
      <c r="B2688" s="1" t="n">
        <v>197.24</v>
      </c>
      <c r="C2688" s="1" t="n">
        <f aca="false">1/B2688</f>
        <v>0.00506996552423443</v>
      </c>
      <c r="D2688" s="1" t="n">
        <v>0.50267</v>
      </c>
      <c r="E2688" s="1" t="n">
        <f aca="false">LN(D2688)</f>
        <v>-0.687821387804598</v>
      </c>
    </row>
    <row r="2689" customFormat="false" ht="15.75" hidden="false" customHeight="false" outlineLevel="0" collapsed="false">
      <c r="A2689" s="1" t="s">
        <v>813</v>
      </c>
      <c r="B2689" s="1" t="n">
        <v>197.98</v>
      </c>
      <c r="C2689" s="1" t="n">
        <f aca="false">1/B2689</f>
        <v>0.00505101525406607</v>
      </c>
      <c r="D2689" s="1" t="n">
        <v>0.49699</v>
      </c>
      <c r="E2689" s="1" t="n">
        <f aca="false">LN(D2689)</f>
        <v>-0.699185373812279</v>
      </c>
    </row>
    <row r="2690" customFormat="false" ht="15.75" hidden="false" customHeight="false" outlineLevel="0" collapsed="false">
      <c r="A2690" s="1" t="s">
        <v>813</v>
      </c>
      <c r="B2690" s="1" t="n">
        <v>198.71</v>
      </c>
      <c r="C2690" s="1" t="n">
        <f aca="false">1/B2690</f>
        <v>0.00503245936289064</v>
      </c>
      <c r="D2690" s="1" t="n">
        <v>0.49141</v>
      </c>
      <c r="E2690" s="1" t="n">
        <f aca="false">LN(D2690)</f>
        <v>-0.710476469081767</v>
      </c>
    </row>
    <row r="2691" customFormat="false" ht="15.75" hidden="false" customHeight="false" outlineLevel="0" collapsed="false">
      <c r="A2691" s="1" t="s">
        <v>813</v>
      </c>
      <c r="B2691" s="1" t="n">
        <v>199.44</v>
      </c>
      <c r="C2691" s="1" t="n">
        <f aca="false">1/B2691</f>
        <v>0.00501403931006819</v>
      </c>
      <c r="D2691" s="1" t="n">
        <v>0.48594</v>
      </c>
      <c r="E2691" s="1" t="n">
        <f aca="false">LN(D2691)</f>
        <v>-0.721670119493184</v>
      </c>
    </row>
    <row r="2692" customFormat="false" ht="15.75" hidden="false" customHeight="false" outlineLevel="0" collapsed="false">
      <c r="A2692" s="1" t="s">
        <v>813</v>
      </c>
      <c r="B2692" s="1" t="n">
        <v>200.18</v>
      </c>
      <c r="C2692" s="1" t="n">
        <f aca="false">1/B2692</f>
        <v>0.00499550404635828</v>
      </c>
      <c r="D2692" s="1" t="n">
        <v>0.48056</v>
      </c>
      <c r="E2692" s="1" t="n">
        <f aca="false">LN(D2692)</f>
        <v>-0.732803188440231</v>
      </c>
    </row>
    <row r="2693" customFormat="false" ht="15.75" hidden="false" customHeight="false" outlineLevel="0" collapsed="false">
      <c r="A2693" s="1" t="s">
        <v>813</v>
      </c>
      <c r="B2693" s="1" t="n">
        <v>200.91</v>
      </c>
      <c r="C2693" s="1" t="n">
        <f aca="false">1/B2693</f>
        <v>0.00497735304365139</v>
      </c>
      <c r="D2693" s="1" t="n">
        <v>0.47528</v>
      </c>
      <c r="E2693" s="1" t="n">
        <f aca="false">LN(D2693)</f>
        <v>-0.743851174934651</v>
      </c>
    </row>
    <row r="2694" customFormat="false" ht="15.75" hidden="false" customHeight="false" outlineLevel="0" collapsed="false">
      <c r="A2694" s="1" t="s">
        <v>813</v>
      </c>
      <c r="B2694" s="1" t="n">
        <v>201.64</v>
      </c>
      <c r="C2694" s="1" t="n">
        <f aca="false">1/B2694</f>
        <v>0.00495933346558223</v>
      </c>
      <c r="D2694" s="1" t="n">
        <v>0.4701</v>
      </c>
      <c r="E2694" s="1" t="n">
        <f aca="false">LN(D2694)</f>
        <v>-0.754809840952052</v>
      </c>
    </row>
    <row r="2695" customFormat="false" ht="15.75" hidden="false" customHeight="false" outlineLevel="0" collapsed="false">
      <c r="A2695" s="1" t="s">
        <v>813</v>
      </c>
      <c r="B2695" s="1" t="n">
        <v>202.38</v>
      </c>
      <c r="C2695" s="1" t="n">
        <f aca="false">1/B2695</f>
        <v>0.00494119972329282</v>
      </c>
      <c r="D2695" s="1" t="n">
        <v>0.465</v>
      </c>
      <c r="E2695" s="1" t="n">
        <f aca="false">LN(D2695)</f>
        <v>-0.765717873394781</v>
      </c>
    </row>
    <row r="2696" customFormat="false" ht="15.75" hidden="false" customHeight="false" outlineLevel="0" collapsed="false">
      <c r="A2696" s="1" t="s">
        <v>813</v>
      </c>
      <c r="B2696" s="1" t="n">
        <v>203.11</v>
      </c>
      <c r="C2696" s="1" t="n">
        <f aca="false">1/B2696</f>
        <v>0.00492344050022155</v>
      </c>
      <c r="D2696" s="1" t="n">
        <v>0.46</v>
      </c>
      <c r="E2696" s="1" t="n">
        <f aca="false">LN(D2696)</f>
        <v>-0.776528789498996</v>
      </c>
    </row>
    <row r="2697" customFormat="false" ht="15.75" hidden="false" customHeight="false" outlineLevel="0" collapsed="false">
      <c r="A2697" s="1" t="s">
        <v>813</v>
      </c>
      <c r="B2697" s="1" t="n">
        <v>203.84</v>
      </c>
      <c r="C2697" s="1" t="n">
        <f aca="false">1/B2697</f>
        <v>0.00490580847723705</v>
      </c>
      <c r="D2697" s="1" t="n">
        <v>0.45508</v>
      </c>
      <c r="E2697" s="1" t="n">
        <f aca="false">LN(D2697)</f>
        <v>-0.787282051310621</v>
      </c>
    </row>
    <row r="2698" customFormat="false" ht="15.75" hidden="false" customHeight="false" outlineLevel="0" collapsed="false">
      <c r="A2698" s="1" t="s">
        <v>813</v>
      </c>
      <c r="B2698" s="1" t="n">
        <v>204.58</v>
      </c>
      <c r="C2698" s="1" t="n">
        <f aca="false">1/B2698</f>
        <v>0.00488806334930101</v>
      </c>
      <c r="D2698" s="1" t="n">
        <v>0.45024</v>
      </c>
      <c r="E2698" s="1" t="n">
        <f aca="false">LN(D2698)</f>
        <v>-0.797974505056113</v>
      </c>
    </row>
    <row r="2699" customFormat="false" ht="15.75" hidden="false" customHeight="false" outlineLevel="0" collapsed="false">
      <c r="A2699" s="1" t="s">
        <v>813</v>
      </c>
      <c r="B2699" s="1" t="n">
        <v>205.31</v>
      </c>
      <c r="C2699" s="1" t="n">
        <f aca="false">1/B2699</f>
        <v>0.00487068335687497</v>
      </c>
      <c r="D2699" s="1" t="n">
        <v>0.44549</v>
      </c>
      <c r="E2699" s="1" t="n">
        <f aca="false">LN(D2699)</f>
        <v>-0.808580479012317</v>
      </c>
    </row>
    <row r="2700" customFormat="false" ht="15.75" hidden="false" customHeight="false" outlineLevel="0" collapsed="false">
      <c r="A2700" s="1" t="s">
        <v>813</v>
      </c>
      <c r="B2700" s="1" t="n">
        <v>206.05</v>
      </c>
      <c r="C2700" s="1" t="n">
        <f aca="false">1/B2700</f>
        <v>0.00485319097306479</v>
      </c>
      <c r="D2700" s="1" t="n">
        <v>0.44082</v>
      </c>
      <c r="E2700" s="1" t="n">
        <f aca="false">LN(D2700)</f>
        <v>-0.819118650121896</v>
      </c>
    </row>
    <row r="2701" customFormat="false" ht="15.75" hidden="false" customHeight="false" outlineLevel="0" collapsed="false">
      <c r="A2701" s="1" t="s">
        <v>813</v>
      </c>
      <c r="B2701" s="1" t="n">
        <v>206.78</v>
      </c>
      <c r="C2701" s="1" t="n">
        <f aca="false">1/B2701</f>
        <v>0.00483605764580714</v>
      </c>
      <c r="D2701" s="1" t="n">
        <v>0.43623</v>
      </c>
      <c r="E2701" s="1" t="n">
        <f aca="false">LN(D2701)</f>
        <v>-0.829585651788633</v>
      </c>
    </row>
    <row r="2702" customFormat="false" ht="15.75" hidden="false" customHeight="false" outlineLevel="0" collapsed="false">
      <c r="A2702" s="1" t="s">
        <v>813</v>
      </c>
      <c r="B2702" s="1" t="n">
        <v>207.51</v>
      </c>
      <c r="C2702" s="1" t="n">
        <f aca="false">1/B2702</f>
        <v>0.0048190448653077</v>
      </c>
      <c r="D2702" s="1" t="n">
        <v>0.43171</v>
      </c>
      <c r="E2702" s="1" t="n">
        <f aca="false">LN(D2702)</f>
        <v>-0.84000121245457</v>
      </c>
    </row>
    <row r="2703" customFormat="false" ht="15.75" hidden="false" customHeight="false" outlineLevel="0" collapsed="false">
      <c r="A2703" s="1" t="s">
        <v>813</v>
      </c>
      <c r="B2703" s="1" t="n">
        <v>208.25</v>
      </c>
      <c r="C2703" s="1" t="n">
        <f aca="false">1/B2703</f>
        <v>0.00480192076830732</v>
      </c>
      <c r="D2703" s="1" t="n">
        <v>0.42727</v>
      </c>
      <c r="E2703" s="1" t="n">
        <f aca="false">LN(D2703)</f>
        <v>-0.850339147081452</v>
      </c>
    </row>
    <row r="2704" customFormat="false" ht="15.75" hidden="false" customHeight="false" outlineLevel="0" collapsed="false">
      <c r="A2704" s="1" t="s">
        <v>813</v>
      </c>
      <c r="B2704" s="1" t="n">
        <v>208.98</v>
      </c>
      <c r="C2704" s="1" t="n">
        <f aca="false">1/B2704</f>
        <v>0.00478514690400995</v>
      </c>
      <c r="D2704" s="1" t="n">
        <v>0.42289</v>
      </c>
      <c r="E2704" s="1" t="n">
        <f aca="false">LN(D2704)</f>
        <v>-0.86064318103534</v>
      </c>
    </row>
    <row r="2705" customFormat="false" ht="15.75" hidden="false" customHeight="false" outlineLevel="0" collapsed="false">
      <c r="A2705" s="1" t="s">
        <v>813</v>
      </c>
      <c r="B2705" s="1" t="n">
        <v>209.71</v>
      </c>
      <c r="C2705" s="1" t="n">
        <f aca="false">1/B2705</f>
        <v>0.00476848981927424</v>
      </c>
      <c r="D2705" s="1" t="n">
        <v>0.4186</v>
      </c>
      <c r="E2705" s="1" t="n">
        <f aca="false">LN(D2705)</f>
        <v>-0.870839468970238</v>
      </c>
    </row>
    <row r="2706" customFormat="false" ht="15.75" hidden="false" customHeight="false" outlineLevel="0" collapsed="false">
      <c r="A2706" s="1" t="s">
        <v>813</v>
      </c>
      <c r="B2706" s="1" t="n">
        <v>210.45</v>
      </c>
      <c r="C2706" s="1" t="n">
        <f aca="false">1/B2706</f>
        <v>0.00475172249940604</v>
      </c>
      <c r="D2706" s="1" t="n">
        <v>0.41437</v>
      </c>
      <c r="E2706" s="1" t="n">
        <f aca="false">LN(D2706)</f>
        <v>-0.880995984479817</v>
      </c>
    </row>
    <row r="2707" customFormat="false" ht="15.75" hidden="false" customHeight="false" outlineLevel="0" collapsed="false">
      <c r="A2707" s="1" t="s">
        <v>813</v>
      </c>
      <c r="B2707" s="1" t="n">
        <v>211.18</v>
      </c>
      <c r="C2707" s="1" t="n">
        <f aca="false">1/B2707</f>
        <v>0.00473529690311583</v>
      </c>
      <c r="D2707" s="1" t="n">
        <v>0.4102</v>
      </c>
      <c r="E2707" s="1" t="n">
        <f aca="false">LN(D2707)</f>
        <v>-0.891110433343857</v>
      </c>
    </row>
    <row r="2708" customFormat="false" ht="15.75" hidden="false" customHeight="false" outlineLevel="0" collapsed="false">
      <c r="A2708" s="1" t="s">
        <v>813</v>
      </c>
      <c r="B2708" s="1" t="n">
        <v>211.91</v>
      </c>
      <c r="C2708" s="1" t="n">
        <f aca="false">1/B2708</f>
        <v>0.00471898447454108</v>
      </c>
      <c r="D2708" s="1" t="n">
        <v>0.40611</v>
      </c>
      <c r="E2708" s="1" t="n">
        <f aca="false">LN(D2708)</f>
        <v>-0.901131220116332</v>
      </c>
    </row>
    <row r="2709" customFormat="false" ht="15.75" hidden="false" customHeight="false" outlineLevel="0" collapsed="false">
      <c r="A2709" s="1" t="s">
        <v>813</v>
      </c>
      <c r="B2709" s="1" t="n">
        <v>212.65</v>
      </c>
      <c r="C2709" s="1" t="n">
        <f aca="false">1/B2709</f>
        <v>0.00470256289677874</v>
      </c>
      <c r="D2709" s="1" t="n">
        <v>0.40208</v>
      </c>
      <c r="E2709" s="1" t="n">
        <f aca="false">LN(D2709)</f>
        <v>-0.911104205186855</v>
      </c>
    </row>
    <row r="2710" customFormat="false" ht="15.75" hidden="false" customHeight="false" outlineLevel="0" collapsed="false">
      <c r="A2710" s="1" t="s">
        <v>813</v>
      </c>
      <c r="B2710" s="1" t="n">
        <v>213.38</v>
      </c>
      <c r="C2710" s="1" t="n">
        <f aca="false">1/B2710</f>
        <v>0.00468647483363014</v>
      </c>
      <c r="D2710" s="1" t="n">
        <v>0.39811</v>
      </c>
      <c r="E2710" s="1" t="n">
        <f aca="false">LN(D2710)</f>
        <v>-0.921026929974596</v>
      </c>
    </row>
    <row r="2711" customFormat="false" ht="15.75" hidden="false" customHeight="false" outlineLevel="0" collapsed="false">
      <c r="A2711" s="1" t="s">
        <v>813</v>
      </c>
      <c r="B2711" s="1" t="n">
        <v>214.11</v>
      </c>
      <c r="C2711" s="1" t="n">
        <f aca="false">1/B2711</f>
        <v>0.00467049647377516</v>
      </c>
      <c r="D2711" s="1" t="n">
        <v>0.3942</v>
      </c>
      <c r="E2711" s="1" t="n">
        <f aca="false">LN(D2711)</f>
        <v>-0.930896884263517</v>
      </c>
    </row>
    <row r="2712" customFormat="false" ht="15.75" hidden="false" customHeight="false" outlineLevel="0" collapsed="false">
      <c r="A2712" s="1" t="s">
        <v>813</v>
      </c>
      <c r="B2712" s="1" t="n">
        <v>214.85</v>
      </c>
      <c r="C2712" s="1" t="n">
        <f aca="false">1/B2712</f>
        <v>0.00465441005352572</v>
      </c>
      <c r="D2712" s="1" t="n">
        <v>0.39035</v>
      </c>
      <c r="E2712" s="1" t="n">
        <f aca="false">LN(D2712)</f>
        <v>-0.940711506415837</v>
      </c>
    </row>
    <row r="2713" customFormat="false" ht="15.75" hidden="false" customHeight="false" outlineLevel="0" collapsed="false">
      <c r="A2713" s="1" t="s">
        <v>813</v>
      </c>
      <c r="B2713" s="1" t="n">
        <v>215.58</v>
      </c>
      <c r="C2713" s="1" t="n">
        <f aca="false">1/B2713</f>
        <v>0.00463864922534558</v>
      </c>
      <c r="D2713" s="1" t="n">
        <v>0.38656</v>
      </c>
      <c r="E2713" s="1" t="n">
        <f aca="false">LN(D2713)</f>
        <v>-0.950468183675742</v>
      </c>
    </row>
    <row r="2714" customFormat="false" ht="15.75" hidden="false" customHeight="false" outlineLevel="0" collapsed="false">
      <c r="A2714" s="1" t="s">
        <v>813</v>
      </c>
      <c r="B2714" s="1" t="n">
        <v>216.31</v>
      </c>
      <c r="C2714" s="1" t="n">
        <f aca="false">1/B2714</f>
        <v>0.0046229947760159</v>
      </c>
      <c r="D2714" s="1" t="n">
        <v>0.38283</v>
      </c>
      <c r="E2714" s="1" t="n">
        <f aca="false">LN(D2714)</f>
        <v>-0.960164252568142</v>
      </c>
    </row>
    <row r="2715" customFormat="false" ht="15.75" hidden="false" customHeight="false" outlineLevel="0" collapsed="false">
      <c r="A2715" s="1" t="s">
        <v>813</v>
      </c>
      <c r="B2715" s="1" t="n">
        <v>217.05</v>
      </c>
      <c r="C2715" s="1" t="n">
        <f aca="false">1/B2715</f>
        <v>0.0046072333563695</v>
      </c>
      <c r="D2715" s="1" t="n">
        <v>0.37916</v>
      </c>
      <c r="E2715" s="1" t="n">
        <f aca="false">LN(D2715)</f>
        <v>-0.969796999397296</v>
      </c>
    </row>
    <row r="2716" customFormat="false" ht="15.75" hidden="false" customHeight="false" outlineLevel="0" collapsed="false">
      <c r="A2716" s="1" t="s">
        <v>813</v>
      </c>
      <c r="B2716" s="1" t="n">
        <v>217.78</v>
      </c>
      <c r="C2716" s="1" t="n">
        <f aca="false">1/B2716</f>
        <v>0.0045917898796951</v>
      </c>
      <c r="D2716" s="1" t="n">
        <v>0.37554</v>
      </c>
      <c r="E2716" s="1" t="n">
        <f aca="false">LN(D2716)</f>
        <v>-0.979390288817472</v>
      </c>
    </row>
    <row r="2717" customFormat="false" ht="15.75" hidden="false" customHeight="false" outlineLevel="0" collapsed="false">
      <c r="A2717" s="1" t="s">
        <v>813</v>
      </c>
      <c r="B2717" s="1" t="n">
        <v>218.51</v>
      </c>
      <c r="C2717" s="1" t="n">
        <f aca="false">1/B2717</f>
        <v>0.00457644959040776</v>
      </c>
      <c r="D2717" s="1" t="n">
        <v>0.37197</v>
      </c>
      <c r="E2717" s="1" t="n">
        <f aca="false">LN(D2717)</f>
        <v>-0.988942073122277</v>
      </c>
    </row>
    <row r="2718" customFormat="false" ht="15.75" hidden="false" customHeight="false" outlineLevel="0" collapsed="false">
      <c r="A2718" s="1" t="s">
        <v>813</v>
      </c>
      <c r="B2718" s="1" t="n">
        <v>219.25</v>
      </c>
      <c r="C2718" s="1" t="n">
        <f aca="false">1/B2718</f>
        <v>0.00456100342075257</v>
      </c>
      <c r="D2718" s="1" t="n">
        <v>0.36846</v>
      </c>
      <c r="E2718" s="1" t="n">
        <f aca="false">LN(D2718)</f>
        <v>-0.998423121412774</v>
      </c>
    </row>
    <row r="2719" customFormat="false" ht="15.75" hidden="false" customHeight="false" outlineLevel="0" collapsed="false">
      <c r="A2719" s="1" t="s">
        <v>813</v>
      </c>
      <c r="B2719" s="1" t="n">
        <v>219.98</v>
      </c>
      <c r="C2719" s="1" t="n">
        <f aca="false">1/B2719</f>
        <v>0.0045458678061642</v>
      </c>
      <c r="D2719" s="1" t="n">
        <v>0.36499</v>
      </c>
      <c r="E2719" s="1" t="n">
        <f aca="false">LN(D2719)</f>
        <v>-1.00788532303523</v>
      </c>
    </row>
    <row r="2720" customFormat="false" ht="15.75" hidden="false" customHeight="false" outlineLevel="0" collapsed="false">
      <c r="A2720" s="1" t="s">
        <v>813</v>
      </c>
      <c r="B2720" s="1" t="n">
        <v>220.72</v>
      </c>
      <c r="C2720" s="1" t="n">
        <f aca="false">1/B2720</f>
        <v>0.00453062703878217</v>
      </c>
      <c r="D2720" s="1" t="n">
        <v>0.36158</v>
      </c>
      <c r="E2720" s="1" t="n">
        <f aca="false">LN(D2720)</f>
        <v>-1.01727196172827</v>
      </c>
    </row>
    <row r="2721" customFormat="false" ht="15.75" hidden="false" customHeight="false" outlineLevel="0" collapsed="false">
      <c r="A2721" s="1" t="s">
        <v>813</v>
      </c>
      <c r="B2721" s="1" t="n">
        <v>221.45</v>
      </c>
      <c r="C2721" s="1" t="n">
        <f aca="false">1/B2721</f>
        <v>0.00451569202980357</v>
      </c>
      <c r="D2721" s="1" t="n">
        <v>0.35822</v>
      </c>
      <c r="E2721" s="1" t="n">
        <f aca="false">LN(D2721)</f>
        <v>-1.02660795618502</v>
      </c>
    </row>
    <row r="2722" customFormat="false" ht="15.75" hidden="false" customHeight="false" outlineLevel="0" collapsed="false">
      <c r="A2722" s="1" t="s">
        <v>813</v>
      </c>
      <c r="B2722" s="1" t="n">
        <v>222.18</v>
      </c>
      <c r="C2722" s="1" t="n">
        <f aca="false">1/B2722</f>
        <v>0.00450085516248087</v>
      </c>
      <c r="D2722" s="1" t="n">
        <v>0.3549</v>
      </c>
      <c r="E2722" s="1" t="n">
        <f aca="false">LN(D2722)</f>
        <v>-1.03591921932969</v>
      </c>
    </row>
    <row r="2723" customFormat="false" ht="15.75" hidden="false" customHeight="false" outlineLevel="0" collapsed="false">
      <c r="A2723" s="1" t="s">
        <v>813</v>
      </c>
      <c r="B2723" s="1" t="n">
        <v>222.92</v>
      </c>
      <c r="C2723" s="1" t="n">
        <f aca="false">1/B2723</f>
        <v>0.00448591422931994</v>
      </c>
      <c r="D2723" s="1" t="n">
        <v>0.35164</v>
      </c>
      <c r="E2723" s="1" t="n">
        <f aca="false">LN(D2723)</f>
        <v>-1.04514735399916</v>
      </c>
    </row>
    <row r="2724" customFormat="false" ht="15.75" hidden="false" customHeight="false" outlineLevel="0" collapsed="false">
      <c r="A2724" s="1" t="s">
        <v>813</v>
      </c>
      <c r="B2724" s="1" t="n">
        <v>223.65</v>
      </c>
      <c r="C2724" s="1" t="n">
        <f aca="false">1/B2724</f>
        <v>0.00447127207690588</v>
      </c>
      <c r="D2724" s="1" t="n">
        <v>0.34841</v>
      </c>
      <c r="E2724" s="1" t="n">
        <f aca="false">LN(D2724)</f>
        <v>-1.05437533177506</v>
      </c>
    </row>
    <row r="2725" customFormat="false" ht="15.75" hidden="false" customHeight="false" outlineLevel="0" collapsed="false">
      <c r="A2725" s="1" t="s">
        <v>813</v>
      </c>
      <c r="B2725" s="1" t="n">
        <v>224.38</v>
      </c>
      <c r="C2725" s="1" t="n">
        <f aca="false">1/B2725</f>
        <v>0.00445672519832427</v>
      </c>
      <c r="D2725" s="1" t="n">
        <v>0.34524</v>
      </c>
      <c r="E2725" s="1" t="n">
        <f aca="false">LN(D2725)</f>
        <v>-1.06351545163068</v>
      </c>
    </row>
    <row r="2726" customFormat="false" ht="15.75" hidden="false" customHeight="false" outlineLevel="0" collapsed="false">
      <c r="A2726" s="1" t="s">
        <v>813</v>
      </c>
      <c r="B2726" s="1" t="n">
        <v>225.12</v>
      </c>
      <c r="C2726" s="1" t="n">
        <f aca="false">1/B2726</f>
        <v>0.00444207533759773</v>
      </c>
      <c r="D2726" s="1" t="n">
        <v>0.34211</v>
      </c>
      <c r="E2726" s="1" t="n">
        <f aca="false">LN(D2726)</f>
        <v>-1.07262295620686</v>
      </c>
    </row>
    <row r="2727" customFormat="false" ht="15.75" hidden="false" customHeight="false" outlineLevel="0" collapsed="false">
      <c r="A2727" s="1" t="s">
        <v>813</v>
      </c>
      <c r="B2727" s="1" t="n">
        <v>225.85</v>
      </c>
      <c r="C2727" s="1" t="n">
        <f aca="false">1/B2727</f>
        <v>0.00442771751162276</v>
      </c>
      <c r="D2727" s="1" t="n">
        <v>0.33902</v>
      </c>
      <c r="E2727" s="1" t="n">
        <f aca="false">LN(D2727)</f>
        <v>-1.0816961762918</v>
      </c>
    </row>
    <row r="2728" customFormat="false" ht="15.75" hidden="false" customHeight="false" outlineLevel="0" collapsed="false">
      <c r="A2728" s="1" t="s">
        <v>813</v>
      </c>
      <c r="B2728" s="1" t="n">
        <v>226.58</v>
      </c>
      <c r="C2728" s="1" t="n">
        <f aca="false">1/B2728</f>
        <v>0.00441345220231265</v>
      </c>
      <c r="D2728" s="1" t="n">
        <v>0.33597</v>
      </c>
      <c r="E2728" s="1" t="n">
        <f aca="false">LN(D2728)</f>
        <v>-1.09073340871943</v>
      </c>
    </row>
    <row r="2729" customFormat="false" ht="15.75" hidden="false" customHeight="false" outlineLevel="0" collapsed="false">
      <c r="A2729" s="1" t="s">
        <v>813</v>
      </c>
      <c r="B2729" s="1" t="n">
        <v>227.32</v>
      </c>
      <c r="C2729" s="1" t="n">
        <f aca="false">1/B2729</f>
        <v>0.00439908499032201</v>
      </c>
      <c r="D2729" s="1" t="n">
        <v>0.33297</v>
      </c>
      <c r="E2729" s="1" t="n">
        <f aca="false">LN(D2729)</f>
        <v>-1.09970288315014</v>
      </c>
    </row>
    <row r="2730" customFormat="false" ht="15.75" hidden="false" customHeight="false" outlineLevel="0" collapsed="false">
      <c r="A2730" s="1" t="s">
        <v>813</v>
      </c>
      <c r="B2730" s="1" t="n">
        <v>228.05</v>
      </c>
      <c r="C2730" s="1" t="n">
        <f aca="false">1/B2730</f>
        <v>0.00438500328875247</v>
      </c>
      <c r="D2730" s="1" t="n">
        <v>0.33</v>
      </c>
      <c r="E2730" s="1" t="n">
        <f aca="false">LN(D2730)</f>
        <v>-1.10866262452161</v>
      </c>
    </row>
    <row r="2731" customFormat="false" ht="15.75" hidden="false" customHeight="false" outlineLevel="0" collapsed="false">
      <c r="A2731" s="1" t="s">
        <v>813</v>
      </c>
      <c r="B2731" s="1" t="n">
        <v>228.78</v>
      </c>
      <c r="C2731" s="1" t="n">
        <f aca="false">1/B2731</f>
        <v>0.00437101145205</v>
      </c>
      <c r="D2731" s="1" t="n">
        <v>0.32708</v>
      </c>
      <c r="E2731" s="1" t="n">
        <f aca="false">LN(D2731)</f>
        <v>-1.11755048968836</v>
      </c>
    </row>
    <row r="2732" customFormat="false" ht="15.75" hidden="false" customHeight="false" outlineLevel="0" collapsed="false">
      <c r="A2732" s="1" t="s">
        <v>813</v>
      </c>
      <c r="B2732" s="1" t="n">
        <v>229.52</v>
      </c>
      <c r="C2732" s="1" t="n">
        <f aca="false">1/B2732</f>
        <v>0.00435691878703381</v>
      </c>
      <c r="D2732" s="1" t="n">
        <v>0.32419</v>
      </c>
      <c r="E2732" s="1" t="n">
        <f aca="false">LN(D2732)</f>
        <v>-1.12642551531359</v>
      </c>
    </row>
    <row r="2733" customFormat="false" ht="15.75" hidden="false" customHeight="false" outlineLevel="0" collapsed="false">
      <c r="A2733" s="1" t="s">
        <v>813</v>
      </c>
      <c r="B2733" s="1" t="n">
        <v>230.25</v>
      </c>
      <c r="C2733" s="1" t="n">
        <f aca="false">1/B2733</f>
        <v>0.00434310532030402</v>
      </c>
      <c r="D2733" s="1" t="n">
        <v>0.32135</v>
      </c>
      <c r="E2733" s="1" t="n">
        <f aca="false">LN(D2733)</f>
        <v>-1.13522440716484</v>
      </c>
    </row>
    <row r="2734" customFormat="false" ht="15.75" hidden="false" customHeight="false" outlineLevel="0" collapsed="false">
      <c r="A2734" s="1" t="s">
        <v>813</v>
      </c>
      <c r="B2734" s="1" t="n">
        <v>230.98</v>
      </c>
      <c r="C2734" s="1" t="n">
        <f aca="false">1/B2734</f>
        <v>0.00432937916702745</v>
      </c>
      <c r="D2734" s="1" t="n">
        <v>0.31854</v>
      </c>
      <c r="E2734" s="1" t="n">
        <f aca="false">LN(D2734)</f>
        <v>-1.1440072231585</v>
      </c>
    </row>
    <row r="2735" customFormat="false" ht="15.75" hidden="false" customHeight="false" outlineLevel="0" collapsed="false">
      <c r="A2735" s="1" t="s">
        <v>813</v>
      </c>
      <c r="B2735" s="1" t="n">
        <v>231.72</v>
      </c>
      <c r="C2735" s="1" t="n">
        <f aca="false">1/B2735</f>
        <v>0.00431555325392715</v>
      </c>
      <c r="D2735" s="1" t="n">
        <v>0.31577</v>
      </c>
      <c r="E2735" s="1" t="n">
        <f aca="false">LN(D2735)</f>
        <v>-1.15274117850652</v>
      </c>
    </row>
    <row r="2736" customFormat="false" ht="15.75" hidden="false" customHeight="false" outlineLevel="0" collapsed="false">
      <c r="A2736" s="1" t="s">
        <v>813</v>
      </c>
      <c r="B2736" s="1" t="n">
        <v>232.45</v>
      </c>
      <c r="C2736" s="1" t="n">
        <f aca="false">1/B2736</f>
        <v>0.00430200043020004</v>
      </c>
      <c r="D2736" s="1" t="n">
        <v>0.31303</v>
      </c>
      <c r="E2736" s="1" t="n">
        <f aca="false">LN(D2736)</f>
        <v>-1.16145624638961</v>
      </c>
    </row>
    <row r="2737" customFormat="false" ht="15.75" hidden="false" customHeight="false" outlineLevel="0" collapsed="false">
      <c r="A2737" s="1" t="s">
        <v>813</v>
      </c>
      <c r="B2737" s="1" t="n">
        <v>233.19</v>
      </c>
      <c r="C2737" s="1" t="n">
        <f aca="false">1/B2737</f>
        <v>0.00428834855697071</v>
      </c>
      <c r="D2737" s="1" t="n">
        <v>0.31033</v>
      </c>
      <c r="E2737" s="1" t="n">
        <f aca="false">LN(D2737)</f>
        <v>-1.17011903156943</v>
      </c>
    </row>
    <row r="2738" customFormat="false" ht="15.75" hidden="false" customHeight="false" outlineLevel="0" collapsed="false">
      <c r="A2738" s="1" t="s">
        <v>813</v>
      </c>
      <c r="B2738" s="1" t="n">
        <v>233.92</v>
      </c>
      <c r="C2738" s="1" t="n">
        <f aca="false">1/B2738</f>
        <v>0.0042749658002736</v>
      </c>
      <c r="D2738" s="1" t="n">
        <v>0.30767</v>
      </c>
      <c r="E2738" s="1" t="n">
        <f aca="false">LN(D2738)</f>
        <v>-1.1787274989699</v>
      </c>
    </row>
    <row r="2739" customFormat="false" ht="15.75" hidden="false" customHeight="false" outlineLevel="0" collapsed="false">
      <c r="A2739" s="1" t="s">
        <v>813</v>
      </c>
      <c r="B2739" s="1" t="n">
        <v>234.65</v>
      </c>
      <c r="C2739" s="1" t="n">
        <f aca="false">1/B2739</f>
        <v>0.00426166631152781</v>
      </c>
      <c r="D2739" s="1" t="n">
        <v>0.30503</v>
      </c>
      <c r="E2739" s="1" t="n">
        <f aca="false">LN(D2739)</f>
        <v>-1.18734514655608</v>
      </c>
    </row>
    <row r="2740" customFormat="false" ht="15.75" hidden="false" customHeight="false" outlineLevel="0" collapsed="false">
      <c r="A2740" s="1" t="s">
        <v>813</v>
      </c>
      <c r="B2740" s="1" t="n">
        <v>235.39</v>
      </c>
      <c r="C2740" s="1" t="n">
        <f aca="false">1/B2740</f>
        <v>0.00424826883045159</v>
      </c>
      <c r="D2740" s="1" t="n">
        <v>0.30244</v>
      </c>
      <c r="E2740" s="1" t="n">
        <f aca="false">LN(D2740)</f>
        <v>-1.19587236829207</v>
      </c>
    </row>
    <row r="2741" customFormat="false" ht="15.75" hidden="false" customHeight="false" outlineLevel="0" collapsed="false">
      <c r="A2741" s="1" t="s">
        <v>813</v>
      </c>
      <c r="B2741" s="1" t="n">
        <v>236.12</v>
      </c>
      <c r="C2741" s="1" t="n">
        <f aca="false">1/B2741</f>
        <v>0.00423513467728274</v>
      </c>
      <c r="D2741" s="1" t="n">
        <v>0.29987</v>
      </c>
      <c r="E2741" s="1" t="n">
        <f aca="false">LN(D2741)</f>
        <v>-1.20440623157529</v>
      </c>
    </row>
    <row r="2742" customFormat="false" ht="15.75" hidden="false" customHeight="false" outlineLevel="0" collapsed="false">
      <c r="A2742" s="1" t="s">
        <v>813</v>
      </c>
      <c r="B2742" s="1" t="n">
        <v>236.85</v>
      </c>
      <c r="C2742" s="1" t="n">
        <f aca="false">1/B2742</f>
        <v>0.00422208148617268</v>
      </c>
      <c r="D2742" s="1" t="n">
        <v>0.29734</v>
      </c>
      <c r="E2742" s="1" t="n">
        <f aca="false">LN(D2742)</f>
        <v>-1.21287901379693</v>
      </c>
    </row>
    <row r="2743" customFormat="false" ht="15.75" hidden="false" customHeight="false" outlineLevel="0" collapsed="false">
      <c r="A2743" s="1" t="s">
        <v>813</v>
      </c>
      <c r="B2743" s="1" t="n">
        <v>237.59</v>
      </c>
      <c r="C2743" s="1" t="n">
        <f aca="false">1/B2743</f>
        <v>0.00420893135232964</v>
      </c>
      <c r="D2743" s="1" t="n">
        <v>0.29484</v>
      </c>
      <c r="E2743" s="1" t="n">
        <f aca="false">LN(D2743)</f>
        <v>-1.22132244266105</v>
      </c>
    </row>
    <row r="2744" customFormat="false" ht="15.75" hidden="false" customHeight="false" outlineLevel="0" collapsed="false">
      <c r="A2744" s="1" t="s">
        <v>813</v>
      </c>
      <c r="B2744" s="1" t="n">
        <v>238.32</v>
      </c>
      <c r="C2744" s="1" t="n">
        <f aca="false">1/B2744</f>
        <v>0.00419603893924136</v>
      </c>
      <c r="D2744" s="1" t="n">
        <v>0.29237</v>
      </c>
      <c r="E2744" s="1" t="n">
        <f aca="false">LN(D2744)</f>
        <v>-1.22973515554938</v>
      </c>
    </row>
    <row r="2745" customFormat="false" ht="15.75" hidden="false" customHeight="false" outlineLevel="0" collapsed="false">
      <c r="A2745" s="1" t="s">
        <v>813</v>
      </c>
      <c r="B2745" s="1" t="n">
        <v>239.05</v>
      </c>
      <c r="C2745" s="1" t="n">
        <f aca="false">1/B2745</f>
        <v>0.00418322526668061</v>
      </c>
      <c r="D2745" s="1" t="n">
        <v>0.28993</v>
      </c>
      <c r="E2745" s="1" t="n">
        <f aca="false">LN(D2745)</f>
        <v>-1.23811576444864</v>
      </c>
    </row>
    <row r="2746" customFormat="false" ht="15.75" hidden="false" customHeight="false" outlineLevel="0" collapsed="false">
      <c r="A2746" s="1" t="s">
        <v>813</v>
      </c>
      <c r="B2746" s="1" t="n">
        <v>239.79</v>
      </c>
      <c r="C2746" s="1" t="n">
        <f aca="false">1/B2746</f>
        <v>0.00417031569289795</v>
      </c>
      <c r="D2746" s="1" t="n">
        <v>0.28752</v>
      </c>
      <c r="E2746" s="1" t="n">
        <f aca="false">LN(D2746)</f>
        <v>-1.24646285594689</v>
      </c>
    </row>
    <row r="2747" customFormat="false" ht="15.75" hidden="false" customHeight="false" outlineLevel="0" collapsed="false">
      <c r="A2747" s="1" t="s">
        <v>813</v>
      </c>
      <c r="B2747" s="1" t="n">
        <v>240.52</v>
      </c>
      <c r="C2747" s="1" t="n">
        <f aca="false">1/B2747</f>
        <v>0.0041576584067853</v>
      </c>
      <c r="D2747" s="1" t="n">
        <v>0.28514</v>
      </c>
      <c r="E2747" s="1" t="n">
        <f aca="false">LN(D2747)</f>
        <v>-1.25477499125632</v>
      </c>
    </row>
    <row r="2748" customFormat="false" ht="15.75" hidden="false" customHeight="false" outlineLevel="0" collapsed="false">
      <c r="A2748" s="1" t="s">
        <v>813</v>
      </c>
      <c r="B2748" s="1" t="n">
        <v>241.25</v>
      </c>
      <c r="C2748" s="1" t="n">
        <f aca="false">1/B2748</f>
        <v>0.00414507772020725</v>
      </c>
      <c r="D2748" s="1" t="n">
        <v>0.28279</v>
      </c>
      <c r="E2748" s="1" t="n">
        <f aca="false">LN(D2748)</f>
        <v>-1.26305070626385</v>
      </c>
    </row>
    <row r="2749" customFormat="false" ht="15.75" hidden="false" customHeight="false" outlineLevel="0" collapsed="false">
      <c r="A2749" s="1" t="s">
        <v>813</v>
      </c>
      <c r="B2749" s="1" t="n">
        <v>241.99</v>
      </c>
      <c r="C2749" s="1" t="n">
        <f aca="false">1/B2749</f>
        <v>0.00413240216537873</v>
      </c>
      <c r="D2749" s="1" t="n">
        <v>0.28047</v>
      </c>
      <c r="E2749" s="1" t="n">
        <f aca="false">LN(D2749)</f>
        <v>-1.2712885116108</v>
      </c>
    </row>
    <row r="2750" customFormat="false" ht="15.75" hidden="false" customHeight="false" outlineLevel="0" collapsed="false">
      <c r="A2750" s="1" t="s">
        <v>813</v>
      </c>
      <c r="B2750" s="1" t="n">
        <v>242.72</v>
      </c>
      <c r="C2750" s="1" t="n">
        <f aca="false">1/B2750</f>
        <v>0.00411997363216875</v>
      </c>
      <c r="D2750" s="1" t="n">
        <v>0.27818</v>
      </c>
      <c r="E2750" s="1" t="n">
        <f aca="false">LN(D2750)</f>
        <v>-1.27948689280315</v>
      </c>
    </row>
    <row r="2751" customFormat="false" ht="15.75" hidden="false" customHeight="false" outlineLevel="0" collapsed="false">
      <c r="A2751" s="1" t="s">
        <v>813</v>
      </c>
      <c r="B2751" s="1" t="n">
        <v>243.45</v>
      </c>
      <c r="C2751" s="1" t="n">
        <f aca="false">1/B2751</f>
        <v>0.00410761963442185</v>
      </c>
      <c r="D2751" s="1" t="n">
        <v>0.27591</v>
      </c>
      <c r="E2751" s="1" t="n">
        <f aca="false">LN(D2751)</f>
        <v>-1.28768055339942</v>
      </c>
    </row>
    <row r="2752" customFormat="false" ht="15.75" hidden="false" customHeight="false" outlineLevel="0" collapsed="false">
      <c r="A2752" s="1" t="s">
        <v>813</v>
      </c>
      <c r="B2752" s="1" t="n">
        <v>244.19</v>
      </c>
      <c r="C2752" s="1" t="n">
        <f aca="false">1/B2752</f>
        <v>0.00409517179245669</v>
      </c>
      <c r="D2752" s="1" t="n">
        <v>0.27367</v>
      </c>
      <c r="E2752" s="1" t="n">
        <f aca="false">LN(D2752)</f>
        <v>-1.29583227800403</v>
      </c>
    </row>
    <row r="2753" customFormat="false" ht="15.75" hidden="false" customHeight="false" outlineLevel="0" collapsed="false">
      <c r="A2753" s="1" t="s">
        <v>813</v>
      </c>
      <c r="B2753" s="1" t="n">
        <v>244.92</v>
      </c>
      <c r="C2753" s="1" t="n">
        <f aca="false">1/B2753</f>
        <v>0.00408296586640536</v>
      </c>
      <c r="D2753" s="1" t="n">
        <v>0.27146</v>
      </c>
      <c r="E2753" s="1" t="n">
        <f aca="false">LN(D2753)</f>
        <v>-1.30394048011232</v>
      </c>
    </row>
    <row r="2754" customFormat="false" ht="15.75" hidden="false" customHeight="false" outlineLevel="0" collapsed="false">
      <c r="A2754" s="1" t="s">
        <v>813</v>
      </c>
      <c r="B2754" s="1" t="n">
        <v>245.65</v>
      </c>
      <c r="C2754" s="1" t="n">
        <f aca="false">1/B2754</f>
        <v>0.00407083248524323</v>
      </c>
      <c r="D2754" s="1" t="n">
        <v>0.26927</v>
      </c>
      <c r="E2754" s="1" t="n">
        <f aca="false">LN(D2754)</f>
        <v>-1.31204068529575</v>
      </c>
    </row>
    <row r="2755" customFormat="false" ht="15.75" hidden="false" customHeight="false" outlineLevel="0" collapsed="false">
      <c r="A2755" s="1" t="s">
        <v>813</v>
      </c>
      <c r="B2755" s="1" t="n">
        <v>246.39</v>
      </c>
      <c r="C2755" s="1" t="n">
        <f aca="false">1/B2755</f>
        <v>0.0040586062746053</v>
      </c>
      <c r="D2755" s="1" t="n">
        <v>0.26711</v>
      </c>
      <c r="E2755" s="1" t="n">
        <f aca="false">LN(D2755)</f>
        <v>-1.32009472040569</v>
      </c>
    </row>
    <row r="2756" customFormat="false" ht="15.75" hidden="false" customHeight="false" outlineLevel="0" collapsed="false">
      <c r="A2756" s="1" t="s">
        <v>813</v>
      </c>
      <c r="B2756" s="1" t="n">
        <v>247.12</v>
      </c>
      <c r="C2756" s="1" t="n">
        <f aca="false">1/B2756</f>
        <v>0.00404661702816445</v>
      </c>
      <c r="D2756" s="1" t="n">
        <v>0.26497</v>
      </c>
      <c r="E2756" s="1" t="n">
        <f aca="false">LN(D2756)</f>
        <v>-1.32813866695154</v>
      </c>
    </row>
    <row r="2757" customFormat="false" ht="15.75" hidden="false" customHeight="false" outlineLevel="0" collapsed="false">
      <c r="A2757" s="1" t="s">
        <v>813</v>
      </c>
      <c r="B2757" s="1" t="n">
        <v>247.86</v>
      </c>
      <c r="C2757" s="1" t="n">
        <f aca="false">1/B2757</f>
        <v>0.00403453562494957</v>
      </c>
      <c r="D2757" s="1" t="n">
        <v>0.26286</v>
      </c>
      <c r="E2757" s="1" t="n">
        <f aca="false">LN(D2757)</f>
        <v>-1.33613370792828</v>
      </c>
    </row>
    <row r="2758" customFormat="false" ht="15.75" hidden="false" customHeight="false" outlineLevel="0" collapsed="false">
      <c r="A2758" s="1" t="s">
        <v>813</v>
      </c>
      <c r="B2758" s="1" t="n">
        <v>248.59</v>
      </c>
      <c r="C2758" s="1" t="n">
        <f aca="false">1/B2758</f>
        <v>0.00402268796009494</v>
      </c>
      <c r="D2758" s="1" t="n">
        <v>0.26077</v>
      </c>
      <c r="E2758" s="1" t="n">
        <f aca="false">LN(D2758)</f>
        <v>-1.34411648622102</v>
      </c>
    </row>
    <row r="2759" customFormat="false" ht="15.75" hidden="false" customHeight="false" outlineLevel="0" collapsed="false">
      <c r="A2759" s="1" t="s">
        <v>813</v>
      </c>
      <c r="B2759" s="1" t="n">
        <v>249.32</v>
      </c>
      <c r="C2759" s="1" t="n">
        <f aca="false">1/B2759</f>
        <v>0.00401090967431414</v>
      </c>
      <c r="D2759" s="1" t="n">
        <v>0.2587</v>
      </c>
      <c r="E2759" s="1" t="n">
        <f aca="false">LN(D2759)</f>
        <v>-1.35208618979015</v>
      </c>
    </row>
    <row r="2760" customFormat="false" ht="15.75" hidden="false" customHeight="false" outlineLevel="0" collapsed="false">
      <c r="A2760" s="1" t="s">
        <v>813</v>
      </c>
      <c r="B2760" s="1" t="n">
        <v>250.06</v>
      </c>
      <c r="C2760" s="1" t="n">
        <f aca="false">1/B2760</f>
        <v>0.00399904023034472</v>
      </c>
      <c r="D2760" s="1" t="n">
        <v>0.25666</v>
      </c>
      <c r="E2760" s="1" t="n">
        <f aca="false">LN(D2760)</f>
        <v>-1.36000302716582</v>
      </c>
    </row>
    <row r="2761" customFormat="false" ht="15.75" hidden="false" customHeight="false" outlineLevel="0" collapsed="false">
      <c r="A2761" s="1" t="s">
        <v>813</v>
      </c>
      <c r="B2761" s="1" t="n">
        <v>250.79</v>
      </c>
      <c r="C2761" s="1" t="n">
        <f aca="false">1/B2761</f>
        <v>0.00398739981657961</v>
      </c>
      <c r="D2761" s="1" t="n">
        <v>0.25465</v>
      </c>
      <c r="E2761" s="1" t="n">
        <f aca="false">LN(D2761)</f>
        <v>-1.36786522565152</v>
      </c>
    </row>
    <row r="2762" customFormat="false" ht="15.75" hidden="false" customHeight="false" outlineLevel="0" collapsed="false">
      <c r="A2762" s="1" t="s">
        <v>813</v>
      </c>
      <c r="B2762" s="1" t="n">
        <v>251.52</v>
      </c>
      <c r="C2762" s="1" t="n">
        <f aca="false">1/B2762</f>
        <v>0.00397582697201018</v>
      </c>
      <c r="D2762" s="1" t="n">
        <v>0.25265</v>
      </c>
      <c r="E2762" s="1" t="n">
        <f aca="false">LN(D2762)</f>
        <v>-1.37575014724422</v>
      </c>
    </row>
    <row r="2763" customFormat="false" ht="15.75" hidden="false" customHeight="false" outlineLevel="0" collapsed="false">
      <c r="A2763" s="1" t="s">
        <v>813</v>
      </c>
      <c r="B2763" s="1" t="n">
        <v>252.26</v>
      </c>
      <c r="C2763" s="1" t="n">
        <f aca="false">1/B2763</f>
        <v>0.0039641639578213</v>
      </c>
      <c r="D2763" s="1" t="n">
        <v>0.25068</v>
      </c>
      <c r="E2763" s="1" t="n">
        <f aca="false">LN(D2763)</f>
        <v>-1.38357805362566</v>
      </c>
    </row>
    <row r="2764" customFormat="false" ht="15.75" hidden="false" customHeight="false" outlineLevel="0" collapsed="false">
      <c r="A2764" s="1" t="s">
        <v>813</v>
      </c>
      <c r="B2764" s="1" t="n">
        <v>252.99</v>
      </c>
      <c r="C2764" s="1" t="n">
        <f aca="false">1/B2764</f>
        <v>0.00395272540416617</v>
      </c>
      <c r="D2764" s="1" t="n">
        <v>0.24873</v>
      </c>
      <c r="E2764" s="1" t="n">
        <f aca="false">LN(D2764)</f>
        <v>-1.3913873081859</v>
      </c>
    </row>
    <row r="2765" customFormat="false" ht="15.75" hidden="false" customHeight="false" outlineLevel="0" collapsed="false">
      <c r="A2765" s="1" t="s">
        <v>813</v>
      </c>
      <c r="B2765" s="1" t="n">
        <v>253.72</v>
      </c>
      <c r="C2765" s="1" t="n">
        <f aca="false">1/B2765</f>
        <v>0.00394135267223711</v>
      </c>
      <c r="D2765" s="1" t="n">
        <v>0.2468</v>
      </c>
      <c r="E2765" s="1" t="n">
        <f aca="false">LN(D2765)</f>
        <v>-1.3991769869509</v>
      </c>
    </row>
    <row r="2766" customFormat="false" ht="15.75" hidden="false" customHeight="false" outlineLevel="0" collapsed="false">
      <c r="A2766" s="1" t="s">
        <v>813</v>
      </c>
      <c r="B2766" s="1" t="n">
        <v>254.46</v>
      </c>
      <c r="C2766" s="1" t="n">
        <f aca="false">1/B2766</f>
        <v>0.00392989074903718</v>
      </c>
      <c r="D2766" s="1" t="n">
        <v>0.24489</v>
      </c>
      <c r="E2766" s="1" t="n">
        <f aca="false">LN(D2766)</f>
        <v>-1.40694614885076</v>
      </c>
    </row>
    <row r="2767" customFormat="false" ht="15.75" hidden="false" customHeight="false" outlineLevel="0" collapsed="false">
      <c r="A2767" s="1" t="s">
        <v>813</v>
      </c>
      <c r="B2767" s="1" t="n">
        <v>255.19</v>
      </c>
      <c r="C2767" s="1" t="n">
        <f aca="false">1/B2767</f>
        <v>0.00391864884987656</v>
      </c>
      <c r="D2767" s="1" t="n">
        <v>0.243</v>
      </c>
      <c r="E2767" s="1" t="n">
        <f aca="false">LN(D2767)</f>
        <v>-1.41469383564159</v>
      </c>
    </row>
    <row r="2768" customFormat="false" ht="15.75" hidden="false" customHeight="false" outlineLevel="0" collapsed="false">
      <c r="A2768" s="1" t="s">
        <v>813</v>
      </c>
      <c r="B2768" s="1" t="n">
        <v>255.92</v>
      </c>
      <c r="C2768" s="1" t="n">
        <f aca="false">1/B2768</f>
        <v>0.00390747108471397</v>
      </c>
      <c r="D2768" s="1" t="n">
        <v>0.24113</v>
      </c>
      <c r="E2768" s="1" t="n">
        <f aca="false">LN(D2768)</f>
        <v>-1.42241907183852</v>
      </c>
    </row>
    <row r="2769" customFormat="false" ht="15.75" hidden="false" customHeight="false" outlineLevel="0" collapsed="false">
      <c r="A2769" s="1" t="s">
        <v>813</v>
      </c>
      <c r="B2769" s="1" t="n">
        <v>256.66</v>
      </c>
      <c r="C2769" s="1" t="n">
        <f aca="false">1/B2769</f>
        <v>0.00389620509623627</v>
      </c>
      <c r="D2769" s="1" t="n">
        <v>0.23929</v>
      </c>
      <c r="E2769" s="1" t="n">
        <f aca="false">LN(D2769)</f>
        <v>-1.43007907349091</v>
      </c>
    </row>
    <row r="2770" customFormat="false" ht="15.75" hidden="false" customHeight="false" outlineLevel="0" collapsed="false">
      <c r="A2770" s="1" t="s">
        <v>813</v>
      </c>
      <c r="B2770" s="1" t="n">
        <v>257.39</v>
      </c>
      <c r="C2770" s="1" t="n">
        <f aca="false">1/B2770</f>
        <v>0.00388515482341971</v>
      </c>
      <c r="D2770" s="1" t="n">
        <v>0.23746</v>
      </c>
      <c r="E2770" s="1" t="n">
        <f aca="false">LN(D2770)</f>
        <v>-1.43775609074449</v>
      </c>
    </row>
    <row r="2771" customFormat="false" ht="15.75" hidden="false" customHeight="false" outlineLevel="0" collapsed="false">
      <c r="A2771" s="1" t="s">
        <v>813</v>
      </c>
      <c r="B2771" s="1" t="n">
        <v>258.12</v>
      </c>
      <c r="C2771" s="1" t="n">
        <f aca="false">1/B2771</f>
        <v>0.00387416705408337</v>
      </c>
      <c r="D2771" s="1" t="n">
        <v>0.23565</v>
      </c>
      <c r="E2771" s="1" t="n">
        <f aca="false">LN(D2771)</f>
        <v>-1.4454076256124</v>
      </c>
    </row>
    <row r="2772" customFormat="false" ht="15.75" hidden="false" customHeight="false" outlineLevel="0" collapsed="false">
      <c r="A2772" s="1" t="s">
        <v>813</v>
      </c>
      <c r="B2772" s="1" t="n">
        <v>258.86</v>
      </c>
      <c r="C2772" s="1" t="n">
        <f aca="false">1/B2772</f>
        <v>0.00386309201885189</v>
      </c>
      <c r="D2772" s="1" t="n">
        <v>0.23386</v>
      </c>
      <c r="E2772" s="1" t="n">
        <f aca="false">LN(D2772)</f>
        <v>-1.45303263326996</v>
      </c>
    </row>
    <row r="2773" customFormat="false" ht="15.75" hidden="false" customHeight="false" outlineLevel="0" collapsed="false">
      <c r="A2773" s="1" t="s">
        <v>813</v>
      </c>
      <c r="B2773" s="1" t="n">
        <v>259.59</v>
      </c>
      <c r="C2773" s="1" t="n">
        <f aca="false">1/B2773</f>
        <v>0.00385222851419546</v>
      </c>
      <c r="D2773" s="1" t="n">
        <v>0.23209</v>
      </c>
      <c r="E2773" s="1" t="n">
        <f aca="false">LN(D2773)</f>
        <v>-1.46063005150713</v>
      </c>
    </row>
    <row r="2774" customFormat="false" ht="15.75" hidden="false" customHeight="false" outlineLevel="0" collapsed="false">
      <c r="A2774" s="1" t="s">
        <v>813</v>
      </c>
      <c r="B2774" s="1" t="n">
        <v>260.32</v>
      </c>
      <c r="C2774" s="1" t="n">
        <f aca="false">1/B2774</f>
        <v>0.00384142593730793</v>
      </c>
      <c r="D2774" s="1" t="n">
        <v>0.23034</v>
      </c>
      <c r="E2774" s="1" t="n">
        <f aca="false">LN(D2774)</f>
        <v>-1.46819880074138</v>
      </c>
    </row>
    <row r="2775" customFormat="false" ht="15.75" hidden="false" customHeight="false" outlineLevel="0" collapsed="false">
      <c r="A2775" s="1" t="s">
        <v>813</v>
      </c>
      <c r="B2775" s="1" t="n">
        <v>261.06</v>
      </c>
      <c r="C2775" s="1" t="n">
        <f aca="false">1/B2775</f>
        <v>0.00383053704129319</v>
      </c>
      <c r="D2775" s="1" t="n">
        <v>0.22861</v>
      </c>
      <c r="E2775" s="1" t="n">
        <f aca="false">LN(D2775)</f>
        <v>-1.47573778404626</v>
      </c>
    </row>
    <row r="2776" customFormat="false" ht="15.75" hidden="false" customHeight="false" outlineLevel="0" collapsed="false">
      <c r="A2776" s="1" t="s">
        <v>813</v>
      </c>
      <c r="B2776" s="1" t="n">
        <v>261.79</v>
      </c>
      <c r="C2776" s="1" t="n">
        <f aca="false">1/B2776</f>
        <v>0.00381985560945796</v>
      </c>
      <c r="D2776" s="1" t="n">
        <v>0.22689</v>
      </c>
      <c r="E2776" s="1" t="n">
        <f aca="false">LN(D2776)</f>
        <v>-1.48328996044609</v>
      </c>
    </row>
    <row r="2777" customFormat="false" ht="15.75" hidden="false" customHeight="false" outlineLevel="0" collapsed="false">
      <c r="A2777" s="1" t="s">
        <v>813</v>
      </c>
      <c r="B2777" s="1" t="n">
        <v>262.53</v>
      </c>
      <c r="C2777" s="1" t="n">
        <f aca="false">1/B2777</f>
        <v>0.00380908848512551</v>
      </c>
      <c r="D2777" s="1" t="n">
        <v>0.22519</v>
      </c>
      <c r="E2777" s="1" t="n">
        <f aca="false">LN(D2777)</f>
        <v>-1.49081078867589</v>
      </c>
    </row>
    <row r="2778" customFormat="false" ht="15.75" hidden="false" customHeight="false" outlineLevel="0" collapsed="false">
      <c r="A2778" s="1" t="s">
        <v>813</v>
      </c>
      <c r="B2778" s="1" t="n">
        <v>263.26</v>
      </c>
      <c r="C2778" s="1" t="n">
        <f aca="false">1/B2778</f>
        <v>0.00379852617184532</v>
      </c>
      <c r="D2778" s="1" t="n">
        <v>0.22351</v>
      </c>
      <c r="E2778" s="1" t="n">
        <f aca="false">LN(D2778)</f>
        <v>-1.49829912320013</v>
      </c>
    </row>
    <row r="2779" customFormat="false" ht="15.75" hidden="false" customHeight="false" outlineLevel="0" collapsed="false">
      <c r="A2779" s="1" t="s">
        <v>813</v>
      </c>
      <c r="B2779" s="1" t="n">
        <v>263.99</v>
      </c>
      <c r="C2779" s="1" t="n">
        <f aca="false">1/B2779</f>
        <v>0.00378802227357097</v>
      </c>
      <c r="D2779" s="1" t="n">
        <v>0.22185</v>
      </c>
      <c r="E2779" s="1" t="n">
        <f aca="false">LN(D2779)</f>
        <v>-1.50575380115722</v>
      </c>
    </row>
    <row r="2780" customFormat="false" ht="15.75" hidden="false" customHeight="false" outlineLevel="0" collapsed="false">
      <c r="A2780" s="1" t="s">
        <v>813</v>
      </c>
      <c r="B2780" s="1" t="n">
        <v>264.73</v>
      </c>
      <c r="C2780" s="1" t="n">
        <f aca="false">1/B2780</f>
        <v>0.00377743361160428</v>
      </c>
      <c r="D2780" s="1" t="n">
        <v>0.22021</v>
      </c>
      <c r="E2780" s="1" t="n">
        <f aca="false">LN(D2780)</f>
        <v>-1.51317364246404</v>
      </c>
    </row>
    <row r="2781" customFormat="false" ht="15.75" hidden="false" customHeight="false" outlineLevel="0" collapsed="false">
      <c r="A2781" s="1" t="s">
        <v>813</v>
      </c>
      <c r="B2781" s="1" t="n">
        <v>265.46</v>
      </c>
      <c r="C2781" s="1" t="n">
        <f aca="false">1/B2781</f>
        <v>0.00376704588261885</v>
      </c>
      <c r="D2781" s="1" t="n">
        <v>0.21858</v>
      </c>
      <c r="E2781" s="1" t="n">
        <f aca="false">LN(D2781)</f>
        <v>-1.52060319873361</v>
      </c>
    </row>
    <row r="2782" customFormat="false" ht="15.75" hidden="false" customHeight="false" outlineLevel="0" collapsed="false">
      <c r="A2782" s="1" t="s">
        <v>813</v>
      </c>
      <c r="B2782" s="1" t="n">
        <v>266.19</v>
      </c>
      <c r="C2782" s="1" t="n">
        <f aca="false">1/B2782</f>
        <v>0.00375671512829182</v>
      </c>
      <c r="D2782" s="1" t="n">
        <v>0.21696</v>
      </c>
      <c r="E2782" s="1" t="n">
        <f aca="false">LN(D2782)</f>
        <v>-1.52804227423011</v>
      </c>
    </row>
    <row r="2783" customFormat="false" ht="15.75" hidden="false" customHeight="false" outlineLevel="0" collapsed="false">
      <c r="A2783" s="1" t="s">
        <v>813</v>
      </c>
      <c r="B2783" s="1" t="n">
        <v>266.93</v>
      </c>
      <c r="C2783" s="1" t="n">
        <f aca="false">1/B2783</f>
        <v>0.00374630052822837</v>
      </c>
      <c r="D2783" s="1" t="n">
        <v>0.21536</v>
      </c>
      <c r="E2783" s="1" t="n">
        <f aca="false">LN(D2783)</f>
        <v>-1.53544423252577</v>
      </c>
    </row>
    <row r="2784" customFormat="false" ht="15.75" hidden="false" customHeight="false" outlineLevel="0" collapsed="false">
      <c r="A2784" s="1" t="s">
        <v>813</v>
      </c>
      <c r="B2784" s="1" t="n">
        <v>267.66</v>
      </c>
      <c r="C2784" s="1" t="n">
        <f aca="false">1/B2784</f>
        <v>0.00373608309048793</v>
      </c>
      <c r="D2784" s="1" t="n">
        <v>0.21378</v>
      </c>
      <c r="E2784" s="1" t="n">
        <f aca="false">LN(D2784)</f>
        <v>-1.54280783013634</v>
      </c>
    </row>
    <row r="2785" customFormat="false" ht="15.75" hidden="false" customHeight="false" outlineLevel="0" collapsed="false">
      <c r="A2785" s="1" t="s">
        <v>813</v>
      </c>
      <c r="B2785" s="1" t="n">
        <v>268.39</v>
      </c>
      <c r="C2785" s="1" t="n">
        <f aca="false">1/B2785</f>
        <v>0.00372592123402511</v>
      </c>
      <c r="D2785" s="1" t="n">
        <v>0.21222</v>
      </c>
      <c r="E2785" s="1" t="n">
        <f aca="false">LN(D2785)</f>
        <v>-1.55013180653669</v>
      </c>
    </row>
    <row r="2786" customFormat="false" ht="15.75" hidden="false" customHeight="false" outlineLevel="0" collapsed="false">
      <c r="A2786" s="1" t="s">
        <v>813</v>
      </c>
      <c r="B2786" s="1" t="n">
        <v>269.13</v>
      </c>
      <c r="C2786" s="1" t="n">
        <f aca="false">1/B2786</f>
        <v>0.0037156764388957</v>
      </c>
      <c r="D2786" s="1" t="n">
        <v>0.21067</v>
      </c>
      <c r="E2786" s="1" t="n">
        <f aca="false">LN(D2786)</f>
        <v>-1.55746235084376</v>
      </c>
    </row>
    <row r="2787" customFormat="false" ht="15.75" hidden="false" customHeight="false" outlineLevel="0" collapsed="false">
      <c r="A2787" s="1" t="s">
        <v>813</v>
      </c>
      <c r="B2787" s="1" t="n">
        <v>269.86</v>
      </c>
      <c r="C2787" s="1" t="n">
        <f aca="false">1/B2787</f>
        <v>0.00370562513896094</v>
      </c>
      <c r="D2787" s="1" t="n">
        <v>0.20913</v>
      </c>
      <c r="E2787" s="1" t="n">
        <f aca="false">LN(D2787)</f>
        <v>-1.56479921081572</v>
      </c>
    </row>
    <row r="2788" customFormat="false" ht="15.75" hidden="false" customHeight="false" outlineLevel="0" collapsed="false">
      <c r="A2788" s="1" t="s">
        <v>813</v>
      </c>
      <c r="B2788" s="1" t="n">
        <v>270.59</v>
      </c>
      <c r="C2788" s="1" t="n">
        <f aca="false">1/B2788</f>
        <v>0.00369562807199083</v>
      </c>
      <c r="D2788" s="1" t="n">
        <v>0.20761</v>
      </c>
      <c r="E2788" s="1" t="n">
        <f aca="false">LN(D2788)</f>
        <v>-1.57209395929368</v>
      </c>
    </row>
    <row r="2789" customFormat="false" ht="15.75" hidden="false" customHeight="false" outlineLevel="0" collapsed="false">
      <c r="A2789" s="1" t="s">
        <v>813</v>
      </c>
      <c r="B2789" s="1" t="n">
        <v>271.33</v>
      </c>
      <c r="C2789" s="1" t="n">
        <f aca="false">1/B2789</f>
        <v>0.00368554896251797</v>
      </c>
      <c r="D2789" s="1" t="n">
        <v>0.20611</v>
      </c>
      <c r="E2789" s="1" t="n">
        <f aca="false">LN(D2789)</f>
        <v>-1.57934527212693</v>
      </c>
    </row>
    <row r="2790" customFormat="false" ht="15.75" hidden="false" customHeight="false" outlineLevel="0" collapsed="false">
      <c r="A2790" s="1" t="s">
        <v>813</v>
      </c>
      <c r="B2790" s="1" t="n">
        <v>272.06</v>
      </c>
      <c r="C2790" s="1" t="n">
        <f aca="false">1/B2790</f>
        <v>0.00367565978093068</v>
      </c>
      <c r="D2790" s="1" t="n">
        <v>0.20461</v>
      </c>
      <c r="E2790" s="1" t="n">
        <f aca="false">LN(D2790)</f>
        <v>-1.58664955080367</v>
      </c>
    </row>
    <row r="2791" customFormat="false" ht="15.75" hidden="false" customHeight="false" outlineLevel="0" collapsed="false">
      <c r="A2791" s="1" t="s">
        <v>813</v>
      </c>
      <c r="B2791" s="1" t="n">
        <v>272.31</v>
      </c>
      <c r="C2791" s="1" t="n">
        <f aca="false">1/B2791</f>
        <v>0.00367228526311924</v>
      </c>
      <c r="D2791" s="1" t="n">
        <v>0.2041</v>
      </c>
      <c r="E2791" s="1" t="n">
        <f aca="false">LN(D2791)</f>
        <v>-1.58914520916634</v>
      </c>
    </row>
    <row r="2792" customFormat="false" ht="15.75" hidden="false" customHeight="false" outlineLevel="0" collapsed="false">
      <c r="A2792" s="1" t="s">
        <v>815</v>
      </c>
      <c r="B2792" s="1" t="n">
        <v>276.36</v>
      </c>
      <c r="C2792" s="1" t="n">
        <f aca="false">1/B2792</f>
        <v>0.00361846866406137</v>
      </c>
      <c r="D2792" s="1" t="n">
        <v>2.128</v>
      </c>
      <c r="E2792" s="1" t="n">
        <f aca="false">LN(D2792)</f>
        <v>0.755182571479398</v>
      </c>
    </row>
    <row r="2793" customFormat="false" ht="15.75" hidden="false" customHeight="false" outlineLevel="0" collapsed="false">
      <c r="A2793" s="1" t="s">
        <v>815</v>
      </c>
      <c r="B2793" s="1" t="n">
        <v>291.17</v>
      </c>
      <c r="C2793" s="1" t="n">
        <f aca="false">1/B2793</f>
        <v>0.00343441975478243</v>
      </c>
      <c r="D2793" s="1" t="n">
        <v>1.591</v>
      </c>
      <c r="E2793" s="1" t="n">
        <f aca="false">LN(D2793)</f>
        <v>0.46436274935565</v>
      </c>
    </row>
    <row r="2794" customFormat="false" ht="15.75" hidden="false" customHeight="false" outlineLevel="0" collapsed="false">
      <c r="A2794" s="1" t="s">
        <v>815</v>
      </c>
      <c r="B2794" s="1" t="n">
        <v>304.98</v>
      </c>
      <c r="C2794" s="1" t="n">
        <f aca="false">1/B2794</f>
        <v>0.00327890353465801</v>
      </c>
      <c r="D2794" s="1" t="n">
        <v>1.263</v>
      </c>
      <c r="E2794" s="1" t="n">
        <f aca="false">LN(D2794)</f>
        <v>0.233489843368354</v>
      </c>
    </row>
    <row r="2795" customFormat="false" ht="15.75" hidden="false" customHeight="false" outlineLevel="0" collapsed="false">
      <c r="A2795" s="1" t="s">
        <v>815</v>
      </c>
      <c r="B2795" s="1" t="n">
        <v>317.64</v>
      </c>
      <c r="C2795" s="1" t="n">
        <f aca="false">1/B2795</f>
        <v>0.00314821810855056</v>
      </c>
      <c r="D2795" s="1" t="n">
        <v>1.049</v>
      </c>
      <c r="E2795" s="1" t="n">
        <f aca="false">LN(D2795)</f>
        <v>0.0478373294141601</v>
      </c>
    </row>
    <row r="2796" customFormat="false" ht="15.75" hidden="false" customHeight="false" outlineLevel="0" collapsed="false">
      <c r="A2796" s="1" t="s">
        <v>815</v>
      </c>
      <c r="B2796" s="1" t="n">
        <v>332.54</v>
      </c>
      <c r="C2796" s="1" t="n">
        <f aca="false">1/B2796</f>
        <v>0.0030071570337403</v>
      </c>
      <c r="D2796" s="1" t="n">
        <v>0.86</v>
      </c>
      <c r="E2796" s="1" t="n">
        <f aca="false">LN(D2796)</f>
        <v>-0.150822889734584</v>
      </c>
    </row>
    <row r="2797" customFormat="false" ht="15.75" hidden="false" customHeight="false" outlineLevel="0" collapsed="false">
      <c r="A2797" s="1" t="s">
        <v>815</v>
      </c>
      <c r="B2797" s="1" t="n">
        <v>346.51</v>
      </c>
      <c r="C2797" s="1" t="n">
        <f aca="false">1/B2797</f>
        <v>0.00288591959827999</v>
      </c>
      <c r="D2797" s="1" t="n">
        <v>0.727</v>
      </c>
      <c r="E2797" s="1" t="n">
        <f aca="false">LN(D2797)</f>
        <v>-0.318828801448618</v>
      </c>
    </row>
    <row r="2798" customFormat="false" ht="15.75" hidden="false" customHeight="false" outlineLevel="0" collapsed="false">
      <c r="A2798" s="1" t="s">
        <v>815</v>
      </c>
      <c r="B2798" s="1" t="n">
        <v>359.7</v>
      </c>
      <c r="C2798" s="1" t="n">
        <f aca="false">1/B2798</f>
        <v>0.00278009452321379</v>
      </c>
      <c r="D2798" s="1" t="n">
        <v>0.628</v>
      </c>
      <c r="E2798" s="1" t="n">
        <f aca="false">LN(D2798)</f>
        <v>-0.465215112513938</v>
      </c>
    </row>
    <row r="2799" customFormat="false" ht="15.75" hidden="false" customHeight="false" outlineLevel="0" collapsed="false">
      <c r="A2799" s="1" t="s">
        <v>815</v>
      </c>
      <c r="B2799" s="1" t="n">
        <v>374.7</v>
      </c>
      <c r="C2799" s="1" t="n">
        <f aca="false">1/B2799</f>
        <v>0.00266880170803309</v>
      </c>
      <c r="D2799" s="1" t="n">
        <v>0.537</v>
      </c>
      <c r="E2799" s="1" t="n">
        <f aca="false">LN(D2799)</f>
        <v>-0.621757184473272</v>
      </c>
    </row>
    <row r="2800" customFormat="false" ht="15.75" hidden="false" customHeight="false" outlineLevel="0" collapsed="false">
      <c r="A2800" s="1" t="s">
        <v>815</v>
      </c>
      <c r="B2800" s="1" t="n">
        <v>388.39</v>
      </c>
      <c r="C2800" s="1" t="n">
        <f aca="false">1/B2800</f>
        <v>0.00257473158423234</v>
      </c>
      <c r="D2800" s="1" t="n">
        <v>0.47</v>
      </c>
      <c r="E2800" s="1" t="n">
        <f aca="false">LN(D2800)</f>
        <v>-0.755022584278033</v>
      </c>
    </row>
    <row r="2801" customFormat="false" ht="15.75" hidden="false" customHeight="false" outlineLevel="0" collapsed="false">
      <c r="A2801" s="1" t="s">
        <v>815</v>
      </c>
      <c r="B2801" s="1" t="n">
        <v>403.41</v>
      </c>
      <c r="C2801" s="1" t="n">
        <f aca="false">1/B2801</f>
        <v>0.00247886765325599</v>
      </c>
      <c r="D2801" s="1" t="n">
        <v>0.408</v>
      </c>
      <c r="E2801" s="1" t="n">
        <f aca="false">LN(D2801)</f>
        <v>-0.896488104577975</v>
      </c>
    </row>
    <row r="2802" customFormat="false" ht="15.75" hidden="false" customHeight="false" outlineLevel="0" collapsed="false">
      <c r="A2802" s="1" t="s">
        <v>815</v>
      </c>
      <c r="B2802" s="1" t="n">
        <v>418.12</v>
      </c>
      <c r="C2802" s="1" t="n">
        <f aca="false">1/B2802</f>
        <v>0.00239165789725438</v>
      </c>
      <c r="D2802" s="1" t="n">
        <v>0.358</v>
      </c>
      <c r="E2802" s="1" t="n">
        <f aca="false">LN(D2802)</f>
        <v>-1.02722229258144</v>
      </c>
    </row>
    <row r="2803" customFormat="false" ht="15.75" hidden="false" customHeight="false" outlineLevel="0" collapsed="false">
      <c r="A2803" s="1" t="s">
        <v>815</v>
      </c>
      <c r="B2803" s="1" t="n">
        <v>428.91</v>
      </c>
      <c r="C2803" s="1" t="n">
        <f aca="false">1/B2803</f>
        <v>0.00233149145508382</v>
      </c>
      <c r="D2803" s="1" t="n">
        <v>0.327</v>
      </c>
      <c r="E2803" s="1" t="n">
        <f aca="false">LN(D2803)</f>
        <v>-1.11779510808488</v>
      </c>
    </row>
    <row r="2804" customFormat="false" ht="15.75" hidden="false" customHeight="false" outlineLevel="0" collapsed="false">
      <c r="A2804" s="1" t="s">
        <v>817</v>
      </c>
      <c r="B2804" s="1" t="n">
        <v>273.1574</v>
      </c>
      <c r="C2804" s="1" t="n">
        <f aca="false">1/B2804</f>
        <v>0.00366089295036488</v>
      </c>
      <c r="D2804" s="1" t="n">
        <v>1.0035</v>
      </c>
      <c r="E2804" s="1" t="n">
        <f aca="false">LN(D2804)</f>
        <v>0.00349388925425584</v>
      </c>
    </row>
    <row r="2805" customFormat="false" ht="15.75" hidden="false" customHeight="false" outlineLevel="0" collapsed="false">
      <c r="A2805" s="1" t="s">
        <v>817</v>
      </c>
      <c r="B2805" s="1" t="n">
        <v>283.15</v>
      </c>
      <c r="C2805" s="1" t="n">
        <f aca="false">1/B2805</f>
        <v>0.00353169698039908</v>
      </c>
      <c r="D2805" s="1" t="n">
        <v>0.8511</v>
      </c>
      <c r="E2805" s="1" t="n">
        <f aca="false">LN(D2805)</f>
        <v>-0.161225648499222</v>
      </c>
    </row>
    <row r="2806" customFormat="false" ht="15.75" hidden="false" customHeight="false" outlineLevel="0" collapsed="false">
      <c r="A2806" s="1" t="s">
        <v>817</v>
      </c>
      <c r="B2806" s="1" t="n">
        <v>293.15</v>
      </c>
      <c r="C2806" s="1" t="n">
        <f aca="false">1/B2806</f>
        <v>0.00341122292341805</v>
      </c>
      <c r="D2806" s="1" t="n">
        <v>0.7322</v>
      </c>
      <c r="E2806" s="1" t="n">
        <f aca="false">LN(D2806)</f>
        <v>-0.311701578296001</v>
      </c>
    </row>
    <row r="2807" customFormat="false" ht="15.75" hidden="false" customHeight="false" outlineLevel="0" collapsed="false">
      <c r="A2807" s="1" t="s">
        <v>817</v>
      </c>
      <c r="B2807" s="1" t="n">
        <v>303.15</v>
      </c>
      <c r="C2807" s="1" t="n">
        <f aca="false">1/B2807</f>
        <v>0.0032986970146792</v>
      </c>
      <c r="D2807" s="1" t="n">
        <v>0.6372</v>
      </c>
      <c r="E2807" s="1" t="n">
        <f aca="false">LN(D2807)</f>
        <v>-0.450671700946244</v>
      </c>
    </row>
    <row r="2808" customFormat="false" ht="15.75" hidden="false" customHeight="false" outlineLevel="0" collapsed="false">
      <c r="A2808" s="1" t="s">
        <v>817</v>
      </c>
      <c r="B2808" s="1" t="n">
        <v>313.15</v>
      </c>
      <c r="C2808" s="1" t="n">
        <f aca="false">1/B2808</f>
        <v>0.00319335781574325</v>
      </c>
      <c r="D2808" s="1" t="n">
        <v>0.5626</v>
      </c>
      <c r="E2808" s="1" t="n">
        <f aca="false">LN(D2808)</f>
        <v>-0.575186382926381</v>
      </c>
    </row>
    <row r="2809" customFormat="false" ht="15.75" hidden="false" customHeight="false" outlineLevel="0" collapsed="false">
      <c r="A2809" s="1" t="s">
        <v>817</v>
      </c>
      <c r="B2809" s="1" t="n">
        <v>333.15</v>
      </c>
      <c r="C2809" s="1" t="n">
        <f aca="false">1/B2809</f>
        <v>0.0030016509079994</v>
      </c>
      <c r="D2809" s="1" t="n">
        <v>0.4476</v>
      </c>
      <c r="E2809" s="1" t="n">
        <f aca="false">LN(D2809)</f>
        <v>-0.803855302544367</v>
      </c>
    </row>
    <row r="2810" customFormat="false" ht="15.75" hidden="false" customHeight="false" outlineLevel="0" collapsed="false">
      <c r="A2810" s="1" t="s">
        <v>817</v>
      </c>
      <c r="B2810" s="1" t="n">
        <v>353.15</v>
      </c>
      <c r="C2810" s="1" t="n">
        <f aca="false">1/B2810</f>
        <v>0.00283165793572137</v>
      </c>
      <c r="D2810" s="1" t="n">
        <v>0.3656</v>
      </c>
      <c r="E2810" s="1" t="n">
        <f aca="false">LN(D2810)</f>
        <v>-1.00621543940214</v>
      </c>
    </row>
    <row r="2811" customFormat="false" ht="15.75" hidden="false" customHeight="false" outlineLevel="0" collapsed="false">
      <c r="A2811" s="1" t="s">
        <v>817</v>
      </c>
      <c r="B2811" s="1" t="n">
        <v>373.15</v>
      </c>
      <c r="C2811" s="1" t="n">
        <f aca="false">1/B2811</f>
        <v>0.00267988744472732</v>
      </c>
      <c r="D2811" s="1" t="n">
        <v>0.3044</v>
      </c>
      <c r="E2811" s="1" t="n">
        <f aca="false">LN(D2811)</f>
        <v>-1.18941265299461</v>
      </c>
    </row>
    <row r="2812" customFormat="false" ht="15.75" hidden="false" customHeight="false" outlineLevel="0" collapsed="false">
      <c r="A2812" s="1" t="s">
        <v>817</v>
      </c>
      <c r="B2812" s="1" t="n">
        <v>308.1599</v>
      </c>
      <c r="C2812" s="1" t="n">
        <f aca="false">1/B2812</f>
        <v>0.00324506855045059</v>
      </c>
      <c r="D2812" s="1" t="n">
        <v>0.6042</v>
      </c>
      <c r="E2812" s="1" t="n">
        <f aca="false">LN(D2812)</f>
        <v>-0.503850010029566</v>
      </c>
    </row>
    <row r="2813" customFormat="false" ht="15.75" hidden="false" customHeight="false" outlineLevel="0" collapsed="false">
      <c r="A2813" s="1" t="s">
        <v>110</v>
      </c>
      <c r="B2813" s="1" t="n">
        <v>293.15</v>
      </c>
      <c r="C2813" s="1" t="n">
        <f aca="false">1/B2813</f>
        <v>0.00341122292341805</v>
      </c>
      <c r="D2813" s="1" t="n">
        <v>0.8763</v>
      </c>
      <c r="E2813" s="1" t="n">
        <f aca="false">LN(D2813)</f>
        <v>-0.132046780920332</v>
      </c>
    </row>
    <row r="2814" customFormat="false" ht="15.75" hidden="false" customHeight="false" outlineLevel="0" collapsed="false">
      <c r="A2814" s="1" t="s">
        <v>110</v>
      </c>
      <c r="B2814" s="1" t="n">
        <v>303.15</v>
      </c>
      <c r="C2814" s="1" t="n">
        <f aca="false">1/B2814</f>
        <v>0.0032986970146792</v>
      </c>
      <c r="D2814" s="1" t="n">
        <v>0.7568</v>
      </c>
      <c r="E2814" s="1" t="n">
        <f aca="false">LN(D2814)</f>
        <v>-0.278656261244469</v>
      </c>
    </row>
    <row r="2815" customFormat="false" ht="15.75" hidden="false" customHeight="false" outlineLevel="0" collapsed="false">
      <c r="A2815" s="1" t="s">
        <v>110</v>
      </c>
      <c r="B2815" s="1" t="n">
        <v>313.15</v>
      </c>
      <c r="C2815" s="1" t="n">
        <f aca="false">1/B2815</f>
        <v>0.00319335781574325</v>
      </c>
      <c r="D2815" s="1" t="n">
        <v>0.6609</v>
      </c>
      <c r="E2815" s="1" t="n">
        <f aca="false">LN(D2815)</f>
        <v>-0.41415273650573</v>
      </c>
    </row>
    <row r="2816" customFormat="false" ht="15.75" hidden="false" customHeight="false" outlineLevel="0" collapsed="false">
      <c r="A2816" s="1" t="s">
        <v>819</v>
      </c>
      <c r="B2816" s="1" t="n">
        <v>278.15</v>
      </c>
      <c r="C2816" s="1" t="n">
        <f aca="false">1/B2816</f>
        <v>0.00359518245550962</v>
      </c>
      <c r="D2816" s="1" t="n">
        <v>0.769</v>
      </c>
      <c r="E2816" s="1" t="n">
        <f aca="false">LN(D2816)</f>
        <v>-0.262664309476493</v>
      </c>
    </row>
    <row r="2817" customFormat="false" ht="15.75" hidden="false" customHeight="false" outlineLevel="0" collapsed="false">
      <c r="A2817" s="1" t="s">
        <v>819</v>
      </c>
      <c r="B2817" s="1" t="n">
        <v>288.15</v>
      </c>
      <c r="C2817" s="1" t="n">
        <f aca="false">1/B2817</f>
        <v>0.00347041471455839</v>
      </c>
      <c r="D2817" s="1" t="n">
        <v>0.648</v>
      </c>
      <c r="E2817" s="1" t="n">
        <f aca="false">LN(D2817)</f>
        <v>-0.433864582629862</v>
      </c>
    </row>
    <row r="2818" customFormat="false" ht="15.75" hidden="false" customHeight="false" outlineLevel="0" collapsed="false">
      <c r="A2818" s="1" t="s">
        <v>819</v>
      </c>
      <c r="B2818" s="1" t="n">
        <v>298.15</v>
      </c>
      <c r="C2818" s="1" t="n">
        <f aca="false">1/B2818</f>
        <v>0.00335401643468053</v>
      </c>
      <c r="D2818" s="1" t="n">
        <v>0.578</v>
      </c>
      <c r="E2818" s="1" t="n">
        <f aca="false">LN(D2818)</f>
        <v>-0.54818141030976</v>
      </c>
    </row>
    <row r="2819" customFormat="false" ht="15.75" hidden="false" customHeight="false" outlineLevel="0" collapsed="false">
      <c r="A2819" s="1" t="s">
        <v>819</v>
      </c>
      <c r="B2819" s="1" t="n">
        <v>308.15</v>
      </c>
      <c r="C2819" s="1" t="n">
        <f aca="false">1/B2819</f>
        <v>0.00324517280545189</v>
      </c>
      <c r="D2819" s="1" t="n">
        <v>0.511</v>
      </c>
      <c r="E2819" s="1" t="n">
        <f aca="false">LN(D2819)</f>
        <v>-0.671385688778433</v>
      </c>
    </row>
    <row r="2820" customFormat="false" ht="15.75" hidden="false" customHeight="false" outlineLevel="0" collapsed="false">
      <c r="A2820" s="1" t="s">
        <v>819</v>
      </c>
      <c r="B2820" s="1" t="n">
        <v>318.15</v>
      </c>
      <c r="C2820" s="1" t="n">
        <f aca="false">1/B2820</f>
        <v>0.00314317146000314</v>
      </c>
      <c r="D2820" s="1" t="n">
        <v>0.449</v>
      </c>
      <c r="E2820" s="1" t="n">
        <f aca="false">LN(D2820)</f>
        <v>-0.800732391239883</v>
      </c>
    </row>
    <row r="2821" customFormat="false" ht="15.75" hidden="false" customHeight="false" outlineLevel="0" collapsed="false">
      <c r="A2821" s="1" t="s">
        <v>819</v>
      </c>
      <c r="B2821" s="1" t="n">
        <v>333.15</v>
      </c>
      <c r="C2821" s="1" t="n">
        <f aca="false">1/B2821</f>
        <v>0.0030016509079994</v>
      </c>
      <c r="D2821" s="1" t="n">
        <v>0.36</v>
      </c>
      <c r="E2821" s="1" t="n">
        <f aca="false">LN(D2821)</f>
        <v>-1.02165124753198</v>
      </c>
    </row>
    <row r="2822" customFormat="false" ht="15.75" hidden="false" customHeight="false" outlineLevel="0" collapsed="false">
      <c r="A2822" s="1" t="s">
        <v>819</v>
      </c>
      <c r="B2822" s="1" t="n">
        <v>291.85</v>
      </c>
      <c r="C2822" s="1" t="n">
        <f aca="false">1/B2822</f>
        <v>0.00342641768031523</v>
      </c>
      <c r="D2822" s="1" t="n">
        <v>0.645</v>
      </c>
      <c r="E2822" s="1" t="n">
        <f aca="false">LN(D2822)</f>
        <v>-0.438504962186365</v>
      </c>
    </row>
    <row r="2823" customFormat="false" ht="15.75" hidden="false" customHeight="false" outlineLevel="0" collapsed="false">
      <c r="A2823" s="1" t="s">
        <v>819</v>
      </c>
      <c r="B2823" s="1" t="n">
        <v>306.15</v>
      </c>
      <c r="C2823" s="1" t="n">
        <f aca="false">1/B2823</f>
        <v>0.00326637269312429</v>
      </c>
      <c r="D2823" s="1" t="n">
        <v>0.513</v>
      </c>
      <c r="E2823" s="1" t="n">
        <f aca="false">LN(D2823)</f>
        <v>-0.667479433811368</v>
      </c>
    </row>
    <row r="2824" customFormat="false" ht="15.75" hidden="false" customHeight="false" outlineLevel="0" collapsed="false">
      <c r="A2824" s="1" t="s">
        <v>819</v>
      </c>
      <c r="B2824" s="1" t="n">
        <v>315.4</v>
      </c>
      <c r="C2824" s="1" t="n">
        <f aca="false">1/B2824</f>
        <v>0.00317057704502219</v>
      </c>
      <c r="D2824" s="1" t="n">
        <v>0.448</v>
      </c>
      <c r="E2824" s="1" t="n">
        <f aca="false">LN(D2824)</f>
        <v>-0.802962046567152</v>
      </c>
    </row>
    <row r="2825" customFormat="false" ht="15.75" hidden="false" customHeight="false" outlineLevel="0" collapsed="false">
      <c r="A2825" s="1" t="s">
        <v>819</v>
      </c>
      <c r="B2825" s="1" t="n">
        <v>324.85</v>
      </c>
      <c r="C2825" s="1" t="n">
        <f aca="false">1/B2825</f>
        <v>0.00307834385100816</v>
      </c>
      <c r="D2825" s="1" t="n">
        <v>0.3945</v>
      </c>
      <c r="E2825" s="1" t="n">
        <f aca="false">LN(D2825)</f>
        <v>-0.930136138696208</v>
      </c>
    </row>
    <row r="2826" customFormat="false" ht="15.75" hidden="false" customHeight="false" outlineLevel="0" collapsed="false">
      <c r="A2826" s="1" t="s">
        <v>819</v>
      </c>
      <c r="B2826" s="1" t="n">
        <v>344.85</v>
      </c>
      <c r="C2826" s="1" t="n">
        <f aca="false">1/B2826</f>
        <v>0.0028998115122517</v>
      </c>
      <c r="D2826" s="1" t="n">
        <v>0.3745</v>
      </c>
      <c r="E2826" s="1" t="n">
        <f aca="false">LN(D2826)</f>
        <v>-0.982163476024863</v>
      </c>
    </row>
    <row r="2827" customFormat="false" ht="15.75" hidden="false" customHeight="false" outlineLevel="0" collapsed="false">
      <c r="A2827" s="1" t="s">
        <v>819</v>
      </c>
      <c r="B2827" s="1" t="n">
        <v>346.2</v>
      </c>
      <c r="C2827" s="1" t="n">
        <f aca="false">1/B2827</f>
        <v>0.00288850375505488</v>
      </c>
      <c r="D2827" s="1" t="n">
        <v>0.3034</v>
      </c>
      <c r="E2827" s="1" t="n">
        <f aca="false">LN(D2827)</f>
        <v>-1.19270321206771</v>
      </c>
    </row>
    <row r="2828" customFormat="false" ht="15.75" hidden="false" customHeight="false" outlineLevel="0" collapsed="false">
      <c r="A2828" s="1" t="s">
        <v>819</v>
      </c>
      <c r="B2828" s="1" t="n">
        <v>350.85</v>
      </c>
      <c r="C2828" s="1" t="n">
        <f aca="false">1/B2828</f>
        <v>0.00285022089211914</v>
      </c>
      <c r="D2828" s="1" t="n">
        <v>0.288</v>
      </c>
      <c r="E2828" s="1" t="n">
        <f aca="false">LN(D2828)</f>
        <v>-1.24479479884619</v>
      </c>
    </row>
    <row r="2829" customFormat="false" ht="15.75" hidden="false" customHeight="false" outlineLevel="0" collapsed="false">
      <c r="A2829" s="1" t="s">
        <v>819</v>
      </c>
      <c r="B2829" s="1" t="n">
        <v>303.15197</v>
      </c>
      <c r="C2829" s="1" t="n">
        <f aca="false">1/B2829</f>
        <v>0.00329867557845657</v>
      </c>
      <c r="D2829" s="1" t="n">
        <v>0.4442</v>
      </c>
      <c r="E2829" s="1" t="n">
        <f aca="false">LN(D2829)</f>
        <v>-0.81148036752181</v>
      </c>
    </row>
    <row r="2830" customFormat="false" ht="15.75" hidden="false" customHeight="false" outlineLevel="0" collapsed="false">
      <c r="A2830" s="1" t="s">
        <v>819</v>
      </c>
      <c r="B2830" s="1" t="n">
        <v>313.15</v>
      </c>
      <c r="C2830" s="1" t="n">
        <f aca="false">1/B2830</f>
        <v>0.00319335781574325</v>
      </c>
      <c r="D2830" s="1" t="n">
        <v>0.3927</v>
      </c>
      <c r="E2830" s="1" t="n">
        <f aca="false">LN(D2830)</f>
        <v>-0.934709317398173</v>
      </c>
    </row>
    <row r="2831" customFormat="false" ht="15.75" hidden="false" customHeight="false" outlineLevel="0" collapsed="false">
      <c r="A2831" s="1" t="s">
        <v>821</v>
      </c>
      <c r="B2831" s="1" t="n">
        <v>283.15</v>
      </c>
      <c r="C2831" s="1" t="n">
        <f aca="false">1/B2831</f>
        <v>0.00353169698039908</v>
      </c>
      <c r="D2831" s="1" t="n">
        <v>1.204</v>
      </c>
      <c r="E2831" s="1" t="n">
        <f aca="false">LN(D2831)</f>
        <v>0.185649346886629</v>
      </c>
    </row>
    <row r="2832" customFormat="false" ht="15.75" hidden="false" customHeight="false" outlineLevel="0" collapsed="false">
      <c r="A2832" s="1" t="s">
        <v>821</v>
      </c>
      <c r="B2832" s="1" t="n">
        <v>293.15</v>
      </c>
      <c r="C2832" s="1" t="n">
        <f aca="false">1/B2832</f>
        <v>0.00341122292341805</v>
      </c>
      <c r="D2832" s="1" t="n">
        <v>1.0201</v>
      </c>
      <c r="E2832" s="1" t="n">
        <f aca="false">LN(D2832)</f>
        <v>0.0199006617063362</v>
      </c>
    </row>
    <row r="2833" customFormat="false" ht="15.75" hidden="false" customHeight="false" outlineLevel="0" collapsed="false">
      <c r="A2833" s="1" t="s">
        <v>821</v>
      </c>
      <c r="B2833" s="1" t="n">
        <v>303.15</v>
      </c>
      <c r="C2833" s="1" t="n">
        <f aca="false">1/B2833</f>
        <v>0.0032986970146792</v>
      </c>
      <c r="D2833" s="1" t="n">
        <v>0.88</v>
      </c>
      <c r="E2833" s="1" t="n">
        <f aca="false">LN(D2833)</f>
        <v>-0.127833371509885</v>
      </c>
    </row>
    <row r="2834" customFormat="false" ht="15.75" hidden="false" customHeight="false" outlineLevel="0" collapsed="false">
      <c r="A2834" s="1" t="s">
        <v>821</v>
      </c>
      <c r="B2834" s="1" t="n">
        <v>313.15</v>
      </c>
      <c r="C2834" s="1" t="n">
        <f aca="false">1/B2834</f>
        <v>0.00319335781574325</v>
      </c>
      <c r="D2834" s="1" t="n">
        <v>0.767</v>
      </c>
      <c r="E2834" s="1" t="n">
        <f aca="false">LN(D2834)</f>
        <v>-0.265268477614881</v>
      </c>
    </row>
    <row r="2835" customFormat="false" ht="15.75" hidden="false" customHeight="false" outlineLevel="0" collapsed="false">
      <c r="A2835" s="1" t="s">
        <v>821</v>
      </c>
      <c r="B2835" s="1" t="n">
        <v>323.15</v>
      </c>
      <c r="C2835" s="1" t="n">
        <f aca="false">1/B2835</f>
        <v>0.00309453814018258</v>
      </c>
      <c r="D2835" s="1" t="n">
        <v>0.681</v>
      </c>
      <c r="E2835" s="1" t="n">
        <f aca="false">LN(D2835)</f>
        <v>-0.384192972832625</v>
      </c>
    </row>
    <row r="2836" customFormat="false" ht="15.75" hidden="false" customHeight="false" outlineLevel="0" collapsed="false">
      <c r="A2836" s="1" t="s">
        <v>821</v>
      </c>
      <c r="B2836" s="1" t="n">
        <v>333.15</v>
      </c>
      <c r="C2836" s="1" t="n">
        <f aca="false">1/B2836</f>
        <v>0.0030016509079994</v>
      </c>
      <c r="D2836" s="1" t="n">
        <v>0.608</v>
      </c>
      <c r="E2836" s="1" t="n">
        <f aca="false">LN(D2836)</f>
        <v>-0.49758039701597</v>
      </c>
    </row>
    <row r="2837" customFormat="false" ht="15.75" hidden="false" customHeight="false" outlineLevel="0" collapsed="false">
      <c r="A2837" s="1" t="s">
        <v>821</v>
      </c>
      <c r="B2837" s="1" t="n">
        <v>343.15</v>
      </c>
      <c r="C2837" s="1" t="n">
        <f aca="false">1/B2837</f>
        <v>0.00291417747340813</v>
      </c>
      <c r="D2837" s="1" t="n">
        <v>0.544</v>
      </c>
      <c r="E2837" s="1" t="n">
        <f aca="false">LN(D2837)</f>
        <v>-0.608806032126194</v>
      </c>
    </row>
    <row r="2838" customFormat="false" ht="15.75" hidden="false" customHeight="false" outlineLevel="0" collapsed="false">
      <c r="A2838" s="1" t="s">
        <v>821</v>
      </c>
      <c r="B2838" s="1" t="n">
        <v>353.15</v>
      </c>
      <c r="C2838" s="1" t="n">
        <f aca="false">1/B2838</f>
        <v>0.00283165793572137</v>
      </c>
      <c r="D2838" s="1" t="n">
        <v>0.492</v>
      </c>
      <c r="E2838" s="1" t="n">
        <f aca="false">LN(D2838)</f>
        <v>-0.709276562489829</v>
      </c>
    </row>
    <row r="2839" customFormat="false" ht="15.75" hidden="false" customHeight="false" outlineLevel="0" collapsed="false">
      <c r="A2839" s="1" t="s">
        <v>823</v>
      </c>
      <c r="B2839" s="1" t="n">
        <v>273.15</v>
      </c>
      <c r="C2839" s="1" t="n">
        <f aca="false">1/B2839</f>
        <v>0.00366099212886692</v>
      </c>
      <c r="D2839" s="1" t="n">
        <v>1.4409</v>
      </c>
      <c r="E2839" s="1" t="n">
        <f aca="false">LN(D2839)</f>
        <v>0.365267918356751</v>
      </c>
    </row>
    <row r="2840" customFormat="false" ht="15.75" hidden="false" customHeight="false" outlineLevel="0" collapsed="false">
      <c r="A2840" s="1" t="s">
        <v>823</v>
      </c>
      <c r="B2840" s="1" t="n">
        <v>283.15</v>
      </c>
      <c r="C2840" s="1" t="n">
        <f aca="false">1/B2840</f>
        <v>0.00353169698039908</v>
      </c>
      <c r="D2840" s="1" t="n">
        <v>1.1955</v>
      </c>
      <c r="E2840" s="1" t="n">
        <f aca="false">LN(D2840)</f>
        <v>0.178564507916242</v>
      </c>
    </row>
    <row r="2841" customFormat="false" ht="15.75" hidden="false" customHeight="false" outlineLevel="0" collapsed="false">
      <c r="A2841" s="1" t="s">
        <v>823</v>
      </c>
      <c r="B2841" s="1" t="n">
        <v>303.15</v>
      </c>
      <c r="C2841" s="1" t="n">
        <f aca="false">1/B2841</f>
        <v>0.0032986970146792</v>
      </c>
      <c r="D2841" s="1" t="n">
        <v>0.8718</v>
      </c>
      <c r="E2841" s="1" t="n">
        <f aca="false">LN(D2841)</f>
        <v>-0.137195239177845</v>
      </c>
    </row>
    <row r="2842" customFormat="false" ht="15.75" hidden="false" customHeight="false" outlineLevel="0" collapsed="false">
      <c r="A2842" s="1" t="s">
        <v>823</v>
      </c>
      <c r="B2842" s="1" t="n">
        <v>313.15</v>
      </c>
      <c r="C2842" s="1" t="n">
        <f aca="false">1/B2842</f>
        <v>0.00319335781574325</v>
      </c>
      <c r="D2842" s="1" t="n">
        <v>0.7599</v>
      </c>
      <c r="E2842" s="1" t="n">
        <f aca="false">LN(D2842)</f>
        <v>-0.274568433306398</v>
      </c>
    </row>
    <row r="2843" customFormat="false" ht="15.75" hidden="false" customHeight="false" outlineLevel="0" collapsed="false">
      <c r="A2843" s="1" t="s">
        <v>823</v>
      </c>
      <c r="B2843" s="1" t="n">
        <v>353.15</v>
      </c>
      <c r="C2843" s="1" t="n">
        <f aca="false">1/B2843</f>
        <v>0.00283165793572137</v>
      </c>
      <c r="D2843" s="1" t="n">
        <v>0.4785</v>
      </c>
      <c r="E2843" s="1" t="n">
        <f aca="false">LN(D2843)</f>
        <v>-0.737099068089128</v>
      </c>
    </row>
    <row r="2844" customFormat="false" ht="15.75" hidden="false" customHeight="false" outlineLevel="0" collapsed="false">
      <c r="A2844" s="1" t="s">
        <v>823</v>
      </c>
      <c r="B2844" s="1" t="n">
        <v>373.15</v>
      </c>
      <c r="C2844" s="1" t="n">
        <f aca="false">1/B2844</f>
        <v>0.00267988744472732</v>
      </c>
      <c r="D2844" s="1" t="n">
        <v>0.3949</v>
      </c>
      <c r="E2844" s="1" t="n">
        <f aca="false">LN(D2844)</f>
        <v>-0.929122710689533</v>
      </c>
    </row>
    <row r="2845" customFormat="false" ht="15.75" hidden="false" customHeight="false" outlineLevel="0" collapsed="false">
      <c r="A2845" s="1" t="s">
        <v>823</v>
      </c>
      <c r="B2845" s="1" t="n">
        <v>293.15</v>
      </c>
      <c r="C2845" s="1" t="n">
        <f aca="false">1/B2845</f>
        <v>0.00341122292341805</v>
      </c>
      <c r="D2845" s="1" t="n">
        <v>1.013</v>
      </c>
      <c r="E2845" s="1" t="n">
        <f aca="false">LN(D2845)</f>
        <v>0.0129162252665462</v>
      </c>
    </row>
    <row r="2846" customFormat="false" ht="15.75" hidden="false" customHeight="false" outlineLevel="0" collapsed="false">
      <c r="A2846" s="1" t="s">
        <v>823</v>
      </c>
      <c r="B2846" s="1" t="n">
        <v>333.15</v>
      </c>
      <c r="C2846" s="1" t="n">
        <f aca="false">1/B2846</f>
        <v>0.0030016509079994</v>
      </c>
      <c r="D2846" s="1" t="n">
        <v>0.5938</v>
      </c>
      <c r="E2846" s="1" t="n">
        <f aca="false">LN(D2846)</f>
        <v>-0.521212716652478</v>
      </c>
    </row>
    <row r="2847" customFormat="false" ht="15.75" hidden="false" customHeight="false" outlineLevel="0" collapsed="false">
      <c r="A2847" s="1" t="s">
        <v>112</v>
      </c>
      <c r="B2847" s="1" t="n">
        <v>293.16</v>
      </c>
      <c r="C2847" s="1" t="n">
        <f aca="false">1/B2847</f>
        <v>0.00341110656296903</v>
      </c>
      <c r="D2847" s="1" t="n">
        <v>0.887</v>
      </c>
      <c r="E2847" s="1" t="n">
        <f aca="false">LN(D2847)</f>
        <v>-0.119910296672558</v>
      </c>
    </row>
    <row r="2848" customFormat="false" ht="15.75" hidden="false" customHeight="false" outlineLevel="0" collapsed="false">
      <c r="A2848" s="1" t="s">
        <v>112</v>
      </c>
      <c r="B2848" s="1" t="n">
        <v>288.16</v>
      </c>
      <c r="C2848" s="1" t="n">
        <f aca="false">1/B2848</f>
        <v>0.00347029428095502</v>
      </c>
      <c r="D2848" s="1" t="n">
        <v>0.959</v>
      </c>
      <c r="E2848" s="1" t="n">
        <f aca="false">LN(D2848)</f>
        <v>-0.0418642040986989</v>
      </c>
    </row>
    <row r="2849" customFormat="false" ht="15.75" hidden="false" customHeight="false" outlineLevel="0" collapsed="false">
      <c r="A2849" s="1" t="s">
        <v>112</v>
      </c>
      <c r="B2849" s="1" t="n">
        <v>318.16</v>
      </c>
      <c r="C2849" s="1" t="n">
        <f aca="false">1/B2849</f>
        <v>0.00314307266784008</v>
      </c>
      <c r="D2849" s="1" t="n">
        <v>0.646</v>
      </c>
      <c r="E2849" s="1" t="n">
        <f aca="false">LN(D2849)</f>
        <v>-0.436955775199535</v>
      </c>
    </row>
    <row r="2850" customFormat="false" ht="15.75" hidden="false" customHeight="false" outlineLevel="0" collapsed="false">
      <c r="A2850" s="1" t="s">
        <v>112</v>
      </c>
      <c r="B2850" s="1" t="n">
        <v>373.16</v>
      </c>
      <c r="C2850" s="1" t="n">
        <f aca="false">1/B2850</f>
        <v>0.00267981562868475</v>
      </c>
      <c r="D2850" s="1" t="n">
        <v>0.406</v>
      </c>
      <c r="E2850" s="1" t="n">
        <f aca="false">LN(D2850)</f>
        <v>-0.901402119380404</v>
      </c>
    </row>
    <row r="2851" customFormat="false" ht="15.75" hidden="false" customHeight="false" outlineLevel="0" collapsed="false">
      <c r="A2851" s="1" t="s">
        <v>825</v>
      </c>
      <c r="B2851" s="1" t="n">
        <v>273.15</v>
      </c>
      <c r="C2851" s="1" t="n">
        <f aca="false">1/B2851</f>
        <v>0.00366099212886692</v>
      </c>
      <c r="D2851" s="1" t="n">
        <v>16.6113</v>
      </c>
      <c r="E2851" s="1" t="n">
        <f aca="false">LN(D2851)</f>
        <v>2.81008318666733</v>
      </c>
    </row>
    <row r="2852" customFormat="false" ht="15.75" hidden="false" customHeight="false" outlineLevel="0" collapsed="false">
      <c r="A2852" s="1" t="s">
        <v>825</v>
      </c>
      <c r="B2852" s="1" t="n">
        <v>283.15</v>
      </c>
      <c r="C2852" s="1" t="n">
        <f aca="false">1/B2852</f>
        <v>0.00353169698039908</v>
      </c>
      <c r="D2852" s="1" t="n">
        <v>10.6451</v>
      </c>
      <c r="E2852" s="1" t="n">
        <f aca="false">LN(D2852)</f>
        <v>2.36509969238305</v>
      </c>
    </row>
    <row r="2853" customFormat="false" ht="15.75" hidden="false" customHeight="false" outlineLevel="0" collapsed="false">
      <c r="A2853" s="1" t="s">
        <v>825</v>
      </c>
      <c r="B2853" s="1" t="n">
        <v>303.15</v>
      </c>
      <c r="C2853" s="1" t="n">
        <f aca="false">1/B2853</f>
        <v>0.0032986970146792</v>
      </c>
      <c r="D2853" s="1" t="n">
        <v>5.2966</v>
      </c>
      <c r="E2853" s="1" t="n">
        <f aca="false">LN(D2853)</f>
        <v>1.66706510526889</v>
      </c>
    </row>
    <row r="2854" customFormat="false" ht="15.75" hidden="false" customHeight="false" outlineLevel="0" collapsed="false">
      <c r="A2854" s="1" t="s">
        <v>825</v>
      </c>
      <c r="B2854" s="1" t="n">
        <v>313.15</v>
      </c>
      <c r="C2854" s="1" t="n">
        <f aca="false">1/B2854</f>
        <v>0.00319335781574325</v>
      </c>
      <c r="D2854" s="1" t="n">
        <v>4.0866</v>
      </c>
      <c r="E2854" s="1" t="n">
        <f aca="false">LN(D2854)</f>
        <v>1.40771332849319</v>
      </c>
    </row>
    <row r="2855" customFormat="false" ht="15.75" hidden="false" customHeight="false" outlineLevel="0" collapsed="false">
      <c r="A2855" s="1" t="s">
        <v>825</v>
      </c>
      <c r="B2855" s="1" t="n">
        <v>353.15</v>
      </c>
      <c r="C2855" s="1" t="n">
        <f aca="false">1/B2855</f>
        <v>0.00283165793572137</v>
      </c>
      <c r="D2855" s="1" t="n">
        <v>1.731</v>
      </c>
      <c r="E2855" s="1" t="n">
        <f aca="false">LN(D2855)</f>
        <v>0.548699276194072</v>
      </c>
    </row>
    <row r="2856" customFormat="false" ht="15.75" hidden="false" customHeight="false" outlineLevel="0" collapsed="false">
      <c r="A2856" s="1" t="s">
        <v>825</v>
      </c>
      <c r="B2856" s="1" t="n">
        <v>373.15</v>
      </c>
      <c r="C2856" s="1" t="n">
        <f aca="false">1/B2856</f>
        <v>0.00267988744472732</v>
      </c>
      <c r="D2856" s="1" t="n">
        <v>1.2778</v>
      </c>
      <c r="E2856" s="1" t="n">
        <f aca="false">LN(D2856)</f>
        <v>0.245139849186106</v>
      </c>
    </row>
    <row r="2857" customFormat="false" ht="15.75" hidden="false" customHeight="false" outlineLevel="0" collapsed="false">
      <c r="A2857" s="1" t="s">
        <v>825</v>
      </c>
      <c r="B2857" s="1" t="n">
        <v>293.15</v>
      </c>
      <c r="C2857" s="1" t="n">
        <f aca="false">1/B2857</f>
        <v>0.00341122292341805</v>
      </c>
      <c r="D2857" s="1" t="n">
        <v>7.326</v>
      </c>
      <c r="E2857" s="1" t="n">
        <f aca="false">LN(D2857)</f>
        <v>1.99142966435662</v>
      </c>
    </row>
    <row r="2858" customFormat="false" ht="15.75" hidden="false" customHeight="false" outlineLevel="0" collapsed="false">
      <c r="A2858" s="1" t="s">
        <v>825</v>
      </c>
      <c r="B2858" s="1" t="n">
        <v>333.15</v>
      </c>
      <c r="C2858" s="1" t="n">
        <f aca="false">1/B2858</f>
        <v>0.0030016509079994</v>
      </c>
      <c r="D2858" s="1" t="n">
        <v>2.5189</v>
      </c>
      <c r="E2858" s="1" t="n">
        <f aca="false">LN(D2858)</f>
        <v>0.923822298289502</v>
      </c>
    </row>
    <row r="2859" customFormat="false" ht="15.75" hidden="false" customHeight="false" outlineLevel="0" collapsed="false">
      <c r="A2859" s="1" t="s">
        <v>827</v>
      </c>
      <c r="B2859" s="1" t="n">
        <v>273.15</v>
      </c>
      <c r="C2859" s="1" t="n">
        <f aca="false">1/B2859</f>
        <v>0.00366099212886692</v>
      </c>
      <c r="D2859" s="1" t="n">
        <v>0.9425</v>
      </c>
      <c r="E2859" s="1" t="n">
        <f aca="false">LN(D2859)</f>
        <v>-0.0592193596599712</v>
      </c>
    </row>
    <row r="2860" customFormat="false" ht="15.75" hidden="false" customHeight="false" outlineLevel="0" collapsed="false">
      <c r="A2860" s="1" t="s">
        <v>827</v>
      </c>
      <c r="B2860" s="1" t="n">
        <v>283.15</v>
      </c>
      <c r="C2860" s="1" t="n">
        <f aca="false">1/B2860</f>
        <v>0.00353169698039908</v>
      </c>
      <c r="D2860" s="1" t="n">
        <v>0.8032</v>
      </c>
      <c r="E2860" s="1" t="n">
        <f aca="false">LN(D2860)</f>
        <v>-0.219151530044672</v>
      </c>
    </row>
    <row r="2861" customFormat="false" ht="15.75" hidden="false" customHeight="false" outlineLevel="0" collapsed="false">
      <c r="A2861" s="1" t="s">
        <v>827</v>
      </c>
      <c r="B2861" s="1" t="n">
        <v>293.15</v>
      </c>
      <c r="C2861" s="1" t="n">
        <f aca="false">1/B2861</f>
        <v>0.00341122292341805</v>
      </c>
      <c r="D2861" s="1" t="n">
        <v>0.692</v>
      </c>
      <c r="E2861" s="1" t="n">
        <f aca="false">LN(D2861)</f>
        <v>-0.368169323364468</v>
      </c>
    </row>
    <row r="2862" customFormat="false" ht="15.75" hidden="false" customHeight="false" outlineLevel="0" collapsed="false">
      <c r="A2862" s="1" t="s">
        <v>827</v>
      </c>
      <c r="B2862" s="1" t="n">
        <v>303.15</v>
      </c>
      <c r="C2862" s="1" t="n">
        <f aca="false">1/B2862</f>
        <v>0.0032986970146792</v>
      </c>
      <c r="D2862" s="1" t="n">
        <v>0.6064</v>
      </c>
      <c r="E2862" s="1" t="n">
        <f aca="false">LN(D2862)</f>
        <v>-0.500215444653975</v>
      </c>
    </row>
    <row r="2863" customFormat="false" ht="15.75" hidden="false" customHeight="false" outlineLevel="0" collapsed="false">
      <c r="A2863" s="1" t="s">
        <v>827</v>
      </c>
      <c r="B2863" s="1" t="n">
        <v>313.15</v>
      </c>
      <c r="C2863" s="1" t="n">
        <f aca="false">1/B2863</f>
        <v>0.00319335781574325</v>
      </c>
      <c r="D2863" s="1" t="n">
        <v>0.5365</v>
      </c>
      <c r="E2863" s="1" t="n">
        <f aca="false">LN(D2863)</f>
        <v>-0.622688716911384</v>
      </c>
    </row>
    <row r="2864" customFormat="false" ht="15.75" hidden="false" customHeight="false" outlineLevel="0" collapsed="false">
      <c r="A2864" s="1" t="s">
        <v>827</v>
      </c>
      <c r="B2864" s="1" t="n">
        <v>333.15</v>
      </c>
      <c r="C2864" s="1" t="n">
        <f aca="false">1/B2864</f>
        <v>0.0030016509079994</v>
      </c>
      <c r="D2864" s="1" t="n">
        <v>0.4288</v>
      </c>
      <c r="E2864" s="1" t="n">
        <f aca="false">LN(D2864)</f>
        <v>-0.846764669225545</v>
      </c>
    </row>
    <row r="2865" customFormat="false" ht="15.75" hidden="false" customHeight="false" outlineLevel="0" collapsed="false">
      <c r="A2865" s="1" t="s">
        <v>827</v>
      </c>
      <c r="B2865" s="1" t="n">
        <v>353.15</v>
      </c>
      <c r="C2865" s="1" t="n">
        <f aca="false">1/B2865</f>
        <v>0.00283165793572137</v>
      </c>
      <c r="D2865" s="1" t="n">
        <v>0.35</v>
      </c>
      <c r="E2865" s="1" t="n">
        <f aca="false">LN(D2865)</f>
        <v>-1.04982212449868</v>
      </c>
    </row>
    <row r="2866" customFormat="false" ht="15.75" hidden="false" customHeight="false" outlineLevel="0" collapsed="false">
      <c r="A2866" s="1" t="s">
        <v>827</v>
      </c>
      <c r="B2866" s="1" t="n">
        <v>373.15</v>
      </c>
      <c r="C2866" s="1" t="n">
        <f aca="false">1/B2866</f>
        <v>0.00267988744472732</v>
      </c>
      <c r="D2866" s="1" t="n">
        <v>0.2931</v>
      </c>
      <c r="E2866" s="1" t="n">
        <f aca="false">LN(D2866)</f>
        <v>-1.22724143126529</v>
      </c>
    </row>
    <row r="2867" customFormat="false" ht="15.75" hidden="false" customHeight="false" outlineLevel="0" collapsed="false">
      <c r="A2867" s="1" t="s">
        <v>829</v>
      </c>
      <c r="B2867" s="1" t="n">
        <v>273.15</v>
      </c>
      <c r="C2867" s="1" t="n">
        <f aca="false">1/B2867</f>
        <v>0.00366099212886692</v>
      </c>
      <c r="D2867" s="1" t="n">
        <v>0.9398</v>
      </c>
      <c r="E2867" s="1" t="n">
        <f aca="false">LN(D2867)</f>
        <v>-0.0620881923134217</v>
      </c>
    </row>
    <row r="2868" customFormat="false" ht="15.75" hidden="false" customHeight="false" outlineLevel="0" collapsed="false">
      <c r="A2868" s="1" t="s">
        <v>829</v>
      </c>
      <c r="B2868" s="1" t="n">
        <v>283.15</v>
      </c>
      <c r="C2868" s="1" t="n">
        <f aca="false">1/B2868</f>
        <v>0.00353169698039908</v>
      </c>
      <c r="D2868" s="1" t="n">
        <v>0.7987</v>
      </c>
      <c r="E2868" s="1" t="n">
        <f aca="false">LN(D2868)</f>
        <v>-0.224769873058794</v>
      </c>
    </row>
    <row r="2869" customFormat="false" ht="15.75" hidden="false" customHeight="false" outlineLevel="0" collapsed="false">
      <c r="A2869" s="1" t="s">
        <v>829</v>
      </c>
      <c r="B2869" s="1" t="n">
        <v>303.15</v>
      </c>
      <c r="C2869" s="1" t="n">
        <f aca="false">1/B2869</f>
        <v>0.0032986970146792</v>
      </c>
      <c r="D2869" s="1" t="n">
        <v>0.601</v>
      </c>
      <c r="E2869" s="1" t="n">
        <f aca="false">LN(D2869)</f>
        <v>-0.509160344446929</v>
      </c>
    </row>
    <row r="2870" customFormat="false" ht="15.75" hidden="false" customHeight="false" outlineLevel="0" collapsed="false">
      <c r="A2870" s="1" t="s">
        <v>829</v>
      </c>
      <c r="B2870" s="1" t="n">
        <v>313.15</v>
      </c>
      <c r="C2870" s="1" t="n">
        <f aca="false">1/B2870</f>
        <v>0.00319335781574325</v>
      </c>
      <c r="D2870" s="1" t="n">
        <v>0.5313</v>
      </c>
      <c r="E2870" s="1" t="n">
        <f aca="false">LN(D2870)</f>
        <v>-0.632428445525239</v>
      </c>
    </row>
    <row r="2871" customFormat="false" ht="15.75" hidden="false" customHeight="false" outlineLevel="0" collapsed="false">
      <c r="A2871" s="1" t="s">
        <v>829</v>
      </c>
      <c r="B2871" s="1" t="n">
        <v>353.15</v>
      </c>
      <c r="C2871" s="1" t="n">
        <f aca="false">1/B2871</f>
        <v>0.00283165793572137</v>
      </c>
      <c r="D2871" s="1" t="n">
        <v>0.3463</v>
      </c>
      <c r="E2871" s="1" t="n">
        <f aca="false">LN(D2871)</f>
        <v>-1.06044982757376</v>
      </c>
    </row>
    <row r="2872" customFormat="false" ht="15.75" hidden="false" customHeight="false" outlineLevel="0" collapsed="false">
      <c r="A2872" s="1" t="s">
        <v>829</v>
      </c>
      <c r="B2872" s="1" t="n">
        <v>373.15</v>
      </c>
      <c r="C2872" s="1" t="n">
        <f aca="false">1/B2872</f>
        <v>0.00267988744472732</v>
      </c>
      <c r="D2872" s="1" t="n">
        <v>0.2882</v>
      </c>
      <c r="E2872" s="1" t="n">
        <f aca="false">LN(D2872)</f>
        <v>-1.24410059541672</v>
      </c>
    </row>
    <row r="2873" customFormat="false" ht="15.75" hidden="false" customHeight="false" outlineLevel="0" collapsed="false">
      <c r="A2873" s="1" t="s">
        <v>829</v>
      </c>
      <c r="B2873" s="1" t="n">
        <v>293.15</v>
      </c>
      <c r="C2873" s="1" t="n">
        <f aca="false">1/B2873</f>
        <v>0.00341122292341805</v>
      </c>
      <c r="D2873" s="1" t="n">
        <v>0.6897</v>
      </c>
      <c r="E2873" s="1" t="n">
        <f aca="false">LN(D2873)</f>
        <v>-0.371498558544891</v>
      </c>
    </row>
    <row r="2874" customFormat="false" ht="15.75" hidden="false" customHeight="false" outlineLevel="0" collapsed="false">
      <c r="A2874" s="1" t="s">
        <v>829</v>
      </c>
      <c r="B2874" s="1" t="n">
        <v>333.15</v>
      </c>
      <c r="C2874" s="1" t="n">
        <f aca="false">1/B2874</f>
        <v>0.0030016509079994</v>
      </c>
      <c r="D2874" s="1" t="n">
        <v>0.4223</v>
      </c>
      <c r="E2874" s="1" t="n">
        <f aca="false">LN(D2874)</f>
        <v>-0.862039317042239</v>
      </c>
    </row>
    <row r="2875" customFormat="false" ht="15.75" hidden="false" customHeight="false" outlineLevel="0" collapsed="false">
      <c r="A2875" s="1" t="s">
        <v>831</v>
      </c>
      <c r="B2875" s="1" t="n">
        <v>296.1</v>
      </c>
      <c r="C2875" s="1" t="n">
        <f aca="false">1/B2875</f>
        <v>0.00337723741979061</v>
      </c>
      <c r="D2875" s="1" t="n">
        <v>1.786</v>
      </c>
      <c r="E2875" s="1" t="n">
        <f aca="false">LN(D2875)</f>
        <v>0.579978482454307</v>
      </c>
    </row>
    <row r="2876" customFormat="false" ht="15.75" hidden="false" customHeight="false" outlineLevel="0" collapsed="false">
      <c r="A2876" s="1" t="s">
        <v>831</v>
      </c>
      <c r="B2876" s="1" t="n">
        <v>353.85</v>
      </c>
      <c r="C2876" s="1" t="n">
        <f aca="false">1/B2876</f>
        <v>0.00282605623851915</v>
      </c>
      <c r="D2876" s="1" t="n">
        <v>0.7031</v>
      </c>
      <c r="E2876" s="1" t="n">
        <f aca="false">LN(D2876)</f>
        <v>-0.352256149777021</v>
      </c>
    </row>
    <row r="2877" customFormat="false" ht="15.75" hidden="false" customHeight="false" outlineLevel="0" collapsed="false">
      <c r="A2877" s="1" t="s">
        <v>831</v>
      </c>
      <c r="B2877" s="1" t="n">
        <v>374.45</v>
      </c>
      <c r="C2877" s="1" t="n">
        <f aca="false">1/B2877</f>
        <v>0.00267058352249967</v>
      </c>
      <c r="D2877" s="1" t="n">
        <v>0.5526</v>
      </c>
      <c r="E2877" s="1" t="n">
        <f aca="false">LN(D2877)</f>
        <v>-0.593120866492821</v>
      </c>
    </row>
    <row r="2878" customFormat="false" ht="15.75" hidden="false" customHeight="false" outlineLevel="0" collapsed="false">
      <c r="A2878" s="1" t="s">
        <v>831</v>
      </c>
      <c r="B2878" s="1" t="n">
        <v>393.15</v>
      </c>
      <c r="C2878" s="1" t="n">
        <f aca="false">1/B2878</f>
        <v>0.00254355843825512</v>
      </c>
      <c r="D2878" s="1" t="n">
        <v>0.467</v>
      </c>
      <c r="E2878" s="1" t="n">
        <f aca="false">LN(D2878)</f>
        <v>-0.76142602131324</v>
      </c>
    </row>
    <row r="2879" customFormat="false" ht="15.75" hidden="false" customHeight="false" outlineLevel="0" collapsed="false">
      <c r="A2879" s="1" t="s">
        <v>831</v>
      </c>
      <c r="B2879" s="1" t="n">
        <v>402.65</v>
      </c>
      <c r="C2879" s="1" t="n">
        <f aca="false">1/B2879</f>
        <v>0.0024835465044083</v>
      </c>
      <c r="D2879" s="1" t="n">
        <v>0.4307</v>
      </c>
      <c r="E2879" s="1" t="n">
        <f aca="false">LN(D2879)</f>
        <v>-0.842343486922072</v>
      </c>
    </row>
    <row r="2880" customFormat="false" ht="15.75" hidden="false" customHeight="false" outlineLevel="0" collapsed="false">
      <c r="A2880" s="1" t="s">
        <v>831</v>
      </c>
      <c r="B2880" s="1" t="n">
        <v>413.55</v>
      </c>
      <c r="C2880" s="1" t="n">
        <f aca="false">1/B2880</f>
        <v>0.00241808729295128</v>
      </c>
      <c r="D2880" s="1" t="n">
        <v>0.3916</v>
      </c>
      <c r="E2880" s="1" t="n">
        <f aca="false">LN(D2880)</f>
        <v>-0.937514368325782</v>
      </c>
    </row>
    <row r="2881" customFormat="false" ht="15.75" hidden="false" customHeight="false" outlineLevel="0" collapsed="false">
      <c r="A2881" s="1" t="s">
        <v>831</v>
      </c>
      <c r="B2881" s="1" t="n">
        <v>422.15</v>
      </c>
      <c r="C2881" s="1" t="n">
        <f aca="false">1/B2881</f>
        <v>0.00236882624659481</v>
      </c>
      <c r="D2881" s="1" t="n">
        <v>0.3623</v>
      </c>
      <c r="E2881" s="1" t="n">
        <f aca="false">LN(D2881)</f>
        <v>-1.01528268108111</v>
      </c>
    </row>
    <row r="2882" customFormat="false" ht="15.75" hidden="false" customHeight="false" outlineLevel="0" collapsed="false">
      <c r="A2882" s="1" t="s">
        <v>831</v>
      </c>
      <c r="B2882" s="1" t="n">
        <v>445.65</v>
      </c>
      <c r="C2882" s="1" t="n">
        <f aca="false">1/B2882</f>
        <v>0.00224391338494334</v>
      </c>
      <c r="D2882" s="1" t="n">
        <v>0.2985</v>
      </c>
      <c r="E2882" s="1" t="n">
        <f aca="false">LN(D2882)</f>
        <v>-1.20898534614948</v>
      </c>
    </row>
    <row r="2883" customFormat="false" ht="15.75" hidden="false" customHeight="false" outlineLevel="0" collapsed="false">
      <c r="A2883" s="1" t="s">
        <v>831</v>
      </c>
      <c r="B2883" s="1" t="n">
        <v>455.95</v>
      </c>
      <c r="C2883" s="1" t="n">
        <f aca="false">1/B2883</f>
        <v>0.00219322294111196</v>
      </c>
      <c r="D2883" s="1" t="n">
        <v>0.2754</v>
      </c>
      <c r="E2883" s="1" t="n">
        <f aca="false">LN(D2883)</f>
        <v>-1.28953069268758</v>
      </c>
    </row>
    <row r="2884" customFormat="false" ht="15.75" hidden="false" customHeight="false" outlineLevel="0" collapsed="false">
      <c r="A2884" s="1" t="s">
        <v>831</v>
      </c>
      <c r="B2884" s="1" t="n">
        <v>468.15</v>
      </c>
      <c r="C2884" s="1" t="n">
        <f aca="false">1/B2884</f>
        <v>0.00213606749973299</v>
      </c>
      <c r="D2884" s="1" t="n">
        <v>0.2512</v>
      </c>
      <c r="E2884" s="1" t="n">
        <f aca="false">LN(D2884)</f>
        <v>-1.38150584438809</v>
      </c>
    </row>
    <row r="2885" customFormat="false" ht="15.75" hidden="false" customHeight="false" outlineLevel="0" collapsed="false">
      <c r="A2885" s="1" t="s">
        <v>831</v>
      </c>
      <c r="B2885" s="1" t="n">
        <v>383.15</v>
      </c>
      <c r="C2885" s="1" t="n">
        <f aca="false">1/B2885</f>
        <v>0.00260994388620645</v>
      </c>
      <c r="D2885" s="1" t="n">
        <v>0.5094</v>
      </c>
      <c r="E2885" s="1" t="n">
        <f aca="false">LN(D2885)</f>
        <v>-0.674521716436781</v>
      </c>
    </row>
    <row r="2886" customFormat="false" ht="15.75" hidden="false" customHeight="false" outlineLevel="0" collapsed="false">
      <c r="A2886" s="1" t="s">
        <v>831</v>
      </c>
      <c r="B2886" s="1" t="n">
        <v>435.15</v>
      </c>
      <c r="C2886" s="1" t="n">
        <f aca="false">1/B2886</f>
        <v>0.00229805814087096</v>
      </c>
      <c r="D2886" s="1" t="n">
        <v>0.3251</v>
      </c>
      <c r="E2886" s="1" t="n">
        <f aca="false">LN(D2886)</f>
        <v>-1.12362245167228</v>
      </c>
    </row>
    <row r="2887" customFormat="false" ht="15.75" hidden="false" customHeight="false" outlineLevel="0" collapsed="false">
      <c r="A2887" s="1" t="s">
        <v>831</v>
      </c>
      <c r="B2887" s="1" t="n">
        <v>482.45</v>
      </c>
      <c r="C2887" s="1" t="n">
        <f aca="false">1/B2887</f>
        <v>0.00207275365322831</v>
      </c>
      <c r="D2887" s="1" t="n">
        <v>0.227</v>
      </c>
      <c r="E2887" s="1" t="n">
        <f aca="false">LN(D2887)</f>
        <v>-1.48280526150073</v>
      </c>
    </row>
    <row r="2888" customFormat="false" ht="15.75" hidden="false" customHeight="false" outlineLevel="0" collapsed="false">
      <c r="A2888" s="1" t="s">
        <v>833</v>
      </c>
      <c r="B2888" s="1" t="n">
        <v>273.15</v>
      </c>
      <c r="C2888" s="1" t="n">
        <f aca="false">1/B2888</f>
        <v>0.00366099212886692</v>
      </c>
      <c r="D2888" s="1" t="n">
        <v>1.155</v>
      </c>
      <c r="E2888" s="1" t="n">
        <f aca="false">LN(D2888)</f>
        <v>0.144100343973757</v>
      </c>
    </row>
    <row r="2889" customFormat="false" ht="15.75" hidden="false" customHeight="false" outlineLevel="0" collapsed="false">
      <c r="A2889" s="1" t="s">
        <v>833</v>
      </c>
      <c r="B2889" s="1" t="n">
        <v>283.15</v>
      </c>
      <c r="C2889" s="1" t="n">
        <f aca="false">1/B2889</f>
        <v>0.00353169698039908</v>
      </c>
      <c r="D2889" s="1" t="n">
        <v>0.9747</v>
      </c>
      <c r="E2889" s="1" t="n">
        <f aca="false">LN(D2889)</f>
        <v>-0.0256255476389727</v>
      </c>
    </row>
    <row r="2890" customFormat="false" ht="15.75" hidden="false" customHeight="false" outlineLevel="0" collapsed="false">
      <c r="A2890" s="1" t="s">
        <v>833</v>
      </c>
      <c r="B2890" s="1" t="n">
        <v>293.15</v>
      </c>
      <c r="C2890" s="1" t="n">
        <f aca="false">1/B2890</f>
        <v>0.00341122292341805</v>
      </c>
      <c r="D2890" s="1" t="n">
        <v>0.8354</v>
      </c>
      <c r="E2890" s="1" t="n">
        <f aca="false">LN(D2890)</f>
        <v>-0.179844626919062</v>
      </c>
    </row>
    <row r="2891" customFormat="false" ht="15.75" hidden="false" customHeight="false" outlineLevel="0" collapsed="false">
      <c r="A2891" s="1" t="s">
        <v>833</v>
      </c>
      <c r="B2891" s="1" t="n">
        <v>303.15</v>
      </c>
      <c r="C2891" s="1" t="n">
        <f aca="false">1/B2891</f>
        <v>0.0032986970146792</v>
      </c>
      <c r="D2891" s="1" t="n">
        <v>0.7262</v>
      </c>
      <c r="E2891" s="1" t="n">
        <f aca="false">LN(D2891)</f>
        <v>-0.319929820001902</v>
      </c>
    </row>
    <row r="2892" customFormat="false" ht="15.75" hidden="false" customHeight="false" outlineLevel="0" collapsed="false">
      <c r="A2892" s="1" t="s">
        <v>833</v>
      </c>
      <c r="B2892" s="1" t="n">
        <v>313.15</v>
      </c>
      <c r="C2892" s="1" t="n">
        <f aca="false">1/B2892</f>
        <v>0.00319335781574325</v>
      </c>
      <c r="D2892" s="1" t="n">
        <v>0.6394</v>
      </c>
      <c r="E2892" s="1" t="n">
        <f aca="false">LN(D2892)</f>
        <v>-0.447225042356396</v>
      </c>
    </row>
    <row r="2893" customFormat="false" ht="15.75" hidden="false" customHeight="false" outlineLevel="0" collapsed="false">
      <c r="A2893" s="1" t="s">
        <v>833</v>
      </c>
      <c r="B2893" s="1" t="n">
        <v>333.15</v>
      </c>
      <c r="C2893" s="1" t="n">
        <f aca="false">1/B2893</f>
        <v>0.0030016509079994</v>
      </c>
      <c r="D2893" s="1" t="n">
        <v>0.5094</v>
      </c>
      <c r="E2893" s="1" t="n">
        <f aca="false">LN(D2893)</f>
        <v>-0.674521716436781</v>
      </c>
    </row>
    <row r="2894" customFormat="false" ht="15.75" hidden="false" customHeight="false" outlineLevel="0" collapsed="false">
      <c r="A2894" s="1" t="s">
        <v>833</v>
      </c>
      <c r="B2894" s="1" t="n">
        <v>353.15</v>
      </c>
      <c r="C2894" s="1" t="n">
        <f aca="false">1/B2894</f>
        <v>0.00283165793572137</v>
      </c>
      <c r="D2894" s="1" t="n">
        <v>0.4131</v>
      </c>
      <c r="E2894" s="1" t="n">
        <f aca="false">LN(D2894)</f>
        <v>-0.884065584579418</v>
      </c>
    </row>
    <row r="2895" customFormat="false" ht="15.75" hidden="false" customHeight="false" outlineLevel="0" collapsed="false">
      <c r="A2895" s="1" t="s">
        <v>833</v>
      </c>
      <c r="B2895" s="1" t="n">
        <v>373.15</v>
      </c>
      <c r="C2895" s="1" t="n">
        <f aca="false">1/B2895</f>
        <v>0.00267988744472732</v>
      </c>
      <c r="D2895" s="1" t="n">
        <v>0.3435</v>
      </c>
      <c r="E2895" s="1" t="n">
        <f aca="false">LN(D2895)</f>
        <v>-1.06856816731973</v>
      </c>
    </row>
    <row r="2896" customFormat="false" ht="15.75" hidden="false" customHeight="false" outlineLevel="0" collapsed="false">
      <c r="A2896" s="1" t="s">
        <v>1444</v>
      </c>
      <c r="B2896" s="1" t="n">
        <v>313.15</v>
      </c>
      <c r="C2896" s="1" t="n">
        <f aca="false">1/B2896</f>
        <v>0.00319335781574325</v>
      </c>
      <c r="D2896" s="1" t="n">
        <v>5.501</v>
      </c>
      <c r="E2896" s="1" t="n">
        <f aca="false">LN(D2896)</f>
        <v>1.70492989389332</v>
      </c>
    </row>
    <row r="2897" customFormat="false" ht="15.75" hidden="false" customHeight="false" outlineLevel="0" collapsed="false">
      <c r="A2897" s="1" t="s">
        <v>1444</v>
      </c>
      <c r="B2897" s="1" t="n">
        <v>323.15</v>
      </c>
      <c r="C2897" s="1" t="n">
        <f aca="false">1/B2897</f>
        <v>0.00309453814018258</v>
      </c>
      <c r="D2897" s="1" t="n">
        <v>4.367</v>
      </c>
      <c r="E2897" s="1" t="n">
        <f aca="false">LN(D2897)</f>
        <v>1.47407627450342</v>
      </c>
    </row>
    <row r="2898" customFormat="false" ht="15.75" hidden="false" customHeight="false" outlineLevel="0" collapsed="false">
      <c r="A2898" s="1" t="s">
        <v>1444</v>
      </c>
      <c r="B2898" s="1" t="n">
        <v>333.15</v>
      </c>
      <c r="C2898" s="1" t="n">
        <f aca="false">1/B2898</f>
        <v>0.0030016509079994</v>
      </c>
      <c r="D2898" s="1" t="n">
        <v>3.546</v>
      </c>
      <c r="E2898" s="1" t="n">
        <f aca="false">LN(D2898)</f>
        <v>1.26582020765202</v>
      </c>
    </row>
    <row r="2899" customFormat="false" ht="15.75" hidden="false" customHeight="false" outlineLevel="0" collapsed="false">
      <c r="A2899" s="1" t="s">
        <v>1444</v>
      </c>
      <c r="B2899" s="1" t="n">
        <v>348.15</v>
      </c>
      <c r="C2899" s="1" t="n">
        <f aca="false">1/B2899</f>
        <v>0.00287232514720666</v>
      </c>
      <c r="D2899" s="1" t="n">
        <v>2.731</v>
      </c>
      <c r="E2899" s="1" t="n">
        <f aca="false">LN(D2899)</f>
        <v>1.00466784249157</v>
      </c>
    </row>
    <row r="2900" customFormat="false" ht="15.75" hidden="false" customHeight="false" outlineLevel="0" collapsed="false">
      <c r="A2900" s="1" t="s">
        <v>1444</v>
      </c>
      <c r="B2900" s="1" t="n">
        <v>373.15</v>
      </c>
      <c r="C2900" s="1" t="n">
        <f aca="false">1/B2900</f>
        <v>0.00267988744472732</v>
      </c>
      <c r="D2900" s="1" t="n">
        <v>1.899</v>
      </c>
      <c r="E2900" s="1" t="n">
        <f aca="false">LN(D2900)</f>
        <v>0.641327431830149</v>
      </c>
    </row>
    <row r="2901" customFormat="false" ht="15.75" hidden="false" customHeight="false" outlineLevel="0" collapsed="false">
      <c r="A2901" s="1" t="s">
        <v>1444</v>
      </c>
      <c r="B2901" s="1" t="n">
        <v>398.15</v>
      </c>
      <c r="C2901" s="1" t="n">
        <f aca="false">1/B2901</f>
        <v>0.00251161622504081</v>
      </c>
      <c r="D2901" s="1" t="n">
        <v>1.413</v>
      </c>
      <c r="E2901" s="1" t="n">
        <f aca="false">LN(D2901)</f>
        <v>0.34571510370239</v>
      </c>
    </row>
    <row r="2902" customFormat="false" ht="15.75" hidden="false" customHeight="false" outlineLevel="0" collapsed="false">
      <c r="A2902" s="1" t="s">
        <v>835</v>
      </c>
      <c r="B2902" s="1" t="n">
        <v>273.15</v>
      </c>
      <c r="C2902" s="1" t="n">
        <f aca="false">1/B2902</f>
        <v>0.00366099212886692</v>
      </c>
      <c r="D2902" s="1" t="n">
        <v>1.7899</v>
      </c>
      <c r="E2902" s="1" t="n">
        <f aca="false">LN(D2902)</f>
        <v>0.582159752370317</v>
      </c>
    </row>
    <row r="2903" customFormat="false" ht="15.75" hidden="false" customHeight="false" outlineLevel="0" collapsed="false">
      <c r="A2903" s="1" t="s">
        <v>835</v>
      </c>
      <c r="B2903" s="1" t="n">
        <v>283.15</v>
      </c>
      <c r="C2903" s="1" t="n">
        <f aca="false">1/B2903</f>
        <v>0.00353169698039908</v>
      </c>
      <c r="D2903" s="1" t="n">
        <v>1.4663</v>
      </c>
      <c r="E2903" s="1" t="n">
        <f aca="false">LN(D2903)</f>
        <v>0.382742221000896</v>
      </c>
    </row>
    <row r="2904" customFormat="false" ht="15.75" hidden="false" customHeight="false" outlineLevel="0" collapsed="false">
      <c r="A2904" s="1" t="s">
        <v>835</v>
      </c>
      <c r="B2904" s="1" t="n">
        <v>293.15</v>
      </c>
      <c r="C2904" s="1" t="n">
        <f aca="false">1/B2904</f>
        <v>0.00341122292341805</v>
      </c>
      <c r="D2904" s="1" t="n">
        <v>1.2285</v>
      </c>
      <c r="E2904" s="1" t="n">
        <f aca="false">LN(D2904)</f>
        <v>0.205793912979097</v>
      </c>
    </row>
    <row r="2905" customFormat="false" ht="15.75" hidden="false" customHeight="false" outlineLevel="0" collapsed="false">
      <c r="A2905" s="1" t="s">
        <v>835</v>
      </c>
      <c r="B2905" s="1" t="n">
        <v>303.15</v>
      </c>
      <c r="C2905" s="1" t="n">
        <f aca="false">1/B2905</f>
        <v>0.0032986970146792</v>
      </c>
      <c r="D2905" s="1" t="n">
        <v>1.0473</v>
      </c>
      <c r="E2905" s="1" t="n">
        <f aca="false">LN(D2905)</f>
        <v>0.0462154237969629</v>
      </c>
    </row>
    <row r="2906" customFormat="false" ht="15.75" hidden="false" customHeight="false" outlineLevel="0" collapsed="false">
      <c r="A2906" s="1" t="s">
        <v>835</v>
      </c>
      <c r="B2906" s="1" t="n">
        <v>313.15</v>
      </c>
      <c r="C2906" s="1" t="n">
        <f aca="false">1/B2906</f>
        <v>0.00319335781574325</v>
      </c>
      <c r="D2906" s="1" t="n">
        <v>0.9058</v>
      </c>
      <c r="E2906" s="1" t="n">
        <f aca="false">LN(D2906)</f>
        <v>-0.0989367478600235</v>
      </c>
    </row>
    <row r="2907" customFormat="false" ht="15.75" hidden="false" customHeight="false" outlineLevel="0" collapsed="false">
      <c r="A2907" s="1" t="s">
        <v>835</v>
      </c>
      <c r="B2907" s="1" t="n">
        <v>333.15</v>
      </c>
      <c r="C2907" s="1" t="n">
        <f aca="false">1/B2907</f>
        <v>0.0030016509079994</v>
      </c>
      <c r="D2907" s="1" t="n">
        <v>0.6983</v>
      </c>
      <c r="E2907" s="1" t="n">
        <f aca="false">LN(D2907)</f>
        <v>-0.359106469130147</v>
      </c>
    </row>
    <row r="2908" customFormat="false" ht="15.75" hidden="false" customHeight="false" outlineLevel="0" collapsed="false">
      <c r="A2908" s="1" t="s">
        <v>835</v>
      </c>
      <c r="B2908" s="1" t="n">
        <v>353.15</v>
      </c>
      <c r="C2908" s="1" t="n">
        <f aca="false">1/B2908</f>
        <v>0.00283165793572137</v>
      </c>
      <c r="D2908" s="1" t="n">
        <v>0.5559</v>
      </c>
      <c r="E2908" s="1" t="n">
        <f aca="false">LN(D2908)</f>
        <v>-0.587166857022713</v>
      </c>
    </row>
    <row r="2909" customFormat="false" ht="15.75" hidden="false" customHeight="false" outlineLevel="0" collapsed="false">
      <c r="A2909" s="1" t="s">
        <v>835</v>
      </c>
      <c r="B2909" s="1" t="n">
        <v>373.15</v>
      </c>
      <c r="C2909" s="1" t="n">
        <f aca="false">1/B2909</f>
        <v>0.00267988744472732</v>
      </c>
      <c r="D2909" s="1" t="n">
        <v>0.4556</v>
      </c>
      <c r="E2909" s="1" t="n">
        <f aca="false">LN(D2909)</f>
        <v>-0.78614004740911</v>
      </c>
    </row>
    <row r="2910" customFormat="false" ht="15.75" hidden="false" customHeight="false" outlineLevel="0" collapsed="false">
      <c r="A2910" s="1" t="s">
        <v>837</v>
      </c>
      <c r="B2910" s="1" t="n">
        <v>291.5</v>
      </c>
      <c r="C2910" s="1" t="n">
        <f aca="false">1/B2910</f>
        <v>0.00343053173241852</v>
      </c>
      <c r="D2910" s="1" t="n">
        <v>0.4575</v>
      </c>
      <c r="E2910" s="1" t="n">
        <f aca="false">LN(D2910)</f>
        <v>-0.781978394266561</v>
      </c>
    </row>
    <row r="2911" customFormat="false" ht="15.75" hidden="false" customHeight="false" outlineLevel="0" collapsed="false">
      <c r="A2911" s="1" t="s">
        <v>837</v>
      </c>
      <c r="B2911" s="1" t="n">
        <v>311.85</v>
      </c>
      <c r="C2911" s="1" t="n">
        <f aca="false">1/B2911</f>
        <v>0.00320666987333654</v>
      </c>
      <c r="D2911" s="1" t="n">
        <v>0.3673</v>
      </c>
      <c r="E2911" s="1" t="n">
        <f aca="false">LN(D2911)</f>
        <v>-1.00157632615652</v>
      </c>
    </row>
    <row r="2912" customFormat="false" ht="15.75" hidden="false" customHeight="false" outlineLevel="0" collapsed="false">
      <c r="A2912" s="1" t="s">
        <v>837</v>
      </c>
      <c r="B2912" s="1" t="n">
        <v>323.95</v>
      </c>
      <c r="C2912" s="1" t="n">
        <f aca="false">1/B2912</f>
        <v>0.00308689612594536</v>
      </c>
      <c r="D2912" s="1" t="n">
        <v>0.3267</v>
      </c>
      <c r="E2912" s="1" t="n">
        <f aca="false">LN(D2912)</f>
        <v>-1.11871296037511</v>
      </c>
    </row>
    <row r="2913" customFormat="false" ht="15.75" hidden="false" customHeight="false" outlineLevel="0" collapsed="false">
      <c r="A2913" s="1" t="s">
        <v>837</v>
      </c>
      <c r="B2913" s="1" t="n">
        <v>333.5</v>
      </c>
      <c r="C2913" s="1" t="n">
        <f aca="false">1/B2913</f>
        <v>0.00299850074962519</v>
      </c>
      <c r="D2913" s="1" t="n">
        <v>0.2989</v>
      </c>
      <c r="E2913" s="1" t="n">
        <f aca="false">LN(D2913)</f>
        <v>-1.20764620969225</v>
      </c>
    </row>
    <row r="2914" customFormat="false" ht="15.75" hidden="false" customHeight="false" outlineLevel="0" collapsed="false">
      <c r="A2914" s="1" t="s">
        <v>837</v>
      </c>
      <c r="B2914" s="1" t="n">
        <v>345.35</v>
      </c>
      <c r="C2914" s="1" t="n">
        <f aca="false">1/B2914</f>
        <v>0.00289561314608368</v>
      </c>
      <c r="D2914" s="1" t="n">
        <v>0.2696</v>
      </c>
      <c r="E2914" s="1" t="n">
        <f aca="false">LN(D2914)</f>
        <v>-1.31081589994399</v>
      </c>
    </row>
    <row r="2915" customFormat="false" ht="15.75" hidden="false" customHeight="false" outlineLevel="0" collapsed="false">
      <c r="A2915" s="1" t="s">
        <v>837</v>
      </c>
      <c r="B2915" s="1" t="n">
        <v>348.05</v>
      </c>
      <c r="C2915" s="1" t="n">
        <f aca="false">1/B2915</f>
        <v>0.00287315040942393</v>
      </c>
      <c r="D2915" s="1" t="n">
        <v>0.264</v>
      </c>
      <c r="E2915" s="1" t="n">
        <f aca="false">LN(D2915)</f>
        <v>-1.33180617583582</v>
      </c>
    </row>
    <row r="2916" customFormat="false" ht="15.75" hidden="false" customHeight="false" outlineLevel="0" collapsed="false">
      <c r="A2916" s="1" t="s">
        <v>839</v>
      </c>
      <c r="B2916" s="1" t="n">
        <v>394.15</v>
      </c>
      <c r="C2916" s="1" t="n">
        <f aca="false">1/B2916</f>
        <v>0.00253710516300901</v>
      </c>
      <c r="D2916" s="1" t="n">
        <v>1.455</v>
      </c>
      <c r="E2916" s="1" t="n">
        <f aca="false">LN(D2916)</f>
        <v>0.375005900623456</v>
      </c>
    </row>
    <row r="2917" customFormat="false" ht="15.75" hidden="false" customHeight="false" outlineLevel="0" collapsed="false">
      <c r="A2917" s="1" t="s">
        <v>839</v>
      </c>
      <c r="B2917" s="1" t="n">
        <v>412.55</v>
      </c>
      <c r="C2917" s="1" t="n">
        <f aca="false">1/B2917</f>
        <v>0.00242394861228942</v>
      </c>
      <c r="D2917" s="1" t="n">
        <v>1.072</v>
      </c>
      <c r="E2917" s="1" t="n">
        <f aca="false">LN(D2917)</f>
        <v>0.0695260626486103</v>
      </c>
    </row>
    <row r="2918" customFormat="false" ht="15.75" hidden="false" customHeight="false" outlineLevel="0" collapsed="false">
      <c r="A2918" s="1" t="s">
        <v>839</v>
      </c>
      <c r="B2918" s="1" t="n">
        <v>432.65</v>
      </c>
      <c r="C2918" s="1" t="n">
        <f aca="false">1/B2918</f>
        <v>0.00231133710851728</v>
      </c>
      <c r="D2918" s="1" t="n">
        <v>0.7916</v>
      </c>
      <c r="E2918" s="1" t="n">
        <f aca="false">LN(D2918)</f>
        <v>-0.233699065253726</v>
      </c>
    </row>
    <row r="2919" customFormat="false" ht="15.75" hidden="false" customHeight="false" outlineLevel="0" collapsed="false">
      <c r="A2919" s="1" t="s">
        <v>839</v>
      </c>
      <c r="B2919" s="1" t="n">
        <v>449.55</v>
      </c>
      <c r="C2919" s="1" t="n">
        <f aca="false">1/B2919</f>
        <v>0.00222444666889111</v>
      </c>
      <c r="D2919" s="1" t="n">
        <v>0.6266</v>
      </c>
      <c r="E2919" s="1" t="n">
        <f aca="false">LN(D2919)</f>
        <v>-0.467446900464046</v>
      </c>
    </row>
    <row r="2920" customFormat="false" ht="15.75" hidden="false" customHeight="false" outlineLevel="0" collapsed="false">
      <c r="A2920" s="1" t="s">
        <v>839</v>
      </c>
      <c r="B2920" s="1" t="n">
        <v>463.25</v>
      </c>
      <c r="C2920" s="1" t="n">
        <f aca="false">1/B2920</f>
        <v>0.00215866162978953</v>
      </c>
      <c r="D2920" s="1" t="n">
        <v>0.5242</v>
      </c>
      <c r="E2920" s="1" t="n">
        <f aca="false">LN(D2920)</f>
        <v>-0.645881988092831</v>
      </c>
    </row>
    <row r="2921" customFormat="false" ht="15.75" hidden="false" customHeight="false" outlineLevel="0" collapsed="false">
      <c r="A2921" s="1" t="s">
        <v>839</v>
      </c>
      <c r="B2921" s="1" t="n">
        <v>478.35</v>
      </c>
      <c r="C2921" s="1" t="n">
        <f aca="false">1/B2921</f>
        <v>0.00209051949409428</v>
      </c>
      <c r="D2921" s="1" t="n">
        <v>0.4366</v>
      </c>
      <c r="E2921" s="1" t="n">
        <f aca="false">LN(D2921)</f>
        <v>-0.828737834866294</v>
      </c>
    </row>
    <row r="2922" customFormat="false" ht="15.75" hidden="false" customHeight="false" outlineLevel="0" collapsed="false">
      <c r="A2922" s="1" t="s">
        <v>839</v>
      </c>
      <c r="B2922" s="1" t="n">
        <v>489.15</v>
      </c>
      <c r="C2922" s="1" t="n">
        <f aca="false">1/B2922</f>
        <v>0.00204436266993765</v>
      </c>
      <c r="D2922" s="1" t="n">
        <v>0.3858</v>
      </c>
      <c r="E2922" s="1" t="n">
        <f aca="false">LN(D2922)</f>
        <v>-0.952436178510508</v>
      </c>
    </row>
    <row r="2923" customFormat="false" ht="15.75" hidden="false" customHeight="false" outlineLevel="0" collapsed="false">
      <c r="A2923" s="1" t="s">
        <v>841</v>
      </c>
      <c r="B2923" s="1" t="n">
        <v>293.15</v>
      </c>
      <c r="C2923" s="1" t="n">
        <f aca="false">1/B2923</f>
        <v>0.00341122292341805</v>
      </c>
      <c r="D2923" s="1" t="n">
        <v>1.571</v>
      </c>
      <c r="E2923" s="1" t="n">
        <f aca="false">LN(D2923)</f>
        <v>0.451712359273484</v>
      </c>
    </row>
    <row r="2924" customFormat="false" ht="15.75" hidden="false" customHeight="false" outlineLevel="0" collapsed="false">
      <c r="A2924" s="1" t="s">
        <v>841</v>
      </c>
      <c r="B2924" s="1" t="n">
        <v>303.15</v>
      </c>
      <c r="C2924" s="1" t="n">
        <f aca="false">1/B2924</f>
        <v>0.0032986970146792</v>
      </c>
      <c r="D2924" s="1" t="n">
        <v>1.337</v>
      </c>
      <c r="E2924" s="1" t="n">
        <f aca="false">LN(D2924)</f>
        <v>0.290428298119806</v>
      </c>
    </row>
    <row r="2925" customFormat="false" ht="15.75" hidden="false" customHeight="false" outlineLevel="0" collapsed="false">
      <c r="A2925" s="1" t="s">
        <v>841</v>
      </c>
      <c r="B2925" s="1" t="n">
        <v>313.15</v>
      </c>
      <c r="C2925" s="1" t="n">
        <f aca="false">1/B2925</f>
        <v>0.00319335781574325</v>
      </c>
      <c r="D2925" s="1" t="n">
        <v>1.14</v>
      </c>
      <c r="E2925" s="1" t="n">
        <f aca="false">LN(D2925)</f>
        <v>0.131028262406404</v>
      </c>
    </row>
    <row r="2926" customFormat="false" ht="15.75" hidden="false" customHeight="false" outlineLevel="0" collapsed="false">
      <c r="A2926" s="1" t="s">
        <v>841</v>
      </c>
      <c r="B2926" s="1" t="n">
        <v>353.15</v>
      </c>
      <c r="C2926" s="1" t="n">
        <f aca="false">1/B2926</f>
        <v>0.00283165793572137</v>
      </c>
      <c r="D2926" s="1" t="n">
        <v>0.68</v>
      </c>
      <c r="E2926" s="1" t="n">
        <f aca="false">LN(D2926)</f>
        <v>-0.385662480811985</v>
      </c>
    </row>
    <row r="2927" customFormat="false" ht="15.75" hidden="false" customHeight="false" outlineLevel="0" collapsed="false">
      <c r="A2927" s="1" t="s">
        <v>841</v>
      </c>
      <c r="B2927" s="1" t="n">
        <v>323.15</v>
      </c>
      <c r="C2927" s="1" t="n">
        <f aca="false">1/B2927</f>
        <v>0.00309453814018258</v>
      </c>
      <c r="D2927" s="1" t="n">
        <v>0.983</v>
      </c>
      <c r="E2927" s="1" t="n">
        <f aca="false">LN(D2927)</f>
        <v>-0.0171461588349705</v>
      </c>
    </row>
    <row r="2928" customFormat="false" ht="15.75" hidden="false" customHeight="false" outlineLevel="0" collapsed="false">
      <c r="A2928" s="1" t="s">
        <v>841</v>
      </c>
      <c r="B2928" s="1" t="n">
        <v>333.15</v>
      </c>
      <c r="C2928" s="1" t="n">
        <f aca="false">1/B2928</f>
        <v>0.0030016509079994</v>
      </c>
      <c r="D2928" s="1" t="n">
        <v>0.861</v>
      </c>
      <c r="E2928" s="1" t="n">
        <f aca="false">LN(D2928)</f>
        <v>-0.149660774554406</v>
      </c>
    </row>
    <row r="2929" customFormat="false" ht="15.75" hidden="false" customHeight="false" outlineLevel="0" collapsed="false">
      <c r="A2929" s="1" t="s">
        <v>841</v>
      </c>
      <c r="B2929" s="1" t="n">
        <v>373.15</v>
      </c>
      <c r="C2929" s="1" t="n">
        <f aca="false">1/B2929</f>
        <v>0.00267988744472732</v>
      </c>
      <c r="D2929" s="1" t="n">
        <v>0.553</v>
      </c>
      <c r="E2929" s="1" t="n">
        <f aca="false">LN(D2929)</f>
        <v>-0.592397277459802</v>
      </c>
    </row>
    <row r="2930" customFormat="false" ht="15.75" hidden="false" customHeight="false" outlineLevel="0" collapsed="false">
      <c r="A2930" s="1" t="s">
        <v>841</v>
      </c>
      <c r="B2930" s="1" t="n">
        <v>393.15</v>
      </c>
      <c r="C2930" s="1" t="n">
        <f aca="false">1/B2930</f>
        <v>0.00254355843825512</v>
      </c>
      <c r="D2930" s="1" t="n">
        <v>0.453</v>
      </c>
      <c r="E2930" s="1" t="n">
        <f aca="false">LN(D2930)</f>
        <v>-0.791863153499103</v>
      </c>
    </row>
    <row r="2931" customFormat="false" ht="15.75" hidden="false" customHeight="false" outlineLevel="0" collapsed="false">
      <c r="A2931" s="1" t="s">
        <v>841</v>
      </c>
      <c r="B2931" s="1" t="n">
        <v>413.15</v>
      </c>
      <c r="C2931" s="1" t="n">
        <f aca="false">1/B2931</f>
        <v>0.0024204284158296</v>
      </c>
      <c r="D2931" s="1" t="n">
        <v>0.376</v>
      </c>
      <c r="E2931" s="1" t="n">
        <f aca="false">LN(D2931)</f>
        <v>-0.978166135592243</v>
      </c>
    </row>
    <row r="2932" customFormat="false" ht="15.75" hidden="false" customHeight="false" outlineLevel="0" collapsed="false">
      <c r="A2932" s="1" t="s">
        <v>843</v>
      </c>
      <c r="B2932" s="1" t="n">
        <v>288.1527</v>
      </c>
      <c r="C2932" s="1" t="n">
        <f aca="false">1/B2932</f>
        <v>0.0034703821966617</v>
      </c>
      <c r="D2932" s="1" t="n">
        <v>0.624</v>
      </c>
      <c r="E2932" s="1" t="n">
        <f aca="false">LN(D2932)</f>
        <v>-0.471604910612709</v>
      </c>
    </row>
    <row r="2933" customFormat="false" ht="15.75" hidden="false" customHeight="false" outlineLevel="0" collapsed="false">
      <c r="A2933" s="1" t="s">
        <v>843</v>
      </c>
      <c r="B2933" s="1" t="n">
        <v>303.15</v>
      </c>
      <c r="C2933" s="1" t="n">
        <f aca="false">1/B2933</f>
        <v>0.0032986970146792</v>
      </c>
      <c r="D2933" s="1" t="n">
        <v>0.515</v>
      </c>
      <c r="E2933" s="1" t="n">
        <f aca="false">LN(D2933)</f>
        <v>-0.663588378318401</v>
      </c>
    </row>
    <row r="2934" customFormat="false" ht="15.75" hidden="false" customHeight="false" outlineLevel="0" collapsed="false">
      <c r="A2934" s="1" t="s">
        <v>843</v>
      </c>
      <c r="B2934" s="1" t="n">
        <v>291.1565</v>
      </c>
      <c r="C2934" s="1" t="n">
        <f aca="false">1/B2934</f>
        <v>0.00343457899789289</v>
      </c>
      <c r="D2934" s="1" t="n">
        <v>0.6028</v>
      </c>
      <c r="E2934" s="1" t="n">
        <f aca="false">LN(D2934)</f>
        <v>-0.506169812229797</v>
      </c>
    </row>
    <row r="2935" customFormat="false" ht="15.75" hidden="false" customHeight="false" outlineLevel="0" collapsed="false">
      <c r="A2935" s="1" t="s">
        <v>843</v>
      </c>
      <c r="B2935" s="1" t="n">
        <v>313.75</v>
      </c>
      <c r="C2935" s="1" t="n">
        <f aca="false">1/B2935</f>
        <v>0.00318725099601594</v>
      </c>
      <c r="D2935" s="1" t="n">
        <v>0.4678</v>
      </c>
      <c r="E2935" s="1" t="n">
        <f aca="false">LN(D2935)</f>
        <v>-0.759714424832058</v>
      </c>
    </row>
    <row r="2936" customFormat="false" ht="15.75" hidden="false" customHeight="false" outlineLevel="0" collapsed="false">
      <c r="A2936" s="1" t="s">
        <v>843</v>
      </c>
      <c r="B2936" s="1" t="n">
        <v>332.55</v>
      </c>
      <c r="C2936" s="1" t="n">
        <f aca="false">1/B2936</f>
        <v>0.00300706660652533</v>
      </c>
      <c r="D2936" s="1" t="n">
        <v>0.3832</v>
      </c>
      <c r="E2936" s="1" t="n">
        <f aca="false">LN(D2936)</f>
        <v>-0.959198232885432</v>
      </c>
    </row>
    <row r="2937" customFormat="false" ht="15.75" hidden="false" customHeight="false" outlineLevel="0" collapsed="false">
      <c r="A2937" s="1" t="s">
        <v>843</v>
      </c>
      <c r="B2937" s="1" t="n">
        <v>343.05</v>
      </c>
      <c r="C2937" s="1" t="n">
        <f aca="false">1/B2937</f>
        <v>0.00291502696399942</v>
      </c>
      <c r="D2937" s="1" t="n">
        <v>0.3467</v>
      </c>
      <c r="E2937" s="1" t="n">
        <f aca="false">LN(D2937)</f>
        <v>-1.05929542629116</v>
      </c>
    </row>
    <row r="2938" customFormat="false" ht="15.75" hidden="false" customHeight="false" outlineLevel="0" collapsed="false">
      <c r="A2938" s="1" t="s">
        <v>843</v>
      </c>
      <c r="B2938" s="1" t="n">
        <v>352.55</v>
      </c>
      <c r="C2938" s="1" t="n">
        <f aca="false">1/B2938</f>
        <v>0.00283647709544745</v>
      </c>
      <c r="D2938" s="1" t="n">
        <v>0.3177</v>
      </c>
      <c r="E2938" s="1" t="n">
        <f aca="false">LN(D2938)</f>
        <v>-1.14664773770667</v>
      </c>
    </row>
    <row r="2939" customFormat="false" ht="15.75" hidden="false" customHeight="false" outlineLevel="0" collapsed="false">
      <c r="A2939" s="1" t="s">
        <v>843</v>
      </c>
      <c r="B2939" s="1" t="n">
        <v>363.25</v>
      </c>
      <c r="C2939" s="1" t="n">
        <f aca="false">1/B2939</f>
        <v>0.00275292498279422</v>
      </c>
      <c r="D2939" s="1" t="n">
        <v>0.2901</v>
      </c>
      <c r="E2939" s="1" t="n">
        <f aca="false">LN(D2939)</f>
        <v>-1.23752958785478</v>
      </c>
    </row>
    <row r="2940" customFormat="false" ht="15.75" hidden="false" customHeight="false" outlineLevel="0" collapsed="false">
      <c r="A2940" s="1" t="s">
        <v>843</v>
      </c>
      <c r="B2940" s="1" t="n">
        <v>374.45</v>
      </c>
      <c r="C2940" s="1" t="n">
        <f aca="false">1/B2940</f>
        <v>0.00267058352249967</v>
      </c>
      <c r="D2940" s="1" t="n">
        <v>0.2667</v>
      </c>
      <c r="E2940" s="1" t="n">
        <f aca="false">LN(D2940)</f>
        <v>-1.32163084779417</v>
      </c>
    </row>
    <row r="2941" customFormat="false" ht="15.75" hidden="false" customHeight="false" outlineLevel="0" collapsed="false">
      <c r="A2941" s="1" t="s">
        <v>843</v>
      </c>
      <c r="B2941" s="1" t="n">
        <v>385.65</v>
      </c>
      <c r="C2941" s="1" t="n">
        <f aca="false">1/B2941</f>
        <v>0.00259302476338649</v>
      </c>
      <c r="D2941" s="1" t="n">
        <v>0.243</v>
      </c>
      <c r="E2941" s="1" t="n">
        <f aca="false">LN(D2941)</f>
        <v>-1.41469383564159</v>
      </c>
    </row>
    <row r="2942" customFormat="false" ht="15.75" hidden="false" customHeight="false" outlineLevel="0" collapsed="false">
      <c r="A2942" s="1" t="s">
        <v>843</v>
      </c>
      <c r="B2942" s="1" t="n">
        <v>391.15</v>
      </c>
      <c r="C2942" s="1" t="n">
        <f aca="false">1/B2942</f>
        <v>0.00255656397801355</v>
      </c>
      <c r="D2942" s="1" t="n">
        <v>0.234</v>
      </c>
      <c r="E2942" s="1" t="n">
        <f aca="false">LN(D2942)</f>
        <v>-1.45243416362444</v>
      </c>
    </row>
    <row r="2943" customFormat="false" ht="15.75" hidden="false" customHeight="false" outlineLevel="0" collapsed="false">
      <c r="A2943" s="1" t="s">
        <v>845</v>
      </c>
      <c r="B2943" s="1" t="n">
        <v>293.75</v>
      </c>
      <c r="C2943" s="1" t="n">
        <f aca="false">1/B2943</f>
        <v>0.00340425531914894</v>
      </c>
      <c r="D2943" s="1" t="n">
        <v>0.5735</v>
      </c>
      <c r="E2943" s="1" t="n">
        <f aca="false">LN(D2943)</f>
        <v>-0.555997342412712</v>
      </c>
    </row>
    <row r="2944" customFormat="false" ht="15.75" hidden="false" customHeight="false" outlineLevel="0" collapsed="false">
      <c r="A2944" s="1" t="s">
        <v>845</v>
      </c>
      <c r="B2944" s="1" t="n">
        <v>318.05</v>
      </c>
      <c r="C2944" s="1" t="n">
        <f aca="false">1/B2944</f>
        <v>0.00314415972331394</v>
      </c>
      <c r="D2944" s="1" t="n">
        <v>0.4408</v>
      </c>
      <c r="E2944" s="1" t="n">
        <f aca="false">LN(D2944)</f>
        <v>-0.819164021143432</v>
      </c>
    </row>
    <row r="2945" customFormat="false" ht="15.75" hidden="false" customHeight="false" outlineLevel="0" collapsed="false">
      <c r="A2945" s="1" t="s">
        <v>845</v>
      </c>
      <c r="B2945" s="1" t="n">
        <v>332.75</v>
      </c>
      <c r="C2945" s="1" t="n">
        <f aca="false">1/B2945</f>
        <v>0.00300525920360631</v>
      </c>
      <c r="D2945" s="1" t="n">
        <v>0.3823</v>
      </c>
      <c r="E2945" s="1" t="n">
        <f aca="false">LN(D2945)</f>
        <v>-0.96154963827977</v>
      </c>
    </row>
    <row r="2946" customFormat="false" ht="15.75" hidden="false" customHeight="false" outlineLevel="0" collapsed="false">
      <c r="A2946" s="1" t="s">
        <v>845</v>
      </c>
      <c r="B2946" s="1" t="n">
        <v>348.75</v>
      </c>
      <c r="C2946" s="1" t="n">
        <f aca="false">1/B2946</f>
        <v>0.0028673835125448</v>
      </c>
      <c r="D2946" s="1" t="n">
        <v>0.3322</v>
      </c>
      <c r="E2946" s="1" t="n">
        <f aca="false">LN(D2946)</f>
        <v>-1.10201808180294</v>
      </c>
    </row>
    <row r="2947" customFormat="false" ht="15.75" hidden="false" customHeight="false" outlineLevel="0" collapsed="false">
      <c r="A2947" s="1" t="s">
        <v>845</v>
      </c>
      <c r="B2947" s="1" t="n">
        <v>358.55</v>
      </c>
      <c r="C2947" s="1" t="n">
        <f aca="false">1/B2947</f>
        <v>0.00278901129549575</v>
      </c>
      <c r="D2947" s="1" t="n">
        <v>0.3073</v>
      </c>
      <c r="E2947" s="1" t="n">
        <f aca="false">LN(D2947)</f>
        <v>-1.1799308098457</v>
      </c>
    </row>
    <row r="2948" customFormat="false" ht="15.75" hidden="false" customHeight="false" outlineLevel="0" collapsed="false">
      <c r="A2948" s="1" t="s">
        <v>845</v>
      </c>
      <c r="B2948" s="1" t="n">
        <v>368.45</v>
      </c>
      <c r="C2948" s="1" t="n">
        <f aca="false">1/B2948</f>
        <v>0.00271407246573484</v>
      </c>
      <c r="D2948" s="1" t="n">
        <v>0.2849</v>
      </c>
      <c r="E2948" s="1" t="n">
        <f aca="false">LN(D2948)</f>
        <v>-1.25561703747827</v>
      </c>
    </row>
    <row r="2949" customFormat="false" ht="15.75" hidden="false" customHeight="false" outlineLevel="0" collapsed="false">
      <c r="A2949" s="1" t="s">
        <v>845</v>
      </c>
      <c r="B2949" s="1" t="n">
        <v>373.45</v>
      </c>
      <c r="C2949" s="1" t="n">
        <f aca="false">1/B2949</f>
        <v>0.00267773463649752</v>
      </c>
      <c r="D2949" s="1" t="n">
        <v>0.275</v>
      </c>
      <c r="E2949" s="1" t="n">
        <f aca="false">LN(D2949)</f>
        <v>-1.29098418131557</v>
      </c>
    </row>
    <row r="2950" customFormat="false" ht="15.75" hidden="false" customHeight="false" outlineLevel="0" collapsed="false">
      <c r="A2950" s="1" t="s">
        <v>847</v>
      </c>
      <c r="B2950" s="1" t="n">
        <v>453.15</v>
      </c>
      <c r="C2950" s="1" t="n">
        <f aca="false">1/B2950</f>
        <v>0.0022067747986318</v>
      </c>
      <c r="D2950" s="1" t="n">
        <v>0.646</v>
      </c>
      <c r="E2950" s="1" t="n">
        <f aca="false">LN(D2950)</f>
        <v>-0.436955775199535</v>
      </c>
    </row>
    <row r="2951" customFormat="false" ht="15.75" hidden="false" customHeight="false" outlineLevel="0" collapsed="false">
      <c r="A2951" s="1" t="s">
        <v>847</v>
      </c>
      <c r="B2951" s="1" t="n">
        <v>458.15</v>
      </c>
      <c r="C2951" s="1" t="n">
        <f aca="false">1/B2951</f>
        <v>0.00218269125832151</v>
      </c>
      <c r="D2951" s="1" t="n">
        <v>0.592</v>
      </c>
      <c r="E2951" s="1" t="n">
        <f aca="false">LN(D2951)</f>
        <v>-0.524248644098131</v>
      </c>
    </row>
    <row r="2952" customFormat="false" ht="15.75" hidden="false" customHeight="false" outlineLevel="0" collapsed="false">
      <c r="A2952" s="1" t="s">
        <v>847</v>
      </c>
      <c r="B2952" s="1" t="n">
        <v>463.25</v>
      </c>
      <c r="C2952" s="1" t="n">
        <f aca="false">1/B2952</f>
        <v>0.00215866162978953</v>
      </c>
      <c r="D2952" s="1" t="n">
        <v>0.559</v>
      </c>
      <c r="E2952" s="1" t="n">
        <f aca="false">LN(D2952)</f>
        <v>-0.581605805827038</v>
      </c>
    </row>
    <row r="2953" customFormat="false" ht="15.75" hidden="false" customHeight="false" outlineLevel="0" collapsed="false">
      <c r="A2953" s="1" t="s">
        <v>847</v>
      </c>
      <c r="B2953" s="1" t="n">
        <v>468.05</v>
      </c>
      <c r="C2953" s="1" t="n">
        <f aca="false">1/B2953</f>
        <v>0.00213652387565431</v>
      </c>
      <c r="D2953" s="1" t="n">
        <v>0.524</v>
      </c>
      <c r="E2953" s="1" t="n">
        <f aca="false">LN(D2953)</f>
        <v>-0.646263594661095</v>
      </c>
    </row>
    <row r="2954" customFormat="false" ht="15.75" hidden="false" customHeight="false" outlineLevel="0" collapsed="false">
      <c r="A2954" s="1" t="s">
        <v>847</v>
      </c>
      <c r="B2954" s="1" t="n">
        <v>476.15</v>
      </c>
      <c r="C2954" s="1" t="n">
        <f aca="false">1/B2954</f>
        <v>0.00210017851517379</v>
      </c>
      <c r="D2954" s="1" t="n">
        <v>0.445</v>
      </c>
      <c r="E2954" s="1" t="n">
        <f aca="false">LN(D2954)</f>
        <v>-0.809680996815897</v>
      </c>
    </row>
    <row r="2955" customFormat="false" ht="15.75" hidden="false" customHeight="false" outlineLevel="0" collapsed="false">
      <c r="A2955" s="1" t="s">
        <v>847</v>
      </c>
      <c r="B2955" s="1" t="n">
        <v>482.85</v>
      </c>
      <c r="C2955" s="1" t="n">
        <f aca="false">1/B2955</f>
        <v>0.00207103655379517</v>
      </c>
      <c r="D2955" s="1" t="n">
        <v>0.408</v>
      </c>
      <c r="E2955" s="1" t="n">
        <f aca="false">LN(D2955)</f>
        <v>-0.896488104577975</v>
      </c>
    </row>
    <row r="2956" customFormat="false" ht="15.75" hidden="false" customHeight="false" outlineLevel="0" collapsed="false">
      <c r="A2956" s="1" t="s">
        <v>847</v>
      </c>
      <c r="B2956" s="1" t="n">
        <v>493.35</v>
      </c>
      <c r="C2956" s="1" t="n">
        <f aca="false">1/B2956</f>
        <v>0.00202695854869768</v>
      </c>
      <c r="D2956" s="1" t="n">
        <v>0.372</v>
      </c>
      <c r="E2956" s="1" t="n">
        <f aca="false">LN(D2956)</f>
        <v>-0.98886142470899</v>
      </c>
    </row>
    <row r="2957" customFormat="false" ht="15.75" hidden="false" customHeight="false" outlineLevel="0" collapsed="false">
      <c r="A2957" s="1" t="s">
        <v>849</v>
      </c>
      <c r="B2957" s="1" t="n">
        <v>273.554</v>
      </c>
      <c r="C2957" s="1" t="n">
        <f aca="false">1/B2957</f>
        <v>0.00365558536888512</v>
      </c>
      <c r="D2957" s="1" t="n">
        <v>0.428</v>
      </c>
      <c r="E2957" s="1" t="n">
        <f aca="false">LN(D2957)</f>
        <v>-0.84863208340034</v>
      </c>
    </row>
    <row r="2958" customFormat="false" ht="15.75" hidden="false" customHeight="false" outlineLevel="0" collapsed="false">
      <c r="A2958" s="1" t="s">
        <v>849</v>
      </c>
      <c r="B2958" s="1" t="n">
        <v>278.03</v>
      </c>
      <c r="C2958" s="1" t="n">
        <f aca="false">1/B2958</f>
        <v>0.00359673416537784</v>
      </c>
      <c r="D2958" s="1" t="n">
        <v>0.413</v>
      </c>
      <c r="E2958" s="1" t="n">
        <f aca="false">LN(D2958)</f>
        <v>-0.884307686021104</v>
      </c>
    </row>
    <row r="2959" customFormat="false" ht="15.75" hidden="false" customHeight="false" outlineLevel="0" collapsed="false">
      <c r="A2959" s="1" t="s">
        <v>849</v>
      </c>
      <c r="B2959" s="1" t="n">
        <v>282.6</v>
      </c>
      <c r="C2959" s="1" t="n">
        <f aca="false">1/B2959</f>
        <v>0.00353857041755131</v>
      </c>
      <c r="D2959" s="1" t="n">
        <v>0.397</v>
      </c>
      <c r="E2959" s="1" t="n">
        <f aca="false">LN(D2959)</f>
        <v>-0.923818998294947</v>
      </c>
    </row>
    <row r="2960" customFormat="false" ht="15.75" hidden="false" customHeight="false" outlineLevel="0" collapsed="false">
      <c r="A2960" s="1" t="s">
        <v>849</v>
      </c>
      <c r="B2960" s="1" t="n">
        <v>288.06</v>
      </c>
      <c r="C2960" s="1" t="n">
        <f aca="false">1/B2960</f>
        <v>0.00347149899326529</v>
      </c>
      <c r="D2960" s="1" t="n">
        <v>0.381</v>
      </c>
      <c r="E2960" s="1" t="n">
        <f aca="false">LN(D2960)</f>
        <v>-0.964955903855436</v>
      </c>
    </row>
    <row r="2961" customFormat="false" ht="15.75" hidden="false" customHeight="false" outlineLevel="0" collapsed="false">
      <c r="A2961" s="1" t="s">
        <v>849</v>
      </c>
      <c r="B2961" s="1" t="n">
        <v>293.09</v>
      </c>
      <c r="C2961" s="1" t="n">
        <f aca="false">1/B2961</f>
        <v>0.00341192125285748</v>
      </c>
      <c r="D2961" s="1" t="n">
        <v>0.367</v>
      </c>
      <c r="E2961" s="1" t="n">
        <f aca="false">LN(D2961)</f>
        <v>-1.00239343092757</v>
      </c>
    </row>
    <row r="2962" customFormat="false" ht="15.75" hidden="false" customHeight="false" outlineLevel="0" collapsed="false">
      <c r="A2962" s="1" t="s">
        <v>849</v>
      </c>
      <c r="B2962" s="1" t="n">
        <v>298.49</v>
      </c>
      <c r="C2962" s="1" t="n">
        <f aca="false">1/B2962</f>
        <v>0.00335019598646521</v>
      </c>
      <c r="D2962" s="1" t="n">
        <v>0.356</v>
      </c>
      <c r="E2962" s="1" t="n">
        <f aca="false">LN(D2962)</f>
        <v>-1.03282454813011</v>
      </c>
    </row>
    <row r="2963" customFormat="false" ht="15.75" hidden="false" customHeight="false" outlineLevel="0" collapsed="false">
      <c r="A2963" s="1" t="s">
        <v>849</v>
      </c>
      <c r="B2963" s="1" t="n">
        <v>303.45</v>
      </c>
      <c r="C2963" s="1" t="n">
        <f aca="false">1/B2963</f>
        <v>0.00329543582138738</v>
      </c>
      <c r="D2963" s="1" t="n">
        <v>0.342</v>
      </c>
      <c r="E2963" s="1" t="n">
        <f aca="false">LN(D2963)</f>
        <v>-1.07294454191953</v>
      </c>
    </row>
    <row r="2964" customFormat="false" ht="15.75" hidden="false" customHeight="false" outlineLevel="0" collapsed="false">
      <c r="A2964" s="1" t="s">
        <v>849</v>
      </c>
      <c r="B2964" s="1" t="n">
        <v>308.66</v>
      </c>
      <c r="C2964" s="1" t="n">
        <f aca="false">1/B2964</f>
        <v>0.00323981079504957</v>
      </c>
      <c r="D2964" s="1" t="n">
        <v>0.328</v>
      </c>
      <c r="E2964" s="1" t="n">
        <f aca="false">LN(D2964)</f>
        <v>-1.11474167059799</v>
      </c>
    </row>
    <row r="2965" customFormat="false" ht="15.75" hidden="false" customHeight="false" outlineLevel="0" collapsed="false">
      <c r="A2965" s="1" t="s">
        <v>849</v>
      </c>
      <c r="B2965" s="1" t="n">
        <v>313.77</v>
      </c>
      <c r="C2965" s="1" t="n">
        <f aca="false">1/B2965</f>
        <v>0.00318704783758804</v>
      </c>
      <c r="D2965" s="1" t="n">
        <v>0.317</v>
      </c>
      <c r="E2965" s="1" t="n">
        <f aca="false">LN(D2965)</f>
        <v>-1.14885350510486</v>
      </c>
    </row>
    <row r="2966" customFormat="false" ht="15.75" hidden="false" customHeight="false" outlineLevel="0" collapsed="false">
      <c r="A2966" s="1" t="s">
        <v>849</v>
      </c>
      <c r="B2966" s="1" t="n">
        <v>319.11</v>
      </c>
      <c r="C2966" s="1" t="n">
        <f aca="false">1/B2966</f>
        <v>0.00313371564664222</v>
      </c>
      <c r="D2966" s="1" t="n">
        <v>0.306</v>
      </c>
      <c r="E2966" s="1" t="n">
        <f aca="false">LN(D2966)</f>
        <v>-1.18417017702976</v>
      </c>
    </row>
    <row r="2967" customFormat="false" ht="15.75" hidden="false" customHeight="false" outlineLevel="0" collapsed="false">
      <c r="A2967" s="1" t="s">
        <v>849</v>
      </c>
      <c r="B2967" s="1" t="n">
        <v>273.154</v>
      </c>
      <c r="C2967" s="1" t="n">
        <f aca="false">1/B2967</f>
        <v>0.00366093851819853</v>
      </c>
      <c r="D2967" s="1" t="n">
        <v>0.436</v>
      </c>
      <c r="E2967" s="1" t="n">
        <f aca="false">LN(D2967)</f>
        <v>-0.830113035633103</v>
      </c>
    </row>
    <row r="2968" customFormat="false" ht="15.75" hidden="false" customHeight="false" outlineLevel="0" collapsed="false">
      <c r="A2968" s="1" t="s">
        <v>849</v>
      </c>
      <c r="B2968" s="1" t="n">
        <v>288.15</v>
      </c>
      <c r="C2968" s="1" t="n">
        <f aca="false">1/B2968</f>
        <v>0.00347041471455839</v>
      </c>
      <c r="D2968" s="1" t="n">
        <v>0.38</v>
      </c>
      <c r="E2968" s="1" t="n">
        <f aca="false">LN(D2968)</f>
        <v>-0.967584026261706</v>
      </c>
    </row>
    <row r="2969" customFormat="false" ht="15.75" hidden="false" customHeight="false" outlineLevel="0" collapsed="false">
      <c r="A2969" s="1" t="s">
        <v>849</v>
      </c>
      <c r="B2969" s="1" t="n">
        <v>293.15</v>
      </c>
      <c r="C2969" s="1" t="n">
        <f aca="false">1/B2969</f>
        <v>0.00341122292341805</v>
      </c>
      <c r="D2969" s="1" t="n">
        <v>0.363</v>
      </c>
      <c r="E2969" s="1" t="n">
        <f aca="false">LN(D2969)</f>
        <v>-1.01335244471729</v>
      </c>
    </row>
    <row r="2970" customFormat="false" ht="15.75" hidden="false" customHeight="false" outlineLevel="0" collapsed="false">
      <c r="A2970" s="1" t="s">
        <v>851</v>
      </c>
      <c r="B2970" s="1" t="n">
        <v>273.754</v>
      </c>
      <c r="C2970" s="1" t="n">
        <f aca="false">1/B2970</f>
        <v>0.0036529146606077</v>
      </c>
      <c r="D2970" s="1" t="n">
        <v>1.3322</v>
      </c>
      <c r="E2970" s="1" t="n">
        <f aca="false">LN(D2970)</f>
        <v>0.286831710996942</v>
      </c>
    </row>
    <row r="2971" customFormat="false" ht="15.75" hidden="false" customHeight="false" outlineLevel="0" collapsed="false">
      <c r="A2971" s="1" t="s">
        <v>851</v>
      </c>
      <c r="B2971" s="1" t="n">
        <v>280.3</v>
      </c>
      <c r="C2971" s="1" t="n">
        <f aca="false">1/B2971</f>
        <v>0.00356760613628255</v>
      </c>
      <c r="D2971" s="1" t="n">
        <v>1.1884</v>
      </c>
      <c r="E2971" s="1" t="n">
        <f aca="false">LN(D2971)</f>
        <v>0.172607864606315</v>
      </c>
    </row>
    <row r="2972" customFormat="false" ht="15.75" hidden="false" customHeight="false" outlineLevel="0" collapsed="false">
      <c r="A2972" s="1" t="s">
        <v>851</v>
      </c>
      <c r="B2972" s="1" t="n">
        <v>288.04</v>
      </c>
      <c r="C2972" s="1" t="n">
        <f aca="false">1/B2972</f>
        <v>0.0034717400361061</v>
      </c>
      <c r="D2972" s="1" t="n">
        <v>1.0476</v>
      </c>
      <c r="E2972" s="1" t="n">
        <f aca="false">LN(D2972)</f>
        <v>0.0465018336514199</v>
      </c>
    </row>
    <row r="2973" customFormat="false" ht="15.75" hidden="false" customHeight="false" outlineLevel="0" collapsed="false">
      <c r="A2973" s="1" t="s">
        <v>851</v>
      </c>
      <c r="B2973" s="1" t="n">
        <v>294.36</v>
      </c>
      <c r="C2973" s="1" t="n">
        <f aca="false">1/B2973</f>
        <v>0.00339720070661775</v>
      </c>
      <c r="D2973" s="1" t="n">
        <v>0.9517</v>
      </c>
      <c r="E2973" s="1" t="n">
        <f aca="false">LN(D2973)</f>
        <v>-0.0495054199038393</v>
      </c>
    </row>
    <row r="2974" customFormat="false" ht="15.75" hidden="false" customHeight="false" outlineLevel="0" collapsed="false">
      <c r="A2974" s="1" t="s">
        <v>851</v>
      </c>
      <c r="B2974" s="1" t="n">
        <v>300.71</v>
      </c>
      <c r="C2974" s="1" t="n">
        <f aca="false">1/B2974</f>
        <v>0.0033254630707326</v>
      </c>
      <c r="D2974" s="1" t="n">
        <v>0.8705</v>
      </c>
      <c r="E2974" s="1" t="n">
        <f aca="false">LN(D2974)</f>
        <v>-0.138687519773893</v>
      </c>
    </row>
    <row r="2975" customFormat="false" ht="15.75" hidden="false" customHeight="false" outlineLevel="0" collapsed="false">
      <c r="A2975" s="1" t="s">
        <v>851</v>
      </c>
      <c r="B2975" s="1" t="n">
        <v>308.36</v>
      </c>
      <c r="C2975" s="1" t="n">
        <f aca="false">1/B2975</f>
        <v>0.00324296277078739</v>
      </c>
      <c r="D2975" s="1" t="n">
        <v>0.7855</v>
      </c>
      <c r="E2975" s="1" t="n">
        <f aca="false">LN(D2975)</f>
        <v>-0.241434821286461</v>
      </c>
    </row>
    <row r="2976" customFormat="false" ht="15.75" hidden="false" customHeight="false" outlineLevel="0" collapsed="false">
      <c r="A2976" s="1" t="s">
        <v>851</v>
      </c>
      <c r="B2976" s="1" t="n">
        <v>322.66</v>
      </c>
      <c r="C2976" s="1" t="n">
        <f aca="false">1/B2976</f>
        <v>0.00309923758755346</v>
      </c>
      <c r="D2976" s="1" t="n">
        <v>0.6567</v>
      </c>
      <c r="E2976" s="1" t="n">
        <f aca="false">LN(D2976)</f>
        <v>-0.42052798578521</v>
      </c>
    </row>
    <row r="2977" customFormat="false" ht="15.75" hidden="false" customHeight="false" outlineLevel="0" collapsed="false">
      <c r="A2977" s="1" t="s">
        <v>851</v>
      </c>
      <c r="B2977" s="1" t="n">
        <v>329.44</v>
      </c>
      <c r="C2977" s="1" t="n">
        <f aca="false">1/B2977</f>
        <v>0.00303545410393395</v>
      </c>
      <c r="D2977" s="1" t="n">
        <v>0.6078</v>
      </c>
      <c r="E2977" s="1" t="n">
        <f aca="false">LN(D2977)</f>
        <v>-0.497909398499444</v>
      </c>
    </row>
    <row r="2978" customFormat="false" ht="15.75" hidden="false" customHeight="false" outlineLevel="0" collapsed="false">
      <c r="A2978" s="1" t="s">
        <v>851</v>
      </c>
      <c r="B2978" s="1" t="n">
        <v>336.02</v>
      </c>
      <c r="C2978" s="1" t="n">
        <f aca="false">1/B2978</f>
        <v>0.00297601333253973</v>
      </c>
      <c r="D2978" s="1" t="n">
        <v>0.5659</v>
      </c>
      <c r="E2978" s="1" t="n">
        <f aca="false">LN(D2978)</f>
        <v>-0.569337894833659</v>
      </c>
    </row>
    <row r="2979" customFormat="false" ht="15.75" hidden="false" customHeight="false" outlineLevel="0" collapsed="false">
      <c r="A2979" s="1" t="s">
        <v>851</v>
      </c>
      <c r="B2979" s="1" t="n">
        <v>343.04</v>
      </c>
      <c r="C2979" s="1" t="n">
        <f aca="false">1/B2979</f>
        <v>0.00291511194029851</v>
      </c>
      <c r="D2979" s="1" t="n">
        <v>0.5246</v>
      </c>
      <c r="E2979" s="1" t="n">
        <f aca="false">LN(D2979)</f>
        <v>-0.645119211549364</v>
      </c>
    </row>
    <row r="2980" customFormat="false" ht="15.75" hidden="false" customHeight="false" outlineLevel="0" collapsed="false">
      <c r="A2980" s="1" t="s">
        <v>851</v>
      </c>
      <c r="B2980" s="1" t="n">
        <v>347.31</v>
      </c>
      <c r="C2980" s="1" t="n">
        <f aca="false">1/B2980</f>
        <v>0.00287927212000806</v>
      </c>
      <c r="D2980" s="1" t="n">
        <v>0.5017</v>
      </c>
      <c r="E2980" s="1" t="n">
        <f aca="false">LN(D2980)</f>
        <v>-0.68975294749193</v>
      </c>
    </row>
    <row r="2981" customFormat="false" ht="15.75" hidden="false" customHeight="false" outlineLevel="0" collapsed="false">
      <c r="A2981" s="1" t="s">
        <v>851</v>
      </c>
      <c r="B2981" s="1" t="n">
        <v>293.15103</v>
      </c>
      <c r="C2981" s="1" t="n">
        <f aca="false">1/B2981</f>
        <v>0.00341121093792507</v>
      </c>
      <c r="D2981" s="1" t="n">
        <v>0.965</v>
      </c>
      <c r="E2981" s="1" t="n">
        <f aca="false">LN(D2981)</f>
        <v>-0.0356271776431512</v>
      </c>
    </row>
    <row r="2982" customFormat="false" ht="15.75" hidden="false" customHeight="false" outlineLevel="0" collapsed="false">
      <c r="A2982" s="1" t="s">
        <v>851</v>
      </c>
      <c r="B2982" s="1" t="n">
        <v>303.15</v>
      </c>
      <c r="C2982" s="1" t="n">
        <f aca="false">1/B2982</f>
        <v>0.0032986970146792</v>
      </c>
      <c r="D2982" s="1" t="n">
        <v>0.843</v>
      </c>
      <c r="E2982" s="1" t="n">
        <f aca="false">LN(D2982)</f>
        <v>-0.170788320980282</v>
      </c>
    </row>
    <row r="2983" customFormat="false" ht="15.75" hidden="false" customHeight="false" outlineLevel="0" collapsed="false">
      <c r="A2983" s="1" t="s">
        <v>851</v>
      </c>
      <c r="B2983" s="1" t="n">
        <v>313.15</v>
      </c>
      <c r="C2983" s="1" t="n">
        <f aca="false">1/B2983</f>
        <v>0.00319335781574325</v>
      </c>
      <c r="D2983" s="1" t="n">
        <v>0.739</v>
      </c>
      <c r="E2983" s="1" t="n">
        <f aca="false">LN(D2983)</f>
        <v>-0.302457358033935</v>
      </c>
    </row>
    <row r="2984" customFormat="false" ht="15.75" hidden="false" customHeight="false" outlineLevel="0" collapsed="false">
      <c r="A2984" s="1" t="s">
        <v>851</v>
      </c>
      <c r="B2984" s="1" t="n">
        <v>323.15</v>
      </c>
      <c r="C2984" s="1" t="n">
        <f aca="false">1/B2984</f>
        <v>0.00309453814018258</v>
      </c>
      <c r="D2984" s="1" t="n">
        <v>0.651</v>
      </c>
      <c r="E2984" s="1" t="n">
        <f aca="false">LN(D2984)</f>
        <v>-0.429245636773568</v>
      </c>
    </row>
    <row r="2985" customFormat="false" ht="15.75" hidden="false" customHeight="false" outlineLevel="0" collapsed="false">
      <c r="A2985" s="1" t="s">
        <v>851</v>
      </c>
      <c r="B2985" s="1" t="n">
        <v>343.15</v>
      </c>
      <c r="C2985" s="1" t="n">
        <f aca="false">1/B2985</f>
        <v>0.00291417747340813</v>
      </c>
      <c r="D2985" s="1" t="n">
        <v>0.527</v>
      </c>
      <c r="E2985" s="1" t="n">
        <f aca="false">LN(D2985)</f>
        <v>-0.640554730440775</v>
      </c>
    </row>
    <row r="2986" customFormat="false" ht="15.75" hidden="false" customHeight="false" outlineLevel="0" collapsed="false">
      <c r="A2986" s="1" t="s">
        <v>851</v>
      </c>
      <c r="B2986" s="1" t="n">
        <v>353.15</v>
      </c>
      <c r="C2986" s="1" t="n">
        <f aca="false">1/B2986</f>
        <v>0.00283165793572137</v>
      </c>
      <c r="D2986" s="1" t="n">
        <v>0.466</v>
      </c>
      <c r="E2986" s="1" t="n">
        <f aca="false">LN(D2986)</f>
        <v>-0.763569644856491</v>
      </c>
    </row>
    <row r="2987" customFormat="false" ht="15.75" hidden="false" customHeight="false" outlineLevel="0" collapsed="false">
      <c r="A2987" s="1" t="s">
        <v>851</v>
      </c>
      <c r="B2987" s="1" t="n">
        <v>363.15</v>
      </c>
      <c r="C2987" s="1" t="n">
        <f aca="false">1/B2987</f>
        <v>0.00275368305108082</v>
      </c>
      <c r="D2987" s="1" t="n">
        <v>0.426</v>
      </c>
      <c r="E2987" s="1" t="n">
        <f aca="false">LN(D2987)</f>
        <v>-0.853315932712767</v>
      </c>
    </row>
    <row r="2988" customFormat="false" ht="15.75" hidden="false" customHeight="false" outlineLevel="0" collapsed="false">
      <c r="A2988" s="1" t="s">
        <v>851</v>
      </c>
      <c r="B2988" s="1" t="n">
        <v>373.15</v>
      </c>
      <c r="C2988" s="1" t="n">
        <f aca="false">1/B2988</f>
        <v>0.00267988744472732</v>
      </c>
      <c r="D2988" s="1" t="n">
        <v>0.383</v>
      </c>
      <c r="E2988" s="1" t="n">
        <f aca="false">LN(D2988)</f>
        <v>-0.959720289801491</v>
      </c>
    </row>
    <row r="2989" customFormat="false" ht="15.75" hidden="false" customHeight="false" outlineLevel="0" collapsed="false">
      <c r="A2989" s="1" t="s">
        <v>851</v>
      </c>
      <c r="B2989" s="1" t="n">
        <v>383.15</v>
      </c>
      <c r="C2989" s="1" t="n">
        <f aca="false">1/B2989</f>
        <v>0.00260994388620645</v>
      </c>
      <c r="D2989" s="1" t="n">
        <v>0.352</v>
      </c>
      <c r="E2989" s="1" t="n">
        <f aca="false">LN(D2989)</f>
        <v>-1.04412410338404</v>
      </c>
    </row>
    <row r="2990" customFormat="false" ht="15.75" hidden="false" customHeight="false" outlineLevel="0" collapsed="false">
      <c r="A2990" s="1" t="s">
        <v>851</v>
      </c>
      <c r="B2990" s="1" t="n">
        <v>393.15</v>
      </c>
      <c r="C2990" s="1" t="n">
        <f aca="false">1/B2990</f>
        <v>0.00254355843825512</v>
      </c>
      <c r="D2990" s="1" t="n">
        <v>0.322</v>
      </c>
      <c r="E2990" s="1" t="n">
        <f aca="false">LN(D2990)</f>
        <v>-1.13320373343773</v>
      </c>
    </row>
    <row r="2991" customFormat="false" ht="15.75" hidden="false" customHeight="false" outlineLevel="0" collapsed="false">
      <c r="A2991" s="1" t="s">
        <v>851</v>
      </c>
      <c r="B2991" s="1" t="n">
        <v>403.15</v>
      </c>
      <c r="C2991" s="1" t="n">
        <f aca="false">1/B2991</f>
        <v>0.0024804663276696</v>
      </c>
      <c r="D2991" s="1" t="n">
        <v>0.299</v>
      </c>
      <c r="E2991" s="1" t="n">
        <f aca="false">LN(D2991)</f>
        <v>-1.20731170559145</v>
      </c>
    </row>
    <row r="2992" customFormat="false" ht="15.75" hidden="false" customHeight="false" outlineLevel="0" collapsed="false">
      <c r="A2992" s="1" t="s">
        <v>851</v>
      </c>
      <c r="B2992" s="1" t="n">
        <v>413.15</v>
      </c>
      <c r="C2992" s="1" t="n">
        <f aca="false">1/B2992</f>
        <v>0.0024204284158296</v>
      </c>
      <c r="D2992" s="1" t="n">
        <v>0.276</v>
      </c>
      <c r="E2992" s="1" t="n">
        <f aca="false">LN(D2992)</f>
        <v>-1.28735441326499</v>
      </c>
    </row>
    <row r="2993" customFormat="false" ht="15.75" hidden="false" customHeight="false" outlineLevel="0" collapsed="false">
      <c r="A2993" s="1" t="s">
        <v>851</v>
      </c>
      <c r="B2993" s="1" t="n">
        <v>423.15</v>
      </c>
      <c r="C2993" s="1" t="n">
        <f aca="false">1/B2993</f>
        <v>0.00236322816967978</v>
      </c>
      <c r="D2993" s="1" t="n">
        <v>0.255</v>
      </c>
      <c r="E2993" s="1" t="n">
        <f aca="false">LN(D2993)</f>
        <v>-1.36649173382371</v>
      </c>
    </row>
    <row r="2994" customFormat="false" ht="15.75" hidden="false" customHeight="false" outlineLevel="0" collapsed="false">
      <c r="A2994" s="1" t="s">
        <v>851</v>
      </c>
      <c r="B2994" s="1" t="n">
        <v>443.15</v>
      </c>
      <c r="C2994" s="1" t="n">
        <f aca="false">1/B2994</f>
        <v>0.00225657226672684</v>
      </c>
      <c r="D2994" s="1" t="n">
        <v>0.219</v>
      </c>
      <c r="E2994" s="1" t="n">
        <f aca="false">LN(D2994)</f>
        <v>-1.51868354916564</v>
      </c>
    </row>
    <row r="2995" customFormat="false" ht="15.75" hidden="false" customHeight="false" outlineLevel="0" collapsed="false">
      <c r="A2995" s="1" t="s">
        <v>851</v>
      </c>
      <c r="B2995" s="1" t="n">
        <v>453.15</v>
      </c>
      <c r="C2995" s="1" t="n">
        <f aca="false">1/B2995</f>
        <v>0.0022067747986318</v>
      </c>
      <c r="D2995" s="1" t="n">
        <v>0.201</v>
      </c>
      <c r="E2995" s="1" t="n">
        <f aca="false">LN(D2995)</f>
        <v>-1.60445037092306</v>
      </c>
    </row>
    <row r="2996" customFormat="false" ht="15.75" hidden="false" customHeight="false" outlineLevel="0" collapsed="false">
      <c r="A2996" s="1" t="s">
        <v>851</v>
      </c>
      <c r="B2996" s="1" t="n">
        <v>315.23</v>
      </c>
      <c r="C2996" s="1" t="n">
        <f aca="false">1/B2996</f>
        <v>0.00317228690162738</v>
      </c>
      <c r="D2996" s="1" t="n">
        <v>0.7198</v>
      </c>
      <c r="E2996" s="1" t="n">
        <f aca="false">LN(D2996)</f>
        <v>-0.328781883337207</v>
      </c>
    </row>
    <row r="2997" customFormat="false" ht="15.75" hidden="false" customHeight="false" outlineLevel="0" collapsed="false">
      <c r="A2997" s="1" t="s">
        <v>851</v>
      </c>
      <c r="B2997" s="1" t="n">
        <v>333.15</v>
      </c>
      <c r="C2997" s="1" t="n">
        <f aca="false">1/B2997</f>
        <v>0.0030016509079994</v>
      </c>
      <c r="D2997" s="1" t="n">
        <v>0.585</v>
      </c>
      <c r="E2997" s="1" t="n">
        <f aca="false">LN(D2997)</f>
        <v>-0.536143431750281</v>
      </c>
    </row>
    <row r="2998" customFormat="false" ht="15.75" hidden="false" customHeight="false" outlineLevel="0" collapsed="false">
      <c r="A2998" s="1" t="s">
        <v>851</v>
      </c>
      <c r="B2998" s="1" t="n">
        <v>433.15</v>
      </c>
      <c r="C2998" s="1" t="n">
        <f aca="false">1/B2998</f>
        <v>0.00230866905229135</v>
      </c>
      <c r="D2998" s="1" t="n">
        <v>0.234</v>
      </c>
      <c r="E2998" s="1" t="n">
        <f aca="false">LN(D2998)</f>
        <v>-1.45243416362444</v>
      </c>
    </row>
    <row r="2999" customFormat="false" ht="15.75" hidden="false" customHeight="false" outlineLevel="0" collapsed="false">
      <c r="A2999" s="1" t="s">
        <v>1445</v>
      </c>
      <c r="B2999" s="1" t="n">
        <v>203.15</v>
      </c>
      <c r="C2999" s="1" t="n">
        <f aca="false">1/B2999</f>
        <v>0.0049224710804824</v>
      </c>
      <c r="D2999" s="1" t="n">
        <v>13.793</v>
      </c>
      <c r="E2999" s="1" t="n">
        <f aca="false">LN(D2999)</f>
        <v>2.62416121709338</v>
      </c>
    </row>
    <row r="3000" customFormat="false" ht="15.75" hidden="false" customHeight="false" outlineLevel="0" collapsed="false">
      <c r="A3000" s="1" t="s">
        <v>1445</v>
      </c>
      <c r="B3000" s="1" t="n">
        <v>303.15</v>
      </c>
      <c r="C3000" s="1" t="n">
        <f aca="false">1/B3000</f>
        <v>0.0032986970146792</v>
      </c>
      <c r="D3000" s="1" t="n">
        <v>1.171</v>
      </c>
      <c r="E3000" s="1" t="n">
        <f aca="false">LN(D3000)</f>
        <v>0.15785808461558</v>
      </c>
    </row>
    <row r="3001" customFormat="false" ht="15.75" hidden="false" customHeight="false" outlineLevel="0" collapsed="false">
      <c r="A3001" s="1" t="s">
        <v>1445</v>
      </c>
      <c r="B3001" s="1" t="n">
        <v>313.15</v>
      </c>
      <c r="C3001" s="1" t="n">
        <f aca="false">1/B3001</f>
        <v>0.00319335781574325</v>
      </c>
      <c r="D3001" s="1" t="n">
        <v>1.0101</v>
      </c>
      <c r="E3001" s="1" t="n">
        <f aca="false">LN(D3001)</f>
        <v>0.0100493358530014</v>
      </c>
    </row>
    <row r="3002" customFormat="false" ht="15.75" hidden="false" customHeight="false" outlineLevel="0" collapsed="false">
      <c r="A3002" s="1" t="s">
        <v>1445</v>
      </c>
      <c r="B3002" s="1" t="n">
        <v>333.15</v>
      </c>
      <c r="C3002" s="1" t="n">
        <f aca="false">1/B3002</f>
        <v>0.0030016509079994</v>
      </c>
      <c r="D3002" s="1" t="n">
        <v>0.7692</v>
      </c>
      <c r="E3002" s="1" t="n">
        <f aca="false">LN(D3002)</f>
        <v>-0.262404265267512</v>
      </c>
    </row>
    <row r="3003" customFormat="false" ht="15.75" hidden="false" customHeight="false" outlineLevel="0" collapsed="false">
      <c r="A3003" s="1" t="s">
        <v>1445</v>
      </c>
      <c r="B3003" s="1" t="n">
        <v>353.15</v>
      </c>
      <c r="C3003" s="1" t="n">
        <f aca="false">1/B3003</f>
        <v>0.00283165793572137</v>
      </c>
      <c r="D3003" s="1" t="n">
        <v>0.5959</v>
      </c>
      <c r="E3003" s="1" t="n">
        <f aca="false">LN(D3003)</f>
        <v>-0.517682411229204</v>
      </c>
    </row>
    <row r="3004" customFormat="false" ht="15.75" hidden="false" customHeight="false" outlineLevel="0" collapsed="false">
      <c r="A3004" s="1" t="s">
        <v>853</v>
      </c>
      <c r="B3004" s="1" t="n">
        <v>288.15</v>
      </c>
      <c r="C3004" s="1" t="n">
        <f aca="false">1/B3004</f>
        <v>0.00347041471455839</v>
      </c>
      <c r="D3004" s="1" t="n">
        <v>0.9132</v>
      </c>
      <c r="E3004" s="1" t="n">
        <f aca="false">LN(D3004)</f>
        <v>-0.0908003643264966</v>
      </c>
    </row>
    <row r="3005" customFormat="false" ht="15.75" hidden="false" customHeight="false" outlineLevel="0" collapsed="false">
      <c r="A3005" s="1" t="s">
        <v>853</v>
      </c>
      <c r="B3005" s="1" t="n">
        <v>293.15</v>
      </c>
      <c r="C3005" s="1" t="n">
        <f aca="false">1/B3005</f>
        <v>0.00341122292341805</v>
      </c>
      <c r="D3005" s="1" t="n">
        <v>0.8522</v>
      </c>
      <c r="E3005" s="1" t="n">
        <f aca="false">LN(D3005)</f>
        <v>-0.159934037916325</v>
      </c>
    </row>
    <row r="3006" customFormat="false" ht="15.75" hidden="false" customHeight="false" outlineLevel="0" collapsed="false">
      <c r="A3006" s="1" t="s">
        <v>853</v>
      </c>
      <c r="B3006" s="1" t="n">
        <v>298.15</v>
      </c>
      <c r="C3006" s="1" t="n">
        <f aca="false">1/B3006</f>
        <v>0.00335401643468053</v>
      </c>
      <c r="D3006" s="1" t="n">
        <v>0.8131</v>
      </c>
      <c r="E3006" s="1" t="n">
        <f aca="false">LN(D3006)</f>
        <v>-0.206901175768345</v>
      </c>
    </row>
    <row r="3007" customFormat="false" ht="15.75" hidden="false" customHeight="false" outlineLevel="0" collapsed="false">
      <c r="A3007" s="1" t="s">
        <v>853</v>
      </c>
      <c r="B3007" s="1" t="n">
        <v>303.15178</v>
      </c>
      <c r="C3007" s="1" t="n">
        <f aca="false">1/B3007</f>
        <v>0.00329867764589738</v>
      </c>
      <c r="D3007" s="1" t="n">
        <v>0.714</v>
      </c>
      <c r="E3007" s="1" t="n">
        <f aca="false">LN(D3007)</f>
        <v>-0.336872316642553</v>
      </c>
    </row>
    <row r="3008" customFormat="false" ht="15.75" hidden="false" customHeight="false" outlineLevel="0" collapsed="false">
      <c r="A3008" s="1" t="s">
        <v>853</v>
      </c>
      <c r="B3008" s="1" t="n">
        <v>313.15</v>
      </c>
      <c r="C3008" s="1" t="n">
        <f aca="false">1/B3008</f>
        <v>0.00319335781574325</v>
      </c>
      <c r="D3008" s="1" t="n">
        <v>0.639</v>
      </c>
      <c r="E3008" s="1" t="n">
        <f aca="false">LN(D3008)</f>
        <v>-0.447850824604602</v>
      </c>
    </row>
    <row r="3009" customFormat="false" ht="15.75" hidden="false" customHeight="false" outlineLevel="0" collapsed="false">
      <c r="A3009" s="1" t="s">
        <v>1446</v>
      </c>
      <c r="B3009" s="1" t="n">
        <v>200.66</v>
      </c>
      <c r="C3009" s="1" t="n">
        <f aca="false">1/B3009</f>
        <v>0.00498355427090601</v>
      </c>
      <c r="D3009" s="1" t="n">
        <v>0.5128</v>
      </c>
      <c r="E3009" s="1" t="n">
        <f aca="false">LN(D3009)</f>
        <v>-0.667869373375677</v>
      </c>
    </row>
    <row r="3010" customFormat="false" ht="15.75" hidden="false" customHeight="false" outlineLevel="0" collapsed="false">
      <c r="A3010" s="1" t="s">
        <v>1446</v>
      </c>
      <c r="B3010" s="1" t="n">
        <v>215.41</v>
      </c>
      <c r="C3010" s="1" t="n">
        <f aca="false">1/B3010</f>
        <v>0.0046423100134627</v>
      </c>
      <c r="D3010" s="1" t="n">
        <v>0.4161</v>
      </c>
      <c r="E3010" s="1" t="n">
        <f aca="false">LN(D3010)</f>
        <v>-0.876829662993241</v>
      </c>
    </row>
    <row r="3011" customFormat="false" ht="15.75" hidden="false" customHeight="false" outlineLevel="0" collapsed="false">
      <c r="A3011" s="1" t="s">
        <v>1446</v>
      </c>
      <c r="B3011" s="1" t="n">
        <v>230.05</v>
      </c>
      <c r="C3011" s="1" t="n">
        <f aca="false">1/B3011</f>
        <v>0.00434688111280156</v>
      </c>
      <c r="D3011" s="1" t="n">
        <v>0.3477</v>
      </c>
      <c r="E3011" s="1" t="n">
        <f aca="false">LN(D3011)</f>
        <v>-1.05641523996832</v>
      </c>
    </row>
    <row r="3012" customFormat="false" ht="15.75" hidden="false" customHeight="false" outlineLevel="0" collapsed="false">
      <c r="A3012" s="1" t="s">
        <v>1446</v>
      </c>
      <c r="B3012" s="1" t="n">
        <v>244.9</v>
      </c>
      <c r="C3012" s="1" t="n">
        <f aca="false">1/B3012</f>
        <v>0.00408329930583912</v>
      </c>
      <c r="D3012" s="1" t="n">
        <v>0.2967</v>
      </c>
      <c r="E3012" s="1" t="n">
        <f aca="false">LN(D3012)</f>
        <v>-1.21503375168536</v>
      </c>
    </row>
    <row r="3013" customFormat="false" ht="15.75" hidden="false" customHeight="false" outlineLevel="0" collapsed="false">
      <c r="A3013" s="1" t="s">
        <v>1446</v>
      </c>
      <c r="B3013" s="1" t="n">
        <v>257.74</v>
      </c>
      <c r="C3013" s="1" t="n">
        <f aca="false">1/B3013</f>
        <v>0.00387987894777683</v>
      </c>
      <c r="D3013" s="1" t="n">
        <v>0.2654</v>
      </c>
      <c r="E3013" s="1" t="n">
        <f aca="false">LN(D3013)</f>
        <v>-1.32651715708403</v>
      </c>
    </row>
    <row r="3014" customFormat="false" ht="15.75" hidden="false" customHeight="false" outlineLevel="0" collapsed="false">
      <c r="A3014" s="1" t="s">
        <v>1446</v>
      </c>
      <c r="B3014" s="1" t="n">
        <v>271.07</v>
      </c>
      <c r="C3014" s="1" t="n">
        <f aca="false">1/B3014</f>
        <v>0.00368908400044269</v>
      </c>
      <c r="D3014" s="1" t="n">
        <v>0.2329</v>
      </c>
      <c r="E3014" s="1" t="n">
        <f aca="false">LN(D3014)</f>
        <v>-1.45714610209184</v>
      </c>
    </row>
    <row r="3015" customFormat="false" ht="15.75" hidden="false" customHeight="false" outlineLevel="0" collapsed="false">
      <c r="A3015" s="1" t="s">
        <v>1446</v>
      </c>
      <c r="B3015" s="1" t="n">
        <v>285.54</v>
      </c>
      <c r="C3015" s="1" t="n">
        <f aca="false">1/B3015</f>
        <v>0.00350213630314492</v>
      </c>
      <c r="D3015" s="1" t="n">
        <v>0.2058</v>
      </c>
      <c r="E3015" s="1" t="n">
        <f aca="false">LN(D3015)</f>
        <v>-1.58085045558219</v>
      </c>
    </row>
    <row r="3016" customFormat="false" ht="15.75" hidden="false" customHeight="false" outlineLevel="0" collapsed="false">
      <c r="A3016" s="1" t="s">
        <v>1446</v>
      </c>
      <c r="B3016" s="1" t="n">
        <v>299.12</v>
      </c>
      <c r="C3016" s="1" t="n">
        <f aca="false">1/B3016</f>
        <v>0.00334313987697245</v>
      </c>
      <c r="D3016" s="1" t="n">
        <v>0.1834</v>
      </c>
      <c r="E3016" s="1" t="n">
        <f aca="false">LN(D3016)</f>
        <v>-1.69608571915977</v>
      </c>
    </row>
    <row r="3017" customFormat="false" ht="15.75" hidden="false" customHeight="false" outlineLevel="0" collapsed="false">
      <c r="A3017" s="1" t="s">
        <v>855</v>
      </c>
      <c r="B3017" s="1" t="n">
        <v>192.2</v>
      </c>
      <c r="C3017" s="1" t="n">
        <f aca="false">1/B3017</f>
        <v>0.00520291363163372</v>
      </c>
      <c r="D3017" s="1" t="n">
        <v>0.9383</v>
      </c>
      <c r="E3017" s="1" t="n">
        <f aca="false">LN(D3017)</f>
        <v>-0.063685551686133</v>
      </c>
    </row>
    <row r="3018" customFormat="false" ht="15.75" hidden="false" customHeight="false" outlineLevel="0" collapsed="false">
      <c r="A3018" s="1" t="s">
        <v>855</v>
      </c>
      <c r="B3018" s="1" t="n">
        <v>210.93</v>
      </c>
      <c r="C3018" s="1" t="n">
        <f aca="false">1/B3018</f>
        <v>0.00474090930640497</v>
      </c>
      <c r="D3018" s="1" t="n">
        <v>0.6671</v>
      </c>
      <c r="E3018" s="1" t="n">
        <f aca="false">LN(D3018)</f>
        <v>-0.404815319266667</v>
      </c>
    </row>
    <row r="3019" customFormat="false" ht="15.75" hidden="false" customHeight="false" outlineLevel="0" collapsed="false">
      <c r="A3019" s="1" t="s">
        <v>855</v>
      </c>
      <c r="B3019" s="1" t="n">
        <v>270.66</v>
      </c>
      <c r="C3019" s="1" t="n">
        <f aca="false">1/B3019</f>
        <v>0.00369467228256854</v>
      </c>
      <c r="D3019" s="1" t="n">
        <v>0.3127</v>
      </c>
      <c r="E3019" s="1" t="n">
        <f aca="false">LN(D3019)</f>
        <v>-1.16251101451834</v>
      </c>
    </row>
    <row r="3020" customFormat="false" ht="15.75" hidden="false" customHeight="false" outlineLevel="0" collapsed="false">
      <c r="A3020" s="1" t="s">
        <v>855</v>
      </c>
      <c r="B3020" s="1" t="n">
        <v>241.03</v>
      </c>
      <c r="C3020" s="1" t="n">
        <f aca="false">1/B3020</f>
        <v>0.00414886113761772</v>
      </c>
      <c r="D3020" s="1" t="n">
        <v>0.4364</v>
      </c>
      <c r="E3020" s="1" t="n">
        <f aca="false">LN(D3020)</f>
        <v>-0.829196025023221</v>
      </c>
    </row>
    <row r="3021" customFormat="false" ht="15.75" hidden="false" customHeight="false" outlineLevel="0" collapsed="false">
      <c r="A3021" s="1" t="s">
        <v>855</v>
      </c>
      <c r="B3021" s="1" t="n">
        <v>284.16</v>
      </c>
      <c r="C3021" s="1" t="n">
        <f aca="false">1/B3021</f>
        <v>0.00351914414414414</v>
      </c>
      <c r="D3021" s="1" t="n">
        <v>0.2768</v>
      </c>
      <c r="E3021" s="1" t="n">
        <f aca="false">LN(D3021)</f>
        <v>-1.28446005523862</v>
      </c>
    </row>
    <row r="3022" customFormat="false" ht="15.75" hidden="false" customHeight="false" outlineLevel="0" collapsed="false">
      <c r="A3022" s="1" t="s">
        <v>855</v>
      </c>
      <c r="B3022" s="1" t="n">
        <v>299.75</v>
      </c>
      <c r="C3022" s="1" t="n">
        <f aca="false">1/B3022</f>
        <v>0.00333611342785655</v>
      </c>
      <c r="D3022" s="1" t="n">
        <v>0.2431</v>
      </c>
      <c r="E3022" s="1" t="n">
        <f aca="false">LN(D3022)</f>
        <v>-1.41428239766006</v>
      </c>
    </row>
    <row r="3023" customFormat="false" ht="15.75" hidden="false" customHeight="false" outlineLevel="0" collapsed="false">
      <c r="A3023" s="1" t="s">
        <v>855</v>
      </c>
      <c r="B3023" s="1" t="n">
        <v>225.88</v>
      </c>
      <c r="C3023" s="1" t="n">
        <f aca="false">1/B3023</f>
        <v>0.0044271294492651</v>
      </c>
      <c r="D3023" s="1" t="n">
        <v>0.5293</v>
      </c>
      <c r="E3023" s="1" t="n">
        <f aca="false">LN(D3023)</f>
        <v>-0.636199900118195</v>
      </c>
    </row>
    <row r="3024" customFormat="false" ht="15.75" hidden="false" customHeight="false" outlineLevel="0" collapsed="false">
      <c r="A3024" s="1" t="s">
        <v>855</v>
      </c>
      <c r="B3024" s="1" t="n">
        <v>255.39</v>
      </c>
      <c r="C3024" s="1" t="n">
        <f aca="false">1/B3024</f>
        <v>0.00391558009319081</v>
      </c>
      <c r="D3024" s="1" t="n">
        <v>0.3662</v>
      </c>
      <c r="E3024" s="1" t="n">
        <f aca="false">LN(D3024)</f>
        <v>-1.00457564674173</v>
      </c>
    </row>
    <row r="3025" customFormat="false" ht="15.75" hidden="false" customHeight="false" outlineLevel="0" collapsed="false">
      <c r="A3025" s="1" t="s">
        <v>855</v>
      </c>
      <c r="B3025" s="1" t="n">
        <v>314.55</v>
      </c>
      <c r="C3025" s="1" t="n">
        <f aca="false">1/B3025</f>
        <v>0.0031791448100461</v>
      </c>
      <c r="D3025" s="1" t="n">
        <v>0.2167</v>
      </c>
      <c r="E3025" s="1" t="n">
        <f aca="false">LN(D3025)</f>
        <v>-1.52924137043982</v>
      </c>
    </row>
    <row r="3026" customFormat="false" ht="15.75" hidden="false" customHeight="false" outlineLevel="0" collapsed="false">
      <c r="A3026" s="1" t="s">
        <v>857</v>
      </c>
      <c r="B3026" s="1" t="n">
        <v>273.484</v>
      </c>
      <c r="C3026" s="1" t="n">
        <f aca="false">1/B3026</f>
        <v>0.00365652103962206</v>
      </c>
      <c r="D3026" s="1" t="n">
        <v>0.6979</v>
      </c>
      <c r="E3026" s="1" t="n">
        <f aca="false">LN(D3026)</f>
        <v>-0.359679452959031</v>
      </c>
    </row>
    <row r="3027" customFormat="false" ht="15.75" hidden="false" customHeight="false" outlineLevel="0" collapsed="false">
      <c r="A3027" s="1" t="s">
        <v>857</v>
      </c>
      <c r="B3027" s="1" t="n">
        <v>278.41</v>
      </c>
      <c r="C3027" s="1" t="n">
        <f aca="false">1/B3027</f>
        <v>0.00359182500628569</v>
      </c>
      <c r="D3027" s="1" t="n">
        <v>0.6594</v>
      </c>
      <c r="E3027" s="1" t="n">
        <f aca="false">LN(D3027)</f>
        <v>-0.416424948344506</v>
      </c>
    </row>
    <row r="3028" customFormat="false" ht="15.75" hidden="false" customHeight="false" outlineLevel="0" collapsed="false">
      <c r="A3028" s="1" t="s">
        <v>857</v>
      </c>
      <c r="B3028" s="1" t="n">
        <v>283.41</v>
      </c>
      <c r="C3028" s="1" t="n">
        <f aca="false">1/B3028</f>
        <v>0.00352845700575138</v>
      </c>
      <c r="D3028" s="1" t="n">
        <v>0.6242</v>
      </c>
      <c r="E3028" s="1" t="n">
        <f aca="false">LN(D3028)</f>
        <v>-0.471284449145458</v>
      </c>
    </row>
    <row r="3029" customFormat="false" ht="15.75" hidden="false" customHeight="false" outlineLevel="0" collapsed="false">
      <c r="A3029" s="1" t="s">
        <v>857</v>
      </c>
      <c r="B3029" s="1" t="n">
        <v>289.07</v>
      </c>
      <c r="C3029" s="1" t="n">
        <f aca="false">1/B3029</f>
        <v>0.00345936970284014</v>
      </c>
      <c r="D3029" s="1" t="n">
        <v>0.5876</v>
      </c>
      <c r="E3029" s="1" t="n">
        <f aca="false">LN(D3029)</f>
        <v>-0.531708834682415</v>
      </c>
    </row>
    <row r="3030" customFormat="false" ht="15.75" hidden="false" customHeight="false" outlineLevel="0" collapsed="false">
      <c r="A3030" s="1" t="s">
        <v>857</v>
      </c>
      <c r="B3030" s="1" t="n">
        <v>294.57</v>
      </c>
      <c r="C3030" s="1" t="n">
        <f aca="false">1/B3030</f>
        <v>0.00339477883015921</v>
      </c>
      <c r="D3030" s="1" t="n">
        <v>0.5562</v>
      </c>
      <c r="E3030" s="1" t="n">
        <f aca="false">LN(D3030)</f>
        <v>-0.586627337182273</v>
      </c>
    </row>
    <row r="3031" customFormat="false" ht="15.75" hidden="false" customHeight="false" outlineLevel="0" collapsed="false">
      <c r="A3031" s="1" t="s">
        <v>857</v>
      </c>
      <c r="B3031" s="1" t="n">
        <v>304.62</v>
      </c>
      <c r="C3031" s="1" t="n">
        <f aca="false">1/B3031</f>
        <v>0.00328277854375944</v>
      </c>
      <c r="D3031" s="1" t="n">
        <v>0.5039</v>
      </c>
      <c r="E3031" s="1" t="n">
        <f aca="false">LN(D3031)</f>
        <v>-0.685377443295585</v>
      </c>
    </row>
    <row r="3032" customFormat="false" ht="15.75" hidden="false" customHeight="false" outlineLevel="0" collapsed="false">
      <c r="A3032" s="1" t="s">
        <v>857</v>
      </c>
      <c r="B3032" s="1" t="n">
        <v>309.97</v>
      </c>
      <c r="C3032" s="1" t="n">
        <f aca="false">1/B3032</f>
        <v>0.00322611865664419</v>
      </c>
      <c r="D3032" s="1" t="n">
        <v>0.4787</v>
      </c>
      <c r="E3032" s="1" t="n">
        <f aca="false">LN(D3032)</f>
        <v>-0.736681182583674</v>
      </c>
    </row>
    <row r="3033" customFormat="false" ht="15.75" hidden="false" customHeight="false" outlineLevel="0" collapsed="false">
      <c r="A3033" s="1" t="s">
        <v>857</v>
      </c>
      <c r="B3033" s="1" t="n">
        <v>320.03</v>
      </c>
      <c r="C3033" s="1" t="n">
        <f aca="false">1/B3033</f>
        <v>0.00312470705871325</v>
      </c>
      <c r="D3033" s="1" t="n">
        <v>0.4378</v>
      </c>
      <c r="E3033" s="1" t="n">
        <f aca="false">LN(D3033)</f>
        <v>-0.825993093893374</v>
      </c>
    </row>
    <row r="3034" customFormat="false" ht="15.75" hidden="false" customHeight="false" outlineLevel="0" collapsed="false">
      <c r="A3034" s="1" t="s">
        <v>857</v>
      </c>
      <c r="B3034" s="1" t="n">
        <v>325.87</v>
      </c>
      <c r="C3034" s="1" t="n">
        <f aca="false">1/B3034</f>
        <v>0.00306870838064259</v>
      </c>
      <c r="D3034" s="1" t="n">
        <v>0.4156</v>
      </c>
      <c r="E3034" s="1" t="n">
        <f aca="false">LN(D3034)</f>
        <v>-0.878032019757065</v>
      </c>
    </row>
    <row r="3035" customFormat="false" ht="15.75" hidden="false" customHeight="false" outlineLevel="0" collapsed="false">
      <c r="A3035" s="1" t="s">
        <v>857</v>
      </c>
      <c r="B3035" s="1" t="n">
        <v>330.09</v>
      </c>
      <c r="C3035" s="1" t="n">
        <f aca="false">1/B3035</f>
        <v>0.00302947680935502</v>
      </c>
      <c r="D3035" s="1" t="n">
        <v>0.4006</v>
      </c>
      <c r="E3035" s="1" t="n">
        <f aca="false">LN(D3035)</f>
        <v>-0.914791855750419</v>
      </c>
    </row>
    <row r="3036" customFormat="false" ht="15.75" hidden="false" customHeight="false" outlineLevel="0" collapsed="false">
      <c r="A3036" s="1" t="s">
        <v>857</v>
      </c>
      <c r="B3036" s="1" t="n">
        <v>210.08105</v>
      </c>
      <c r="C3036" s="1" t="n">
        <f aca="false">1/B3036</f>
        <v>0.00476006760248009</v>
      </c>
      <c r="D3036" s="1" t="n">
        <v>1.9615</v>
      </c>
      <c r="E3036" s="1" t="n">
        <f aca="false">LN(D3036)</f>
        <v>0.67370948666747</v>
      </c>
    </row>
    <row r="3037" customFormat="false" ht="15.75" hidden="false" customHeight="false" outlineLevel="0" collapsed="false">
      <c r="A3037" s="1" t="s">
        <v>857</v>
      </c>
      <c r="B3037" s="1" t="n">
        <v>224.43</v>
      </c>
      <c r="C3037" s="1" t="n">
        <f aca="false">1/B3037</f>
        <v>0.00445573229960344</v>
      </c>
      <c r="D3037" s="1" t="n">
        <v>1.46</v>
      </c>
      <c r="E3037" s="1" t="n">
        <f aca="false">LN(D3037)</f>
        <v>0.378436435720245</v>
      </c>
    </row>
    <row r="3038" customFormat="false" ht="15.75" hidden="false" customHeight="false" outlineLevel="0" collapsed="false">
      <c r="A3038" s="1" t="s">
        <v>857</v>
      </c>
      <c r="B3038" s="1" t="n">
        <v>237.96</v>
      </c>
      <c r="C3038" s="1" t="n">
        <f aca="false">1/B3038</f>
        <v>0.00420238695579089</v>
      </c>
      <c r="D3038" s="1" t="n">
        <v>1.1538</v>
      </c>
      <c r="E3038" s="1" t="n">
        <f aca="false">LN(D3038)</f>
        <v>0.143060842840652</v>
      </c>
    </row>
    <row r="3039" customFormat="false" ht="15.75" hidden="false" customHeight="false" outlineLevel="0" collapsed="false">
      <c r="A3039" s="1" t="s">
        <v>857</v>
      </c>
      <c r="B3039" s="1" t="n">
        <v>264.34</v>
      </c>
      <c r="C3039" s="1" t="n">
        <f aca="false">1/B3039</f>
        <v>0.00378300673375199</v>
      </c>
      <c r="D3039" s="1" t="n">
        <v>0.7931</v>
      </c>
      <c r="E3039" s="1" t="n">
        <f aca="false">LN(D3039)</f>
        <v>-0.231805961892863</v>
      </c>
    </row>
    <row r="3040" customFormat="false" ht="15.75" hidden="false" customHeight="false" outlineLevel="0" collapsed="false">
      <c r="A3040" s="1" t="s">
        <v>857</v>
      </c>
      <c r="B3040" s="1" t="n">
        <v>277.33</v>
      </c>
      <c r="C3040" s="1" t="n">
        <f aca="false">1/B3040</f>
        <v>0.00360581256986262</v>
      </c>
      <c r="D3040" s="1" t="n">
        <v>0.6779</v>
      </c>
      <c r="E3040" s="1" t="n">
        <f aca="false">LN(D3040)</f>
        <v>-0.388755494545217</v>
      </c>
    </row>
    <row r="3041" customFormat="false" ht="15.75" hidden="false" customHeight="false" outlineLevel="0" collapsed="false">
      <c r="A3041" s="1" t="s">
        <v>857</v>
      </c>
      <c r="B3041" s="1" t="n">
        <v>304.73</v>
      </c>
      <c r="C3041" s="1" t="n">
        <f aca="false">1/B3041</f>
        <v>0.00328159354182391</v>
      </c>
      <c r="D3041" s="1" t="n">
        <v>0.5093</v>
      </c>
      <c r="E3041" s="1" t="n">
        <f aca="false">LN(D3041)</f>
        <v>-0.674718045091578</v>
      </c>
    </row>
    <row r="3042" customFormat="false" ht="15.75" hidden="false" customHeight="false" outlineLevel="0" collapsed="false">
      <c r="A3042" s="1" t="s">
        <v>857</v>
      </c>
      <c r="B3042" s="1" t="n">
        <v>319.42</v>
      </c>
      <c r="C3042" s="1" t="n">
        <f aca="false">1/B3042</f>
        <v>0.0031306743472544</v>
      </c>
      <c r="D3042" s="1" t="n">
        <v>0.445</v>
      </c>
      <c r="E3042" s="1" t="n">
        <f aca="false">LN(D3042)</f>
        <v>-0.809680996815897</v>
      </c>
    </row>
    <row r="3043" customFormat="false" ht="15.75" hidden="false" customHeight="false" outlineLevel="0" collapsed="false">
      <c r="A3043" s="1" t="s">
        <v>857</v>
      </c>
      <c r="B3043" s="1" t="n">
        <v>334.41</v>
      </c>
      <c r="C3043" s="1" t="n">
        <f aca="false">1/B3043</f>
        <v>0.00299034119793068</v>
      </c>
      <c r="D3043" s="1" t="n">
        <v>0.3922</v>
      </c>
      <c r="E3043" s="1" t="n">
        <f aca="false">LN(D3043)</f>
        <v>-0.935983365219891</v>
      </c>
    </row>
    <row r="3044" customFormat="false" ht="15.75" hidden="false" customHeight="false" outlineLevel="0" collapsed="false">
      <c r="A3044" s="1" t="s">
        <v>857</v>
      </c>
      <c r="B3044" s="1" t="n">
        <v>353.2</v>
      </c>
      <c r="C3044" s="1" t="n">
        <f aca="false">1/B3044</f>
        <v>0.0028312570781427</v>
      </c>
      <c r="D3044" s="1" t="n">
        <v>0.3397</v>
      </c>
      <c r="E3044" s="1" t="n">
        <f aca="false">LN(D3044)</f>
        <v>-1.0796924038156</v>
      </c>
    </row>
    <row r="3045" customFormat="false" ht="15.75" hidden="false" customHeight="false" outlineLevel="0" collapsed="false">
      <c r="A3045" s="1" t="s">
        <v>857</v>
      </c>
      <c r="B3045" s="1" t="n">
        <v>288.15106</v>
      </c>
      <c r="C3045" s="1" t="n">
        <f aca="false">1/B3045</f>
        <v>0.00347040194820036</v>
      </c>
      <c r="D3045" s="1" t="n">
        <v>0.596</v>
      </c>
      <c r="E3045" s="1" t="n">
        <f aca="false">LN(D3045)</f>
        <v>-0.517514611916787</v>
      </c>
    </row>
    <row r="3046" customFormat="false" ht="15.75" hidden="false" customHeight="false" outlineLevel="0" collapsed="false">
      <c r="A3046" s="1" t="s">
        <v>857</v>
      </c>
      <c r="B3046" s="1" t="n">
        <v>303.15</v>
      </c>
      <c r="C3046" s="1" t="n">
        <f aca="false">1/B3046</f>
        <v>0.0032986970146792</v>
      </c>
      <c r="D3046" s="1" t="n">
        <v>0.514</v>
      </c>
      <c r="E3046" s="1" t="n">
        <f aca="false">LN(D3046)</f>
        <v>-0.665532013526972</v>
      </c>
    </row>
    <row r="3047" customFormat="false" ht="15.75" hidden="false" customHeight="false" outlineLevel="0" collapsed="false">
      <c r="A3047" s="1" t="s">
        <v>857</v>
      </c>
      <c r="B3047" s="1" t="n">
        <v>293.15212</v>
      </c>
      <c r="C3047" s="1" t="n">
        <f aca="false">1/B3047</f>
        <v>0.00341119825433976</v>
      </c>
      <c r="D3047" s="1" t="n">
        <v>0.576</v>
      </c>
      <c r="E3047" s="1" t="n">
        <f aca="false">LN(D3047)</f>
        <v>-0.551647618286246</v>
      </c>
    </row>
    <row r="3048" customFormat="false" ht="15.75" hidden="false" customHeight="false" outlineLevel="0" collapsed="false">
      <c r="A3048" s="1" t="s">
        <v>857</v>
      </c>
      <c r="B3048" s="1" t="n">
        <v>298.15</v>
      </c>
      <c r="C3048" s="1" t="n">
        <f aca="false">1/B3048</f>
        <v>0.00335401643468053</v>
      </c>
      <c r="D3048" s="1" t="n">
        <v>0.545</v>
      </c>
      <c r="E3048" s="1" t="n">
        <f aca="false">LN(D3048)</f>
        <v>-0.606969484318893</v>
      </c>
    </row>
    <row r="3049" customFormat="false" ht="15.75" hidden="false" customHeight="false" outlineLevel="0" collapsed="false">
      <c r="A3049" s="1" t="s">
        <v>857</v>
      </c>
      <c r="B3049" s="1" t="n">
        <v>308.15</v>
      </c>
      <c r="C3049" s="1" t="n">
        <f aca="false">1/B3049</f>
        <v>0.00324517280545189</v>
      </c>
      <c r="D3049" s="1" t="n">
        <v>0.498</v>
      </c>
      <c r="E3049" s="1" t="n">
        <f aca="false">LN(D3049)</f>
        <v>-0.697155201957484</v>
      </c>
    </row>
    <row r="3050" customFormat="false" ht="15.75" hidden="false" customHeight="false" outlineLevel="0" collapsed="false">
      <c r="A3050" s="1" t="s">
        <v>857</v>
      </c>
      <c r="B3050" s="1" t="n">
        <v>299.08</v>
      </c>
      <c r="C3050" s="1" t="n">
        <f aca="false">1/B3050</f>
        <v>0.00334358700013374</v>
      </c>
      <c r="D3050" s="1" t="n">
        <v>0.5314</v>
      </c>
      <c r="E3050" s="1" t="n">
        <f aca="false">LN(D3050)</f>
        <v>-0.632240245656424</v>
      </c>
    </row>
    <row r="3051" customFormat="false" ht="15.75" hidden="false" customHeight="false" outlineLevel="0" collapsed="false">
      <c r="A3051" s="1" t="s">
        <v>857</v>
      </c>
      <c r="B3051" s="1" t="n">
        <v>315.21</v>
      </c>
      <c r="C3051" s="1" t="n">
        <f aca="false">1/B3051</f>
        <v>0.00317248818248152</v>
      </c>
      <c r="D3051" s="1" t="n">
        <v>0.4565</v>
      </c>
      <c r="E3051" s="1" t="n">
        <f aca="false">LN(D3051)</f>
        <v>-0.784166578947114</v>
      </c>
    </row>
    <row r="3052" customFormat="false" ht="15.75" hidden="false" customHeight="false" outlineLevel="0" collapsed="false">
      <c r="A3052" s="1" t="s">
        <v>857</v>
      </c>
      <c r="B3052" s="1" t="n">
        <v>252.55</v>
      </c>
      <c r="C3052" s="1" t="n">
        <f aca="false">1/B3052</f>
        <v>0.00395961195802811</v>
      </c>
      <c r="D3052" s="1" t="n">
        <v>0.9278</v>
      </c>
      <c r="E3052" s="1" t="n">
        <f aca="false">LN(D3052)</f>
        <v>-0.0749390866644938</v>
      </c>
    </row>
    <row r="3053" customFormat="false" ht="15.75" hidden="false" customHeight="false" outlineLevel="0" collapsed="false">
      <c r="A3053" s="1" t="s">
        <v>857</v>
      </c>
      <c r="B3053" s="1" t="n">
        <v>289.51</v>
      </c>
      <c r="C3053" s="1" t="n">
        <f aca="false">1/B3053</f>
        <v>0.00345411212047943</v>
      </c>
      <c r="D3053" s="1" t="n">
        <v>0.5939</v>
      </c>
      <c r="E3053" s="1" t="n">
        <f aca="false">LN(D3053)</f>
        <v>-0.521044323960323</v>
      </c>
    </row>
    <row r="3054" customFormat="false" ht="15.75" hidden="false" customHeight="false" outlineLevel="0" collapsed="false">
      <c r="A3054" s="1" t="s">
        <v>857</v>
      </c>
      <c r="B3054" s="1" t="n">
        <v>303.15</v>
      </c>
      <c r="C3054" s="1" t="n">
        <f aca="false">1/B3054</f>
        <v>0.0032986970146792</v>
      </c>
      <c r="D3054" s="1" t="n">
        <v>0.534</v>
      </c>
      <c r="E3054" s="1" t="n">
        <f aca="false">LN(D3054)</f>
        <v>-0.627359440021942</v>
      </c>
    </row>
    <row r="3055" customFormat="false" ht="15.75" hidden="false" customHeight="false" outlineLevel="0" collapsed="false">
      <c r="A3055" s="1" t="s">
        <v>859</v>
      </c>
      <c r="B3055" s="1" t="n">
        <v>208.15</v>
      </c>
      <c r="C3055" s="1" t="n">
        <f aca="false">1/B3055</f>
        <v>0.00480422772039395</v>
      </c>
      <c r="D3055" s="1" t="n">
        <v>1.538</v>
      </c>
      <c r="E3055" s="1" t="n">
        <f aca="false">LN(D3055)</f>
        <v>0.430482871083452</v>
      </c>
    </row>
    <row r="3056" customFormat="false" ht="15.75" hidden="false" customHeight="false" outlineLevel="0" collapsed="false">
      <c r="A3056" s="1" t="s">
        <v>859</v>
      </c>
      <c r="B3056" s="1" t="n">
        <v>213.15</v>
      </c>
      <c r="C3056" s="1" t="n">
        <f aca="false">1/B3056</f>
        <v>0.00469153178512784</v>
      </c>
      <c r="D3056" s="1" t="n">
        <v>1.393</v>
      </c>
      <c r="E3056" s="1" t="n">
        <f aca="false">LN(D3056)</f>
        <v>0.331459694797669</v>
      </c>
    </row>
    <row r="3057" customFormat="false" ht="15.75" hidden="false" customHeight="false" outlineLevel="0" collapsed="false">
      <c r="A3057" s="1" t="s">
        <v>859</v>
      </c>
      <c r="B3057" s="1" t="n">
        <v>218.15</v>
      </c>
      <c r="C3057" s="1" t="n">
        <f aca="false">1/B3057</f>
        <v>0.00458400183360073</v>
      </c>
      <c r="D3057" s="1" t="n">
        <v>1.271</v>
      </c>
      <c r="E3057" s="1" t="n">
        <f aca="false">LN(D3057)</f>
        <v>0.239803992207317</v>
      </c>
    </row>
    <row r="3058" customFormat="false" ht="15.75" hidden="false" customHeight="false" outlineLevel="0" collapsed="false">
      <c r="A3058" s="1" t="s">
        <v>859</v>
      </c>
      <c r="B3058" s="1" t="n">
        <v>223.15</v>
      </c>
      <c r="C3058" s="1" t="n">
        <f aca="false">1/B3058</f>
        <v>0.00448129061169617</v>
      </c>
      <c r="D3058" s="1" t="n">
        <v>1.156</v>
      </c>
      <c r="E3058" s="1" t="n">
        <f aca="false">LN(D3058)</f>
        <v>0.144965770250186</v>
      </c>
    </row>
    <row r="3059" customFormat="false" ht="15.75" hidden="false" customHeight="false" outlineLevel="0" collapsed="false">
      <c r="A3059" s="1" t="s">
        <v>859</v>
      </c>
      <c r="B3059" s="1" t="n">
        <v>233.15</v>
      </c>
      <c r="C3059" s="1" t="n">
        <f aca="false">1/B3059</f>
        <v>0.00428908428050611</v>
      </c>
      <c r="D3059" s="1" t="n">
        <v>0.973</v>
      </c>
      <c r="E3059" s="1" t="n">
        <f aca="false">LN(D3059)</f>
        <v>-0.027371196796132</v>
      </c>
    </row>
    <row r="3060" customFormat="false" ht="15.75" hidden="false" customHeight="false" outlineLevel="0" collapsed="false">
      <c r="A3060" s="1" t="s">
        <v>859</v>
      </c>
      <c r="B3060" s="1" t="n">
        <v>238.15</v>
      </c>
      <c r="C3060" s="1" t="n">
        <f aca="false">1/B3060</f>
        <v>0.00419903422212891</v>
      </c>
      <c r="D3060" s="1" t="n">
        <v>0.904</v>
      </c>
      <c r="E3060" s="1" t="n">
        <f aca="false">LN(D3060)</f>
        <v>-0.100925918589961</v>
      </c>
    </row>
    <row r="3061" customFormat="false" ht="15.75" hidden="false" customHeight="false" outlineLevel="0" collapsed="false">
      <c r="A3061" s="1" t="s">
        <v>859</v>
      </c>
      <c r="B3061" s="1" t="n">
        <v>243.15</v>
      </c>
      <c r="C3061" s="1" t="n">
        <f aca="false">1/B3061</f>
        <v>0.00411268764137364</v>
      </c>
      <c r="D3061" s="1" t="n">
        <v>0.843</v>
      </c>
      <c r="E3061" s="1" t="n">
        <f aca="false">LN(D3061)</f>
        <v>-0.170788320980282</v>
      </c>
    </row>
    <row r="3062" customFormat="false" ht="15.75" hidden="false" customHeight="false" outlineLevel="0" collapsed="false">
      <c r="A3062" s="1" t="s">
        <v>859</v>
      </c>
      <c r="B3062" s="1" t="n">
        <v>248.15</v>
      </c>
      <c r="C3062" s="1" t="n">
        <f aca="false">1/B3062</f>
        <v>0.00402982067298005</v>
      </c>
      <c r="D3062" s="1" t="n">
        <v>0.791</v>
      </c>
      <c r="E3062" s="1" t="n">
        <f aca="false">LN(D3062)</f>
        <v>-0.234457311214483</v>
      </c>
    </row>
    <row r="3063" customFormat="false" ht="15.75" hidden="false" customHeight="false" outlineLevel="0" collapsed="false">
      <c r="A3063" s="1" t="s">
        <v>859</v>
      </c>
      <c r="B3063" s="1" t="n">
        <v>253.15</v>
      </c>
      <c r="C3063" s="1" t="n">
        <f aca="false">1/B3063</f>
        <v>0.00395022713806044</v>
      </c>
      <c r="D3063" s="1" t="n">
        <v>0.738</v>
      </c>
      <c r="E3063" s="1" t="n">
        <f aca="false">LN(D3063)</f>
        <v>-0.303811454381665</v>
      </c>
    </row>
    <row r="3064" customFormat="false" ht="15.75" hidden="false" customHeight="false" outlineLevel="0" collapsed="false">
      <c r="A3064" s="1" t="s">
        <v>859</v>
      </c>
      <c r="B3064" s="1" t="n">
        <v>258.15</v>
      </c>
      <c r="C3064" s="1" t="n">
        <f aca="false">1/B3064</f>
        <v>0.00387371683129963</v>
      </c>
      <c r="D3064" s="1" t="n">
        <v>0.69</v>
      </c>
      <c r="E3064" s="1" t="n">
        <f aca="false">LN(D3064)</f>
        <v>-0.371063681390832</v>
      </c>
    </row>
    <row r="3065" customFormat="false" ht="15.75" hidden="false" customHeight="false" outlineLevel="0" collapsed="false">
      <c r="A3065" s="1" t="s">
        <v>859</v>
      </c>
      <c r="B3065" s="1" t="n">
        <v>268.15</v>
      </c>
      <c r="C3065" s="1" t="n">
        <f aca="false">1/B3065</f>
        <v>0.00372925601342532</v>
      </c>
      <c r="D3065" s="1" t="n">
        <v>0.609</v>
      </c>
      <c r="E3065" s="1" t="n">
        <f aca="false">LN(D3065)</f>
        <v>-0.49593701127224</v>
      </c>
    </row>
    <row r="3066" customFormat="false" ht="15.75" hidden="false" customHeight="false" outlineLevel="0" collapsed="false">
      <c r="A3066" s="1" t="s">
        <v>859</v>
      </c>
      <c r="B3066" s="1" t="n">
        <v>273.15</v>
      </c>
      <c r="C3066" s="1" t="n">
        <f aca="false">1/B3066</f>
        <v>0.00366099212886692</v>
      </c>
      <c r="D3066" s="1" t="n">
        <v>0.577</v>
      </c>
      <c r="E3066" s="1" t="n">
        <f aca="false">LN(D3066)</f>
        <v>-0.549913012474038</v>
      </c>
    </row>
    <row r="3067" customFormat="false" ht="15.75" hidden="false" customHeight="false" outlineLevel="0" collapsed="false">
      <c r="A3067" s="1" t="s">
        <v>859</v>
      </c>
      <c r="B3067" s="1" t="n">
        <v>278.15</v>
      </c>
      <c r="C3067" s="1" t="n">
        <f aca="false">1/B3067</f>
        <v>0.00359518245550962</v>
      </c>
      <c r="D3067" s="1" t="n">
        <v>0.546</v>
      </c>
      <c r="E3067" s="1" t="n">
        <f aca="false">LN(D3067)</f>
        <v>-0.605136303237232</v>
      </c>
    </row>
    <row r="3068" customFormat="false" ht="15.75" hidden="false" customHeight="false" outlineLevel="0" collapsed="false">
      <c r="A3068" s="1" t="s">
        <v>859</v>
      </c>
      <c r="B3068" s="1" t="n">
        <v>283.15</v>
      </c>
      <c r="C3068" s="1" t="n">
        <f aca="false">1/B3068</f>
        <v>0.00353169698039908</v>
      </c>
      <c r="D3068" s="1" t="n">
        <v>0.516</v>
      </c>
      <c r="E3068" s="1" t="n">
        <f aca="false">LN(D3068)</f>
        <v>-0.661648513500574</v>
      </c>
    </row>
    <row r="3069" customFormat="false" ht="15.75" hidden="false" customHeight="false" outlineLevel="0" collapsed="false">
      <c r="A3069" s="1" t="s">
        <v>859</v>
      </c>
      <c r="B3069" s="1" t="n">
        <v>288.15</v>
      </c>
      <c r="C3069" s="1" t="n">
        <f aca="false">1/B3069</f>
        <v>0.00347041471455839</v>
      </c>
      <c r="D3069" s="1" t="n">
        <v>0.49</v>
      </c>
      <c r="E3069" s="1" t="n">
        <f aca="false">LN(D3069)</f>
        <v>-0.713349887877465</v>
      </c>
    </row>
    <row r="3070" customFormat="false" ht="15.75" hidden="false" customHeight="false" outlineLevel="0" collapsed="false">
      <c r="A3070" s="1" t="s">
        <v>859</v>
      </c>
      <c r="B3070" s="1" t="n">
        <v>298.15</v>
      </c>
      <c r="C3070" s="1" t="n">
        <f aca="false">1/B3070</f>
        <v>0.00335401643468053</v>
      </c>
      <c r="D3070" s="1" t="n">
        <v>0.444</v>
      </c>
      <c r="E3070" s="1" t="n">
        <f aca="false">LN(D3070)</f>
        <v>-0.811930716549912</v>
      </c>
    </row>
    <row r="3071" customFormat="false" ht="15.75" hidden="false" customHeight="false" outlineLevel="0" collapsed="false">
      <c r="A3071" s="1" t="s">
        <v>859</v>
      </c>
      <c r="B3071" s="1" t="n">
        <v>228.15</v>
      </c>
      <c r="C3071" s="1" t="n">
        <f aca="false">1/B3071</f>
        <v>0.00438308130615823</v>
      </c>
      <c r="D3071" s="1" t="n">
        <v>1.057</v>
      </c>
      <c r="E3071" s="1" t="n">
        <f aca="false">LN(D3071)</f>
        <v>0.0554347068881005</v>
      </c>
    </row>
    <row r="3072" customFormat="false" ht="15.75" hidden="false" customHeight="false" outlineLevel="0" collapsed="false">
      <c r="A3072" s="1" t="s">
        <v>859</v>
      </c>
      <c r="B3072" s="1" t="n">
        <v>263.15</v>
      </c>
      <c r="C3072" s="1" t="n">
        <f aca="false">1/B3072</f>
        <v>0.0038001140034201</v>
      </c>
      <c r="D3072" s="1" t="n">
        <v>0.647</v>
      </c>
      <c r="E3072" s="1" t="n">
        <f aca="false">LN(D3072)</f>
        <v>-0.435408984481236</v>
      </c>
    </row>
    <row r="3073" customFormat="false" ht="15.75" hidden="false" customHeight="false" outlineLevel="0" collapsed="false">
      <c r="A3073" s="1" t="s">
        <v>859</v>
      </c>
      <c r="B3073" s="1" t="n">
        <v>293.15</v>
      </c>
      <c r="C3073" s="1" t="n">
        <f aca="false">1/B3073</f>
        <v>0.00341122292341805</v>
      </c>
      <c r="D3073" s="1" t="n">
        <v>0.467</v>
      </c>
      <c r="E3073" s="1" t="n">
        <f aca="false">LN(D3073)</f>
        <v>-0.76142602131324</v>
      </c>
    </row>
    <row r="3074" customFormat="false" ht="15.75" hidden="false" customHeight="false" outlineLevel="0" collapsed="false">
      <c r="A3074" s="1" t="s">
        <v>861</v>
      </c>
      <c r="B3074" s="1" t="n">
        <v>243.15</v>
      </c>
      <c r="C3074" s="1" t="n">
        <f aca="false">1/B3074</f>
        <v>0.00411268764137364</v>
      </c>
      <c r="D3074" s="1" t="n">
        <v>15.761</v>
      </c>
      <c r="E3074" s="1" t="n">
        <f aca="false">LN(D3074)</f>
        <v>2.7575385341934</v>
      </c>
    </row>
    <row r="3075" customFormat="false" ht="15.75" hidden="false" customHeight="false" outlineLevel="0" collapsed="false">
      <c r="A3075" s="1" t="s">
        <v>861</v>
      </c>
      <c r="B3075" s="1" t="n">
        <v>253.15</v>
      </c>
      <c r="C3075" s="1" t="n">
        <f aca="false">1/B3075</f>
        <v>0.00395022713806044</v>
      </c>
      <c r="D3075" s="1" t="n">
        <v>10.677</v>
      </c>
      <c r="E3075" s="1" t="n">
        <f aca="false">LN(D3075)</f>
        <v>2.36809189519617</v>
      </c>
    </row>
    <row r="3076" customFormat="false" ht="15.75" hidden="false" customHeight="false" outlineLevel="0" collapsed="false">
      <c r="A3076" s="1" t="s">
        <v>861</v>
      </c>
      <c r="B3076" s="1" t="n">
        <v>263.15</v>
      </c>
      <c r="C3076" s="1" t="n">
        <f aca="false">1/B3076</f>
        <v>0.0038001140034201</v>
      </c>
      <c r="D3076" s="1" t="n">
        <v>7.582</v>
      </c>
      <c r="E3076" s="1" t="n">
        <f aca="false">LN(D3076)</f>
        <v>2.02577701709414</v>
      </c>
    </row>
    <row r="3077" customFormat="false" ht="15.75" hidden="false" customHeight="false" outlineLevel="0" collapsed="false">
      <c r="A3077" s="1" t="s">
        <v>861</v>
      </c>
      <c r="B3077" s="1" t="n">
        <v>273.15</v>
      </c>
      <c r="C3077" s="1" t="n">
        <f aca="false">1/B3077</f>
        <v>0.00366099212886692</v>
      </c>
      <c r="D3077" s="1" t="n">
        <v>5.62</v>
      </c>
      <c r="E3077" s="1" t="n">
        <f aca="false">LN(D3077)</f>
        <v>1.7263316639056</v>
      </c>
    </row>
    <row r="3078" customFormat="false" ht="15.75" hidden="false" customHeight="false" outlineLevel="0" collapsed="false">
      <c r="A3078" s="1" t="s">
        <v>861</v>
      </c>
      <c r="B3078" s="1" t="n">
        <v>293.15</v>
      </c>
      <c r="C3078" s="1" t="n">
        <f aca="false">1/B3078</f>
        <v>0.00341122292341805</v>
      </c>
      <c r="D3078" s="1" t="n">
        <v>3.381</v>
      </c>
      <c r="E3078" s="1" t="n">
        <f aca="false">LN(D3078)</f>
        <v>1.21817152372575</v>
      </c>
    </row>
    <row r="3079" customFormat="false" ht="15.75" hidden="false" customHeight="false" outlineLevel="0" collapsed="false">
      <c r="A3079" s="1" t="s">
        <v>861</v>
      </c>
      <c r="B3079" s="1" t="n">
        <v>303.15</v>
      </c>
      <c r="C3079" s="1" t="n">
        <f aca="false">1/B3079</f>
        <v>0.0032986970146792</v>
      </c>
      <c r="D3079" s="1" t="n">
        <v>2.723</v>
      </c>
      <c r="E3079" s="1" t="n">
        <f aca="false">LN(D3079)</f>
        <v>1.00173421369162</v>
      </c>
    </row>
    <row r="3080" customFormat="false" ht="15.75" hidden="false" customHeight="false" outlineLevel="0" collapsed="false">
      <c r="A3080" s="1" t="s">
        <v>861</v>
      </c>
      <c r="B3080" s="1" t="n">
        <v>313.15</v>
      </c>
      <c r="C3080" s="1" t="n">
        <f aca="false">1/B3080</f>
        <v>0.00319335781574325</v>
      </c>
      <c r="D3080" s="1" t="n">
        <v>2.239</v>
      </c>
      <c r="E3080" s="1" t="n">
        <f aca="false">LN(D3080)</f>
        <v>0.806029337616618</v>
      </c>
    </row>
    <row r="3081" customFormat="false" ht="15.75" hidden="false" customHeight="false" outlineLevel="0" collapsed="false">
      <c r="A3081" s="1" t="s">
        <v>861</v>
      </c>
      <c r="B3081" s="1" t="n">
        <v>321.15</v>
      </c>
      <c r="C3081" s="1" t="n">
        <f aca="false">1/B3081</f>
        <v>0.00311380974622451</v>
      </c>
      <c r="D3081" s="1" t="n">
        <v>1.867</v>
      </c>
      <c r="E3081" s="1" t="n">
        <f aca="false">LN(D3081)</f>
        <v>0.624332864559586</v>
      </c>
    </row>
    <row r="3082" customFormat="false" ht="15.75" hidden="false" customHeight="false" outlineLevel="0" collapsed="false">
      <c r="A3082" s="1" t="s">
        <v>861</v>
      </c>
      <c r="B3082" s="1" t="n">
        <v>333.15</v>
      </c>
      <c r="C3082" s="1" t="n">
        <f aca="false">1/B3082</f>
        <v>0.0030016509079994</v>
      </c>
      <c r="D3082" s="1" t="n">
        <v>1.588</v>
      </c>
      <c r="E3082" s="1" t="n">
        <f aca="false">LN(D3082)</f>
        <v>0.462475362824944</v>
      </c>
    </row>
    <row r="3083" customFormat="false" ht="15.75" hidden="false" customHeight="false" outlineLevel="0" collapsed="false">
      <c r="A3083" s="1" t="s">
        <v>861</v>
      </c>
      <c r="B3083" s="1" t="n">
        <v>343.15</v>
      </c>
      <c r="C3083" s="1" t="n">
        <f aca="false">1/B3083</f>
        <v>0.00291417747340813</v>
      </c>
      <c r="D3083" s="1" t="n">
        <v>1.363</v>
      </c>
      <c r="E3083" s="1" t="n">
        <f aca="false">LN(D3083)</f>
        <v>0.309688152714396</v>
      </c>
    </row>
    <row r="3084" customFormat="false" ht="15.75" hidden="false" customHeight="false" outlineLevel="0" collapsed="false">
      <c r="A3084" s="1" t="s">
        <v>861</v>
      </c>
      <c r="B3084" s="1" t="n">
        <v>363.15</v>
      </c>
      <c r="C3084" s="1" t="n">
        <f aca="false">1/B3084</f>
        <v>0.00275368305108082</v>
      </c>
      <c r="D3084" s="1" t="n">
        <v>1.045</v>
      </c>
      <c r="E3084" s="1" t="n">
        <f aca="false">LN(D3084)</f>
        <v>0.0440168854167743</v>
      </c>
    </row>
    <row r="3085" customFormat="false" ht="15.75" hidden="false" customHeight="false" outlineLevel="0" collapsed="false">
      <c r="A3085" s="1" t="s">
        <v>861</v>
      </c>
      <c r="B3085" s="1" t="n">
        <v>373.15</v>
      </c>
      <c r="C3085" s="1" t="n">
        <f aca="false">1/B3085</f>
        <v>0.00267988744472732</v>
      </c>
      <c r="D3085" s="1" t="n">
        <v>0.92</v>
      </c>
      <c r="E3085" s="1" t="n">
        <f aca="false">LN(D3085)</f>
        <v>-0.083381608939051</v>
      </c>
    </row>
    <row r="3086" customFormat="false" ht="15.75" hidden="false" customHeight="false" outlineLevel="0" collapsed="false">
      <c r="A3086" s="1" t="s">
        <v>861</v>
      </c>
      <c r="B3086" s="1" t="n">
        <v>383.15</v>
      </c>
      <c r="C3086" s="1" t="n">
        <f aca="false">1/B3086</f>
        <v>0.00260994388620645</v>
      </c>
      <c r="D3086" s="1" t="n">
        <v>0.819</v>
      </c>
      <c r="E3086" s="1" t="n">
        <f aca="false">LN(D3086)</f>
        <v>-0.199671195129068</v>
      </c>
    </row>
    <row r="3087" customFormat="false" ht="15.75" hidden="false" customHeight="false" outlineLevel="0" collapsed="false">
      <c r="A3087" s="1" t="s">
        <v>861</v>
      </c>
      <c r="B3087" s="1" t="n">
        <v>393.15</v>
      </c>
      <c r="C3087" s="1" t="n">
        <f aca="false">1/B3087</f>
        <v>0.00254355843825512</v>
      </c>
      <c r="D3087" s="1" t="n">
        <v>0.752</v>
      </c>
      <c r="E3087" s="1" t="n">
        <f aca="false">LN(D3087)</f>
        <v>-0.285018955032297</v>
      </c>
    </row>
    <row r="3088" customFormat="false" ht="15.75" hidden="false" customHeight="false" outlineLevel="0" collapsed="false">
      <c r="A3088" s="1" t="s">
        <v>861</v>
      </c>
      <c r="B3088" s="1" t="n">
        <v>403.15</v>
      </c>
      <c r="C3088" s="1" t="n">
        <f aca="false">1/B3088</f>
        <v>0.0024804663276696</v>
      </c>
      <c r="D3088" s="1" t="n">
        <v>0.684</v>
      </c>
      <c r="E3088" s="1" t="n">
        <f aca="false">LN(D3088)</f>
        <v>-0.379797361359586</v>
      </c>
    </row>
    <row r="3089" customFormat="false" ht="15.75" hidden="false" customHeight="false" outlineLevel="0" collapsed="false">
      <c r="A3089" s="1" t="s">
        <v>861</v>
      </c>
      <c r="B3089" s="1" t="n">
        <v>423.15</v>
      </c>
      <c r="C3089" s="1" t="n">
        <f aca="false">1/B3089</f>
        <v>0.00236322816967978</v>
      </c>
      <c r="D3089" s="1" t="n">
        <v>0.569</v>
      </c>
      <c r="E3089" s="1" t="n">
        <f aca="false">LN(D3089)</f>
        <v>-0.563874844855806</v>
      </c>
    </row>
    <row r="3090" customFormat="false" ht="15.75" hidden="false" customHeight="false" outlineLevel="0" collapsed="false">
      <c r="A3090" s="1" t="s">
        <v>861</v>
      </c>
      <c r="B3090" s="1" t="n">
        <v>443.15</v>
      </c>
      <c r="C3090" s="1" t="n">
        <f aca="false">1/B3090</f>
        <v>0.00225657226672684</v>
      </c>
      <c r="D3090" s="1" t="n">
        <v>0.479</v>
      </c>
      <c r="E3090" s="1" t="n">
        <f aca="false">LN(D3090)</f>
        <v>-0.736054681571222</v>
      </c>
    </row>
    <row r="3091" customFormat="false" ht="15.75" hidden="false" customHeight="false" outlineLevel="0" collapsed="false">
      <c r="A3091" s="1" t="s">
        <v>861</v>
      </c>
      <c r="B3091" s="1" t="n">
        <v>453.15</v>
      </c>
      <c r="C3091" s="1" t="n">
        <f aca="false">1/B3091</f>
        <v>0.0022067747986318</v>
      </c>
      <c r="D3091" s="1" t="n">
        <v>0.439</v>
      </c>
      <c r="E3091" s="1" t="n">
        <f aca="false">LN(D3091)</f>
        <v>-0.823255865906966</v>
      </c>
    </row>
    <row r="3092" customFormat="false" ht="15.75" hidden="false" customHeight="false" outlineLevel="0" collapsed="false">
      <c r="A3092" s="1" t="s">
        <v>861</v>
      </c>
      <c r="B3092" s="1" t="n">
        <v>283.15</v>
      </c>
      <c r="C3092" s="1" t="n">
        <f aca="false">1/B3092</f>
        <v>0.00353169698039908</v>
      </c>
      <c r="D3092" s="1" t="n">
        <v>4.3</v>
      </c>
      <c r="E3092" s="1" t="n">
        <f aca="false">LN(D3092)</f>
        <v>1.45861502269952</v>
      </c>
    </row>
    <row r="3093" customFormat="false" ht="15.75" hidden="false" customHeight="false" outlineLevel="0" collapsed="false">
      <c r="A3093" s="1" t="s">
        <v>861</v>
      </c>
      <c r="B3093" s="1" t="n">
        <v>353.15</v>
      </c>
      <c r="C3093" s="1" t="n">
        <f aca="false">1/B3093</f>
        <v>0.00283165793572137</v>
      </c>
      <c r="D3093" s="1" t="n">
        <v>1.188</v>
      </c>
      <c r="E3093" s="1" t="n">
        <f aca="false">LN(D3093)</f>
        <v>0.172271220940453</v>
      </c>
    </row>
    <row r="3094" customFormat="false" ht="15.75" hidden="false" customHeight="false" outlineLevel="0" collapsed="false">
      <c r="A3094" s="1" t="s">
        <v>861</v>
      </c>
      <c r="B3094" s="1" t="n">
        <v>433.15</v>
      </c>
      <c r="C3094" s="1" t="n">
        <f aca="false">1/B3094</f>
        <v>0.00230866905229135</v>
      </c>
      <c r="D3094" s="1" t="n">
        <v>0.521</v>
      </c>
      <c r="E3094" s="1" t="n">
        <f aca="false">LN(D3094)</f>
        <v>-0.65200523722877</v>
      </c>
    </row>
    <row r="3095" customFormat="false" ht="15.75" hidden="false" customHeight="false" outlineLevel="0" collapsed="false">
      <c r="A3095" s="1" t="s">
        <v>863</v>
      </c>
      <c r="B3095" s="1" t="n">
        <v>273.15</v>
      </c>
      <c r="C3095" s="1" t="n">
        <f aca="false">1/B3095</f>
        <v>0.00366099212886692</v>
      </c>
      <c r="D3095" s="1" t="n">
        <v>1.075</v>
      </c>
      <c r="E3095" s="1" t="n">
        <f aca="false">LN(D3095)</f>
        <v>0.0723206615796261</v>
      </c>
    </row>
    <row r="3096" customFormat="false" ht="15.75" hidden="false" customHeight="false" outlineLevel="0" collapsed="false">
      <c r="A3096" s="1" t="s">
        <v>863</v>
      </c>
      <c r="B3096" s="1" t="n">
        <v>283.15</v>
      </c>
      <c r="C3096" s="1" t="n">
        <f aca="false">1/B3096</f>
        <v>0.00353169698039908</v>
      </c>
      <c r="D3096" s="1" t="n">
        <v>0.915</v>
      </c>
      <c r="E3096" s="1" t="n">
        <f aca="false">LN(D3096)</f>
        <v>-0.0888312137066157</v>
      </c>
    </row>
    <row r="3097" customFormat="false" ht="15.75" hidden="false" customHeight="false" outlineLevel="0" collapsed="false">
      <c r="A3097" s="1" t="s">
        <v>863</v>
      </c>
      <c r="B3097" s="1" t="n">
        <v>293.15</v>
      </c>
      <c r="C3097" s="1" t="n">
        <f aca="false">1/B3097</f>
        <v>0.00341122292341805</v>
      </c>
      <c r="D3097" s="1" t="n">
        <v>0.788</v>
      </c>
      <c r="E3097" s="1" t="n">
        <f aca="false">LN(D3097)</f>
        <v>-0.238257189124258</v>
      </c>
    </row>
    <row r="3098" customFormat="false" ht="15.75" hidden="false" customHeight="false" outlineLevel="0" collapsed="false">
      <c r="A3098" s="1" t="s">
        <v>863</v>
      </c>
      <c r="B3098" s="1" t="n">
        <v>303.15</v>
      </c>
      <c r="C3098" s="1" t="n">
        <f aca="false">1/B3098</f>
        <v>0.0032986970146792</v>
      </c>
      <c r="D3098" s="1" t="n">
        <v>0.691</v>
      </c>
      <c r="E3098" s="1" t="n">
        <f aca="false">LN(D3098)</f>
        <v>-0.369615455214467</v>
      </c>
    </row>
    <row r="3099" customFormat="false" ht="15.75" hidden="false" customHeight="false" outlineLevel="0" collapsed="false">
      <c r="A3099" s="1" t="s">
        <v>863</v>
      </c>
      <c r="B3099" s="1" t="n">
        <v>313.15</v>
      </c>
      <c r="C3099" s="1" t="n">
        <f aca="false">1/B3099</f>
        <v>0.00319335781574325</v>
      </c>
      <c r="D3099" s="1" t="n">
        <v>0.611</v>
      </c>
      <c r="E3099" s="1" t="n">
        <f aca="false">LN(D3099)</f>
        <v>-0.492658319810542</v>
      </c>
    </row>
    <row r="3100" customFormat="false" ht="15.75" hidden="false" customHeight="false" outlineLevel="0" collapsed="false">
      <c r="A3100" s="1" t="s">
        <v>865</v>
      </c>
      <c r="B3100" s="1" t="n">
        <v>279.86</v>
      </c>
      <c r="C3100" s="1" t="n">
        <f aca="false">1/B3100</f>
        <v>0.00357321517901808</v>
      </c>
      <c r="D3100" s="1" t="n">
        <v>1.2522</v>
      </c>
      <c r="E3100" s="1" t="n">
        <f aca="false">LN(D3100)</f>
        <v>0.224902004329073</v>
      </c>
    </row>
    <row r="3101" customFormat="false" ht="15.75" hidden="false" customHeight="false" outlineLevel="0" collapsed="false">
      <c r="A3101" s="1" t="s">
        <v>865</v>
      </c>
      <c r="B3101" s="1" t="n">
        <v>280.56</v>
      </c>
      <c r="C3101" s="1" t="n">
        <f aca="false">1/B3101</f>
        <v>0.0035642999714856</v>
      </c>
      <c r="D3101" s="1" t="n">
        <v>1.2346</v>
      </c>
      <c r="E3101" s="1" t="n">
        <f aca="false">LN(D3101)</f>
        <v>0.210747030977658</v>
      </c>
    </row>
    <row r="3102" customFormat="false" ht="15.75" hidden="false" customHeight="false" outlineLevel="0" collapsed="false">
      <c r="A3102" s="1" t="s">
        <v>865</v>
      </c>
      <c r="B3102" s="1" t="n">
        <v>281.26</v>
      </c>
      <c r="C3102" s="1" t="n">
        <f aca="false">1/B3102</f>
        <v>0.00355542914029723</v>
      </c>
      <c r="D3102" s="1" t="n">
        <v>1.2174</v>
      </c>
      <c r="E3102" s="1" t="n">
        <f aca="false">LN(D3102)</f>
        <v>0.196717437077687</v>
      </c>
    </row>
    <row r="3103" customFormat="false" ht="15.75" hidden="false" customHeight="false" outlineLevel="0" collapsed="false">
      <c r="A3103" s="1" t="s">
        <v>865</v>
      </c>
      <c r="B3103" s="1" t="n">
        <v>281.96</v>
      </c>
      <c r="C3103" s="1" t="n">
        <f aca="false">1/B3103</f>
        <v>0.00354660235494396</v>
      </c>
      <c r="D3103" s="1" t="n">
        <v>1.2006</v>
      </c>
      <c r="E3103" s="1" t="n">
        <f aca="false">LN(D3103)</f>
        <v>0.182821431835606</v>
      </c>
    </row>
    <row r="3104" customFormat="false" ht="15.75" hidden="false" customHeight="false" outlineLevel="0" collapsed="false">
      <c r="A3104" s="1" t="s">
        <v>865</v>
      </c>
      <c r="B3104" s="1" t="n">
        <v>282.66</v>
      </c>
      <c r="C3104" s="1" t="n">
        <f aca="false">1/B3104</f>
        <v>0.00353781928819076</v>
      </c>
      <c r="D3104" s="1" t="n">
        <v>1.1841</v>
      </c>
      <c r="E3104" s="1" t="n">
        <f aca="false">LN(D3104)</f>
        <v>0.168982992354774</v>
      </c>
    </row>
    <row r="3105" customFormat="false" ht="15.75" hidden="false" customHeight="false" outlineLevel="0" collapsed="false">
      <c r="A3105" s="1" t="s">
        <v>865</v>
      </c>
      <c r="B3105" s="1" t="n">
        <v>283.36</v>
      </c>
      <c r="C3105" s="1" t="n">
        <f aca="false">1/B3105</f>
        <v>0.00352907961603614</v>
      </c>
      <c r="D3105" s="1" t="n">
        <v>1.1679</v>
      </c>
      <c r="E3105" s="1" t="n">
        <f aca="false">LN(D3105)</f>
        <v>0.155207264302383</v>
      </c>
    </row>
    <row r="3106" customFormat="false" ht="15.75" hidden="false" customHeight="false" outlineLevel="0" collapsed="false">
      <c r="A3106" s="1" t="s">
        <v>865</v>
      </c>
      <c r="B3106" s="1" t="n">
        <v>284.06</v>
      </c>
      <c r="C3106" s="1" t="n">
        <f aca="false">1/B3106</f>
        <v>0.00352038301767232</v>
      </c>
      <c r="D3106" s="1" t="n">
        <v>1.1521</v>
      </c>
      <c r="E3106" s="1" t="n">
        <f aca="false">LN(D3106)</f>
        <v>0.141586364061871</v>
      </c>
    </row>
    <row r="3107" customFormat="false" ht="15.75" hidden="false" customHeight="false" outlineLevel="0" collapsed="false">
      <c r="A3107" s="1" t="s">
        <v>865</v>
      </c>
      <c r="B3107" s="1" t="n">
        <v>284.76</v>
      </c>
      <c r="C3107" s="1" t="n">
        <f aca="false">1/B3107</f>
        <v>0.00351172917544599</v>
      </c>
      <c r="D3107" s="1" t="n">
        <v>1.1366</v>
      </c>
      <c r="E3107" s="1" t="n">
        <f aca="false">LN(D3107)</f>
        <v>0.128041349880884</v>
      </c>
    </row>
    <row r="3108" customFormat="false" ht="15.75" hidden="false" customHeight="false" outlineLevel="0" collapsed="false">
      <c r="A3108" s="1" t="s">
        <v>865</v>
      </c>
      <c r="B3108" s="1" t="n">
        <v>285.46</v>
      </c>
      <c r="C3108" s="1" t="n">
        <f aca="false">1/B3108</f>
        <v>0.00350311777481959</v>
      </c>
      <c r="D3108" s="1" t="n">
        <v>1.1213</v>
      </c>
      <c r="E3108" s="1" t="n">
        <f aca="false">LN(D3108)</f>
        <v>0.114488726484698</v>
      </c>
    </row>
    <row r="3109" customFormat="false" ht="15.75" hidden="false" customHeight="false" outlineLevel="0" collapsed="false">
      <c r="A3109" s="1" t="s">
        <v>865</v>
      </c>
      <c r="B3109" s="1" t="n">
        <v>286.16</v>
      </c>
      <c r="C3109" s="1" t="n">
        <f aca="false">1/B3109</f>
        <v>0.00349454850433324</v>
      </c>
      <c r="D3109" s="1" t="n">
        <v>1.1064</v>
      </c>
      <c r="E3109" s="1" t="n">
        <f aca="false">LN(D3109)</f>
        <v>0.101111501368411</v>
      </c>
    </row>
    <row r="3110" customFormat="false" ht="15.75" hidden="false" customHeight="false" outlineLevel="0" collapsed="false">
      <c r="A3110" s="1" t="s">
        <v>865</v>
      </c>
      <c r="B3110" s="1" t="n">
        <v>286.86</v>
      </c>
      <c r="C3110" s="1" t="n">
        <f aca="false">1/B3110</f>
        <v>0.00348602105556718</v>
      </c>
      <c r="D3110" s="1" t="n">
        <v>1.0918</v>
      </c>
      <c r="E3110" s="1" t="n">
        <f aca="false">LN(D3110)</f>
        <v>0.0878277103655203</v>
      </c>
    </row>
    <row r="3111" customFormat="false" ht="15.75" hidden="false" customHeight="false" outlineLevel="0" collapsed="false">
      <c r="A3111" s="1" t="s">
        <v>865</v>
      </c>
      <c r="B3111" s="1" t="n">
        <v>287.56</v>
      </c>
      <c r="C3111" s="1" t="n">
        <f aca="false">1/B3111</f>
        <v>0.00347753512310474</v>
      </c>
      <c r="D3111" s="1" t="n">
        <v>1.0774</v>
      </c>
      <c r="E3111" s="1" t="n">
        <f aca="false">LN(D3111)</f>
        <v>0.0745507312642962</v>
      </c>
    </row>
    <row r="3112" customFormat="false" ht="15.75" hidden="false" customHeight="false" outlineLevel="0" collapsed="false">
      <c r="A3112" s="1" t="s">
        <v>865</v>
      </c>
      <c r="B3112" s="1" t="n">
        <v>288.26</v>
      </c>
      <c r="C3112" s="1" t="n">
        <f aca="false">1/B3112</f>
        <v>0.00346909040449594</v>
      </c>
      <c r="D3112" s="1" t="n">
        <v>1.0634</v>
      </c>
      <c r="E3112" s="1" t="n">
        <f aca="false">LN(D3112)</f>
        <v>0.061471322088101</v>
      </c>
    </row>
    <row r="3113" customFormat="false" ht="15.75" hidden="false" customHeight="false" outlineLevel="0" collapsed="false">
      <c r="A3113" s="1" t="s">
        <v>865</v>
      </c>
      <c r="B3113" s="1" t="n">
        <v>288.96</v>
      </c>
      <c r="C3113" s="1" t="n">
        <f aca="false">1/B3113</f>
        <v>0.00346068660022148</v>
      </c>
      <c r="D3113" s="1" t="n">
        <v>1.0496</v>
      </c>
      <c r="E3113" s="1" t="n">
        <f aca="false">LN(D3113)</f>
        <v>0.0484091392076876</v>
      </c>
    </row>
    <row r="3114" customFormat="false" ht="15.75" hidden="false" customHeight="false" outlineLevel="0" collapsed="false">
      <c r="A3114" s="1" t="s">
        <v>865</v>
      </c>
      <c r="B3114" s="1" t="n">
        <v>289.66</v>
      </c>
      <c r="C3114" s="1" t="n">
        <f aca="false">1/B3114</f>
        <v>0.00345232341365739</v>
      </c>
      <c r="D3114" s="1" t="n">
        <v>1.0361</v>
      </c>
      <c r="E3114" s="1" t="n">
        <f aca="false">LN(D3114)</f>
        <v>0.0354636642755691</v>
      </c>
    </row>
    <row r="3115" customFormat="false" ht="15.75" hidden="false" customHeight="false" outlineLevel="0" collapsed="false">
      <c r="A3115" s="1" t="s">
        <v>865</v>
      </c>
      <c r="B3115" s="1" t="n">
        <v>290.36</v>
      </c>
      <c r="C3115" s="1" t="n">
        <f aca="false">1/B3115</f>
        <v>0.00344400055104009</v>
      </c>
      <c r="D3115" s="1" t="n">
        <v>1.0228</v>
      </c>
      <c r="E3115" s="1" t="n">
        <f aca="false">LN(D3115)</f>
        <v>0.0225439644348944</v>
      </c>
    </row>
    <row r="3116" customFormat="false" ht="15.75" hidden="false" customHeight="false" outlineLevel="0" collapsed="false">
      <c r="A3116" s="1" t="s">
        <v>865</v>
      </c>
      <c r="B3116" s="1" t="n">
        <v>291.06</v>
      </c>
      <c r="C3116" s="1" t="n">
        <f aca="false">1/B3116</f>
        <v>0.00343571772143201</v>
      </c>
      <c r="D3116" s="1" t="n">
        <v>1.0098</v>
      </c>
      <c r="E3116" s="1" t="n">
        <f aca="false">LN(D3116)</f>
        <v>0.0097522914426783</v>
      </c>
    </row>
    <row r="3117" customFormat="false" ht="15.75" hidden="false" customHeight="false" outlineLevel="0" collapsed="false">
      <c r="A3117" s="1" t="s">
        <v>865</v>
      </c>
      <c r="B3117" s="1" t="n">
        <v>291.76</v>
      </c>
      <c r="C3117" s="1" t="n">
        <f aca="false">1/B3117</f>
        <v>0.00342747463668769</v>
      </c>
      <c r="D3117" s="1" t="n">
        <v>0.99704</v>
      </c>
      <c r="E3117" s="1" t="n">
        <f aca="false">LN(D3117)</f>
        <v>-0.0029643894640156</v>
      </c>
    </row>
    <row r="3118" customFormat="false" ht="15.75" hidden="false" customHeight="false" outlineLevel="0" collapsed="false">
      <c r="A3118" s="1" t="s">
        <v>865</v>
      </c>
      <c r="B3118" s="1" t="n">
        <v>292.46</v>
      </c>
      <c r="C3118" s="1" t="n">
        <f aca="false">1/B3118</f>
        <v>0.00341927101142037</v>
      </c>
      <c r="D3118" s="1" t="n">
        <v>0.98453</v>
      </c>
      <c r="E3118" s="1" t="n">
        <f aca="false">LN(D3118)</f>
        <v>-0.0155909090462534</v>
      </c>
    </row>
    <row r="3119" customFormat="false" ht="15.75" hidden="false" customHeight="false" outlineLevel="0" collapsed="false">
      <c r="A3119" s="1" t="s">
        <v>865</v>
      </c>
      <c r="B3119" s="1" t="n">
        <v>293.16</v>
      </c>
      <c r="C3119" s="1" t="n">
        <f aca="false">1/B3119</f>
        <v>0.00341110656296903</v>
      </c>
      <c r="D3119" s="1" t="n">
        <v>0.97224</v>
      </c>
      <c r="E3119" s="1" t="n">
        <f aca="false">LN(D3119)</f>
        <v>-0.0281525914195922</v>
      </c>
    </row>
    <row r="3120" customFormat="false" ht="15.75" hidden="false" customHeight="false" outlineLevel="0" collapsed="false">
      <c r="A3120" s="1" t="s">
        <v>865</v>
      </c>
      <c r="B3120" s="1" t="n">
        <v>293.86</v>
      </c>
      <c r="C3120" s="1" t="n">
        <f aca="false">1/B3120</f>
        <v>0.00340298101136596</v>
      </c>
      <c r="D3120" s="1" t="n">
        <v>0.96019</v>
      </c>
      <c r="E3120" s="1" t="n">
        <f aca="false">LN(D3120)</f>
        <v>-0.0406240974365081</v>
      </c>
    </row>
    <row r="3121" customFormat="false" ht="15.75" hidden="false" customHeight="false" outlineLevel="0" collapsed="false">
      <c r="A3121" s="1" t="s">
        <v>865</v>
      </c>
      <c r="B3121" s="1" t="n">
        <v>294.56</v>
      </c>
      <c r="C3121" s="1" t="n">
        <f aca="false">1/B3121</f>
        <v>0.00339489407930473</v>
      </c>
      <c r="D3121" s="1" t="n">
        <v>0.94837</v>
      </c>
      <c r="E3121" s="1" t="n">
        <f aca="false">LN(D3121)</f>
        <v>-0.0530105575138868</v>
      </c>
    </row>
    <row r="3122" customFormat="false" ht="15.75" hidden="false" customHeight="false" outlineLevel="0" collapsed="false">
      <c r="A3122" s="1" t="s">
        <v>865</v>
      </c>
      <c r="B3122" s="1" t="n">
        <v>295.27</v>
      </c>
      <c r="C3122" s="1" t="n">
        <f aca="false">1/B3122</f>
        <v>0.0033867307887696</v>
      </c>
      <c r="D3122" s="1" t="n">
        <v>0.93677</v>
      </c>
      <c r="E3122" s="1" t="n">
        <f aca="false">LN(D3122)</f>
        <v>-0.0653174911225929</v>
      </c>
    </row>
    <row r="3123" customFormat="false" ht="15.75" hidden="false" customHeight="false" outlineLevel="0" collapsed="false">
      <c r="A3123" s="1" t="s">
        <v>865</v>
      </c>
      <c r="B3123" s="1" t="n">
        <v>295.97</v>
      </c>
      <c r="C3123" s="1" t="n">
        <f aca="false">1/B3123</f>
        <v>0.00337872081629895</v>
      </c>
      <c r="D3123" s="1" t="n">
        <v>0.92538</v>
      </c>
      <c r="E3123" s="1" t="n">
        <f aca="false">LN(D3123)</f>
        <v>-0.0775508150185591</v>
      </c>
    </row>
    <row r="3124" customFormat="false" ht="15.75" hidden="false" customHeight="false" outlineLevel="0" collapsed="false">
      <c r="A3124" s="1" t="s">
        <v>865</v>
      </c>
      <c r="B3124" s="1" t="n">
        <v>296.67</v>
      </c>
      <c r="C3124" s="1" t="n">
        <f aca="false">1/B3124</f>
        <v>0.00337074864327367</v>
      </c>
      <c r="D3124" s="1" t="n">
        <v>0.9142</v>
      </c>
      <c r="E3124" s="1" t="n">
        <f aca="false">LN(D3124)</f>
        <v>-0.089705913084493</v>
      </c>
    </row>
    <row r="3125" customFormat="false" ht="15.75" hidden="false" customHeight="false" outlineLevel="0" collapsed="false">
      <c r="A3125" s="1" t="s">
        <v>865</v>
      </c>
      <c r="B3125" s="1" t="n">
        <v>297.37</v>
      </c>
      <c r="C3125" s="1" t="n">
        <f aca="false">1/B3125</f>
        <v>0.00336281400275751</v>
      </c>
      <c r="D3125" s="1" t="n">
        <v>0.90322</v>
      </c>
      <c r="E3125" s="1" t="n">
        <f aca="false">LN(D3125)</f>
        <v>-0.101789122902034</v>
      </c>
    </row>
    <row r="3126" customFormat="false" ht="15.75" hidden="false" customHeight="false" outlineLevel="0" collapsed="false">
      <c r="A3126" s="1" t="s">
        <v>865</v>
      </c>
      <c r="B3126" s="1" t="n">
        <v>298.07</v>
      </c>
      <c r="C3126" s="1" t="n">
        <f aca="false">1/B3126</f>
        <v>0.00335491663032174</v>
      </c>
      <c r="D3126" s="1" t="n">
        <v>0.89245</v>
      </c>
      <c r="E3126" s="1" t="n">
        <f aca="false">LN(D3126)</f>
        <v>-0.11378478930662</v>
      </c>
    </row>
    <row r="3127" customFormat="false" ht="15.75" hidden="false" customHeight="false" outlineLevel="0" collapsed="false">
      <c r="A3127" s="1" t="s">
        <v>865</v>
      </c>
      <c r="B3127" s="1" t="n">
        <v>298.77</v>
      </c>
      <c r="C3127" s="1" t="n">
        <f aca="false">1/B3127</f>
        <v>0.0033470562640158</v>
      </c>
      <c r="D3127" s="1" t="n">
        <v>0.88187</v>
      </c>
      <c r="E3127" s="1" t="n">
        <f aca="false">LN(D3127)</f>
        <v>-0.125710626128906</v>
      </c>
    </row>
    <row r="3128" customFormat="false" ht="15.75" hidden="false" customHeight="false" outlineLevel="0" collapsed="false">
      <c r="A3128" s="1" t="s">
        <v>865</v>
      </c>
      <c r="B3128" s="1" t="n">
        <v>299.47</v>
      </c>
      <c r="C3128" s="1" t="n">
        <f aca="false">1/B3128</f>
        <v>0.00333923264433833</v>
      </c>
      <c r="D3128" s="1" t="n">
        <v>0.87148</v>
      </c>
      <c r="E3128" s="1" t="n">
        <f aca="false">LN(D3128)</f>
        <v>-0.137562363224004</v>
      </c>
    </row>
    <row r="3129" customFormat="false" ht="15.75" hidden="false" customHeight="false" outlineLevel="0" collapsed="false">
      <c r="A3129" s="1" t="s">
        <v>865</v>
      </c>
      <c r="B3129" s="1" t="n">
        <v>300.17</v>
      </c>
      <c r="C3129" s="1" t="n">
        <f aca="false">1/B3129</f>
        <v>0.00333144551420861</v>
      </c>
      <c r="D3129" s="1" t="n">
        <v>0.86128</v>
      </c>
      <c r="E3129" s="1" t="n">
        <f aca="false">LN(D3129)</f>
        <v>-0.14933562416949</v>
      </c>
    </row>
    <row r="3130" customFormat="false" ht="15.75" hidden="false" customHeight="false" outlineLevel="0" collapsed="false">
      <c r="A3130" s="1" t="s">
        <v>865</v>
      </c>
      <c r="B3130" s="1" t="n">
        <v>300.87</v>
      </c>
      <c r="C3130" s="1" t="n">
        <f aca="false">1/B3130</f>
        <v>0.00332369461893841</v>
      </c>
      <c r="D3130" s="1" t="n">
        <v>0.85126</v>
      </c>
      <c r="E3130" s="1" t="n">
        <f aca="false">LN(D3130)</f>
        <v>-0.161037674157166</v>
      </c>
    </row>
    <row r="3131" customFormat="false" ht="15.75" hidden="false" customHeight="false" outlineLevel="0" collapsed="false">
      <c r="A3131" s="1" t="s">
        <v>865</v>
      </c>
      <c r="B3131" s="1" t="n">
        <v>301.57</v>
      </c>
      <c r="C3131" s="1" t="n">
        <f aca="false">1/B3131</f>
        <v>0.0033159797062042</v>
      </c>
      <c r="D3131" s="1" t="n">
        <v>0.84142</v>
      </c>
      <c r="E3131" s="1" t="n">
        <f aca="false">LN(D3131)</f>
        <v>-0.172664338200919</v>
      </c>
    </row>
    <row r="3132" customFormat="false" ht="15.75" hidden="false" customHeight="false" outlineLevel="0" collapsed="false">
      <c r="A3132" s="1" t="s">
        <v>865</v>
      </c>
      <c r="B3132" s="1" t="n">
        <v>302.27</v>
      </c>
      <c r="C3132" s="1" t="n">
        <f aca="false">1/B3132</f>
        <v>0.00330830052601978</v>
      </c>
      <c r="D3132" s="1" t="n">
        <v>0.83175</v>
      </c>
      <c r="E3132" s="1" t="n">
        <f aca="false">LN(D3132)</f>
        <v>-0.184223364083551</v>
      </c>
    </row>
    <row r="3133" customFormat="false" ht="15.75" hidden="false" customHeight="false" outlineLevel="0" collapsed="false">
      <c r="A3133" s="1" t="s">
        <v>865</v>
      </c>
      <c r="B3133" s="1" t="n">
        <v>302.97</v>
      </c>
      <c r="C3133" s="1" t="n">
        <f aca="false">1/B3133</f>
        <v>0.00330065683070931</v>
      </c>
      <c r="D3133" s="1" t="n">
        <v>0.82226</v>
      </c>
      <c r="E3133" s="1" t="n">
        <f aca="false">LN(D3133)</f>
        <v>-0.195698632235632</v>
      </c>
    </row>
    <row r="3134" customFormat="false" ht="15.75" hidden="false" customHeight="false" outlineLevel="0" collapsed="false">
      <c r="A3134" s="1" t="s">
        <v>865</v>
      </c>
      <c r="B3134" s="1" t="n">
        <v>303.67</v>
      </c>
      <c r="C3134" s="1" t="n">
        <f aca="false">1/B3134</f>
        <v>0.00329304837488063</v>
      </c>
      <c r="D3134" s="1" t="n">
        <v>0.81293</v>
      </c>
      <c r="E3134" s="1" t="n">
        <f aca="false">LN(D3134)</f>
        <v>-0.207110274002227</v>
      </c>
    </row>
    <row r="3135" customFormat="false" ht="15.75" hidden="false" customHeight="false" outlineLevel="0" collapsed="false">
      <c r="A3135" s="1" t="s">
        <v>865</v>
      </c>
      <c r="B3135" s="1" t="n">
        <v>304.37</v>
      </c>
      <c r="C3135" s="1" t="n">
        <f aca="false">1/B3135</f>
        <v>0.00328547491539902</v>
      </c>
      <c r="D3135" s="1" t="n">
        <v>0.80376</v>
      </c>
      <c r="E3135" s="1" t="n">
        <f aca="false">LN(D3135)</f>
        <v>-0.218454561828078</v>
      </c>
    </row>
    <row r="3136" customFormat="false" ht="15.75" hidden="false" customHeight="false" outlineLevel="0" collapsed="false">
      <c r="A3136" s="1" t="s">
        <v>865</v>
      </c>
      <c r="B3136" s="1" t="n">
        <v>305.07</v>
      </c>
      <c r="C3136" s="1" t="n">
        <f aca="false">1/B3136</f>
        <v>0.00327793621136133</v>
      </c>
      <c r="D3136" s="1" t="n">
        <v>0.79475</v>
      </c>
      <c r="E3136" s="1" t="n">
        <f aca="false">LN(D3136)</f>
        <v>-0.229727679191225</v>
      </c>
    </row>
    <row r="3137" customFormat="false" ht="15.75" hidden="false" customHeight="false" outlineLevel="0" collapsed="false">
      <c r="A3137" s="1" t="s">
        <v>865</v>
      </c>
      <c r="B3137" s="1" t="n">
        <v>305.77</v>
      </c>
      <c r="C3137" s="1" t="n">
        <f aca="false">1/B3137</f>
        <v>0.00327043202407038</v>
      </c>
      <c r="D3137" s="1" t="n">
        <v>0.78589</v>
      </c>
      <c r="E3137" s="1" t="n">
        <f aca="false">LN(D3137)</f>
        <v>-0.240938445456136</v>
      </c>
    </row>
    <row r="3138" customFormat="false" ht="15.75" hidden="false" customHeight="false" outlineLevel="0" collapsed="false">
      <c r="A3138" s="1" t="s">
        <v>865</v>
      </c>
      <c r="B3138" s="1" t="n">
        <v>306.47</v>
      </c>
      <c r="C3138" s="1" t="n">
        <f aca="false">1/B3138</f>
        <v>0.00326296211700982</v>
      </c>
      <c r="D3138" s="1" t="n">
        <v>0.77719</v>
      </c>
      <c r="E3138" s="1" t="n">
        <f aca="false">LN(D3138)</f>
        <v>-0.252070428262607</v>
      </c>
    </row>
    <row r="3139" customFormat="false" ht="15.75" hidden="false" customHeight="false" outlineLevel="0" collapsed="false">
      <c r="A3139" s="1" t="s">
        <v>865</v>
      </c>
      <c r="B3139" s="1" t="n">
        <v>307.17</v>
      </c>
      <c r="C3139" s="1" t="n">
        <f aca="false">1/B3139</f>
        <v>0.00325552625581925</v>
      </c>
      <c r="D3139" s="1" t="n">
        <v>0.76863</v>
      </c>
      <c r="E3139" s="1" t="n">
        <f aca="false">LN(D3139)</f>
        <v>-0.263145569606877</v>
      </c>
    </row>
    <row r="3140" customFormat="false" ht="15.75" hidden="false" customHeight="false" outlineLevel="0" collapsed="false">
      <c r="A3140" s="1" t="s">
        <v>865</v>
      </c>
      <c r="B3140" s="1" t="n">
        <v>307.87</v>
      </c>
      <c r="C3140" s="1" t="n">
        <f aca="false">1/B3140</f>
        <v>0.00324812420826972</v>
      </c>
      <c r="D3140" s="1" t="n">
        <v>0.76022</v>
      </c>
      <c r="E3140" s="1" t="n">
        <f aca="false">LN(D3140)</f>
        <v>-0.274147413906973</v>
      </c>
    </row>
    <row r="3141" customFormat="false" ht="15.75" hidden="false" customHeight="false" outlineLevel="0" collapsed="false">
      <c r="A3141" s="1" t="s">
        <v>865</v>
      </c>
      <c r="B3141" s="1" t="n">
        <v>308.57</v>
      </c>
      <c r="C3141" s="1" t="n">
        <f aca="false">1/B3141</f>
        <v>0.00324075574423956</v>
      </c>
      <c r="D3141" s="1" t="n">
        <v>0.75194</v>
      </c>
      <c r="E3141" s="1" t="n">
        <f aca="false">LN(D3141)</f>
        <v>-0.28509874544951</v>
      </c>
    </row>
    <row r="3142" customFormat="false" ht="15.75" hidden="false" customHeight="false" outlineLevel="0" collapsed="false">
      <c r="A3142" s="1" t="s">
        <v>865</v>
      </c>
      <c r="B3142" s="1" t="n">
        <v>309.27</v>
      </c>
      <c r="C3142" s="1" t="n">
        <f aca="false">1/B3142</f>
        <v>0.0032334206356905</v>
      </c>
      <c r="D3142" s="1" t="n">
        <v>0.74381</v>
      </c>
      <c r="E3142" s="1" t="n">
        <f aca="false">LN(D3142)</f>
        <v>-0.295969653107222</v>
      </c>
    </row>
    <row r="3143" customFormat="false" ht="15.75" hidden="false" customHeight="false" outlineLevel="0" collapsed="false">
      <c r="A3143" s="1" t="s">
        <v>865</v>
      </c>
      <c r="B3143" s="1" t="n">
        <v>309.97</v>
      </c>
      <c r="C3143" s="1" t="n">
        <f aca="false">1/B3143</f>
        <v>0.00322611865664419</v>
      </c>
      <c r="D3143" s="1" t="n">
        <v>0.73581</v>
      </c>
      <c r="E3143" s="1" t="n">
        <f aca="false">LN(D3143)</f>
        <v>-0.306783345754182</v>
      </c>
    </row>
    <row r="3144" customFormat="false" ht="15.75" hidden="false" customHeight="false" outlineLevel="0" collapsed="false">
      <c r="A3144" s="1" t="s">
        <v>865</v>
      </c>
      <c r="B3144" s="1" t="n">
        <v>310.67</v>
      </c>
      <c r="C3144" s="1" t="n">
        <f aca="false">1/B3144</f>
        <v>0.00321884958315898</v>
      </c>
      <c r="D3144" s="1" t="n">
        <v>0.72794</v>
      </c>
      <c r="E3144" s="1" t="n">
        <f aca="false">LN(D3144)</f>
        <v>-0.317536651764384</v>
      </c>
    </row>
    <row r="3145" customFormat="false" ht="15.75" hidden="false" customHeight="false" outlineLevel="0" collapsed="false">
      <c r="A3145" s="1" t="s">
        <v>865</v>
      </c>
      <c r="B3145" s="1" t="n">
        <v>311.37</v>
      </c>
      <c r="C3145" s="1" t="n">
        <f aca="false">1/B3145</f>
        <v>0.003211613193307</v>
      </c>
      <c r="D3145" s="1" t="n">
        <v>0.72021</v>
      </c>
      <c r="E3145" s="1" t="n">
        <f aca="false">LN(D3145)</f>
        <v>-0.328212442831823</v>
      </c>
    </row>
    <row r="3146" customFormat="false" ht="15.75" hidden="false" customHeight="false" outlineLevel="0" collapsed="false">
      <c r="A3146" s="1" t="s">
        <v>865</v>
      </c>
      <c r="B3146" s="1" t="n">
        <v>312.07</v>
      </c>
      <c r="C3146" s="1" t="n">
        <f aca="false">1/B3146</f>
        <v>0.0032044092671516</v>
      </c>
      <c r="D3146" s="1" t="n">
        <v>0.71259</v>
      </c>
      <c r="E3146" s="1" t="n">
        <f aca="false">LN(D3146)</f>
        <v>-0.338849059027025</v>
      </c>
    </row>
    <row r="3147" customFormat="false" ht="15.75" hidden="false" customHeight="false" outlineLevel="0" collapsed="false">
      <c r="A3147" s="1" t="s">
        <v>865</v>
      </c>
      <c r="B3147" s="1" t="n">
        <v>312.77</v>
      </c>
      <c r="C3147" s="1" t="n">
        <f aca="false">1/B3147</f>
        <v>0.00319723758672507</v>
      </c>
      <c r="D3147" s="1" t="n">
        <v>0.7051</v>
      </c>
      <c r="E3147" s="1" t="n">
        <f aca="false">LN(D3147)</f>
        <v>-0.349415642257142</v>
      </c>
    </row>
    <row r="3148" customFormat="false" ht="15.75" hidden="false" customHeight="false" outlineLevel="0" collapsed="false">
      <c r="A3148" s="1" t="s">
        <v>865</v>
      </c>
      <c r="B3148" s="1" t="n">
        <v>313.47</v>
      </c>
      <c r="C3148" s="1" t="n">
        <f aca="false">1/B3148</f>
        <v>0.00319009793600663</v>
      </c>
      <c r="D3148" s="1" t="n">
        <v>0.69774</v>
      </c>
      <c r="E3148" s="1" t="n">
        <f aca="false">LN(D3148)</f>
        <v>-0.35990873844913</v>
      </c>
    </row>
    <row r="3149" customFormat="false" ht="15.75" hidden="false" customHeight="false" outlineLevel="0" collapsed="false">
      <c r="A3149" s="1" t="s">
        <v>865</v>
      </c>
      <c r="B3149" s="1" t="n">
        <v>314.17</v>
      </c>
      <c r="C3149" s="1" t="n">
        <f aca="false">1/B3149</f>
        <v>0.00318299010090079</v>
      </c>
      <c r="D3149" s="1" t="n">
        <v>0.69048</v>
      </c>
      <c r="E3149" s="1" t="n">
        <f aca="false">LN(D3149)</f>
        <v>-0.370368271070735</v>
      </c>
    </row>
    <row r="3150" customFormat="false" ht="15.75" hidden="false" customHeight="false" outlineLevel="0" collapsed="false">
      <c r="A3150" s="1" t="s">
        <v>865</v>
      </c>
      <c r="B3150" s="1" t="n">
        <v>314.87</v>
      </c>
      <c r="C3150" s="1" t="n">
        <f aca="false">1/B3150</f>
        <v>0.00317591386921587</v>
      </c>
      <c r="D3150" s="1" t="n">
        <v>0.68335</v>
      </c>
      <c r="E3150" s="1" t="n">
        <f aca="false">LN(D3150)</f>
        <v>-0.380748105571328</v>
      </c>
    </row>
    <row r="3151" customFormat="false" ht="15.75" hidden="false" customHeight="false" outlineLevel="0" collapsed="false">
      <c r="A3151" s="1" t="s">
        <v>865</v>
      </c>
      <c r="B3151" s="1" t="n">
        <v>315.57</v>
      </c>
      <c r="C3151" s="1" t="n">
        <f aca="false">1/B3151</f>
        <v>0.00316886903064296</v>
      </c>
      <c r="D3151" s="1" t="n">
        <v>0.67632</v>
      </c>
      <c r="E3151" s="1" t="n">
        <f aca="false">LN(D3151)</f>
        <v>-0.391088942163657</v>
      </c>
    </row>
    <row r="3152" customFormat="false" ht="15.75" hidden="false" customHeight="false" outlineLevel="0" collapsed="false">
      <c r="A3152" s="1" t="s">
        <v>865</v>
      </c>
      <c r="B3152" s="1" t="n">
        <v>316.27</v>
      </c>
      <c r="C3152" s="1" t="n">
        <f aca="false">1/B3152</f>
        <v>0.00316185537673507</v>
      </c>
      <c r="D3152" s="1" t="n">
        <v>0.66941</v>
      </c>
      <c r="E3152" s="1" t="n">
        <f aca="false">LN(D3152)</f>
        <v>-0.401358551565373</v>
      </c>
    </row>
    <row r="3153" customFormat="false" ht="15.75" hidden="false" customHeight="false" outlineLevel="0" collapsed="false">
      <c r="A3153" s="1" t="s">
        <v>865</v>
      </c>
      <c r="B3153" s="1" t="n">
        <v>316.97</v>
      </c>
      <c r="C3153" s="1" t="n">
        <f aca="false">1/B3153</f>
        <v>0.00315487270088652</v>
      </c>
      <c r="D3153" s="1" t="n">
        <v>0.66261</v>
      </c>
      <c r="E3153" s="1" t="n">
        <f aca="false">LN(D3153)</f>
        <v>-0.41156869716865</v>
      </c>
    </row>
    <row r="3154" customFormat="false" ht="15.75" hidden="false" customHeight="false" outlineLevel="0" collapsed="false">
      <c r="A3154" s="1" t="s">
        <v>865</v>
      </c>
      <c r="B3154" s="1" t="n">
        <v>317.67</v>
      </c>
      <c r="C3154" s="1" t="n">
        <f aca="false">1/B3154</f>
        <v>0.00314792079831271</v>
      </c>
      <c r="D3154" s="1" t="n">
        <v>0.6559</v>
      </c>
      <c r="E3154" s="1" t="n">
        <f aca="false">LN(D3154)</f>
        <v>-0.421746940682447</v>
      </c>
    </row>
    <row r="3155" customFormat="false" ht="15.75" hidden="false" customHeight="false" outlineLevel="0" collapsed="false">
      <c r="A3155" s="1" t="s">
        <v>865</v>
      </c>
      <c r="B3155" s="1" t="n">
        <v>318.37</v>
      </c>
      <c r="C3155" s="1" t="n">
        <f aca="false">1/B3155</f>
        <v>0.00314099946603009</v>
      </c>
      <c r="D3155" s="1" t="n">
        <v>0.64931</v>
      </c>
      <c r="E3155" s="1" t="n">
        <f aca="false">LN(D3155)</f>
        <v>-0.431845018385</v>
      </c>
    </row>
    <row r="3156" customFormat="false" ht="15.75" hidden="false" customHeight="false" outlineLevel="0" collapsed="false">
      <c r="A3156" s="1" t="s">
        <v>865</v>
      </c>
      <c r="B3156" s="1" t="n">
        <v>319.07</v>
      </c>
      <c r="C3156" s="1" t="n">
        <f aca="false">1/B3156</f>
        <v>0.00313410850283637</v>
      </c>
      <c r="D3156" s="1" t="n">
        <v>0.64281</v>
      </c>
      <c r="E3156" s="1" t="n">
        <f aca="false">LN(D3156)</f>
        <v>-0.441906088301393</v>
      </c>
    </row>
    <row r="3157" customFormat="false" ht="15.75" hidden="false" customHeight="false" outlineLevel="0" collapsed="false">
      <c r="A3157" s="1" t="s">
        <v>865</v>
      </c>
      <c r="B3157" s="1" t="n">
        <v>319.77</v>
      </c>
      <c r="C3157" s="1" t="n">
        <f aca="false">1/B3157</f>
        <v>0.00312724770929105</v>
      </c>
      <c r="D3157" s="1" t="n">
        <v>0.63641</v>
      </c>
      <c r="E3157" s="1" t="n">
        <f aca="false">LN(D3157)</f>
        <v>-0.451912269254153</v>
      </c>
    </row>
    <row r="3158" customFormat="false" ht="15.75" hidden="false" customHeight="false" outlineLevel="0" collapsed="false">
      <c r="A3158" s="1" t="s">
        <v>865</v>
      </c>
      <c r="B3158" s="1" t="n">
        <v>320.47</v>
      </c>
      <c r="C3158" s="1" t="n">
        <f aca="false">1/B3158</f>
        <v>0.0031204168876962</v>
      </c>
      <c r="D3158" s="1" t="n">
        <v>0.63011</v>
      </c>
      <c r="E3158" s="1" t="n">
        <f aca="false">LN(D3158)</f>
        <v>-0.461860871663316</v>
      </c>
    </row>
    <row r="3159" customFormat="false" ht="15.75" hidden="false" customHeight="false" outlineLevel="0" collapsed="false">
      <c r="A3159" s="1" t="s">
        <v>865</v>
      </c>
      <c r="B3159" s="1" t="n">
        <v>321.17</v>
      </c>
      <c r="C3159" s="1" t="n">
        <f aca="false">1/B3159</f>
        <v>0.0031136158420774</v>
      </c>
      <c r="D3159" s="1" t="n">
        <v>0.6239</v>
      </c>
      <c r="E3159" s="1" t="n">
        <f aca="false">LN(D3159)</f>
        <v>-0.471765179865396</v>
      </c>
    </row>
    <row r="3160" customFormat="false" ht="15.75" hidden="false" customHeight="false" outlineLevel="0" collapsed="false">
      <c r="A3160" s="1" t="s">
        <v>865</v>
      </c>
      <c r="B3160" s="1" t="n">
        <v>321.87</v>
      </c>
      <c r="C3160" s="1" t="n">
        <f aca="false">1/B3160</f>
        <v>0.0031068443781651</v>
      </c>
      <c r="D3160" s="1" t="n">
        <v>0.61779</v>
      </c>
      <c r="E3160" s="1" t="n">
        <f aca="false">LN(D3160)</f>
        <v>-0.481606685096771</v>
      </c>
    </row>
    <row r="3161" customFormat="false" ht="15.75" hidden="false" customHeight="false" outlineLevel="0" collapsed="false">
      <c r="A3161" s="1" t="s">
        <v>865</v>
      </c>
      <c r="B3161" s="1" t="n">
        <v>322.57</v>
      </c>
      <c r="C3161" s="1" t="n">
        <f aca="false">1/B3161</f>
        <v>0.00310010230337601</v>
      </c>
      <c r="D3161" s="1" t="n">
        <v>0.61176</v>
      </c>
      <c r="E3161" s="1" t="n">
        <f aca="false">LN(D3161)</f>
        <v>-0.491415230246167</v>
      </c>
    </row>
    <row r="3162" customFormat="false" ht="15.75" hidden="false" customHeight="false" outlineLevel="0" collapsed="false">
      <c r="A3162" s="1" t="s">
        <v>865</v>
      </c>
      <c r="B3162" s="1" t="n">
        <v>323.27</v>
      </c>
      <c r="C3162" s="1" t="n">
        <f aca="false">1/B3162</f>
        <v>0.00309338942679494</v>
      </c>
      <c r="D3162" s="1" t="n">
        <v>0.60583</v>
      </c>
      <c r="E3162" s="1" t="n">
        <f aca="false">LN(D3162)</f>
        <v>-0.501155860320982</v>
      </c>
    </row>
    <row r="3163" customFormat="false" ht="15.75" hidden="false" customHeight="false" outlineLevel="0" collapsed="false">
      <c r="A3163" s="1" t="s">
        <v>865</v>
      </c>
      <c r="B3163" s="1" t="n">
        <v>323.97</v>
      </c>
      <c r="C3163" s="1" t="n">
        <f aca="false">1/B3163</f>
        <v>0.00308670555915671</v>
      </c>
      <c r="D3163" s="1" t="n">
        <v>0.59998</v>
      </c>
      <c r="E3163" s="1" t="n">
        <f aca="false">LN(D3163)</f>
        <v>-0.510858957654892</v>
      </c>
    </row>
    <row r="3164" customFormat="false" ht="15.75" hidden="false" customHeight="false" outlineLevel="0" collapsed="false">
      <c r="A3164" s="1" t="s">
        <v>865</v>
      </c>
      <c r="B3164" s="1" t="n">
        <v>324.67</v>
      </c>
      <c r="C3164" s="1" t="n">
        <f aca="false">1/B3164</f>
        <v>0.00308005051282841</v>
      </c>
      <c r="D3164" s="1" t="n">
        <v>0.59421</v>
      </c>
      <c r="E3164" s="1" t="n">
        <f aca="false">LN(D3164)</f>
        <v>-0.520522486744855</v>
      </c>
    </row>
    <row r="3165" customFormat="false" ht="15.75" hidden="false" customHeight="false" outlineLevel="0" collapsed="false">
      <c r="A3165" s="1" t="s">
        <v>865</v>
      </c>
      <c r="B3165" s="1" t="n">
        <v>325.38</v>
      </c>
      <c r="C3165" s="1" t="n">
        <f aca="false">1/B3165</f>
        <v>0.00307332964533776</v>
      </c>
      <c r="D3165" s="1" t="n">
        <v>0.58853</v>
      </c>
      <c r="E3165" s="1" t="n">
        <f aca="false">LN(D3165)</f>
        <v>-0.530127376520769</v>
      </c>
    </row>
    <row r="3166" customFormat="false" ht="15.75" hidden="false" customHeight="false" outlineLevel="0" collapsed="false">
      <c r="A3166" s="1" t="s">
        <v>865</v>
      </c>
      <c r="B3166" s="1" t="n">
        <v>326.08</v>
      </c>
      <c r="C3166" s="1" t="n">
        <f aca="false">1/B3166</f>
        <v>0.00306673209028459</v>
      </c>
      <c r="D3166" s="1" t="n">
        <v>0.58293</v>
      </c>
      <c r="E3166" s="1" t="n">
        <f aca="false">LN(D3166)</f>
        <v>-0.539688168451092</v>
      </c>
    </row>
    <row r="3167" customFormat="false" ht="15.75" hidden="false" customHeight="false" outlineLevel="0" collapsed="false">
      <c r="A3167" s="1" t="s">
        <v>865</v>
      </c>
      <c r="B3167" s="1" t="n">
        <v>326.78</v>
      </c>
      <c r="C3167" s="1" t="n">
        <f aca="false">1/B3167</f>
        <v>0.003060162800661</v>
      </c>
      <c r="D3167" s="1" t="n">
        <v>0.57741</v>
      </c>
      <c r="E3167" s="1" t="n">
        <f aca="false">LN(D3167)</f>
        <v>-0.549202692886995</v>
      </c>
    </row>
    <row r="3168" customFormat="false" ht="15.75" hidden="false" customHeight="false" outlineLevel="0" collapsed="false">
      <c r="A3168" s="1" t="s">
        <v>865</v>
      </c>
      <c r="B3168" s="1" t="n">
        <v>327.48</v>
      </c>
      <c r="C3168" s="1" t="n">
        <f aca="false">1/B3168</f>
        <v>0.00305362159521192</v>
      </c>
      <c r="D3168" s="1" t="n">
        <v>0.57197</v>
      </c>
      <c r="E3168" s="1" t="n">
        <f aca="false">LN(D3168)</f>
        <v>-0.558668736530208</v>
      </c>
    </row>
    <row r="3169" customFormat="false" ht="15.75" hidden="false" customHeight="false" outlineLevel="0" collapsed="false">
      <c r="A3169" s="1" t="s">
        <v>865</v>
      </c>
      <c r="B3169" s="1" t="n">
        <v>328.18</v>
      </c>
      <c r="C3169" s="1" t="n">
        <f aca="false">1/B3169</f>
        <v>0.00304710829422878</v>
      </c>
      <c r="D3169" s="1" t="n">
        <v>0.56661</v>
      </c>
      <c r="E3169" s="1" t="n">
        <f aca="false">LN(D3169)</f>
        <v>-0.568084042606273</v>
      </c>
    </row>
    <row r="3170" customFormat="false" ht="15.75" hidden="false" customHeight="false" outlineLevel="0" collapsed="false">
      <c r="A3170" s="1" t="s">
        <v>865</v>
      </c>
      <c r="B3170" s="1" t="n">
        <v>328.88</v>
      </c>
      <c r="C3170" s="1" t="n">
        <f aca="false">1/B3170</f>
        <v>0.00304062271953296</v>
      </c>
      <c r="D3170" s="1" t="n">
        <v>0.56131</v>
      </c>
      <c r="E3170" s="1" t="n">
        <f aca="false">LN(D3170)</f>
        <v>-0.577481941407897</v>
      </c>
    </row>
    <row r="3171" customFormat="false" ht="15.75" hidden="false" customHeight="false" outlineLevel="0" collapsed="false">
      <c r="A3171" s="1" t="s">
        <v>865</v>
      </c>
      <c r="B3171" s="1" t="n">
        <v>329.58</v>
      </c>
      <c r="C3171" s="1" t="n">
        <f aca="false">1/B3171</f>
        <v>0.00303416469445962</v>
      </c>
      <c r="D3171" s="1" t="n">
        <v>0.5561</v>
      </c>
      <c r="E3171" s="1" t="n">
        <f aca="false">LN(D3171)</f>
        <v>-0.586807144788619</v>
      </c>
    </row>
    <row r="3172" customFormat="false" ht="15.75" hidden="false" customHeight="false" outlineLevel="0" collapsed="false">
      <c r="A3172" s="1" t="s">
        <v>865</v>
      </c>
      <c r="B3172" s="1" t="n">
        <v>330.28</v>
      </c>
      <c r="C3172" s="1" t="n">
        <f aca="false">1/B3172</f>
        <v>0.00302773404384159</v>
      </c>
      <c r="D3172" s="1" t="n">
        <v>0.55095</v>
      </c>
      <c r="E3172" s="1" t="n">
        <f aca="false">LN(D3172)</f>
        <v>-0.596111218048351</v>
      </c>
    </row>
    <row r="3173" customFormat="false" ht="15.75" hidden="false" customHeight="false" outlineLevel="0" collapsed="false">
      <c r="A3173" s="1" t="s">
        <v>865</v>
      </c>
      <c r="B3173" s="1" t="n">
        <v>330.98</v>
      </c>
      <c r="C3173" s="1" t="n">
        <f aca="false">1/B3173</f>
        <v>0.00302133059399359</v>
      </c>
      <c r="D3173" s="1" t="n">
        <v>0.54588</v>
      </c>
      <c r="E3173" s="1" t="n">
        <f aca="false">LN(D3173)</f>
        <v>-0.605356107612224</v>
      </c>
    </row>
    <row r="3174" customFormat="false" ht="15.75" hidden="false" customHeight="false" outlineLevel="0" collapsed="false">
      <c r="A3174" s="1" t="s">
        <v>865</v>
      </c>
      <c r="B3174" s="1" t="n">
        <v>331.68</v>
      </c>
      <c r="C3174" s="1" t="n">
        <f aca="false">1/B3174</f>
        <v>0.00301495417269657</v>
      </c>
      <c r="D3174" s="1" t="n">
        <v>0.54087</v>
      </c>
      <c r="E3174" s="1" t="n">
        <f aca="false">LN(D3174)</f>
        <v>-0.614576324759919</v>
      </c>
    </row>
    <row r="3175" customFormat="false" ht="15.75" hidden="false" customHeight="false" outlineLevel="0" collapsed="false">
      <c r="A3175" s="1" t="s">
        <v>865</v>
      </c>
      <c r="B3175" s="1" t="n">
        <v>332.38</v>
      </c>
      <c r="C3175" s="1" t="n">
        <f aca="false">1/B3175</f>
        <v>0.00300860460918226</v>
      </c>
      <c r="D3175" s="1" t="n">
        <v>0.53593</v>
      </c>
      <c r="E3175" s="1" t="n">
        <f aca="false">LN(D3175)</f>
        <v>-0.623751723454793</v>
      </c>
    </row>
    <row r="3176" customFormat="false" ht="15.75" hidden="false" customHeight="false" outlineLevel="0" collapsed="false">
      <c r="A3176" s="1" t="s">
        <v>865</v>
      </c>
      <c r="B3176" s="1" t="n">
        <v>333.08</v>
      </c>
      <c r="C3176" s="1" t="n">
        <f aca="false">1/B3176</f>
        <v>0.00300228173411793</v>
      </c>
      <c r="D3176" s="1" t="n">
        <v>0.53106</v>
      </c>
      <c r="E3176" s="1" t="n">
        <f aca="false">LN(D3176)</f>
        <v>-0.632880269773296</v>
      </c>
    </row>
    <row r="3177" customFormat="false" ht="15.75" hidden="false" customHeight="false" outlineLevel="0" collapsed="false">
      <c r="A3177" s="1" t="s">
        <v>865</v>
      </c>
      <c r="B3177" s="1" t="n">
        <v>333.78</v>
      </c>
      <c r="C3177" s="1" t="n">
        <f aca="false">1/B3177</f>
        <v>0.00299598537959135</v>
      </c>
      <c r="D3177" s="1" t="n">
        <v>0.52625</v>
      </c>
      <c r="E3177" s="1" t="n">
        <f aca="false">LN(D3177)</f>
        <v>-0.641978893985546</v>
      </c>
    </row>
    <row r="3178" customFormat="false" ht="15.75" hidden="false" customHeight="false" outlineLevel="0" collapsed="false">
      <c r="A3178" s="1" t="s">
        <v>865</v>
      </c>
      <c r="B3178" s="1" t="n">
        <v>334.48</v>
      </c>
      <c r="C3178" s="1" t="n">
        <f aca="false">1/B3178</f>
        <v>0.00298971537909591</v>
      </c>
      <c r="D3178" s="1" t="n">
        <v>0.52151</v>
      </c>
      <c r="E3178" s="1" t="n">
        <f aca="false">LN(D3178)</f>
        <v>-0.65102682926974</v>
      </c>
    </row>
    <row r="3179" customFormat="false" ht="15.75" hidden="false" customHeight="false" outlineLevel="0" collapsed="false">
      <c r="A3179" s="1" t="s">
        <v>865</v>
      </c>
      <c r="B3179" s="1" t="n">
        <v>335.18</v>
      </c>
      <c r="C3179" s="1" t="n">
        <f aca="false">1/B3179</f>
        <v>0.00298347156751596</v>
      </c>
      <c r="D3179" s="1" t="n">
        <v>0.51683</v>
      </c>
      <c r="E3179" s="1" t="n">
        <f aca="false">LN(D3179)</f>
        <v>-0.66004127866295</v>
      </c>
    </row>
    <row r="3180" customFormat="false" ht="15.75" hidden="false" customHeight="false" outlineLevel="0" collapsed="false">
      <c r="A3180" s="1" t="s">
        <v>865</v>
      </c>
      <c r="B3180" s="1" t="n">
        <v>335.88</v>
      </c>
      <c r="C3180" s="1" t="n">
        <f aca="false">1/B3180</f>
        <v>0.0029772537811123</v>
      </c>
      <c r="D3180" s="1" t="n">
        <v>0.51221</v>
      </c>
      <c r="E3180" s="1" t="n">
        <f aca="false">LN(D3180)</f>
        <v>-0.669020581783711</v>
      </c>
    </row>
    <row r="3181" customFormat="false" ht="15.75" hidden="false" customHeight="false" outlineLevel="0" collapsed="false">
      <c r="A3181" s="1" t="s">
        <v>865</v>
      </c>
      <c r="B3181" s="1" t="n">
        <v>336.58</v>
      </c>
      <c r="C3181" s="1" t="n">
        <f aca="false">1/B3181</f>
        <v>0.00297106185750787</v>
      </c>
      <c r="D3181" s="1" t="n">
        <v>0.50765</v>
      </c>
      <c r="E3181" s="1" t="n">
        <f aca="false">LN(D3181)</f>
        <v>-0.677963045234905</v>
      </c>
    </row>
    <row r="3182" customFormat="false" ht="15.75" hidden="false" customHeight="false" outlineLevel="0" collapsed="false">
      <c r="A3182" s="1" t="s">
        <v>865</v>
      </c>
      <c r="B3182" s="1" t="n">
        <v>337.28</v>
      </c>
      <c r="C3182" s="1" t="n">
        <f aca="false">1/B3182</f>
        <v>0.00296489563567362</v>
      </c>
      <c r="D3182" s="1" t="n">
        <v>0.50315</v>
      </c>
      <c r="E3182" s="1" t="n">
        <f aca="false">LN(D3182)</f>
        <v>-0.686866942602795</v>
      </c>
    </row>
    <row r="3183" customFormat="false" ht="15.75" hidden="false" customHeight="false" outlineLevel="0" collapsed="false">
      <c r="A3183" s="1" t="s">
        <v>865</v>
      </c>
      <c r="B3183" s="1" t="n">
        <v>337.98</v>
      </c>
      <c r="C3183" s="1" t="n">
        <f aca="false">1/B3183</f>
        <v>0.00295875495591455</v>
      </c>
      <c r="D3183" s="1" t="n">
        <v>0.49871</v>
      </c>
      <c r="E3183" s="1" t="n">
        <f aca="false">LN(D3183)</f>
        <v>-0.695730514495549</v>
      </c>
    </row>
    <row r="3184" customFormat="false" ht="15.75" hidden="false" customHeight="false" outlineLevel="0" collapsed="false">
      <c r="A3184" s="1" t="s">
        <v>865</v>
      </c>
      <c r="B3184" s="1" t="n">
        <v>338.68</v>
      </c>
      <c r="C3184" s="1" t="n">
        <f aca="false">1/B3184</f>
        <v>0.00295263965985591</v>
      </c>
      <c r="D3184" s="1" t="n">
        <v>0.49432</v>
      </c>
      <c r="E3184" s="1" t="n">
        <f aca="false">LN(D3184)</f>
        <v>-0.704572198229413</v>
      </c>
    </row>
    <row r="3185" customFormat="false" ht="15.75" hidden="false" customHeight="false" outlineLevel="0" collapsed="false">
      <c r="A3185" s="1" t="s">
        <v>865</v>
      </c>
      <c r="B3185" s="1" t="n">
        <v>339.38</v>
      </c>
      <c r="C3185" s="1" t="n">
        <f aca="false">1/B3185</f>
        <v>0.00294654959042961</v>
      </c>
      <c r="D3185" s="1" t="n">
        <v>0.48999</v>
      </c>
      <c r="E3185" s="1" t="n">
        <f aca="false">LN(D3185)</f>
        <v>-0.71337029624898</v>
      </c>
    </row>
    <row r="3186" customFormat="false" ht="15.75" hidden="false" customHeight="false" outlineLevel="0" collapsed="false">
      <c r="A3186" s="1" t="s">
        <v>865</v>
      </c>
      <c r="B3186" s="1" t="n">
        <v>340.08</v>
      </c>
      <c r="C3186" s="1" t="n">
        <f aca="false">1/B3186</f>
        <v>0.00294048459186074</v>
      </c>
      <c r="D3186" s="1" t="n">
        <v>0.48572</v>
      </c>
      <c r="E3186" s="1" t="n">
        <f aca="false">LN(D3186)</f>
        <v>-0.722122952796519</v>
      </c>
    </row>
    <row r="3187" customFormat="false" ht="15.75" hidden="false" customHeight="false" outlineLevel="0" collapsed="false">
      <c r="A3187" s="1" t="s">
        <v>865</v>
      </c>
      <c r="B3187" s="1" t="n">
        <v>340.78</v>
      </c>
      <c r="C3187" s="1" t="n">
        <f aca="false">1/B3187</f>
        <v>0.00293444450965432</v>
      </c>
      <c r="D3187" s="1" t="n">
        <v>0.48149</v>
      </c>
      <c r="E3187" s="1" t="n">
        <f aca="false">LN(D3187)</f>
        <v>-0.730869816391607</v>
      </c>
    </row>
    <row r="3188" customFormat="false" ht="15.75" hidden="false" customHeight="false" outlineLevel="0" collapsed="false">
      <c r="A3188" s="1" t="s">
        <v>865</v>
      </c>
      <c r="B3188" s="1" t="n">
        <v>341.48</v>
      </c>
      <c r="C3188" s="1" t="n">
        <f aca="false">1/B3188</f>
        <v>0.00292842919058217</v>
      </c>
      <c r="D3188" s="1" t="n">
        <v>0.47733</v>
      </c>
      <c r="E3188" s="1" t="n">
        <f aca="false">LN(D3188)</f>
        <v>-0.739547203394262</v>
      </c>
    </row>
    <row r="3189" customFormat="false" ht="15.75" hidden="false" customHeight="false" outlineLevel="0" collapsed="false">
      <c r="A3189" s="1" t="s">
        <v>865</v>
      </c>
      <c r="B3189" s="1" t="n">
        <v>342.18</v>
      </c>
      <c r="C3189" s="1" t="n">
        <f aca="false">1/B3189</f>
        <v>0.00292243848266994</v>
      </c>
      <c r="D3189" s="1" t="n">
        <v>0.47321</v>
      </c>
      <c r="E3189" s="1" t="n">
        <f aca="false">LN(D3189)</f>
        <v>-0.748216014387758</v>
      </c>
    </row>
    <row r="3190" customFormat="false" ht="15.75" hidden="false" customHeight="false" outlineLevel="0" collapsed="false">
      <c r="A3190" s="1" t="s">
        <v>865</v>
      </c>
      <c r="B3190" s="1" t="n">
        <v>342.88</v>
      </c>
      <c r="C3190" s="1" t="n">
        <f aca="false">1/B3190</f>
        <v>0.00291647223518432</v>
      </c>
      <c r="D3190" s="1" t="n">
        <v>0.46914</v>
      </c>
      <c r="E3190" s="1" t="n">
        <f aca="false">LN(D3190)</f>
        <v>-0.756854047617659</v>
      </c>
    </row>
    <row r="3191" customFormat="false" ht="15.75" hidden="false" customHeight="false" outlineLevel="0" collapsed="false">
      <c r="A3191" s="1" t="s">
        <v>865</v>
      </c>
      <c r="B3191" s="1" t="n">
        <v>343.58</v>
      </c>
      <c r="C3191" s="1" t="n">
        <f aca="false">1/B3191</f>
        <v>0.00291053029862041</v>
      </c>
      <c r="D3191" s="1" t="n">
        <v>0.46513</v>
      </c>
      <c r="E3191" s="1" t="n">
        <f aca="false">LN(D3191)</f>
        <v>-0.765438342574688</v>
      </c>
    </row>
    <row r="3192" customFormat="false" ht="15.75" hidden="false" customHeight="false" outlineLevel="0" collapsed="false">
      <c r="A3192" s="1" t="s">
        <v>865</v>
      </c>
      <c r="B3192" s="1" t="n">
        <v>344.28</v>
      </c>
      <c r="C3192" s="1" t="n">
        <f aca="false">1/B3192</f>
        <v>0.00290461252468921</v>
      </c>
      <c r="D3192" s="1" t="n">
        <v>0.46116</v>
      </c>
      <c r="E3192" s="1" t="n">
        <f aca="false">LN(D3192)</f>
        <v>-0.774010224617384</v>
      </c>
    </row>
    <row r="3193" customFormat="false" ht="15.75" hidden="false" customHeight="false" outlineLevel="0" collapsed="false">
      <c r="A3193" s="1" t="s">
        <v>865</v>
      </c>
      <c r="B3193" s="1" t="n">
        <v>344.98</v>
      </c>
      <c r="C3193" s="1" t="n">
        <f aca="false">1/B3193</f>
        <v>0.00289871876630529</v>
      </c>
      <c r="D3193" s="1" t="n">
        <v>0.45724</v>
      </c>
      <c r="E3193" s="1" t="n">
        <f aca="false">LN(D3193)</f>
        <v>-0.782546861824559</v>
      </c>
    </row>
    <row r="3194" customFormat="false" ht="15.75" hidden="false" customHeight="false" outlineLevel="0" collapsed="false">
      <c r="A3194" s="1" t="s">
        <v>865</v>
      </c>
      <c r="B3194" s="1" t="n">
        <v>345.68</v>
      </c>
      <c r="C3194" s="1" t="n">
        <f aca="false">1/B3194</f>
        <v>0.00289284887757463</v>
      </c>
      <c r="D3194" s="1" t="n">
        <v>0.45337</v>
      </c>
      <c r="E3194" s="1" t="n">
        <f aca="false">LN(D3194)</f>
        <v>-0.791046709838009</v>
      </c>
    </row>
    <row r="3195" customFormat="false" ht="15.75" hidden="false" customHeight="false" outlineLevel="0" collapsed="false">
      <c r="A3195" s="1" t="s">
        <v>865</v>
      </c>
      <c r="B3195" s="1" t="n">
        <v>346.38</v>
      </c>
      <c r="C3195" s="1" t="n">
        <f aca="false">1/B3195</f>
        <v>0.00288700271378255</v>
      </c>
      <c r="D3195" s="1" t="n">
        <v>0.44954</v>
      </c>
      <c r="E3195" s="1" t="n">
        <f aca="false">LN(D3195)</f>
        <v>-0.799530441265456</v>
      </c>
    </row>
    <row r="3196" customFormat="false" ht="15.75" hidden="false" customHeight="false" outlineLevel="0" collapsed="false">
      <c r="A3196" s="1" t="s">
        <v>865</v>
      </c>
      <c r="B3196" s="1" t="n">
        <v>347.08</v>
      </c>
      <c r="C3196" s="1" t="n">
        <f aca="false">1/B3196</f>
        <v>0.00288118013138181</v>
      </c>
      <c r="D3196" s="1" t="n">
        <v>0.44576</v>
      </c>
      <c r="E3196" s="1" t="n">
        <f aca="false">LN(D3196)</f>
        <v>-0.807974588390696</v>
      </c>
    </row>
    <row r="3197" customFormat="false" ht="15.75" hidden="false" customHeight="false" outlineLevel="0" collapsed="false">
      <c r="A3197" s="1" t="s">
        <v>865</v>
      </c>
      <c r="B3197" s="1" t="n">
        <v>347.78</v>
      </c>
      <c r="C3197" s="1" t="n">
        <f aca="false">1/B3197</f>
        <v>0.00287538098798091</v>
      </c>
      <c r="D3197" s="1" t="n">
        <v>0.44203</v>
      </c>
      <c r="E3197" s="1" t="n">
        <f aca="false">LN(D3197)</f>
        <v>-0.81637752590456</v>
      </c>
    </row>
    <row r="3198" customFormat="false" ht="15.75" hidden="false" customHeight="false" outlineLevel="0" collapsed="false">
      <c r="A3198" s="1" t="s">
        <v>865</v>
      </c>
      <c r="B3198" s="1" t="n">
        <v>348.48</v>
      </c>
      <c r="C3198" s="1" t="n">
        <f aca="false">1/B3198</f>
        <v>0.00286960514233241</v>
      </c>
      <c r="D3198" s="1" t="n">
        <v>0.43834</v>
      </c>
      <c r="E3198" s="1" t="n">
        <f aca="false">LN(D3198)</f>
        <v>-0.824760414028564</v>
      </c>
    </row>
    <row r="3199" customFormat="false" ht="15.75" hidden="false" customHeight="false" outlineLevel="0" collapsed="false">
      <c r="A3199" s="1" t="s">
        <v>865</v>
      </c>
      <c r="B3199" s="1" t="n">
        <v>349.18</v>
      </c>
      <c r="C3199" s="1" t="n">
        <f aca="false">1/B3199</f>
        <v>0.00286385245432155</v>
      </c>
      <c r="D3199" s="1" t="n">
        <v>0.43469</v>
      </c>
      <c r="E3199" s="1" t="n">
        <f aca="false">LN(D3199)</f>
        <v>-0.833122145622826</v>
      </c>
    </row>
    <row r="3200" customFormat="false" ht="15.75" hidden="false" customHeight="false" outlineLevel="0" collapsed="false">
      <c r="A3200" s="1" t="s">
        <v>865</v>
      </c>
      <c r="B3200" s="1" t="n">
        <v>349.88</v>
      </c>
      <c r="C3200" s="1" t="n">
        <f aca="false">1/B3200</f>
        <v>0.00285812278495484</v>
      </c>
      <c r="D3200" s="1" t="n">
        <v>0.43108</v>
      </c>
      <c r="E3200" s="1" t="n">
        <f aca="false">LN(D3200)</f>
        <v>-0.841461591253506</v>
      </c>
    </row>
    <row r="3201" customFormat="false" ht="15.75" hidden="false" customHeight="false" outlineLevel="0" collapsed="false">
      <c r="A3201" s="1" t="s">
        <v>865</v>
      </c>
      <c r="B3201" s="1" t="n">
        <v>350.58</v>
      </c>
      <c r="C3201" s="1" t="n">
        <f aca="false">1/B3201</f>
        <v>0.00285241599634891</v>
      </c>
      <c r="D3201" s="1" t="n">
        <v>0.42752</v>
      </c>
      <c r="E3201" s="1" t="n">
        <f aca="false">LN(D3201)</f>
        <v>-0.849754208073911</v>
      </c>
    </row>
    <row r="3202" customFormat="false" ht="15.75" hidden="false" customHeight="false" outlineLevel="0" collapsed="false">
      <c r="A3202" s="1" t="s">
        <v>865</v>
      </c>
      <c r="B3202" s="1" t="n">
        <v>351.28</v>
      </c>
      <c r="C3202" s="1" t="n">
        <f aca="false">1/B3202</f>
        <v>0.00284673195171943</v>
      </c>
      <c r="D3202" s="1" t="n">
        <v>0.424</v>
      </c>
      <c r="E3202" s="1" t="n">
        <f aca="false">LN(D3202)</f>
        <v>-0.858021823750179</v>
      </c>
    </row>
    <row r="3203" customFormat="false" ht="15.75" hidden="false" customHeight="false" outlineLevel="0" collapsed="false">
      <c r="A3203" s="1" t="s">
        <v>865</v>
      </c>
      <c r="B3203" s="1" t="n">
        <v>351.98</v>
      </c>
      <c r="C3203" s="1" t="n">
        <f aca="false">1/B3203</f>
        <v>0.00284107051537019</v>
      </c>
      <c r="D3203" s="1" t="n">
        <v>0.42052</v>
      </c>
      <c r="E3203" s="1" t="n">
        <f aca="false">LN(D3203)</f>
        <v>-0.866263238274507</v>
      </c>
    </row>
    <row r="3204" customFormat="false" ht="15.75" hidden="false" customHeight="false" outlineLevel="0" collapsed="false">
      <c r="A3204" s="1" t="s">
        <v>865</v>
      </c>
      <c r="B3204" s="1" t="n">
        <v>352.68</v>
      </c>
      <c r="C3204" s="1" t="n">
        <f aca="false">1/B3204</f>
        <v>0.00283543155268232</v>
      </c>
      <c r="D3204" s="1" t="n">
        <v>0.41708</v>
      </c>
      <c r="E3204" s="1" t="n">
        <f aca="false">LN(D3204)</f>
        <v>-0.874477229060745</v>
      </c>
    </row>
    <row r="3205" customFormat="false" ht="15.75" hidden="false" customHeight="false" outlineLevel="0" collapsed="false">
      <c r="A3205" s="1" t="s">
        <v>865</v>
      </c>
      <c r="B3205" s="1" t="n">
        <v>353.38</v>
      </c>
      <c r="C3205" s="1" t="n">
        <f aca="false">1/B3205</f>
        <v>0.00282981493010357</v>
      </c>
      <c r="D3205" s="1" t="n">
        <v>0.41368</v>
      </c>
      <c r="E3205" s="1" t="n">
        <f aca="false">LN(D3205)</f>
        <v>-0.882662550894171</v>
      </c>
    </row>
    <row r="3206" customFormat="false" ht="15.75" hidden="false" customHeight="false" outlineLevel="0" collapsed="false">
      <c r="A3206" s="1" t="s">
        <v>865</v>
      </c>
      <c r="B3206" s="1" t="n">
        <v>353.43</v>
      </c>
      <c r="C3206" s="1" t="n">
        <f aca="false">1/B3206</f>
        <v>0.00282941459412048</v>
      </c>
      <c r="D3206" s="1" t="n">
        <v>0.41347</v>
      </c>
      <c r="E3206" s="1" t="n">
        <f aca="false">LN(D3206)</f>
        <v>-0.883170318540939</v>
      </c>
    </row>
    <row r="3207" customFormat="false" ht="15.75" hidden="false" customHeight="false" outlineLevel="0" collapsed="false">
      <c r="A3207" s="1" t="s">
        <v>867</v>
      </c>
      <c r="B3207" s="1" t="n">
        <v>372.5542</v>
      </c>
      <c r="C3207" s="1" t="n">
        <f aca="false">1/B3207</f>
        <v>0.00268417320218105</v>
      </c>
      <c r="D3207" s="1" t="n">
        <v>2.077</v>
      </c>
      <c r="E3207" s="1" t="n">
        <f aca="false">LN(D3207)</f>
        <v>0.730924544893975</v>
      </c>
    </row>
    <row r="3208" customFormat="false" ht="15.75" hidden="false" customHeight="false" outlineLevel="0" collapsed="false">
      <c r="A3208" s="1" t="s">
        <v>867</v>
      </c>
      <c r="B3208" s="1" t="n">
        <v>389.65</v>
      </c>
      <c r="C3208" s="1" t="n">
        <f aca="false">1/B3208</f>
        <v>0.00256640574874888</v>
      </c>
      <c r="D3208" s="1" t="n">
        <v>1.373</v>
      </c>
      <c r="E3208" s="1" t="n">
        <f aca="false">LN(D3208)</f>
        <v>0.316998126785834</v>
      </c>
    </row>
    <row r="3209" customFormat="false" ht="15.75" hidden="false" customHeight="false" outlineLevel="0" collapsed="false">
      <c r="A3209" s="1" t="s">
        <v>867</v>
      </c>
      <c r="B3209" s="1" t="n">
        <v>397.85</v>
      </c>
      <c r="C3209" s="1" t="n">
        <f aca="false">1/B3209</f>
        <v>0.00251351011687822</v>
      </c>
      <c r="D3209" s="1" t="n">
        <v>1.152</v>
      </c>
      <c r="E3209" s="1" t="n">
        <f aca="false">LN(D3209)</f>
        <v>0.141499562273699</v>
      </c>
    </row>
    <row r="3210" customFormat="false" ht="15.75" hidden="false" customHeight="false" outlineLevel="0" collapsed="false">
      <c r="A3210" s="1" t="s">
        <v>867</v>
      </c>
      <c r="B3210" s="1" t="n">
        <v>412.45</v>
      </c>
      <c r="C3210" s="1" t="n">
        <f aca="false">1/B3210</f>
        <v>0.0024245363074312</v>
      </c>
      <c r="D3210" s="1" t="n">
        <v>0.851</v>
      </c>
      <c r="E3210" s="1" t="n">
        <f aca="false">LN(D3210)</f>
        <v>-0.161343150408763</v>
      </c>
    </row>
    <row r="3211" customFormat="false" ht="15.75" hidden="false" customHeight="false" outlineLevel="0" collapsed="false">
      <c r="A3211" s="1" t="s">
        <v>867</v>
      </c>
      <c r="B3211" s="1" t="n">
        <v>420.55</v>
      </c>
      <c r="C3211" s="1" t="n">
        <f aca="false">1/B3211</f>
        <v>0.00237783854476281</v>
      </c>
      <c r="D3211" s="1" t="n">
        <v>0.725</v>
      </c>
      <c r="E3211" s="1" t="n">
        <f aca="false">LN(D3211)</f>
        <v>-0.321583624127462</v>
      </c>
    </row>
    <row r="3212" customFormat="false" ht="15.75" hidden="false" customHeight="false" outlineLevel="0" collapsed="false">
      <c r="A3212" s="1" t="s">
        <v>867</v>
      </c>
      <c r="B3212" s="1" t="n">
        <v>424.15</v>
      </c>
      <c r="C3212" s="1" t="n">
        <f aca="false">1/B3212</f>
        <v>0.00235765648944949</v>
      </c>
      <c r="D3212" s="1" t="n">
        <v>0.756</v>
      </c>
      <c r="E3212" s="1" t="n">
        <f aca="false">LN(D3212)</f>
        <v>-0.279713902802604</v>
      </c>
    </row>
    <row r="3213" customFormat="false" ht="15.75" hidden="false" customHeight="false" outlineLevel="0" collapsed="false">
      <c r="A3213" s="1" t="s">
        <v>867</v>
      </c>
      <c r="B3213" s="1" t="n">
        <v>312.2549</v>
      </c>
      <c r="C3213" s="1" t="n">
        <f aca="false">1/B3213</f>
        <v>0.00320251179405031</v>
      </c>
      <c r="D3213" s="1" t="n">
        <v>20.32</v>
      </c>
      <c r="E3213" s="1" t="n">
        <f aca="false">LN(D3213)</f>
        <v>3.01160562271028</v>
      </c>
    </row>
    <row r="3214" customFormat="false" ht="15.75" hidden="false" customHeight="false" outlineLevel="0" collapsed="false">
      <c r="A3214" s="1" t="s">
        <v>867</v>
      </c>
      <c r="B3214" s="1" t="n">
        <v>339.05</v>
      </c>
      <c r="C3214" s="1" t="n">
        <f aca="false">1/B3214</f>
        <v>0.00294941749004572</v>
      </c>
      <c r="D3214" s="1" t="n">
        <v>5.838</v>
      </c>
      <c r="E3214" s="1" t="n">
        <f aca="false">LN(D3214)</f>
        <v>1.76438827243192</v>
      </c>
    </row>
    <row r="3215" customFormat="false" ht="15.75" hidden="false" customHeight="false" outlineLevel="0" collapsed="false">
      <c r="A3215" s="1" t="s">
        <v>867</v>
      </c>
      <c r="B3215" s="1" t="n">
        <v>363.15</v>
      </c>
      <c r="C3215" s="1" t="n">
        <f aca="false">1/B3215</f>
        <v>0.00275368305108082</v>
      </c>
      <c r="D3215" s="1" t="n">
        <v>2.459</v>
      </c>
      <c r="E3215" s="1" t="n">
        <f aca="false">LN(D3215)</f>
        <v>0.899754763234056</v>
      </c>
    </row>
    <row r="3216" customFormat="false" ht="15.75" hidden="false" customHeight="false" outlineLevel="0" collapsed="false">
      <c r="A3216" s="1" t="s">
        <v>867</v>
      </c>
      <c r="B3216" s="1" t="n">
        <v>405.15</v>
      </c>
      <c r="C3216" s="1" t="n">
        <f aca="false">1/B3216</f>
        <v>0.00246822164630384</v>
      </c>
      <c r="D3216" s="1" t="n">
        <v>0.988</v>
      </c>
      <c r="E3216" s="1" t="n">
        <f aca="false">LN(D3216)</f>
        <v>-0.0120725812342692</v>
      </c>
    </row>
    <row r="3217" customFormat="false" ht="15.75" hidden="false" customHeight="false" outlineLevel="0" collapsed="false">
      <c r="A3217" s="1" t="s">
        <v>867</v>
      </c>
      <c r="B3217" s="1" t="n">
        <v>431.65</v>
      </c>
      <c r="C3217" s="1" t="n">
        <f aca="false">1/B3217</f>
        <v>0.00231669176416078</v>
      </c>
      <c r="D3217" s="1" t="n">
        <v>0.589</v>
      </c>
      <c r="E3217" s="1" t="n">
        <f aca="false">LN(D3217)</f>
        <v>-0.52932909533055</v>
      </c>
    </row>
    <row r="3218" customFormat="false" ht="15.75" hidden="false" customHeight="false" outlineLevel="0" collapsed="false">
      <c r="A3218" s="1" t="s">
        <v>869</v>
      </c>
      <c r="B3218" s="1" t="n">
        <v>289.51</v>
      </c>
      <c r="C3218" s="1" t="n">
        <f aca="false">1/B3218</f>
        <v>0.00345411212047943</v>
      </c>
      <c r="D3218" s="1" t="n">
        <v>2.518</v>
      </c>
      <c r="E3218" s="1" t="n">
        <f aca="false">LN(D3218)</f>
        <v>0.923464935622155</v>
      </c>
    </row>
    <row r="3219" customFormat="false" ht="15.75" hidden="false" customHeight="false" outlineLevel="0" collapsed="false">
      <c r="A3219" s="1" t="s">
        <v>869</v>
      </c>
      <c r="B3219" s="1" t="n">
        <v>330.9</v>
      </c>
      <c r="C3219" s="1" t="n">
        <f aca="false">1/B3219</f>
        <v>0.00302206104563312</v>
      </c>
      <c r="D3219" s="1" t="n">
        <v>1.172</v>
      </c>
      <c r="E3219" s="1" t="n">
        <f aca="false">LN(D3219)</f>
        <v>0.158711691154821</v>
      </c>
    </row>
    <row r="3220" customFormat="false" ht="15.75" hidden="false" customHeight="false" outlineLevel="0" collapsed="false">
      <c r="A3220" s="1" t="s">
        <v>869</v>
      </c>
      <c r="B3220" s="1" t="n">
        <v>358.65</v>
      </c>
      <c r="C3220" s="1" t="n">
        <f aca="false">1/B3220</f>
        <v>0.0027882336539802</v>
      </c>
      <c r="D3220" s="1" t="n">
        <v>0.799</v>
      </c>
      <c r="E3220" s="1" t="n">
        <f aca="false">LN(D3220)</f>
        <v>-0.224394333215862</v>
      </c>
    </row>
    <row r="3221" customFormat="false" ht="15.75" hidden="false" customHeight="false" outlineLevel="0" collapsed="false">
      <c r="A3221" s="1" t="s">
        <v>869</v>
      </c>
      <c r="B3221" s="1" t="n">
        <v>382.8</v>
      </c>
      <c r="C3221" s="1" t="n">
        <f aca="false">1/B3221</f>
        <v>0.0026123301985371</v>
      </c>
      <c r="D3221" s="1" t="n">
        <v>0.6</v>
      </c>
      <c r="E3221" s="1" t="n">
        <f aca="false">LN(D3221)</f>
        <v>-0.510825623765991</v>
      </c>
    </row>
    <row r="3222" customFormat="false" ht="15.75" hidden="false" customHeight="false" outlineLevel="0" collapsed="false">
      <c r="A3222" s="1" t="s">
        <v>869</v>
      </c>
      <c r="B3222" s="1" t="n">
        <v>402.15</v>
      </c>
      <c r="C3222" s="1" t="n">
        <f aca="false">1/B3222</f>
        <v>0.00248663434042024</v>
      </c>
      <c r="D3222" s="1" t="n">
        <v>0.494</v>
      </c>
      <c r="E3222" s="1" t="n">
        <f aca="false">LN(D3222)</f>
        <v>-0.705219761794215</v>
      </c>
    </row>
    <row r="3223" customFormat="false" ht="15.75" hidden="false" customHeight="false" outlineLevel="0" collapsed="false">
      <c r="A3223" s="1" t="s">
        <v>869</v>
      </c>
      <c r="B3223" s="1" t="n">
        <v>420.15</v>
      </c>
      <c r="C3223" s="1" t="n">
        <f aca="false">1/B3223</f>
        <v>0.00238010234440081</v>
      </c>
      <c r="D3223" s="1" t="n">
        <v>0.4147</v>
      </c>
      <c r="E3223" s="1" t="n">
        <f aca="false">LN(D3223)</f>
        <v>-0.880199911729801</v>
      </c>
    </row>
    <row r="3224" customFormat="false" ht="15.75" hidden="false" customHeight="false" outlineLevel="0" collapsed="false">
      <c r="A3224" s="1" t="s">
        <v>869</v>
      </c>
      <c r="B3224" s="1" t="n">
        <v>426.65</v>
      </c>
      <c r="C3224" s="1" t="n">
        <f aca="false">1/B3224</f>
        <v>0.00234384155631079</v>
      </c>
      <c r="D3224" s="1" t="n">
        <v>0.391</v>
      </c>
      <c r="E3224" s="1" t="n">
        <f aca="false">LN(D3224)</f>
        <v>-0.939047718996771</v>
      </c>
    </row>
    <row r="3225" customFormat="false" ht="15.75" hidden="false" customHeight="false" outlineLevel="0" collapsed="false">
      <c r="A3225" s="1" t="s">
        <v>869</v>
      </c>
      <c r="B3225" s="1" t="n">
        <v>288.1511</v>
      </c>
      <c r="C3225" s="1" t="n">
        <f aca="false">1/B3225</f>
        <v>0.00347040146645284</v>
      </c>
      <c r="D3225" s="1" t="n">
        <v>2.453</v>
      </c>
      <c r="E3225" s="1" t="n">
        <f aca="false">LN(D3225)</f>
        <v>0.897311765276352</v>
      </c>
    </row>
    <row r="3226" customFormat="false" ht="15.75" hidden="false" customHeight="false" outlineLevel="0" collapsed="false">
      <c r="A3226" s="1" t="s">
        <v>869</v>
      </c>
      <c r="B3226" s="1" t="n">
        <v>303.15</v>
      </c>
      <c r="C3226" s="1" t="n">
        <f aca="false">1/B3226</f>
        <v>0.0032986970146792</v>
      </c>
      <c r="D3226" s="1" t="n">
        <v>1.803</v>
      </c>
      <c r="E3226" s="1" t="n">
        <f aca="false">LN(D3226)</f>
        <v>0.58945194422118</v>
      </c>
    </row>
    <row r="3227" customFormat="false" ht="15.75" hidden="false" customHeight="false" outlineLevel="0" collapsed="false">
      <c r="A3227" s="1" t="s">
        <v>869</v>
      </c>
      <c r="B3227" s="1" t="n">
        <v>290.4549</v>
      </c>
      <c r="C3227" s="1" t="n">
        <f aca="false">1/B3227</f>
        <v>0.00344287529664674</v>
      </c>
      <c r="D3227" s="1" t="n">
        <v>2.3</v>
      </c>
      <c r="E3227" s="1" t="n">
        <f aca="false">LN(D3227)</f>
        <v>0.832909122935104</v>
      </c>
    </row>
    <row r="3228" customFormat="false" ht="15.75" hidden="false" customHeight="false" outlineLevel="0" collapsed="false">
      <c r="A3228" s="1" t="s">
        <v>869</v>
      </c>
      <c r="B3228" s="1" t="n">
        <v>312.25</v>
      </c>
      <c r="C3228" s="1" t="n">
        <f aca="false">1/B3228</f>
        <v>0.00320256204963971</v>
      </c>
      <c r="D3228" s="1" t="n">
        <v>1.549</v>
      </c>
      <c r="E3228" s="1" t="n">
        <f aca="false">LN(D3228)</f>
        <v>0.437609561434731</v>
      </c>
    </row>
    <row r="3229" customFormat="false" ht="15.75" hidden="false" customHeight="false" outlineLevel="0" collapsed="false">
      <c r="A3229" s="1" t="s">
        <v>869</v>
      </c>
      <c r="B3229" s="1" t="n">
        <v>339.05</v>
      </c>
      <c r="C3229" s="1" t="n">
        <f aca="false">1/B3229</f>
        <v>0.00294941749004572</v>
      </c>
      <c r="D3229" s="1" t="n">
        <v>1.012</v>
      </c>
      <c r="E3229" s="1" t="n">
        <f aca="false">LN(D3229)</f>
        <v>0.0119285708652738</v>
      </c>
    </row>
    <row r="3230" customFormat="false" ht="15.75" hidden="false" customHeight="false" outlineLevel="0" collapsed="false">
      <c r="A3230" s="1" t="s">
        <v>871</v>
      </c>
      <c r="B3230" s="1" t="n">
        <v>291.8515</v>
      </c>
      <c r="C3230" s="1" t="n">
        <f aca="false">1/B3230</f>
        <v>0.00342640006989856</v>
      </c>
      <c r="D3230" s="1" t="n">
        <v>0.6893</v>
      </c>
      <c r="E3230" s="1" t="n">
        <f aca="false">LN(D3230)</f>
        <v>-0.372078689090531</v>
      </c>
    </row>
    <row r="3231" customFormat="false" ht="15.75" hidden="false" customHeight="false" outlineLevel="0" collapsed="false">
      <c r="A3231" s="1" t="s">
        <v>871</v>
      </c>
      <c r="B3231" s="1" t="n">
        <v>314.75</v>
      </c>
      <c r="C3231" s="1" t="n">
        <f aca="false">1/B3231</f>
        <v>0.00317712470214456</v>
      </c>
      <c r="D3231" s="1" t="n">
        <v>0.568</v>
      </c>
      <c r="E3231" s="1" t="n">
        <f aca="false">LN(D3231)</f>
        <v>-0.565633860260986</v>
      </c>
    </row>
    <row r="3232" customFormat="false" ht="15.75" hidden="false" customHeight="false" outlineLevel="0" collapsed="false">
      <c r="A3232" s="1" t="s">
        <v>871</v>
      </c>
      <c r="B3232" s="1" t="n">
        <v>323.15</v>
      </c>
      <c r="C3232" s="1" t="n">
        <f aca="false">1/B3232</f>
        <v>0.00309453814018258</v>
      </c>
      <c r="D3232" s="1" t="n">
        <v>0.472</v>
      </c>
      <c r="E3232" s="1" t="n">
        <f aca="false">LN(D3232)</f>
        <v>-0.750776293396582</v>
      </c>
    </row>
    <row r="3233" customFormat="false" ht="15.75" hidden="false" customHeight="false" outlineLevel="0" collapsed="false">
      <c r="A3233" s="1" t="s">
        <v>871</v>
      </c>
      <c r="B3233" s="1" t="n">
        <v>333.25</v>
      </c>
      <c r="C3233" s="1" t="n">
        <f aca="false">1/B3233</f>
        <v>0.00300075018754689</v>
      </c>
      <c r="D3233" s="1" t="n">
        <v>0.4231</v>
      </c>
      <c r="E3233" s="1" t="n">
        <f aca="false">LN(D3233)</f>
        <v>-0.860146721256115</v>
      </c>
    </row>
    <row r="3234" customFormat="false" ht="15.75" hidden="false" customHeight="false" outlineLevel="0" collapsed="false">
      <c r="A3234" s="1" t="s">
        <v>871</v>
      </c>
      <c r="B3234" s="1" t="n">
        <v>343.9</v>
      </c>
      <c r="C3234" s="1" t="n">
        <f aca="false">1/B3234</f>
        <v>0.00290782204129107</v>
      </c>
      <c r="D3234" s="1" t="n">
        <v>0.3821</v>
      </c>
      <c r="E3234" s="1" t="n">
        <f aca="false">LN(D3234)</f>
        <v>-0.962072924529283</v>
      </c>
    </row>
    <row r="3235" customFormat="false" ht="15.75" hidden="false" customHeight="false" outlineLevel="0" collapsed="false">
      <c r="A3235" s="1" t="s">
        <v>871</v>
      </c>
      <c r="B3235" s="1" t="n">
        <v>352.75</v>
      </c>
      <c r="C3235" s="1" t="n">
        <f aca="false">1/B3235</f>
        <v>0.00283486888731396</v>
      </c>
      <c r="D3235" s="1" t="n">
        <v>0.3471</v>
      </c>
      <c r="E3235" s="1" t="n">
        <f aca="false">LN(D3235)</f>
        <v>-1.0581423561144</v>
      </c>
    </row>
    <row r="3236" customFormat="false" ht="15.75" hidden="false" customHeight="false" outlineLevel="0" collapsed="false">
      <c r="A3236" s="1" t="s">
        <v>871</v>
      </c>
      <c r="B3236" s="1" t="n">
        <v>356.85</v>
      </c>
      <c r="C3236" s="1" t="n">
        <f aca="false">1/B3236</f>
        <v>0.0028022978842651</v>
      </c>
      <c r="D3236" s="1" t="n">
        <v>0.335</v>
      </c>
      <c r="E3236" s="1" t="n">
        <f aca="false">LN(D3236)</f>
        <v>-1.09362474715707</v>
      </c>
    </row>
    <row r="3237" customFormat="false" ht="15.75" hidden="false" customHeight="false" outlineLevel="0" collapsed="false">
      <c r="A3237" s="1" t="s">
        <v>871</v>
      </c>
      <c r="B3237" s="1" t="n">
        <v>273.1517</v>
      </c>
      <c r="C3237" s="1" t="n">
        <f aca="false">1/B3237</f>
        <v>0.003660969344141</v>
      </c>
      <c r="D3237" s="1" t="n">
        <v>0.883</v>
      </c>
      <c r="E3237" s="1" t="n">
        <f aca="false">LN(D3237)</f>
        <v>-0.124430078378177</v>
      </c>
    </row>
    <row r="3238" customFormat="false" ht="15.75" hidden="false" customHeight="false" outlineLevel="0" collapsed="false">
      <c r="A3238" s="1" t="s">
        <v>871</v>
      </c>
      <c r="B3238" s="1" t="n">
        <v>283.15</v>
      </c>
      <c r="C3238" s="1" t="n">
        <f aca="false">1/B3238</f>
        <v>0.00353169698039908</v>
      </c>
      <c r="D3238" s="1" t="n">
        <v>0.759</v>
      </c>
      <c r="E3238" s="1" t="n">
        <f aca="false">LN(D3238)</f>
        <v>-0.275753501586507</v>
      </c>
    </row>
    <row r="3239" customFormat="false" ht="15.75" hidden="false" customHeight="false" outlineLevel="0" collapsed="false">
      <c r="A3239" s="1" t="s">
        <v>871</v>
      </c>
      <c r="B3239" s="1" t="n">
        <v>293.15</v>
      </c>
      <c r="C3239" s="1" t="n">
        <f aca="false">1/B3239</f>
        <v>0.00341122292341805</v>
      </c>
      <c r="D3239" s="1" t="n">
        <v>0.66</v>
      </c>
      <c r="E3239" s="1" t="n">
        <f aca="false">LN(D3239)</f>
        <v>-0.415515443961666</v>
      </c>
    </row>
    <row r="3240" customFormat="false" ht="15.75" hidden="false" customHeight="false" outlineLevel="0" collapsed="false">
      <c r="A3240" s="1" t="s">
        <v>871</v>
      </c>
      <c r="B3240" s="1" t="n">
        <v>303.15</v>
      </c>
      <c r="C3240" s="1" t="n">
        <f aca="false">1/B3240</f>
        <v>0.0032986970146792</v>
      </c>
      <c r="D3240" s="1" t="n">
        <v>0.581</v>
      </c>
      <c r="E3240" s="1" t="n">
        <f aca="false">LN(D3240)</f>
        <v>-0.543004522130226</v>
      </c>
    </row>
    <row r="3241" customFormat="false" ht="15.75" hidden="false" customHeight="false" outlineLevel="0" collapsed="false">
      <c r="A3241" s="1" t="s">
        <v>871</v>
      </c>
      <c r="B3241" s="1" t="n">
        <v>313.15</v>
      </c>
      <c r="C3241" s="1" t="n">
        <f aca="false">1/B3241</f>
        <v>0.00319335781574325</v>
      </c>
      <c r="D3241" s="1" t="n">
        <v>0.515</v>
      </c>
      <c r="E3241" s="1" t="n">
        <f aca="false">LN(D3241)</f>
        <v>-0.663588378318401</v>
      </c>
    </row>
    <row r="3242" customFormat="false" ht="15.75" hidden="false" customHeight="false" outlineLevel="0" collapsed="false">
      <c r="A3242" s="1" t="s">
        <v>873</v>
      </c>
      <c r="B3242" s="1" t="n">
        <v>288.25</v>
      </c>
      <c r="C3242" s="1" t="n">
        <f aca="false">1/B3242</f>
        <v>0.00346921075455334</v>
      </c>
      <c r="D3242" s="1" t="n">
        <v>2.472</v>
      </c>
      <c r="E3242" s="1" t="n">
        <f aca="false">LN(D3242)</f>
        <v>0.905027539595444</v>
      </c>
    </row>
    <row r="3243" customFormat="false" ht="15.75" hidden="false" customHeight="false" outlineLevel="0" collapsed="false">
      <c r="A3243" s="1" t="s">
        <v>873</v>
      </c>
      <c r="B3243" s="1" t="n">
        <v>316.65</v>
      </c>
      <c r="C3243" s="1" t="n">
        <f aca="false">1/B3243</f>
        <v>0.00315806095057635</v>
      </c>
      <c r="D3243" s="1" t="n">
        <v>1.307</v>
      </c>
      <c r="E3243" s="1" t="n">
        <f aca="false">LN(D3243)</f>
        <v>0.267734434642085</v>
      </c>
    </row>
    <row r="3244" customFormat="false" ht="15.75" hidden="false" customHeight="false" outlineLevel="0" collapsed="false">
      <c r="A3244" s="1" t="s">
        <v>873</v>
      </c>
      <c r="B3244" s="1" t="n">
        <v>355.25</v>
      </c>
      <c r="C3244" s="1" t="n">
        <f aca="false">1/B3244</f>
        <v>0.00281491907107671</v>
      </c>
      <c r="D3244" s="1" t="n">
        <v>0.7117</v>
      </c>
      <c r="E3244" s="1" t="n">
        <f aca="false">LN(D3244)</f>
        <v>-0.340098804676912</v>
      </c>
    </row>
    <row r="3245" customFormat="false" ht="15.75" hidden="false" customHeight="false" outlineLevel="0" collapsed="false">
      <c r="A3245" s="1" t="s">
        <v>873</v>
      </c>
      <c r="B3245" s="1" t="n">
        <v>374.95</v>
      </c>
      <c r="C3245" s="1" t="n">
        <f aca="false">1/B3245</f>
        <v>0.00266702226963595</v>
      </c>
      <c r="D3245" s="1" t="n">
        <v>0.5543</v>
      </c>
      <c r="E3245" s="1" t="n">
        <f aca="false">LN(D3245)</f>
        <v>-0.590049222556378</v>
      </c>
    </row>
    <row r="3246" customFormat="false" ht="15.75" hidden="false" customHeight="false" outlineLevel="0" collapsed="false">
      <c r="A3246" s="1" t="s">
        <v>873</v>
      </c>
      <c r="B3246" s="1" t="n">
        <v>398.95</v>
      </c>
      <c r="C3246" s="1" t="n">
        <f aca="false">1/B3246</f>
        <v>0.00250657977190124</v>
      </c>
      <c r="D3246" s="1" t="n">
        <v>0.4269</v>
      </c>
      <c r="E3246" s="1" t="n">
        <f aca="false">LN(D3246)</f>
        <v>-0.851205485218221</v>
      </c>
    </row>
    <row r="3247" customFormat="false" ht="15.75" hidden="false" customHeight="false" outlineLevel="0" collapsed="false">
      <c r="A3247" s="1" t="s">
        <v>873</v>
      </c>
      <c r="B3247" s="1" t="n">
        <v>405.65</v>
      </c>
      <c r="C3247" s="1" t="n">
        <f aca="false">1/B3247</f>
        <v>0.00246517934179712</v>
      </c>
      <c r="D3247" s="1" t="n">
        <v>0.4</v>
      </c>
      <c r="E3247" s="1" t="n">
        <f aca="false">LN(D3247)</f>
        <v>-0.916290731874155</v>
      </c>
    </row>
    <row r="3248" customFormat="false" ht="15.75" hidden="false" customHeight="false" outlineLevel="0" collapsed="false">
      <c r="A3248" s="1" t="s">
        <v>873</v>
      </c>
      <c r="B3248" s="1" t="n">
        <v>339.55</v>
      </c>
      <c r="C3248" s="1" t="n">
        <f aca="false">1/B3248</f>
        <v>0.00294507436312767</v>
      </c>
      <c r="D3248" s="1" t="n">
        <v>0.8935</v>
      </c>
      <c r="E3248" s="1" t="n">
        <f aca="false">LN(D3248)</f>
        <v>-0.112608944382654</v>
      </c>
    </row>
    <row r="3249" customFormat="false" ht="15.75" hidden="false" customHeight="false" outlineLevel="0" collapsed="false">
      <c r="A3249" s="1" t="s">
        <v>873</v>
      </c>
      <c r="B3249" s="1" t="n">
        <v>386.85</v>
      </c>
      <c r="C3249" s="1" t="n">
        <f aca="false">1/B3249</f>
        <v>0.00258498125888587</v>
      </c>
      <c r="D3249" s="1" t="n">
        <v>0.4853</v>
      </c>
      <c r="E3249" s="1" t="n">
        <f aca="false">LN(D3249)</f>
        <v>-0.722988022570967</v>
      </c>
    </row>
    <row r="3250" customFormat="false" ht="15.75" hidden="false" customHeight="false" outlineLevel="0" collapsed="false">
      <c r="A3250" s="1" t="s">
        <v>875</v>
      </c>
      <c r="B3250" s="1" t="n">
        <v>289.35</v>
      </c>
      <c r="C3250" s="1" t="n">
        <f aca="false">1/B3250</f>
        <v>0.00345602211854156</v>
      </c>
      <c r="D3250" s="1" t="n">
        <v>2.6</v>
      </c>
      <c r="E3250" s="1" t="n">
        <f aca="false">LN(D3250)</f>
        <v>0.955511445027436</v>
      </c>
    </row>
    <row r="3251" customFormat="false" ht="15.75" hidden="false" customHeight="false" outlineLevel="0" collapsed="false">
      <c r="A3251" s="1" t="s">
        <v>875</v>
      </c>
      <c r="B3251" s="1" t="n">
        <v>361.75</v>
      </c>
      <c r="C3251" s="1" t="n">
        <f aca="false">1/B3251</f>
        <v>0.0027643400138217</v>
      </c>
      <c r="D3251" s="1" t="n">
        <v>0.835</v>
      </c>
      <c r="E3251" s="1" t="n">
        <f aca="false">LN(D3251)</f>
        <v>-0.180323554131282</v>
      </c>
    </row>
    <row r="3252" customFormat="false" ht="15.75" hidden="false" customHeight="false" outlineLevel="0" collapsed="false">
      <c r="A3252" s="1" t="s">
        <v>875</v>
      </c>
      <c r="B3252" s="1" t="n">
        <v>379.65</v>
      </c>
      <c r="C3252" s="1" t="n">
        <f aca="false">1/B3252</f>
        <v>0.00263400500460951</v>
      </c>
      <c r="D3252" s="1" t="n">
        <v>0.6869</v>
      </c>
      <c r="E3252" s="1" t="n">
        <f aca="false">LN(D3252)</f>
        <v>-0.375566557762301</v>
      </c>
    </row>
    <row r="3253" customFormat="false" ht="15.75" hidden="false" customHeight="false" outlineLevel="0" collapsed="false">
      <c r="A3253" s="1" t="s">
        <v>875</v>
      </c>
      <c r="B3253" s="1" t="n">
        <v>394.15</v>
      </c>
      <c r="C3253" s="1" t="n">
        <f aca="false">1/B3253</f>
        <v>0.00253710516300901</v>
      </c>
      <c r="D3253" s="1" t="n">
        <v>0.5975</v>
      </c>
      <c r="E3253" s="1" t="n">
        <f aca="false">LN(D3253)</f>
        <v>-0.515000995176471</v>
      </c>
    </row>
    <row r="3254" customFormat="false" ht="15.75" hidden="false" customHeight="false" outlineLevel="0" collapsed="false">
      <c r="A3254" s="1" t="s">
        <v>875</v>
      </c>
      <c r="B3254" s="1" t="n">
        <v>407.55</v>
      </c>
      <c r="C3254" s="1" t="n">
        <f aca="false">1/B3254</f>
        <v>0.00245368666421298</v>
      </c>
      <c r="D3254" s="1" t="n">
        <v>0.53</v>
      </c>
      <c r="E3254" s="1" t="n">
        <f aca="false">LN(D3254)</f>
        <v>-0.63487827243597</v>
      </c>
    </row>
    <row r="3255" customFormat="false" ht="15.75" hidden="false" customHeight="false" outlineLevel="0" collapsed="false">
      <c r="A3255" s="1" t="s">
        <v>875</v>
      </c>
      <c r="B3255" s="1" t="n">
        <v>428.15</v>
      </c>
      <c r="C3255" s="1" t="n">
        <f aca="false">1/B3255</f>
        <v>0.00233563003620227</v>
      </c>
      <c r="D3255" s="1" t="n">
        <v>0.446</v>
      </c>
      <c r="E3255" s="1" t="n">
        <f aca="false">LN(D3255)</f>
        <v>-0.807436326962073</v>
      </c>
    </row>
    <row r="3256" customFormat="false" ht="15.75" hidden="false" customHeight="false" outlineLevel="0" collapsed="false">
      <c r="A3256" s="1" t="s">
        <v>875</v>
      </c>
      <c r="B3256" s="1" t="n">
        <v>435.15</v>
      </c>
      <c r="C3256" s="1" t="n">
        <f aca="false">1/B3256</f>
        <v>0.00229805814087096</v>
      </c>
      <c r="D3256" s="1" t="n">
        <v>0.424</v>
      </c>
      <c r="E3256" s="1" t="n">
        <f aca="false">LN(D3256)</f>
        <v>-0.858021823750179</v>
      </c>
    </row>
    <row r="3257" customFormat="false" ht="15.75" hidden="false" customHeight="false" outlineLevel="0" collapsed="false">
      <c r="A3257" s="1" t="s">
        <v>877</v>
      </c>
      <c r="B3257" s="1" t="n">
        <v>288.1511</v>
      </c>
      <c r="C3257" s="1" t="n">
        <f aca="false">1/B3257</f>
        <v>0.00347040146645284</v>
      </c>
      <c r="D3257" s="1" t="n">
        <v>0.46</v>
      </c>
      <c r="E3257" s="1" t="n">
        <f aca="false">LN(D3257)</f>
        <v>-0.776528789498996</v>
      </c>
    </row>
    <row r="3258" customFormat="false" ht="15.75" hidden="false" customHeight="false" outlineLevel="0" collapsed="false">
      <c r="A3258" s="1" t="s">
        <v>877</v>
      </c>
      <c r="B3258" s="1" t="n">
        <v>303.15</v>
      </c>
      <c r="C3258" s="1" t="n">
        <f aca="false">1/B3258</f>
        <v>0.0032986970146792</v>
      </c>
      <c r="D3258" s="1" t="n">
        <v>0.388</v>
      </c>
      <c r="E3258" s="1" t="n">
        <f aca="false">LN(D3258)</f>
        <v>-0.946749939358864</v>
      </c>
    </row>
    <row r="3259" customFormat="false" ht="15.75" hidden="false" customHeight="false" outlineLevel="0" collapsed="false">
      <c r="A3259" s="1" t="s">
        <v>877</v>
      </c>
      <c r="B3259" s="1" t="n">
        <v>273.1517</v>
      </c>
      <c r="C3259" s="1" t="n">
        <f aca="false">1/B3259</f>
        <v>0.003660969344141</v>
      </c>
      <c r="D3259" s="1" t="n">
        <v>0.555</v>
      </c>
      <c r="E3259" s="1" t="n">
        <f aca="false">LN(D3259)</f>
        <v>-0.588787165235702</v>
      </c>
    </row>
    <row r="3260" customFormat="false" ht="15.75" hidden="false" customHeight="false" outlineLevel="0" collapsed="false">
      <c r="A3260" s="1" t="s">
        <v>877</v>
      </c>
      <c r="B3260" s="1" t="n">
        <v>283.15</v>
      </c>
      <c r="C3260" s="1" t="n">
        <f aca="false">1/B3260</f>
        <v>0.00353169698039908</v>
      </c>
      <c r="D3260" s="1" t="n">
        <v>0.491</v>
      </c>
      <c r="E3260" s="1" t="n">
        <f aca="false">LN(D3260)</f>
        <v>-0.711311151187616</v>
      </c>
    </row>
    <row r="3261" customFormat="false" ht="15.75" hidden="false" customHeight="false" outlineLevel="0" collapsed="false">
      <c r="A3261" s="1" t="s">
        <v>877</v>
      </c>
      <c r="B3261" s="1" t="n">
        <v>293.15</v>
      </c>
      <c r="C3261" s="1" t="n">
        <f aca="false">1/B3261</f>
        <v>0.00341122292341805</v>
      </c>
      <c r="D3261" s="1" t="n">
        <v>0.439</v>
      </c>
      <c r="E3261" s="1" t="n">
        <f aca="false">LN(D3261)</f>
        <v>-0.823255865906966</v>
      </c>
    </row>
    <row r="3262" customFormat="false" ht="15.75" hidden="false" customHeight="false" outlineLevel="0" collapsed="false">
      <c r="A3262" s="1" t="s">
        <v>877</v>
      </c>
      <c r="B3262" s="1" t="n">
        <v>303.15</v>
      </c>
      <c r="C3262" s="1" t="n">
        <f aca="false">1/B3262</f>
        <v>0.0032986970146792</v>
      </c>
      <c r="D3262" s="1" t="n">
        <v>0.393</v>
      </c>
      <c r="E3262" s="1" t="n">
        <f aca="false">LN(D3262)</f>
        <v>-0.933945667112876</v>
      </c>
    </row>
    <row r="3263" customFormat="false" ht="15.75" hidden="false" customHeight="false" outlineLevel="0" collapsed="false">
      <c r="A3263" s="1" t="s">
        <v>877</v>
      </c>
      <c r="B3263" s="1" t="n">
        <v>313.15</v>
      </c>
      <c r="C3263" s="1" t="n">
        <f aca="false">1/B3263</f>
        <v>0.00319335781574325</v>
      </c>
      <c r="D3263" s="1" t="n">
        <v>0.354</v>
      </c>
      <c r="E3263" s="1" t="n">
        <f aca="false">LN(D3263)</f>
        <v>-1.03845836584836</v>
      </c>
    </row>
    <row r="3264" customFormat="false" ht="15.75" hidden="false" customHeight="false" outlineLevel="0" collapsed="false">
      <c r="A3264" s="1" t="s">
        <v>114</v>
      </c>
      <c r="B3264" s="1" t="n">
        <v>298.15</v>
      </c>
      <c r="C3264" s="1" t="n">
        <f aca="false">1/B3264</f>
        <v>0.00335401643468053</v>
      </c>
      <c r="D3264" s="1" t="n">
        <v>2.4149</v>
      </c>
      <c r="E3264" s="1" t="n">
        <f aca="false">LN(D3264)</f>
        <v>0.881657878379712</v>
      </c>
    </row>
    <row r="3265" customFormat="false" ht="15.75" hidden="false" customHeight="false" outlineLevel="0" collapsed="false">
      <c r="A3265" s="1" t="s">
        <v>114</v>
      </c>
      <c r="B3265" s="1" t="n">
        <v>323.15</v>
      </c>
      <c r="C3265" s="1" t="n">
        <f aca="false">1/B3265</f>
        <v>0.00309453814018258</v>
      </c>
      <c r="D3265" s="1" t="n">
        <v>1.583</v>
      </c>
      <c r="E3265" s="1" t="n">
        <f aca="false">LN(D3265)</f>
        <v>0.459321780898875</v>
      </c>
    </row>
    <row r="3266" customFormat="false" ht="15.75" hidden="false" customHeight="false" outlineLevel="0" collapsed="false">
      <c r="A3266" s="1" t="s">
        <v>114</v>
      </c>
      <c r="B3266" s="1" t="n">
        <v>348.15</v>
      </c>
      <c r="C3266" s="1" t="n">
        <f aca="false">1/B3266</f>
        <v>0.00287232514720666</v>
      </c>
      <c r="D3266" s="1" t="n">
        <v>1.0853</v>
      </c>
      <c r="E3266" s="1" t="n">
        <f aca="false">LN(D3266)</f>
        <v>0.0818564464698321</v>
      </c>
    </row>
    <row r="3267" customFormat="false" ht="15.75" hidden="false" customHeight="false" outlineLevel="0" collapsed="false">
      <c r="A3267" s="1" t="s">
        <v>879</v>
      </c>
      <c r="B3267" s="1" t="n">
        <v>243.15</v>
      </c>
      <c r="C3267" s="1" t="n">
        <f aca="false">1/B3267</f>
        <v>0.00411268764137364</v>
      </c>
      <c r="D3267" s="1" t="n">
        <v>2.51</v>
      </c>
      <c r="E3267" s="1" t="n">
        <f aca="false">LN(D3267)</f>
        <v>0.920282753143692</v>
      </c>
    </row>
    <row r="3268" customFormat="false" ht="15.75" hidden="false" customHeight="false" outlineLevel="0" collapsed="false">
      <c r="A3268" s="1" t="s">
        <v>879</v>
      </c>
      <c r="B3268" s="1" t="n">
        <v>253.15</v>
      </c>
      <c r="C3268" s="1" t="n">
        <f aca="false">1/B3268</f>
        <v>0.00395022713806044</v>
      </c>
      <c r="D3268" s="1" t="n">
        <v>1.93</v>
      </c>
      <c r="E3268" s="1" t="n">
        <f aca="false">LN(D3268)</f>
        <v>0.657520002916794</v>
      </c>
    </row>
    <row r="3269" customFormat="false" ht="15.75" hidden="false" customHeight="false" outlineLevel="0" collapsed="false">
      <c r="A3269" s="1" t="s">
        <v>879</v>
      </c>
      <c r="B3269" s="1" t="n">
        <v>263.15</v>
      </c>
      <c r="C3269" s="1" t="n">
        <f aca="false">1/B3269</f>
        <v>0.0038001140034201</v>
      </c>
      <c r="D3269" s="1" t="n">
        <v>1.55</v>
      </c>
      <c r="E3269" s="1" t="n">
        <f aca="false">LN(D3269)</f>
        <v>0.438254930931155</v>
      </c>
    </row>
    <row r="3270" customFormat="false" ht="15.75" hidden="false" customHeight="false" outlineLevel="0" collapsed="false">
      <c r="A3270" s="1" t="s">
        <v>879</v>
      </c>
      <c r="B3270" s="1" t="n">
        <v>273.15</v>
      </c>
      <c r="C3270" s="1" t="n">
        <f aca="false">1/B3270</f>
        <v>0.00366099212886692</v>
      </c>
      <c r="D3270" s="1" t="n">
        <v>1.27</v>
      </c>
      <c r="E3270" s="1" t="n">
        <f aca="false">LN(D3270)</f>
        <v>0.2390169004705</v>
      </c>
    </row>
    <row r="3271" customFormat="false" ht="15.75" hidden="false" customHeight="false" outlineLevel="0" collapsed="false">
      <c r="A3271" s="1" t="s">
        <v>879</v>
      </c>
      <c r="B3271" s="1" t="n">
        <v>283.15</v>
      </c>
      <c r="C3271" s="1" t="n">
        <f aca="false">1/B3271</f>
        <v>0.00353169698039908</v>
      </c>
      <c r="D3271" s="1" t="n">
        <v>1.07</v>
      </c>
      <c r="E3271" s="1" t="n">
        <f aca="false">LN(D3271)</f>
        <v>0.0676586484738149</v>
      </c>
    </row>
    <row r="3272" customFormat="false" ht="15.75" hidden="false" customHeight="false" outlineLevel="0" collapsed="false">
      <c r="A3272" s="1" t="s">
        <v>879</v>
      </c>
      <c r="B3272" s="1" t="n">
        <v>293.15</v>
      </c>
      <c r="C3272" s="1" t="n">
        <f aca="false">1/B3272</f>
        <v>0.00341122292341805</v>
      </c>
      <c r="D3272" s="1" t="n">
        <v>0.907</v>
      </c>
      <c r="E3272" s="1" t="n">
        <f aca="false">LN(D3272)</f>
        <v>-0.0976128288670004</v>
      </c>
    </row>
    <row r="3273" customFormat="false" ht="15.75" hidden="false" customHeight="false" outlineLevel="0" collapsed="false">
      <c r="A3273" s="1" t="s">
        <v>879</v>
      </c>
      <c r="B3273" s="1" t="n">
        <v>283.15</v>
      </c>
      <c r="C3273" s="1" t="n">
        <f aca="false">1/B3273</f>
        <v>0.00353169698039908</v>
      </c>
      <c r="D3273" s="1" t="n">
        <v>1.0595</v>
      </c>
      <c r="E3273" s="1" t="n">
        <f aca="false">LN(D3273)</f>
        <v>0.0577970987262168</v>
      </c>
    </row>
    <row r="3274" customFormat="false" ht="15.75" hidden="false" customHeight="false" outlineLevel="0" collapsed="false">
      <c r="A3274" s="1" t="s">
        <v>879</v>
      </c>
      <c r="B3274" s="1" t="n">
        <v>293.15</v>
      </c>
      <c r="C3274" s="1" t="n">
        <f aca="false">1/B3274</f>
        <v>0.00341122292341805</v>
      </c>
      <c r="D3274" s="1" t="n">
        <v>0.9019</v>
      </c>
      <c r="E3274" s="1" t="n">
        <f aca="false">LN(D3274)</f>
        <v>-0.103251629810475</v>
      </c>
    </row>
    <row r="3275" customFormat="false" ht="15.75" hidden="false" customHeight="false" outlineLevel="0" collapsed="false">
      <c r="A3275" s="1" t="s">
        <v>879</v>
      </c>
      <c r="B3275" s="1" t="n">
        <v>303.15</v>
      </c>
      <c r="C3275" s="1" t="n">
        <f aca="false">1/B3275</f>
        <v>0.0032986970146792</v>
      </c>
      <c r="D3275" s="1" t="n">
        <v>0.7772</v>
      </c>
      <c r="E3275" s="1" t="n">
        <f aca="false">LN(D3275)</f>
        <v>-0.252057561478852</v>
      </c>
    </row>
    <row r="3276" customFormat="false" ht="15.75" hidden="false" customHeight="false" outlineLevel="0" collapsed="false">
      <c r="A3276" s="1" t="s">
        <v>879</v>
      </c>
      <c r="B3276" s="1" t="n">
        <v>313.15</v>
      </c>
      <c r="C3276" s="1" t="n">
        <f aca="false">1/B3276</f>
        <v>0.00319335781574325</v>
      </c>
      <c r="D3276" s="1" t="n">
        <v>0.6786</v>
      </c>
      <c r="E3276" s="1" t="n">
        <f aca="false">LN(D3276)</f>
        <v>-0.387723426632007</v>
      </c>
    </row>
    <row r="3277" customFormat="false" ht="15.75" hidden="false" customHeight="false" outlineLevel="0" collapsed="false">
      <c r="A3277" s="1" t="s">
        <v>879</v>
      </c>
      <c r="B3277" s="1" t="n">
        <v>333.15</v>
      </c>
      <c r="C3277" s="1" t="n">
        <f aca="false">1/B3277</f>
        <v>0.0030016509079994</v>
      </c>
      <c r="D3277" s="1" t="n">
        <v>0.5333</v>
      </c>
      <c r="E3277" s="1" t="n">
        <f aca="false">LN(D3277)</f>
        <v>-0.628671161375581</v>
      </c>
    </row>
    <row r="3278" customFormat="false" ht="15.75" hidden="false" customHeight="false" outlineLevel="0" collapsed="false">
      <c r="A3278" s="1" t="s">
        <v>879</v>
      </c>
      <c r="B3278" s="1" t="n">
        <v>353.15</v>
      </c>
      <c r="C3278" s="1" t="n">
        <f aca="false">1/B3278</f>
        <v>0.00283165793572137</v>
      </c>
      <c r="D3278" s="1" t="n">
        <v>0.4314</v>
      </c>
      <c r="E3278" s="1" t="n">
        <f aca="false">LN(D3278)</f>
        <v>-0.840719545027081</v>
      </c>
    </row>
    <row r="3279" customFormat="false" ht="15.75" hidden="false" customHeight="false" outlineLevel="0" collapsed="false">
      <c r="A3279" s="1" t="s">
        <v>879</v>
      </c>
      <c r="B3279" s="1" t="n">
        <v>373.15</v>
      </c>
      <c r="C3279" s="1" t="n">
        <f aca="false">1/B3279</f>
        <v>0.00267988744472732</v>
      </c>
      <c r="D3279" s="1" t="n">
        <v>0.3569</v>
      </c>
      <c r="E3279" s="1" t="n">
        <f aca="false">LN(D3279)</f>
        <v>-1.03029964848602</v>
      </c>
    </row>
    <row r="3280" customFormat="false" ht="15.75" hidden="false" customHeight="false" outlineLevel="0" collapsed="false">
      <c r="A3280" s="1" t="s">
        <v>879</v>
      </c>
      <c r="B3280" s="1" t="n">
        <v>298.15203</v>
      </c>
      <c r="C3280" s="1" t="n">
        <f aca="false">1/B3280</f>
        <v>0.00335399359850074</v>
      </c>
      <c r="D3280" s="1" t="n">
        <v>0.859</v>
      </c>
      <c r="E3280" s="1" t="n">
        <f aca="false">LN(D3280)</f>
        <v>-0.151986356997882</v>
      </c>
    </row>
    <row r="3281" customFormat="false" ht="15.75" hidden="false" customHeight="false" outlineLevel="0" collapsed="false">
      <c r="A3281" s="1" t="s">
        <v>879</v>
      </c>
      <c r="B3281" s="1" t="n">
        <v>293.15213</v>
      </c>
      <c r="C3281" s="1" t="n">
        <f aca="false">1/B3281</f>
        <v>0.00341119813797703</v>
      </c>
      <c r="D3281" s="1" t="n">
        <v>0.9183</v>
      </c>
      <c r="E3281" s="1" t="n">
        <f aca="false">LN(D3281)</f>
        <v>-0.0852311443626605</v>
      </c>
    </row>
    <row r="3282" customFormat="false" ht="15.75" hidden="false" customHeight="false" outlineLevel="0" collapsed="false">
      <c r="A3282" s="1" t="s">
        <v>879</v>
      </c>
      <c r="B3282" s="1" t="n">
        <v>298.15</v>
      </c>
      <c r="C3282" s="1" t="n">
        <f aca="false">1/B3282</f>
        <v>0.00335401643468053</v>
      </c>
      <c r="D3282" s="1" t="n">
        <v>0.8505</v>
      </c>
      <c r="E3282" s="1" t="n">
        <f aca="false">LN(D3282)</f>
        <v>-0.161930867146221</v>
      </c>
    </row>
    <row r="3283" customFormat="false" ht="15.75" hidden="false" customHeight="false" outlineLevel="0" collapsed="false">
      <c r="A3283" s="1" t="s">
        <v>879</v>
      </c>
      <c r="B3283" s="1" t="n">
        <v>308.15214</v>
      </c>
      <c r="C3283" s="1" t="n">
        <f aca="false">1/B3283</f>
        <v>0.00324515026895481</v>
      </c>
      <c r="D3283" s="1" t="n">
        <v>0.7406</v>
      </c>
      <c r="E3283" s="1" t="n">
        <f aca="false">LN(D3283)</f>
        <v>-0.300294610502625</v>
      </c>
    </row>
    <row r="3284" customFormat="false" ht="15.75" hidden="false" customHeight="false" outlineLevel="0" collapsed="false">
      <c r="A3284" s="1" t="s">
        <v>879</v>
      </c>
      <c r="B3284" s="1" t="n">
        <v>313.15</v>
      </c>
      <c r="C3284" s="1" t="n">
        <f aca="false">1/B3284</f>
        <v>0.00319335781574325</v>
      </c>
      <c r="D3284" s="1" t="n">
        <v>0.6924</v>
      </c>
      <c r="E3284" s="1" t="n">
        <f aca="false">LN(D3284)</f>
        <v>-0.367591455680083</v>
      </c>
    </row>
    <row r="3285" customFormat="false" ht="15.75" hidden="false" customHeight="false" outlineLevel="0" collapsed="false">
      <c r="A3285" s="1" t="s">
        <v>879</v>
      </c>
      <c r="B3285" s="1" t="n">
        <v>243.5</v>
      </c>
      <c r="C3285" s="1" t="n">
        <f aca="false">1/B3285</f>
        <v>0.00410677618069815</v>
      </c>
      <c r="D3285" s="1" t="n">
        <v>2.4369</v>
      </c>
      <c r="E3285" s="1" t="n">
        <f aca="false">LN(D3285)</f>
        <v>0.890726739742881</v>
      </c>
    </row>
    <row r="3286" customFormat="false" ht="15.75" hidden="false" customHeight="false" outlineLevel="0" collapsed="false">
      <c r="A3286" s="1" t="s">
        <v>879</v>
      </c>
      <c r="B3286" s="1" t="n">
        <v>244.22</v>
      </c>
      <c r="C3286" s="1" t="n">
        <f aca="false">1/B3286</f>
        <v>0.00409466874129883</v>
      </c>
      <c r="D3286" s="1" t="n">
        <v>2.3914</v>
      </c>
      <c r="E3286" s="1" t="n">
        <f aca="false">LN(D3286)</f>
        <v>0.871878968503343</v>
      </c>
    </row>
    <row r="3287" customFormat="false" ht="15.75" hidden="false" customHeight="false" outlineLevel="0" collapsed="false">
      <c r="A3287" s="1" t="s">
        <v>879</v>
      </c>
      <c r="B3287" s="1" t="n">
        <v>244.94</v>
      </c>
      <c r="C3287" s="1" t="n">
        <f aca="false">1/B3287</f>
        <v>0.00408263248142402</v>
      </c>
      <c r="D3287" s="1" t="n">
        <v>2.3472</v>
      </c>
      <c r="E3287" s="1" t="n">
        <f aca="false">LN(D3287)</f>
        <v>0.85322312840658</v>
      </c>
    </row>
    <row r="3288" customFormat="false" ht="15.75" hidden="false" customHeight="false" outlineLevel="0" collapsed="false">
      <c r="A3288" s="1" t="s">
        <v>879</v>
      </c>
      <c r="B3288" s="1" t="n">
        <v>245.66</v>
      </c>
      <c r="C3288" s="1" t="n">
        <f aca="false">1/B3288</f>
        <v>0.00407066677521778</v>
      </c>
      <c r="D3288" s="1" t="n">
        <v>2.3043</v>
      </c>
      <c r="E3288" s="1" t="n">
        <f aca="false">LN(D3288)</f>
        <v>0.834776942690609</v>
      </c>
    </row>
    <row r="3289" customFormat="false" ht="15.75" hidden="false" customHeight="false" outlineLevel="0" collapsed="false">
      <c r="A3289" s="1" t="s">
        <v>879</v>
      </c>
      <c r="B3289" s="1" t="n">
        <v>246.38</v>
      </c>
      <c r="C3289" s="1" t="n">
        <f aca="false">1/B3289</f>
        <v>0.00405877100413995</v>
      </c>
      <c r="D3289" s="1" t="n">
        <v>2.2626</v>
      </c>
      <c r="E3289" s="1" t="n">
        <f aca="false">LN(D3289)</f>
        <v>0.816514594510229</v>
      </c>
    </row>
    <row r="3290" customFormat="false" ht="15.75" hidden="false" customHeight="false" outlineLevel="0" collapsed="false">
      <c r="A3290" s="1" t="s">
        <v>879</v>
      </c>
      <c r="B3290" s="1" t="n">
        <v>247.1</v>
      </c>
      <c r="C3290" s="1" t="n">
        <f aca="false">1/B3290</f>
        <v>0.00404694455685957</v>
      </c>
      <c r="D3290" s="1" t="n">
        <v>2.222</v>
      </c>
      <c r="E3290" s="1" t="n">
        <f aca="false">LN(D3290)</f>
        <v>0.798407691217438</v>
      </c>
    </row>
    <row r="3291" customFormat="false" ht="15.75" hidden="false" customHeight="false" outlineLevel="0" collapsed="false">
      <c r="A3291" s="1" t="s">
        <v>879</v>
      </c>
      <c r="B3291" s="1" t="n">
        <v>247.81</v>
      </c>
      <c r="C3291" s="1" t="n">
        <f aca="false">1/B3291</f>
        <v>0.0040353496630483</v>
      </c>
      <c r="D3291" s="1" t="n">
        <v>2.1826</v>
      </c>
      <c r="E3291" s="1" t="n">
        <f aca="false">LN(D3291)</f>
        <v>0.780516826696852</v>
      </c>
    </row>
    <row r="3292" customFormat="false" ht="15.75" hidden="false" customHeight="false" outlineLevel="0" collapsed="false">
      <c r="A3292" s="1" t="s">
        <v>879</v>
      </c>
      <c r="B3292" s="1" t="n">
        <v>248.53</v>
      </c>
      <c r="C3292" s="1" t="n">
        <f aca="false">1/B3292</f>
        <v>0.00402365911559973</v>
      </c>
      <c r="D3292" s="1" t="n">
        <v>2.1443</v>
      </c>
      <c r="E3292" s="1" t="n">
        <f aca="false">LN(D3292)</f>
        <v>0.762813158793048</v>
      </c>
    </row>
    <row r="3293" customFormat="false" ht="15.75" hidden="false" customHeight="false" outlineLevel="0" collapsed="false">
      <c r="A3293" s="1" t="s">
        <v>879</v>
      </c>
      <c r="B3293" s="1" t="n">
        <v>249.25</v>
      </c>
      <c r="C3293" s="1" t="n">
        <f aca="false">1/B3293</f>
        <v>0.00401203610832498</v>
      </c>
      <c r="D3293" s="1" t="n">
        <v>2.107</v>
      </c>
      <c r="E3293" s="1" t="n">
        <f aca="false">LN(D3293)</f>
        <v>0.745265134822052</v>
      </c>
    </row>
    <row r="3294" customFormat="false" ht="15.75" hidden="false" customHeight="false" outlineLevel="0" collapsed="false">
      <c r="A3294" s="1" t="s">
        <v>879</v>
      </c>
      <c r="B3294" s="1" t="n">
        <v>249.97</v>
      </c>
      <c r="C3294" s="1" t="n">
        <f aca="false">1/B3294</f>
        <v>0.00400048005760691</v>
      </c>
      <c r="D3294" s="1" t="n">
        <v>2.0707</v>
      </c>
      <c r="E3294" s="1" t="n">
        <f aca="false">LN(D3294)</f>
        <v>0.727886714363842</v>
      </c>
    </row>
    <row r="3295" customFormat="false" ht="15.75" hidden="false" customHeight="false" outlineLevel="0" collapsed="false">
      <c r="A3295" s="1" t="s">
        <v>879</v>
      </c>
      <c r="B3295" s="1" t="n">
        <v>250.69</v>
      </c>
      <c r="C3295" s="1" t="n">
        <f aca="false">1/B3295</f>
        <v>0.00398899038653317</v>
      </c>
      <c r="D3295" s="1" t="n">
        <v>2.0354</v>
      </c>
      <c r="E3295" s="1" t="n">
        <f aca="false">LN(D3295)</f>
        <v>0.710692359775694</v>
      </c>
    </row>
    <row r="3296" customFormat="false" ht="15.75" hidden="false" customHeight="false" outlineLevel="0" collapsed="false">
      <c r="A3296" s="1" t="s">
        <v>879</v>
      </c>
      <c r="B3296" s="1" t="n">
        <v>251.41</v>
      </c>
      <c r="C3296" s="1" t="n">
        <f aca="false">1/B3296</f>
        <v>0.00397756652480013</v>
      </c>
      <c r="D3296" s="1" t="n">
        <v>2.001</v>
      </c>
      <c r="E3296" s="1" t="n">
        <f aca="false">LN(D3296)</f>
        <v>0.693647055601596</v>
      </c>
    </row>
    <row r="3297" customFormat="false" ht="15.75" hidden="false" customHeight="false" outlineLevel="0" collapsed="false">
      <c r="A3297" s="1" t="s">
        <v>879</v>
      </c>
      <c r="B3297" s="1" t="n">
        <v>252.13</v>
      </c>
      <c r="C3297" s="1" t="n">
        <f aca="false">1/B3297</f>
        <v>0.00396620790861857</v>
      </c>
      <c r="D3297" s="1" t="n">
        <v>1.9675</v>
      </c>
      <c r="E3297" s="1" t="n">
        <f aca="false">LN(D3297)</f>
        <v>0.676763701309421</v>
      </c>
    </row>
    <row r="3298" customFormat="false" ht="15.75" hidden="false" customHeight="false" outlineLevel="0" collapsed="false">
      <c r="A3298" s="1" t="s">
        <v>879</v>
      </c>
      <c r="B3298" s="1" t="n">
        <v>252.85</v>
      </c>
      <c r="C3298" s="1" t="n">
        <f aca="false">1/B3298</f>
        <v>0.00395491398062092</v>
      </c>
      <c r="D3298" s="1" t="n">
        <v>1.9348</v>
      </c>
      <c r="E3298" s="1" t="n">
        <f aca="false">LN(D3298)</f>
        <v>0.660003961966691</v>
      </c>
    </row>
    <row r="3299" customFormat="false" ht="15.75" hidden="false" customHeight="false" outlineLevel="0" collapsed="false">
      <c r="A3299" s="1" t="s">
        <v>879</v>
      </c>
      <c r="B3299" s="1" t="n">
        <v>253.57</v>
      </c>
      <c r="C3299" s="1" t="n">
        <f aca="false">1/B3299</f>
        <v>0.00394368418977008</v>
      </c>
      <c r="D3299" s="1" t="n">
        <v>1.903</v>
      </c>
      <c r="E3299" s="1" t="n">
        <f aca="false">LN(D3299)</f>
        <v>0.643431588314012</v>
      </c>
    </row>
    <row r="3300" customFormat="false" ht="15.75" hidden="false" customHeight="false" outlineLevel="0" collapsed="false">
      <c r="A3300" s="1" t="s">
        <v>879</v>
      </c>
      <c r="B3300" s="1" t="n">
        <v>254.29</v>
      </c>
      <c r="C3300" s="1" t="n">
        <f aca="false">1/B3300</f>
        <v>0.00393251799126981</v>
      </c>
      <c r="D3300" s="1" t="n">
        <v>1.872</v>
      </c>
      <c r="E3300" s="1" t="n">
        <f aca="false">LN(D3300)</f>
        <v>0.6270073780554</v>
      </c>
    </row>
    <row r="3301" customFormat="false" ht="15.75" hidden="false" customHeight="false" outlineLevel="0" collapsed="false">
      <c r="A3301" s="1" t="s">
        <v>879</v>
      </c>
      <c r="B3301" s="1" t="n">
        <v>255.01</v>
      </c>
      <c r="C3301" s="1" t="n">
        <f aca="false">1/B3301</f>
        <v>0.00392141484647661</v>
      </c>
      <c r="D3301" s="1" t="n">
        <v>1.8418</v>
      </c>
      <c r="E3301" s="1" t="n">
        <f aca="false">LN(D3301)</f>
        <v>0.61074335430513</v>
      </c>
    </row>
    <row r="3302" customFormat="false" ht="15.75" hidden="false" customHeight="false" outlineLevel="0" collapsed="false">
      <c r="A3302" s="1" t="s">
        <v>879</v>
      </c>
      <c r="B3302" s="1" t="n">
        <v>255.73</v>
      </c>
      <c r="C3302" s="1" t="n">
        <f aca="false">1/B3302</f>
        <v>0.00391037422281312</v>
      </c>
      <c r="D3302" s="1" t="n">
        <v>1.8123</v>
      </c>
      <c r="E3302" s="1" t="n">
        <f aca="false">LN(D3302)</f>
        <v>0.594596756830668</v>
      </c>
    </row>
    <row r="3303" customFormat="false" ht="15.75" hidden="false" customHeight="false" outlineLevel="0" collapsed="false">
      <c r="A3303" s="1" t="s">
        <v>879</v>
      </c>
      <c r="B3303" s="1" t="n">
        <v>256.44</v>
      </c>
      <c r="C3303" s="1" t="n">
        <f aca="false">1/B3303</f>
        <v>0.00389954765247231</v>
      </c>
      <c r="D3303" s="1" t="n">
        <v>1.7836</v>
      </c>
      <c r="E3303" s="1" t="n">
        <f aca="false">LN(D3303)</f>
        <v>0.578633793771185</v>
      </c>
    </row>
    <row r="3304" customFormat="false" ht="15.75" hidden="false" customHeight="false" outlineLevel="0" collapsed="false">
      <c r="A3304" s="1" t="s">
        <v>879</v>
      </c>
      <c r="B3304" s="1" t="n">
        <v>257.16</v>
      </c>
      <c r="C3304" s="1" t="n">
        <f aca="false">1/B3304</f>
        <v>0.00388862964691243</v>
      </c>
      <c r="D3304" s="1" t="n">
        <v>1.7556</v>
      </c>
      <c r="E3304" s="1" t="n">
        <f aca="false">LN(D3304)</f>
        <v>0.562810678831942</v>
      </c>
    </row>
    <row r="3305" customFormat="false" ht="15.75" hidden="false" customHeight="false" outlineLevel="0" collapsed="false">
      <c r="A3305" s="1" t="s">
        <v>879</v>
      </c>
      <c r="B3305" s="1" t="n">
        <v>257.88</v>
      </c>
      <c r="C3305" s="1" t="n">
        <f aca="false">1/B3305</f>
        <v>0.0038777726074143</v>
      </c>
      <c r="D3305" s="1" t="n">
        <v>1.7282</v>
      </c>
      <c r="E3305" s="1" t="n">
        <f aca="false">LN(D3305)</f>
        <v>0.547080404425162</v>
      </c>
    </row>
    <row r="3306" customFormat="false" ht="15.75" hidden="false" customHeight="false" outlineLevel="0" collapsed="false">
      <c r="A3306" s="1" t="s">
        <v>879</v>
      </c>
      <c r="B3306" s="1" t="n">
        <v>258.6</v>
      </c>
      <c r="C3306" s="1" t="n">
        <f aca="false">1/B3306</f>
        <v>0.00386697602474865</v>
      </c>
      <c r="D3306" s="1" t="n">
        <v>1.7015</v>
      </c>
      <c r="E3306" s="1" t="n">
        <f aca="false">LN(D3306)</f>
        <v>0.531510214958823</v>
      </c>
    </row>
    <row r="3307" customFormat="false" ht="15.75" hidden="false" customHeight="false" outlineLevel="0" collapsed="false">
      <c r="A3307" s="1" t="s">
        <v>879</v>
      </c>
      <c r="B3307" s="1" t="n">
        <v>259.32</v>
      </c>
      <c r="C3307" s="1" t="n">
        <f aca="false">1/B3307</f>
        <v>0.00385623939534166</v>
      </c>
      <c r="D3307" s="1" t="n">
        <v>1.6755</v>
      </c>
      <c r="E3307" s="1" t="n">
        <f aca="false">LN(D3307)</f>
        <v>0.516111628195228</v>
      </c>
    </row>
    <row r="3308" customFormat="false" ht="15.75" hidden="false" customHeight="false" outlineLevel="0" collapsed="false">
      <c r="A3308" s="1" t="s">
        <v>879</v>
      </c>
      <c r="B3308" s="1" t="n">
        <v>260.04</v>
      </c>
      <c r="C3308" s="1" t="n">
        <f aca="false">1/B3308</f>
        <v>0.00384556222119674</v>
      </c>
      <c r="D3308" s="1" t="n">
        <v>1.65</v>
      </c>
      <c r="E3308" s="1" t="n">
        <f aca="false">LN(D3308)</f>
        <v>0.500775287912489</v>
      </c>
    </row>
    <row r="3309" customFormat="false" ht="15.75" hidden="false" customHeight="false" outlineLevel="0" collapsed="false">
      <c r="A3309" s="1" t="s">
        <v>879</v>
      </c>
      <c r="B3309" s="1" t="n">
        <v>260.76</v>
      </c>
      <c r="C3309" s="1" t="n">
        <f aca="false">1/B3309</f>
        <v>0.00383494400981746</v>
      </c>
      <c r="D3309" s="1" t="n">
        <v>1.6252</v>
      </c>
      <c r="E3309" s="1" t="n">
        <f aca="false">LN(D3309)</f>
        <v>0.485630885131435</v>
      </c>
    </row>
    <row r="3310" customFormat="false" ht="15.75" hidden="false" customHeight="false" outlineLevel="0" collapsed="false">
      <c r="A3310" s="1" t="s">
        <v>879</v>
      </c>
      <c r="B3310" s="1" t="n">
        <v>261.48</v>
      </c>
      <c r="C3310" s="1" t="n">
        <f aca="false">1/B3310</f>
        <v>0.00382438427413186</v>
      </c>
      <c r="D3310" s="1" t="n">
        <v>1.6009</v>
      </c>
      <c r="E3310" s="1" t="n">
        <f aca="false">LN(D3310)</f>
        <v>0.470565971101912</v>
      </c>
    </row>
    <row r="3311" customFormat="false" ht="15.75" hidden="false" customHeight="false" outlineLevel="0" collapsed="false">
      <c r="A3311" s="1" t="s">
        <v>879</v>
      </c>
      <c r="B3311" s="1" t="n">
        <v>262.2</v>
      </c>
      <c r="C3311" s="1" t="n">
        <f aca="false">1/B3311</f>
        <v>0.003813882532418</v>
      </c>
      <c r="D3311" s="1" t="n">
        <v>1.5772</v>
      </c>
      <c r="E3311" s="1" t="n">
        <f aca="false">LN(D3311)</f>
        <v>0.455651123021335</v>
      </c>
    </row>
    <row r="3312" customFormat="false" ht="15.75" hidden="false" customHeight="false" outlineLevel="0" collapsed="false">
      <c r="A3312" s="1" t="s">
        <v>879</v>
      </c>
      <c r="B3312" s="1" t="n">
        <v>262.92</v>
      </c>
      <c r="C3312" s="1" t="n">
        <f aca="false">1/B3312</f>
        <v>0.00380343830823064</v>
      </c>
      <c r="D3312" s="1" t="n">
        <v>1.5541</v>
      </c>
      <c r="E3312" s="1" t="n">
        <f aca="false">LN(D3312)</f>
        <v>0.440896599939429</v>
      </c>
    </row>
    <row r="3313" customFormat="false" ht="15.75" hidden="false" customHeight="false" outlineLevel="0" collapsed="false">
      <c r="A3313" s="1" t="s">
        <v>879</v>
      </c>
      <c r="B3313" s="1" t="n">
        <v>263.64</v>
      </c>
      <c r="C3313" s="1" t="n">
        <f aca="false">1/B3313</f>
        <v>0.00379305113032924</v>
      </c>
      <c r="D3313" s="1" t="n">
        <v>1.5314</v>
      </c>
      <c r="E3313" s="1" t="n">
        <f aca="false">LN(D3313)</f>
        <v>0.426182349696886</v>
      </c>
    </row>
    <row r="3314" customFormat="false" ht="15.75" hidden="false" customHeight="false" outlineLevel="0" collapsed="false">
      <c r="A3314" s="1" t="s">
        <v>879</v>
      </c>
      <c r="B3314" s="1" t="n">
        <v>264.36</v>
      </c>
      <c r="C3314" s="1" t="n">
        <f aca="false">1/B3314</f>
        <v>0.00378272053260705</v>
      </c>
      <c r="D3314" s="1" t="n">
        <v>1.5093</v>
      </c>
      <c r="E3314" s="1" t="n">
        <f aca="false">LN(D3314)</f>
        <v>0.411645967183246</v>
      </c>
    </row>
    <row r="3315" customFormat="false" ht="15.75" hidden="false" customHeight="false" outlineLevel="0" collapsed="false">
      <c r="A3315" s="1" t="s">
        <v>879</v>
      </c>
      <c r="B3315" s="1" t="n">
        <v>265.08</v>
      </c>
      <c r="C3315" s="1" t="n">
        <f aca="false">1/B3315</f>
        <v>0.00377244605402143</v>
      </c>
      <c r="D3315" s="1" t="n">
        <v>1.4877</v>
      </c>
      <c r="E3315" s="1" t="n">
        <f aca="false">LN(D3315)</f>
        <v>0.397231303181061</v>
      </c>
    </row>
    <row r="3316" customFormat="false" ht="15.75" hidden="false" customHeight="false" outlineLevel="0" collapsed="false">
      <c r="A3316" s="1" t="s">
        <v>879</v>
      </c>
      <c r="B3316" s="1" t="n">
        <v>265.79</v>
      </c>
      <c r="C3316" s="1" t="n">
        <f aca="false">1/B3316</f>
        <v>0.00376236878738854</v>
      </c>
      <c r="D3316" s="1" t="n">
        <v>1.4665</v>
      </c>
      <c r="E3316" s="1" t="n">
        <f aca="false">LN(D3316)</f>
        <v>0.382878609435369</v>
      </c>
    </row>
    <row r="3317" customFormat="false" ht="15.75" hidden="false" customHeight="false" outlineLevel="0" collapsed="false">
      <c r="A3317" s="1" t="s">
        <v>879</v>
      </c>
      <c r="B3317" s="1" t="n">
        <v>266.51</v>
      </c>
      <c r="C3317" s="1" t="n">
        <f aca="false">1/B3317</f>
        <v>0.00375220442009681</v>
      </c>
      <c r="D3317" s="1" t="n">
        <v>1.4458</v>
      </c>
      <c r="E3317" s="1" t="n">
        <f aca="false">LN(D3317)</f>
        <v>0.36866280158406</v>
      </c>
    </row>
    <row r="3318" customFormat="false" ht="15.75" hidden="false" customHeight="false" outlineLevel="0" collapsed="false">
      <c r="A3318" s="1" t="s">
        <v>879</v>
      </c>
      <c r="B3318" s="1" t="n">
        <v>267.23</v>
      </c>
      <c r="C3318" s="1" t="n">
        <f aca="false">1/B3318</f>
        <v>0.00374209482468286</v>
      </c>
      <c r="D3318" s="1" t="n">
        <v>1.4256</v>
      </c>
      <c r="E3318" s="1" t="n">
        <f aca="false">LN(D3318)</f>
        <v>0.354592777734408</v>
      </c>
    </row>
    <row r="3319" customFormat="false" ht="15.75" hidden="false" customHeight="false" outlineLevel="0" collapsed="false">
      <c r="A3319" s="1" t="s">
        <v>879</v>
      </c>
      <c r="B3319" s="1" t="n">
        <v>267.95</v>
      </c>
      <c r="C3319" s="1" t="n">
        <f aca="false">1/B3319</f>
        <v>0.00373203955961933</v>
      </c>
      <c r="D3319" s="1" t="n">
        <v>1.4058</v>
      </c>
      <c r="E3319" s="1" t="n">
        <f aca="false">LN(D3319)</f>
        <v>0.340606535759668</v>
      </c>
    </row>
    <row r="3320" customFormat="false" ht="15.75" hidden="false" customHeight="false" outlineLevel="0" collapsed="false">
      <c r="A3320" s="1" t="s">
        <v>879</v>
      </c>
      <c r="B3320" s="1" t="n">
        <v>268.67</v>
      </c>
      <c r="C3320" s="1" t="n">
        <f aca="false">1/B3320</f>
        <v>0.00372203818811181</v>
      </c>
      <c r="D3320" s="1" t="n">
        <v>1.3864</v>
      </c>
      <c r="E3320" s="1" t="n">
        <f aca="false">LN(D3320)</f>
        <v>0.326710459419259</v>
      </c>
    </row>
    <row r="3321" customFormat="false" ht="15.75" hidden="false" customHeight="false" outlineLevel="0" collapsed="false">
      <c r="A3321" s="1" t="s">
        <v>879</v>
      </c>
      <c r="B3321" s="1" t="n">
        <v>269.39</v>
      </c>
      <c r="C3321" s="1" t="n">
        <f aca="false">1/B3321</f>
        <v>0.00371209027803556</v>
      </c>
      <c r="D3321" s="1" t="n">
        <v>1.3675</v>
      </c>
      <c r="E3321" s="1" t="n">
        <f aca="false">LN(D3321)</f>
        <v>0.312984255313999</v>
      </c>
    </row>
    <row r="3322" customFormat="false" ht="15.75" hidden="false" customHeight="false" outlineLevel="0" collapsed="false">
      <c r="A3322" s="1" t="s">
        <v>879</v>
      </c>
      <c r="B3322" s="1" t="n">
        <v>270.11</v>
      </c>
      <c r="C3322" s="1" t="n">
        <f aca="false">1/B3322</f>
        <v>0.00370219540187331</v>
      </c>
      <c r="D3322" s="1" t="n">
        <v>1.3489</v>
      </c>
      <c r="E3322" s="1" t="n">
        <f aca="false">LN(D3322)</f>
        <v>0.299289445493497</v>
      </c>
    </row>
    <row r="3323" customFormat="false" ht="15.75" hidden="false" customHeight="false" outlineLevel="0" collapsed="false">
      <c r="A3323" s="1" t="s">
        <v>879</v>
      </c>
      <c r="B3323" s="1" t="n">
        <v>270.83</v>
      </c>
      <c r="C3323" s="1" t="n">
        <f aca="false">1/B3323</f>
        <v>0.00369235313665399</v>
      </c>
      <c r="D3323" s="1" t="n">
        <v>1.3308</v>
      </c>
      <c r="E3323" s="1" t="n">
        <f aca="false">LN(D3323)</f>
        <v>0.285780265162185</v>
      </c>
    </row>
    <row r="3324" customFormat="false" ht="15.75" hidden="false" customHeight="false" outlineLevel="0" collapsed="false">
      <c r="A3324" s="1" t="s">
        <v>879</v>
      </c>
      <c r="B3324" s="1" t="n">
        <v>271.55</v>
      </c>
      <c r="C3324" s="1" t="n">
        <f aca="false">1/B3324</f>
        <v>0.00368256306389247</v>
      </c>
      <c r="D3324" s="1" t="n">
        <v>1.313</v>
      </c>
      <c r="E3324" s="1" t="n">
        <f aca="false">LN(D3324)</f>
        <v>0.272314595320659</v>
      </c>
    </row>
    <row r="3325" customFormat="false" ht="15.75" hidden="false" customHeight="false" outlineLevel="0" collapsed="false">
      <c r="A3325" s="1" t="s">
        <v>879</v>
      </c>
      <c r="B3325" s="1" t="n">
        <v>272.27</v>
      </c>
      <c r="C3325" s="1" t="n">
        <f aca="false">1/B3325</f>
        <v>0.00367282476953025</v>
      </c>
      <c r="D3325" s="1" t="n">
        <v>1.2955</v>
      </c>
      <c r="E3325" s="1" t="n">
        <f aca="false">LN(D3325)</f>
        <v>0.258896721020028</v>
      </c>
    </row>
    <row r="3326" customFormat="false" ht="15.75" hidden="false" customHeight="false" outlineLevel="0" collapsed="false">
      <c r="A3326" s="1" t="s">
        <v>879</v>
      </c>
      <c r="B3326" s="1" t="n">
        <v>272.99</v>
      </c>
      <c r="C3326" s="1" t="n">
        <f aca="false">1/B3326</f>
        <v>0.00366313784387706</v>
      </c>
      <c r="D3326" s="1" t="n">
        <v>1.2785</v>
      </c>
      <c r="E3326" s="1" t="n">
        <f aca="false">LN(D3326)</f>
        <v>0.245687515749104</v>
      </c>
    </row>
    <row r="3327" customFormat="false" ht="15.75" hidden="false" customHeight="false" outlineLevel="0" collapsed="false">
      <c r="A3327" s="1" t="s">
        <v>879</v>
      </c>
      <c r="B3327" s="1" t="n">
        <v>273.71</v>
      </c>
      <c r="C3327" s="1" t="n">
        <f aca="false">1/B3327</f>
        <v>0.00365350188155347</v>
      </c>
      <c r="D3327" s="1" t="n">
        <v>1.2618</v>
      </c>
      <c r="E3327" s="1" t="n">
        <f aca="false">LN(D3327)</f>
        <v>0.232539272954572</v>
      </c>
    </row>
    <row r="3328" customFormat="false" ht="15.75" hidden="false" customHeight="false" outlineLevel="0" collapsed="false">
      <c r="A3328" s="1" t="s">
        <v>879</v>
      </c>
      <c r="B3328" s="1" t="n">
        <v>274.42</v>
      </c>
      <c r="C3328" s="1" t="n">
        <f aca="false">1/B3328</f>
        <v>0.0036440492675461</v>
      </c>
      <c r="D3328" s="1" t="n">
        <v>1.2454</v>
      </c>
      <c r="E3328" s="1" t="n">
        <f aca="false">LN(D3328)</f>
        <v>0.219456763456215</v>
      </c>
    </row>
    <row r="3329" customFormat="false" ht="15.75" hidden="false" customHeight="false" outlineLevel="0" collapsed="false">
      <c r="A3329" s="1" t="s">
        <v>879</v>
      </c>
      <c r="B3329" s="1" t="n">
        <v>275.14</v>
      </c>
      <c r="C3329" s="1" t="n">
        <f aca="false">1/B3329</f>
        <v>0.00363451333866395</v>
      </c>
      <c r="D3329" s="1" t="n">
        <v>1.2294</v>
      </c>
      <c r="E3329" s="1" t="n">
        <f aca="false">LN(D3329)</f>
        <v>0.206526245490772</v>
      </c>
    </row>
    <row r="3330" customFormat="false" ht="15.75" hidden="false" customHeight="false" outlineLevel="0" collapsed="false">
      <c r="A3330" s="1" t="s">
        <v>879</v>
      </c>
      <c r="B3330" s="1" t="n">
        <v>275.86</v>
      </c>
      <c r="C3330" s="1" t="n">
        <f aca="false">1/B3330</f>
        <v>0.00362502718770391</v>
      </c>
      <c r="D3330" s="1" t="n">
        <v>1.2136</v>
      </c>
      <c r="E3330" s="1" t="n">
        <f aca="false">LN(D3330)</f>
        <v>0.193591149052185</v>
      </c>
    </row>
    <row r="3331" customFormat="false" ht="15.75" hidden="false" customHeight="false" outlineLevel="0" collapsed="false">
      <c r="A3331" s="1" t="s">
        <v>879</v>
      </c>
      <c r="B3331" s="1" t="n">
        <v>276.58</v>
      </c>
      <c r="C3331" s="1" t="n">
        <f aca="false">1/B3331</f>
        <v>0.00361559042591655</v>
      </c>
      <c r="D3331" s="1" t="n">
        <v>1.1982</v>
      </c>
      <c r="E3331" s="1" t="n">
        <f aca="false">LN(D3331)</f>
        <v>0.180820430667687</v>
      </c>
    </row>
    <row r="3332" customFormat="false" ht="15.75" hidden="false" customHeight="false" outlineLevel="0" collapsed="false">
      <c r="A3332" s="1" t="s">
        <v>879</v>
      </c>
      <c r="B3332" s="1" t="n">
        <v>277.3</v>
      </c>
      <c r="C3332" s="1" t="n">
        <f aca="false">1/B3332</f>
        <v>0.00360620266858997</v>
      </c>
      <c r="D3332" s="1" t="n">
        <v>1.1831</v>
      </c>
      <c r="E3332" s="1" t="n">
        <f aca="false">LN(D3332)</f>
        <v>0.16813811227748</v>
      </c>
    </row>
    <row r="3333" customFormat="false" ht="15.75" hidden="false" customHeight="false" outlineLevel="0" collapsed="false">
      <c r="A3333" s="1" t="s">
        <v>879</v>
      </c>
      <c r="B3333" s="1" t="n">
        <v>278.02</v>
      </c>
      <c r="C3333" s="1" t="n">
        <f aca="false">1/B3333</f>
        <v>0.00359686353499748</v>
      </c>
      <c r="D3333" s="1" t="n">
        <v>1.1683</v>
      </c>
      <c r="E3333" s="1" t="n">
        <f aca="false">LN(D3333)</f>
        <v>0.155549700740966</v>
      </c>
    </row>
    <row r="3334" customFormat="false" ht="15.75" hidden="false" customHeight="false" outlineLevel="0" collapsed="false">
      <c r="A3334" s="1" t="s">
        <v>879</v>
      </c>
      <c r="B3334" s="1" t="n">
        <v>278.74</v>
      </c>
      <c r="C3334" s="1" t="n">
        <f aca="false">1/B3334</f>
        <v>0.00358757264834613</v>
      </c>
      <c r="D3334" s="1" t="n">
        <v>1.1538</v>
      </c>
      <c r="E3334" s="1" t="n">
        <f aca="false">LN(D3334)</f>
        <v>0.143060842840652</v>
      </c>
    </row>
    <row r="3335" customFormat="false" ht="15.75" hidden="false" customHeight="false" outlineLevel="0" collapsed="false">
      <c r="A3335" s="1" t="s">
        <v>879</v>
      </c>
      <c r="B3335" s="1" t="n">
        <v>279.46</v>
      </c>
      <c r="C3335" s="1" t="n">
        <f aca="false">1/B3335</f>
        <v>0.00357832963572604</v>
      </c>
      <c r="D3335" s="1" t="n">
        <v>1.1396</v>
      </c>
      <c r="E3335" s="1" t="n">
        <f aca="false">LN(D3335)</f>
        <v>0.130677323641616</v>
      </c>
    </row>
    <row r="3336" customFormat="false" ht="15.75" hidden="false" customHeight="false" outlineLevel="0" collapsed="false">
      <c r="A3336" s="1" t="s">
        <v>879</v>
      </c>
      <c r="B3336" s="1" t="n">
        <v>280.18</v>
      </c>
      <c r="C3336" s="1" t="n">
        <f aca="false">1/B3336</f>
        <v>0.00356913412806053</v>
      </c>
      <c r="D3336" s="1" t="n">
        <v>1.1256</v>
      </c>
      <c r="E3336" s="1" t="n">
        <f aca="false">LN(D3336)</f>
        <v>0.118316226818042</v>
      </c>
    </row>
    <row r="3337" customFormat="false" ht="15.75" hidden="false" customHeight="false" outlineLevel="0" collapsed="false">
      <c r="A3337" s="1" t="s">
        <v>879</v>
      </c>
      <c r="B3337" s="1" t="n">
        <v>280.9</v>
      </c>
      <c r="C3337" s="1" t="n">
        <f aca="false">1/B3337</f>
        <v>0.00355998576005696</v>
      </c>
      <c r="D3337" s="1" t="n">
        <v>1.1119</v>
      </c>
      <c r="E3337" s="1" t="n">
        <f aca="false">LN(D3337)</f>
        <v>0.106070263727067</v>
      </c>
    </row>
    <row r="3338" customFormat="false" ht="15.75" hidden="false" customHeight="false" outlineLevel="0" collapsed="false">
      <c r="A3338" s="1" t="s">
        <v>879</v>
      </c>
      <c r="B3338" s="1" t="n">
        <v>281.62</v>
      </c>
      <c r="C3338" s="1" t="n">
        <f aca="false">1/B3338</f>
        <v>0.00355088417015837</v>
      </c>
      <c r="D3338" s="1" t="n">
        <v>1.0984</v>
      </c>
      <c r="E3338" s="1" t="n">
        <f aca="false">LN(D3338)</f>
        <v>0.0938545754716243</v>
      </c>
    </row>
    <row r="3339" customFormat="false" ht="15.75" hidden="false" customHeight="false" outlineLevel="0" collapsed="false">
      <c r="A3339" s="1" t="s">
        <v>879</v>
      </c>
      <c r="B3339" s="1" t="n">
        <v>282.34</v>
      </c>
      <c r="C3339" s="1" t="n">
        <f aca="false">1/B3339</f>
        <v>0.00354182900049586</v>
      </c>
      <c r="D3339" s="1" t="n">
        <v>1.0853</v>
      </c>
      <c r="E3339" s="1" t="n">
        <f aca="false">LN(D3339)</f>
        <v>0.0818564464698321</v>
      </c>
    </row>
    <row r="3340" customFormat="false" ht="15.75" hidden="false" customHeight="false" outlineLevel="0" collapsed="false">
      <c r="A3340" s="1" t="s">
        <v>879</v>
      </c>
      <c r="B3340" s="1" t="n">
        <v>283.05</v>
      </c>
      <c r="C3340" s="1" t="n">
        <f aca="false">1/B3340</f>
        <v>0.0035329447094153</v>
      </c>
      <c r="D3340" s="1" t="n">
        <v>1.0723</v>
      </c>
      <c r="E3340" s="1" t="n">
        <f aca="false">LN(D3340)</f>
        <v>0.0698058742439629</v>
      </c>
    </row>
    <row r="3341" customFormat="false" ht="15.75" hidden="false" customHeight="false" outlineLevel="0" collapsed="false">
      <c r="A3341" s="1" t="s">
        <v>879</v>
      </c>
      <c r="B3341" s="1" t="n">
        <v>283.77</v>
      </c>
      <c r="C3341" s="1" t="n">
        <f aca="false">1/B3341</f>
        <v>0.00352398068858583</v>
      </c>
      <c r="D3341" s="1" t="n">
        <v>1.0596</v>
      </c>
      <c r="E3341" s="1" t="n">
        <f aca="false">LN(D3341)</f>
        <v>0.0578914784157777</v>
      </c>
    </row>
    <row r="3342" customFormat="false" ht="15.75" hidden="false" customHeight="false" outlineLevel="0" collapsed="false">
      <c r="A3342" s="1" t="s">
        <v>879</v>
      </c>
      <c r="B3342" s="1" t="n">
        <v>284.49</v>
      </c>
      <c r="C3342" s="1" t="n">
        <f aca="false">1/B3342</f>
        <v>0.00351506204084502</v>
      </c>
      <c r="D3342" s="1" t="n">
        <v>1.0471</v>
      </c>
      <c r="E3342" s="1" t="n">
        <f aca="false">LN(D3342)</f>
        <v>0.0460244383112793</v>
      </c>
    </row>
    <row r="3343" customFormat="false" ht="15.75" hidden="false" customHeight="false" outlineLevel="0" collapsed="false">
      <c r="A3343" s="1" t="s">
        <v>879</v>
      </c>
      <c r="B3343" s="1" t="n">
        <v>285.21</v>
      </c>
      <c r="C3343" s="1" t="n">
        <f aca="false">1/B3343</f>
        <v>0.00350618842256583</v>
      </c>
      <c r="D3343" s="1" t="n">
        <v>1.0349</v>
      </c>
      <c r="E3343" s="1" t="n">
        <f aca="false">LN(D3343)</f>
        <v>0.0343048036919902</v>
      </c>
    </row>
    <row r="3344" customFormat="false" ht="15.75" hidden="false" customHeight="false" outlineLevel="0" collapsed="false">
      <c r="A3344" s="1" t="s">
        <v>879</v>
      </c>
      <c r="B3344" s="1" t="n">
        <v>285.93</v>
      </c>
      <c r="C3344" s="1" t="n">
        <f aca="false">1/B3344</f>
        <v>0.00349735949358234</v>
      </c>
      <c r="D3344" s="1" t="n">
        <v>1.0229</v>
      </c>
      <c r="E3344" s="1" t="n">
        <f aca="false">LN(D3344)</f>
        <v>0.0226417304808246</v>
      </c>
    </row>
    <row r="3345" customFormat="false" ht="15.75" hidden="false" customHeight="false" outlineLevel="0" collapsed="false">
      <c r="A3345" s="1" t="s">
        <v>879</v>
      </c>
      <c r="B3345" s="1" t="n">
        <v>286.65</v>
      </c>
      <c r="C3345" s="1" t="n">
        <f aca="false">1/B3345</f>
        <v>0.00348857491714635</v>
      </c>
      <c r="D3345" s="1" t="n">
        <v>1.0111</v>
      </c>
      <c r="E3345" s="1" t="n">
        <f aca="false">LN(D3345)</f>
        <v>0.0110388471152164</v>
      </c>
    </row>
    <row r="3346" customFormat="false" ht="15.75" hidden="false" customHeight="false" outlineLevel="0" collapsed="false">
      <c r="A3346" s="1" t="s">
        <v>879</v>
      </c>
      <c r="B3346" s="1" t="n">
        <v>287.37</v>
      </c>
      <c r="C3346" s="1" t="n">
        <f aca="false">1/B3346</f>
        <v>0.00347983435988447</v>
      </c>
      <c r="D3346" s="1" t="n">
        <v>0.9995</v>
      </c>
      <c r="E3346" s="1" t="n">
        <f aca="false">LN(D3346)</f>
        <v>-0.000500125041682243</v>
      </c>
    </row>
    <row r="3347" customFormat="false" ht="15.75" hidden="false" customHeight="false" outlineLevel="0" collapsed="false">
      <c r="A3347" s="1" t="s">
        <v>879</v>
      </c>
      <c r="B3347" s="1" t="n">
        <v>288.09</v>
      </c>
      <c r="C3347" s="1" t="n">
        <f aca="false">1/B3347</f>
        <v>0.00347113749175605</v>
      </c>
      <c r="D3347" s="1" t="n">
        <v>0.98812</v>
      </c>
      <c r="E3347" s="1" t="n">
        <f aca="false">LN(D3347)</f>
        <v>-0.0119511311197544</v>
      </c>
    </row>
    <row r="3348" customFormat="false" ht="15.75" hidden="false" customHeight="false" outlineLevel="0" collapsed="false">
      <c r="A3348" s="1" t="s">
        <v>879</v>
      </c>
      <c r="B3348" s="1" t="n">
        <v>288.81</v>
      </c>
      <c r="C3348" s="1" t="n">
        <f aca="false">1/B3348</f>
        <v>0.00346248398601156</v>
      </c>
      <c r="D3348" s="1" t="n">
        <v>0.97695</v>
      </c>
      <c r="E3348" s="1" t="n">
        <f aca="false">LN(D3348)</f>
        <v>-0.0233198053216168</v>
      </c>
    </row>
    <row r="3349" customFormat="false" ht="15.75" hidden="false" customHeight="false" outlineLevel="0" collapsed="false">
      <c r="A3349" s="1" t="s">
        <v>879</v>
      </c>
      <c r="B3349" s="1" t="n">
        <v>289.53</v>
      </c>
      <c r="C3349" s="1" t="n">
        <f aca="false">1/B3349</f>
        <v>0.00345387351915173</v>
      </c>
      <c r="D3349" s="1" t="n">
        <v>0.96597</v>
      </c>
      <c r="E3349" s="1" t="n">
        <f aca="false">LN(D3349)</f>
        <v>-0.0346225011524846</v>
      </c>
    </row>
    <row r="3350" customFormat="false" ht="15.75" hidden="false" customHeight="false" outlineLevel="0" collapsed="false">
      <c r="A3350" s="1" t="s">
        <v>879</v>
      </c>
      <c r="B3350" s="1" t="n">
        <v>290.25</v>
      </c>
      <c r="C3350" s="1" t="n">
        <f aca="false">1/B3350</f>
        <v>0.00344530577088717</v>
      </c>
      <c r="D3350" s="1" t="n">
        <v>0.95518</v>
      </c>
      <c r="E3350" s="1" t="n">
        <f aca="false">LN(D3350)</f>
        <v>-0.0458554745864534</v>
      </c>
    </row>
    <row r="3351" customFormat="false" ht="15.75" hidden="false" customHeight="false" outlineLevel="0" collapsed="false">
      <c r="A3351" s="1" t="s">
        <v>879</v>
      </c>
      <c r="B3351" s="1" t="n">
        <v>290.97</v>
      </c>
      <c r="C3351" s="1" t="n">
        <f aca="false">1/B3351</f>
        <v>0.0034367804240987</v>
      </c>
      <c r="D3351" s="1" t="n">
        <v>0.94458</v>
      </c>
      <c r="E3351" s="1" t="n">
        <f aca="false">LN(D3351)</f>
        <v>-0.0570148947275445</v>
      </c>
    </row>
    <row r="3352" customFormat="false" ht="15.75" hidden="false" customHeight="false" outlineLevel="0" collapsed="false">
      <c r="A3352" s="1" t="s">
        <v>879</v>
      </c>
      <c r="B3352" s="1" t="n">
        <v>291.68</v>
      </c>
      <c r="C3352" s="1" t="n">
        <f aca="false">1/B3352</f>
        <v>0.00342841470104224</v>
      </c>
      <c r="D3352" s="1" t="n">
        <v>0.93416</v>
      </c>
      <c r="E3352" s="1" t="n">
        <f aca="false">LN(D3352)</f>
        <v>-0.0681075492146776</v>
      </c>
    </row>
    <row r="3353" customFormat="false" ht="15.75" hidden="false" customHeight="false" outlineLevel="0" collapsed="false">
      <c r="A3353" s="1" t="s">
        <v>879</v>
      </c>
      <c r="B3353" s="1" t="n">
        <v>292.4</v>
      </c>
      <c r="C3353" s="1" t="n">
        <f aca="false">1/B3353</f>
        <v>0.00341997264021888</v>
      </c>
      <c r="D3353" s="1" t="n">
        <v>0.92393</v>
      </c>
      <c r="E3353" s="1" t="n">
        <f aca="false">LN(D3353)</f>
        <v>-0.0791189677859605</v>
      </c>
    </row>
    <row r="3354" customFormat="false" ht="15.75" hidden="false" customHeight="false" outlineLevel="0" collapsed="false">
      <c r="A3354" s="1" t="s">
        <v>879</v>
      </c>
      <c r="B3354" s="1" t="n">
        <v>293.12</v>
      </c>
      <c r="C3354" s="1" t="n">
        <f aca="false">1/B3354</f>
        <v>0.00341157205240175</v>
      </c>
      <c r="D3354" s="1" t="n">
        <v>0.91387</v>
      </c>
      <c r="E3354" s="1" t="n">
        <f aca="false">LN(D3354)</f>
        <v>-0.0900669495913933</v>
      </c>
    </row>
    <row r="3355" customFormat="false" ht="15.75" hidden="false" customHeight="false" outlineLevel="0" collapsed="false">
      <c r="A3355" s="1" t="s">
        <v>879</v>
      </c>
      <c r="B3355" s="1" t="n">
        <v>293.84</v>
      </c>
      <c r="C3355" s="1" t="n">
        <f aca="false">1/B3355</f>
        <v>0.00340321263272529</v>
      </c>
      <c r="D3355" s="1" t="n">
        <v>0.90398</v>
      </c>
      <c r="E3355" s="1" t="n">
        <f aca="false">LN(D3355)</f>
        <v>-0.100948042728503</v>
      </c>
    </row>
    <row r="3356" customFormat="false" ht="15.75" hidden="false" customHeight="false" outlineLevel="0" collapsed="false">
      <c r="A3356" s="1" t="s">
        <v>879</v>
      </c>
      <c r="B3356" s="1" t="n">
        <v>294.56</v>
      </c>
      <c r="C3356" s="1" t="n">
        <f aca="false">1/B3356</f>
        <v>0.00339489407930473</v>
      </c>
      <c r="D3356" s="1" t="n">
        <v>0.89425</v>
      </c>
      <c r="E3356" s="1" t="n">
        <f aca="false">LN(D3356)</f>
        <v>-0.11176990084301</v>
      </c>
    </row>
    <row r="3357" customFormat="false" ht="15.75" hidden="false" customHeight="false" outlineLevel="0" collapsed="false">
      <c r="A3357" s="1" t="s">
        <v>879</v>
      </c>
      <c r="B3357" s="1" t="n">
        <v>295.28</v>
      </c>
      <c r="C3357" s="1" t="n">
        <f aca="false">1/B3357</f>
        <v>0.00338661609319968</v>
      </c>
      <c r="D3357" s="1" t="n">
        <v>0.88469</v>
      </c>
      <c r="E3357" s="1" t="n">
        <f aca="false">LN(D3357)</f>
        <v>-0.122517977823323</v>
      </c>
    </row>
    <row r="3358" customFormat="false" ht="15.75" hidden="false" customHeight="false" outlineLevel="0" collapsed="false">
      <c r="A3358" s="1" t="s">
        <v>879</v>
      </c>
      <c r="B3358" s="1" t="n">
        <v>296</v>
      </c>
      <c r="C3358" s="1" t="n">
        <f aca="false">1/B3358</f>
        <v>0.00337837837837838</v>
      </c>
      <c r="D3358" s="1" t="n">
        <v>0.8753</v>
      </c>
      <c r="E3358" s="1" t="n">
        <f aca="false">LN(D3358)</f>
        <v>-0.133188594243745</v>
      </c>
    </row>
    <row r="3359" customFormat="false" ht="15.75" hidden="false" customHeight="false" outlineLevel="0" collapsed="false">
      <c r="A3359" s="1" t="s">
        <v>879</v>
      </c>
      <c r="B3359" s="1" t="n">
        <v>296.72</v>
      </c>
      <c r="C3359" s="1" t="n">
        <f aca="false">1/B3359</f>
        <v>0.00337018064168239</v>
      </c>
      <c r="D3359" s="1" t="n">
        <v>0.86605</v>
      </c>
      <c r="E3359" s="1" t="n">
        <f aca="false">LN(D3359)</f>
        <v>-0.143812635365848</v>
      </c>
    </row>
    <row r="3360" customFormat="false" ht="15.75" hidden="false" customHeight="false" outlineLevel="0" collapsed="false">
      <c r="A3360" s="1" t="s">
        <v>879</v>
      </c>
      <c r="B3360" s="1" t="n">
        <v>297.44</v>
      </c>
      <c r="C3360" s="1" t="n">
        <f aca="false">1/B3360</f>
        <v>0.00336202259279182</v>
      </c>
      <c r="D3360" s="1" t="n">
        <v>0.85696</v>
      </c>
      <c r="E3360" s="1" t="n">
        <f aca="false">LN(D3360)</f>
        <v>-0.154364035919384</v>
      </c>
    </row>
    <row r="3361" customFormat="false" ht="15.75" hidden="false" customHeight="false" outlineLevel="0" collapsed="false">
      <c r="A3361" s="1" t="s">
        <v>879</v>
      </c>
      <c r="B3361" s="1" t="n">
        <v>298.16</v>
      </c>
      <c r="C3361" s="1" t="n">
        <f aca="false">1/B3361</f>
        <v>0.00335390394419104</v>
      </c>
      <c r="D3361" s="1" t="n">
        <v>0.84802</v>
      </c>
      <c r="E3361" s="1" t="n">
        <f aca="false">LN(D3361)</f>
        <v>-0.164851058562693</v>
      </c>
    </row>
    <row r="3362" customFormat="false" ht="15.75" hidden="false" customHeight="false" outlineLevel="0" collapsed="false">
      <c r="A3362" s="1" t="s">
        <v>879</v>
      </c>
      <c r="B3362" s="1" t="n">
        <v>298.88</v>
      </c>
      <c r="C3362" s="1" t="n">
        <f aca="false">1/B3362</f>
        <v>0.0033458244111349</v>
      </c>
      <c r="D3362" s="1" t="n">
        <v>0.83923</v>
      </c>
      <c r="E3362" s="1" t="n">
        <f aca="false">LN(D3362)</f>
        <v>-0.175270474207261</v>
      </c>
    </row>
    <row r="3363" customFormat="false" ht="15.75" hidden="false" customHeight="false" outlineLevel="0" collapsed="false">
      <c r="A3363" s="1" t="s">
        <v>879</v>
      </c>
      <c r="B3363" s="1" t="n">
        <v>299.6</v>
      </c>
      <c r="C3363" s="1" t="n">
        <f aca="false">1/B3363</f>
        <v>0.00333778371161549</v>
      </c>
      <c r="D3363" s="1" t="n">
        <v>0.83057</v>
      </c>
      <c r="E3363" s="1" t="n">
        <f aca="false">LN(D3363)</f>
        <v>-0.185643066906348</v>
      </c>
    </row>
    <row r="3364" customFormat="false" ht="15.75" hidden="false" customHeight="false" outlineLevel="0" collapsed="false">
      <c r="A3364" s="1" t="s">
        <v>879</v>
      </c>
      <c r="B3364" s="1" t="n">
        <v>300.31</v>
      </c>
      <c r="C3364" s="1" t="n">
        <f aca="false">1/B3364</f>
        <v>0.00332989244447404</v>
      </c>
      <c r="D3364" s="1" t="n">
        <v>0.82206</v>
      </c>
      <c r="E3364" s="1" t="n">
        <f aca="false">LN(D3364)</f>
        <v>-0.195941893889065</v>
      </c>
    </row>
    <row r="3365" customFormat="false" ht="15.75" hidden="false" customHeight="false" outlineLevel="0" collapsed="false">
      <c r="A3365" s="1" t="s">
        <v>879</v>
      </c>
      <c r="B3365" s="1" t="n">
        <v>301.03</v>
      </c>
      <c r="C3365" s="1" t="n">
        <f aca="false">1/B3365</f>
        <v>0.0033219280470385</v>
      </c>
      <c r="D3365" s="1" t="n">
        <v>0.81369</v>
      </c>
      <c r="E3365" s="1" t="n">
        <f aca="false">LN(D3365)</f>
        <v>-0.206175820896643</v>
      </c>
    </row>
    <row r="3366" customFormat="false" ht="15.75" hidden="false" customHeight="false" outlineLevel="0" collapsed="false">
      <c r="A3366" s="1" t="s">
        <v>879</v>
      </c>
      <c r="B3366" s="1" t="n">
        <v>301.75</v>
      </c>
      <c r="C3366" s="1" t="n">
        <f aca="false">1/B3366</f>
        <v>0.00331400165700083</v>
      </c>
      <c r="D3366" s="1" t="n">
        <v>0.80544</v>
      </c>
      <c r="E3366" s="1" t="n">
        <f aca="false">LN(D3366)</f>
        <v>-0.216366567035186</v>
      </c>
    </row>
    <row r="3367" customFormat="false" ht="15.75" hidden="false" customHeight="false" outlineLevel="0" collapsed="false">
      <c r="A3367" s="1" t="s">
        <v>879</v>
      </c>
      <c r="B3367" s="1" t="n">
        <v>302.47</v>
      </c>
      <c r="C3367" s="1" t="n">
        <f aca="false">1/B3367</f>
        <v>0.00330611300294244</v>
      </c>
      <c r="D3367" s="1" t="n">
        <v>0.79733</v>
      </c>
      <c r="E3367" s="1" t="n">
        <f aca="false">LN(D3367)</f>
        <v>-0.22648663319047</v>
      </c>
    </row>
    <row r="3368" customFormat="false" ht="15.75" hidden="false" customHeight="false" outlineLevel="0" collapsed="false">
      <c r="A3368" s="1" t="s">
        <v>879</v>
      </c>
      <c r="B3368" s="1" t="n">
        <v>303.19</v>
      </c>
      <c r="C3368" s="1" t="n">
        <f aca="false">1/B3368</f>
        <v>0.00329826181602296</v>
      </c>
      <c r="D3368" s="1" t="n">
        <v>0.78935</v>
      </c>
      <c r="E3368" s="1" t="n">
        <f aca="false">LN(D3368)</f>
        <v>-0.236545457004401</v>
      </c>
    </row>
    <row r="3369" customFormat="false" ht="15.75" hidden="false" customHeight="false" outlineLevel="0" collapsed="false">
      <c r="A3369" s="1" t="s">
        <v>879</v>
      </c>
      <c r="B3369" s="1" t="n">
        <v>303.91</v>
      </c>
      <c r="C3369" s="1" t="n">
        <f aca="false">1/B3369</f>
        <v>0.00329044782994966</v>
      </c>
      <c r="D3369" s="1" t="n">
        <v>0.78149</v>
      </c>
      <c r="E3369" s="1" t="n">
        <f aca="false">LN(D3369)</f>
        <v>-0.246552925107784</v>
      </c>
    </row>
    <row r="3370" customFormat="false" ht="15.75" hidden="false" customHeight="false" outlineLevel="0" collapsed="false">
      <c r="A3370" s="1" t="s">
        <v>879</v>
      </c>
      <c r="B3370" s="1" t="n">
        <v>304.63</v>
      </c>
      <c r="C3370" s="1" t="n">
        <f aca="false">1/B3370</f>
        <v>0.00328267078094738</v>
      </c>
      <c r="D3370" s="1" t="n">
        <v>0.77375</v>
      </c>
      <c r="E3370" s="1" t="n">
        <f aca="false">LN(D3370)</f>
        <v>-0.256506454983331</v>
      </c>
    </row>
    <row r="3371" customFormat="false" ht="15.75" hidden="false" customHeight="false" outlineLevel="0" collapsed="false">
      <c r="A3371" s="1" t="s">
        <v>879</v>
      </c>
      <c r="B3371" s="1" t="n">
        <v>305.35</v>
      </c>
      <c r="C3371" s="1" t="n">
        <f aca="false">1/B3371</f>
        <v>0.00327493040772884</v>
      </c>
      <c r="D3371" s="1" t="n">
        <v>0.76614</v>
      </c>
      <c r="E3371" s="1" t="n">
        <f aca="false">LN(D3371)</f>
        <v>-0.266390358317492</v>
      </c>
    </row>
    <row r="3372" customFormat="false" ht="15.75" hidden="false" customHeight="false" outlineLevel="0" collapsed="false">
      <c r="A3372" s="1" t="s">
        <v>879</v>
      </c>
      <c r="B3372" s="1" t="n">
        <v>306.07</v>
      </c>
      <c r="C3372" s="1" t="n">
        <f aca="false">1/B3372</f>
        <v>0.00326722645146535</v>
      </c>
      <c r="D3372" s="1" t="n">
        <v>0.75864</v>
      </c>
      <c r="E3372" s="1" t="n">
        <f aca="false">LN(D3372)</f>
        <v>-0.276227922406665</v>
      </c>
    </row>
    <row r="3373" customFormat="false" ht="15.75" hidden="false" customHeight="false" outlineLevel="0" collapsed="false">
      <c r="A3373" s="1" t="s">
        <v>879</v>
      </c>
      <c r="B3373" s="1" t="n">
        <v>306.79</v>
      </c>
      <c r="C3373" s="1" t="n">
        <f aca="false">1/B3373</f>
        <v>0.00325955865575801</v>
      </c>
      <c r="D3373" s="1" t="n">
        <v>0.75126</v>
      </c>
      <c r="E3373" s="1" t="n">
        <f aca="false">LN(D3373)</f>
        <v>-0.286003482073226</v>
      </c>
    </row>
    <row r="3374" customFormat="false" ht="15.75" hidden="false" customHeight="false" outlineLevel="0" collapsed="false">
      <c r="A3374" s="1" t="s">
        <v>879</v>
      </c>
      <c r="B3374" s="1" t="n">
        <v>307.51</v>
      </c>
      <c r="C3374" s="1" t="n">
        <f aca="false">1/B3374</f>
        <v>0.00325192676660922</v>
      </c>
      <c r="D3374" s="1" t="n">
        <v>0.74399</v>
      </c>
      <c r="E3374" s="1" t="n">
        <f aca="false">LN(D3374)</f>
        <v>-0.295727685099589</v>
      </c>
    </row>
    <row r="3375" customFormat="false" ht="15.75" hidden="false" customHeight="false" outlineLevel="0" collapsed="false">
      <c r="A3375" s="1" t="s">
        <v>879</v>
      </c>
      <c r="B3375" s="1" t="n">
        <v>308.23</v>
      </c>
      <c r="C3375" s="1" t="n">
        <f aca="false">1/B3375</f>
        <v>0.00324433053239464</v>
      </c>
      <c r="D3375" s="1" t="n">
        <v>0.73683</v>
      </c>
      <c r="E3375" s="1" t="n">
        <f aca="false">LN(D3375)</f>
        <v>-0.305398078257561</v>
      </c>
    </row>
    <row r="3376" customFormat="false" ht="15.75" hidden="false" customHeight="false" outlineLevel="0" collapsed="false">
      <c r="A3376" s="1" t="s">
        <v>879</v>
      </c>
      <c r="B3376" s="1" t="n">
        <v>308.94</v>
      </c>
      <c r="C3376" s="1" t="n">
        <f aca="false">1/B3376</f>
        <v>0.0032368744740079</v>
      </c>
      <c r="D3376" s="1" t="n">
        <v>0.72978</v>
      </c>
      <c r="E3376" s="1" t="n">
        <f aca="false">LN(D3376)</f>
        <v>-0.315012160123737</v>
      </c>
    </row>
    <row r="3377" customFormat="false" ht="15.75" hidden="false" customHeight="false" outlineLevel="0" collapsed="false">
      <c r="A3377" s="1" t="s">
        <v>879</v>
      </c>
      <c r="B3377" s="1" t="n">
        <v>309.66</v>
      </c>
      <c r="C3377" s="1" t="n">
        <f aca="false">1/B3377</f>
        <v>0.00322934831750953</v>
      </c>
      <c r="D3377" s="1" t="n">
        <v>0.72283</v>
      </c>
      <c r="E3377" s="1" t="n">
        <f aca="false">LN(D3377)</f>
        <v>-0.32458121586805</v>
      </c>
    </row>
    <row r="3378" customFormat="false" ht="15.75" hidden="false" customHeight="false" outlineLevel="0" collapsed="false">
      <c r="A3378" s="1" t="s">
        <v>879</v>
      </c>
      <c r="B3378" s="1" t="n">
        <v>310.38</v>
      </c>
      <c r="C3378" s="1" t="n">
        <f aca="false">1/B3378</f>
        <v>0.00322185707842</v>
      </c>
      <c r="D3378" s="1" t="n">
        <v>0.71599</v>
      </c>
      <c r="E3378" s="1" t="n">
        <f aca="false">LN(D3378)</f>
        <v>-0.33408907859947</v>
      </c>
    </row>
    <row r="3379" customFormat="false" ht="15.75" hidden="false" customHeight="false" outlineLevel="0" collapsed="false">
      <c r="A3379" s="1" t="s">
        <v>879</v>
      </c>
      <c r="B3379" s="1" t="n">
        <v>311.1</v>
      </c>
      <c r="C3379" s="1" t="n">
        <f aca="false">1/B3379</f>
        <v>0.00321440051430408</v>
      </c>
      <c r="D3379" s="1" t="n">
        <v>0.70925</v>
      </c>
      <c r="E3379" s="1" t="n">
        <f aca="false">LN(D3379)</f>
        <v>-0.343547205293176</v>
      </c>
    </row>
    <row r="3380" customFormat="false" ht="15.75" hidden="false" customHeight="false" outlineLevel="0" collapsed="false">
      <c r="A3380" s="1" t="s">
        <v>879</v>
      </c>
      <c r="B3380" s="1" t="n">
        <v>311.82</v>
      </c>
      <c r="C3380" s="1" t="n">
        <f aca="false">1/B3380</f>
        <v>0.00320697838496569</v>
      </c>
      <c r="D3380" s="1" t="n">
        <v>0.70261</v>
      </c>
      <c r="E3380" s="1" t="n">
        <f aca="false">LN(D3380)</f>
        <v>-0.35295330640228</v>
      </c>
    </row>
    <row r="3381" customFormat="false" ht="15.75" hidden="false" customHeight="false" outlineLevel="0" collapsed="false">
      <c r="A3381" s="1" t="s">
        <v>879</v>
      </c>
      <c r="B3381" s="1" t="n">
        <v>312.54</v>
      </c>
      <c r="C3381" s="1" t="n">
        <f aca="false">1/B3381</f>
        <v>0.00319959045242209</v>
      </c>
      <c r="D3381" s="1" t="n">
        <v>0.69606</v>
      </c>
      <c r="E3381" s="1" t="n">
        <f aca="false">LN(D3381)</f>
        <v>-0.362319415466767</v>
      </c>
    </row>
    <row r="3382" customFormat="false" ht="15.75" hidden="false" customHeight="false" outlineLevel="0" collapsed="false">
      <c r="A3382" s="1" t="s">
        <v>879</v>
      </c>
      <c r="B3382" s="1" t="n">
        <v>313.26</v>
      </c>
      <c r="C3382" s="1" t="n">
        <f aca="false">1/B3382</f>
        <v>0.0031922364808785</v>
      </c>
      <c r="D3382" s="1" t="n">
        <v>0.68961</v>
      </c>
      <c r="E3382" s="1" t="n">
        <f aca="false">LN(D3382)</f>
        <v>-0.371629058577702</v>
      </c>
    </row>
    <row r="3383" customFormat="false" ht="15.75" hidden="false" customHeight="false" outlineLevel="0" collapsed="false">
      <c r="A3383" s="1" t="s">
        <v>879</v>
      </c>
      <c r="B3383" s="1" t="n">
        <v>313.98</v>
      </c>
      <c r="C3383" s="1" t="n">
        <f aca="false">1/B3383</f>
        <v>0.00318491623670297</v>
      </c>
      <c r="D3383" s="1" t="n">
        <v>0.68326</v>
      </c>
      <c r="E3383" s="1" t="n">
        <f aca="false">LN(D3383)</f>
        <v>-0.380879818349853</v>
      </c>
    </row>
    <row r="3384" customFormat="false" ht="15.75" hidden="false" customHeight="false" outlineLevel="0" collapsed="false">
      <c r="A3384" s="1" t="s">
        <v>879</v>
      </c>
      <c r="B3384" s="1" t="n">
        <v>314.7</v>
      </c>
      <c r="C3384" s="1" t="n">
        <f aca="false">1/B3384</f>
        <v>0.00317762948840165</v>
      </c>
      <c r="D3384" s="1" t="n">
        <v>0.677</v>
      </c>
      <c r="E3384" s="1" t="n">
        <f aca="false">LN(D3384)</f>
        <v>-0.390084006069862</v>
      </c>
    </row>
    <row r="3385" customFormat="false" ht="15.75" hidden="false" customHeight="false" outlineLevel="0" collapsed="false">
      <c r="A3385" s="1" t="s">
        <v>879</v>
      </c>
      <c r="B3385" s="1" t="n">
        <v>315.42</v>
      </c>
      <c r="C3385" s="1" t="n">
        <f aca="false">1/B3385</f>
        <v>0.00317037600659438</v>
      </c>
      <c r="D3385" s="1" t="n">
        <v>0.67083</v>
      </c>
      <c r="E3385" s="1" t="n">
        <f aca="false">LN(D3385)</f>
        <v>-0.399239527313973</v>
      </c>
    </row>
    <row r="3386" customFormat="false" ht="15.75" hidden="false" customHeight="false" outlineLevel="0" collapsed="false">
      <c r="A3386" s="1" t="s">
        <v>879</v>
      </c>
      <c r="B3386" s="1" t="n">
        <v>316.14</v>
      </c>
      <c r="C3386" s="1" t="n">
        <f aca="false">1/B3386</f>
        <v>0.00316315556399064</v>
      </c>
      <c r="D3386" s="1" t="n">
        <v>0.66474</v>
      </c>
      <c r="E3386" s="1" t="n">
        <f aca="false">LN(D3386)</f>
        <v>-0.408359292221501</v>
      </c>
    </row>
    <row r="3387" customFormat="false" ht="15.75" hidden="false" customHeight="false" outlineLevel="0" collapsed="false">
      <c r="A3387" s="1" t="s">
        <v>879</v>
      </c>
      <c r="B3387" s="1" t="n">
        <v>316.86</v>
      </c>
      <c r="C3387" s="1" t="n">
        <f aca="false">1/B3387</f>
        <v>0.00315596793536578</v>
      </c>
      <c r="D3387" s="1" t="n">
        <v>0.65875</v>
      </c>
      <c r="E3387" s="1" t="n">
        <f aca="false">LN(D3387)</f>
        <v>-0.417411179126565</v>
      </c>
    </row>
    <row r="3388" customFormat="false" ht="15.75" hidden="false" customHeight="false" outlineLevel="0" collapsed="false">
      <c r="A3388" s="1" t="s">
        <v>879</v>
      </c>
      <c r="B3388" s="1" t="n">
        <v>317.57</v>
      </c>
      <c r="C3388" s="1" t="n">
        <f aca="false">1/B3388</f>
        <v>0.00314891205088642</v>
      </c>
      <c r="D3388" s="1" t="n">
        <v>0.65283</v>
      </c>
      <c r="E3388" s="1" t="n">
        <f aca="false">LN(D3388)</f>
        <v>-0.426438520505826</v>
      </c>
    </row>
    <row r="3389" customFormat="false" ht="15.75" hidden="false" customHeight="false" outlineLevel="0" collapsed="false">
      <c r="A3389" s="1" t="s">
        <v>879</v>
      </c>
      <c r="B3389" s="1" t="n">
        <v>318.29</v>
      </c>
      <c r="C3389" s="1" t="n">
        <f aca="false">1/B3389</f>
        <v>0.00314178893461937</v>
      </c>
      <c r="D3389" s="1" t="n">
        <v>0.647</v>
      </c>
      <c r="E3389" s="1" t="n">
        <f aca="false">LN(D3389)</f>
        <v>-0.435408984481236</v>
      </c>
    </row>
    <row r="3390" customFormat="false" ht="15.75" hidden="false" customHeight="false" outlineLevel="0" collapsed="false">
      <c r="A3390" s="1" t="s">
        <v>879</v>
      </c>
      <c r="B3390" s="1" t="n">
        <v>319.01</v>
      </c>
      <c r="C3390" s="1" t="n">
        <f aca="false">1/B3390</f>
        <v>0.00313469797185041</v>
      </c>
      <c r="D3390" s="1" t="n">
        <v>0.64126</v>
      </c>
      <c r="E3390" s="1" t="n">
        <f aca="false">LN(D3390)</f>
        <v>-0.444320288076841</v>
      </c>
    </row>
    <row r="3391" customFormat="false" ht="15.75" hidden="false" customHeight="false" outlineLevel="0" collapsed="false">
      <c r="A3391" s="1" t="s">
        <v>879</v>
      </c>
      <c r="B3391" s="1" t="n">
        <v>319.73</v>
      </c>
      <c r="C3391" s="1" t="n">
        <f aca="false">1/B3391</f>
        <v>0.00312763894536015</v>
      </c>
      <c r="D3391" s="1" t="n">
        <v>0.63559</v>
      </c>
      <c r="E3391" s="1" t="n">
        <f aca="false">LN(D3391)</f>
        <v>-0.453201577608857</v>
      </c>
    </row>
    <row r="3392" customFormat="false" ht="15.75" hidden="false" customHeight="false" outlineLevel="0" collapsed="false">
      <c r="A3392" s="1" t="s">
        <v>879</v>
      </c>
      <c r="B3392" s="1" t="n">
        <v>320.45</v>
      </c>
      <c r="C3392" s="1" t="n">
        <f aca="false">1/B3392</f>
        <v>0.00312061163988142</v>
      </c>
      <c r="D3392" s="1" t="n">
        <v>0.63</v>
      </c>
      <c r="E3392" s="1" t="n">
        <f aca="false">LN(D3392)</f>
        <v>-0.462035459596559</v>
      </c>
    </row>
    <row r="3393" customFormat="false" ht="15.75" hidden="false" customHeight="false" outlineLevel="0" collapsed="false">
      <c r="A3393" s="1" t="s">
        <v>879</v>
      </c>
      <c r="B3393" s="1" t="n">
        <v>321.17</v>
      </c>
      <c r="C3393" s="1" t="n">
        <f aca="false">1/B3393</f>
        <v>0.0031136158420774</v>
      </c>
      <c r="D3393" s="1" t="n">
        <v>0.62449</v>
      </c>
      <c r="E3393" s="1" t="n">
        <f aca="false">LN(D3393)</f>
        <v>-0.470819962354959</v>
      </c>
    </row>
    <row r="3394" customFormat="false" ht="15.75" hidden="false" customHeight="false" outlineLevel="0" collapsed="false">
      <c r="A3394" s="1" t="s">
        <v>879</v>
      </c>
      <c r="B3394" s="1" t="n">
        <v>321.89</v>
      </c>
      <c r="C3394" s="1" t="n">
        <f aca="false">1/B3394</f>
        <v>0.00310665134052005</v>
      </c>
      <c r="D3394" s="1" t="n">
        <v>0.61905</v>
      </c>
      <c r="E3394" s="1" t="n">
        <f aca="false">LN(D3394)</f>
        <v>-0.479569234115437</v>
      </c>
    </row>
    <row r="3395" customFormat="false" ht="15.75" hidden="false" customHeight="false" outlineLevel="0" collapsed="false">
      <c r="A3395" s="1" t="s">
        <v>879</v>
      </c>
      <c r="B3395" s="1" t="n">
        <v>322.61</v>
      </c>
      <c r="C3395" s="1" t="n">
        <f aca="false">1/B3395</f>
        <v>0.00309971792566876</v>
      </c>
      <c r="D3395" s="1" t="n">
        <v>0.61369</v>
      </c>
      <c r="E3395" s="1" t="n">
        <f aca="false">LN(D3395)</f>
        <v>-0.48826536432633</v>
      </c>
    </row>
    <row r="3396" customFormat="false" ht="15.75" hidden="false" customHeight="false" outlineLevel="0" collapsed="false">
      <c r="A3396" s="1" t="s">
        <v>879</v>
      </c>
      <c r="B3396" s="1" t="n">
        <v>323.33</v>
      </c>
      <c r="C3396" s="1" t="n">
        <f aca="false">1/B3396</f>
        <v>0.00309281538984938</v>
      </c>
      <c r="D3396" s="1" t="n">
        <v>0.6084</v>
      </c>
      <c r="E3396" s="1" t="n">
        <f aca="false">LN(D3396)</f>
        <v>-0.496922718596999</v>
      </c>
    </row>
    <row r="3397" customFormat="false" ht="15.75" hidden="false" customHeight="false" outlineLevel="0" collapsed="false">
      <c r="A3397" s="1" t="s">
        <v>879</v>
      </c>
      <c r="B3397" s="1" t="n">
        <v>324.05</v>
      </c>
      <c r="C3397" s="1" t="n">
        <f aca="false">1/B3397</f>
        <v>0.00308594352723345</v>
      </c>
      <c r="D3397" s="1" t="n">
        <v>0.60319</v>
      </c>
      <c r="E3397" s="1" t="n">
        <f aca="false">LN(D3397)</f>
        <v>-0.505523040675148</v>
      </c>
    </row>
    <row r="3398" customFormat="false" ht="15.75" hidden="false" customHeight="false" outlineLevel="0" collapsed="false">
      <c r="A3398" s="1" t="s">
        <v>879</v>
      </c>
      <c r="B3398" s="1" t="n">
        <v>324.77</v>
      </c>
      <c r="C3398" s="1" t="n">
        <f aca="false">1/B3398</f>
        <v>0.00307910213381778</v>
      </c>
      <c r="D3398" s="1" t="n">
        <v>0.59804</v>
      </c>
      <c r="E3398" s="1" t="n">
        <f aca="false">LN(D3398)</f>
        <v>-0.51409763763641</v>
      </c>
    </row>
    <row r="3399" customFormat="false" ht="15.75" hidden="false" customHeight="false" outlineLevel="0" collapsed="false">
      <c r="A3399" s="1" t="s">
        <v>879</v>
      </c>
      <c r="B3399" s="1" t="n">
        <v>325.49</v>
      </c>
      <c r="C3399" s="1" t="n">
        <f aca="false">1/B3399</f>
        <v>0.00307229100740422</v>
      </c>
      <c r="D3399" s="1" t="n">
        <v>0.59296</v>
      </c>
      <c r="E3399" s="1" t="n">
        <f aca="false">LN(D3399)</f>
        <v>-0.522628335885142</v>
      </c>
    </row>
    <row r="3400" customFormat="false" ht="15.75" hidden="false" customHeight="false" outlineLevel="0" collapsed="false">
      <c r="A3400" s="1" t="s">
        <v>879</v>
      </c>
      <c r="B3400" s="1" t="n">
        <v>326.2</v>
      </c>
      <c r="C3400" s="1" t="n">
        <f aca="false">1/B3400</f>
        <v>0.00306560392397302</v>
      </c>
      <c r="D3400" s="1" t="n">
        <v>0.58795</v>
      </c>
      <c r="E3400" s="1" t="n">
        <f aca="false">LN(D3400)</f>
        <v>-0.531113368712712</v>
      </c>
    </row>
    <row r="3401" customFormat="false" ht="15.75" hidden="false" customHeight="false" outlineLevel="0" collapsed="false">
      <c r="A3401" s="1" t="s">
        <v>879</v>
      </c>
      <c r="B3401" s="1" t="n">
        <v>326.92</v>
      </c>
      <c r="C3401" s="1" t="n">
        <f aca="false">1/B3401</f>
        <v>0.00305885231861006</v>
      </c>
      <c r="D3401" s="1" t="n">
        <v>0.58301</v>
      </c>
      <c r="E3401" s="1" t="n">
        <f aca="false">LN(D3401)</f>
        <v>-0.539550940120088</v>
      </c>
    </row>
    <row r="3402" customFormat="false" ht="15.75" hidden="false" customHeight="false" outlineLevel="0" collapsed="false">
      <c r="A3402" s="1" t="s">
        <v>879</v>
      </c>
      <c r="B3402" s="1" t="n">
        <v>327.64</v>
      </c>
      <c r="C3402" s="1" t="n">
        <f aca="false">1/B3402</f>
        <v>0.00305213038701013</v>
      </c>
      <c r="D3402" s="1" t="n">
        <v>0.57813</v>
      </c>
      <c r="E3402" s="1" t="n">
        <f aca="false">LN(D3402)</f>
        <v>-0.547956522104198</v>
      </c>
    </row>
    <row r="3403" customFormat="false" ht="15.75" hidden="false" customHeight="false" outlineLevel="0" collapsed="false">
      <c r="A3403" s="1" t="s">
        <v>879</v>
      </c>
      <c r="B3403" s="1" t="n">
        <v>328.36</v>
      </c>
      <c r="C3403" s="1" t="n">
        <f aca="false">1/B3403</f>
        <v>0.00304543793397491</v>
      </c>
      <c r="D3403" s="1" t="n">
        <v>0.57331</v>
      </c>
      <c r="E3403" s="1" t="n">
        <f aca="false">LN(D3403)</f>
        <v>-0.556328696345339</v>
      </c>
    </row>
    <row r="3404" customFormat="false" ht="15.75" hidden="false" customHeight="false" outlineLevel="0" collapsed="false">
      <c r="A3404" s="1" t="s">
        <v>879</v>
      </c>
      <c r="B3404" s="1" t="n">
        <v>329.08</v>
      </c>
      <c r="C3404" s="1" t="n">
        <f aca="false">1/B3404</f>
        <v>0.00303877476601434</v>
      </c>
      <c r="D3404" s="1" t="n">
        <v>0.56856</v>
      </c>
      <c r="E3404" s="1" t="n">
        <f aca="false">LN(D3404)</f>
        <v>-0.564648430463497</v>
      </c>
    </row>
    <row r="3405" customFormat="false" ht="15.75" hidden="false" customHeight="false" outlineLevel="0" collapsed="false">
      <c r="A3405" s="1" t="s">
        <v>879</v>
      </c>
      <c r="B3405" s="1" t="n">
        <v>329.8</v>
      </c>
      <c r="C3405" s="1" t="n">
        <f aca="false">1/B3405</f>
        <v>0.00303214069132808</v>
      </c>
      <c r="D3405" s="1" t="n">
        <v>0.56387</v>
      </c>
      <c r="E3405" s="1" t="n">
        <f aca="false">LN(D3405)</f>
        <v>-0.572931550506369</v>
      </c>
    </row>
    <row r="3406" customFormat="false" ht="15.75" hidden="false" customHeight="false" outlineLevel="0" collapsed="false">
      <c r="A3406" s="1" t="s">
        <v>879</v>
      </c>
      <c r="B3406" s="1" t="n">
        <v>330.52</v>
      </c>
      <c r="C3406" s="1" t="n">
        <f aca="false">1/B3406</f>
        <v>0.003025535519787</v>
      </c>
      <c r="D3406" s="1" t="n">
        <v>0.55924</v>
      </c>
      <c r="E3406" s="1" t="n">
        <f aca="false">LN(D3406)</f>
        <v>-0.581176559862513</v>
      </c>
    </row>
    <row r="3407" customFormat="false" ht="15.75" hidden="false" customHeight="false" outlineLevel="0" collapsed="false">
      <c r="A3407" s="1" t="s">
        <v>879</v>
      </c>
      <c r="B3407" s="1" t="n">
        <v>331.24</v>
      </c>
      <c r="C3407" s="1" t="n">
        <f aca="false">1/B3407</f>
        <v>0.00301895906291511</v>
      </c>
      <c r="D3407" s="1" t="n">
        <v>0.55467</v>
      </c>
      <c r="E3407" s="1" t="n">
        <f aca="false">LN(D3407)</f>
        <v>-0.589381936671766</v>
      </c>
    </row>
    <row r="3408" customFormat="false" ht="15.75" hidden="false" customHeight="false" outlineLevel="0" collapsed="false">
      <c r="A3408" s="1" t="s">
        <v>879</v>
      </c>
      <c r="B3408" s="1" t="n">
        <v>331.96</v>
      </c>
      <c r="C3408" s="1" t="n">
        <f aca="false">1/B3408</f>
        <v>0.00301241113387155</v>
      </c>
      <c r="D3408" s="1" t="n">
        <v>0.55016</v>
      </c>
      <c r="E3408" s="1" t="n">
        <f aca="false">LN(D3408)</f>
        <v>-0.597546133970556</v>
      </c>
    </row>
    <row r="3409" customFormat="false" ht="15.75" hidden="false" customHeight="false" outlineLevel="0" collapsed="false">
      <c r="A3409" s="1" t="s">
        <v>879</v>
      </c>
      <c r="B3409" s="1" t="n">
        <v>332.68</v>
      </c>
      <c r="C3409" s="1" t="n">
        <f aca="false">1/B3409</f>
        <v>0.00300589154743297</v>
      </c>
      <c r="D3409" s="1" t="n">
        <v>0.54571</v>
      </c>
      <c r="E3409" s="1" t="n">
        <f aca="false">LN(D3409)</f>
        <v>-0.605667579870809</v>
      </c>
    </row>
    <row r="3410" customFormat="false" ht="15.75" hidden="false" customHeight="false" outlineLevel="0" collapsed="false">
      <c r="A3410" s="1" t="s">
        <v>879</v>
      </c>
      <c r="B3410" s="1" t="n">
        <v>333.4</v>
      </c>
      <c r="C3410" s="1" t="n">
        <f aca="false">1/B3410</f>
        <v>0.002999400119976</v>
      </c>
      <c r="D3410" s="1" t="n">
        <v>0.54131</v>
      </c>
      <c r="E3410" s="1" t="n">
        <f aca="false">LN(D3410)</f>
        <v>-0.61376315130588</v>
      </c>
    </row>
    <row r="3411" customFormat="false" ht="15.75" hidden="false" customHeight="false" outlineLevel="0" collapsed="false">
      <c r="A3411" s="1" t="s">
        <v>879</v>
      </c>
      <c r="B3411" s="1" t="n">
        <v>334.12</v>
      </c>
      <c r="C3411" s="1" t="n">
        <f aca="false">1/B3411</f>
        <v>0.00299293666946007</v>
      </c>
      <c r="D3411" s="1" t="n">
        <v>0.53697</v>
      </c>
      <c r="E3411" s="1" t="n">
        <f aca="false">LN(D3411)</f>
        <v>-0.621813051955619</v>
      </c>
    </row>
    <row r="3412" customFormat="false" ht="15.75" hidden="false" customHeight="false" outlineLevel="0" collapsed="false">
      <c r="A3412" s="1" t="s">
        <v>879</v>
      </c>
      <c r="B3412" s="1" t="n">
        <v>334.83</v>
      </c>
      <c r="C3412" s="1" t="n">
        <f aca="false">1/B3412</f>
        <v>0.00298659020995729</v>
      </c>
      <c r="D3412" s="1" t="n">
        <v>0.53268</v>
      </c>
      <c r="E3412" s="1" t="n">
        <f aca="false">LN(D3412)</f>
        <v>-0.629834410348193</v>
      </c>
    </row>
    <row r="3413" customFormat="false" ht="15.75" hidden="false" customHeight="false" outlineLevel="0" collapsed="false">
      <c r="A3413" s="1" t="s">
        <v>879</v>
      </c>
      <c r="B3413" s="1" t="n">
        <v>335.55</v>
      </c>
      <c r="C3413" s="1" t="n">
        <f aca="false">1/B3413</f>
        <v>0.00298018179108926</v>
      </c>
      <c r="D3413" s="1" t="n">
        <v>0.52845</v>
      </c>
      <c r="E3413" s="1" t="n">
        <f aca="false">LN(D3413)</f>
        <v>-0.637807085526781</v>
      </c>
    </row>
    <row r="3414" customFormat="false" ht="15.75" hidden="false" customHeight="false" outlineLevel="0" collapsed="false">
      <c r="A3414" s="1" t="s">
        <v>879</v>
      </c>
      <c r="B3414" s="1" t="n">
        <v>336.27</v>
      </c>
      <c r="C3414" s="1" t="n">
        <f aca="false">1/B3414</f>
        <v>0.00297380081482142</v>
      </c>
      <c r="D3414" s="1" t="n">
        <v>0.52427</v>
      </c>
      <c r="E3414" s="1" t="n">
        <f aca="false">LN(D3414)</f>
        <v>-0.64574846019007</v>
      </c>
    </row>
    <row r="3415" customFormat="false" ht="15.75" hidden="false" customHeight="false" outlineLevel="0" collapsed="false">
      <c r="A3415" s="1" t="s">
        <v>879</v>
      </c>
      <c r="B3415" s="1" t="n">
        <v>336.99</v>
      </c>
      <c r="C3415" s="1" t="n">
        <f aca="false">1/B3415</f>
        <v>0.00296744710525535</v>
      </c>
      <c r="D3415" s="1" t="n">
        <v>0.52014</v>
      </c>
      <c r="E3415" s="1" t="n">
        <f aca="false">LN(D3415)</f>
        <v>-0.653657272873533</v>
      </c>
    </row>
    <row r="3416" customFormat="false" ht="15.75" hidden="false" customHeight="false" outlineLevel="0" collapsed="false">
      <c r="A3416" s="1" t="s">
        <v>879</v>
      </c>
      <c r="B3416" s="1" t="n">
        <v>337.71</v>
      </c>
      <c r="C3416" s="1" t="n">
        <f aca="false">1/B3416</f>
        <v>0.00296112048799266</v>
      </c>
      <c r="D3416" s="1" t="n">
        <v>0.51606</v>
      </c>
      <c r="E3416" s="1" t="n">
        <f aca="false">LN(D3416)</f>
        <v>-0.661532241190694</v>
      </c>
    </row>
    <row r="3417" customFormat="false" ht="15.75" hidden="false" customHeight="false" outlineLevel="0" collapsed="false">
      <c r="A3417" s="1" t="s">
        <v>879</v>
      </c>
      <c r="B3417" s="1" t="n">
        <v>338.43</v>
      </c>
      <c r="C3417" s="1" t="n">
        <f aca="false">1/B3417</f>
        <v>0.00295482079011908</v>
      </c>
      <c r="D3417" s="1" t="n">
        <v>0.51203</v>
      </c>
      <c r="E3417" s="1" t="n">
        <f aca="false">LN(D3417)</f>
        <v>-0.669372061909176</v>
      </c>
    </row>
    <row r="3418" customFormat="false" ht="15.75" hidden="false" customHeight="false" outlineLevel="0" collapsed="false">
      <c r="A3418" s="1" t="s">
        <v>879</v>
      </c>
      <c r="B3418" s="1" t="n">
        <v>339.15</v>
      </c>
      <c r="C3418" s="1" t="n">
        <f aca="false">1/B3418</f>
        <v>0.00294854784018871</v>
      </c>
      <c r="D3418" s="1" t="n">
        <v>0.50805</v>
      </c>
      <c r="E3418" s="1" t="n">
        <f aca="false">LN(D3418)</f>
        <v>-0.677175411050247</v>
      </c>
    </row>
    <row r="3419" customFormat="false" ht="15.75" hidden="false" customHeight="false" outlineLevel="0" collapsed="false">
      <c r="A3419" s="1" t="s">
        <v>879</v>
      </c>
      <c r="B3419" s="1" t="n">
        <v>339.87</v>
      </c>
      <c r="C3419" s="1" t="n">
        <f aca="false">1/B3419</f>
        <v>0.00294230146820843</v>
      </c>
      <c r="D3419" s="1" t="n">
        <v>0.50412</v>
      </c>
      <c r="E3419" s="1" t="n">
        <f aca="false">LN(D3419)</f>
        <v>-0.684940944012846</v>
      </c>
    </row>
    <row r="3420" customFormat="false" ht="15.75" hidden="false" customHeight="false" outlineLevel="0" collapsed="false">
      <c r="A3420" s="1" t="s">
        <v>879</v>
      </c>
      <c r="B3420" s="1" t="n">
        <v>340.59</v>
      </c>
      <c r="C3420" s="1" t="n">
        <f aca="false">1/B3420</f>
        <v>0.0029360815056226</v>
      </c>
      <c r="D3420" s="1" t="n">
        <v>0.50023</v>
      </c>
      <c r="E3420" s="1" t="n">
        <f aca="false">LN(D3420)</f>
        <v>-0.692687286327511</v>
      </c>
    </row>
    <row r="3421" customFormat="false" ht="15.75" hidden="false" customHeight="false" outlineLevel="0" collapsed="false">
      <c r="A3421" s="1" t="s">
        <v>879</v>
      </c>
      <c r="B3421" s="1" t="n">
        <v>341.31</v>
      </c>
      <c r="C3421" s="1" t="n">
        <f aca="false">1/B3421</f>
        <v>0.00292988778529782</v>
      </c>
      <c r="D3421" s="1" t="n">
        <v>0.4964</v>
      </c>
      <c r="E3421" s="1" t="n">
        <f aca="false">LN(D3421)</f>
        <v>-0.700373225651685</v>
      </c>
    </row>
    <row r="3422" customFormat="false" ht="15.75" hidden="false" customHeight="false" outlineLevel="0" collapsed="false">
      <c r="A3422" s="1" t="s">
        <v>879</v>
      </c>
      <c r="B3422" s="1" t="n">
        <v>342.03</v>
      </c>
      <c r="C3422" s="1" t="n">
        <f aca="false">1/B3422</f>
        <v>0.00292372014150805</v>
      </c>
      <c r="D3422" s="1" t="n">
        <v>0.49261</v>
      </c>
      <c r="E3422" s="1" t="n">
        <f aca="false">LN(D3422)</f>
        <v>-0.708037493055141</v>
      </c>
    </row>
    <row r="3423" customFormat="false" ht="15.75" hidden="false" customHeight="false" outlineLevel="0" collapsed="false">
      <c r="A3423" s="1" t="s">
        <v>879</v>
      </c>
      <c r="B3423" s="1" t="n">
        <v>342.75</v>
      </c>
      <c r="C3423" s="1" t="n">
        <f aca="false">1/B3423</f>
        <v>0.00291757840991977</v>
      </c>
      <c r="D3423" s="1" t="n">
        <v>0.48886</v>
      </c>
      <c r="E3423" s="1" t="n">
        <f aca="false">LN(D3423)</f>
        <v>-0.715679129067031</v>
      </c>
    </row>
    <row r="3424" customFormat="false" ht="15.75" hidden="false" customHeight="false" outlineLevel="0" collapsed="false">
      <c r="A3424" s="1" t="s">
        <v>879</v>
      </c>
      <c r="B3424" s="1" t="n">
        <v>343.46</v>
      </c>
      <c r="C3424" s="1" t="n">
        <f aca="false">1/B3424</f>
        <v>0.00291154719618005</v>
      </c>
      <c r="D3424" s="1" t="n">
        <v>0.48516</v>
      </c>
      <c r="E3424" s="1" t="n">
        <f aca="false">LN(D3424)</f>
        <v>-0.723276545541457</v>
      </c>
    </row>
    <row r="3425" customFormat="false" ht="15.75" hidden="false" customHeight="false" outlineLevel="0" collapsed="false">
      <c r="A3425" s="1" t="s">
        <v>879</v>
      </c>
      <c r="B3425" s="1" t="n">
        <v>344.18</v>
      </c>
      <c r="C3425" s="1" t="n">
        <f aca="false">1/B3425</f>
        <v>0.00290545644720786</v>
      </c>
      <c r="D3425" s="1" t="n">
        <v>0.4815</v>
      </c>
      <c r="E3425" s="1" t="n">
        <f aca="false">LN(D3425)</f>
        <v>-0.730849047743957</v>
      </c>
    </row>
    <row r="3426" customFormat="false" ht="15.75" hidden="false" customHeight="false" outlineLevel="0" collapsed="false">
      <c r="A3426" s="1" t="s">
        <v>879</v>
      </c>
      <c r="B3426" s="1" t="n">
        <v>344.9</v>
      </c>
      <c r="C3426" s="1" t="n">
        <f aca="false">1/B3426</f>
        <v>0.00289939112786315</v>
      </c>
      <c r="D3426" s="1" t="n">
        <v>0.47789</v>
      </c>
      <c r="E3426" s="1" t="n">
        <f aca="false">LN(D3426)</f>
        <v>-0.738374698496635</v>
      </c>
    </row>
    <row r="3427" customFormat="false" ht="15.75" hidden="false" customHeight="false" outlineLevel="0" collapsed="false">
      <c r="A3427" s="1" t="s">
        <v>879</v>
      </c>
      <c r="B3427" s="1" t="n">
        <v>345.62</v>
      </c>
      <c r="C3427" s="1" t="n">
        <f aca="false">1/B3427</f>
        <v>0.00289335107921995</v>
      </c>
      <c r="D3427" s="1" t="n">
        <v>0.47431</v>
      </c>
      <c r="E3427" s="1" t="n">
        <f aca="false">LN(D3427)</f>
        <v>-0.745894162618561</v>
      </c>
    </row>
    <row r="3428" customFormat="false" ht="15.75" hidden="false" customHeight="false" outlineLevel="0" collapsed="false">
      <c r="A3428" s="1" t="s">
        <v>879</v>
      </c>
      <c r="B3428" s="1" t="n">
        <v>346.34</v>
      </c>
      <c r="C3428" s="1" t="n">
        <f aca="false">1/B3428</f>
        <v>0.00288733614367385</v>
      </c>
      <c r="D3428" s="1" t="n">
        <v>0.47078</v>
      </c>
      <c r="E3428" s="1" t="n">
        <f aca="false">LN(D3428)</f>
        <v>-0.753364385381956</v>
      </c>
    </row>
    <row r="3429" customFormat="false" ht="15.75" hidden="false" customHeight="false" outlineLevel="0" collapsed="false">
      <c r="A3429" s="1" t="s">
        <v>879</v>
      </c>
      <c r="B3429" s="1" t="n">
        <v>347.06</v>
      </c>
      <c r="C3429" s="1" t="n">
        <f aca="false">1/B3429</f>
        <v>0.00288134616492825</v>
      </c>
      <c r="D3429" s="1" t="n">
        <v>0.46729</v>
      </c>
      <c r="E3429" s="1" t="n">
        <f aca="false">LN(D3429)</f>
        <v>-0.76080522903394</v>
      </c>
    </row>
    <row r="3430" customFormat="false" ht="15.75" hidden="false" customHeight="false" outlineLevel="0" collapsed="false">
      <c r="A3430" s="1" t="s">
        <v>879</v>
      </c>
      <c r="B3430" s="1" t="n">
        <v>347.78</v>
      </c>
      <c r="C3430" s="1" t="n">
        <f aca="false">1/B3430</f>
        <v>0.00287538098798091</v>
      </c>
      <c r="D3430" s="1" t="n">
        <v>0.46384</v>
      </c>
      <c r="E3430" s="1" t="n">
        <f aca="false">LN(D3430)</f>
        <v>-0.768215613808792</v>
      </c>
    </row>
    <row r="3431" customFormat="false" ht="15.75" hidden="false" customHeight="false" outlineLevel="0" collapsed="false">
      <c r="A3431" s="1" t="s">
        <v>879</v>
      </c>
      <c r="B3431" s="1" t="n">
        <v>348.5</v>
      </c>
      <c r="C3431" s="1" t="n">
        <f aca="false">1/B3431</f>
        <v>0.00286944045911047</v>
      </c>
      <c r="D3431" s="1" t="n">
        <v>0.46043</v>
      </c>
      <c r="E3431" s="1" t="n">
        <f aca="false">LN(D3431)</f>
        <v>-0.775594443527477</v>
      </c>
    </row>
    <row r="3432" customFormat="false" ht="15.75" hidden="false" customHeight="false" outlineLevel="0" collapsed="false">
      <c r="A3432" s="1" t="s">
        <v>879</v>
      </c>
      <c r="B3432" s="1" t="n">
        <v>349.22</v>
      </c>
      <c r="C3432" s="1" t="n">
        <f aca="false">1/B3432</f>
        <v>0.00286352442586335</v>
      </c>
      <c r="D3432" s="1" t="n">
        <v>0.45706</v>
      </c>
      <c r="E3432" s="1" t="n">
        <f aca="false">LN(D3432)</f>
        <v>-0.782940605677399</v>
      </c>
    </row>
    <row r="3433" customFormat="false" ht="15.75" hidden="false" customHeight="false" outlineLevel="0" collapsed="false">
      <c r="A3433" s="1" t="s">
        <v>879</v>
      </c>
      <c r="B3433" s="1" t="n">
        <v>349.94</v>
      </c>
      <c r="C3433" s="1" t="n">
        <f aca="false">1/B3433</f>
        <v>0.00285763273704064</v>
      </c>
      <c r="D3433" s="1" t="n">
        <v>0.45373</v>
      </c>
      <c r="E3433" s="1" t="n">
        <f aca="false">LN(D3433)</f>
        <v>-0.790252971509488</v>
      </c>
    </row>
    <row r="3434" customFormat="false" ht="15.75" hidden="false" customHeight="false" outlineLevel="0" collapsed="false">
      <c r="A3434" s="1" t="s">
        <v>879</v>
      </c>
      <c r="B3434" s="1" t="n">
        <v>350.66</v>
      </c>
      <c r="C3434" s="1" t="n">
        <f aca="false">1/B3434</f>
        <v>0.00285176524268522</v>
      </c>
      <c r="D3434" s="1" t="n">
        <v>0.45043</v>
      </c>
      <c r="E3434" s="1" t="n">
        <f aca="false">LN(D3434)</f>
        <v>-0.797552596914799</v>
      </c>
    </row>
    <row r="3435" customFormat="false" ht="15.75" hidden="false" customHeight="false" outlineLevel="0" collapsed="false">
      <c r="A3435" s="1" t="s">
        <v>879</v>
      </c>
      <c r="B3435" s="1" t="n">
        <v>351.38</v>
      </c>
      <c r="C3435" s="1" t="n">
        <f aca="false">1/B3435</f>
        <v>0.0028459217940691</v>
      </c>
      <c r="D3435" s="1" t="n">
        <v>0.44717</v>
      </c>
      <c r="E3435" s="1" t="n">
        <f aca="false">LN(D3435)</f>
        <v>-0.804816443470197</v>
      </c>
    </row>
    <row r="3436" customFormat="false" ht="15.75" hidden="false" customHeight="false" outlineLevel="0" collapsed="false">
      <c r="A3436" s="1" t="s">
        <v>879</v>
      </c>
      <c r="B3436" s="1" t="n">
        <v>352.09</v>
      </c>
      <c r="C3436" s="1" t="n">
        <f aca="false">1/B3436</f>
        <v>0.00284018290777926</v>
      </c>
      <c r="D3436" s="1" t="n">
        <v>0.44395</v>
      </c>
      <c r="E3436" s="1" t="n">
        <f aca="false">LN(D3436)</f>
        <v>-0.812043335503801</v>
      </c>
    </row>
    <row r="3437" customFormat="false" ht="15.75" hidden="false" customHeight="false" outlineLevel="0" collapsed="false">
      <c r="A3437" s="1" t="s">
        <v>879</v>
      </c>
      <c r="B3437" s="1" t="n">
        <v>352.81</v>
      </c>
      <c r="C3437" s="1" t="n">
        <f aca="false">1/B3437</f>
        <v>0.00283438678042006</v>
      </c>
      <c r="D3437" s="1" t="n">
        <v>0.44076</v>
      </c>
      <c r="E3437" s="1" t="n">
        <f aca="false">LN(D3437)</f>
        <v>-0.819254769362561</v>
      </c>
    </row>
    <row r="3438" customFormat="false" ht="15.75" hidden="false" customHeight="false" outlineLevel="0" collapsed="false">
      <c r="A3438" s="1" t="s">
        <v>879</v>
      </c>
      <c r="B3438" s="1" t="n">
        <v>353.53</v>
      </c>
      <c r="C3438" s="1" t="n">
        <f aca="false">1/B3438</f>
        <v>0.00282861426187311</v>
      </c>
      <c r="D3438" s="1" t="n">
        <v>0.43761</v>
      </c>
      <c r="E3438" s="1" t="n">
        <f aca="false">LN(D3438)</f>
        <v>-0.826427176215905</v>
      </c>
    </row>
    <row r="3439" customFormat="false" ht="15.75" hidden="false" customHeight="false" outlineLevel="0" collapsed="false">
      <c r="A3439" s="1" t="s">
        <v>879</v>
      </c>
      <c r="B3439" s="1" t="n">
        <v>354.25</v>
      </c>
      <c r="C3439" s="1" t="n">
        <f aca="false">1/B3439</f>
        <v>0.00282286520818631</v>
      </c>
      <c r="D3439" s="1" t="n">
        <v>0.4345</v>
      </c>
      <c r="E3439" s="1" t="n">
        <f aca="false">LN(D3439)</f>
        <v>-0.83355933427669</v>
      </c>
    </row>
    <row r="3440" customFormat="false" ht="15.75" hidden="false" customHeight="false" outlineLevel="0" collapsed="false">
      <c r="A3440" s="1" t="s">
        <v>879</v>
      </c>
      <c r="B3440" s="1" t="n">
        <v>354.97</v>
      </c>
      <c r="C3440" s="1" t="n">
        <f aca="false">1/B3440</f>
        <v>0.00281713947657548</v>
      </c>
      <c r="D3440" s="1" t="n">
        <v>0.43142</v>
      </c>
      <c r="E3440" s="1" t="n">
        <f aca="false">LN(D3440)</f>
        <v>-0.840673185415566</v>
      </c>
    </row>
    <row r="3441" customFormat="false" ht="15.75" hidden="false" customHeight="false" outlineLevel="0" collapsed="false">
      <c r="A3441" s="1" t="s">
        <v>879</v>
      </c>
      <c r="B3441" s="1" t="n">
        <v>355.69</v>
      </c>
      <c r="C3441" s="1" t="n">
        <f aca="false">1/B3441</f>
        <v>0.00281143692541258</v>
      </c>
      <c r="D3441" s="1" t="n">
        <v>0.42837</v>
      </c>
      <c r="E3441" s="1" t="n">
        <f aca="false">LN(D3441)</f>
        <v>-0.847767970871823</v>
      </c>
    </row>
    <row r="3442" customFormat="false" ht="15.75" hidden="false" customHeight="false" outlineLevel="0" collapsed="false">
      <c r="A3442" s="1" t="s">
        <v>879</v>
      </c>
      <c r="B3442" s="1" t="n">
        <v>356.41</v>
      </c>
      <c r="C3442" s="1" t="n">
        <f aca="false">1/B3442</f>
        <v>0.00280575741421397</v>
      </c>
      <c r="D3442" s="1" t="n">
        <v>0.42536</v>
      </c>
      <c r="E3442" s="1" t="n">
        <f aca="false">LN(D3442)</f>
        <v>-0.854819409786054</v>
      </c>
    </row>
    <row r="3443" customFormat="false" ht="15.75" hidden="false" customHeight="false" outlineLevel="0" collapsed="false">
      <c r="A3443" s="1" t="s">
        <v>879</v>
      </c>
      <c r="B3443" s="1" t="n">
        <v>357.13</v>
      </c>
      <c r="C3443" s="1" t="n">
        <f aca="false">1/B3443</f>
        <v>0.00280010080362893</v>
      </c>
      <c r="D3443" s="1" t="n">
        <v>0.42237</v>
      </c>
      <c r="E3443" s="1" t="n">
        <f aca="false">LN(D3443)</f>
        <v>-0.861873571839591</v>
      </c>
    </row>
    <row r="3444" customFormat="false" ht="15.75" hidden="false" customHeight="false" outlineLevel="0" collapsed="false">
      <c r="A3444" s="1" t="s">
        <v>879</v>
      </c>
      <c r="B3444" s="1" t="n">
        <v>357.85</v>
      </c>
      <c r="C3444" s="1" t="n">
        <f aca="false">1/B3444</f>
        <v>0.00279446695542825</v>
      </c>
      <c r="D3444" s="1" t="n">
        <v>0.41942</v>
      </c>
      <c r="E3444" s="1" t="n">
        <f aca="false">LN(D3444)</f>
        <v>-0.868882474479164</v>
      </c>
    </row>
    <row r="3445" customFormat="false" ht="15.75" hidden="false" customHeight="false" outlineLevel="0" collapsed="false">
      <c r="A3445" s="1" t="s">
        <v>879</v>
      </c>
      <c r="B3445" s="1" t="n">
        <v>358.57</v>
      </c>
      <c r="C3445" s="1" t="n">
        <f aca="false">1/B3445</f>
        <v>0.00278885573249296</v>
      </c>
      <c r="D3445" s="1" t="n">
        <v>0.41651</v>
      </c>
      <c r="E3445" s="1" t="n">
        <f aca="false">LN(D3445)</f>
        <v>-0.875844808059624</v>
      </c>
    </row>
    <row r="3446" customFormat="false" ht="15.75" hidden="false" customHeight="false" outlineLevel="0" collapsed="false">
      <c r="A3446" s="1" t="s">
        <v>879</v>
      </c>
      <c r="B3446" s="1" t="n">
        <v>359.29</v>
      </c>
      <c r="C3446" s="1" t="n">
        <f aca="false">1/B3446</f>
        <v>0.00278326699880319</v>
      </c>
      <c r="D3446" s="1" t="n">
        <v>0.41362</v>
      </c>
      <c r="E3446" s="1" t="n">
        <f aca="false">LN(D3446)</f>
        <v>-0.882807601057607</v>
      </c>
    </row>
    <row r="3447" customFormat="false" ht="15.75" hidden="false" customHeight="false" outlineLevel="0" collapsed="false">
      <c r="A3447" s="1" t="s">
        <v>879</v>
      </c>
      <c r="B3447" s="1" t="n">
        <v>360.01</v>
      </c>
      <c r="C3447" s="1" t="n">
        <f aca="false">1/B3447</f>
        <v>0.00277770061942724</v>
      </c>
      <c r="D3447" s="1" t="n">
        <v>0.41077</v>
      </c>
      <c r="E3447" s="1" t="n">
        <f aca="false">LN(D3447)</f>
        <v>-0.889721831832011</v>
      </c>
    </row>
    <row r="3448" customFormat="false" ht="15.75" hidden="false" customHeight="false" outlineLevel="0" collapsed="false">
      <c r="A3448" s="1" t="s">
        <v>879</v>
      </c>
      <c r="B3448" s="1" t="n">
        <v>360.72</v>
      </c>
      <c r="C3448" s="1" t="n">
        <f aca="false">1/B3448</f>
        <v>0.00277223331115547</v>
      </c>
      <c r="D3448" s="1" t="n">
        <v>0.40794</v>
      </c>
      <c r="E3448" s="1" t="n">
        <f aca="false">LN(D3448)</f>
        <v>-0.896635174215714</v>
      </c>
    </row>
    <row r="3449" customFormat="false" ht="15.75" hidden="false" customHeight="false" outlineLevel="0" collapsed="false">
      <c r="A3449" s="1" t="s">
        <v>879</v>
      </c>
      <c r="B3449" s="1" t="n">
        <v>361.44</v>
      </c>
      <c r="C3449" s="1" t="n">
        <f aca="false">1/B3449</f>
        <v>0.00276671093404161</v>
      </c>
      <c r="D3449" s="1" t="n">
        <v>0.40514</v>
      </c>
      <c r="E3449" s="1" t="n">
        <f aca="false">LN(D3449)</f>
        <v>-0.903522592596477</v>
      </c>
    </row>
    <row r="3450" customFormat="false" ht="15.75" hidden="false" customHeight="false" outlineLevel="0" collapsed="false">
      <c r="A3450" s="1" t="s">
        <v>879</v>
      </c>
      <c r="B3450" s="1" t="n">
        <v>362.16</v>
      </c>
      <c r="C3450" s="1" t="n">
        <f aca="false">1/B3450</f>
        <v>0.00276121051468964</v>
      </c>
      <c r="D3450" s="1" t="n">
        <v>0.40238</v>
      </c>
      <c r="E3450" s="1" t="n">
        <f aca="false">LN(D3450)</f>
        <v>-0.910358363221047</v>
      </c>
    </row>
    <row r="3451" customFormat="false" ht="15.75" hidden="false" customHeight="false" outlineLevel="0" collapsed="false">
      <c r="A3451" s="1" t="s">
        <v>879</v>
      </c>
      <c r="B3451" s="1" t="n">
        <v>362.88</v>
      </c>
      <c r="C3451" s="1" t="n">
        <f aca="false">1/B3451</f>
        <v>0.00275573192239859</v>
      </c>
      <c r="D3451" s="1" t="n">
        <v>0.39964</v>
      </c>
      <c r="E3451" s="1" t="n">
        <f aca="false">LN(D3451)</f>
        <v>-0.917191137117319</v>
      </c>
    </row>
    <row r="3452" customFormat="false" ht="15.75" hidden="false" customHeight="false" outlineLevel="0" collapsed="false">
      <c r="A3452" s="1" t="s">
        <v>879</v>
      </c>
      <c r="B3452" s="1" t="n">
        <v>363.6</v>
      </c>
      <c r="C3452" s="1" t="n">
        <f aca="false">1/B3452</f>
        <v>0.00275027502750275</v>
      </c>
      <c r="D3452" s="1" t="n">
        <v>0.39693</v>
      </c>
      <c r="E3452" s="1" t="n">
        <f aca="false">LN(D3452)</f>
        <v>-0.923995336259708</v>
      </c>
    </row>
    <row r="3453" customFormat="false" ht="15.75" hidden="false" customHeight="false" outlineLevel="0" collapsed="false">
      <c r="A3453" s="1" t="s">
        <v>879</v>
      </c>
      <c r="B3453" s="1" t="n">
        <v>364.32</v>
      </c>
      <c r="C3453" s="1" t="n">
        <f aca="false">1/B3453</f>
        <v>0.00274483970136144</v>
      </c>
      <c r="D3453" s="1" t="n">
        <v>0.39425</v>
      </c>
      <c r="E3453" s="1" t="n">
        <f aca="false">LN(D3453)</f>
        <v>-0.930770053138989</v>
      </c>
    </row>
    <row r="3454" customFormat="false" ht="15.75" hidden="false" customHeight="false" outlineLevel="0" collapsed="false">
      <c r="A3454" s="1" t="s">
        <v>879</v>
      </c>
      <c r="B3454" s="1" t="n">
        <v>365.04</v>
      </c>
      <c r="C3454" s="1" t="n">
        <f aca="false">1/B3454</f>
        <v>0.00273942581634889</v>
      </c>
      <c r="D3454" s="1" t="n">
        <v>0.3916</v>
      </c>
      <c r="E3454" s="1" t="n">
        <f aca="false">LN(D3454)</f>
        <v>-0.937514368325782</v>
      </c>
    </row>
    <row r="3455" customFormat="false" ht="15.75" hidden="false" customHeight="false" outlineLevel="0" collapsed="false">
      <c r="A3455" s="1" t="s">
        <v>879</v>
      </c>
      <c r="B3455" s="1" t="n">
        <v>365.76</v>
      </c>
      <c r="C3455" s="1" t="n">
        <f aca="false">1/B3455</f>
        <v>0.00273403324584427</v>
      </c>
      <c r="D3455" s="1" t="n">
        <v>0.38897</v>
      </c>
      <c r="E3455" s="1" t="n">
        <f aca="false">LN(D3455)</f>
        <v>-0.944253059160276</v>
      </c>
    </row>
    <row r="3456" customFormat="false" ht="15.75" hidden="false" customHeight="false" outlineLevel="0" collapsed="false">
      <c r="A3456" s="1" t="s">
        <v>879</v>
      </c>
      <c r="B3456" s="1" t="n">
        <v>366.48</v>
      </c>
      <c r="C3456" s="1" t="n">
        <f aca="false">1/B3456</f>
        <v>0.00272866186422179</v>
      </c>
      <c r="D3456" s="1" t="n">
        <v>0.38638</v>
      </c>
      <c r="E3456" s="1" t="n">
        <f aca="false">LN(D3456)</f>
        <v>-0.950933937817729</v>
      </c>
    </row>
    <row r="3457" customFormat="false" ht="15.75" hidden="false" customHeight="false" outlineLevel="0" collapsed="false">
      <c r="A3457" s="1" t="s">
        <v>879</v>
      </c>
      <c r="B3457" s="1" t="n">
        <v>367.2</v>
      </c>
      <c r="C3457" s="1" t="n">
        <f aca="false">1/B3457</f>
        <v>0.00272331154684096</v>
      </c>
      <c r="D3457" s="1" t="n">
        <v>0.3838</v>
      </c>
      <c r="E3457" s="1" t="n">
        <f aca="false">LN(D3457)</f>
        <v>-0.957633695408538</v>
      </c>
    </row>
    <row r="3458" customFormat="false" ht="15.75" hidden="false" customHeight="false" outlineLevel="0" collapsed="false">
      <c r="A3458" s="1" t="s">
        <v>879</v>
      </c>
      <c r="B3458" s="1" t="n">
        <v>367.92</v>
      </c>
      <c r="C3458" s="1" t="n">
        <f aca="false">1/B3458</f>
        <v>0.00271798217003696</v>
      </c>
      <c r="D3458" s="1" t="n">
        <v>0.38126</v>
      </c>
      <c r="E3458" s="1" t="n">
        <f aca="false">LN(D3458)</f>
        <v>-0.964273721896307</v>
      </c>
    </row>
    <row r="3459" customFormat="false" ht="15.75" hidden="false" customHeight="false" outlineLevel="0" collapsed="false">
      <c r="A3459" s="1" t="s">
        <v>879</v>
      </c>
      <c r="B3459" s="1" t="n">
        <v>368.64</v>
      </c>
      <c r="C3459" s="1" t="n">
        <f aca="false">1/B3459</f>
        <v>0.00271267361111111</v>
      </c>
      <c r="D3459" s="1" t="n">
        <v>0.37874</v>
      </c>
      <c r="E3459" s="1" t="n">
        <f aca="false">LN(D3459)</f>
        <v>-0.970905325147378</v>
      </c>
    </row>
    <row r="3460" customFormat="false" ht="15.75" hidden="false" customHeight="false" outlineLevel="0" collapsed="false">
      <c r="A3460" s="1" t="s">
        <v>879</v>
      </c>
      <c r="B3460" s="1" t="n">
        <v>369.35</v>
      </c>
      <c r="C3460" s="1" t="n">
        <f aca="false">1/B3460</f>
        <v>0.00270745904968187</v>
      </c>
      <c r="D3460" s="1" t="n">
        <v>0.37624</v>
      </c>
      <c r="E3460" s="1" t="n">
        <f aca="false">LN(D3460)</f>
        <v>-0.977528041345344</v>
      </c>
    </row>
    <row r="3461" customFormat="false" ht="15.75" hidden="false" customHeight="false" outlineLevel="0" collapsed="false">
      <c r="A3461" s="1" t="s">
        <v>879</v>
      </c>
      <c r="B3461" s="1" t="n">
        <v>370.07</v>
      </c>
      <c r="C3461" s="1" t="n">
        <f aca="false">1/B3461</f>
        <v>0.00270219147728808</v>
      </c>
      <c r="D3461" s="1" t="n">
        <v>0.37377</v>
      </c>
      <c r="E3461" s="1" t="n">
        <f aca="false">LN(D3461)</f>
        <v>-0.984114644003255</v>
      </c>
    </row>
    <row r="3462" customFormat="false" ht="15.75" hidden="false" customHeight="false" outlineLevel="0" collapsed="false">
      <c r="A3462" s="1" t="s">
        <v>879</v>
      </c>
      <c r="B3462" s="1" t="n">
        <v>370.79</v>
      </c>
      <c r="C3462" s="1" t="n">
        <f aca="false">1/B3462</f>
        <v>0.00269694436203781</v>
      </c>
      <c r="D3462" s="1" t="n">
        <v>0.37133</v>
      </c>
      <c r="E3462" s="1" t="n">
        <f aca="false">LN(D3462)</f>
        <v>-0.99066412386399</v>
      </c>
    </row>
    <row r="3463" customFormat="false" ht="15.75" hidden="false" customHeight="false" outlineLevel="0" collapsed="false">
      <c r="A3463" s="1" t="s">
        <v>879</v>
      </c>
      <c r="B3463" s="1" t="n">
        <v>371.51</v>
      </c>
      <c r="C3463" s="1" t="n">
        <f aca="false">1/B3463</f>
        <v>0.00269171758499098</v>
      </c>
      <c r="D3463" s="1" t="n">
        <v>0.36891</v>
      </c>
      <c r="E3463" s="1" t="n">
        <f aca="false">LN(D3463)</f>
        <v>-0.997202567129671</v>
      </c>
    </row>
    <row r="3464" customFormat="false" ht="15.75" hidden="false" customHeight="false" outlineLevel="0" collapsed="false">
      <c r="A3464" s="1" t="s">
        <v>879</v>
      </c>
      <c r="B3464" s="1" t="n">
        <v>372.23</v>
      </c>
      <c r="C3464" s="1" t="n">
        <f aca="false">1/B3464</f>
        <v>0.00268651102812777</v>
      </c>
      <c r="D3464" s="1" t="n">
        <v>0.36651</v>
      </c>
      <c r="E3464" s="1" t="n">
        <f aca="false">LN(D3464)</f>
        <v>-1.00372947289806</v>
      </c>
    </row>
    <row r="3465" customFormat="false" ht="15.75" hidden="false" customHeight="false" outlineLevel="0" collapsed="false">
      <c r="A3465" s="1" t="s">
        <v>879</v>
      </c>
      <c r="B3465" s="1" t="n">
        <v>372.95</v>
      </c>
      <c r="C3465" s="1" t="n">
        <f aca="false">1/B3465</f>
        <v>0.00268132457433972</v>
      </c>
      <c r="D3465" s="1" t="n">
        <v>0.36414</v>
      </c>
      <c r="E3465" s="1" t="n">
        <f aca="false">LN(D3465)</f>
        <v>-1.01021686990632</v>
      </c>
    </row>
    <row r="3466" customFormat="false" ht="15.75" hidden="false" customHeight="false" outlineLevel="0" collapsed="false">
      <c r="A3466" s="1" t="s">
        <v>879</v>
      </c>
      <c r="B3466" s="1" t="n">
        <v>373.67</v>
      </c>
      <c r="C3466" s="1" t="n">
        <f aca="false">1/B3466</f>
        <v>0.00267615810742099</v>
      </c>
      <c r="D3466" s="1" t="n">
        <v>0.36179</v>
      </c>
      <c r="E3466" s="1" t="n">
        <f aca="false">LN(D3466)</f>
        <v>-1.0166913459828</v>
      </c>
    </row>
    <row r="3467" customFormat="false" ht="15.75" hidden="false" customHeight="false" outlineLevel="0" collapsed="false">
      <c r="A3467" s="1" t="s">
        <v>879</v>
      </c>
      <c r="B3467" s="1" t="n">
        <v>374.39</v>
      </c>
      <c r="C3467" s="1" t="n">
        <f aca="false">1/B3467</f>
        <v>0.00267101151205962</v>
      </c>
      <c r="D3467" s="1" t="n">
        <v>0.35946</v>
      </c>
      <c r="E3467" s="1" t="n">
        <f aca="false">LN(D3467)</f>
        <v>-1.02315237365825</v>
      </c>
    </row>
    <row r="3468" customFormat="false" ht="15.75" hidden="false" customHeight="false" outlineLevel="0" collapsed="false">
      <c r="A3468" s="1" t="s">
        <v>879</v>
      </c>
      <c r="B3468" s="1" t="n">
        <v>375.11</v>
      </c>
      <c r="C3468" s="1" t="n">
        <f aca="false">1/B3468</f>
        <v>0.00266588467382901</v>
      </c>
      <c r="D3468" s="1" t="n">
        <v>0.35715</v>
      </c>
      <c r="E3468" s="1" t="n">
        <f aca="false">LN(D3468)</f>
        <v>-1.02959941738116</v>
      </c>
    </row>
    <row r="3469" customFormat="false" ht="15.75" hidden="false" customHeight="false" outlineLevel="0" collapsed="false">
      <c r="A3469" s="1" t="s">
        <v>879</v>
      </c>
      <c r="B3469" s="1" t="n">
        <v>375.83</v>
      </c>
      <c r="C3469" s="1" t="n">
        <f aca="false">1/B3469</f>
        <v>0.00266077747917942</v>
      </c>
      <c r="D3469" s="1" t="n">
        <v>0.35487</v>
      </c>
      <c r="E3469" s="1" t="n">
        <f aca="false">LN(D3469)</f>
        <v>-1.03600375375638</v>
      </c>
    </row>
    <row r="3470" customFormat="false" ht="15.75" hidden="false" customHeight="false" outlineLevel="0" collapsed="false">
      <c r="A3470" s="1" t="s">
        <v>879</v>
      </c>
      <c r="B3470" s="1" t="n">
        <v>376.55</v>
      </c>
      <c r="C3470" s="1" t="n">
        <f aca="false">1/B3470</f>
        <v>0.00265568981542956</v>
      </c>
      <c r="D3470" s="1" t="n">
        <v>0.35261</v>
      </c>
      <c r="E3470" s="1" t="n">
        <f aca="false">LN(D3470)</f>
        <v>-1.0423926486718</v>
      </c>
    </row>
    <row r="3471" customFormat="false" ht="15.75" hidden="false" customHeight="false" outlineLevel="0" collapsed="false">
      <c r="A3471" s="1" t="s">
        <v>879</v>
      </c>
      <c r="B3471" s="1" t="n">
        <v>377.27</v>
      </c>
      <c r="C3471" s="1" t="n">
        <f aca="false">1/B3471</f>
        <v>0.00265062157075834</v>
      </c>
      <c r="D3471" s="1" t="n">
        <v>0.35037</v>
      </c>
      <c r="E3471" s="1" t="n">
        <f aca="false">LN(D3471)</f>
        <v>-1.04876554002355</v>
      </c>
    </row>
    <row r="3472" customFormat="false" ht="15.75" hidden="false" customHeight="false" outlineLevel="0" collapsed="false">
      <c r="A3472" s="1" t="s">
        <v>879</v>
      </c>
      <c r="B3472" s="1" t="n">
        <v>377.98</v>
      </c>
      <c r="C3472" s="1" t="n">
        <f aca="false">1/B3472</f>
        <v>0.002645642626594</v>
      </c>
      <c r="D3472" s="1" t="n">
        <v>0.34815</v>
      </c>
      <c r="E3472" s="1" t="n">
        <f aca="false">LN(D3472)</f>
        <v>-1.05512185759358</v>
      </c>
    </row>
    <row r="3473" customFormat="false" ht="15.75" hidden="false" customHeight="false" outlineLevel="0" collapsed="false">
      <c r="A3473" s="1" t="s">
        <v>879</v>
      </c>
      <c r="B3473" s="1" t="n">
        <v>378.7</v>
      </c>
      <c r="C3473" s="1" t="n">
        <f aca="false">1/B3473</f>
        <v>0.00264061262212833</v>
      </c>
      <c r="D3473" s="1" t="n">
        <v>0.34596</v>
      </c>
      <c r="E3473" s="1" t="n">
        <f aca="false">LN(D3473)</f>
        <v>-1.06143211754383</v>
      </c>
    </row>
    <row r="3474" customFormat="false" ht="15.75" hidden="false" customHeight="false" outlineLevel="0" collapsed="false">
      <c r="A3474" s="1" t="s">
        <v>879</v>
      </c>
      <c r="B3474" s="1" t="n">
        <v>379.42</v>
      </c>
      <c r="C3474" s="1" t="n">
        <f aca="false">1/B3474</f>
        <v>0.00263560170786991</v>
      </c>
      <c r="D3474" s="1" t="n">
        <v>0.34378</v>
      </c>
      <c r="E3474" s="1" t="n">
        <f aca="false">LN(D3474)</f>
        <v>-1.06775336108213</v>
      </c>
    </row>
    <row r="3475" customFormat="false" ht="15.75" hidden="false" customHeight="false" outlineLevel="0" collapsed="false">
      <c r="A3475" s="1" t="s">
        <v>879</v>
      </c>
      <c r="B3475" s="1" t="n">
        <v>380.14</v>
      </c>
      <c r="C3475" s="1" t="n">
        <f aca="false">1/B3475</f>
        <v>0.00263060977534593</v>
      </c>
      <c r="D3475" s="1" t="n">
        <v>0.34163</v>
      </c>
      <c r="E3475" s="1" t="n">
        <f aca="false">LN(D3475)</f>
        <v>-1.0740269989098</v>
      </c>
    </row>
    <row r="3476" customFormat="false" ht="15.75" hidden="false" customHeight="false" outlineLevel="0" collapsed="false">
      <c r="A3476" s="1" t="s">
        <v>879</v>
      </c>
      <c r="B3476" s="1" t="n">
        <v>380.86</v>
      </c>
      <c r="C3476" s="1" t="n">
        <f aca="false">1/B3476</f>
        <v>0.00262563671690385</v>
      </c>
      <c r="D3476" s="1" t="n">
        <v>0.33949</v>
      </c>
      <c r="E3476" s="1" t="n">
        <f aca="false">LN(D3476)</f>
        <v>-1.0803107874982</v>
      </c>
    </row>
    <row r="3477" customFormat="false" ht="15.75" hidden="false" customHeight="false" outlineLevel="0" collapsed="false">
      <c r="A3477" s="1" t="s">
        <v>879</v>
      </c>
      <c r="B3477" s="1" t="n">
        <v>381.58</v>
      </c>
      <c r="C3477" s="1" t="n">
        <f aca="false">1/B3477</f>
        <v>0.00262068242570365</v>
      </c>
      <c r="D3477" s="1" t="n">
        <v>0.33738</v>
      </c>
      <c r="E3477" s="1" t="n">
        <f aca="false">LN(D3477)</f>
        <v>-1.08654538744997</v>
      </c>
    </row>
    <row r="3478" customFormat="false" ht="15.75" hidden="false" customHeight="false" outlineLevel="0" collapsed="false">
      <c r="A3478" s="1" t="s">
        <v>879</v>
      </c>
      <c r="B3478" s="1" t="n">
        <v>382.3</v>
      </c>
      <c r="C3478" s="1" t="n">
        <f aca="false">1/B3478</f>
        <v>0.00261574679571018</v>
      </c>
      <c r="D3478" s="1" t="n">
        <v>0.33528</v>
      </c>
      <c r="E3478" s="1" t="n">
        <f aca="false">LN(D3478)</f>
        <v>-1.09278927536532</v>
      </c>
    </row>
    <row r="3479" customFormat="false" ht="15.75" hidden="false" customHeight="false" outlineLevel="0" collapsed="false">
      <c r="A3479" s="1" t="s">
        <v>879</v>
      </c>
      <c r="B3479" s="1" t="n">
        <v>383.02</v>
      </c>
      <c r="C3479" s="1" t="n">
        <f aca="false">1/B3479</f>
        <v>0.00261082972168555</v>
      </c>
      <c r="D3479" s="1" t="n">
        <v>0.33321</v>
      </c>
      <c r="E3479" s="1" t="n">
        <f aca="false">LN(D3479)</f>
        <v>-1.098982357135</v>
      </c>
    </row>
    <row r="3480" customFormat="false" ht="15.75" hidden="false" customHeight="false" outlineLevel="0" collapsed="false">
      <c r="A3480" s="1" t="s">
        <v>879</v>
      </c>
      <c r="B3480" s="1" t="n">
        <v>383.74</v>
      </c>
      <c r="C3480" s="1" t="n">
        <f aca="false">1/B3480</f>
        <v>0.00260593109918174</v>
      </c>
      <c r="D3480" s="1" t="n">
        <v>0.33115</v>
      </c>
      <c r="E3480" s="1" t="n">
        <f aca="false">LN(D3480)</f>
        <v>-1.10518383405115</v>
      </c>
    </row>
    <row r="3481" customFormat="false" ht="15.75" hidden="false" customHeight="false" outlineLevel="0" collapsed="false">
      <c r="A3481" s="1" t="s">
        <v>879</v>
      </c>
      <c r="B3481" s="1" t="n">
        <v>384.46</v>
      </c>
      <c r="C3481" s="1" t="n">
        <f aca="false">1/B3481</f>
        <v>0.00260105082453311</v>
      </c>
      <c r="D3481" s="1" t="n">
        <v>0.32911</v>
      </c>
      <c r="E3481" s="1" t="n">
        <f aca="false">LN(D3481)</f>
        <v>-1.11136323759354</v>
      </c>
    </row>
    <row r="3482" customFormat="false" ht="15.75" hidden="false" customHeight="false" outlineLevel="0" collapsed="false">
      <c r="A3482" s="1" t="s">
        <v>879</v>
      </c>
      <c r="B3482" s="1" t="n">
        <v>385.18</v>
      </c>
      <c r="C3482" s="1" t="n">
        <f aca="false">1/B3482</f>
        <v>0.00259618879484916</v>
      </c>
      <c r="D3482" s="1" t="n">
        <v>0.32709</v>
      </c>
      <c r="E3482" s="1" t="n">
        <f aca="false">LN(D3482)</f>
        <v>-1.11751991659574</v>
      </c>
    </row>
    <row r="3483" customFormat="false" ht="15.75" hidden="false" customHeight="false" outlineLevel="0" collapsed="false">
      <c r="A3483" s="1" t="s">
        <v>879</v>
      </c>
      <c r="B3483" s="1" t="n">
        <v>385.9</v>
      </c>
      <c r="C3483" s="1" t="n">
        <f aca="false">1/B3483</f>
        <v>0.00259134490800726</v>
      </c>
      <c r="D3483" s="1" t="n">
        <v>0.32509</v>
      </c>
      <c r="E3483" s="1" t="n">
        <f aca="false">LN(D3483)</f>
        <v>-1.12365321191159</v>
      </c>
    </row>
    <row r="3484" customFormat="false" ht="15.75" hidden="false" customHeight="false" outlineLevel="0" collapsed="false">
      <c r="A3484" s="1" t="s">
        <v>879</v>
      </c>
      <c r="B3484" s="1" t="n">
        <v>386.61</v>
      </c>
      <c r="C3484" s="1" t="n">
        <f aca="false">1/B3484</f>
        <v>0.00258658596518455</v>
      </c>
      <c r="D3484" s="1" t="n">
        <v>0.32311</v>
      </c>
      <c r="E3484" s="1" t="n">
        <f aca="false">LN(D3484)</f>
        <v>-1.12976245646041</v>
      </c>
    </row>
    <row r="3485" customFormat="false" ht="15.75" hidden="false" customHeight="false" outlineLevel="0" collapsed="false">
      <c r="A3485" s="1" t="s">
        <v>879</v>
      </c>
      <c r="B3485" s="1" t="n">
        <v>387.33</v>
      </c>
      <c r="C3485" s="1" t="n">
        <f aca="false">1/B3485</f>
        <v>0.00258177781220148</v>
      </c>
      <c r="D3485" s="1" t="n">
        <v>0.32114</v>
      </c>
      <c r="E3485" s="1" t="n">
        <f aca="false">LN(D3485)</f>
        <v>-1.1358781138606</v>
      </c>
    </row>
    <row r="3486" customFormat="false" ht="15.75" hidden="false" customHeight="false" outlineLevel="0" collapsed="false">
      <c r="A3486" s="1" t="s">
        <v>879</v>
      </c>
      <c r="B3486" s="1" t="n">
        <v>388.05</v>
      </c>
      <c r="C3486" s="1" t="n">
        <f aca="false">1/B3486</f>
        <v>0.00257698750161062</v>
      </c>
      <c r="D3486" s="1" t="n">
        <v>0.3192</v>
      </c>
      <c r="E3486" s="1" t="n">
        <f aca="false">LN(D3486)</f>
        <v>-1.14193741340648</v>
      </c>
    </row>
    <row r="3487" customFormat="false" ht="15.75" hidden="false" customHeight="false" outlineLevel="0" collapsed="false">
      <c r="A3487" s="1" t="s">
        <v>879</v>
      </c>
      <c r="B3487" s="1" t="n">
        <v>388.77</v>
      </c>
      <c r="C3487" s="1" t="n">
        <f aca="false">1/B3487</f>
        <v>0.00257221493427991</v>
      </c>
      <c r="D3487" s="1" t="n">
        <v>0.31727</v>
      </c>
      <c r="E3487" s="1" t="n">
        <f aca="false">LN(D3487)</f>
        <v>-1.14800213260952</v>
      </c>
    </row>
    <row r="3488" customFormat="false" ht="15.75" hidden="false" customHeight="false" outlineLevel="0" collapsed="false">
      <c r="A3488" s="1" t="s">
        <v>879</v>
      </c>
      <c r="B3488" s="1" t="n">
        <v>389.49</v>
      </c>
      <c r="C3488" s="1" t="n">
        <f aca="false">1/B3488</f>
        <v>0.00256746001181032</v>
      </c>
      <c r="D3488" s="1" t="n">
        <v>0.31535</v>
      </c>
      <c r="E3488" s="1" t="n">
        <f aca="false">LN(D3488)</f>
        <v>-1.15407214587248</v>
      </c>
    </row>
    <row r="3489" customFormat="false" ht="15.75" hidden="false" customHeight="false" outlineLevel="0" collapsed="false">
      <c r="A3489" s="1" t="s">
        <v>879</v>
      </c>
      <c r="B3489" s="1" t="n">
        <v>390.21</v>
      </c>
      <c r="C3489" s="1" t="n">
        <f aca="false">1/B3489</f>
        <v>0.00256272263652905</v>
      </c>
      <c r="D3489" s="1" t="n">
        <v>0.31346</v>
      </c>
      <c r="E3489" s="1" t="n">
        <f aca="false">LN(D3489)</f>
        <v>-1.16008351875621</v>
      </c>
    </row>
    <row r="3490" customFormat="false" ht="15.75" hidden="false" customHeight="false" outlineLevel="0" collapsed="false">
      <c r="A3490" s="1" t="s">
        <v>879</v>
      </c>
      <c r="B3490" s="1" t="n">
        <v>390.93</v>
      </c>
      <c r="C3490" s="1" t="n">
        <f aca="false">1/B3490</f>
        <v>0.00255800271148287</v>
      </c>
      <c r="D3490" s="1" t="n">
        <v>0.31158</v>
      </c>
      <c r="E3490" s="1" t="n">
        <f aca="false">LN(D3490)</f>
        <v>-1.16609915189785</v>
      </c>
    </row>
    <row r="3491" customFormat="false" ht="15.75" hidden="false" customHeight="false" outlineLevel="0" collapsed="false">
      <c r="A3491" s="1" t="s">
        <v>879</v>
      </c>
      <c r="B3491" s="1" t="n">
        <v>391.65</v>
      </c>
      <c r="C3491" s="1" t="n">
        <f aca="false">1/B3491</f>
        <v>0.00255330014043151</v>
      </c>
      <c r="D3491" s="1" t="n">
        <v>0.30971</v>
      </c>
      <c r="E3491" s="1" t="n">
        <f aca="false">LN(D3491)</f>
        <v>-1.17211890321203</v>
      </c>
    </row>
    <row r="3492" customFormat="false" ht="15.75" hidden="false" customHeight="false" outlineLevel="0" collapsed="false">
      <c r="A3492" s="1" t="s">
        <v>879</v>
      </c>
      <c r="B3492" s="1" t="n">
        <v>392.37</v>
      </c>
      <c r="C3492" s="1" t="n">
        <f aca="false">1/B3492</f>
        <v>0.00254861482784107</v>
      </c>
      <c r="D3492" s="1" t="n">
        <v>0.30787</v>
      </c>
      <c r="E3492" s="1" t="n">
        <f aca="false">LN(D3492)</f>
        <v>-1.1780776630306</v>
      </c>
    </row>
    <row r="3493" customFormat="false" ht="15.75" hidden="false" customHeight="false" outlineLevel="0" collapsed="false">
      <c r="A3493" s="1" t="s">
        <v>879</v>
      </c>
      <c r="B3493" s="1" t="n">
        <v>393.09</v>
      </c>
      <c r="C3493" s="1" t="n">
        <f aca="false">1/B3493</f>
        <v>0.00254394667887761</v>
      </c>
      <c r="D3493" s="1" t="n">
        <v>0.30604</v>
      </c>
      <c r="E3493" s="1" t="n">
        <f aca="false">LN(D3493)</f>
        <v>-1.18403946661849</v>
      </c>
    </row>
    <row r="3494" customFormat="false" ht="15.75" hidden="false" customHeight="false" outlineLevel="0" collapsed="false">
      <c r="A3494" s="1" t="s">
        <v>879</v>
      </c>
      <c r="B3494" s="1" t="n">
        <v>393.81</v>
      </c>
      <c r="C3494" s="1" t="n">
        <f aca="false">1/B3494</f>
        <v>0.00253929559940073</v>
      </c>
      <c r="D3494" s="1" t="n">
        <v>0.30422</v>
      </c>
      <c r="E3494" s="1" t="n">
        <f aca="false">LN(D3494)</f>
        <v>-1.19000415509854</v>
      </c>
    </row>
    <row r="3495" customFormat="false" ht="15.75" hidden="false" customHeight="false" outlineLevel="0" collapsed="false">
      <c r="A3495" s="1" t="s">
        <v>879</v>
      </c>
      <c r="B3495" s="1" t="n">
        <v>394.53</v>
      </c>
      <c r="C3495" s="1" t="n">
        <f aca="false">1/B3495</f>
        <v>0.00253466149595722</v>
      </c>
      <c r="D3495" s="1" t="n">
        <v>0.30242</v>
      </c>
      <c r="E3495" s="1" t="n">
        <f aca="false">LN(D3495)</f>
        <v>-1.19593849929761</v>
      </c>
    </row>
    <row r="3496" customFormat="false" ht="15.75" hidden="false" customHeight="false" outlineLevel="0" collapsed="false">
      <c r="A3496" s="1" t="s">
        <v>879</v>
      </c>
      <c r="B3496" s="1" t="n">
        <v>395.24</v>
      </c>
      <c r="C3496" s="1" t="n">
        <f aca="false">1/B3496</f>
        <v>0.00253010828863475</v>
      </c>
      <c r="D3496" s="1" t="n">
        <v>0.30064</v>
      </c>
      <c r="E3496" s="1" t="n">
        <f aca="false">LN(D3496)</f>
        <v>-1.20184174331698</v>
      </c>
    </row>
    <row r="3497" customFormat="false" ht="15.75" hidden="false" customHeight="false" outlineLevel="0" collapsed="false">
      <c r="A3497" s="1" t="s">
        <v>879</v>
      </c>
      <c r="B3497" s="1" t="n">
        <v>395.96</v>
      </c>
      <c r="C3497" s="1" t="n">
        <f aca="false">1/B3497</f>
        <v>0.00252550762703303</v>
      </c>
      <c r="D3497" s="1" t="n">
        <v>0.29887</v>
      </c>
      <c r="E3497" s="1" t="n">
        <f aca="false">LN(D3497)</f>
        <v>-1.20774658274551</v>
      </c>
    </row>
    <row r="3498" customFormat="false" ht="15.75" hidden="false" customHeight="false" outlineLevel="0" collapsed="false">
      <c r="A3498" s="1" t="s">
        <v>879</v>
      </c>
      <c r="B3498" s="1" t="n">
        <v>396.68</v>
      </c>
      <c r="C3498" s="1" t="n">
        <f aca="false">1/B3498</f>
        <v>0.00252092366643138</v>
      </c>
      <c r="D3498" s="1" t="n">
        <v>0.29712</v>
      </c>
      <c r="E3498" s="1" t="n">
        <f aca="false">LN(D3498)</f>
        <v>-1.21361918137774</v>
      </c>
    </row>
    <row r="3499" customFormat="false" ht="15.75" hidden="false" customHeight="false" outlineLevel="0" collapsed="false">
      <c r="A3499" s="1" t="s">
        <v>879</v>
      </c>
      <c r="B3499" s="1" t="n">
        <v>397.4</v>
      </c>
      <c r="C3499" s="1" t="n">
        <f aca="false">1/B3499</f>
        <v>0.00251635631605435</v>
      </c>
      <c r="D3499" s="1" t="n">
        <v>0.29538</v>
      </c>
      <c r="E3499" s="1" t="n">
        <f aca="false">LN(D3499)</f>
        <v>-1.21949261598397</v>
      </c>
    </row>
    <row r="3500" customFormat="false" ht="15.75" hidden="false" customHeight="false" outlineLevel="0" collapsed="false">
      <c r="A3500" s="1" t="s">
        <v>879</v>
      </c>
      <c r="B3500" s="1" t="n">
        <v>398.12</v>
      </c>
      <c r="C3500" s="1" t="n">
        <f aca="false">1/B3500</f>
        <v>0.00251180548578318</v>
      </c>
      <c r="D3500" s="1" t="n">
        <v>0.29366</v>
      </c>
      <c r="E3500" s="1" t="n">
        <f aca="false">LN(D3500)</f>
        <v>-1.22533264344735</v>
      </c>
    </row>
    <row r="3501" customFormat="false" ht="15.75" hidden="false" customHeight="false" outlineLevel="0" collapsed="false">
      <c r="A3501" s="1" t="s">
        <v>879</v>
      </c>
      <c r="B3501" s="1" t="n">
        <v>398.84</v>
      </c>
      <c r="C3501" s="1" t="n">
        <f aca="false">1/B3501</f>
        <v>0.00250727108614983</v>
      </c>
      <c r="D3501" s="1" t="n">
        <v>0.29195</v>
      </c>
      <c r="E3501" s="1" t="n">
        <f aca="false">LN(D3501)</f>
        <v>-1.23117272425259</v>
      </c>
    </row>
    <row r="3502" customFormat="false" ht="15.75" hidden="false" customHeight="false" outlineLevel="0" collapsed="false">
      <c r="A3502" s="1" t="s">
        <v>879</v>
      </c>
      <c r="B3502" s="1" t="n">
        <v>399.56</v>
      </c>
      <c r="C3502" s="1" t="n">
        <f aca="false">1/B3502</f>
        <v>0.00250275302833116</v>
      </c>
      <c r="D3502" s="1" t="n">
        <v>0.29026</v>
      </c>
      <c r="E3502" s="1" t="n">
        <f aca="false">LN(D3502)</f>
        <v>-1.23697820593992</v>
      </c>
    </row>
    <row r="3503" customFormat="false" ht="15.75" hidden="false" customHeight="false" outlineLevel="0" collapsed="false">
      <c r="A3503" s="1" t="s">
        <v>879</v>
      </c>
      <c r="B3503" s="1" t="n">
        <v>400.28</v>
      </c>
      <c r="C3503" s="1" t="n">
        <f aca="false">1/B3503</f>
        <v>0.0024982512241431</v>
      </c>
      <c r="D3503" s="1" t="n">
        <v>0.28858</v>
      </c>
      <c r="E3503" s="1" t="n">
        <f aca="false">LN(D3503)</f>
        <v>-1.24278293511303</v>
      </c>
    </row>
    <row r="3504" customFormat="false" ht="15.75" hidden="false" customHeight="false" outlineLevel="0" collapsed="false">
      <c r="A3504" s="1" t="s">
        <v>879</v>
      </c>
      <c r="B3504" s="1" t="n">
        <v>401</v>
      </c>
      <c r="C3504" s="1" t="n">
        <f aca="false">1/B3504</f>
        <v>0.00249376558603491</v>
      </c>
      <c r="D3504" s="1" t="n">
        <v>0.28691</v>
      </c>
      <c r="E3504" s="1" t="n">
        <f aca="false">LN(D3504)</f>
        <v>-1.24858670125196</v>
      </c>
    </row>
    <row r="3505" customFormat="false" ht="15.75" hidden="false" customHeight="false" outlineLevel="0" collapsed="false">
      <c r="A3505" s="1" t="s">
        <v>879</v>
      </c>
      <c r="B3505" s="1" t="n">
        <v>401.72</v>
      </c>
      <c r="C3505" s="1" t="n">
        <f aca="false">1/B3505</f>
        <v>0.00248929602708354</v>
      </c>
      <c r="D3505" s="1" t="n">
        <v>0.28526</v>
      </c>
      <c r="E3505" s="1" t="n">
        <f aca="false">LN(D3505)</f>
        <v>-1.25435423388686</v>
      </c>
    </row>
    <row r="3506" customFormat="false" ht="15.75" hidden="false" customHeight="false" outlineLevel="0" collapsed="false">
      <c r="A3506" s="1" t="s">
        <v>879</v>
      </c>
      <c r="B3506" s="1" t="n">
        <v>402.44</v>
      </c>
      <c r="C3506" s="1" t="n">
        <f aca="false">1/B3506</f>
        <v>0.00248484246098797</v>
      </c>
      <c r="D3506" s="1" t="n">
        <v>0.28362</v>
      </c>
      <c r="E3506" s="1" t="n">
        <f aca="false">LN(D3506)</f>
        <v>-1.26011996494894</v>
      </c>
    </row>
    <row r="3507" customFormat="false" ht="15.75" hidden="false" customHeight="false" outlineLevel="0" collapsed="false">
      <c r="A3507" s="1" t="s">
        <v>879</v>
      </c>
      <c r="B3507" s="1" t="n">
        <v>403.16</v>
      </c>
      <c r="C3507" s="1" t="n">
        <f aca="false">1/B3507</f>
        <v>0.0024804048020637</v>
      </c>
      <c r="D3507" s="1" t="n">
        <v>0.28199</v>
      </c>
      <c r="E3507" s="1" t="n">
        <f aca="false">LN(D3507)</f>
        <v>-1.26588366966569</v>
      </c>
    </row>
    <row r="3508" customFormat="false" ht="15.75" hidden="false" customHeight="false" outlineLevel="0" collapsed="false">
      <c r="A3508" s="1" t="s">
        <v>879</v>
      </c>
      <c r="B3508" s="1" t="n">
        <v>403.87</v>
      </c>
      <c r="C3508" s="1" t="n">
        <f aca="false">1/B3508</f>
        <v>0.00247604427167158</v>
      </c>
      <c r="D3508" s="1" t="n">
        <v>0.28038</v>
      </c>
      <c r="E3508" s="1" t="n">
        <f aca="false">LN(D3508)</f>
        <v>-1.27160945304175</v>
      </c>
    </row>
    <row r="3509" customFormat="false" ht="15.75" hidden="false" customHeight="false" outlineLevel="0" collapsed="false">
      <c r="A3509" s="1" t="s">
        <v>879</v>
      </c>
      <c r="B3509" s="1" t="n">
        <v>404.59</v>
      </c>
      <c r="C3509" s="1" t="n">
        <f aca="false">1/B3509</f>
        <v>0.00247163795447243</v>
      </c>
      <c r="D3509" s="1" t="n">
        <v>0.27878</v>
      </c>
      <c r="E3509" s="1" t="n">
        <f aca="false">LN(D3509)</f>
        <v>-1.2773323386804</v>
      </c>
    </row>
    <row r="3510" customFormat="false" ht="15.75" hidden="false" customHeight="false" outlineLevel="0" collapsed="false">
      <c r="A3510" s="1" t="s">
        <v>879</v>
      </c>
      <c r="B3510" s="1" t="n">
        <v>405.31</v>
      </c>
      <c r="C3510" s="1" t="n">
        <f aca="false">1/B3510</f>
        <v>0.0024672472921961</v>
      </c>
      <c r="D3510" s="1" t="n">
        <v>0.27719</v>
      </c>
      <c r="E3510" s="1" t="n">
        <f aca="false">LN(D3510)</f>
        <v>-1.28305208735318</v>
      </c>
    </row>
    <row r="3511" customFormat="false" ht="15.75" hidden="false" customHeight="false" outlineLevel="0" collapsed="false">
      <c r="A3511" s="1" t="s">
        <v>879</v>
      </c>
      <c r="B3511" s="1" t="n">
        <v>406.03</v>
      </c>
      <c r="C3511" s="1" t="n">
        <f aca="false">1/B3511</f>
        <v>0.00246287220156146</v>
      </c>
      <c r="D3511" s="1" t="n">
        <v>0.27562</v>
      </c>
      <c r="E3511" s="1" t="n">
        <f aca="false">LN(D3511)</f>
        <v>-1.28873217353514</v>
      </c>
    </row>
    <row r="3512" customFormat="false" ht="15.75" hidden="false" customHeight="false" outlineLevel="0" collapsed="false">
      <c r="A3512" s="1" t="s">
        <v>879</v>
      </c>
      <c r="B3512" s="1" t="n">
        <v>406.75</v>
      </c>
      <c r="C3512" s="1" t="n">
        <f aca="false">1/B3512</f>
        <v>0.00245851259987707</v>
      </c>
      <c r="D3512" s="1" t="n">
        <v>0.27406</v>
      </c>
      <c r="E3512" s="1" t="n">
        <f aca="false">LN(D3512)</f>
        <v>-1.29440821846408</v>
      </c>
    </row>
    <row r="3513" customFormat="false" ht="15.75" hidden="false" customHeight="false" outlineLevel="0" collapsed="false">
      <c r="A3513" s="1" t="s">
        <v>879</v>
      </c>
      <c r="B3513" s="1" t="n">
        <v>407.47</v>
      </c>
      <c r="C3513" s="1" t="n">
        <f aca="false">1/B3513</f>
        <v>0.00245416840503595</v>
      </c>
      <c r="D3513" s="1" t="n">
        <v>0.27251</v>
      </c>
      <c r="E3513" s="1" t="n">
        <f aca="false">LN(D3513)</f>
        <v>-1.30007996830446</v>
      </c>
    </row>
    <row r="3514" customFormat="false" ht="15.75" hidden="false" customHeight="false" outlineLevel="0" collapsed="false">
      <c r="A3514" s="1" t="s">
        <v>879</v>
      </c>
      <c r="B3514" s="1" t="n">
        <v>408.19</v>
      </c>
      <c r="C3514" s="1" t="n">
        <f aca="false">1/B3514</f>
        <v>0.00244983953551042</v>
      </c>
      <c r="D3514" s="1" t="n">
        <v>0.27097</v>
      </c>
      <c r="E3514" s="1" t="n">
        <f aca="false">LN(D3514)</f>
        <v>-1.30574716533727</v>
      </c>
    </row>
    <row r="3515" customFormat="false" ht="15.75" hidden="false" customHeight="false" outlineLevel="0" collapsed="false">
      <c r="A3515" s="1" t="s">
        <v>879</v>
      </c>
      <c r="B3515" s="1" t="n">
        <v>408.91</v>
      </c>
      <c r="C3515" s="1" t="n">
        <f aca="false">1/B3515</f>
        <v>0.00244552591034702</v>
      </c>
      <c r="D3515" s="1" t="n">
        <v>0.26945</v>
      </c>
      <c r="E3515" s="1" t="n">
        <f aca="false">LN(D3515)</f>
        <v>-1.31137243460263</v>
      </c>
    </row>
    <row r="3516" customFormat="false" ht="15.75" hidden="false" customHeight="false" outlineLevel="0" collapsed="false">
      <c r="A3516" s="1" t="s">
        <v>879</v>
      </c>
      <c r="B3516" s="1" t="n">
        <v>409.63</v>
      </c>
      <c r="C3516" s="1" t="n">
        <f aca="false">1/B3516</f>
        <v>0.00244122744916144</v>
      </c>
      <c r="D3516" s="1" t="n">
        <v>0.26794</v>
      </c>
      <c r="E3516" s="1" t="n">
        <f aca="false">LN(D3516)</f>
        <v>-1.3169922041333</v>
      </c>
    </row>
    <row r="3517" customFormat="false" ht="15.75" hidden="false" customHeight="false" outlineLevel="0" collapsed="false">
      <c r="A3517" s="1" t="s">
        <v>879</v>
      </c>
      <c r="B3517" s="1" t="n">
        <v>410.35</v>
      </c>
      <c r="C3517" s="1" t="n">
        <f aca="false">1/B3517</f>
        <v>0.00243694407213354</v>
      </c>
      <c r="D3517" s="1" t="n">
        <v>0.26644</v>
      </c>
      <c r="E3517" s="1" t="n">
        <f aca="false">LN(D3517)</f>
        <v>-1.32260620143716</v>
      </c>
    </row>
    <row r="3518" customFormat="false" ht="15.75" hidden="false" customHeight="false" outlineLevel="0" collapsed="false">
      <c r="A3518" s="1" t="s">
        <v>879</v>
      </c>
      <c r="B3518" s="1" t="n">
        <v>411.07</v>
      </c>
      <c r="C3518" s="1" t="n">
        <f aca="false">1/B3518</f>
        <v>0.00243267570000243</v>
      </c>
      <c r="D3518" s="1" t="n">
        <v>0.26495</v>
      </c>
      <c r="E3518" s="1" t="n">
        <f aca="false">LN(D3518)</f>
        <v>-1.32821415004337</v>
      </c>
    </row>
    <row r="3519" customFormat="false" ht="15.75" hidden="false" customHeight="false" outlineLevel="0" collapsed="false">
      <c r="A3519" s="1" t="s">
        <v>879</v>
      </c>
      <c r="B3519" s="1" t="n">
        <v>411.79</v>
      </c>
      <c r="C3519" s="1" t="n">
        <f aca="false">1/B3519</f>
        <v>0.00242842225406154</v>
      </c>
      <c r="D3519" s="1" t="n">
        <v>0.26347</v>
      </c>
      <c r="E3519" s="1" t="n">
        <f aca="false">LN(D3519)</f>
        <v>-1.33381576947476</v>
      </c>
    </row>
    <row r="3520" customFormat="false" ht="15.75" hidden="false" customHeight="false" outlineLevel="0" collapsed="false">
      <c r="A3520" s="1" t="s">
        <v>879</v>
      </c>
      <c r="B3520" s="1" t="n">
        <v>412.5</v>
      </c>
      <c r="C3520" s="1" t="n">
        <f aca="false">1/B3520</f>
        <v>0.00242424242424242</v>
      </c>
      <c r="D3520" s="1" t="n">
        <v>0.26201</v>
      </c>
      <c r="E3520" s="1" t="n">
        <f aca="false">LN(D3520)</f>
        <v>-1.33937260801049</v>
      </c>
    </row>
    <row r="3521" customFormat="false" ht="15.75" hidden="false" customHeight="false" outlineLevel="0" collapsed="false">
      <c r="A3521" s="1" t="s">
        <v>879</v>
      </c>
      <c r="B3521" s="1" t="n">
        <v>413.22</v>
      </c>
      <c r="C3521" s="1" t="n">
        <f aca="false">1/B3521</f>
        <v>0.00242001839213978</v>
      </c>
      <c r="D3521" s="1" t="n">
        <v>0.26055</v>
      </c>
      <c r="E3521" s="1" t="n">
        <f aca="false">LN(D3521)</f>
        <v>-1.34496049762691</v>
      </c>
    </row>
    <row r="3522" customFormat="false" ht="15.75" hidden="false" customHeight="false" outlineLevel="0" collapsed="false">
      <c r="A3522" s="1" t="s">
        <v>879</v>
      </c>
      <c r="B3522" s="1" t="n">
        <v>413.94</v>
      </c>
      <c r="C3522" s="1" t="n">
        <f aca="false">1/B3522</f>
        <v>0.00241580905445234</v>
      </c>
      <c r="D3522" s="1" t="n">
        <v>0.25911</v>
      </c>
      <c r="E3522" s="1" t="n">
        <f aca="false">LN(D3522)</f>
        <v>-1.35050259702183</v>
      </c>
    </row>
    <row r="3523" customFormat="false" ht="15.75" hidden="false" customHeight="false" outlineLevel="0" collapsed="false">
      <c r="A3523" s="1" t="s">
        <v>879</v>
      </c>
      <c r="B3523" s="1" t="n">
        <v>414.66</v>
      </c>
      <c r="C3523" s="1" t="n">
        <f aca="false">1/B3523</f>
        <v>0.00241161433463561</v>
      </c>
      <c r="D3523" s="1" t="n">
        <v>0.25768</v>
      </c>
      <c r="E3523" s="1" t="n">
        <f aca="false">LN(D3523)</f>
        <v>-1.35603677395919</v>
      </c>
    </row>
    <row r="3524" customFormat="false" ht="15.75" hidden="false" customHeight="false" outlineLevel="0" collapsed="false">
      <c r="A3524" s="1" t="s">
        <v>879</v>
      </c>
      <c r="B3524" s="1" t="n">
        <v>415.38</v>
      </c>
      <c r="C3524" s="1" t="n">
        <f aca="false">1/B3524</f>
        <v>0.00240743415667581</v>
      </c>
      <c r="D3524" s="1" t="n">
        <v>0.25626</v>
      </c>
      <c r="E3524" s="1" t="n">
        <f aca="false">LN(D3524)</f>
        <v>-1.36156272490071</v>
      </c>
    </row>
    <row r="3525" customFormat="false" ht="15.75" hidden="false" customHeight="false" outlineLevel="0" collapsed="false">
      <c r="A3525" s="1" t="s">
        <v>879</v>
      </c>
      <c r="B3525" s="1" t="n">
        <v>416.1</v>
      </c>
      <c r="C3525" s="1" t="n">
        <f aca="false">1/B3525</f>
        <v>0.00240326844508532</v>
      </c>
      <c r="D3525" s="1" t="n">
        <v>0.25484</v>
      </c>
      <c r="E3525" s="1" t="n">
        <f aca="false">LN(D3525)</f>
        <v>-1.36711938173385</v>
      </c>
    </row>
    <row r="3526" customFormat="false" ht="15.75" hidden="false" customHeight="false" outlineLevel="0" collapsed="false">
      <c r="A3526" s="1" t="s">
        <v>879</v>
      </c>
      <c r="B3526" s="1" t="n">
        <v>416.82</v>
      </c>
      <c r="C3526" s="1" t="n">
        <f aca="false">1/B3526</f>
        <v>0.00239911712489804</v>
      </c>
      <c r="D3526" s="1" t="n">
        <v>0.25345</v>
      </c>
      <c r="E3526" s="1" t="n">
        <f aca="false">LN(D3526)</f>
        <v>-1.37258871406378</v>
      </c>
    </row>
    <row r="3527" customFormat="false" ht="15.75" hidden="false" customHeight="false" outlineLevel="0" collapsed="false">
      <c r="A3527" s="1" t="s">
        <v>879</v>
      </c>
      <c r="B3527" s="1" t="n">
        <v>417.54</v>
      </c>
      <c r="C3527" s="1" t="n">
        <f aca="false">1/B3527</f>
        <v>0.00239498012166499</v>
      </c>
      <c r="D3527" s="1" t="n">
        <v>0.25206</v>
      </c>
      <c r="E3527" s="1" t="n">
        <f aca="false">LN(D3527)</f>
        <v>-1.37808812457279</v>
      </c>
    </row>
    <row r="3528" customFormat="false" ht="15.75" hidden="false" customHeight="false" outlineLevel="0" collapsed="false">
      <c r="A3528" s="1" t="s">
        <v>879</v>
      </c>
      <c r="B3528" s="1" t="n">
        <v>418.26</v>
      </c>
      <c r="C3528" s="1" t="n">
        <f aca="false">1/B3528</f>
        <v>0.00239085736144982</v>
      </c>
      <c r="D3528" s="1" t="n">
        <v>0.25068</v>
      </c>
      <c r="E3528" s="1" t="n">
        <f aca="false">LN(D3528)</f>
        <v>-1.38357805362566</v>
      </c>
    </row>
    <row r="3529" customFormat="false" ht="15.75" hidden="false" customHeight="false" outlineLevel="0" collapsed="false">
      <c r="A3529" s="1" t="s">
        <v>879</v>
      </c>
      <c r="B3529" s="1" t="n">
        <v>418.98</v>
      </c>
      <c r="C3529" s="1" t="n">
        <f aca="false">1/B3529</f>
        <v>0.00238674877082438</v>
      </c>
      <c r="D3529" s="1" t="n">
        <v>0.24931</v>
      </c>
      <c r="E3529" s="1" t="n">
        <f aca="false">LN(D3529)</f>
        <v>-1.38905817694262</v>
      </c>
    </row>
    <row r="3530" customFormat="false" ht="15.75" hidden="false" customHeight="false" outlineLevel="0" collapsed="false">
      <c r="A3530" s="1" t="s">
        <v>879</v>
      </c>
      <c r="B3530" s="1" t="n">
        <v>419.7</v>
      </c>
      <c r="C3530" s="1" t="n">
        <f aca="false">1/B3530</f>
        <v>0.00238265427686443</v>
      </c>
      <c r="D3530" s="1" t="n">
        <v>0.24795</v>
      </c>
      <c r="E3530" s="1" t="n">
        <f aca="false">LN(D3530)</f>
        <v>-1.39452816604699</v>
      </c>
    </row>
    <row r="3531" customFormat="false" ht="15.75" hidden="false" customHeight="false" outlineLevel="0" collapsed="false">
      <c r="A3531" s="1" t="s">
        <v>879</v>
      </c>
      <c r="B3531" s="1" t="n">
        <v>420.42</v>
      </c>
      <c r="C3531" s="1" t="n">
        <f aca="false">1/B3531</f>
        <v>0.00237857380714524</v>
      </c>
      <c r="D3531" s="1" t="n">
        <v>0.2466</v>
      </c>
      <c r="E3531" s="1" t="n">
        <f aca="false">LN(D3531)</f>
        <v>-1.39998768825189</v>
      </c>
    </row>
    <row r="3532" customFormat="false" ht="15.75" hidden="false" customHeight="false" outlineLevel="0" collapsed="false">
      <c r="A3532" s="1" t="s">
        <v>879</v>
      </c>
      <c r="B3532" s="1" t="n">
        <v>421.13</v>
      </c>
      <c r="C3532" s="1" t="n">
        <f aca="false">1/B3532</f>
        <v>0.00237456367392492</v>
      </c>
      <c r="D3532" s="1" t="n">
        <v>0.24526</v>
      </c>
      <c r="E3532" s="1" t="n">
        <f aca="false">LN(D3532)</f>
        <v>-1.40543640664826</v>
      </c>
    </row>
    <row r="3533" customFormat="false" ht="15.75" hidden="false" customHeight="false" outlineLevel="0" collapsed="false">
      <c r="A3533" s="1" t="s">
        <v>879</v>
      </c>
      <c r="B3533" s="1" t="n">
        <v>421.85</v>
      </c>
      <c r="C3533" s="1" t="n">
        <f aca="false">1/B3533</f>
        <v>0.00237051084508712</v>
      </c>
      <c r="D3533" s="1" t="n">
        <v>0.24393</v>
      </c>
      <c r="E3533" s="1" t="n">
        <f aca="false">LN(D3533)</f>
        <v>-1.41087398009428</v>
      </c>
    </row>
    <row r="3534" customFormat="false" ht="15.75" hidden="false" customHeight="false" outlineLevel="0" collapsed="false">
      <c r="A3534" s="1" t="s">
        <v>879</v>
      </c>
      <c r="B3534" s="1" t="n">
        <v>422.57</v>
      </c>
      <c r="C3534" s="1" t="n">
        <f aca="false">1/B3534</f>
        <v>0.0023664718271529</v>
      </c>
      <c r="D3534" s="1" t="n">
        <v>0.24262</v>
      </c>
      <c r="E3534" s="1" t="n">
        <f aca="false">LN(D3534)</f>
        <v>-1.41625884563936</v>
      </c>
    </row>
    <row r="3535" customFormat="false" ht="15.75" hidden="false" customHeight="false" outlineLevel="0" collapsed="false">
      <c r="A3535" s="1" t="s">
        <v>879</v>
      </c>
      <c r="B3535" s="1" t="n">
        <v>423.29</v>
      </c>
      <c r="C3535" s="1" t="n">
        <f aca="false">1/B3535</f>
        <v>0.00236244654964681</v>
      </c>
      <c r="D3535" s="1" t="n">
        <v>0.24131</v>
      </c>
      <c r="E3535" s="1" t="n">
        <f aca="false">LN(D3535)</f>
        <v>-1.42167286502171</v>
      </c>
    </row>
    <row r="3536" customFormat="false" ht="15.75" hidden="false" customHeight="false" outlineLevel="0" collapsed="false">
      <c r="A3536" s="1" t="s">
        <v>879</v>
      </c>
      <c r="B3536" s="1" t="n">
        <v>424.01</v>
      </c>
      <c r="C3536" s="1" t="n">
        <f aca="false">1/B3536</f>
        <v>0.00235843494257211</v>
      </c>
      <c r="D3536" s="1" t="n">
        <v>0.24001</v>
      </c>
      <c r="E3536" s="1" t="n">
        <f aca="false">LN(D3536)</f>
        <v>-1.42707468984151</v>
      </c>
    </row>
    <row r="3537" customFormat="false" ht="15.75" hidden="false" customHeight="false" outlineLevel="0" collapsed="false">
      <c r="A3537" s="1" t="s">
        <v>879</v>
      </c>
      <c r="B3537" s="1" t="n">
        <v>424.73</v>
      </c>
      <c r="C3537" s="1" t="n">
        <f aca="false">1/B3537</f>
        <v>0.00235443693640666</v>
      </c>
      <c r="D3537" s="1" t="n">
        <v>0.23872</v>
      </c>
      <c r="E3537" s="1" t="n">
        <f aca="false">LN(D3537)</f>
        <v>-1.43246396196674</v>
      </c>
    </row>
    <row r="3538" customFormat="false" ht="15.75" hidden="false" customHeight="false" outlineLevel="0" collapsed="false">
      <c r="A3538" s="1" t="s">
        <v>879</v>
      </c>
      <c r="B3538" s="1" t="n">
        <v>425.45</v>
      </c>
      <c r="C3538" s="1" t="n">
        <f aca="false">1/B3538</f>
        <v>0.00235045246209895</v>
      </c>
      <c r="D3538" s="1" t="n">
        <v>0.23743</v>
      </c>
      <c r="E3538" s="1" t="n">
        <f aca="false">LN(D3538)</f>
        <v>-1.43788243579299</v>
      </c>
    </row>
    <row r="3539" customFormat="false" ht="15.75" hidden="false" customHeight="false" outlineLevel="0" collapsed="false">
      <c r="A3539" s="1" t="s">
        <v>879</v>
      </c>
      <c r="B3539" s="1" t="n">
        <v>426.17</v>
      </c>
      <c r="C3539" s="1" t="n">
        <f aca="false">1/B3539</f>
        <v>0.00234648145106413</v>
      </c>
      <c r="D3539" s="1" t="n">
        <v>0.23616</v>
      </c>
      <c r="E3539" s="1" t="n">
        <f aca="false">LN(D3539)</f>
        <v>-1.44324573757003</v>
      </c>
    </row>
    <row r="3540" customFormat="false" ht="15.75" hidden="false" customHeight="false" outlineLevel="0" collapsed="false">
      <c r="A3540" s="1" t="s">
        <v>879</v>
      </c>
      <c r="B3540" s="1" t="n">
        <v>426.89</v>
      </c>
      <c r="C3540" s="1" t="n">
        <f aca="false">1/B3540</f>
        <v>0.00234252383518002</v>
      </c>
      <c r="D3540" s="1" t="n">
        <v>0.2349</v>
      </c>
      <c r="E3540" s="1" t="n">
        <f aca="false">LN(D3540)</f>
        <v>-1.44859538731727</v>
      </c>
    </row>
    <row r="3541" customFormat="false" ht="15.75" hidden="false" customHeight="false" outlineLevel="0" collapsed="false">
      <c r="A3541" s="1" t="s">
        <v>879</v>
      </c>
      <c r="B3541" s="1" t="n">
        <v>427.61</v>
      </c>
      <c r="C3541" s="1" t="n">
        <f aca="false">1/B3541</f>
        <v>0.00233857954678328</v>
      </c>
      <c r="D3541" s="1" t="n">
        <v>0.23364</v>
      </c>
      <c r="E3541" s="1" t="n">
        <f aca="false">LN(D3541)</f>
        <v>-1.45397380981003</v>
      </c>
    </row>
    <row r="3542" customFormat="false" ht="15.75" hidden="false" customHeight="false" outlineLevel="0" collapsed="false">
      <c r="A3542" s="1" t="s">
        <v>879</v>
      </c>
      <c r="B3542" s="1" t="n">
        <v>428.33</v>
      </c>
      <c r="C3542" s="1" t="n">
        <f aca="false">1/B3542</f>
        <v>0.00233464851866551</v>
      </c>
      <c r="D3542" s="1" t="n">
        <v>0.2324</v>
      </c>
      <c r="E3542" s="1" t="n">
        <f aca="false">LN(D3542)</f>
        <v>-1.45929525400438</v>
      </c>
    </row>
    <row r="3543" customFormat="false" ht="15.75" hidden="false" customHeight="false" outlineLevel="0" collapsed="false">
      <c r="A3543" s="1" t="s">
        <v>879</v>
      </c>
      <c r="B3543" s="1" t="n">
        <v>429.05</v>
      </c>
      <c r="C3543" s="1" t="n">
        <f aca="false">1/B3543</f>
        <v>0.00233073068406946</v>
      </c>
      <c r="D3543" s="1" t="n">
        <v>0.23116</v>
      </c>
      <c r="E3543" s="1" t="n">
        <f aca="false">LN(D3543)</f>
        <v>-1.46464516753256</v>
      </c>
    </row>
    <row r="3544" customFormat="false" ht="15.75" hidden="false" customHeight="false" outlineLevel="0" collapsed="false">
      <c r="A3544" s="1" t="s">
        <v>879</v>
      </c>
      <c r="B3544" s="1" t="n">
        <v>429.76</v>
      </c>
      <c r="C3544" s="1" t="n">
        <f aca="false">1/B3544</f>
        <v>0.00232688011913626</v>
      </c>
      <c r="D3544" s="1" t="n">
        <v>0.22993</v>
      </c>
      <c r="E3544" s="1" t="n">
        <f aca="false">LN(D3544)</f>
        <v>-1.46998036420823</v>
      </c>
    </row>
    <row r="3545" customFormat="false" ht="15.75" hidden="false" customHeight="false" outlineLevel="0" collapsed="false">
      <c r="A3545" s="1" t="s">
        <v>879</v>
      </c>
      <c r="B3545" s="1" t="n">
        <v>430.48</v>
      </c>
      <c r="C3545" s="1" t="n">
        <f aca="false">1/B3545</f>
        <v>0.00232298829213901</v>
      </c>
      <c r="D3545" s="1" t="n">
        <v>0.22871</v>
      </c>
      <c r="E3545" s="1" t="n">
        <f aca="false">LN(D3545)</f>
        <v>-1.47530045350487</v>
      </c>
    </row>
    <row r="3546" customFormat="false" ht="15.75" hidden="false" customHeight="false" outlineLevel="0" collapsed="false">
      <c r="A3546" s="1" t="s">
        <v>879</v>
      </c>
      <c r="B3546" s="1" t="n">
        <v>431.2</v>
      </c>
      <c r="C3546" s="1" t="n">
        <f aca="false">1/B3546</f>
        <v>0.0023191094619666</v>
      </c>
      <c r="D3546" s="1" t="n">
        <v>0.2275</v>
      </c>
      <c r="E3546" s="1" t="n">
        <f aca="false">LN(D3546)</f>
        <v>-1.48060504059113</v>
      </c>
    </row>
    <row r="3547" customFormat="false" ht="15.75" hidden="false" customHeight="false" outlineLevel="0" collapsed="false">
      <c r="A3547" s="1" t="s">
        <v>879</v>
      </c>
      <c r="B3547" s="1" t="n">
        <v>431.92</v>
      </c>
      <c r="C3547" s="1" t="n">
        <f aca="false">1/B3547</f>
        <v>0.00231524356362289</v>
      </c>
      <c r="D3547" s="1" t="n">
        <v>0.2263</v>
      </c>
      <c r="E3547" s="1" t="n">
        <f aca="false">LN(D3547)</f>
        <v>-1.48589372634265</v>
      </c>
    </row>
    <row r="3548" customFormat="false" ht="15.75" hidden="false" customHeight="false" outlineLevel="0" collapsed="false">
      <c r="A3548" s="1" t="s">
        <v>879</v>
      </c>
      <c r="B3548" s="1" t="n">
        <v>432.64</v>
      </c>
      <c r="C3548" s="1" t="n">
        <f aca="false">1/B3548</f>
        <v>0.00231139053254438</v>
      </c>
      <c r="D3548" s="1" t="n">
        <v>0.2251</v>
      </c>
      <c r="E3548" s="1" t="n">
        <f aca="false">LN(D3548)</f>
        <v>-1.49121053106945</v>
      </c>
    </row>
    <row r="3549" customFormat="false" ht="15.75" hidden="false" customHeight="false" outlineLevel="0" collapsed="false">
      <c r="A3549" s="1" t="s">
        <v>879</v>
      </c>
      <c r="B3549" s="1" t="n">
        <v>433.36</v>
      </c>
      <c r="C3549" s="1" t="n">
        <f aca="false">1/B3549</f>
        <v>0.00230755030459664</v>
      </c>
      <c r="D3549" s="1" t="n">
        <v>0.22392</v>
      </c>
      <c r="E3549" s="1" t="n">
        <f aca="false">LN(D3549)</f>
        <v>-1.49646643377494</v>
      </c>
    </row>
    <row r="3550" customFormat="false" ht="15.75" hidden="false" customHeight="false" outlineLevel="0" collapsed="false">
      <c r="A3550" s="1" t="s">
        <v>879</v>
      </c>
      <c r="B3550" s="1" t="n">
        <v>434.08</v>
      </c>
      <c r="C3550" s="1" t="n">
        <f aca="false">1/B3550</f>
        <v>0.00230372281607077</v>
      </c>
      <c r="D3550" s="1" t="n">
        <v>0.22274</v>
      </c>
      <c r="E3550" s="1" t="n">
        <f aca="false">LN(D3550)</f>
        <v>-1.50175010701718</v>
      </c>
    </row>
    <row r="3551" customFormat="false" ht="15.75" hidden="false" customHeight="false" outlineLevel="0" collapsed="false">
      <c r="A3551" s="1" t="s">
        <v>879</v>
      </c>
      <c r="B3551" s="1" t="n">
        <v>434.8</v>
      </c>
      <c r="C3551" s="1" t="n">
        <f aca="false">1/B3551</f>
        <v>0.00229990800367985</v>
      </c>
      <c r="D3551" s="1" t="n">
        <v>0.22157</v>
      </c>
      <c r="E3551" s="1" t="n">
        <f aca="false">LN(D3551)</f>
        <v>-1.50701671233495</v>
      </c>
    </row>
    <row r="3552" customFormat="false" ht="15.75" hidden="false" customHeight="false" outlineLevel="0" collapsed="false">
      <c r="A3552" s="1" t="s">
        <v>879</v>
      </c>
      <c r="B3552" s="1" t="n">
        <v>435.52</v>
      </c>
      <c r="C3552" s="1" t="n">
        <f aca="false">1/B3552</f>
        <v>0.00229610580455547</v>
      </c>
      <c r="D3552" s="1" t="n">
        <v>0.22041</v>
      </c>
      <c r="E3552" s="1" t="n">
        <f aca="false">LN(D3552)</f>
        <v>-1.51226583068184</v>
      </c>
    </row>
    <row r="3553" customFormat="false" ht="15.75" hidden="false" customHeight="false" outlineLevel="0" collapsed="false">
      <c r="A3553" s="1" t="s">
        <v>879</v>
      </c>
      <c r="B3553" s="1" t="n">
        <v>436.24</v>
      </c>
      <c r="C3553" s="1" t="n">
        <f aca="false">1/B3553</f>
        <v>0.00229231615624427</v>
      </c>
      <c r="D3553" s="1" t="n">
        <v>0.21925</v>
      </c>
      <c r="E3553" s="1" t="n">
        <f aca="false">LN(D3553)</f>
        <v>-1.51754264772984</v>
      </c>
    </row>
    <row r="3554" customFormat="false" ht="15.75" hidden="false" customHeight="false" outlineLevel="0" collapsed="false">
      <c r="A3554" s="1" t="s">
        <v>879</v>
      </c>
      <c r="B3554" s="1" t="n">
        <v>436.96</v>
      </c>
      <c r="C3554" s="1" t="n">
        <f aca="false">1/B3554</f>
        <v>0.0022885389967045</v>
      </c>
      <c r="D3554" s="1" t="n">
        <v>0.2181</v>
      </c>
      <c r="E3554" s="1" t="n">
        <f aca="false">LN(D3554)</f>
        <v>-1.52280160577455</v>
      </c>
    </row>
    <row r="3555" customFormat="false" ht="15.75" hidden="false" customHeight="false" outlineLevel="0" collapsed="false">
      <c r="A3555" s="1" t="s">
        <v>879</v>
      </c>
      <c r="B3555" s="1" t="n">
        <v>437.68</v>
      </c>
      <c r="C3555" s="1" t="n">
        <f aca="false">1/B3555</f>
        <v>0.00228477426430269</v>
      </c>
      <c r="D3555" s="1" t="n">
        <v>0.21696</v>
      </c>
      <c r="E3555" s="1" t="n">
        <f aca="false">LN(D3555)</f>
        <v>-1.52804227423011</v>
      </c>
    </row>
    <row r="3556" customFormat="false" ht="15.75" hidden="false" customHeight="false" outlineLevel="0" collapsed="false">
      <c r="A3556" s="1" t="s">
        <v>879</v>
      </c>
      <c r="B3556" s="1" t="n">
        <v>438.39</v>
      </c>
      <c r="C3556" s="1" t="n">
        <f aca="false">1/B3556</f>
        <v>0.00228107392960606</v>
      </c>
      <c r="D3556" s="1" t="n">
        <v>0.21583</v>
      </c>
      <c r="E3556" s="1" t="n">
        <f aca="false">LN(D3556)</f>
        <v>-1.53326421821126</v>
      </c>
    </row>
    <row r="3557" customFormat="false" ht="15.75" hidden="false" customHeight="false" outlineLevel="0" collapsed="false">
      <c r="A3557" s="1" t="s">
        <v>879</v>
      </c>
      <c r="B3557" s="1" t="n">
        <v>439.11</v>
      </c>
      <c r="C3557" s="1" t="n">
        <f aca="false">1/B3557</f>
        <v>0.00227733369770672</v>
      </c>
      <c r="D3557" s="1" t="n">
        <v>0.21471</v>
      </c>
      <c r="E3557" s="1" t="n">
        <f aca="false">LN(D3557)</f>
        <v>-1.53846699856352</v>
      </c>
    </row>
    <row r="3558" customFormat="false" ht="15.75" hidden="false" customHeight="false" outlineLevel="0" collapsed="false">
      <c r="A3558" s="1" t="s">
        <v>879</v>
      </c>
      <c r="B3558" s="1" t="n">
        <v>439.83</v>
      </c>
      <c r="C3558" s="1" t="n">
        <f aca="false">1/B3558</f>
        <v>0.00227360571129755</v>
      </c>
      <c r="D3558" s="1" t="n">
        <v>0.21359</v>
      </c>
      <c r="E3558" s="1" t="n">
        <f aca="false">LN(D3558)</f>
        <v>-1.54369698947142</v>
      </c>
    </row>
    <row r="3559" customFormat="false" ht="15.75" hidden="false" customHeight="false" outlineLevel="0" collapsed="false">
      <c r="A3559" s="1" t="s">
        <v>879</v>
      </c>
      <c r="B3559" s="1" t="n">
        <v>440.55</v>
      </c>
      <c r="C3559" s="1" t="n">
        <f aca="false">1/B3559</f>
        <v>0.00226988991033935</v>
      </c>
      <c r="D3559" s="1" t="n">
        <v>0.21248</v>
      </c>
      <c r="E3559" s="1" t="n">
        <f aca="false">LN(D3559)</f>
        <v>-1.54890741269407</v>
      </c>
    </row>
    <row r="3560" customFormat="false" ht="15.75" hidden="false" customHeight="false" outlineLevel="0" collapsed="false">
      <c r="A3560" s="1" t="s">
        <v>879</v>
      </c>
      <c r="B3560" s="1" t="n">
        <v>441.27</v>
      </c>
      <c r="C3560" s="1" t="n">
        <f aca="false">1/B3560</f>
        <v>0.00226618623518481</v>
      </c>
      <c r="D3560" s="1" t="n">
        <v>0.21138</v>
      </c>
      <c r="E3560" s="1" t="n">
        <f aca="false">LN(D3560)</f>
        <v>-1.55409781740094</v>
      </c>
    </row>
    <row r="3561" customFormat="false" ht="15.75" hidden="false" customHeight="false" outlineLevel="0" collapsed="false">
      <c r="A3561" s="1" t="s">
        <v>879</v>
      </c>
      <c r="B3561" s="1" t="n">
        <v>441.99</v>
      </c>
      <c r="C3561" s="1" t="n">
        <f aca="false">1/B3561</f>
        <v>0.00226249462657526</v>
      </c>
      <c r="D3561" s="1" t="n">
        <v>0.21028</v>
      </c>
      <c r="E3561" s="1" t="n">
        <f aca="false">LN(D3561)</f>
        <v>-1.55931530303089</v>
      </c>
    </row>
    <row r="3562" customFormat="false" ht="15.75" hidden="false" customHeight="false" outlineLevel="0" collapsed="false">
      <c r="A3562" s="1" t="s">
        <v>879</v>
      </c>
      <c r="B3562" s="1" t="n">
        <v>442.71</v>
      </c>
      <c r="C3562" s="1" t="n">
        <f aca="false">1/B3562</f>
        <v>0.00225881502563755</v>
      </c>
      <c r="D3562" s="1" t="n">
        <v>0.20919</v>
      </c>
      <c r="E3562" s="1" t="n">
        <f aca="false">LN(D3562)</f>
        <v>-1.56451234908111</v>
      </c>
    </row>
    <row r="3563" customFormat="false" ht="15.75" hidden="false" customHeight="false" outlineLevel="0" collapsed="false">
      <c r="A3563" s="1" t="s">
        <v>879</v>
      </c>
      <c r="B3563" s="1" t="n">
        <v>443.43</v>
      </c>
      <c r="C3563" s="1" t="n">
        <f aca="false">1/B3563</f>
        <v>0.00225514737388088</v>
      </c>
      <c r="D3563" s="1" t="n">
        <v>0.20811</v>
      </c>
      <c r="E3563" s="1" t="n">
        <f aca="false">LN(D3563)</f>
        <v>-1.56968849291682</v>
      </c>
    </row>
    <row r="3564" customFormat="false" ht="15.75" hidden="false" customHeight="false" outlineLevel="0" collapsed="false">
      <c r="A3564" s="1" t="s">
        <v>879</v>
      </c>
      <c r="B3564" s="1" t="n">
        <v>444.15</v>
      </c>
      <c r="C3564" s="1" t="n">
        <f aca="false">1/B3564</f>
        <v>0.00225149161319374</v>
      </c>
      <c r="D3564" s="1" t="n">
        <v>0.20703</v>
      </c>
      <c r="E3564" s="1" t="n">
        <f aca="false">LN(D3564)</f>
        <v>-1.57489156868152</v>
      </c>
    </row>
    <row r="3565" customFormat="false" ht="15.75" hidden="false" customHeight="false" outlineLevel="0" collapsed="false">
      <c r="A3565" s="1" t="s">
        <v>879</v>
      </c>
      <c r="B3565" s="1" t="n">
        <v>444.87</v>
      </c>
      <c r="C3565" s="1" t="n">
        <f aca="false">1/B3565</f>
        <v>0.00224784768584081</v>
      </c>
      <c r="D3565" s="1" t="n">
        <v>0.20597</v>
      </c>
      <c r="E3565" s="1" t="n">
        <f aca="false">LN(D3565)</f>
        <v>-1.58002475186575</v>
      </c>
    </row>
    <row r="3566" customFormat="false" ht="15.75" hidden="false" customHeight="false" outlineLevel="0" collapsed="false">
      <c r="A3566" s="1" t="s">
        <v>879</v>
      </c>
      <c r="B3566" s="1" t="n">
        <v>445.59</v>
      </c>
      <c r="C3566" s="1" t="n">
        <f aca="false">1/B3566</f>
        <v>0.00224421553445993</v>
      </c>
      <c r="D3566" s="1" t="n">
        <v>0.2049</v>
      </c>
      <c r="E3566" s="1" t="n">
        <f aca="false">LN(D3566)</f>
        <v>-1.58523322373728</v>
      </c>
    </row>
    <row r="3567" customFormat="false" ht="15.75" hidden="false" customHeight="false" outlineLevel="0" collapsed="false">
      <c r="A3567" s="1" t="s">
        <v>879</v>
      </c>
      <c r="B3567" s="1" t="n">
        <v>446.31</v>
      </c>
      <c r="C3567" s="1" t="n">
        <f aca="false">1/B3567</f>
        <v>0.00224059510205911</v>
      </c>
      <c r="D3567" s="1" t="n">
        <v>0.20385</v>
      </c>
      <c r="E3567" s="1" t="n">
        <f aca="false">LN(D3567)</f>
        <v>-1.59037084971687</v>
      </c>
    </row>
    <row r="3568" customFormat="false" ht="15.75" hidden="false" customHeight="false" outlineLevel="0" collapsed="false">
      <c r="A3568" s="1" t="s">
        <v>879</v>
      </c>
      <c r="B3568" s="1" t="n">
        <v>446.75</v>
      </c>
      <c r="C3568" s="1" t="n">
        <f aca="false">1/B3568</f>
        <v>0.00223838836038053</v>
      </c>
      <c r="D3568" s="1" t="n">
        <v>0.2032</v>
      </c>
      <c r="E3568" s="1" t="n">
        <f aca="false">LN(D3568)</f>
        <v>-1.59356456327781</v>
      </c>
    </row>
    <row r="3569" customFormat="false" ht="15.75" hidden="false" customHeight="false" outlineLevel="0" collapsed="false">
      <c r="A3569" s="1" t="s">
        <v>116</v>
      </c>
      <c r="B3569" s="1" t="n">
        <v>323.15</v>
      </c>
      <c r="C3569" s="1" t="n">
        <f aca="false">1/B3569</f>
        <v>0.00309453814018258</v>
      </c>
      <c r="D3569" s="1" t="n">
        <v>4.34</v>
      </c>
      <c r="E3569" s="1" t="n">
        <f aca="false">LN(D3569)</f>
        <v>1.46787434811231</v>
      </c>
    </row>
    <row r="3570" customFormat="false" ht="15.75" hidden="false" customHeight="false" outlineLevel="0" collapsed="false">
      <c r="A3570" s="1" t="s">
        <v>116</v>
      </c>
      <c r="B3570" s="1" t="n">
        <v>343.15</v>
      </c>
      <c r="C3570" s="1" t="n">
        <f aca="false">1/B3570</f>
        <v>0.00291417747340813</v>
      </c>
      <c r="D3570" s="1" t="n">
        <v>2.88</v>
      </c>
      <c r="E3570" s="1" t="n">
        <f aca="false">LN(D3570)</f>
        <v>1.05779029414785</v>
      </c>
    </row>
    <row r="3571" customFormat="false" ht="15.75" hidden="false" customHeight="false" outlineLevel="0" collapsed="false">
      <c r="A3571" s="1" t="s">
        <v>116</v>
      </c>
      <c r="B3571" s="1" t="n">
        <v>353.15</v>
      </c>
      <c r="C3571" s="1" t="n">
        <f aca="false">1/B3571</f>
        <v>0.00283165793572137</v>
      </c>
      <c r="D3571" s="1" t="n">
        <v>2.439</v>
      </c>
      <c r="E3571" s="1" t="n">
        <f aca="false">LN(D3571)</f>
        <v>0.891588119233783</v>
      </c>
    </row>
    <row r="3572" customFormat="false" ht="15.75" hidden="false" customHeight="false" outlineLevel="0" collapsed="false">
      <c r="A3572" s="1" t="s">
        <v>881</v>
      </c>
      <c r="B3572" s="1" t="n">
        <v>293.15</v>
      </c>
      <c r="C3572" s="1" t="n">
        <f aca="false">1/B3572</f>
        <v>0.00341122292341805</v>
      </c>
      <c r="D3572" s="1" t="n">
        <v>0.828</v>
      </c>
      <c r="E3572" s="1" t="n">
        <f aca="false">LN(D3572)</f>
        <v>-0.188742124596877</v>
      </c>
    </row>
    <row r="3573" customFormat="false" ht="15.75" hidden="false" customHeight="false" outlineLevel="0" collapsed="false">
      <c r="A3573" s="1" t="s">
        <v>881</v>
      </c>
      <c r="B3573" s="1" t="n">
        <v>303.15</v>
      </c>
      <c r="C3573" s="1" t="n">
        <f aca="false">1/B3573</f>
        <v>0.0032986970146792</v>
      </c>
      <c r="D3573" s="1" t="n">
        <v>0.725</v>
      </c>
      <c r="E3573" s="1" t="n">
        <f aca="false">LN(D3573)</f>
        <v>-0.321583624127462</v>
      </c>
    </row>
    <row r="3574" customFormat="false" ht="15.75" hidden="false" customHeight="false" outlineLevel="0" collapsed="false">
      <c r="A3574" s="1" t="s">
        <v>881</v>
      </c>
      <c r="B3574" s="1" t="n">
        <v>313.15</v>
      </c>
      <c r="C3574" s="1" t="n">
        <f aca="false">1/B3574</f>
        <v>0.00319335781574325</v>
      </c>
      <c r="D3574" s="1" t="n">
        <v>0.636</v>
      </c>
      <c r="E3574" s="1" t="n">
        <f aca="false">LN(D3574)</f>
        <v>-0.452556715642015</v>
      </c>
    </row>
    <row r="3575" customFormat="false" ht="15.75" hidden="false" customHeight="false" outlineLevel="0" collapsed="false">
      <c r="A3575" s="1" t="s">
        <v>881</v>
      </c>
      <c r="B3575" s="1" t="n">
        <v>323.15</v>
      </c>
      <c r="C3575" s="1" t="n">
        <f aca="false">1/B3575</f>
        <v>0.00309453814018258</v>
      </c>
      <c r="D3575" s="1" t="n">
        <v>0.56</v>
      </c>
      <c r="E3575" s="1" t="n">
        <f aca="false">LN(D3575)</f>
        <v>-0.579818495252942</v>
      </c>
    </row>
    <row r="3576" customFormat="false" ht="15.75" hidden="false" customHeight="false" outlineLevel="0" collapsed="false">
      <c r="A3576" s="1" t="s">
        <v>881</v>
      </c>
      <c r="B3576" s="1" t="n">
        <v>333.15</v>
      </c>
      <c r="C3576" s="1" t="n">
        <f aca="false">1/B3576</f>
        <v>0.0030016509079994</v>
      </c>
      <c r="D3576" s="1" t="n">
        <v>0.504</v>
      </c>
      <c r="E3576" s="1" t="n">
        <f aca="false">LN(D3576)</f>
        <v>-0.685179010910768</v>
      </c>
    </row>
    <row r="3577" customFormat="false" ht="15.75" hidden="false" customHeight="false" outlineLevel="0" collapsed="false">
      <c r="A3577" s="1" t="s">
        <v>881</v>
      </c>
      <c r="B3577" s="1" t="n">
        <v>353.15</v>
      </c>
      <c r="C3577" s="1" t="n">
        <f aca="false">1/B3577</f>
        <v>0.00283165793572137</v>
      </c>
      <c r="D3577" s="1" t="n">
        <v>0.406</v>
      </c>
      <c r="E3577" s="1" t="n">
        <f aca="false">LN(D3577)</f>
        <v>-0.901402119380404</v>
      </c>
    </row>
    <row r="3578" customFormat="false" ht="15.75" hidden="false" customHeight="false" outlineLevel="0" collapsed="false">
      <c r="A3578" s="1" t="s">
        <v>881</v>
      </c>
      <c r="B3578" s="1" t="n">
        <v>373.15</v>
      </c>
      <c r="C3578" s="1" t="n">
        <f aca="false">1/B3578</f>
        <v>0.00267988744472732</v>
      </c>
      <c r="D3578" s="1" t="n">
        <v>0.338</v>
      </c>
      <c r="E3578" s="1" t="n">
        <f aca="false">LN(D3578)</f>
        <v>-1.08470938349912</v>
      </c>
    </row>
    <row r="3579" customFormat="false" ht="15.75" hidden="false" customHeight="false" outlineLevel="0" collapsed="false">
      <c r="A3579" s="1" t="s">
        <v>881</v>
      </c>
      <c r="B3579" s="1" t="n">
        <v>393.15</v>
      </c>
      <c r="C3579" s="1" t="n">
        <f aca="false">1/B3579</f>
        <v>0.00254355843825512</v>
      </c>
      <c r="D3579" s="1" t="n">
        <v>0.288</v>
      </c>
      <c r="E3579" s="1" t="n">
        <f aca="false">LN(D3579)</f>
        <v>-1.24479479884619</v>
      </c>
    </row>
    <row r="3580" customFormat="false" ht="15.75" hidden="false" customHeight="false" outlineLevel="0" collapsed="false">
      <c r="A3580" s="1" t="s">
        <v>881</v>
      </c>
      <c r="B3580" s="1" t="n">
        <v>413.15</v>
      </c>
      <c r="C3580" s="1" t="n">
        <f aca="false">1/B3580</f>
        <v>0.0024204284158296</v>
      </c>
      <c r="D3580" s="1" t="n">
        <v>0.243</v>
      </c>
      <c r="E3580" s="1" t="n">
        <f aca="false">LN(D3580)</f>
        <v>-1.41469383564159</v>
      </c>
    </row>
    <row r="3581" customFormat="false" ht="15.75" hidden="false" customHeight="false" outlineLevel="0" collapsed="false">
      <c r="A3581" s="1" t="s">
        <v>883</v>
      </c>
      <c r="B3581" s="1" t="n">
        <v>276.97</v>
      </c>
      <c r="C3581" s="1" t="n">
        <f aca="false">1/B3581</f>
        <v>0.00361049933205762</v>
      </c>
      <c r="D3581" s="1" t="n">
        <v>2.0864</v>
      </c>
      <c r="E3581" s="1" t="n">
        <f aca="false">LN(D3581)</f>
        <v>0.735440092750197</v>
      </c>
    </row>
    <row r="3582" customFormat="false" ht="15.75" hidden="false" customHeight="false" outlineLevel="0" collapsed="false">
      <c r="A3582" s="1" t="s">
        <v>883</v>
      </c>
      <c r="B3582" s="1" t="n">
        <v>277.88</v>
      </c>
      <c r="C3582" s="1" t="n">
        <f aca="false">1/B3582</f>
        <v>0.00359867568734706</v>
      </c>
      <c r="D3582" s="1" t="n">
        <v>2.0167</v>
      </c>
      <c r="E3582" s="1" t="n">
        <f aca="false">LN(D3582)</f>
        <v>0.701462512163659</v>
      </c>
    </row>
    <row r="3583" customFormat="false" ht="15.75" hidden="false" customHeight="false" outlineLevel="0" collapsed="false">
      <c r="A3583" s="1" t="s">
        <v>883</v>
      </c>
      <c r="B3583" s="1" t="n">
        <v>278.8</v>
      </c>
      <c r="C3583" s="1" t="n">
        <f aca="false">1/B3583</f>
        <v>0.00358680057388809</v>
      </c>
      <c r="D3583" s="1" t="n">
        <v>1.9507</v>
      </c>
      <c r="E3583" s="1" t="n">
        <f aca="false">LN(D3583)</f>
        <v>0.66818828251875</v>
      </c>
    </row>
    <row r="3584" customFormat="false" ht="15.75" hidden="false" customHeight="false" outlineLevel="0" collapsed="false">
      <c r="A3584" s="1" t="s">
        <v>883</v>
      </c>
      <c r="B3584" s="1" t="n">
        <v>279.71</v>
      </c>
      <c r="C3584" s="1" t="n">
        <f aca="false">1/B3584</f>
        <v>0.00357513138607844</v>
      </c>
      <c r="D3584" s="1" t="n">
        <v>1.8882</v>
      </c>
      <c r="E3584" s="1" t="n">
        <f aca="false">LN(D3584)</f>
        <v>0.635623994316279</v>
      </c>
    </row>
    <row r="3585" customFormat="false" ht="15.75" hidden="false" customHeight="false" outlineLevel="0" collapsed="false">
      <c r="A3585" s="1" t="s">
        <v>883</v>
      </c>
      <c r="B3585" s="1" t="n">
        <v>280.62</v>
      </c>
      <c r="C3585" s="1" t="n">
        <f aca="false">1/B3585</f>
        <v>0.00356353788040767</v>
      </c>
      <c r="D3585" s="1" t="n">
        <v>1.8288</v>
      </c>
      <c r="E3585" s="1" t="n">
        <f aca="false">LN(D3585)</f>
        <v>0.603660014058409</v>
      </c>
    </row>
    <row r="3586" customFormat="false" ht="15.75" hidden="false" customHeight="false" outlineLevel="0" collapsed="false">
      <c r="A3586" s="1" t="s">
        <v>883</v>
      </c>
      <c r="B3586" s="1" t="n">
        <v>281.54</v>
      </c>
      <c r="C3586" s="1" t="n">
        <f aca="false">1/B3586</f>
        <v>0.00355189315905378</v>
      </c>
      <c r="D3586" s="1" t="n">
        <v>1.7725</v>
      </c>
      <c r="E3586" s="1" t="n">
        <f aca="false">LN(D3586)</f>
        <v>0.572390979424146</v>
      </c>
    </row>
    <row r="3587" customFormat="false" ht="15.75" hidden="false" customHeight="false" outlineLevel="0" collapsed="false">
      <c r="A3587" s="1" t="s">
        <v>883</v>
      </c>
      <c r="B3587" s="1" t="n">
        <v>282.45</v>
      </c>
      <c r="C3587" s="1" t="n">
        <f aca="false">1/B3587</f>
        <v>0.00354044963710391</v>
      </c>
      <c r="D3587" s="1" t="n">
        <v>1.7188</v>
      </c>
      <c r="E3587" s="1" t="n">
        <f aca="false">LN(D3587)</f>
        <v>0.541626372918703</v>
      </c>
    </row>
    <row r="3588" customFormat="false" ht="15.75" hidden="false" customHeight="false" outlineLevel="0" collapsed="false">
      <c r="A3588" s="1" t="s">
        <v>883</v>
      </c>
      <c r="B3588" s="1" t="n">
        <v>283.36</v>
      </c>
      <c r="C3588" s="1" t="n">
        <f aca="false">1/B3588</f>
        <v>0.00352907961603614</v>
      </c>
      <c r="D3588" s="1" t="n">
        <v>1.6678</v>
      </c>
      <c r="E3588" s="1" t="n">
        <f aca="false">LN(D3588)</f>
        <v>0.511505392670748</v>
      </c>
    </row>
    <row r="3589" customFormat="false" ht="15.75" hidden="false" customHeight="false" outlineLevel="0" collapsed="false">
      <c r="A3589" s="1" t="s">
        <v>883</v>
      </c>
      <c r="B3589" s="1" t="n">
        <v>284.28</v>
      </c>
      <c r="C3589" s="1" t="n">
        <f aca="false">1/B3589</f>
        <v>0.00351765864640495</v>
      </c>
      <c r="D3589" s="1" t="n">
        <v>1.6192</v>
      </c>
      <c r="E3589" s="1" t="n">
        <f aca="false">LN(D3589)</f>
        <v>0.481932200111009</v>
      </c>
    </row>
    <row r="3590" customFormat="false" ht="15.75" hidden="false" customHeight="false" outlineLevel="0" collapsed="false">
      <c r="A3590" s="1" t="s">
        <v>883</v>
      </c>
      <c r="B3590" s="1" t="n">
        <v>285.19</v>
      </c>
      <c r="C3590" s="1" t="n">
        <f aca="false">1/B3590</f>
        <v>0.00350643430695326</v>
      </c>
      <c r="D3590" s="1" t="n">
        <v>1.5729</v>
      </c>
      <c r="E3590" s="1" t="n">
        <f aca="false">LN(D3590)</f>
        <v>0.45292104926446</v>
      </c>
    </row>
    <row r="3591" customFormat="false" ht="15.75" hidden="false" customHeight="false" outlineLevel="0" collapsed="false">
      <c r="A3591" s="1" t="s">
        <v>883</v>
      </c>
      <c r="B3591" s="1" t="n">
        <v>286.1</v>
      </c>
      <c r="C3591" s="1" t="n">
        <f aca="false">1/B3591</f>
        <v>0.0034952813701503</v>
      </c>
      <c r="D3591" s="1" t="n">
        <v>1.5287</v>
      </c>
      <c r="E3591" s="1" t="n">
        <f aca="false">LN(D3591)</f>
        <v>0.424417701024851</v>
      </c>
    </row>
    <row r="3592" customFormat="false" ht="15.75" hidden="false" customHeight="false" outlineLevel="0" collapsed="false">
      <c r="A3592" s="1" t="s">
        <v>883</v>
      </c>
      <c r="B3592" s="1" t="n">
        <v>287.02</v>
      </c>
      <c r="C3592" s="1" t="n">
        <f aca="false">1/B3592</f>
        <v>0.00348407776461571</v>
      </c>
      <c r="D3592" s="1" t="n">
        <v>1.4865</v>
      </c>
      <c r="E3592" s="1" t="n">
        <f aca="false">LN(D3592)</f>
        <v>0.396424363456015</v>
      </c>
    </row>
    <row r="3593" customFormat="false" ht="15.75" hidden="false" customHeight="false" outlineLevel="0" collapsed="false">
      <c r="A3593" s="1" t="s">
        <v>883</v>
      </c>
      <c r="B3593" s="1" t="n">
        <v>287.93</v>
      </c>
      <c r="C3593" s="1" t="n">
        <f aca="false">1/B3593</f>
        <v>0.00347306637029834</v>
      </c>
      <c r="D3593" s="1" t="n">
        <v>1.4462</v>
      </c>
      <c r="E3593" s="1" t="n">
        <f aca="false">LN(D3593)</f>
        <v>0.368939426758714</v>
      </c>
    </row>
    <row r="3594" customFormat="false" ht="15.75" hidden="false" customHeight="false" outlineLevel="0" collapsed="false">
      <c r="A3594" s="1" t="s">
        <v>883</v>
      </c>
      <c r="B3594" s="1" t="n">
        <v>288.84</v>
      </c>
      <c r="C3594" s="1" t="n">
        <f aca="false">1/B3594</f>
        <v>0.00346212435950699</v>
      </c>
      <c r="D3594" s="1" t="n">
        <v>1.4077</v>
      </c>
      <c r="E3594" s="1" t="n">
        <f aca="false">LN(D3594)</f>
        <v>0.341957166851783</v>
      </c>
    </row>
    <row r="3595" customFormat="false" ht="15.75" hidden="false" customHeight="false" outlineLevel="0" collapsed="false">
      <c r="A3595" s="1" t="s">
        <v>883</v>
      </c>
      <c r="B3595" s="1" t="n">
        <v>289.76</v>
      </c>
      <c r="C3595" s="1" t="n">
        <f aca="false">1/B3595</f>
        <v>0.00345113197128658</v>
      </c>
      <c r="D3595" s="1" t="n">
        <v>1.3708</v>
      </c>
      <c r="E3595" s="1" t="n">
        <f aca="false">LN(D3595)</f>
        <v>0.315394511018317</v>
      </c>
    </row>
    <row r="3596" customFormat="false" ht="15.75" hidden="false" customHeight="false" outlineLevel="0" collapsed="false">
      <c r="A3596" s="1" t="s">
        <v>883</v>
      </c>
      <c r="B3596" s="1" t="n">
        <v>290.67</v>
      </c>
      <c r="C3596" s="1" t="n">
        <f aca="false">1/B3596</f>
        <v>0.00344032751917983</v>
      </c>
      <c r="D3596" s="1" t="n">
        <v>1.3355</v>
      </c>
      <c r="E3596" s="1" t="n">
        <f aca="false">LN(D3596)</f>
        <v>0.289305753567878</v>
      </c>
    </row>
    <row r="3597" customFormat="false" ht="15.75" hidden="false" customHeight="false" outlineLevel="0" collapsed="false">
      <c r="A3597" s="1" t="s">
        <v>883</v>
      </c>
      <c r="B3597" s="1" t="n">
        <v>291.58</v>
      </c>
      <c r="C3597" s="1" t="n">
        <f aca="false">1/B3597</f>
        <v>0.00342959050689348</v>
      </c>
      <c r="D3597" s="1" t="n">
        <v>1.3016</v>
      </c>
      <c r="E3597" s="1" t="n">
        <f aca="false">LN(D3597)</f>
        <v>0.263594276922691</v>
      </c>
    </row>
    <row r="3598" customFormat="false" ht="15.75" hidden="false" customHeight="false" outlineLevel="0" collapsed="false">
      <c r="A3598" s="1" t="s">
        <v>883</v>
      </c>
      <c r="B3598" s="1" t="n">
        <v>292.5</v>
      </c>
      <c r="C3598" s="1" t="n">
        <f aca="false">1/B3598</f>
        <v>0.00341880341880342</v>
      </c>
      <c r="D3598" s="1" t="n">
        <v>1.2692</v>
      </c>
      <c r="E3598" s="1" t="n">
        <f aca="false">LN(D3598)</f>
        <v>0.238386780726904</v>
      </c>
    </row>
    <row r="3599" customFormat="false" ht="15.75" hidden="false" customHeight="false" outlineLevel="0" collapsed="false">
      <c r="A3599" s="1" t="s">
        <v>883</v>
      </c>
      <c r="B3599" s="1" t="n">
        <v>293.41</v>
      </c>
      <c r="C3599" s="1" t="n">
        <f aca="false">1/B3599</f>
        <v>0.0034082001295116</v>
      </c>
      <c r="D3599" s="1" t="n">
        <v>1.2381</v>
      </c>
      <c r="E3599" s="1" t="n">
        <f aca="false">LN(D3599)</f>
        <v>0.213577946444509</v>
      </c>
    </row>
    <row r="3600" customFormat="false" ht="15.75" hidden="false" customHeight="false" outlineLevel="0" collapsed="false">
      <c r="A3600" s="1" t="s">
        <v>883</v>
      </c>
      <c r="B3600" s="1" t="n">
        <v>294.32</v>
      </c>
      <c r="C3600" s="1" t="n">
        <f aca="false">1/B3600</f>
        <v>0.00339766240826312</v>
      </c>
      <c r="D3600" s="1" t="n">
        <v>1.2082</v>
      </c>
      <c r="E3600" s="1" t="n">
        <f aca="false">LN(D3600)</f>
        <v>0.189131648722504</v>
      </c>
    </row>
    <row r="3601" customFormat="false" ht="15.75" hidden="false" customHeight="false" outlineLevel="0" collapsed="false">
      <c r="A3601" s="1" t="s">
        <v>883</v>
      </c>
      <c r="B3601" s="1" t="n">
        <v>295.24</v>
      </c>
      <c r="C3601" s="1" t="n">
        <f aca="false">1/B3601</f>
        <v>0.00338707492209728</v>
      </c>
      <c r="D3601" s="1" t="n">
        <v>1.1795</v>
      </c>
      <c r="E3601" s="1" t="n">
        <f aca="false">LN(D3601)</f>
        <v>0.165090619865593</v>
      </c>
    </row>
    <row r="3602" customFormat="false" ht="15.75" hidden="false" customHeight="false" outlineLevel="0" collapsed="false">
      <c r="A3602" s="1" t="s">
        <v>883</v>
      </c>
      <c r="B3602" s="1" t="n">
        <v>296.15</v>
      </c>
      <c r="C3602" s="1" t="n">
        <f aca="false">1/B3602</f>
        <v>0.00337666722944454</v>
      </c>
      <c r="D3602" s="1" t="n">
        <v>1.1519</v>
      </c>
      <c r="E3602" s="1" t="n">
        <f aca="false">LN(D3602)</f>
        <v>0.141412752950324</v>
      </c>
    </row>
    <row r="3603" customFormat="false" ht="15.75" hidden="false" customHeight="false" outlineLevel="0" collapsed="false">
      <c r="A3603" s="1" t="s">
        <v>883</v>
      </c>
      <c r="B3603" s="1" t="n">
        <v>297.06</v>
      </c>
      <c r="C3603" s="1" t="n">
        <f aca="false">1/B3603</f>
        <v>0.00336632330168989</v>
      </c>
      <c r="D3603" s="1" t="n">
        <v>1.1254</v>
      </c>
      <c r="E3603" s="1" t="n">
        <f aca="false">LN(D3603)</f>
        <v>0.118138528017042</v>
      </c>
    </row>
    <row r="3604" customFormat="false" ht="15.75" hidden="false" customHeight="false" outlineLevel="0" collapsed="false">
      <c r="A3604" s="1" t="s">
        <v>883</v>
      </c>
      <c r="B3604" s="1" t="n">
        <v>297.98</v>
      </c>
      <c r="C3604" s="1" t="n">
        <f aca="false">1/B3604</f>
        <v>0.0033559299281831</v>
      </c>
      <c r="D3604" s="1" t="n">
        <v>1.0998</v>
      </c>
      <c r="E3604" s="1" t="n">
        <f aca="false">LN(D3604)</f>
        <v>0.0951283450915774</v>
      </c>
    </row>
    <row r="3605" customFormat="false" ht="15.75" hidden="false" customHeight="false" outlineLevel="0" collapsed="false">
      <c r="A3605" s="1" t="s">
        <v>883</v>
      </c>
      <c r="B3605" s="1" t="n">
        <v>298.89</v>
      </c>
      <c r="C3605" s="1" t="n">
        <f aca="false">1/B3605</f>
        <v>0.00334571246947037</v>
      </c>
      <c r="D3605" s="1" t="n">
        <v>1.0752</v>
      </c>
      <c r="E3605" s="1" t="n">
        <f aca="false">LN(D3605)</f>
        <v>0.072506690786748</v>
      </c>
    </row>
    <row r="3606" customFormat="false" ht="15.75" hidden="false" customHeight="false" outlineLevel="0" collapsed="false">
      <c r="A3606" s="1" t="s">
        <v>883</v>
      </c>
      <c r="B3606" s="1" t="n">
        <v>299.8</v>
      </c>
      <c r="C3606" s="1" t="n">
        <f aca="false">1/B3606</f>
        <v>0.00333555703802535</v>
      </c>
      <c r="D3606" s="1" t="n">
        <v>1.0515</v>
      </c>
      <c r="E3606" s="1" t="n">
        <f aca="false">LN(D3606)</f>
        <v>0.0502177161606175</v>
      </c>
    </row>
    <row r="3607" customFormat="false" ht="15.75" hidden="false" customHeight="false" outlineLevel="0" collapsed="false">
      <c r="A3607" s="1" t="s">
        <v>883</v>
      </c>
      <c r="B3607" s="1" t="n">
        <v>300.72</v>
      </c>
      <c r="C3607" s="1" t="n">
        <f aca="false">1/B3607</f>
        <v>0.00332535248736366</v>
      </c>
      <c r="D3607" s="1" t="n">
        <v>1.0287</v>
      </c>
      <c r="E3607" s="1" t="n">
        <f aca="false">LN(D3607)</f>
        <v>0.0282958691548472</v>
      </c>
    </row>
    <row r="3608" customFormat="false" ht="15.75" hidden="false" customHeight="false" outlineLevel="0" collapsed="false">
      <c r="A3608" s="1" t="s">
        <v>883</v>
      </c>
      <c r="B3608" s="1" t="n">
        <v>301.63</v>
      </c>
      <c r="C3608" s="1" t="n">
        <f aca="false">1/B3608</f>
        <v>0.00331532009415509</v>
      </c>
      <c r="D3608" s="1" t="n">
        <v>1.0067</v>
      </c>
      <c r="E3608" s="1" t="n">
        <f aca="false">LN(D3608)</f>
        <v>0.0066776547532405</v>
      </c>
    </row>
    <row r="3609" customFormat="false" ht="15.75" hidden="false" customHeight="false" outlineLevel="0" collapsed="false">
      <c r="A3609" s="1" t="s">
        <v>883</v>
      </c>
      <c r="B3609" s="1" t="n">
        <v>302.54</v>
      </c>
      <c r="C3609" s="1" t="n">
        <f aca="false">1/B3609</f>
        <v>0.00330534805315</v>
      </c>
      <c r="D3609" s="1" t="n">
        <v>0.98545</v>
      </c>
      <c r="E3609" s="1" t="n">
        <f aca="false">LN(D3609)</f>
        <v>-0.0146568893436336</v>
      </c>
    </row>
    <row r="3610" customFormat="false" ht="15.75" hidden="false" customHeight="false" outlineLevel="0" collapsed="false">
      <c r="A3610" s="1" t="s">
        <v>883</v>
      </c>
      <c r="B3610" s="1" t="n">
        <v>303.46</v>
      </c>
      <c r="C3610" s="1" t="n">
        <f aca="false">1/B3610</f>
        <v>0.00329532722599354</v>
      </c>
      <c r="D3610" s="1" t="n">
        <v>0.96495</v>
      </c>
      <c r="E3610" s="1" t="n">
        <f aca="false">LN(D3610)</f>
        <v>-0.035678992457018</v>
      </c>
    </row>
    <row r="3611" customFormat="false" ht="15.75" hidden="false" customHeight="false" outlineLevel="0" collapsed="false">
      <c r="A3611" s="1" t="s">
        <v>883</v>
      </c>
      <c r="B3611" s="1" t="n">
        <v>304.37</v>
      </c>
      <c r="C3611" s="1" t="n">
        <f aca="false">1/B3611</f>
        <v>0.00328547491539902</v>
      </c>
      <c r="D3611" s="1" t="n">
        <v>0.94514</v>
      </c>
      <c r="E3611" s="1" t="n">
        <f aca="false">LN(D3611)</f>
        <v>-0.0564222143130993</v>
      </c>
    </row>
    <row r="3612" customFormat="false" ht="15.75" hidden="false" customHeight="false" outlineLevel="0" collapsed="false">
      <c r="A3612" s="1" t="s">
        <v>883</v>
      </c>
      <c r="B3612" s="1" t="n">
        <v>305.28</v>
      </c>
      <c r="C3612" s="1" t="n">
        <f aca="false">1/B3612</f>
        <v>0.00327568134171908</v>
      </c>
      <c r="D3612" s="1" t="n">
        <v>0.92601</v>
      </c>
      <c r="E3612" s="1" t="n">
        <f aca="false">LN(D3612)</f>
        <v>-0.0768702452581988</v>
      </c>
    </row>
    <row r="3613" customFormat="false" ht="15.75" hidden="false" customHeight="false" outlineLevel="0" collapsed="false">
      <c r="A3613" s="1" t="s">
        <v>883</v>
      </c>
      <c r="B3613" s="1" t="n">
        <v>306.2</v>
      </c>
      <c r="C3613" s="1" t="n">
        <f aca="false">1/B3613</f>
        <v>0.00326583932070542</v>
      </c>
      <c r="D3613" s="1" t="n">
        <v>0.90751</v>
      </c>
      <c r="E3613" s="1" t="n">
        <f aca="false">LN(D3613)</f>
        <v>-0.0970506936200965</v>
      </c>
    </row>
    <row r="3614" customFormat="false" ht="15.75" hidden="false" customHeight="false" outlineLevel="0" collapsed="false">
      <c r="A3614" s="1" t="s">
        <v>883</v>
      </c>
      <c r="B3614" s="1" t="n">
        <v>307.11</v>
      </c>
      <c r="C3614" s="1" t="n">
        <f aca="false">1/B3614</f>
        <v>0.00325616228712839</v>
      </c>
      <c r="D3614" s="1" t="n">
        <v>0.88962</v>
      </c>
      <c r="E3614" s="1" t="n">
        <f aca="false">LN(D3614)</f>
        <v>-0.116960873724147</v>
      </c>
    </row>
    <row r="3615" customFormat="false" ht="15.75" hidden="false" customHeight="false" outlineLevel="0" collapsed="false">
      <c r="A3615" s="1" t="s">
        <v>883</v>
      </c>
      <c r="B3615" s="1" t="n">
        <v>308.02</v>
      </c>
      <c r="C3615" s="1" t="n">
        <f aca="false">1/B3615</f>
        <v>0.00324654243230959</v>
      </c>
      <c r="D3615" s="1" t="n">
        <v>0.87232</v>
      </c>
      <c r="E3615" s="1" t="n">
        <f aca="false">LN(D3615)</f>
        <v>-0.136598949914024</v>
      </c>
    </row>
    <row r="3616" customFormat="false" ht="15.75" hidden="false" customHeight="false" outlineLevel="0" collapsed="false">
      <c r="A3616" s="1" t="s">
        <v>883</v>
      </c>
      <c r="B3616" s="1" t="n">
        <v>308.94</v>
      </c>
      <c r="C3616" s="1" t="n">
        <f aca="false">1/B3616</f>
        <v>0.0032368744740079</v>
      </c>
      <c r="D3616" s="1" t="n">
        <v>0.85557</v>
      </c>
      <c r="E3616" s="1" t="n">
        <f aca="false">LN(D3616)</f>
        <v>-0.155987365502216</v>
      </c>
    </row>
    <row r="3617" customFormat="false" ht="15.75" hidden="false" customHeight="false" outlineLevel="0" collapsed="false">
      <c r="A3617" s="1" t="s">
        <v>883</v>
      </c>
      <c r="B3617" s="1" t="n">
        <v>309.85</v>
      </c>
      <c r="C3617" s="1" t="n">
        <f aca="false">1/B3617</f>
        <v>0.00322736808132968</v>
      </c>
      <c r="D3617" s="1" t="n">
        <v>0.83935</v>
      </c>
      <c r="E3617" s="1" t="n">
        <f aca="false">LN(D3617)</f>
        <v>-0.175127496213714</v>
      </c>
    </row>
    <row r="3618" customFormat="false" ht="15.75" hidden="false" customHeight="false" outlineLevel="0" collapsed="false">
      <c r="A3618" s="1" t="s">
        <v>883</v>
      </c>
      <c r="B3618" s="1" t="n">
        <v>310.76</v>
      </c>
      <c r="C3618" s="1" t="n">
        <f aca="false">1/B3618</f>
        <v>0.0032179173638821</v>
      </c>
      <c r="D3618" s="1" t="n">
        <v>0.82364</v>
      </c>
      <c r="E3618" s="1" t="n">
        <f aca="false">LN(D3618)</f>
        <v>-0.194021737742191</v>
      </c>
    </row>
    <row r="3619" customFormat="false" ht="15.75" hidden="false" customHeight="false" outlineLevel="0" collapsed="false">
      <c r="A3619" s="1" t="s">
        <v>883</v>
      </c>
      <c r="B3619" s="1" t="n">
        <v>311.68</v>
      </c>
      <c r="C3619" s="1" t="n">
        <f aca="false">1/B3619</f>
        <v>0.00320841889117043</v>
      </c>
      <c r="D3619" s="1" t="n">
        <v>0.80842</v>
      </c>
      <c r="E3619" s="1" t="n">
        <f aca="false">LN(D3619)</f>
        <v>-0.212673553531095</v>
      </c>
    </row>
    <row r="3620" customFormat="false" ht="15.75" hidden="false" customHeight="false" outlineLevel="0" collapsed="false">
      <c r="A3620" s="1" t="s">
        <v>883</v>
      </c>
      <c r="B3620" s="1" t="n">
        <v>312.59</v>
      </c>
      <c r="C3620" s="1" t="n">
        <f aca="false">1/B3620</f>
        <v>0.00319907866534438</v>
      </c>
      <c r="D3620" s="1" t="n">
        <v>0.79366</v>
      </c>
      <c r="E3620" s="1" t="n">
        <f aca="false">LN(D3620)</f>
        <v>-0.231100121030666</v>
      </c>
    </row>
    <row r="3621" customFormat="false" ht="15.75" hidden="false" customHeight="false" outlineLevel="0" collapsed="false">
      <c r="A3621" s="1" t="s">
        <v>883</v>
      </c>
      <c r="B3621" s="1" t="n">
        <v>313.5</v>
      </c>
      <c r="C3621" s="1" t="n">
        <f aca="false">1/B3621</f>
        <v>0.00318979266347687</v>
      </c>
      <c r="D3621" s="1" t="n">
        <v>0.77935</v>
      </c>
      <c r="E3621" s="1" t="n">
        <f aca="false">LN(D3621)</f>
        <v>-0.249295040047077</v>
      </c>
    </row>
    <row r="3622" customFormat="false" ht="15.75" hidden="false" customHeight="false" outlineLevel="0" collapsed="false">
      <c r="A3622" s="1" t="s">
        <v>883</v>
      </c>
      <c r="B3622" s="1" t="n">
        <v>314.42</v>
      </c>
      <c r="C3622" s="1" t="n">
        <f aca="false">1/B3622</f>
        <v>0.0031804592583169</v>
      </c>
      <c r="D3622" s="1" t="n">
        <v>0.76546</v>
      </c>
      <c r="E3622" s="1" t="n">
        <f aca="false">LN(D3622)</f>
        <v>-0.267278318678788</v>
      </c>
    </row>
    <row r="3623" customFormat="false" ht="15.75" hidden="false" customHeight="false" outlineLevel="0" collapsed="false">
      <c r="A3623" s="1" t="s">
        <v>883</v>
      </c>
      <c r="B3623" s="1" t="n">
        <v>315.33</v>
      </c>
      <c r="C3623" s="1" t="n">
        <f aca="false">1/B3623</f>
        <v>0.00317128088034757</v>
      </c>
      <c r="D3623" s="1" t="n">
        <v>0.75199</v>
      </c>
      <c r="E3623" s="1" t="n">
        <f aca="false">LN(D3623)</f>
        <v>-0.285032252993055</v>
      </c>
    </row>
    <row r="3624" customFormat="false" ht="15.75" hidden="false" customHeight="false" outlineLevel="0" collapsed="false">
      <c r="A3624" s="1" t="s">
        <v>883</v>
      </c>
      <c r="B3624" s="1" t="n">
        <v>316.24</v>
      </c>
      <c r="C3624" s="1" t="n">
        <f aca="false">1/B3624</f>
        <v>0.00316215532506957</v>
      </c>
      <c r="D3624" s="1" t="n">
        <v>0.7389</v>
      </c>
      <c r="E3624" s="1" t="n">
        <f aca="false">LN(D3624)</f>
        <v>-0.302592685187535</v>
      </c>
    </row>
    <row r="3625" customFormat="false" ht="15.75" hidden="false" customHeight="false" outlineLevel="0" collapsed="false">
      <c r="A3625" s="1" t="s">
        <v>883</v>
      </c>
      <c r="B3625" s="1" t="n">
        <v>317.16</v>
      </c>
      <c r="C3625" s="1" t="n">
        <f aca="false">1/B3625</f>
        <v>0.00315298272165468</v>
      </c>
      <c r="D3625" s="1" t="n">
        <v>0.7262</v>
      </c>
      <c r="E3625" s="1" t="n">
        <f aca="false">LN(D3625)</f>
        <v>-0.319929820001902</v>
      </c>
    </row>
    <row r="3626" customFormat="false" ht="15.75" hidden="false" customHeight="false" outlineLevel="0" collapsed="false">
      <c r="A3626" s="1" t="s">
        <v>883</v>
      </c>
      <c r="B3626" s="1" t="n">
        <v>318.07</v>
      </c>
      <c r="C3626" s="1" t="n">
        <f aca="false">1/B3626</f>
        <v>0.00314396202093879</v>
      </c>
      <c r="D3626" s="1" t="n">
        <v>0.71386</v>
      </c>
      <c r="E3626" s="1" t="n">
        <f aca="false">LN(D3626)</f>
        <v>-0.337068414299814</v>
      </c>
    </row>
    <row r="3627" customFormat="false" ht="15.75" hidden="false" customHeight="false" outlineLevel="0" collapsed="false">
      <c r="A3627" s="1" t="s">
        <v>883</v>
      </c>
      <c r="B3627" s="1" t="n">
        <v>318.98</v>
      </c>
      <c r="C3627" s="1" t="n">
        <f aca="false">1/B3627</f>
        <v>0.00313499278951658</v>
      </c>
      <c r="D3627" s="1" t="n">
        <v>0.70187</v>
      </c>
      <c r="E3627" s="1" t="n">
        <f aca="false">LN(D3627)</f>
        <v>-0.354007077290405</v>
      </c>
    </row>
    <row r="3628" customFormat="false" ht="15.75" hidden="false" customHeight="false" outlineLevel="0" collapsed="false">
      <c r="A3628" s="1" t="s">
        <v>883</v>
      </c>
      <c r="B3628" s="1" t="n">
        <v>319.9</v>
      </c>
      <c r="C3628" s="1" t="n">
        <f aca="false">1/B3628</f>
        <v>0.00312597686777118</v>
      </c>
      <c r="D3628" s="1" t="n">
        <v>0.69021</v>
      </c>
      <c r="E3628" s="1" t="n">
        <f aca="false">LN(D3628)</f>
        <v>-0.37075937986915</v>
      </c>
    </row>
    <row r="3629" customFormat="false" ht="15.75" hidden="false" customHeight="false" outlineLevel="0" collapsed="false">
      <c r="A3629" s="1" t="s">
        <v>883</v>
      </c>
      <c r="B3629" s="1" t="n">
        <v>320.81</v>
      </c>
      <c r="C3629" s="1" t="n">
        <f aca="false">1/B3629</f>
        <v>0.00311710981577881</v>
      </c>
      <c r="D3629" s="1" t="n">
        <v>0.67887</v>
      </c>
      <c r="E3629" s="1" t="n">
        <f aca="false">LN(D3629)</f>
        <v>-0.387325627780378</v>
      </c>
    </row>
    <row r="3630" customFormat="false" ht="15.75" hidden="false" customHeight="false" outlineLevel="0" collapsed="false">
      <c r="A3630" s="1" t="s">
        <v>883</v>
      </c>
      <c r="B3630" s="1" t="n">
        <v>321.72</v>
      </c>
      <c r="C3630" s="1" t="n">
        <f aca="false">1/B3630</f>
        <v>0.0031082929255253</v>
      </c>
      <c r="D3630" s="1" t="n">
        <v>0.66784</v>
      </c>
      <c r="E3630" s="1" t="n">
        <f aca="false">LN(D3630)</f>
        <v>-0.403706655093301</v>
      </c>
    </row>
    <row r="3631" customFormat="false" ht="15.75" hidden="false" customHeight="false" outlineLevel="0" collapsed="false">
      <c r="A3631" s="1" t="s">
        <v>883</v>
      </c>
      <c r="B3631" s="1" t="n">
        <v>322.64</v>
      </c>
      <c r="C3631" s="1" t="n">
        <f aca="false">1/B3631</f>
        <v>0.00309942970493429</v>
      </c>
      <c r="D3631" s="1" t="n">
        <v>0.65711</v>
      </c>
      <c r="E3631" s="1" t="n">
        <f aca="false">LN(D3631)</f>
        <v>-0.419903846810306</v>
      </c>
    </row>
    <row r="3632" customFormat="false" ht="15.75" hidden="false" customHeight="false" outlineLevel="0" collapsed="false">
      <c r="A3632" s="1" t="s">
        <v>883</v>
      </c>
      <c r="B3632" s="1" t="n">
        <v>323.55</v>
      </c>
      <c r="C3632" s="1" t="n">
        <f aca="false">1/B3632</f>
        <v>0.00309071240921032</v>
      </c>
      <c r="D3632" s="1" t="n">
        <v>0.64667</v>
      </c>
      <c r="E3632" s="1" t="n">
        <f aca="false">LN(D3632)</f>
        <v>-0.435919160966983</v>
      </c>
    </row>
    <row r="3633" customFormat="false" ht="15.75" hidden="false" customHeight="false" outlineLevel="0" collapsed="false">
      <c r="A3633" s="1" t="s">
        <v>883</v>
      </c>
      <c r="B3633" s="1" t="n">
        <v>324.47</v>
      </c>
      <c r="C3633" s="1" t="n">
        <f aca="false">1/B3633</f>
        <v>0.00308194902456313</v>
      </c>
      <c r="D3633" s="1" t="n">
        <v>0.63651</v>
      </c>
      <c r="E3633" s="1" t="n">
        <f aca="false">LN(D3633)</f>
        <v>-0.451755150189002</v>
      </c>
    </row>
    <row r="3634" customFormat="false" ht="15.75" hidden="false" customHeight="false" outlineLevel="0" collapsed="false">
      <c r="A3634" s="1" t="s">
        <v>883</v>
      </c>
      <c r="B3634" s="1" t="n">
        <v>325.38</v>
      </c>
      <c r="C3634" s="1" t="n">
        <f aca="false">1/B3634</f>
        <v>0.00307332964533776</v>
      </c>
      <c r="D3634" s="1" t="n">
        <v>0.62661</v>
      </c>
      <c r="E3634" s="1" t="n">
        <f aca="false">LN(D3634)</f>
        <v>-0.467430941446802</v>
      </c>
    </row>
    <row r="3635" customFormat="false" ht="15.75" hidden="false" customHeight="false" outlineLevel="0" collapsed="false">
      <c r="A3635" s="1" t="s">
        <v>883</v>
      </c>
      <c r="B3635" s="1" t="n">
        <v>326.29</v>
      </c>
      <c r="C3635" s="1" t="n">
        <f aca="false">1/B3635</f>
        <v>0.00306475834380459</v>
      </c>
      <c r="D3635" s="1" t="n">
        <v>0.61696</v>
      </c>
      <c r="E3635" s="1" t="n">
        <f aca="false">LN(D3635)</f>
        <v>-0.482951087000011</v>
      </c>
    </row>
    <row r="3636" customFormat="false" ht="15.75" hidden="false" customHeight="false" outlineLevel="0" collapsed="false">
      <c r="A3636" s="1" t="s">
        <v>883</v>
      </c>
      <c r="B3636" s="1" t="n">
        <v>327.21</v>
      </c>
      <c r="C3636" s="1" t="n">
        <f aca="false">1/B3636</f>
        <v>0.00305614131597445</v>
      </c>
      <c r="D3636" s="1" t="n">
        <v>0.60757</v>
      </c>
      <c r="E3636" s="1" t="n">
        <f aca="false">LN(D3636)</f>
        <v>-0.498287884068029</v>
      </c>
    </row>
    <row r="3637" customFormat="false" ht="15.75" hidden="false" customHeight="false" outlineLevel="0" collapsed="false">
      <c r="A3637" s="1" t="s">
        <v>883</v>
      </c>
      <c r="B3637" s="1" t="n">
        <v>328.12</v>
      </c>
      <c r="C3637" s="1" t="n">
        <f aca="false">1/B3637</f>
        <v>0.00304766548823601</v>
      </c>
      <c r="D3637" s="1" t="n">
        <v>0.59841</v>
      </c>
      <c r="E3637" s="1" t="n">
        <f aca="false">LN(D3637)</f>
        <v>-0.513479141231554</v>
      </c>
    </row>
    <row r="3638" customFormat="false" ht="15.75" hidden="false" customHeight="false" outlineLevel="0" collapsed="false">
      <c r="A3638" s="1" t="s">
        <v>883</v>
      </c>
      <c r="B3638" s="1" t="n">
        <v>329.03</v>
      </c>
      <c r="C3638" s="1" t="n">
        <f aca="false">1/B3638</f>
        <v>0.0030392365437802</v>
      </c>
      <c r="D3638" s="1" t="n">
        <v>0.58949</v>
      </c>
      <c r="E3638" s="1" t="n">
        <f aca="false">LN(D3638)</f>
        <v>-0.528497522677008</v>
      </c>
    </row>
    <row r="3639" customFormat="false" ht="15.75" hidden="false" customHeight="false" outlineLevel="0" collapsed="false">
      <c r="A3639" s="1" t="s">
        <v>883</v>
      </c>
      <c r="B3639" s="1" t="n">
        <v>329.95</v>
      </c>
      <c r="C3639" s="1" t="n">
        <f aca="false">1/B3639</f>
        <v>0.00303076223670253</v>
      </c>
      <c r="D3639" s="1" t="n">
        <v>0.58078</v>
      </c>
      <c r="E3639" s="1" t="n">
        <f aca="false">LN(D3639)</f>
        <v>-0.543383251326166</v>
      </c>
    </row>
    <row r="3640" customFormat="false" ht="15.75" hidden="false" customHeight="false" outlineLevel="0" collapsed="false">
      <c r="A3640" s="1" t="s">
        <v>883</v>
      </c>
      <c r="B3640" s="1" t="n">
        <v>330.86</v>
      </c>
      <c r="C3640" s="1" t="n">
        <f aca="false">1/B3640</f>
        <v>0.00302242640391706</v>
      </c>
      <c r="D3640" s="1" t="n">
        <v>0.57229</v>
      </c>
      <c r="E3640" s="1" t="n">
        <f aca="false">LN(D3640)</f>
        <v>-0.558109423072878</v>
      </c>
    </row>
    <row r="3641" customFormat="false" ht="15.75" hidden="false" customHeight="false" outlineLevel="0" collapsed="false">
      <c r="A3641" s="1" t="s">
        <v>883</v>
      </c>
      <c r="B3641" s="1" t="n">
        <v>331.77</v>
      </c>
      <c r="C3641" s="1" t="n">
        <f aca="false">1/B3641</f>
        <v>0.00301413629924345</v>
      </c>
      <c r="D3641" s="1" t="n">
        <v>0.56401</v>
      </c>
      <c r="E3641" s="1" t="n">
        <f aca="false">LN(D3641)</f>
        <v>-0.572683297144808</v>
      </c>
    </row>
    <row r="3642" customFormat="false" ht="15.75" hidden="false" customHeight="false" outlineLevel="0" collapsed="false">
      <c r="A3642" s="1" t="s">
        <v>883</v>
      </c>
      <c r="B3642" s="1" t="n">
        <v>332.69</v>
      </c>
      <c r="C3642" s="1" t="n">
        <f aca="false">1/B3642</f>
        <v>0.00300580119630888</v>
      </c>
      <c r="D3642" s="1" t="n">
        <v>0.55593</v>
      </c>
      <c r="E3642" s="1" t="n">
        <f aca="false">LN(D3642)</f>
        <v>-0.58711289193811</v>
      </c>
    </row>
    <row r="3643" customFormat="false" ht="15.75" hidden="false" customHeight="false" outlineLevel="0" collapsed="false">
      <c r="A3643" s="1" t="s">
        <v>883</v>
      </c>
      <c r="B3643" s="1" t="n">
        <v>333.6</v>
      </c>
      <c r="C3643" s="1" t="n">
        <f aca="false">1/B3643</f>
        <v>0.00299760191846523</v>
      </c>
      <c r="D3643" s="1" t="n">
        <v>0.54805</v>
      </c>
      <c r="E3643" s="1" t="n">
        <f aca="false">LN(D3643)</f>
        <v>-0.601388755320405</v>
      </c>
    </row>
    <row r="3644" customFormat="false" ht="15.75" hidden="false" customHeight="false" outlineLevel="0" collapsed="false">
      <c r="A3644" s="1" t="s">
        <v>883</v>
      </c>
      <c r="B3644" s="1" t="n">
        <v>334.51</v>
      </c>
      <c r="C3644" s="1" t="n">
        <f aca="false">1/B3644</f>
        <v>0.00298944725120325</v>
      </c>
      <c r="D3644" s="1" t="n">
        <v>0.54035</v>
      </c>
      <c r="E3644" s="1" t="n">
        <f aca="false">LN(D3644)</f>
        <v>-0.615538201232962</v>
      </c>
    </row>
    <row r="3645" customFormat="false" ht="15.75" hidden="false" customHeight="false" outlineLevel="0" collapsed="false">
      <c r="A3645" s="1" t="s">
        <v>883</v>
      </c>
      <c r="B3645" s="1" t="n">
        <v>335.43</v>
      </c>
      <c r="C3645" s="1" t="n">
        <f aca="false">1/B3645</f>
        <v>0.00298124795039203</v>
      </c>
      <c r="D3645" s="1" t="n">
        <v>0.53283</v>
      </c>
      <c r="E3645" s="1" t="n">
        <f aca="false">LN(D3645)</f>
        <v>-0.629552855034792</v>
      </c>
    </row>
    <row r="3646" customFormat="false" ht="15.75" hidden="false" customHeight="false" outlineLevel="0" collapsed="false">
      <c r="A3646" s="1" t="s">
        <v>883</v>
      </c>
      <c r="B3646" s="1" t="n">
        <v>336.34</v>
      </c>
      <c r="C3646" s="1" t="n">
        <f aca="false">1/B3646</f>
        <v>0.0029731818992686</v>
      </c>
      <c r="D3646" s="1" t="n">
        <v>0.52549</v>
      </c>
      <c r="E3646" s="1" t="n">
        <f aca="false">LN(D3646)</f>
        <v>-0.643424118341913</v>
      </c>
    </row>
    <row r="3647" customFormat="false" ht="15.75" hidden="false" customHeight="false" outlineLevel="0" collapsed="false">
      <c r="A3647" s="1" t="s">
        <v>883</v>
      </c>
      <c r="B3647" s="1" t="n">
        <v>337.25</v>
      </c>
      <c r="C3647" s="1" t="n">
        <f aca="false">1/B3647</f>
        <v>0.00296515937731653</v>
      </c>
      <c r="D3647" s="1" t="n">
        <v>0.51832</v>
      </c>
      <c r="E3647" s="1" t="n">
        <f aca="false">LN(D3647)</f>
        <v>-0.657162466840435</v>
      </c>
    </row>
    <row r="3648" customFormat="false" ht="15.75" hidden="false" customHeight="false" outlineLevel="0" collapsed="false">
      <c r="A3648" s="1" t="s">
        <v>883</v>
      </c>
      <c r="B3648" s="1" t="n">
        <v>338.17</v>
      </c>
      <c r="C3648" s="1" t="n">
        <f aca="false">1/B3648</f>
        <v>0.00295709258656889</v>
      </c>
      <c r="D3648" s="1" t="n">
        <v>0.51131</v>
      </c>
      <c r="E3648" s="1" t="n">
        <f aca="false">LN(D3648)</f>
        <v>-0.670779219098</v>
      </c>
    </row>
    <row r="3649" customFormat="false" ht="15.75" hidden="false" customHeight="false" outlineLevel="0" collapsed="false">
      <c r="A3649" s="1" t="s">
        <v>883</v>
      </c>
      <c r="B3649" s="1" t="n">
        <v>339.08</v>
      </c>
      <c r="C3649" s="1" t="n">
        <f aca="false">1/B3649</f>
        <v>0.00294915654122921</v>
      </c>
      <c r="D3649" s="1" t="n">
        <v>0.50446</v>
      </c>
      <c r="E3649" s="1" t="n">
        <f aca="false">LN(D3649)</f>
        <v>-0.684266728754008</v>
      </c>
    </row>
    <row r="3650" customFormat="false" ht="15.75" hidden="false" customHeight="false" outlineLevel="0" collapsed="false">
      <c r="A3650" s="1" t="s">
        <v>883</v>
      </c>
      <c r="B3650" s="1" t="n">
        <v>339.99</v>
      </c>
      <c r="C3650" s="1" t="n">
        <f aca="false">1/B3650</f>
        <v>0.00294126297832289</v>
      </c>
      <c r="D3650" s="1" t="n">
        <v>0.49777</v>
      </c>
      <c r="E3650" s="1" t="n">
        <f aca="false">LN(D3650)</f>
        <v>-0.697617156031397</v>
      </c>
    </row>
    <row r="3651" customFormat="false" ht="15.75" hidden="false" customHeight="false" outlineLevel="0" collapsed="false">
      <c r="A3651" s="1" t="s">
        <v>883</v>
      </c>
      <c r="B3651" s="1" t="n">
        <v>340.91</v>
      </c>
      <c r="C3651" s="1" t="n">
        <f aca="false">1/B3651</f>
        <v>0.00293332551113197</v>
      </c>
      <c r="D3651" s="1" t="n">
        <v>0.49122</v>
      </c>
      <c r="E3651" s="1" t="n">
        <f aca="false">LN(D3651)</f>
        <v>-0.710863186365725</v>
      </c>
    </row>
    <row r="3652" customFormat="false" ht="15.75" hidden="false" customHeight="false" outlineLevel="0" collapsed="false">
      <c r="A3652" s="1" t="s">
        <v>883</v>
      </c>
      <c r="B3652" s="1" t="n">
        <v>341.82</v>
      </c>
      <c r="C3652" s="1" t="n">
        <f aca="false">1/B3652</f>
        <v>0.00292551635363642</v>
      </c>
      <c r="D3652" s="1" t="n">
        <v>0.48482</v>
      </c>
      <c r="E3652" s="1" t="n">
        <f aca="false">LN(D3652)</f>
        <v>-0.723977590952548</v>
      </c>
    </row>
    <row r="3653" customFormat="false" ht="15.75" hidden="false" customHeight="false" outlineLevel="0" collapsed="false">
      <c r="A3653" s="1" t="s">
        <v>883</v>
      </c>
      <c r="B3653" s="1" t="n">
        <v>342.73</v>
      </c>
      <c r="C3653" s="1" t="n">
        <f aca="false">1/B3653</f>
        <v>0.00291774866512999</v>
      </c>
      <c r="D3653" s="1" t="n">
        <v>0.47857</v>
      </c>
      <c r="E3653" s="1" t="n">
        <f aca="false">LN(D3653)</f>
        <v>-0.73695278829742</v>
      </c>
    </row>
    <row r="3654" customFormat="false" ht="15.75" hidden="false" customHeight="false" outlineLevel="0" collapsed="false">
      <c r="A3654" s="1" t="s">
        <v>883</v>
      </c>
      <c r="B3654" s="1" t="n">
        <v>343.65</v>
      </c>
      <c r="C3654" s="1" t="n">
        <f aca="false">1/B3654</f>
        <v>0.00290993743634512</v>
      </c>
      <c r="D3654" s="1" t="n">
        <v>0.47244</v>
      </c>
      <c r="E3654" s="1" t="n">
        <f aca="false">LN(D3654)</f>
        <v>-0.749844524238491</v>
      </c>
    </row>
    <row r="3655" customFormat="false" ht="15.75" hidden="false" customHeight="false" outlineLevel="0" collapsed="false">
      <c r="A3655" s="1" t="s">
        <v>883</v>
      </c>
      <c r="B3655" s="1" t="n">
        <v>344.56</v>
      </c>
      <c r="C3655" s="1" t="n">
        <f aca="false">1/B3655</f>
        <v>0.00290225214766659</v>
      </c>
      <c r="D3655" s="1" t="n">
        <v>0.46645</v>
      </c>
      <c r="E3655" s="1" t="n">
        <f aca="false">LN(D3655)</f>
        <v>-0.762604445575167</v>
      </c>
    </row>
    <row r="3656" customFormat="false" ht="15.75" hidden="false" customHeight="false" outlineLevel="0" collapsed="false">
      <c r="A3656" s="1" t="s">
        <v>883</v>
      </c>
      <c r="B3656" s="1" t="n">
        <v>345.47</v>
      </c>
      <c r="C3656" s="1" t="n">
        <f aca="false">1/B3656</f>
        <v>0.00289460734651344</v>
      </c>
      <c r="D3656" s="1" t="n">
        <v>0.46059</v>
      </c>
      <c r="E3656" s="1" t="n">
        <f aca="false">LN(D3656)</f>
        <v>-0.77524700264322</v>
      </c>
    </row>
    <row r="3657" customFormat="false" ht="15.75" hidden="false" customHeight="false" outlineLevel="0" collapsed="false">
      <c r="A3657" s="1" t="s">
        <v>883</v>
      </c>
      <c r="B3657" s="1" t="n">
        <v>346.39</v>
      </c>
      <c r="C3657" s="1" t="n">
        <f aca="false">1/B3657</f>
        <v>0.00288691936834204</v>
      </c>
      <c r="D3657" s="1" t="n">
        <v>0.45486</v>
      </c>
      <c r="E3657" s="1" t="n">
        <f aca="false">LN(D3657)</f>
        <v>-0.78776559968587</v>
      </c>
    </row>
    <row r="3658" customFormat="false" ht="15.75" hidden="false" customHeight="false" outlineLevel="0" collapsed="false">
      <c r="A3658" s="1" t="s">
        <v>883</v>
      </c>
      <c r="B3658" s="1" t="n">
        <v>347.3</v>
      </c>
      <c r="C3658" s="1" t="n">
        <f aca="false">1/B3658</f>
        <v>0.00287935502447452</v>
      </c>
      <c r="D3658" s="1" t="n">
        <v>0.44924</v>
      </c>
      <c r="E3658" s="1" t="n">
        <f aca="false">LN(D3658)</f>
        <v>-0.800198012887302</v>
      </c>
    </row>
    <row r="3659" customFormat="false" ht="15.75" hidden="false" customHeight="false" outlineLevel="0" collapsed="false">
      <c r="A3659" s="1" t="s">
        <v>883</v>
      </c>
      <c r="B3659" s="1" t="n">
        <v>348.21</v>
      </c>
      <c r="C3659" s="1" t="n">
        <f aca="false">1/B3659</f>
        <v>0.00287183021739755</v>
      </c>
      <c r="D3659" s="1" t="n">
        <v>0.44374</v>
      </c>
      <c r="E3659" s="1" t="n">
        <f aca="false">LN(D3659)</f>
        <v>-0.812516473657701</v>
      </c>
    </row>
    <row r="3660" customFormat="false" ht="15.75" hidden="false" customHeight="false" outlineLevel="0" collapsed="false">
      <c r="A3660" s="1" t="s">
        <v>883</v>
      </c>
      <c r="B3660" s="1" t="n">
        <v>349.13</v>
      </c>
      <c r="C3660" s="1" t="n">
        <f aca="false">1/B3660</f>
        <v>0.00286426259559476</v>
      </c>
      <c r="D3660" s="1" t="n">
        <v>0.43836</v>
      </c>
      <c r="E3660" s="1" t="n">
        <f aca="false">LN(D3660)</f>
        <v>-0.824714788386946</v>
      </c>
    </row>
    <row r="3661" customFormat="false" ht="15.75" hidden="false" customHeight="false" outlineLevel="0" collapsed="false">
      <c r="A3661" s="1" t="s">
        <v>883</v>
      </c>
      <c r="B3661" s="1" t="n">
        <v>350.04</v>
      </c>
      <c r="C3661" s="1" t="n">
        <f aca="false">1/B3661</f>
        <v>0.00285681636384413</v>
      </c>
      <c r="D3661" s="1" t="n">
        <v>0.43308</v>
      </c>
      <c r="E3661" s="1" t="n">
        <f aca="false">LN(D3661)</f>
        <v>-0.836832810539439</v>
      </c>
    </row>
    <row r="3662" customFormat="false" ht="15.75" hidden="false" customHeight="false" outlineLevel="0" collapsed="false">
      <c r="A3662" s="1" t="s">
        <v>883</v>
      </c>
      <c r="B3662" s="1" t="n">
        <v>350.95</v>
      </c>
      <c r="C3662" s="1" t="n">
        <f aca="false">1/B3662</f>
        <v>0.00284940874768486</v>
      </c>
      <c r="D3662" s="1" t="n">
        <v>0.42792</v>
      </c>
      <c r="E3662" s="1" t="n">
        <f aca="false">LN(D3662)</f>
        <v>-0.848819016759142</v>
      </c>
    </row>
    <row r="3663" customFormat="false" ht="15.75" hidden="false" customHeight="false" outlineLevel="0" collapsed="false">
      <c r="A3663" s="1" t="s">
        <v>883</v>
      </c>
      <c r="B3663" s="1" t="n">
        <v>351.87</v>
      </c>
      <c r="C3663" s="1" t="n">
        <f aca="false">1/B3663</f>
        <v>0.00284195867792082</v>
      </c>
      <c r="D3663" s="1" t="n">
        <v>0.42286</v>
      </c>
      <c r="E3663" s="1" t="n">
        <f aca="false">LN(D3663)</f>
        <v>-0.860714123985414</v>
      </c>
    </row>
    <row r="3664" customFormat="false" ht="15.75" hidden="false" customHeight="false" outlineLevel="0" collapsed="false">
      <c r="A3664" s="1" t="s">
        <v>883</v>
      </c>
      <c r="B3664" s="1" t="n">
        <v>352.78</v>
      </c>
      <c r="C3664" s="1" t="n">
        <f aca="false">1/B3664</f>
        <v>0.0028346278133681</v>
      </c>
      <c r="D3664" s="1" t="n">
        <v>0.4179</v>
      </c>
      <c r="E3664" s="1" t="n">
        <f aca="false">LN(D3664)</f>
        <v>-0.872513109528267</v>
      </c>
    </row>
    <row r="3665" customFormat="false" ht="15.75" hidden="false" customHeight="false" outlineLevel="0" collapsed="false">
      <c r="A3665" s="1" t="s">
        <v>883</v>
      </c>
      <c r="B3665" s="1" t="n">
        <v>353.69</v>
      </c>
      <c r="C3665" s="1" t="n">
        <f aca="false">1/B3665</f>
        <v>0.00282733467160508</v>
      </c>
      <c r="D3665" s="1" t="n">
        <v>0.41304</v>
      </c>
      <c r="E3665" s="1" t="n">
        <f aca="false">LN(D3665)</f>
        <v>-0.884210838410743</v>
      </c>
    </row>
    <row r="3666" customFormat="false" ht="15.75" hidden="false" customHeight="false" outlineLevel="0" collapsed="false">
      <c r="A3666" s="1" t="s">
        <v>883</v>
      </c>
      <c r="B3666" s="1" t="n">
        <v>354.61</v>
      </c>
      <c r="C3666" s="1" t="n">
        <f aca="false">1/B3666</f>
        <v>0.00281999943600011</v>
      </c>
      <c r="D3666" s="1" t="n">
        <v>0.40828</v>
      </c>
      <c r="E3666" s="1" t="n">
        <f aca="false">LN(D3666)</f>
        <v>-0.895802065446839</v>
      </c>
    </row>
    <row r="3667" customFormat="false" ht="15.75" hidden="false" customHeight="false" outlineLevel="0" collapsed="false">
      <c r="A3667" s="1" t="s">
        <v>883</v>
      </c>
      <c r="B3667" s="1" t="n">
        <v>355.52</v>
      </c>
      <c r="C3667" s="1" t="n">
        <f aca="false">1/B3667</f>
        <v>0.00281278127812781</v>
      </c>
      <c r="D3667" s="1" t="n">
        <v>0.40361</v>
      </c>
      <c r="E3667" s="1" t="n">
        <f aca="false">LN(D3667)</f>
        <v>-0.90730621380269</v>
      </c>
    </row>
    <row r="3668" customFormat="false" ht="15.75" hidden="false" customHeight="false" outlineLevel="0" collapsed="false">
      <c r="A3668" s="1" t="s">
        <v>883</v>
      </c>
      <c r="B3668" s="1" t="n">
        <v>356.43</v>
      </c>
      <c r="C3668" s="1" t="n">
        <f aca="false">1/B3668</f>
        <v>0.0028055999775552</v>
      </c>
      <c r="D3668" s="1" t="n">
        <v>0.39903</v>
      </c>
      <c r="E3668" s="1" t="n">
        <f aca="false">LN(D3668)</f>
        <v>-0.918718676948823</v>
      </c>
    </row>
    <row r="3669" customFormat="false" ht="15.75" hidden="false" customHeight="false" outlineLevel="0" collapsed="false">
      <c r="A3669" s="1" t="s">
        <v>883</v>
      </c>
      <c r="B3669" s="1" t="n">
        <v>357.35</v>
      </c>
      <c r="C3669" s="1" t="n">
        <f aca="false">1/B3669</f>
        <v>0.002798376941374</v>
      </c>
      <c r="D3669" s="1" t="n">
        <v>0.39454</v>
      </c>
      <c r="E3669" s="1" t="n">
        <f aca="false">LN(D3669)</f>
        <v>-0.930034749666414</v>
      </c>
    </row>
    <row r="3670" customFormat="false" ht="15.75" hidden="false" customHeight="false" outlineLevel="0" collapsed="false">
      <c r="A3670" s="1" t="s">
        <v>883</v>
      </c>
      <c r="B3670" s="1" t="n">
        <v>358.26</v>
      </c>
      <c r="C3670" s="1" t="n">
        <f aca="false">1/B3670</f>
        <v>0.00279126891084687</v>
      </c>
      <c r="D3670" s="1" t="n">
        <v>0.39014</v>
      </c>
      <c r="E3670" s="1" t="n">
        <f aca="false">LN(D3670)</f>
        <v>-0.94124962991535</v>
      </c>
    </row>
    <row r="3671" customFormat="false" ht="15.75" hidden="false" customHeight="false" outlineLevel="0" collapsed="false">
      <c r="A3671" s="1" t="s">
        <v>883</v>
      </c>
      <c r="B3671" s="1" t="n">
        <v>359.17</v>
      </c>
      <c r="C3671" s="1" t="n">
        <f aca="false">1/B3671</f>
        <v>0.00278419689840465</v>
      </c>
      <c r="D3671" s="1" t="n">
        <v>0.38582</v>
      </c>
      <c r="E3671" s="1" t="n">
        <f aca="false">LN(D3671)</f>
        <v>-0.952384339522394</v>
      </c>
    </row>
    <row r="3672" customFormat="false" ht="15.75" hidden="false" customHeight="false" outlineLevel="0" collapsed="false">
      <c r="A3672" s="1" t="s">
        <v>883</v>
      </c>
      <c r="B3672" s="1" t="n">
        <v>360.09</v>
      </c>
      <c r="C3672" s="1" t="n">
        <f aca="false">1/B3672</f>
        <v>0.00277708350690105</v>
      </c>
      <c r="D3672" s="1" t="n">
        <v>0.38158</v>
      </c>
      <c r="E3672" s="1" t="n">
        <f aca="false">LN(D3672)</f>
        <v>-0.963434751682972</v>
      </c>
    </row>
    <row r="3673" customFormat="false" ht="15.75" hidden="false" customHeight="false" outlineLevel="0" collapsed="false">
      <c r="A3673" s="1" t="s">
        <v>883</v>
      </c>
      <c r="B3673" s="1" t="n">
        <v>361</v>
      </c>
      <c r="C3673" s="1" t="n">
        <f aca="false">1/B3673</f>
        <v>0.00277008310249307</v>
      </c>
      <c r="D3673" s="1" t="n">
        <v>0.37743</v>
      </c>
      <c r="E3673" s="1" t="n">
        <f aca="false">LN(D3673)</f>
        <v>-0.974370157950988</v>
      </c>
    </row>
    <row r="3674" customFormat="false" ht="15.75" hidden="false" customHeight="false" outlineLevel="0" collapsed="false">
      <c r="A3674" s="1" t="s">
        <v>883</v>
      </c>
      <c r="B3674" s="1" t="n">
        <v>361.91</v>
      </c>
      <c r="C3674" s="1" t="n">
        <f aca="false">1/B3674</f>
        <v>0.00276311790224089</v>
      </c>
      <c r="D3674" s="1" t="n">
        <v>0.37335</v>
      </c>
      <c r="E3674" s="1" t="n">
        <f aca="false">LN(D3674)</f>
        <v>-0.985238961500426</v>
      </c>
    </row>
    <row r="3675" customFormat="false" ht="15.75" hidden="false" customHeight="false" outlineLevel="0" collapsed="false">
      <c r="A3675" s="1" t="s">
        <v>883</v>
      </c>
      <c r="B3675" s="1" t="n">
        <v>362.83</v>
      </c>
      <c r="C3675" s="1" t="n">
        <f aca="false">1/B3675</f>
        <v>0.00275611167764518</v>
      </c>
      <c r="D3675" s="1" t="n">
        <v>0.36935</v>
      </c>
      <c r="E3675" s="1" t="n">
        <f aca="false">LN(D3675)</f>
        <v>-0.99601057500739</v>
      </c>
    </row>
    <row r="3676" customFormat="false" ht="15.75" hidden="false" customHeight="false" outlineLevel="0" collapsed="false">
      <c r="A3676" s="1" t="s">
        <v>883</v>
      </c>
      <c r="B3676" s="1" t="n">
        <v>363.74</v>
      </c>
      <c r="C3676" s="1" t="n">
        <f aca="false">1/B3676</f>
        <v>0.00274921647330511</v>
      </c>
      <c r="D3676" s="1" t="n">
        <v>0.36542</v>
      </c>
      <c r="E3676" s="1" t="n">
        <f aca="false">LN(D3676)</f>
        <v>-1.00670790199862</v>
      </c>
    </row>
    <row r="3677" customFormat="false" ht="15.75" hidden="false" customHeight="false" outlineLevel="0" collapsed="false">
      <c r="A3677" s="1" t="s">
        <v>883</v>
      </c>
      <c r="B3677" s="1" t="n">
        <v>364.65</v>
      </c>
      <c r="C3677" s="1" t="n">
        <f aca="false">1/B3677</f>
        <v>0.00274235568353215</v>
      </c>
      <c r="D3677" s="1" t="n">
        <v>0.36156</v>
      </c>
      <c r="E3677" s="1" t="n">
        <f aca="false">LN(D3677)</f>
        <v>-1.01732727605193</v>
      </c>
    </row>
    <row r="3678" customFormat="false" ht="15.75" hidden="false" customHeight="false" outlineLevel="0" collapsed="false">
      <c r="A3678" s="1" t="s">
        <v>883</v>
      </c>
      <c r="B3678" s="1" t="n">
        <v>365.57</v>
      </c>
      <c r="C3678" s="1" t="n">
        <f aca="false">1/B3678</f>
        <v>0.00273545422217359</v>
      </c>
      <c r="D3678" s="1" t="n">
        <v>0.35777</v>
      </c>
      <c r="E3678" s="1" t="n">
        <f aca="false">LN(D3678)</f>
        <v>-1.02786495714664</v>
      </c>
    </row>
    <row r="3679" customFormat="false" ht="15.75" hidden="false" customHeight="false" outlineLevel="0" collapsed="false">
      <c r="A3679" s="1" t="s">
        <v>883</v>
      </c>
      <c r="B3679" s="1" t="n">
        <v>366.48</v>
      </c>
      <c r="C3679" s="1" t="n">
        <f aca="false">1/B3679</f>
        <v>0.00272866186422179</v>
      </c>
      <c r="D3679" s="1" t="n">
        <v>0.35406</v>
      </c>
      <c r="E3679" s="1" t="n">
        <f aca="false">LN(D3679)</f>
        <v>-1.038288888685</v>
      </c>
    </row>
    <row r="3680" customFormat="false" ht="15.75" hidden="false" customHeight="false" outlineLevel="0" collapsed="false">
      <c r="A3680" s="1" t="s">
        <v>883</v>
      </c>
      <c r="B3680" s="1" t="n">
        <v>367.39</v>
      </c>
      <c r="C3680" s="1" t="n">
        <f aca="false">1/B3680</f>
        <v>0.00272190315468576</v>
      </c>
      <c r="D3680" s="1" t="n">
        <v>0.35041</v>
      </c>
      <c r="E3680" s="1" t="n">
        <f aca="false">LN(D3680)</f>
        <v>-1.04865138151434</v>
      </c>
    </row>
    <row r="3681" customFormat="false" ht="15.75" hidden="false" customHeight="false" outlineLevel="0" collapsed="false">
      <c r="A3681" s="1" t="s">
        <v>883</v>
      </c>
      <c r="B3681" s="1" t="n">
        <v>368.31</v>
      </c>
      <c r="C3681" s="1" t="n">
        <f aca="false">1/B3681</f>
        <v>0.00271510412424316</v>
      </c>
      <c r="D3681" s="1" t="n">
        <v>0.34682</v>
      </c>
      <c r="E3681" s="1" t="n">
        <f aca="false">LN(D3681)</f>
        <v>-1.05894936561173</v>
      </c>
    </row>
    <row r="3682" customFormat="false" ht="15.75" hidden="false" customHeight="false" outlineLevel="0" collapsed="false">
      <c r="A3682" s="1" t="s">
        <v>883</v>
      </c>
      <c r="B3682" s="1" t="n">
        <v>369.22</v>
      </c>
      <c r="C3682" s="1" t="n">
        <f aca="false">1/B3682</f>
        <v>0.00270841232869292</v>
      </c>
      <c r="D3682" s="1" t="n">
        <v>0.3433</v>
      </c>
      <c r="E3682" s="1" t="n">
        <f aca="false">LN(D3682)</f>
        <v>-1.06915057851849</v>
      </c>
    </row>
    <row r="3683" customFormat="false" ht="15.75" hidden="false" customHeight="false" outlineLevel="0" collapsed="false">
      <c r="A3683" s="1" t="s">
        <v>883</v>
      </c>
      <c r="B3683" s="1" t="n">
        <v>370.13</v>
      </c>
      <c r="C3683" s="1" t="n">
        <f aca="false">1/B3683</f>
        <v>0.00270175343798125</v>
      </c>
      <c r="D3683" s="1" t="n">
        <v>0.33984</v>
      </c>
      <c r="E3683" s="1" t="n">
        <f aca="false">LN(D3683)</f>
        <v>-1.07928036036862</v>
      </c>
    </row>
    <row r="3684" customFormat="false" ht="15.75" hidden="false" customHeight="false" outlineLevel="0" collapsed="false">
      <c r="A3684" s="1" t="s">
        <v>883</v>
      </c>
      <c r="B3684" s="1" t="n">
        <v>371.05</v>
      </c>
      <c r="C3684" s="1" t="n">
        <f aca="false">1/B3684</f>
        <v>0.00269505457485514</v>
      </c>
      <c r="D3684" s="1" t="n">
        <v>0.33644</v>
      </c>
      <c r="E3684" s="1" t="n">
        <f aca="false">LN(D3684)</f>
        <v>-1.0893354518879</v>
      </c>
    </row>
    <row r="3685" customFormat="false" ht="15.75" hidden="false" customHeight="false" outlineLevel="0" collapsed="false">
      <c r="A3685" s="1" t="s">
        <v>883</v>
      </c>
      <c r="B3685" s="1" t="n">
        <v>371.96</v>
      </c>
      <c r="C3685" s="1" t="n">
        <f aca="false">1/B3685</f>
        <v>0.00268846112485213</v>
      </c>
      <c r="D3685" s="1" t="n">
        <v>0.3331</v>
      </c>
      <c r="E3685" s="1" t="n">
        <f aca="false">LN(D3685)</f>
        <v>-1.0993125337825</v>
      </c>
    </row>
    <row r="3686" customFormat="false" ht="15.75" hidden="false" customHeight="false" outlineLevel="0" collapsed="false">
      <c r="A3686" s="1" t="s">
        <v>883</v>
      </c>
      <c r="B3686" s="1" t="n">
        <v>372.87</v>
      </c>
      <c r="C3686" s="1" t="n">
        <f aca="false">1/B3686</f>
        <v>0.00268189985785931</v>
      </c>
      <c r="D3686" s="1" t="n">
        <v>0.32981</v>
      </c>
      <c r="E3686" s="1" t="n">
        <f aca="false">LN(D3686)</f>
        <v>-1.10923854790941</v>
      </c>
    </row>
    <row r="3687" customFormat="false" ht="15.75" hidden="false" customHeight="false" outlineLevel="0" collapsed="false">
      <c r="A3687" s="1" t="s">
        <v>883</v>
      </c>
      <c r="B3687" s="1" t="n">
        <v>373.79</v>
      </c>
      <c r="C3687" s="1" t="n">
        <f aca="false">1/B3687</f>
        <v>0.0026752989646593</v>
      </c>
      <c r="D3687" s="1" t="n">
        <v>0.32659</v>
      </c>
      <c r="E3687" s="1" t="n">
        <f aca="false">LN(D3687)</f>
        <v>-1.1190497174081</v>
      </c>
    </row>
    <row r="3688" customFormat="false" ht="15.75" hidden="false" customHeight="false" outlineLevel="0" collapsed="false">
      <c r="A3688" s="1" t="s">
        <v>883</v>
      </c>
      <c r="B3688" s="1" t="n">
        <v>374.19</v>
      </c>
      <c r="C3688" s="1" t="n">
        <f aca="false">1/B3688</f>
        <v>0.0026724391351987</v>
      </c>
      <c r="D3688" s="1" t="n">
        <v>0.3252</v>
      </c>
      <c r="E3688" s="1" t="n">
        <f aca="false">LN(D3688)</f>
        <v>-1.12331490130848</v>
      </c>
    </row>
    <row r="3689" customFormat="false" ht="15.75" hidden="false" customHeight="false" outlineLevel="0" collapsed="false">
      <c r="A3689" s="1" t="s">
        <v>885</v>
      </c>
      <c r="B3689" s="1" t="n">
        <v>278.1531</v>
      </c>
      <c r="C3689" s="1" t="n">
        <f aca="false">1/B3689</f>
        <v>0.00359514238741182</v>
      </c>
      <c r="D3689" s="1" t="n">
        <v>1.279</v>
      </c>
      <c r="E3689" s="1" t="n">
        <f aca="false">LN(D3689)</f>
        <v>0.246078522596706</v>
      </c>
    </row>
    <row r="3690" customFormat="false" ht="15.75" hidden="false" customHeight="false" outlineLevel="0" collapsed="false">
      <c r="A3690" s="1" t="s">
        <v>885</v>
      </c>
      <c r="B3690" s="1" t="n">
        <v>288.15</v>
      </c>
      <c r="C3690" s="1" t="n">
        <f aca="false">1/B3690</f>
        <v>0.00347041471455839</v>
      </c>
      <c r="D3690" s="1" t="n">
        <v>1.133</v>
      </c>
      <c r="E3690" s="1" t="n">
        <f aca="false">LN(D3690)</f>
        <v>0.124868982045869</v>
      </c>
    </row>
    <row r="3691" customFormat="false" ht="15.75" hidden="false" customHeight="false" outlineLevel="0" collapsed="false">
      <c r="A3691" s="1" t="s">
        <v>885</v>
      </c>
      <c r="B3691" s="1" t="n">
        <v>298.15</v>
      </c>
      <c r="C3691" s="1" t="n">
        <f aca="false">1/B3691</f>
        <v>0.00335401643468053</v>
      </c>
      <c r="D3691" s="1" t="n">
        <v>0.946</v>
      </c>
      <c r="E3691" s="1" t="n">
        <f aca="false">LN(D3691)</f>
        <v>-0.0555127099302588</v>
      </c>
    </row>
    <row r="3692" customFormat="false" ht="15.75" hidden="false" customHeight="false" outlineLevel="0" collapsed="false">
      <c r="A3692" s="1" t="s">
        <v>885</v>
      </c>
      <c r="B3692" s="1" t="n">
        <v>318.15</v>
      </c>
      <c r="C3692" s="1" t="n">
        <f aca="false">1/B3692</f>
        <v>0.00314317146000314</v>
      </c>
      <c r="D3692" s="1" t="n">
        <v>0.676</v>
      </c>
      <c r="E3692" s="1" t="n">
        <f aca="false">LN(D3692)</f>
        <v>-0.391562202939173</v>
      </c>
    </row>
    <row r="3693" customFormat="false" ht="15.75" hidden="false" customHeight="false" outlineLevel="0" collapsed="false">
      <c r="A3693" s="1" t="s">
        <v>885</v>
      </c>
      <c r="B3693" s="1" t="n">
        <v>328.15</v>
      </c>
      <c r="C3693" s="1" t="n">
        <f aca="false">1/B3693</f>
        <v>0.00304738686576261</v>
      </c>
      <c r="D3693" s="1" t="n">
        <v>0.583</v>
      </c>
      <c r="E3693" s="1" t="n">
        <f aca="false">LN(D3693)</f>
        <v>-0.539568092631645</v>
      </c>
    </row>
    <row r="3694" customFormat="false" ht="15.75" hidden="false" customHeight="false" outlineLevel="0" collapsed="false">
      <c r="A3694" s="1" t="s">
        <v>885</v>
      </c>
      <c r="B3694" s="1" t="n">
        <v>338.15</v>
      </c>
      <c r="C3694" s="1" t="n">
        <f aca="false">1/B3694</f>
        <v>0.002957267484844</v>
      </c>
      <c r="D3694" s="1" t="n">
        <v>0.509</v>
      </c>
      <c r="E3694" s="1" t="n">
        <f aca="false">LN(D3694)</f>
        <v>-0.675307262431614</v>
      </c>
    </row>
    <row r="3695" customFormat="false" ht="15.75" hidden="false" customHeight="false" outlineLevel="0" collapsed="false">
      <c r="A3695" s="1" t="s">
        <v>885</v>
      </c>
      <c r="B3695" s="1" t="n">
        <v>353.15</v>
      </c>
      <c r="C3695" s="1" t="n">
        <f aca="false">1/B3695</f>
        <v>0.00283165793572137</v>
      </c>
      <c r="D3695" s="1" t="n">
        <v>0.421</v>
      </c>
      <c r="E3695" s="1" t="n">
        <f aca="false">LN(D3695)</f>
        <v>-0.865122445299756</v>
      </c>
    </row>
    <row r="3696" customFormat="false" ht="15.75" hidden="false" customHeight="false" outlineLevel="0" collapsed="false">
      <c r="A3696" s="1" t="s">
        <v>885</v>
      </c>
      <c r="B3696" s="1" t="n">
        <v>373.15</v>
      </c>
      <c r="C3696" s="1" t="n">
        <f aca="false">1/B3696</f>
        <v>0.00267988744472732</v>
      </c>
      <c r="D3696" s="1" t="n">
        <v>0.354</v>
      </c>
      <c r="E3696" s="1" t="n">
        <f aca="false">LN(D3696)</f>
        <v>-1.03845836584836</v>
      </c>
    </row>
    <row r="3697" customFormat="false" ht="15.75" hidden="false" customHeight="false" outlineLevel="0" collapsed="false">
      <c r="A3697" s="1" t="s">
        <v>885</v>
      </c>
      <c r="B3697" s="1" t="n">
        <v>398.15</v>
      </c>
      <c r="C3697" s="1" t="n">
        <f aca="false">1/B3697</f>
        <v>0.00251161622504081</v>
      </c>
      <c r="D3697" s="1" t="n">
        <v>0.281</v>
      </c>
      <c r="E3697" s="1" t="n">
        <f aca="false">LN(D3697)</f>
        <v>-1.26940060964839</v>
      </c>
    </row>
    <row r="3698" customFormat="false" ht="15.75" hidden="false" customHeight="false" outlineLevel="0" collapsed="false">
      <c r="A3698" s="1" t="s">
        <v>885</v>
      </c>
      <c r="B3698" s="1" t="n">
        <v>374.45</v>
      </c>
      <c r="C3698" s="1" t="n">
        <f aca="false">1/B3698</f>
        <v>0.00267058352249967</v>
      </c>
      <c r="D3698" s="1" t="n">
        <v>0.3354</v>
      </c>
      <c r="E3698" s="1" t="n">
        <f aca="false">LN(D3698)</f>
        <v>-1.09243142959303</v>
      </c>
    </row>
    <row r="3699" customFormat="false" ht="15.75" hidden="false" customHeight="false" outlineLevel="0" collapsed="false">
      <c r="A3699" s="1" t="s">
        <v>885</v>
      </c>
      <c r="B3699" s="1" t="n">
        <v>383.75</v>
      </c>
      <c r="C3699" s="1" t="n">
        <f aca="false">1/B3699</f>
        <v>0.00260586319218241</v>
      </c>
      <c r="D3699" s="1" t="n">
        <v>0.309</v>
      </c>
      <c r="E3699" s="1" t="n">
        <f aca="false">LN(D3699)</f>
        <v>-1.17441400208439</v>
      </c>
    </row>
    <row r="3700" customFormat="false" ht="15.75" hidden="false" customHeight="false" outlineLevel="0" collapsed="false">
      <c r="A3700" s="1" t="s">
        <v>885</v>
      </c>
      <c r="B3700" s="1" t="n">
        <v>394.15</v>
      </c>
      <c r="C3700" s="1" t="n">
        <f aca="false">1/B3700</f>
        <v>0.00253710516300901</v>
      </c>
      <c r="D3700" s="1" t="n">
        <v>0.2835</v>
      </c>
      <c r="E3700" s="1" t="n">
        <f aca="false">LN(D3700)</f>
        <v>-1.26054315581433</v>
      </c>
    </row>
    <row r="3701" customFormat="false" ht="15.75" hidden="false" customHeight="false" outlineLevel="0" collapsed="false">
      <c r="A3701" s="1" t="s">
        <v>885</v>
      </c>
      <c r="B3701" s="1" t="n">
        <v>403.45</v>
      </c>
      <c r="C3701" s="1" t="n">
        <f aca="false">1/B3701</f>
        <v>0.00247862188623126</v>
      </c>
      <c r="D3701" s="1" t="n">
        <v>0.2626</v>
      </c>
      <c r="E3701" s="1" t="n">
        <f aca="false">LN(D3701)</f>
        <v>-1.33712331711344</v>
      </c>
    </row>
    <row r="3702" customFormat="false" ht="15.75" hidden="false" customHeight="false" outlineLevel="0" collapsed="false">
      <c r="A3702" s="1" t="s">
        <v>885</v>
      </c>
      <c r="B3702" s="1" t="n">
        <v>432.15</v>
      </c>
      <c r="C3702" s="1" t="n">
        <f aca="false">1/B3702</f>
        <v>0.00231401133865556</v>
      </c>
      <c r="D3702" s="1" t="n">
        <v>0.2124</v>
      </c>
      <c r="E3702" s="1" t="n">
        <f aca="false">LN(D3702)</f>
        <v>-1.54928398961435</v>
      </c>
    </row>
    <row r="3703" customFormat="false" ht="15.75" hidden="false" customHeight="false" outlineLevel="0" collapsed="false">
      <c r="A3703" s="1" t="s">
        <v>885</v>
      </c>
      <c r="B3703" s="1" t="n">
        <v>308.15</v>
      </c>
      <c r="C3703" s="1" t="n">
        <f aca="false">1/B3703</f>
        <v>0.00324517280545189</v>
      </c>
      <c r="D3703" s="1" t="n">
        <v>0.793</v>
      </c>
      <c r="E3703" s="1" t="n">
        <f aca="false">LN(D3703)</f>
        <v>-0.231932057347289</v>
      </c>
    </row>
    <row r="3704" customFormat="false" ht="15.75" hidden="false" customHeight="false" outlineLevel="0" collapsed="false">
      <c r="A3704" s="1" t="s">
        <v>885</v>
      </c>
      <c r="B3704" s="1" t="n">
        <v>423.15</v>
      </c>
      <c r="C3704" s="1" t="n">
        <f aca="false">1/B3704</f>
        <v>0.00236322816967978</v>
      </c>
      <c r="D3704" s="1" t="n">
        <v>0.232</v>
      </c>
      <c r="E3704" s="1" t="n">
        <f aca="false">LN(D3704)</f>
        <v>-1.46101790731583</v>
      </c>
    </row>
    <row r="3705" customFormat="false" ht="15.75" hidden="false" customHeight="false" outlineLevel="0" collapsed="false">
      <c r="A3705" s="1" t="s">
        <v>885</v>
      </c>
      <c r="B3705" s="1" t="n">
        <v>412.85</v>
      </c>
      <c r="C3705" s="1" t="n">
        <f aca="false">1/B3705</f>
        <v>0.00242218723507327</v>
      </c>
      <c r="D3705" s="1" t="n">
        <v>0.2441</v>
      </c>
      <c r="E3705" s="1" t="n">
        <f aca="false">LN(D3705)</f>
        <v>-1.41017730158322</v>
      </c>
    </row>
    <row r="3706" customFormat="false" ht="15.75" hidden="false" customHeight="false" outlineLevel="0" collapsed="false">
      <c r="A3706" s="1" t="s">
        <v>887</v>
      </c>
      <c r="B3706" s="1" t="n">
        <v>293.15</v>
      </c>
      <c r="C3706" s="1" t="n">
        <f aca="false">1/B3706</f>
        <v>0.00341122292341805</v>
      </c>
      <c r="D3706" s="1" t="n">
        <v>1.92</v>
      </c>
      <c r="E3706" s="1" t="n">
        <f aca="false">LN(D3706)</f>
        <v>0.65232518603969</v>
      </c>
    </row>
    <row r="3707" customFormat="false" ht="15.75" hidden="false" customHeight="false" outlineLevel="0" collapsed="false">
      <c r="A3707" s="1" t="s">
        <v>887</v>
      </c>
      <c r="B3707" s="1" t="n">
        <v>303.15</v>
      </c>
      <c r="C3707" s="1" t="n">
        <f aca="false">1/B3707</f>
        <v>0.0032986970146792</v>
      </c>
      <c r="D3707" s="1" t="n">
        <v>1.58</v>
      </c>
      <c r="E3707" s="1" t="n">
        <f aca="false">LN(D3707)</f>
        <v>0.457424847038875</v>
      </c>
    </row>
    <row r="3708" customFormat="false" ht="15.75" hidden="false" customHeight="false" outlineLevel="0" collapsed="false">
      <c r="A3708" s="1" t="s">
        <v>887</v>
      </c>
      <c r="B3708" s="1" t="n">
        <v>313.15</v>
      </c>
      <c r="C3708" s="1" t="n">
        <f aca="false">1/B3708</f>
        <v>0.00319335781574325</v>
      </c>
      <c r="D3708" s="1" t="n">
        <v>1.326</v>
      </c>
      <c r="E3708" s="1" t="n">
        <f aca="false">LN(D3708)</f>
        <v>0.282166891763671</v>
      </c>
    </row>
    <row r="3709" customFormat="false" ht="15.75" hidden="false" customHeight="false" outlineLevel="0" collapsed="false">
      <c r="A3709" s="1" t="s">
        <v>887</v>
      </c>
      <c r="B3709" s="1" t="n">
        <v>323.15</v>
      </c>
      <c r="C3709" s="1" t="n">
        <f aca="false">1/B3709</f>
        <v>0.00309453814018258</v>
      </c>
      <c r="D3709" s="1" t="n">
        <v>1.132</v>
      </c>
      <c r="E3709" s="1" t="n">
        <f aca="false">LN(D3709)</f>
        <v>0.123985979780991</v>
      </c>
    </row>
    <row r="3710" customFormat="false" ht="15.75" hidden="false" customHeight="false" outlineLevel="0" collapsed="false">
      <c r="A3710" s="1" t="s">
        <v>887</v>
      </c>
      <c r="B3710" s="1" t="n">
        <v>333.15</v>
      </c>
      <c r="C3710" s="1" t="n">
        <f aca="false">1/B3710</f>
        <v>0.0030016509079994</v>
      </c>
      <c r="D3710" s="1" t="n">
        <v>0.982</v>
      </c>
      <c r="E3710" s="1" t="n">
        <f aca="false">LN(D3710)</f>
        <v>-0.0181639706276712</v>
      </c>
    </row>
    <row r="3711" customFormat="false" ht="15.75" hidden="false" customHeight="false" outlineLevel="0" collapsed="false">
      <c r="A3711" s="1" t="s">
        <v>887</v>
      </c>
      <c r="B3711" s="1" t="n">
        <v>353.15</v>
      </c>
      <c r="C3711" s="1" t="n">
        <f aca="false">1/B3711</f>
        <v>0.00283165793572137</v>
      </c>
      <c r="D3711" s="1" t="n">
        <v>0.858</v>
      </c>
      <c r="E3711" s="1" t="n">
        <f aca="false">LN(D3711)</f>
        <v>-0.153151179494175</v>
      </c>
    </row>
    <row r="3712" customFormat="false" ht="15.75" hidden="false" customHeight="false" outlineLevel="0" collapsed="false">
      <c r="A3712" s="1" t="s">
        <v>887</v>
      </c>
      <c r="B3712" s="1" t="n">
        <v>373.15</v>
      </c>
      <c r="C3712" s="1" t="n">
        <f aca="false">1/B3712</f>
        <v>0.00267988744472732</v>
      </c>
      <c r="D3712" s="1" t="n">
        <v>0.756</v>
      </c>
      <c r="E3712" s="1" t="n">
        <f aca="false">LN(D3712)</f>
        <v>-0.279713902802604</v>
      </c>
    </row>
    <row r="3713" customFormat="false" ht="15.75" hidden="false" customHeight="false" outlineLevel="0" collapsed="false">
      <c r="A3713" s="1" t="s">
        <v>887</v>
      </c>
      <c r="B3713" s="1" t="n">
        <v>393.15</v>
      </c>
      <c r="C3713" s="1" t="n">
        <f aca="false">1/B3713</f>
        <v>0.00254355843825512</v>
      </c>
      <c r="D3713" s="1" t="n">
        <v>0.602</v>
      </c>
      <c r="E3713" s="1" t="n">
        <f aca="false">LN(D3713)</f>
        <v>-0.507497833673316</v>
      </c>
    </row>
    <row r="3714" customFormat="false" ht="15.75" hidden="false" customHeight="false" outlineLevel="0" collapsed="false">
      <c r="A3714" s="1" t="s">
        <v>887</v>
      </c>
      <c r="B3714" s="1" t="n">
        <v>413.15</v>
      </c>
      <c r="C3714" s="1" t="n">
        <f aca="false">1/B3714</f>
        <v>0.0024204284158296</v>
      </c>
      <c r="D3714" s="1" t="n">
        <v>0.492</v>
      </c>
      <c r="E3714" s="1" t="n">
        <f aca="false">LN(D3714)</f>
        <v>-0.709276562489829</v>
      </c>
    </row>
    <row r="3715" customFormat="false" ht="15.75" hidden="false" customHeight="false" outlineLevel="0" collapsed="false">
      <c r="A3715" s="1" t="s">
        <v>887</v>
      </c>
      <c r="B3715" s="1" t="n">
        <v>433.15</v>
      </c>
      <c r="C3715" s="1" t="n">
        <f aca="false">1/B3715</f>
        <v>0.00230866905229135</v>
      </c>
      <c r="D3715" s="1" t="n">
        <v>0.41</v>
      </c>
      <c r="E3715" s="1" t="n">
        <f aca="false">LN(D3715)</f>
        <v>-0.891598119283784</v>
      </c>
    </row>
    <row r="3716" customFormat="false" ht="15.75" hidden="false" customHeight="false" outlineLevel="0" collapsed="false">
      <c r="A3716" s="1" t="s">
        <v>889</v>
      </c>
      <c r="B3716" s="1" t="n">
        <v>292.45</v>
      </c>
      <c r="C3716" s="1" t="n">
        <f aca="false">1/B3716</f>
        <v>0.00341938792956061</v>
      </c>
      <c r="D3716" s="1" t="n">
        <v>5.48</v>
      </c>
      <c r="E3716" s="1" t="n">
        <f aca="false">LN(D3716)</f>
        <v>1.70110510095992</v>
      </c>
    </row>
    <row r="3717" customFormat="false" ht="15.75" hidden="false" customHeight="false" outlineLevel="0" collapsed="false">
      <c r="A3717" s="1" t="s">
        <v>889</v>
      </c>
      <c r="B3717" s="1" t="n">
        <v>360.95</v>
      </c>
      <c r="C3717" s="1" t="n">
        <f aca="false">1/B3717</f>
        <v>0.00277046682365979</v>
      </c>
      <c r="D3717" s="1" t="n">
        <v>1.672</v>
      </c>
      <c r="E3717" s="1" t="n">
        <f aca="false">LN(D3717)</f>
        <v>0.51402051466251</v>
      </c>
    </row>
    <row r="3718" customFormat="false" ht="15.75" hidden="false" customHeight="false" outlineLevel="0" collapsed="false">
      <c r="A3718" s="1" t="s">
        <v>889</v>
      </c>
      <c r="B3718" s="1" t="n">
        <v>372.65</v>
      </c>
      <c r="C3718" s="1" t="n">
        <f aca="false">1/B3718</f>
        <v>0.00268348316114316</v>
      </c>
      <c r="D3718" s="1" t="n">
        <v>1.413</v>
      </c>
      <c r="E3718" s="1" t="n">
        <f aca="false">LN(D3718)</f>
        <v>0.34571510370239</v>
      </c>
    </row>
    <row r="3719" customFormat="false" ht="15.75" hidden="false" customHeight="false" outlineLevel="0" collapsed="false">
      <c r="A3719" s="1" t="s">
        <v>889</v>
      </c>
      <c r="B3719" s="1" t="n">
        <v>393.15</v>
      </c>
      <c r="C3719" s="1" t="n">
        <f aca="false">1/B3719</f>
        <v>0.00254355843825512</v>
      </c>
      <c r="D3719" s="1" t="n">
        <v>1.083</v>
      </c>
      <c r="E3719" s="1" t="n">
        <f aca="false">LN(D3719)</f>
        <v>0.0797349680188535</v>
      </c>
    </row>
    <row r="3720" customFormat="false" ht="15.75" hidden="false" customHeight="false" outlineLevel="0" collapsed="false">
      <c r="A3720" s="1" t="s">
        <v>889</v>
      </c>
      <c r="B3720" s="1" t="n">
        <v>413.45</v>
      </c>
      <c r="C3720" s="1" t="n">
        <f aca="false">1/B3720</f>
        <v>0.0024186721489902</v>
      </c>
      <c r="D3720" s="1" t="n">
        <v>0.853</v>
      </c>
      <c r="E3720" s="1" t="n">
        <f aca="false">LN(D3720)</f>
        <v>-0.158995731490458</v>
      </c>
    </row>
    <row r="3721" customFormat="false" ht="15.75" hidden="false" customHeight="false" outlineLevel="0" collapsed="false">
      <c r="A3721" s="1" t="s">
        <v>889</v>
      </c>
      <c r="B3721" s="1" t="n">
        <v>433.15</v>
      </c>
      <c r="C3721" s="1" t="n">
        <f aca="false">1/B3721</f>
        <v>0.00230866905229135</v>
      </c>
      <c r="D3721" s="1" t="n">
        <v>0.7</v>
      </c>
      <c r="E3721" s="1" t="n">
        <f aca="false">LN(D3721)</f>
        <v>-0.356674943938732</v>
      </c>
    </row>
    <row r="3722" customFormat="false" ht="15.75" hidden="false" customHeight="false" outlineLevel="0" collapsed="false">
      <c r="A3722" s="1" t="s">
        <v>889</v>
      </c>
      <c r="B3722" s="1" t="n">
        <v>453.15</v>
      </c>
      <c r="C3722" s="1" t="n">
        <f aca="false">1/B3722</f>
        <v>0.0022067747986318</v>
      </c>
      <c r="D3722" s="1" t="n">
        <v>0.5034</v>
      </c>
      <c r="E3722" s="1" t="n">
        <f aca="false">LN(D3722)</f>
        <v>-0.686370196280922</v>
      </c>
    </row>
    <row r="3723" customFormat="false" ht="15.75" hidden="false" customHeight="false" outlineLevel="0" collapsed="false">
      <c r="A3723" s="1" t="s">
        <v>889</v>
      </c>
      <c r="B3723" s="1" t="n">
        <v>462.65</v>
      </c>
      <c r="C3723" s="1" t="n">
        <f aca="false">1/B3723</f>
        <v>0.00216146114773587</v>
      </c>
      <c r="D3723" s="1" t="n">
        <v>0.5272</v>
      </c>
      <c r="E3723" s="1" t="n">
        <f aca="false">LN(D3723)</f>
        <v>-0.64017529579384</v>
      </c>
    </row>
    <row r="3724" customFormat="false" ht="15.75" hidden="false" customHeight="false" outlineLevel="0" collapsed="false">
      <c r="A3724" s="1" t="s">
        <v>891</v>
      </c>
      <c r="B3724" s="1" t="n">
        <v>207.78105</v>
      </c>
      <c r="C3724" s="1" t="n">
        <f aca="false">1/B3724</f>
        <v>0.00481275843008783</v>
      </c>
      <c r="D3724" s="1" t="n">
        <v>0.928</v>
      </c>
      <c r="E3724" s="1" t="n">
        <f aca="false">LN(D3724)</f>
        <v>-0.0747235461959364</v>
      </c>
    </row>
    <row r="3725" customFormat="false" ht="15.75" hidden="false" customHeight="false" outlineLevel="0" collapsed="false">
      <c r="A3725" s="1" t="s">
        <v>891</v>
      </c>
      <c r="B3725" s="1" t="n">
        <v>222.42</v>
      </c>
      <c r="C3725" s="1" t="n">
        <f aca="false">1/B3725</f>
        <v>0.00449599856128046</v>
      </c>
      <c r="D3725" s="1" t="n">
        <v>0.7347</v>
      </c>
      <c r="E3725" s="1" t="n">
        <f aca="false">LN(D3725)</f>
        <v>-0.308293026355905</v>
      </c>
    </row>
    <row r="3726" customFormat="false" ht="15.75" hidden="false" customHeight="false" outlineLevel="0" collapsed="false">
      <c r="A3726" s="1" t="s">
        <v>891</v>
      </c>
      <c r="B3726" s="1" t="n">
        <v>236.96</v>
      </c>
      <c r="C3726" s="1" t="n">
        <f aca="false">1/B3726</f>
        <v>0.00422012153950034</v>
      </c>
      <c r="D3726" s="1" t="n">
        <v>0.6008</v>
      </c>
      <c r="E3726" s="1" t="n">
        <f aca="false">LN(D3726)</f>
        <v>-0.509493178532212</v>
      </c>
    </row>
    <row r="3727" customFormat="false" ht="15.75" hidden="false" customHeight="false" outlineLevel="0" collapsed="false">
      <c r="A3727" s="1" t="s">
        <v>891</v>
      </c>
      <c r="B3727" s="1" t="n">
        <v>250.74</v>
      </c>
      <c r="C3727" s="1" t="n">
        <f aca="false">1/B3727</f>
        <v>0.00398819494296881</v>
      </c>
      <c r="D3727" s="1" t="n">
        <v>0.5066</v>
      </c>
      <c r="E3727" s="1" t="n">
        <f aca="false">LN(D3727)</f>
        <v>-0.680033541414562</v>
      </c>
    </row>
    <row r="3728" customFormat="false" ht="15.75" hidden="false" customHeight="false" outlineLevel="0" collapsed="false">
      <c r="A3728" s="1" t="s">
        <v>891</v>
      </c>
      <c r="B3728" s="1" t="n">
        <v>263.34</v>
      </c>
      <c r="C3728" s="1" t="n">
        <f aca="false">1/B3728</f>
        <v>0.00379737221842485</v>
      </c>
      <c r="D3728" s="1" t="n">
        <v>0.4405</v>
      </c>
      <c r="E3728" s="1" t="n">
        <f aca="false">LN(D3728)</f>
        <v>-0.819844833605903</v>
      </c>
    </row>
    <row r="3729" customFormat="false" ht="15.75" hidden="false" customHeight="false" outlineLevel="0" collapsed="false">
      <c r="A3729" s="1" t="s">
        <v>891</v>
      </c>
      <c r="B3729" s="1" t="n">
        <v>291.18</v>
      </c>
      <c r="C3729" s="1" t="n">
        <f aca="false">1/B3729</f>
        <v>0.00343430180644275</v>
      </c>
      <c r="D3729" s="1" t="n">
        <v>0.3367</v>
      </c>
      <c r="E3729" s="1" t="n">
        <f aca="false">LN(D3729)</f>
        <v>-1.08856295281511</v>
      </c>
    </row>
    <row r="3730" customFormat="false" ht="15.75" hidden="false" customHeight="false" outlineLevel="0" collapsed="false">
      <c r="A3730" s="1" t="s">
        <v>891</v>
      </c>
      <c r="B3730" s="1" t="n">
        <v>319.6</v>
      </c>
      <c r="C3730" s="1" t="n">
        <f aca="false">1/B3730</f>
        <v>0.00312891113892365</v>
      </c>
      <c r="D3730" s="1" t="n">
        <v>0.2687</v>
      </c>
      <c r="E3730" s="1" t="n">
        <f aca="false">LN(D3730)</f>
        <v>-1.31415976336069</v>
      </c>
    </row>
    <row r="3731" customFormat="false" ht="15.75" hidden="false" customHeight="false" outlineLevel="0" collapsed="false">
      <c r="A3731" s="1" t="s">
        <v>891</v>
      </c>
      <c r="B3731" s="1" t="n">
        <v>333.64</v>
      </c>
      <c r="C3731" s="1" t="n">
        <f aca="false">1/B3731</f>
        <v>0.00299724253686608</v>
      </c>
      <c r="D3731" s="1" t="n">
        <v>0.2434</v>
      </c>
      <c r="E3731" s="1" t="n">
        <f aca="false">LN(D3731)</f>
        <v>-1.41304909842871</v>
      </c>
    </row>
    <row r="3732" customFormat="false" ht="15.75" hidden="false" customHeight="false" outlineLevel="0" collapsed="false">
      <c r="A3732" s="1" t="s">
        <v>891</v>
      </c>
      <c r="B3732" s="1" t="n">
        <v>346.71</v>
      </c>
      <c r="C3732" s="1" t="n">
        <f aca="false">1/B3732</f>
        <v>0.00288425485275879</v>
      </c>
      <c r="D3732" s="1" t="n">
        <v>0.232</v>
      </c>
      <c r="E3732" s="1" t="n">
        <f aca="false">LN(D3732)</f>
        <v>-1.46101790731583</v>
      </c>
    </row>
    <row r="3733" customFormat="false" ht="15.75" hidden="false" customHeight="false" outlineLevel="0" collapsed="false">
      <c r="A3733" s="1" t="s">
        <v>891</v>
      </c>
      <c r="B3733" s="1" t="n">
        <v>213</v>
      </c>
      <c r="C3733" s="1" t="n">
        <f aca="false">1/B3733</f>
        <v>0.00469483568075117</v>
      </c>
      <c r="D3733" s="1" t="n">
        <v>0.849</v>
      </c>
      <c r="E3733" s="1" t="n">
        <f aca="false">LN(D3733)</f>
        <v>-0.16369609267079</v>
      </c>
    </row>
    <row r="3734" customFormat="false" ht="15.75" hidden="false" customHeight="false" outlineLevel="0" collapsed="false">
      <c r="A3734" s="1" t="s">
        <v>891</v>
      </c>
      <c r="B3734" s="1" t="n">
        <v>221</v>
      </c>
      <c r="C3734" s="1" t="n">
        <f aca="false">1/B3734</f>
        <v>0.00452488687782805</v>
      </c>
      <c r="D3734" s="1" t="n">
        <v>0.732</v>
      </c>
      <c r="E3734" s="1" t="n">
        <f aca="false">LN(D3734)</f>
        <v>-0.311974765020825</v>
      </c>
    </row>
    <row r="3735" customFormat="false" ht="15.75" hidden="false" customHeight="false" outlineLevel="0" collapsed="false">
      <c r="A3735" s="1" t="s">
        <v>891</v>
      </c>
      <c r="B3735" s="1" t="n">
        <v>225</v>
      </c>
      <c r="C3735" s="1" t="n">
        <f aca="false">1/B3735</f>
        <v>0.00444444444444444</v>
      </c>
      <c r="D3735" s="1" t="n">
        <v>0.682</v>
      </c>
      <c r="E3735" s="1" t="n">
        <f aca="false">LN(D3735)</f>
        <v>-0.382725621138675</v>
      </c>
    </row>
    <row r="3736" customFormat="false" ht="15.75" hidden="false" customHeight="false" outlineLevel="0" collapsed="false">
      <c r="A3736" s="1" t="s">
        <v>891</v>
      </c>
      <c r="B3736" s="1" t="n">
        <v>229</v>
      </c>
      <c r="C3736" s="1" t="n">
        <f aca="false">1/B3736</f>
        <v>0.00436681222707424</v>
      </c>
      <c r="D3736" s="1" t="n">
        <v>0.638</v>
      </c>
      <c r="E3736" s="1" t="n">
        <f aca="false">LN(D3736)</f>
        <v>-0.449416995637347</v>
      </c>
    </row>
    <row r="3737" customFormat="false" ht="15.75" hidden="false" customHeight="false" outlineLevel="0" collapsed="false">
      <c r="A3737" s="1" t="s">
        <v>891</v>
      </c>
      <c r="B3737" s="1" t="n">
        <v>233</v>
      </c>
      <c r="C3737" s="1" t="n">
        <f aca="false">1/B3737</f>
        <v>0.00429184549356223</v>
      </c>
      <c r="D3737" s="1" t="n">
        <v>0.597</v>
      </c>
      <c r="E3737" s="1" t="n">
        <f aca="false">LN(D3737)</f>
        <v>-0.515838165589535</v>
      </c>
    </row>
    <row r="3738" customFormat="false" ht="15.75" hidden="false" customHeight="false" outlineLevel="0" collapsed="false">
      <c r="A3738" s="1" t="s">
        <v>891</v>
      </c>
      <c r="B3738" s="1" t="n">
        <v>237</v>
      </c>
      <c r="C3738" s="1" t="n">
        <f aca="false">1/B3738</f>
        <v>0.00421940928270042</v>
      </c>
      <c r="D3738" s="1" t="n">
        <v>0.56</v>
      </c>
      <c r="E3738" s="1" t="n">
        <f aca="false">LN(D3738)</f>
        <v>-0.579818495252942</v>
      </c>
    </row>
    <row r="3739" customFormat="false" ht="15.75" hidden="false" customHeight="false" outlineLevel="0" collapsed="false">
      <c r="A3739" s="1" t="s">
        <v>891</v>
      </c>
      <c r="B3739" s="1" t="n">
        <v>245</v>
      </c>
      <c r="C3739" s="1" t="n">
        <f aca="false">1/B3739</f>
        <v>0.00408163265306122</v>
      </c>
      <c r="D3739" s="1" t="n">
        <v>0.497</v>
      </c>
      <c r="E3739" s="1" t="n">
        <f aca="false">LN(D3739)</f>
        <v>-0.699165252885508</v>
      </c>
    </row>
    <row r="3740" customFormat="false" ht="15.75" hidden="false" customHeight="false" outlineLevel="0" collapsed="false">
      <c r="A3740" s="1" t="s">
        <v>891</v>
      </c>
      <c r="B3740" s="1" t="n">
        <v>253</v>
      </c>
      <c r="C3740" s="1" t="n">
        <f aca="false">1/B3740</f>
        <v>0.00395256916996047</v>
      </c>
      <c r="D3740" s="1" t="n">
        <v>0.444</v>
      </c>
      <c r="E3740" s="1" t="n">
        <f aca="false">LN(D3740)</f>
        <v>-0.811930716549912</v>
      </c>
    </row>
    <row r="3741" customFormat="false" ht="15.75" hidden="false" customHeight="false" outlineLevel="0" collapsed="false">
      <c r="A3741" s="1" t="s">
        <v>891</v>
      </c>
      <c r="B3741" s="1" t="n">
        <v>257</v>
      </c>
      <c r="C3741" s="1" t="n">
        <f aca="false">1/B3741</f>
        <v>0.00389105058365759</v>
      </c>
      <c r="D3741" s="1" t="n">
        <v>0.421</v>
      </c>
      <c r="E3741" s="1" t="n">
        <f aca="false">LN(D3741)</f>
        <v>-0.865122445299756</v>
      </c>
    </row>
    <row r="3742" customFormat="false" ht="15.75" hidden="false" customHeight="false" outlineLevel="0" collapsed="false">
      <c r="A3742" s="1" t="s">
        <v>891</v>
      </c>
      <c r="B3742" s="1" t="n">
        <v>261</v>
      </c>
      <c r="C3742" s="1" t="n">
        <f aca="false">1/B3742</f>
        <v>0.00383141762452107</v>
      </c>
      <c r="D3742" s="1" t="n">
        <v>0.4</v>
      </c>
      <c r="E3742" s="1" t="n">
        <f aca="false">LN(D3742)</f>
        <v>-0.916290731874155</v>
      </c>
    </row>
    <row r="3743" customFormat="false" ht="15.75" hidden="false" customHeight="false" outlineLevel="0" collapsed="false">
      <c r="A3743" s="1" t="s">
        <v>891</v>
      </c>
      <c r="B3743" s="1" t="n">
        <v>269</v>
      </c>
      <c r="C3743" s="1" t="n">
        <f aca="false">1/B3743</f>
        <v>0.00371747211895911</v>
      </c>
      <c r="D3743" s="1" t="n">
        <v>0.362</v>
      </c>
      <c r="E3743" s="1" t="n">
        <f aca="false">LN(D3743)</f>
        <v>-1.01611106715637</v>
      </c>
    </row>
    <row r="3744" customFormat="false" ht="15.75" hidden="false" customHeight="false" outlineLevel="0" collapsed="false">
      <c r="A3744" s="1" t="s">
        <v>891</v>
      </c>
      <c r="B3744" s="1" t="n">
        <v>277</v>
      </c>
      <c r="C3744" s="1" t="n">
        <f aca="false">1/B3744</f>
        <v>0.0036101083032491</v>
      </c>
      <c r="D3744" s="1" t="n">
        <v>0.329</v>
      </c>
      <c r="E3744" s="1" t="n">
        <f aca="false">LN(D3744)</f>
        <v>-1.11169752821677</v>
      </c>
    </row>
    <row r="3745" customFormat="false" ht="15.75" hidden="false" customHeight="false" outlineLevel="0" collapsed="false">
      <c r="A3745" s="1" t="s">
        <v>891</v>
      </c>
      <c r="B3745" s="1" t="n">
        <v>281</v>
      </c>
      <c r="C3745" s="1" t="n">
        <f aca="false">1/B3745</f>
        <v>0.00355871886120996</v>
      </c>
      <c r="D3745" s="1" t="n">
        <v>0.315</v>
      </c>
      <c r="E3745" s="1" t="n">
        <f aca="false">LN(D3745)</f>
        <v>-1.1551826401565</v>
      </c>
    </row>
    <row r="3746" customFormat="false" ht="15.75" hidden="false" customHeight="false" outlineLevel="0" collapsed="false">
      <c r="A3746" s="1" t="s">
        <v>891</v>
      </c>
      <c r="B3746" s="1" t="n">
        <v>285</v>
      </c>
      <c r="C3746" s="1" t="n">
        <f aca="false">1/B3746</f>
        <v>0.00350877192982456</v>
      </c>
      <c r="D3746" s="1" t="n">
        <v>0.302</v>
      </c>
      <c r="E3746" s="1" t="n">
        <f aca="false">LN(D3746)</f>
        <v>-1.19732826160727</v>
      </c>
    </row>
    <row r="3747" customFormat="false" ht="15.75" hidden="false" customHeight="false" outlineLevel="0" collapsed="false">
      <c r="A3747" s="1" t="s">
        <v>891</v>
      </c>
      <c r="B3747" s="1" t="n">
        <v>289</v>
      </c>
      <c r="C3747" s="1" t="n">
        <f aca="false">1/B3747</f>
        <v>0.00346020761245675</v>
      </c>
      <c r="D3747" s="1" t="n">
        <v>0.289</v>
      </c>
      <c r="E3747" s="1" t="n">
        <f aca="false">LN(D3747)</f>
        <v>-1.24132859086971</v>
      </c>
    </row>
    <row r="3748" customFormat="false" ht="15.75" hidden="false" customHeight="false" outlineLevel="0" collapsed="false">
      <c r="A3748" s="1" t="s">
        <v>891</v>
      </c>
      <c r="B3748" s="1" t="n">
        <v>293</v>
      </c>
      <c r="C3748" s="1" t="n">
        <f aca="false">1/B3748</f>
        <v>0.00341296928327645</v>
      </c>
      <c r="D3748" s="1" t="n">
        <v>0.277</v>
      </c>
      <c r="E3748" s="1" t="n">
        <f aca="false">LN(D3748)</f>
        <v>-1.2837377727948</v>
      </c>
    </row>
    <row r="3749" customFormat="false" ht="15.75" hidden="false" customHeight="false" outlineLevel="0" collapsed="false">
      <c r="A3749" s="1" t="s">
        <v>891</v>
      </c>
      <c r="B3749" s="1" t="n">
        <v>301</v>
      </c>
      <c r="C3749" s="1" t="n">
        <f aca="false">1/B3749</f>
        <v>0.00332225913621262</v>
      </c>
      <c r="D3749" s="1" t="n">
        <v>0.256</v>
      </c>
      <c r="E3749" s="1" t="n">
        <f aca="false">LN(D3749)</f>
        <v>-1.36257783450257</v>
      </c>
    </row>
    <row r="3750" customFormat="false" ht="15.75" hidden="false" customHeight="false" outlineLevel="0" collapsed="false">
      <c r="A3750" s="1" t="s">
        <v>891</v>
      </c>
      <c r="B3750" s="1" t="n">
        <v>309</v>
      </c>
      <c r="C3750" s="1" t="n">
        <f aca="false">1/B3750</f>
        <v>0.00323624595469256</v>
      </c>
      <c r="D3750" s="1" t="n">
        <v>0.238</v>
      </c>
      <c r="E3750" s="1" t="n">
        <f aca="false">LN(D3750)</f>
        <v>-1.43548460531066</v>
      </c>
    </row>
    <row r="3751" customFormat="false" ht="15.75" hidden="false" customHeight="false" outlineLevel="0" collapsed="false">
      <c r="A3751" s="1" t="s">
        <v>891</v>
      </c>
      <c r="B3751" s="1" t="n">
        <v>313</v>
      </c>
      <c r="C3751" s="1" t="n">
        <f aca="false">1/B3751</f>
        <v>0.00319488817891374</v>
      </c>
      <c r="D3751" s="1" t="n">
        <v>0.229</v>
      </c>
      <c r="E3751" s="1" t="n">
        <f aca="false">LN(D3751)</f>
        <v>-1.4740332754279</v>
      </c>
    </row>
    <row r="3752" customFormat="false" ht="15.75" hidden="false" customHeight="false" outlineLevel="0" collapsed="false">
      <c r="A3752" s="1" t="s">
        <v>891</v>
      </c>
      <c r="B3752" s="1" t="n">
        <v>317</v>
      </c>
      <c r="C3752" s="1" t="n">
        <f aca="false">1/B3752</f>
        <v>0.00315457413249211</v>
      </c>
      <c r="D3752" s="1" t="n">
        <v>0.221</v>
      </c>
      <c r="E3752" s="1" t="n">
        <f aca="false">LN(D3752)</f>
        <v>-1.50959257746438</v>
      </c>
    </row>
    <row r="3753" customFormat="false" ht="15.75" hidden="false" customHeight="false" outlineLevel="0" collapsed="false">
      <c r="A3753" s="1" t="s">
        <v>891</v>
      </c>
      <c r="B3753" s="1" t="n">
        <v>329</v>
      </c>
      <c r="C3753" s="1" t="n">
        <f aca="false">1/B3753</f>
        <v>0.00303951367781155</v>
      </c>
      <c r="D3753" s="1" t="n">
        <v>0.2</v>
      </c>
      <c r="E3753" s="1" t="n">
        <f aca="false">LN(D3753)</f>
        <v>-1.6094379124341</v>
      </c>
    </row>
    <row r="3754" customFormat="false" ht="15.75" hidden="false" customHeight="false" outlineLevel="0" collapsed="false">
      <c r="A3754" s="1" t="s">
        <v>891</v>
      </c>
      <c r="B3754" s="1" t="n">
        <v>276.81</v>
      </c>
      <c r="C3754" s="1" t="n">
        <f aca="false">1/B3754</f>
        <v>0.00361258625049673</v>
      </c>
      <c r="D3754" s="1" t="n">
        <v>0.3841</v>
      </c>
      <c r="E3754" s="1" t="n">
        <f aca="false">LN(D3754)</f>
        <v>-0.956852343630278</v>
      </c>
    </row>
    <row r="3755" customFormat="false" ht="15.75" hidden="false" customHeight="false" outlineLevel="0" collapsed="false">
      <c r="A3755" s="1" t="s">
        <v>891</v>
      </c>
      <c r="B3755" s="1" t="n">
        <v>306.03</v>
      </c>
      <c r="C3755" s="1" t="n">
        <f aca="false">1/B3755</f>
        <v>0.00326765349802307</v>
      </c>
      <c r="D3755" s="1" t="n">
        <v>0.2978</v>
      </c>
      <c r="E3755" s="1" t="n">
        <f aca="false">LN(D3755)</f>
        <v>-1.21133315873223</v>
      </c>
    </row>
    <row r="3756" customFormat="false" ht="15.75" hidden="false" customHeight="false" outlineLevel="0" collapsed="false">
      <c r="A3756" s="1" t="s">
        <v>891</v>
      </c>
      <c r="B3756" s="1" t="n">
        <v>217</v>
      </c>
      <c r="C3756" s="1" t="n">
        <f aca="false">1/B3756</f>
        <v>0.00460829493087558</v>
      </c>
      <c r="D3756" s="1" t="n">
        <v>0.787</v>
      </c>
      <c r="E3756" s="1" t="n">
        <f aca="false">LN(D3756)</f>
        <v>-0.239527030564734</v>
      </c>
    </row>
    <row r="3757" customFormat="false" ht="15.75" hidden="false" customHeight="false" outlineLevel="0" collapsed="false">
      <c r="A3757" s="1" t="s">
        <v>891</v>
      </c>
      <c r="B3757" s="1" t="n">
        <v>241</v>
      </c>
      <c r="C3757" s="1" t="n">
        <f aca="false">1/B3757</f>
        <v>0.004149377593361</v>
      </c>
      <c r="D3757" s="1" t="n">
        <v>0.527</v>
      </c>
      <c r="E3757" s="1" t="n">
        <f aca="false">LN(D3757)</f>
        <v>-0.640554730440775</v>
      </c>
    </row>
    <row r="3758" customFormat="false" ht="15.75" hidden="false" customHeight="false" outlineLevel="0" collapsed="false">
      <c r="A3758" s="1" t="s">
        <v>891</v>
      </c>
      <c r="B3758" s="1" t="n">
        <v>249</v>
      </c>
      <c r="C3758" s="1" t="n">
        <f aca="false">1/B3758</f>
        <v>0.00401606425702811</v>
      </c>
      <c r="D3758" s="1" t="n">
        <v>0.469</v>
      </c>
      <c r="E3758" s="1" t="n">
        <f aca="false">LN(D3758)</f>
        <v>-0.757152510535858</v>
      </c>
    </row>
    <row r="3759" customFormat="false" ht="15.75" hidden="false" customHeight="false" outlineLevel="0" collapsed="false">
      <c r="A3759" s="1" t="s">
        <v>891</v>
      </c>
      <c r="B3759" s="1" t="n">
        <v>273</v>
      </c>
      <c r="C3759" s="1" t="n">
        <f aca="false">1/B3759</f>
        <v>0.00366300366300366</v>
      </c>
      <c r="D3759" s="1" t="n">
        <v>0.345</v>
      </c>
      <c r="E3759" s="1" t="n">
        <f aca="false">LN(D3759)</f>
        <v>-1.06421086195078</v>
      </c>
    </row>
    <row r="3760" customFormat="false" ht="15.75" hidden="false" customHeight="false" outlineLevel="0" collapsed="false">
      <c r="A3760" s="1" t="s">
        <v>891</v>
      </c>
      <c r="B3760" s="1" t="n">
        <v>297</v>
      </c>
      <c r="C3760" s="1" t="n">
        <f aca="false">1/B3760</f>
        <v>0.00336700336700337</v>
      </c>
      <c r="D3760" s="1" t="n">
        <v>0.266</v>
      </c>
      <c r="E3760" s="1" t="n">
        <f aca="false">LN(D3760)</f>
        <v>-1.32425897020044</v>
      </c>
    </row>
    <row r="3761" customFormat="false" ht="15.75" hidden="false" customHeight="false" outlineLevel="0" collapsed="false">
      <c r="A3761" s="1" t="s">
        <v>891</v>
      </c>
      <c r="B3761" s="1" t="n">
        <v>305</v>
      </c>
      <c r="C3761" s="1" t="n">
        <f aca="false">1/B3761</f>
        <v>0.00327868852459016</v>
      </c>
      <c r="D3761" s="1" t="n">
        <v>0.247</v>
      </c>
      <c r="E3761" s="1" t="n">
        <f aca="false">LN(D3761)</f>
        <v>-1.39836694235416</v>
      </c>
    </row>
    <row r="3762" customFormat="false" ht="15.75" hidden="false" customHeight="false" outlineLevel="0" collapsed="false">
      <c r="A3762" s="1" t="s">
        <v>893</v>
      </c>
      <c r="B3762" s="1" t="n">
        <v>273.61</v>
      </c>
      <c r="C3762" s="1" t="n">
        <f aca="false">1/B3762</f>
        <v>0.00365483717700376</v>
      </c>
      <c r="D3762" s="1" t="n">
        <v>0.5329</v>
      </c>
      <c r="E3762" s="1" t="n">
        <f aca="false">LN(D3762)</f>
        <v>-0.6294214896794</v>
      </c>
    </row>
    <row r="3763" customFormat="false" ht="15.75" hidden="false" customHeight="false" outlineLevel="0" collapsed="false">
      <c r="A3763" s="1" t="s">
        <v>893</v>
      </c>
      <c r="B3763" s="1" t="n">
        <v>278.88</v>
      </c>
      <c r="C3763" s="1" t="n">
        <f aca="false">1/B3763</f>
        <v>0.00358577165806081</v>
      </c>
      <c r="D3763" s="1" t="n">
        <v>0.5023</v>
      </c>
      <c r="E3763" s="1" t="n">
        <f aca="false">LN(D3763)</f>
        <v>-0.688557728226138</v>
      </c>
    </row>
    <row r="3764" customFormat="false" ht="15.75" hidden="false" customHeight="false" outlineLevel="0" collapsed="false">
      <c r="A3764" s="1" t="s">
        <v>893</v>
      </c>
      <c r="B3764" s="1" t="n">
        <v>283.33</v>
      </c>
      <c r="C3764" s="1" t="n">
        <f aca="false">1/B3764</f>
        <v>0.00352945328768574</v>
      </c>
      <c r="D3764" s="1" t="n">
        <v>0.4794</v>
      </c>
      <c r="E3764" s="1" t="n">
        <f aca="false">LN(D3764)</f>
        <v>-0.735219956981853</v>
      </c>
    </row>
    <row r="3765" customFormat="false" ht="15.75" hidden="false" customHeight="false" outlineLevel="0" collapsed="false">
      <c r="A3765" s="1" t="s">
        <v>893</v>
      </c>
      <c r="B3765" s="1" t="n">
        <v>288.6</v>
      </c>
      <c r="C3765" s="1" t="n">
        <f aca="false">1/B3765</f>
        <v>0.00346500346500346</v>
      </c>
      <c r="D3765" s="1" t="n">
        <v>0.4545</v>
      </c>
      <c r="E3765" s="1" t="n">
        <f aca="false">LN(D3765)</f>
        <v>-0.788557365364604</v>
      </c>
    </row>
    <row r="3766" customFormat="false" ht="15.75" hidden="false" customHeight="false" outlineLevel="0" collapsed="false">
      <c r="A3766" s="1" t="s">
        <v>893</v>
      </c>
      <c r="B3766" s="1" t="n">
        <v>298.74</v>
      </c>
      <c r="C3766" s="1" t="n">
        <f aca="false">1/B3766</f>
        <v>0.00334739238133494</v>
      </c>
      <c r="D3766" s="1" t="n">
        <v>0.4137</v>
      </c>
      <c r="E3766" s="1" t="n">
        <f aca="false">LN(D3766)</f>
        <v>-0.882614205514771</v>
      </c>
    </row>
    <row r="3767" customFormat="false" ht="15.75" hidden="false" customHeight="false" outlineLevel="0" collapsed="false">
      <c r="A3767" s="1" t="s">
        <v>893</v>
      </c>
      <c r="B3767" s="1" t="n">
        <v>310.66</v>
      </c>
      <c r="C3767" s="1" t="n">
        <f aca="false">1/B3767</f>
        <v>0.00321895319642052</v>
      </c>
      <c r="D3767" s="1" t="n">
        <v>0.3707</v>
      </c>
      <c r="E3767" s="1" t="n">
        <f aca="false">LN(D3767)</f>
        <v>-0.992362168825451</v>
      </c>
    </row>
    <row r="3768" customFormat="false" ht="15.75" hidden="false" customHeight="false" outlineLevel="0" collapsed="false">
      <c r="A3768" s="1" t="s">
        <v>893</v>
      </c>
      <c r="B3768" s="1" t="n">
        <v>208.38</v>
      </c>
      <c r="C3768" s="1" t="n">
        <f aca="false">1/B3768</f>
        <v>0.00479892504079086</v>
      </c>
      <c r="D3768" s="1" t="n">
        <v>1.4157</v>
      </c>
      <c r="E3768" s="1" t="n">
        <f aca="false">LN(D3768)</f>
        <v>0.347624108418314</v>
      </c>
    </row>
    <row r="3769" customFormat="false" ht="15.75" hidden="false" customHeight="false" outlineLevel="0" collapsed="false">
      <c r="A3769" s="1" t="s">
        <v>893</v>
      </c>
      <c r="B3769" s="1" t="n">
        <v>221.89</v>
      </c>
      <c r="C3769" s="1" t="n">
        <f aca="false">1/B3769</f>
        <v>0.00450673757267114</v>
      </c>
      <c r="D3769" s="1" t="n">
        <v>1.0867</v>
      </c>
      <c r="E3769" s="1" t="n">
        <f aca="false">LN(D3769)</f>
        <v>0.0831455810866689</v>
      </c>
    </row>
    <row r="3770" customFormat="false" ht="15.75" hidden="false" customHeight="false" outlineLevel="0" collapsed="false">
      <c r="A3770" s="1" t="s">
        <v>893</v>
      </c>
      <c r="B3770" s="1" t="n">
        <v>249.64</v>
      </c>
      <c r="C3770" s="1" t="n">
        <f aca="false">1/B3770</f>
        <v>0.00400576830636116</v>
      </c>
      <c r="D3770" s="1" t="n">
        <v>0.709</v>
      </c>
      <c r="E3770" s="1" t="n">
        <f aca="false">LN(D3770)</f>
        <v>-0.34389975245001</v>
      </c>
    </row>
    <row r="3771" customFormat="false" ht="15.75" hidden="false" customHeight="false" outlineLevel="0" collapsed="false">
      <c r="A3771" s="1" t="s">
        <v>893</v>
      </c>
      <c r="B3771" s="1" t="n">
        <v>265.81</v>
      </c>
      <c r="C3771" s="1" t="n">
        <f aca="false">1/B3771</f>
        <v>0.00376208570031225</v>
      </c>
      <c r="D3771" s="1" t="n">
        <v>0.5793</v>
      </c>
      <c r="E3771" s="1" t="n">
        <f aca="false">LN(D3771)</f>
        <v>-0.545934800879559</v>
      </c>
    </row>
    <row r="3772" customFormat="false" ht="15.75" hidden="false" customHeight="false" outlineLevel="0" collapsed="false">
      <c r="A3772" s="1" t="s">
        <v>893</v>
      </c>
      <c r="B3772" s="1" t="n">
        <v>288.45</v>
      </c>
      <c r="C3772" s="1" t="n">
        <f aca="false">1/B3772</f>
        <v>0.00346680533888022</v>
      </c>
      <c r="D3772" s="1" t="n">
        <v>0.4548</v>
      </c>
      <c r="E3772" s="1" t="n">
        <f aca="false">LN(D3772)</f>
        <v>-0.787897517105756</v>
      </c>
    </row>
    <row r="3773" customFormat="false" ht="15.75" hidden="false" customHeight="false" outlineLevel="0" collapsed="false">
      <c r="A3773" s="1" t="s">
        <v>893</v>
      </c>
      <c r="B3773" s="1" t="n">
        <v>313.21</v>
      </c>
      <c r="C3773" s="1" t="n">
        <f aca="false">1/B3773</f>
        <v>0.00319274608090419</v>
      </c>
      <c r="D3773" s="1" t="n">
        <v>0.3619</v>
      </c>
      <c r="E3773" s="1" t="n">
        <f aca="false">LN(D3773)</f>
        <v>-1.01638734841244</v>
      </c>
    </row>
    <row r="3774" customFormat="false" ht="15.75" hidden="false" customHeight="false" outlineLevel="0" collapsed="false">
      <c r="A3774" s="1" t="s">
        <v>893</v>
      </c>
      <c r="B3774" s="1" t="n">
        <v>328.22</v>
      </c>
      <c r="C3774" s="1" t="n">
        <f aca="false">1/B3774</f>
        <v>0.00304673694473219</v>
      </c>
      <c r="D3774" s="1" t="n">
        <v>0.3208</v>
      </c>
      <c r="E3774" s="1" t="n">
        <f aca="false">LN(D3774)</f>
        <v>-1.13693740298978</v>
      </c>
    </row>
    <row r="3775" customFormat="false" ht="15.75" hidden="false" customHeight="false" outlineLevel="0" collapsed="false">
      <c r="A3775" s="1" t="s">
        <v>893</v>
      </c>
      <c r="B3775" s="1" t="n">
        <v>343.22</v>
      </c>
      <c r="C3775" s="1" t="n">
        <f aca="false">1/B3775</f>
        <v>0.00291358312452654</v>
      </c>
      <c r="D3775" s="1" t="n">
        <v>0.2877</v>
      </c>
      <c r="E3775" s="1" t="n">
        <f aca="false">LN(D3775)</f>
        <v>-1.24583700842463</v>
      </c>
    </row>
    <row r="3776" customFormat="false" ht="15.75" hidden="false" customHeight="false" outlineLevel="0" collapsed="false">
      <c r="A3776" s="1" t="s">
        <v>893</v>
      </c>
      <c r="B3776" s="1" t="n">
        <v>358.16</v>
      </c>
      <c r="C3776" s="1" t="n">
        <f aca="false">1/B3776</f>
        <v>0.0027920482465937</v>
      </c>
      <c r="D3776" s="1" t="n">
        <v>0.2608</v>
      </c>
      <c r="E3776" s="1" t="n">
        <f aca="false">LN(D3776)</f>
        <v>-1.34400144892964</v>
      </c>
    </row>
    <row r="3777" customFormat="false" ht="15.75" hidden="false" customHeight="false" outlineLevel="0" collapsed="false">
      <c r="A3777" s="1" t="s">
        <v>893</v>
      </c>
      <c r="B3777" s="1" t="n">
        <v>373.98</v>
      </c>
      <c r="C3777" s="1" t="n">
        <f aca="false">1/B3777</f>
        <v>0.00267393978287609</v>
      </c>
      <c r="D3777" s="1" t="n">
        <v>0.2366</v>
      </c>
      <c r="E3777" s="1" t="n">
        <f aca="false">LN(D3777)</f>
        <v>-1.44138432743785</v>
      </c>
    </row>
    <row r="3778" customFormat="false" ht="15.75" hidden="false" customHeight="false" outlineLevel="0" collapsed="false">
      <c r="A3778" s="1" t="s">
        <v>893</v>
      </c>
      <c r="B3778" s="1" t="n">
        <v>303.15</v>
      </c>
      <c r="C3778" s="1" t="n">
        <f aca="false">1/B3778</f>
        <v>0.0032986970146792</v>
      </c>
      <c r="D3778" s="1" t="n">
        <v>0.393</v>
      </c>
      <c r="E3778" s="1" t="n">
        <f aca="false">LN(D3778)</f>
        <v>-0.933945667112876</v>
      </c>
    </row>
    <row r="3779" customFormat="false" ht="15.75" hidden="false" customHeight="false" outlineLevel="0" collapsed="false">
      <c r="A3779" s="1" t="s">
        <v>893</v>
      </c>
      <c r="B3779" s="1" t="n">
        <v>293.68</v>
      </c>
      <c r="C3779" s="1" t="n">
        <f aca="false">1/B3779</f>
        <v>0.00340506673930809</v>
      </c>
      <c r="D3779" s="1" t="n">
        <v>0.433</v>
      </c>
      <c r="E3779" s="1" t="n">
        <f aca="false">LN(D3779)</f>
        <v>-0.837017550979647</v>
      </c>
    </row>
    <row r="3780" customFormat="false" ht="15.75" hidden="false" customHeight="false" outlineLevel="0" collapsed="false">
      <c r="A3780" s="1" t="s">
        <v>893</v>
      </c>
      <c r="B3780" s="1" t="n">
        <v>304.13</v>
      </c>
      <c r="C3780" s="1" t="n">
        <f aca="false">1/B3780</f>
        <v>0.00328806760266991</v>
      </c>
      <c r="D3780" s="1" t="n">
        <v>0.3933</v>
      </c>
      <c r="E3780" s="1" t="n">
        <f aca="false">LN(D3780)</f>
        <v>-0.933182599544373</v>
      </c>
    </row>
    <row r="3781" customFormat="false" ht="15.75" hidden="false" customHeight="false" outlineLevel="0" collapsed="false">
      <c r="A3781" s="1" t="s">
        <v>893</v>
      </c>
      <c r="B3781" s="1" t="n">
        <v>277.21</v>
      </c>
      <c r="C3781" s="1" t="n">
        <f aca="false">1/B3781</f>
        <v>0.00360737347137549</v>
      </c>
      <c r="D3781" s="1" t="n">
        <v>0.5093</v>
      </c>
      <c r="E3781" s="1" t="n">
        <f aca="false">LN(D3781)</f>
        <v>-0.674718045091578</v>
      </c>
    </row>
    <row r="3782" customFormat="false" ht="15.75" hidden="false" customHeight="false" outlineLevel="0" collapsed="false">
      <c r="A3782" s="1" t="s">
        <v>893</v>
      </c>
      <c r="B3782" s="1" t="n">
        <v>300.76</v>
      </c>
      <c r="C3782" s="1" t="n">
        <f aca="false">1/B3782</f>
        <v>0.00332491022742386</v>
      </c>
      <c r="D3782" s="1" t="n">
        <v>0.4043</v>
      </c>
      <c r="E3782" s="1" t="n">
        <f aca="false">LN(D3782)</f>
        <v>-0.905598102335412</v>
      </c>
    </row>
    <row r="3783" customFormat="false" ht="15.75" hidden="false" customHeight="false" outlineLevel="0" collapsed="false">
      <c r="A3783" s="1" t="s">
        <v>895</v>
      </c>
      <c r="B3783" s="1" t="n">
        <v>293.1526</v>
      </c>
      <c r="C3783" s="1" t="n">
        <f aca="false">1/B3783</f>
        <v>0.00341119266893761</v>
      </c>
      <c r="D3783" s="1" t="n">
        <v>0.813</v>
      </c>
      <c r="E3783" s="1" t="n">
        <f aca="false">LN(D3783)</f>
        <v>-0.207024169434327</v>
      </c>
    </row>
    <row r="3784" customFormat="false" ht="15.75" hidden="false" customHeight="false" outlineLevel="0" collapsed="false">
      <c r="A3784" s="1" t="s">
        <v>895</v>
      </c>
      <c r="B3784" s="1" t="n">
        <v>303.15</v>
      </c>
      <c r="C3784" s="1" t="n">
        <f aca="false">1/B3784</f>
        <v>0.0032986970146792</v>
      </c>
      <c r="D3784" s="1" t="n">
        <v>0.707</v>
      </c>
      <c r="E3784" s="1" t="n">
        <f aca="false">LN(D3784)</f>
        <v>-0.346724613085564</v>
      </c>
    </row>
    <row r="3785" customFormat="false" ht="15.75" hidden="false" customHeight="false" outlineLevel="0" collapsed="false">
      <c r="A3785" s="1" t="s">
        <v>895</v>
      </c>
      <c r="B3785" s="1" t="n">
        <v>313.15</v>
      </c>
      <c r="C3785" s="1" t="n">
        <f aca="false">1/B3785</f>
        <v>0.00319335781574325</v>
      </c>
      <c r="D3785" s="1" t="n">
        <v>0.623</v>
      </c>
      <c r="E3785" s="1" t="n">
        <f aca="false">LN(D3785)</f>
        <v>-0.473208760194684</v>
      </c>
    </row>
    <row r="3786" customFormat="false" ht="15.75" hidden="false" customHeight="false" outlineLevel="0" collapsed="false">
      <c r="A3786" s="1" t="s">
        <v>895</v>
      </c>
      <c r="B3786" s="1" t="n">
        <v>323.15</v>
      </c>
      <c r="C3786" s="1" t="n">
        <f aca="false">1/B3786</f>
        <v>0.00309453814018258</v>
      </c>
      <c r="D3786" s="1" t="n">
        <v>0.553</v>
      </c>
      <c r="E3786" s="1" t="n">
        <f aca="false">LN(D3786)</f>
        <v>-0.592397277459802</v>
      </c>
    </row>
    <row r="3787" customFormat="false" ht="15.75" hidden="false" customHeight="false" outlineLevel="0" collapsed="false">
      <c r="A3787" s="1" t="s">
        <v>895</v>
      </c>
      <c r="B3787" s="1" t="n">
        <v>333.15</v>
      </c>
      <c r="C3787" s="1" t="n">
        <f aca="false">1/B3787</f>
        <v>0.0030016509079994</v>
      </c>
      <c r="D3787" s="1" t="n">
        <v>0.495</v>
      </c>
      <c r="E3787" s="1" t="n">
        <f aca="false">LN(D3787)</f>
        <v>-0.703197516413447</v>
      </c>
    </row>
    <row r="3788" customFormat="false" ht="15.75" hidden="false" customHeight="false" outlineLevel="0" collapsed="false">
      <c r="A3788" s="1" t="s">
        <v>895</v>
      </c>
      <c r="B3788" s="1" t="n">
        <v>353.15</v>
      </c>
      <c r="C3788" s="1" t="n">
        <f aca="false">1/B3788</f>
        <v>0.00283165793572137</v>
      </c>
      <c r="D3788" s="1" t="n">
        <v>0.445</v>
      </c>
      <c r="E3788" s="1" t="n">
        <f aca="false">LN(D3788)</f>
        <v>-0.809680996815897</v>
      </c>
    </row>
    <row r="3789" customFormat="false" ht="15.75" hidden="false" customHeight="false" outlineLevel="0" collapsed="false">
      <c r="A3789" s="1" t="s">
        <v>895</v>
      </c>
      <c r="B3789" s="1" t="n">
        <v>373.15</v>
      </c>
      <c r="C3789" s="1" t="n">
        <f aca="false">1/B3789</f>
        <v>0.00267988744472732</v>
      </c>
      <c r="D3789" s="1" t="n">
        <v>0.403</v>
      </c>
      <c r="E3789" s="1" t="n">
        <f aca="false">LN(D3789)</f>
        <v>-0.908818717035454</v>
      </c>
    </row>
    <row r="3790" customFormat="false" ht="15.75" hidden="false" customHeight="false" outlineLevel="0" collapsed="false">
      <c r="A3790" s="1" t="s">
        <v>895</v>
      </c>
      <c r="B3790" s="1" t="n">
        <v>393.15</v>
      </c>
      <c r="C3790" s="1" t="n">
        <f aca="false">1/B3790</f>
        <v>0.00254355843825512</v>
      </c>
      <c r="D3790" s="1" t="n">
        <v>0.334</v>
      </c>
      <c r="E3790" s="1" t="n">
        <f aca="false">LN(D3790)</f>
        <v>-1.09661428600544</v>
      </c>
    </row>
    <row r="3791" customFormat="false" ht="15.75" hidden="false" customHeight="false" outlineLevel="0" collapsed="false">
      <c r="A3791" s="1" t="s">
        <v>895</v>
      </c>
      <c r="B3791" s="1" t="n">
        <v>298.15202</v>
      </c>
      <c r="C3791" s="1" t="n">
        <f aca="false">1/B3791</f>
        <v>0.00335399371099347</v>
      </c>
      <c r="D3791" s="1" t="n">
        <v>0.749</v>
      </c>
      <c r="E3791" s="1" t="n">
        <f aca="false">LN(D3791)</f>
        <v>-0.289016295464918</v>
      </c>
    </row>
    <row r="3792" customFormat="false" ht="15.75" hidden="false" customHeight="false" outlineLevel="0" collapsed="false">
      <c r="A3792" s="1" t="s">
        <v>895</v>
      </c>
      <c r="B3792" s="1" t="n">
        <v>308.15</v>
      </c>
      <c r="C3792" s="1" t="n">
        <f aca="false">1/B3792</f>
        <v>0.00324517280545189</v>
      </c>
      <c r="D3792" s="1" t="n">
        <v>0.658</v>
      </c>
      <c r="E3792" s="1" t="n">
        <f aca="false">LN(D3792)</f>
        <v>-0.41855034765682</v>
      </c>
    </row>
    <row r="3793" customFormat="false" ht="15.75" hidden="false" customHeight="false" outlineLevel="0" collapsed="false">
      <c r="A3793" s="1" t="s">
        <v>895</v>
      </c>
      <c r="B3793" s="1" t="n">
        <v>318.15</v>
      </c>
      <c r="C3793" s="1" t="n">
        <f aca="false">1/B3793</f>
        <v>0.00314317146000314</v>
      </c>
      <c r="D3793" s="1" t="n">
        <v>0.578</v>
      </c>
      <c r="E3793" s="1" t="n">
        <f aca="false">LN(D3793)</f>
        <v>-0.54818141030976</v>
      </c>
    </row>
    <row r="3794" customFormat="false" ht="15.75" hidden="false" customHeight="false" outlineLevel="0" collapsed="false">
      <c r="A3794" s="1" t="s">
        <v>897</v>
      </c>
      <c r="B3794" s="1" t="n">
        <v>283.35</v>
      </c>
      <c r="C3794" s="1" t="n">
        <f aca="false">1/B3794</f>
        <v>0.00352920416446091</v>
      </c>
      <c r="D3794" s="1" t="n">
        <v>0.3878</v>
      </c>
      <c r="E3794" s="1" t="n">
        <f aca="false">LN(D3794)</f>
        <v>-0.947265536173586</v>
      </c>
    </row>
    <row r="3795" customFormat="false" ht="15.75" hidden="false" customHeight="false" outlineLevel="0" collapsed="false">
      <c r="A3795" s="1" t="s">
        <v>897</v>
      </c>
      <c r="B3795" s="1" t="n">
        <v>310.75</v>
      </c>
      <c r="C3795" s="1" t="n">
        <f aca="false">1/B3795</f>
        <v>0.00321802091713596</v>
      </c>
      <c r="D3795" s="1" t="n">
        <v>0.2732</v>
      </c>
      <c r="E3795" s="1" t="n">
        <f aca="false">LN(D3795)</f>
        <v>-1.2975511512855</v>
      </c>
    </row>
    <row r="3796" customFormat="false" ht="15.75" hidden="false" customHeight="false" outlineLevel="0" collapsed="false">
      <c r="A3796" s="1" t="s">
        <v>897</v>
      </c>
      <c r="B3796" s="1" t="n">
        <v>324.85</v>
      </c>
      <c r="C3796" s="1" t="n">
        <f aca="false">1/B3796</f>
        <v>0.00307834385100816</v>
      </c>
      <c r="D3796" s="1" t="n">
        <v>0.2357</v>
      </c>
      <c r="E3796" s="1" t="n">
        <f aca="false">LN(D3796)</f>
        <v>-1.44519546904005</v>
      </c>
    </row>
    <row r="3797" customFormat="false" ht="15.75" hidden="false" customHeight="false" outlineLevel="0" collapsed="false">
      <c r="A3797" s="1" t="s">
        <v>897</v>
      </c>
      <c r="B3797" s="1" t="n">
        <v>329.1</v>
      </c>
      <c r="C3797" s="1" t="n">
        <f aca="false">1/B3797</f>
        <v>0.00303859009419629</v>
      </c>
      <c r="D3797" s="1" t="n">
        <v>0.225</v>
      </c>
      <c r="E3797" s="1" t="n">
        <f aca="false">LN(D3797)</f>
        <v>-1.49165487677772</v>
      </c>
    </row>
    <row r="3798" customFormat="false" ht="15.75" hidden="false" customHeight="false" outlineLevel="0" collapsed="false">
      <c r="A3798" s="1" t="s">
        <v>897</v>
      </c>
      <c r="B3798" s="1" t="n">
        <v>283.15</v>
      </c>
      <c r="C3798" s="1" t="n">
        <f aca="false">1/B3798</f>
        <v>0.00353169698039908</v>
      </c>
      <c r="D3798" s="1" t="n">
        <v>0.386</v>
      </c>
      <c r="E3798" s="1" t="n">
        <f aca="false">LN(D3798)</f>
        <v>-0.951917909517306</v>
      </c>
    </row>
    <row r="3799" customFormat="false" ht="15.75" hidden="false" customHeight="false" outlineLevel="0" collapsed="false">
      <c r="A3799" s="1" t="s">
        <v>897</v>
      </c>
      <c r="B3799" s="1" t="n">
        <v>303.15</v>
      </c>
      <c r="C3799" s="1" t="n">
        <f aca="false">1/B3799</f>
        <v>0.0032986970146792</v>
      </c>
      <c r="D3799" s="1" t="n">
        <v>0.299</v>
      </c>
      <c r="E3799" s="1" t="n">
        <f aca="false">LN(D3799)</f>
        <v>-1.20731170559145</v>
      </c>
    </row>
    <row r="3800" customFormat="false" ht="15.75" hidden="false" customHeight="false" outlineLevel="0" collapsed="false">
      <c r="A3800" s="1" t="s">
        <v>897</v>
      </c>
      <c r="B3800" s="1" t="n">
        <v>313.15</v>
      </c>
      <c r="C3800" s="1" t="n">
        <f aca="false">1/B3800</f>
        <v>0.00319335781574325</v>
      </c>
      <c r="D3800" s="1" t="n">
        <v>0.268</v>
      </c>
      <c r="E3800" s="1" t="n">
        <f aca="false">LN(D3800)</f>
        <v>-1.31676829847128</v>
      </c>
    </row>
    <row r="3801" customFormat="false" ht="15.75" hidden="false" customHeight="false" outlineLevel="0" collapsed="false">
      <c r="A3801" s="1" t="s">
        <v>897</v>
      </c>
      <c r="B3801" s="1" t="n">
        <v>317.55</v>
      </c>
      <c r="C3801" s="1" t="n">
        <f aca="false">1/B3801</f>
        <v>0.00314911037631869</v>
      </c>
      <c r="D3801" s="1" t="n">
        <v>0.254</v>
      </c>
      <c r="E3801" s="1" t="n">
        <f aca="false">LN(D3801)</f>
        <v>-1.3704210119636</v>
      </c>
    </row>
    <row r="3802" customFormat="false" ht="15.75" hidden="false" customHeight="false" outlineLevel="0" collapsed="false">
      <c r="A3802" s="1" t="s">
        <v>897</v>
      </c>
      <c r="B3802" s="1" t="n">
        <v>293.15</v>
      </c>
      <c r="C3802" s="1" t="n">
        <f aca="false">1/B3802</f>
        <v>0.00341122292341805</v>
      </c>
      <c r="D3802" s="1" t="n">
        <v>0.338</v>
      </c>
      <c r="E3802" s="1" t="n">
        <f aca="false">LN(D3802)</f>
        <v>-1.08470938349912</v>
      </c>
    </row>
    <row r="3803" customFormat="false" ht="15.75" hidden="false" customHeight="false" outlineLevel="0" collapsed="false">
      <c r="A3803" s="1" t="s">
        <v>897</v>
      </c>
      <c r="B3803" s="1" t="n">
        <v>323.15</v>
      </c>
      <c r="C3803" s="1" t="n">
        <f aca="false">1/B3803</f>
        <v>0.00309453814018258</v>
      </c>
      <c r="D3803" s="1" t="n">
        <v>0.236</v>
      </c>
      <c r="E3803" s="1" t="n">
        <f aca="false">LN(D3803)</f>
        <v>-1.44392347395653</v>
      </c>
    </row>
    <row r="3804" customFormat="false" ht="15.75" hidden="false" customHeight="false" outlineLevel="0" collapsed="false">
      <c r="A3804" s="1" t="s">
        <v>899</v>
      </c>
      <c r="B3804" s="1" t="n">
        <v>283.15</v>
      </c>
      <c r="C3804" s="1" t="n">
        <f aca="false">1/B3804</f>
        <v>0.00353169698039908</v>
      </c>
      <c r="D3804" s="1" t="n">
        <v>11.9048</v>
      </c>
      <c r="E3804" s="1" t="n">
        <f aca="false">LN(D3804)</f>
        <v>2.4769416801337</v>
      </c>
    </row>
    <row r="3805" customFormat="false" ht="15.75" hidden="false" customHeight="false" outlineLevel="0" collapsed="false">
      <c r="A3805" s="1" t="s">
        <v>899</v>
      </c>
      <c r="B3805" s="1" t="n">
        <v>288.15</v>
      </c>
      <c r="C3805" s="1" t="n">
        <f aca="false">1/B3805</f>
        <v>0.00347041471455839</v>
      </c>
      <c r="D3805" s="1" t="n">
        <v>9.7087</v>
      </c>
      <c r="E3805" s="1" t="n">
        <f aca="false">LN(D3805)</f>
        <v>2.2730223907449</v>
      </c>
    </row>
    <row r="3806" customFormat="false" ht="15.75" hidden="false" customHeight="false" outlineLevel="0" collapsed="false">
      <c r="A3806" s="1" t="s">
        <v>899</v>
      </c>
      <c r="B3806" s="1" t="n">
        <v>293.15</v>
      </c>
      <c r="C3806" s="1" t="n">
        <f aca="false">1/B3806</f>
        <v>0.00341122292341805</v>
      </c>
      <c r="D3806" s="1" t="n">
        <v>8.0645</v>
      </c>
      <c r="E3806" s="1" t="n">
        <f aca="false">LN(D3806)</f>
        <v>2.0874717133751</v>
      </c>
    </row>
    <row r="3807" customFormat="false" ht="15.75" hidden="false" customHeight="false" outlineLevel="0" collapsed="false">
      <c r="A3807" s="1" t="s">
        <v>899</v>
      </c>
      <c r="B3807" s="1" t="n">
        <v>298.15</v>
      </c>
      <c r="C3807" s="1" t="n">
        <f aca="false">1/B3807</f>
        <v>0.00335401643468053</v>
      </c>
      <c r="D3807" s="1" t="n">
        <v>6.7114</v>
      </c>
      <c r="E3807" s="1" t="n">
        <f aca="false">LN(D3807)</f>
        <v>1.9038075730357</v>
      </c>
    </row>
    <row r="3808" customFormat="false" ht="15.75" hidden="false" customHeight="false" outlineLevel="0" collapsed="false">
      <c r="A3808" s="1" t="s">
        <v>899</v>
      </c>
      <c r="B3808" s="1" t="n">
        <v>303.15</v>
      </c>
      <c r="C3808" s="1" t="n">
        <f aca="false">1/B3808</f>
        <v>0.0032986970146792</v>
      </c>
      <c r="D3808" s="1" t="n">
        <v>5.7143</v>
      </c>
      <c r="E3808" s="1" t="n">
        <f aca="false">LN(D3808)</f>
        <v>1.7429718050555</v>
      </c>
    </row>
    <row r="3809" customFormat="false" ht="15.75" hidden="false" customHeight="false" outlineLevel="0" collapsed="false">
      <c r="A3809" s="1" t="s">
        <v>899</v>
      </c>
      <c r="B3809" s="1" t="n">
        <v>313.15</v>
      </c>
      <c r="C3809" s="1" t="n">
        <f aca="false">1/B3809</f>
        <v>0.00319335781574325</v>
      </c>
      <c r="D3809" s="1" t="n">
        <v>4.3668</v>
      </c>
      <c r="E3809" s="1" t="n">
        <f aca="false">LN(D3809)</f>
        <v>1.47403047542398</v>
      </c>
    </row>
    <row r="3810" customFormat="false" ht="15.75" hidden="false" customHeight="false" outlineLevel="0" collapsed="false">
      <c r="A3810" s="1" t="s">
        <v>899</v>
      </c>
      <c r="B3810" s="1" t="n">
        <v>318.15</v>
      </c>
      <c r="C3810" s="1" t="n">
        <f aca="false">1/B3810</f>
        <v>0.00314317146000314</v>
      </c>
      <c r="D3810" s="1" t="n">
        <v>3.8314</v>
      </c>
      <c r="E3810" s="1" t="n">
        <f aca="false">LN(D3810)</f>
        <v>1.34323027164886</v>
      </c>
    </row>
    <row r="3811" customFormat="false" ht="15.75" hidden="false" customHeight="false" outlineLevel="0" collapsed="false">
      <c r="A3811" s="1" t="s">
        <v>899</v>
      </c>
      <c r="B3811" s="1" t="n">
        <v>323.15</v>
      </c>
      <c r="C3811" s="1" t="n">
        <f aca="false">1/B3811</f>
        <v>0.00309453814018258</v>
      </c>
      <c r="D3811" s="1" t="n">
        <v>3.4965</v>
      </c>
      <c r="E3811" s="1" t="n">
        <f aca="false">LN(D3811)</f>
        <v>1.25176246816178</v>
      </c>
    </row>
    <row r="3812" customFormat="false" ht="15.75" hidden="false" customHeight="false" outlineLevel="0" collapsed="false">
      <c r="A3812" s="1" t="s">
        <v>899</v>
      </c>
      <c r="B3812" s="1" t="n">
        <v>328.15</v>
      </c>
      <c r="C3812" s="1" t="n">
        <f aca="false">1/B3812</f>
        <v>0.00304738686576261</v>
      </c>
      <c r="D3812" s="1" t="n">
        <v>3.0581</v>
      </c>
      <c r="E3812" s="1" t="n">
        <f aca="false">LN(D3812)</f>
        <v>1.11779380808404</v>
      </c>
    </row>
    <row r="3813" customFormat="false" ht="15.75" hidden="false" customHeight="false" outlineLevel="0" collapsed="false">
      <c r="A3813" s="1" t="s">
        <v>899</v>
      </c>
      <c r="B3813" s="1" t="n">
        <v>333.15</v>
      </c>
      <c r="C3813" s="1" t="n">
        <f aca="false">1/B3813</f>
        <v>0.0030016509079994</v>
      </c>
      <c r="D3813" s="1" t="n">
        <v>2.7473</v>
      </c>
      <c r="E3813" s="1" t="n">
        <f aca="false">LN(D3813)</f>
        <v>1.01061861119748</v>
      </c>
    </row>
    <row r="3814" customFormat="false" ht="15.75" hidden="false" customHeight="false" outlineLevel="0" collapsed="false">
      <c r="A3814" s="1" t="s">
        <v>1447</v>
      </c>
      <c r="B3814" s="1" t="n">
        <v>200.28</v>
      </c>
      <c r="C3814" s="1" t="n">
        <f aca="false">1/B3814</f>
        <v>0.00499300978629918</v>
      </c>
      <c r="D3814" s="1" t="n">
        <v>0.5353</v>
      </c>
      <c r="E3814" s="1" t="n">
        <f aca="false">LN(D3814)</f>
        <v>-0.624927941582801</v>
      </c>
    </row>
    <row r="3815" customFormat="false" ht="15.75" hidden="false" customHeight="false" outlineLevel="0" collapsed="false">
      <c r="A3815" s="1" t="s">
        <v>1447</v>
      </c>
      <c r="B3815" s="1" t="n">
        <v>211.36</v>
      </c>
      <c r="C3815" s="1" t="n">
        <f aca="false">1/B3815</f>
        <v>0.00473126419379258</v>
      </c>
      <c r="D3815" s="1" t="n">
        <v>0.4438</v>
      </c>
      <c r="E3815" s="1" t="n">
        <f aca="false">LN(D3815)</f>
        <v>-0.812381268483644</v>
      </c>
    </row>
    <row r="3816" customFormat="false" ht="15.75" hidden="false" customHeight="false" outlineLevel="0" collapsed="false">
      <c r="A3816" s="1" t="s">
        <v>1447</v>
      </c>
      <c r="B3816" s="1" t="n">
        <v>222.88</v>
      </c>
      <c r="C3816" s="1" t="n">
        <f aca="false">1/B3816</f>
        <v>0.00448671931083991</v>
      </c>
      <c r="D3816" s="1" t="n">
        <v>0.3735</v>
      </c>
      <c r="E3816" s="1" t="n">
        <f aca="false">LN(D3816)</f>
        <v>-0.984837274409265</v>
      </c>
    </row>
    <row r="3817" customFormat="false" ht="15.75" hidden="false" customHeight="false" outlineLevel="0" collapsed="false">
      <c r="A3817" s="1" t="s">
        <v>1447</v>
      </c>
      <c r="B3817" s="1" t="n">
        <v>229.35</v>
      </c>
      <c r="C3817" s="1" t="n">
        <f aca="false">1/B3817</f>
        <v>0.00436014824504033</v>
      </c>
      <c r="D3817" s="1" t="n">
        <v>0.3407</v>
      </c>
      <c r="E3817" s="1" t="n">
        <f aca="false">LN(D3817)</f>
        <v>-1.07675295431522</v>
      </c>
    </row>
    <row r="3818" customFormat="false" ht="15.75" hidden="false" customHeight="false" outlineLevel="0" collapsed="false">
      <c r="A3818" s="1" t="s">
        <v>1447</v>
      </c>
      <c r="B3818" s="1" t="n">
        <v>233.72</v>
      </c>
      <c r="C3818" s="1" t="n">
        <f aca="false">1/B3818</f>
        <v>0.00427862399452336</v>
      </c>
      <c r="D3818" s="1" t="n">
        <v>0.3206</v>
      </c>
      <c r="E3818" s="1" t="n">
        <f aca="false">LN(D3818)</f>
        <v>-1.13756103880668</v>
      </c>
    </row>
    <row r="3819" customFormat="false" ht="15.75" hidden="false" customHeight="false" outlineLevel="0" collapsed="false">
      <c r="A3819" s="1" t="s">
        <v>1447</v>
      </c>
      <c r="B3819" s="1" t="n">
        <v>244.75</v>
      </c>
      <c r="C3819" s="1" t="n">
        <f aca="false">1/B3819</f>
        <v>0.00408580183861083</v>
      </c>
      <c r="D3819" s="1" t="n">
        <v>0.2766</v>
      </c>
      <c r="E3819" s="1" t="n">
        <f aca="false">LN(D3819)</f>
        <v>-1.28518285975148</v>
      </c>
    </row>
    <row r="3820" customFormat="false" ht="15.75" hidden="false" customHeight="false" outlineLevel="0" collapsed="false">
      <c r="A3820" s="1" t="s">
        <v>1447</v>
      </c>
      <c r="B3820" s="1" t="n">
        <v>246.77</v>
      </c>
      <c r="C3820" s="1" t="n">
        <f aca="false">1/B3820</f>
        <v>0.00405235644527293</v>
      </c>
      <c r="D3820" s="1" t="n">
        <v>0.2688</v>
      </c>
      <c r="E3820" s="1" t="n">
        <f aca="false">LN(D3820)</f>
        <v>-1.31378767033314</v>
      </c>
    </row>
    <row r="3821" customFormat="false" ht="15.75" hidden="false" customHeight="false" outlineLevel="0" collapsed="false">
      <c r="A3821" s="1" t="s">
        <v>1447</v>
      </c>
      <c r="B3821" s="1" t="n">
        <v>271.04</v>
      </c>
      <c r="C3821" s="1" t="n">
        <f aca="false">1/B3821</f>
        <v>0.00368949232585596</v>
      </c>
      <c r="D3821" s="1" t="n">
        <v>0.1984</v>
      </c>
      <c r="E3821" s="1" t="n">
        <f aca="false">LN(D3821)</f>
        <v>-1.61747008413136</v>
      </c>
    </row>
    <row r="3822" customFormat="false" ht="15.75" hidden="false" customHeight="false" outlineLevel="0" collapsed="false">
      <c r="A3822" s="1" t="s">
        <v>1447</v>
      </c>
      <c r="B3822" s="1" t="n">
        <v>287.31</v>
      </c>
      <c r="C3822" s="1" t="n">
        <f aca="false">1/B3822</f>
        <v>0.00348056106644391</v>
      </c>
      <c r="D3822" s="1" t="n">
        <v>0.1617</v>
      </c>
      <c r="E3822" s="1" t="n">
        <f aca="false">LN(D3822)</f>
        <v>-1.82201251239908</v>
      </c>
    </row>
    <row r="3823" customFormat="false" ht="15.75" hidden="false" customHeight="false" outlineLevel="0" collapsed="false">
      <c r="A3823" s="1" t="s">
        <v>901</v>
      </c>
      <c r="B3823" s="1" t="n">
        <v>293.15</v>
      </c>
      <c r="C3823" s="1" t="n">
        <f aca="false">1/B3823</f>
        <v>0.00341122292341805</v>
      </c>
      <c r="D3823" s="1" t="n">
        <v>2.9828</v>
      </c>
      <c r="E3823" s="1" t="n">
        <f aca="false">LN(D3823)</f>
        <v>1.0928624566875</v>
      </c>
    </row>
    <row r="3824" customFormat="false" ht="15.75" hidden="false" customHeight="false" outlineLevel="0" collapsed="false">
      <c r="A3824" s="1" t="s">
        <v>901</v>
      </c>
      <c r="B3824" s="1" t="n">
        <v>303.15</v>
      </c>
      <c r="C3824" s="1" t="n">
        <f aca="false">1/B3824</f>
        <v>0.0032986970146792</v>
      </c>
      <c r="D3824" s="1" t="n">
        <v>2.332</v>
      </c>
      <c r="E3824" s="1" t="n">
        <f aca="false">LN(D3824)</f>
        <v>0.846726268488246</v>
      </c>
    </row>
    <row r="3825" customFormat="false" ht="15.75" hidden="false" customHeight="false" outlineLevel="0" collapsed="false">
      <c r="A3825" s="1" t="s">
        <v>901</v>
      </c>
      <c r="B3825" s="1" t="n">
        <v>315.15</v>
      </c>
      <c r="C3825" s="1" t="n">
        <f aca="false">1/B3825</f>
        <v>0.00317309217832778</v>
      </c>
      <c r="D3825" s="1" t="n">
        <v>1.904</v>
      </c>
      <c r="E3825" s="1" t="n">
        <f aca="false">LN(D3825)</f>
        <v>0.643956936369174</v>
      </c>
    </row>
    <row r="3826" customFormat="false" ht="15.75" hidden="false" customHeight="false" outlineLevel="0" collapsed="false">
      <c r="A3826" s="1" t="s">
        <v>901</v>
      </c>
      <c r="B3826" s="1" t="n">
        <v>323.15</v>
      </c>
      <c r="C3826" s="1" t="n">
        <f aca="false">1/B3826</f>
        <v>0.00309453814018258</v>
      </c>
      <c r="D3826" s="1" t="n">
        <v>1.55</v>
      </c>
      <c r="E3826" s="1" t="n">
        <f aca="false">LN(D3826)</f>
        <v>0.438254930931155</v>
      </c>
    </row>
    <row r="3827" customFormat="false" ht="15.75" hidden="false" customHeight="false" outlineLevel="0" collapsed="false">
      <c r="A3827" s="1" t="s">
        <v>901</v>
      </c>
      <c r="B3827" s="1" t="n">
        <v>333.15</v>
      </c>
      <c r="C3827" s="1" t="n">
        <f aca="false">1/B3827</f>
        <v>0.0030016509079994</v>
      </c>
      <c r="D3827" s="1" t="n">
        <v>1.296</v>
      </c>
      <c r="E3827" s="1" t="n">
        <f aca="false">LN(D3827)</f>
        <v>0.259282597930083</v>
      </c>
    </row>
    <row r="3828" customFormat="false" ht="15.75" hidden="false" customHeight="false" outlineLevel="0" collapsed="false">
      <c r="A3828" s="1" t="s">
        <v>118</v>
      </c>
      <c r="B3828" s="1" t="n">
        <v>298.15</v>
      </c>
      <c r="C3828" s="1" t="n">
        <f aca="false">1/B3828</f>
        <v>0.00335401643468053</v>
      </c>
      <c r="D3828" s="1" t="n">
        <v>0.991</v>
      </c>
      <c r="E3828" s="1" t="n">
        <f aca="false">LN(D3828)</f>
        <v>-0.00904074465214907</v>
      </c>
    </row>
    <row r="3829" customFormat="false" ht="15.75" hidden="false" customHeight="false" outlineLevel="0" collapsed="false">
      <c r="A3829" s="1" t="s">
        <v>118</v>
      </c>
      <c r="B3829" s="1" t="n">
        <v>303.15</v>
      </c>
      <c r="C3829" s="1" t="n">
        <f aca="false">1/B3829</f>
        <v>0.0032986970146792</v>
      </c>
      <c r="D3829" s="1" t="n">
        <v>0.914</v>
      </c>
      <c r="E3829" s="1" t="n">
        <f aca="false">LN(D3829)</f>
        <v>-0.089924707527987</v>
      </c>
    </row>
    <row r="3830" customFormat="false" ht="15.75" hidden="false" customHeight="false" outlineLevel="0" collapsed="false">
      <c r="A3830" s="1" t="s">
        <v>118</v>
      </c>
      <c r="B3830" s="1" t="n">
        <v>308.15</v>
      </c>
      <c r="C3830" s="1" t="n">
        <f aca="false">1/B3830</f>
        <v>0.00324517280545189</v>
      </c>
      <c r="D3830" s="1" t="n">
        <v>0.842</v>
      </c>
      <c r="E3830" s="1" t="n">
        <f aca="false">LN(D3830)</f>
        <v>-0.17197526473981</v>
      </c>
    </row>
    <row r="3831" customFormat="false" ht="15.75" hidden="false" customHeight="false" outlineLevel="0" collapsed="false">
      <c r="A3831" s="1" t="s">
        <v>903</v>
      </c>
      <c r="B3831" s="1" t="n">
        <v>298.15</v>
      </c>
      <c r="C3831" s="1" t="n">
        <f aca="false">1/B3831</f>
        <v>0.00335401643468053</v>
      </c>
      <c r="D3831" s="1" t="n">
        <v>3.106</v>
      </c>
      <c r="E3831" s="1" t="n">
        <f aca="false">LN(D3831)</f>
        <v>1.1333357247265</v>
      </c>
    </row>
    <row r="3832" customFormat="false" ht="15.75" hidden="false" customHeight="false" outlineLevel="0" collapsed="false">
      <c r="A3832" s="1" t="s">
        <v>903</v>
      </c>
      <c r="B3832" s="1" t="n">
        <v>308.15</v>
      </c>
      <c r="C3832" s="1" t="n">
        <f aca="false">1/B3832</f>
        <v>0.00324517280545189</v>
      </c>
      <c r="D3832" s="1" t="n">
        <v>2.434</v>
      </c>
      <c r="E3832" s="1" t="n">
        <f aca="false">LN(D3832)</f>
        <v>0.889535994565335</v>
      </c>
    </row>
    <row r="3833" customFormat="false" ht="15.75" hidden="false" customHeight="false" outlineLevel="0" collapsed="false">
      <c r="A3833" s="1" t="s">
        <v>903</v>
      </c>
      <c r="B3833" s="1" t="n">
        <v>318.15</v>
      </c>
      <c r="C3833" s="1" t="n">
        <f aca="false">1/B3833</f>
        <v>0.00314317146000314</v>
      </c>
      <c r="D3833" s="1" t="n">
        <v>1.995</v>
      </c>
      <c r="E3833" s="1" t="n">
        <f aca="false">LN(D3833)</f>
        <v>0.690644050341827</v>
      </c>
    </row>
    <row r="3834" customFormat="false" ht="15.75" hidden="false" customHeight="false" outlineLevel="0" collapsed="false">
      <c r="A3834" s="1" t="s">
        <v>903</v>
      </c>
      <c r="B3834" s="1" t="n">
        <v>328.15</v>
      </c>
      <c r="C3834" s="1" t="n">
        <f aca="false">1/B3834</f>
        <v>0.00304738686576261</v>
      </c>
      <c r="D3834" s="1" t="n">
        <v>1.65</v>
      </c>
      <c r="E3834" s="1" t="n">
        <f aca="false">LN(D3834)</f>
        <v>0.500775287912489</v>
      </c>
    </row>
    <row r="3835" customFormat="false" ht="15.75" hidden="false" customHeight="false" outlineLevel="0" collapsed="false">
      <c r="A3835" s="1" t="s">
        <v>903</v>
      </c>
      <c r="B3835" s="1" t="n">
        <v>338.15</v>
      </c>
      <c r="C3835" s="1" t="n">
        <f aca="false">1/B3835</f>
        <v>0.002957267484844</v>
      </c>
      <c r="D3835" s="1" t="n">
        <v>1.399</v>
      </c>
      <c r="E3835" s="1" t="n">
        <f aca="false">LN(D3835)</f>
        <v>0.335757695683344</v>
      </c>
    </row>
    <row r="3836" customFormat="false" ht="15.75" hidden="false" customHeight="false" outlineLevel="0" collapsed="false">
      <c r="A3836" s="1" t="s">
        <v>903</v>
      </c>
      <c r="B3836" s="1" t="n">
        <v>348.15</v>
      </c>
      <c r="C3836" s="1" t="n">
        <f aca="false">1/B3836</f>
        <v>0.00287232514720666</v>
      </c>
      <c r="D3836" s="1" t="n">
        <v>1.2</v>
      </c>
      <c r="E3836" s="1" t="n">
        <f aca="false">LN(D3836)</f>
        <v>0.182321556793955</v>
      </c>
    </row>
    <row r="3837" customFormat="false" ht="15.75" hidden="false" customHeight="false" outlineLevel="0" collapsed="false">
      <c r="A3837" s="1" t="s">
        <v>903</v>
      </c>
      <c r="B3837" s="1" t="n">
        <v>373.15</v>
      </c>
      <c r="C3837" s="1" t="n">
        <f aca="false">1/B3837</f>
        <v>0.00267988744472732</v>
      </c>
      <c r="D3837" s="1" t="n">
        <v>0.883</v>
      </c>
      <c r="E3837" s="1" t="n">
        <f aca="false">LN(D3837)</f>
        <v>-0.124430078378177</v>
      </c>
    </row>
    <row r="3838" customFormat="false" ht="15.75" hidden="false" customHeight="false" outlineLevel="0" collapsed="false">
      <c r="A3838" s="1" t="s">
        <v>903</v>
      </c>
      <c r="B3838" s="1" t="n">
        <v>398.15</v>
      </c>
      <c r="C3838" s="1" t="n">
        <f aca="false">1/B3838</f>
        <v>0.00251161622504081</v>
      </c>
      <c r="D3838" s="1" t="n">
        <v>0.637</v>
      </c>
      <c r="E3838" s="1" t="n">
        <f aca="false">LN(D3838)</f>
        <v>-0.450985623409974</v>
      </c>
    </row>
    <row r="3839" customFormat="false" ht="15.75" hidden="false" customHeight="false" outlineLevel="0" collapsed="false">
      <c r="A3839" s="1" t="s">
        <v>903</v>
      </c>
      <c r="B3839" s="1" t="n">
        <v>423.15</v>
      </c>
      <c r="C3839" s="1" t="n">
        <f aca="false">1/B3839</f>
        <v>0.00236322816967978</v>
      </c>
      <c r="D3839" s="1" t="n">
        <v>0.498</v>
      </c>
      <c r="E3839" s="1" t="n">
        <f aca="false">LN(D3839)</f>
        <v>-0.697155201957484</v>
      </c>
    </row>
    <row r="3840" customFormat="false" ht="15.75" hidden="false" customHeight="false" outlineLevel="0" collapsed="false">
      <c r="A3840" s="1" t="s">
        <v>905</v>
      </c>
      <c r="B3840" s="1" t="n">
        <v>278.15</v>
      </c>
      <c r="C3840" s="1" t="n">
        <f aca="false">1/B3840</f>
        <v>0.00359518245550962</v>
      </c>
      <c r="D3840" s="1" t="n">
        <v>1.009</v>
      </c>
      <c r="E3840" s="1" t="n">
        <f aca="false">LN(D3840)</f>
        <v>0.0089597413714718</v>
      </c>
    </row>
    <row r="3841" customFormat="false" ht="15.75" hidden="false" customHeight="false" outlineLevel="0" collapsed="false">
      <c r="A3841" s="1" t="s">
        <v>905</v>
      </c>
      <c r="B3841" s="1" t="n">
        <v>288.15</v>
      </c>
      <c r="C3841" s="1" t="n">
        <f aca="false">1/B3841</f>
        <v>0.00347041471455839</v>
      </c>
      <c r="D3841" s="1" t="n">
        <v>0.849</v>
      </c>
      <c r="E3841" s="1" t="n">
        <f aca="false">LN(D3841)</f>
        <v>-0.16369609267079</v>
      </c>
    </row>
    <row r="3842" customFormat="false" ht="15.75" hidden="false" customHeight="false" outlineLevel="0" collapsed="false">
      <c r="A3842" s="1" t="s">
        <v>905</v>
      </c>
      <c r="B3842" s="1" t="n">
        <v>298.15</v>
      </c>
      <c r="C3842" s="1" t="n">
        <f aca="false">1/B3842</f>
        <v>0.00335401643468053</v>
      </c>
      <c r="D3842" s="1" t="n">
        <v>0.726</v>
      </c>
      <c r="E3842" s="1" t="n">
        <f aca="false">LN(D3842)</f>
        <v>-0.320205264157341</v>
      </c>
    </row>
    <row r="3843" customFormat="false" ht="15.75" hidden="false" customHeight="false" outlineLevel="0" collapsed="false">
      <c r="A3843" s="1" t="s">
        <v>905</v>
      </c>
      <c r="B3843" s="1" t="n">
        <v>308.15</v>
      </c>
      <c r="C3843" s="1" t="n">
        <f aca="false">1/B3843</f>
        <v>0.00324517280545189</v>
      </c>
      <c r="D3843" s="1" t="n">
        <v>0.63</v>
      </c>
      <c r="E3843" s="1" t="n">
        <f aca="false">LN(D3843)</f>
        <v>-0.462035459596559</v>
      </c>
    </row>
    <row r="3844" customFormat="false" ht="15.75" hidden="false" customHeight="false" outlineLevel="0" collapsed="false">
      <c r="A3844" s="1" t="s">
        <v>905</v>
      </c>
      <c r="B3844" s="1" t="n">
        <v>318.15</v>
      </c>
      <c r="C3844" s="1" t="n">
        <f aca="false">1/B3844</f>
        <v>0.00314317146000314</v>
      </c>
      <c r="D3844" s="1" t="n">
        <v>0.542</v>
      </c>
      <c r="E3844" s="1" t="n">
        <f aca="false">LN(D3844)</f>
        <v>-0.612489277542491</v>
      </c>
    </row>
    <row r="3845" customFormat="false" ht="15.75" hidden="false" customHeight="false" outlineLevel="0" collapsed="false">
      <c r="A3845" s="1" t="s">
        <v>905</v>
      </c>
      <c r="B3845" s="1" t="n">
        <v>328.15</v>
      </c>
      <c r="C3845" s="1" t="n">
        <f aca="false">1/B3845</f>
        <v>0.00304738686576261</v>
      </c>
      <c r="D3845" s="1" t="n">
        <v>0.474</v>
      </c>
      <c r="E3845" s="1" t="n">
        <f aca="false">LN(D3845)</f>
        <v>-0.746547957287061</v>
      </c>
    </row>
    <row r="3846" customFormat="false" ht="15.75" hidden="false" customHeight="false" outlineLevel="0" collapsed="false">
      <c r="A3846" s="1" t="s">
        <v>905</v>
      </c>
      <c r="B3846" s="1" t="n">
        <v>353.15</v>
      </c>
      <c r="C3846" s="1" t="n">
        <f aca="false">1/B3846</f>
        <v>0.00283165793572137</v>
      </c>
      <c r="D3846" s="1" t="n">
        <v>0.365</v>
      </c>
      <c r="E3846" s="1" t="n">
        <f aca="false">LN(D3846)</f>
        <v>-1.00785792539965</v>
      </c>
    </row>
    <row r="3847" customFormat="false" ht="15.75" hidden="false" customHeight="false" outlineLevel="0" collapsed="false">
      <c r="A3847" s="1" t="s">
        <v>905</v>
      </c>
      <c r="B3847" s="1" t="n">
        <v>373.15</v>
      </c>
      <c r="C3847" s="1" t="n">
        <f aca="false">1/B3847</f>
        <v>0.00267988744472732</v>
      </c>
      <c r="D3847" s="1" t="n">
        <v>0.309</v>
      </c>
      <c r="E3847" s="1" t="n">
        <f aca="false">LN(D3847)</f>
        <v>-1.17441400208439</v>
      </c>
    </row>
    <row r="3848" customFormat="false" ht="15.75" hidden="false" customHeight="false" outlineLevel="0" collapsed="false">
      <c r="A3848" s="1" t="s">
        <v>905</v>
      </c>
      <c r="B3848" s="1" t="n">
        <v>398.15</v>
      </c>
      <c r="C3848" s="1" t="n">
        <f aca="false">1/B3848</f>
        <v>0.00251161622504081</v>
      </c>
      <c r="D3848" s="1" t="n">
        <v>0.245</v>
      </c>
      <c r="E3848" s="1" t="n">
        <f aca="false">LN(D3848)</f>
        <v>-1.40649706843741</v>
      </c>
    </row>
    <row r="3849" customFormat="false" ht="15.75" hidden="false" customHeight="false" outlineLevel="0" collapsed="false">
      <c r="A3849" s="1" t="s">
        <v>907</v>
      </c>
      <c r="B3849" s="1" t="n">
        <v>278.15</v>
      </c>
      <c r="C3849" s="1" t="n">
        <f aca="false">1/B3849</f>
        <v>0.00359518245550962</v>
      </c>
      <c r="D3849" s="1" t="n">
        <v>1.953</v>
      </c>
      <c r="E3849" s="1" t="n">
        <f aca="false">LN(D3849)</f>
        <v>0.669366651894542</v>
      </c>
    </row>
    <row r="3850" customFormat="false" ht="15.75" hidden="false" customHeight="false" outlineLevel="0" collapsed="false">
      <c r="A3850" s="1" t="s">
        <v>907</v>
      </c>
      <c r="B3850" s="1" t="n">
        <v>288.15</v>
      </c>
      <c r="C3850" s="1" t="n">
        <f aca="false">1/B3850</f>
        <v>0.00347041471455839</v>
      </c>
      <c r="D3850" s="1" t="n">
        <v>1.572</v>
      </c>
      <c r="E3850" s="1" t="n">
        <f aca="false">LN(D3850)</f>
        <v>0.452348694007015</v>
      </c>
    </row>
    <row r="3851" customFormat="false" ht="15.75" hidden="false" customHeight="false" outlineLevel="0" collapsed="false">
      <c r="A3851" s="1" t="s">
        <v>907</v>
      </c>
      <c r="B3851" s="1" t="n">
        <v>298.15</v>
      </c>
      <c r="C3851" s="1" t="n">
        <f aca="false">1/B3851</f>
        <v>0.00335401643468053</v>
      </c>
      <c r="D3851" s="1" t="n">
        <v>1.285</v>
      </c>
      <c r="E3851" s="1" t="n">
        <f aca="false">LN(D3851)</f>
        <v>0.250758718347183</v>
      </c>
    </row>
    <row r="3852" customFormat="false" ht="15.75" hidden="false" customHeight="false" outlineLevel="0" collapsed="false">
      <c r="A3852" s="1" t="s">
        <v>907</v>
      </c>
      <c r="B3852" s="1" t="n">
        <v>308.15</v>
      </c>
      <c r="C3852" s="1" t="n">
        <f aca="false">1/B3852</f>
        <v>0.00324517280545189</v>
      </c>
      <c r="D3852" s="1" t="n">
        <v>1.093</v>
      </c>
      <c r="E3852" s="1" t="n">
        <f aca="false">LN(D3852)</f>
        <v>0.0889262091944015</v>
      </c>
    </row>
    <row r="3853" customFormat="false" ht="15.75" hidden="false" customHeight="false" outlineLevel="0" collapsed="false">
      <c r="A3853" s="1" t="s">
        <v>907</v>
      </c>
      <c r="B3853" s="1" t="n">
        <v>318.15</v>
      </c>
      <c r="C3853" s="1" t="n">
        <f aca="false">1/B3853</f>
        <v>0.00314317146000314</v>
      </c>
      <c r="D3853" s="1" t="n">
        <v>0.933</v>
      </c>
      <c r="E3853" s="1" t="n">
        <f aca="false">LN(D3853)</f>
        <v>-0.0693500781347932</v>
      </c>
    </row>
    <row r="3854" customFormat="false" ht="15.75" hidden="false" customHeight="false" outlineLevel="0" collapsed="false">
      <c r="A3854" s="1" t="s">
        <v>907</v>
      </c>
      <c r="B3854" s="1" t="n">
        <v>328.15</v>
      </c>
      <c r="C3854" s="1" t="n">
        <f aca="false">1/B3854</f>
        <v>0.00304738686576261</v>
      </c>
      <c r="D3854" s="1" t="n">
        <v>0.789</v>
      </c>
      <c r="E3854" s="1" t="n">
        <f aca="false">LN(D3854)</f>
        <v>-0.236988958136263</v>
      </c>
    </row>
    <row r="3855" customFormat="false" ht="15.75" hidden="false" customHeight="false" outlineLevel="0" collapsed="false">
      <c r="A3855" s="1" t="s">
        <v>907</v>
      </c>
      <c r="B3855" s="1" t="n">
        <v>338.15</v>
      </c>
      <c r="C3855" s="1" t="n">
        <f aca="false">1/B3855</f>
        <v>0.002957267484844</v>
      </c>
      <c r="D3855" s="1" t="n">
        <v>0.681</v>
      </c>
      <c r="E3855" s="1" t="n">
        <f aca="false">LN(D3855)</f>
        <v>-0.384192972832625</v>
      </c>
    </row>
    <row r="3856" customFormat="false" ht="15.75" hidden="false" customHeight="false" outlineLevel="0" collapsed="false">
      <c r="A3856" s="1" t="s">
        <v>907</v>
      </c>
      <c r="B3856" s="1" t="n">
        <v>353.15</v>
      </c>
      <c r="C3856" s="1" t="n">
        <f aca="false">1/B3856</f>
        <v>0.00283165793572137</v>
      </c>
      <c r="D3856" s="1" t="n">
        <v>0.564</v>
      </c>
      <c r="E3856" s="1" t="n">
        <f aca="false">LN(D3856)</f>
        <v>-0.572701027484078</v>
      </c>
    </row>
    <row r="3857" customFormat="false" ht="15.75" hidden="false" customHeight="false" outlineLevel="0" collapsed="false">
      <c r="A3857" s="1" t="s">
        <v>907</v>
      </c>
      <c r="B3857" s="1" t="n">
        <v>373.15</v>
      </c>
      <c r="C3857" s="1" t="n">
        <f aca="false">1/B3857</f>
        <v>0.00267988744472732</v>
      </c>
      <c r="D3857" s="1" t="n">
        <v>0.45</v>
      </c>
      <c r="E3857" s="1" t="n">
        <f aca="false">LN(D3857)</f>
        <v>-0.798507696217772</v>
      </c>
    </row>
    <row r="3858" customFormat="false" ht="15.75" hidden="false" customHeight="false" outlineLevel="0" collapsed="false">
      <c r="A3858" s="1" t="s">
        <v>907</v>
      </c>
      <c r="B3858" s="1" t="n">
        <v>398.15</v>
      </c>
      <c r="C3858" s="1" t="n">
        <f aca="false">1/B3858</f>
        <v>0.00251161622504081</v>
      </c>
      <c r="D3858" s="1" t="n">
        <v>0.354</v>
      </c>
      <c r="E3858" s="1" t="n">
        <f aca="false">LN(D3858)</f>
        <v>-1.03845836584836</v>
      </c>
    </row>
    <row r="3859" customFormat="false" ht="15.75" hidden="false" customHeight="false" outlineLevel="0" collapsed="false">
      <c r="A3859" s="1" t="s">
        <v>907</v>
      </c>
      <c r="B3859" s="1" t="n">
        <v>423.15</v>
      </c>
      <c r="C3859" s="1" t="n">
        <f aca="false">1/B3859</f>
        <v>0.00236322816967978</v>
      </c>
      <c r="D3859" s="1" t="n">
        <v>0.287</v>
      </c>
      <c r="E3859" s="1" t="n">
        <f aca="false">LN(D3859)</f>
        <v>-1.24827306322252</v>
      </c>
    </row>
    <row r="3860" customFormat="false" ht="15.75" hidden="false" customHeight="false" outlineLevel="0" collapsed="false">
      <c r="A3860" s="1" t="s">
        <v>909</v>
      </c>
      <c r="B3860" s="1" t="n">
        <v>283.15</v>
      </c>
      <c r="C3860" s="1" t="n">
        <f aca="false">1/B3860</f>
        <v>0.00353169698039908</v>
      </c>
      <c r="D3860" s="1" t="n">
        <v>0.473</v>
      </c>
      <c r="E3860" s="1" t="n">
        <f aca="false">LN(D3860)</f>
        <v>-0.748659890490204</v>
      </c>
    </row>
    <row r="3861" customFormat="false" ht="15.75" hidden="false" customHeight="false" outlineLevel="0" collapsed="false">
      <c r="A3861" s="1" t="s">
        <v>909</v>
      </c>
      <c r="B3861" s="1" t="n">
        <v>293.15</v>
      </c>
      <c r="C3861" s="1" t="n">
        <f aca="false">1/B3861</f>
        <v>0.00341122292341805</v>
      </c>
      <c r="D3861" s="1" t="n">
        <v>0.415</v>
      </c>
      <c r="E3861" s="1" t="n">
        <f aca="false">LN(D3861)</f>
        <v>-0.879476758751439</v>
      </c>
    </row>
    <row r="3862" customFormat="false" ht="15.75" hidden="false" customHeight="false" outlineLevel="0" collapsed="false">
      <c r="A3862" s="1" t="s">
        <v>909</v>
      </c>
      <c r="B3862" s="1" t="n">
        <v>313.15</v>
      </c>
      <c r="C3862" s="1" t="n">
        <f aca="false">1/B3862</f>
        <v>0.00319335781574325</v>
      </c>
      <c r="D3862" s="1" t="n">
        <v>0.333</v>
      </c>
      <c r="E3862" s="1" t="n">
        <f aca="false">LN(D3862)</f>
        <v>-1.09961278900169</v>
      </c>
    </row>
    <row r="3863" customFormat="false" ht="15.75" hidden="false" customHeight="false" outlineLevel="0" collapsed="false">
      <c r="A3863" s="1" t="s">
        <v>909</v>
      </c>
      <c r="B3863" s="1" t="n">
        <v>333.15</v>
      </c>
      <c r="C3863" s="1" t="n">
        <f aca="false">1/B3863</f>
        <v>0.0030016509079994</v>
      </c>
      <c r="D3863" s="1" t="n">
        <v>0.273</v>
      </c>
      <c r="E3863" s="1" t="n">
        <f aca="false">LN(D3863)</f>
        <v>-1.29828348379718</v>
      </c>
    </row>
    <row r="3864" customFormat="false" ht="15.75" hidden="false" customHeight="false" outlineLevel="0" collapsed="false">
      <c r="A3864" s="1" t="s">
        <v>909</v>
      </c>
      <c r="B3864" s="1" t="n">
        <v>353.15</v>
      </c>
      <c r="C3864" s="1" t="n">
        <f aca="false">1/B3864</f>
        <v>0.00283165793572137</v>
      </c>
      <c r="D3864" s="1" t="n">
        <v>0.227</v>
      </c>
      <c r="E3864" s="1" t="n">
        <f aca="false">LN(D3864)</f>
        <v>-1.48280526150073</v>
      </c>
    </row>
    <row r="3865" customFormat="false" ht="15.75" hidden="false" customHeight="false" outlineLevel="0" collapsed="false">
      <c r="A3865" s="1" t="s">
        <v>1448</v>
      </c>
      <c r="B3865" s="1" t="n">
        <v>298.15</v>
      </c>
      <c r="C3865" s="1" t="n">
        <f aca="false">1/B3865</f>
        <v>0.00335401643468053</v>
      </c>
      <c r="D3865" s="1" t="n">
        <v>0.312</v>
      </c>
      <c r="E3865" s="1" t="n">
        <f aca="false">LN(D3865)</f>
        <v>-1.16475209117265</v>
      </c>
    </row>
    <row r="3866" customFormat="false" ht="15.75" hidden="false" customHeight="false" outlineLevel="0" collapsed="false">
      <c r="A3866" s="1" t="s">
        <v>1449</v>
      </c>
      <c r="B3866" s="1" t="n">
        <v>288.15</v>
      </c>
      <c r="C3866" s="1" t="n">
        <f aca="false">1/B3866</f>
        <v>0.00347041471455839</v>
      </c>
      <c r="D3866" s="1" t="n">
        <v>0.207</v>
      </c>
      <c r="E3866" s="1" t="n">
        <f aca="false">LN(D3866)</f>
        <v>-1.57503648571677</v>
      </c>
    </row>
    <row r="3867" customFormat="false" ht="15.75" hidden="false" customHeight="false" outlineLevel="0" collapsed="false">
      <c r="A3867" s="1" t="s">
        <v>1449</v>
      </c>
      <c r="B3867" s="1" t="n">
        <v>298.15</v>
      </c>
      <c r="C3867" s="1" t="n">
        <f aca="false">1/B3867</f>
        <v>0.00335401643468053</v>
      </c>
      <c r="D3867" s="1" t="n">
        <v>0.186</v>
      </c>
      <c r="E3867" s="1" t="n">
        <f aca="false">LN(D3867)</f>
        <v>-1.68200860526894</v>
      </c>
    </row>
    <row r="3868" customFormat="false" ht="15.75" hidden="false" customHeight="false" outlineLevel="0" collapsed="false">
      <c r="A3868" s="1" t="s">
        <v>1449</v>
      </c>
      <c r="B3868" s="1" t="n">
        <v>308.15</v>
      </c>
      <c r="C3868" s="1" t="n">
        <f aca="false">1/B3868</f>
        <v>0.00324517280545189</v>
      </c>
      <c r="D3868" s="1" t="n">
        <v>0.167</v>
      </c>
      <c r="E3868" s="1" t="n">
        <f aca="false">LN(D3868)</f>
        <v>-1.78976146656538</v>
      </c>
    </row>
    <row r="3869" customFormat="false" ht="15.75" hidden="false" customHeight="false" outlineLevel="0" collapsed="false">
      <c r="A3869" s="1" t="s">
        <v>911</v>
      </c>
      <c r="B3869" s="1" t="n">
        <v>293.1526</v>
      </c>
      <c r="C3869" s="1" t="n">
        <f aca="false">1/B3869</f>
        <v>0.00341119266893761</v>
      </c>
      <c r="D3869" s="1" t="n">
        <v>0.625</v>
      </c>
      <c r="E3869" s="1" t="n">
        <f aca="false">LN(D3869)</f>
        <v>-0.470003629245736</v>
      </c>
    </row>
    <row r="3870" customFormat="false" ht="15.75" hidden="false" customHeight="false" outlineLevel="0" collapsed="false">
      <c r="A3870" s="1" t="s">
        <v>911</v>
      </c>
      <c r="B3870" s="1" t="n">
        <v>303.15</v>
      </c>
      <c r="C3870" s="1" t="n">
        <f aca="false">1/B3870</f>
        <v>0.0032986970146792</v>
      </c>
      <c r="D3870" s="1" t="n">
        <v>0.549</v>
      </c>
      <c r="E3870" s="1" t="n">
        <f aca="false">LN(D3870)</f>
        <v>-0.599656837472606</v>
      </c>
    </row>
    <row r="3871" customFormat="false" ht="15.75" hidden="false" customHeight="false" outlineLevel="0" collapsed="false">
      <c r="A3871" s="1" t="s">
        <v>911</v>
      </c>
      <c r="B3871" s="1" t="n">
        <v>313.15</v>
      </c>
      <c r="C3871" s="1" t="n">
        <f aca="false">1/B3871</f>
        <v>0.00319335781574325</v>
      </c>
      <c r="D3871" s="1" t="n">
        <v>0.487</v>
      </c>
      <c r="E3871" s="1" t="n">
        <f aca="false">LN(D3871)</f>
        <v>-0.719491155899547</v>
      </c>
    </row>
    <row r="3872" customFormat="false" ht="15.75" hidden="false" customHeight="false" outlineLevel="0" collapsed="false">
      <c r="A3872" s="1" t="s">
        <v>911</v>
      </c>
      <c r="B3872" s="1" t="n">
        <v>323.15</v>
      </c>
      <c r="C3872" s="1" t="n">
        <f aca="false">1/B3872</f>
        <v>0.00309453814018258</v>
      </c>
      <c r="D3872" s="1" t="n">
        <v>0.435</v>
      </c>
      <c r="E3872" s="1" t="n">
        <f aca="false">LN(D3872)</f>
        <v>-0.832409247893453</v>
      </c>
    </row>
    <row r="3873" customFormat="false" ht="15.75" hidden="false" customHeight="false" outlineLevel="0" collapsed="false">
      <c r="A3873" s="1" t="s">
        <v>911</v>
      </c>
      <c r="B3873" s="1" t="n">
        <v>333.15</v>
      </c>
      <c r="C3873" s="1" t="n">
        <f aca="false">1/B3873</f>
        <v>0.0030016509079994</v>
      </c>
      <c r="D3873" s="1" t="n">
        <v>0.392</v>
      </c>
      <c r="E3873" s="1" t="n">
        <f aca="false">LN(D3873)</f>
        <v>-0.936493439191674</v>
      </c>
    </row>
    <row r="3874" customFormat="false" ht="15.75" hidden="false" customHeight="false" outlineLevel="0" collapsed="false">
      <c r="A3874" s="1" t="s">
        <v>911</v>
      </c>
      <c r="B3874" s="1" t="n">
        <v>353.15</v>
      </c>
      <c r="C3874" s="1" t="n">
        <f aca="false">1/B3874</f>
        <v>0.00283165793572137</v>
      </c>
      <c r="D3874" s="1" t="n">
        <v>0.355</v>
      </c>
      <c r="E3874" s="1" t="n">
        <f aca="false">LN(D3874)</f>
        <v>-1.03563748950672</v>
      </c>
    </row>
    <row r="3875" customFormat="false" ht="15.75" hidden="false" customHeight="false" outlineLevel="0" collapsed="false">
      <c r="A3875" s="1" t="s">
        <v>911</v>
      </c>
      <c r="B3875" s="1" t="n">
        <v>373.15</v>
      </c>
      <c r="C3875" s="1" t="n">
        <f aca="false">1/B3875</f>
        <v>0.00267988744472732</v>
      </c>
      <c r="D3875" s="1" t="n">
        <v>0.323</v>
      </c>
      <c r="E3875" s="1" t="n">
        <f aca="false">LN(D3875)</f>
        <v>-1.13010295575948</v>
      </c>
    </row>
    <row r="3876" customFormat="false" ht="15.75" hidden="false" customHeight="false" outlineLevel="0" collapsed="false">
      <c r="A3876" s="1" t="s">
        <v>911</v>
      </c>
      <c r="B3876" s="1" t="n">
        <v>298.15202</v>
      </c>
      <c r="C3876" s="1" t="n">
        <f aca="false">1/B3876</f>
        <v>0.00335399371099347</v>
      </c>
      <c r="D3876" s="1" t="n">
        <v>0.589</v>
      </c>
      <c r="E3876" s="1" t="n">
        <f aca="false">LN(D3876)</f>
        <v>-0.52932909533055</v>
      </c>
    </row>
    <row r="3877" customFormat="false" ht="15.75" hidden="false" customHeight="false" outlineLevel="0" collapsed="false">
      <c r="A3877" s="1" t="s">
        <v>911</v>
      </c>
      <c r="B3877" s="1" t="n">
        <v>308.15</v>
      </c>
      <c r="C3877" s="1" t="n">
        <f aca="false">1/B3877</f>
        <v>0.00324517280545189</v>
      </c>
      <c r="D3877" s="1" t="n">
        <v>0.52</v>
      </c>
      <c r="E3877" s="1" t="n">
        <f aca="false">LN(D3877)</f>
        <v>-0.653926467406664</v>
      </c>
    </row>
    <row r="3878" customFormat="false" ht="15.75" hidden="false" customHeight="false" outlineLevel="0" collapsed="false">
      <c r="A3878" s="1" t="s">
        <v>911</v>
      </c>
      <c r="B3878" s="1" t="n">
        <v>318.15</v>
      </c>
      <c r="C3878" s="1" t="n">
        <f aca="false">1/B3878</f>
        <v>0.00314317146000314</v>
      </c>
      <c r="D3878" s="1" t="n">
        <v>0.472</v>
      </c>
      <c r="E3878" s="1" t="n">
        <f aca="false">LN(D3878)</f>
        <v>-0.750776293396582</v>
      </c>
    </row>
    <row r="3879" customFormat="false" ht="15.75" hidden="false" customHeight="false" outlineLevel="0" collapsed="false">
      <c r="A3879" s="1" t="s">
        <v>913</v>
      </c>
      <c r="B3879" s="1" t="n">
        <v>278.15</v>
      </c>
      <c r="C3879" s="1" t="n">
        <f aca="false">1/B3879</f>
        <v>0.00359518245550962</v>
      </c>
      <c r="D3879" s="1" t="n">
        <v>2.256</v>
      </c>
      <c r="E3879" s="1" t="n">
        <f aca="false">LN(D3879)</f>
        <v>0.813593333635812</v>
      </c>
    </row>
    <row r="3880" customFormat="false" ht="15.75" hidden="false" customHeight="false" outlineLevel="0" collapsed="false">
      <c r="A3880" s="1" t="s">
        <v>913</v>
      </c>
      <c r="B3880" s="1" t="n">
        <v>288.15</v>
      </c>
      <c r="C3880" s="1" t="n">
        <f aca="false">1/B3880</f>
        <v>0.00347041471455839</v>
      </c>
      <c r="D3880" s="1" t="n">
        <v>1.774</v>
      </c>
      <c r="E3880" s="1" t="n">
        <f aca="false">LN(D3880)</f>
        <v>0.573236883887388</v>
      </c>
    </row>
    <row r="3881" customFormat="false" ht="15.75" hidden="false" customHeight="false" outlineLevel="0" collapsed="false">
      <c r="A3881" s="1" t="s">
        <v>913</v>
      </c>
      <c r="B3881" s="1" t="n">
        <v>298.15</v>
      </c>
      <c r="C3881" s="1" t="n">
        <f aca="false">1/B3881</f>
        <v>0.00335401643468053</v>
      </c>
      <c r="D3881" s="1" t="n">
        <v>1.438</v>
      </c>
      <c r="E3881" s="1" t="n">
        <f aca="false">LN(D3881)</f>
        <v>0.363253259298855</v>
      </c>
    </row>
    <row r="3882" customFormat="false" ht="15.75" hidden="false" customHeight="false" outlineLevel="0" collapsed="false">
      <c r="A3882" s="1" t="s">
        <v>913</v>
      </c>
      <c r="B3882" s="1" t="n">
        <v>308.15</v>
      </c>
      <c r="C3882" s="1" t="n">
        <f aca="false">1/B3882</f>
        <v>0.00324517280545189</v>
      </c>
      <c r="D3882" s="1" t="n">
        <v>1.189</v>
      </c>
      <c r="E3882" s="1" t="n">
        <f aca="false">LN(D3882)</f>
        <v>0.173112617708645</v>
      </c>
    </row>
    <row r="3883" customFormat="false" ht="15.75" hidden="false" customHeight="false" outlineLevel="0" collapsed="false">
      <c r="A3883" s="1" t="s">
        <v>913</v>
      </c>
      <c r="B3883" s="1" t="n">
        <v>318.15</v>
      </c>
      <c r="C3883" s="1" t="n">
        <f aca="false">1/B3883</f>
        <v>0.00314317146000314</v>
      </c>
      <c r="D3883" s="1" t="n">
        <v>1.006</v>
      </c>
      <c r="E3883" s="1" t="n">
        <f aca="false">LN(D3883)</f>
        <v>0.00598207167754747</v>
      </c>
    </row>
    <row r="3884" customFormat="false" ht="15.75" hidden="false" customHeight="false" outlineLevel="0" collapsed="false">
      <c r="A3884" s="1" t="s">
        <v>913</v>
      </c>
      <c r="B3884" s="1" t="n">
        <v>328.15</v>
      </c>
      <c r="C3884" s="1" t="n">
        <f aca="false">1/B3884</f>
        <v>0.00304738686576261</v>
      </c>
      <c r="D3884" s="1" t="n">
        <v>0.855</v>
      </c>
      <c r="E3884" s="1" t="n">
        <f aca="false">LN(D3884)</f>
        <v>-0.156653810045377</v>
      </c>
    </row>
    <row r="3885" customFormat="false" ht="15.75" hidden="false" customHeight="false" outlineLevel="0" collapsed="false">
      <c r="A3885" s="1" t="s">
        <v>913</v>
      </c>
      <c r="B3885" s="1" t="n">
        <v>338.15</v>
      </c>
      <c r="C3885" s="1" t="n">
        <f aca="false">1/B3885</f>
        <v>0.002957267484844</v>
      </c>
      <c r="D3885" s="1" t="n">
        <v>0.747</v>
      </c>
      <c r="E3885" s="1" t="n">
        <f aca="false">LN(D3885)</f>
        <v>-0.29169009384932</v>
      </c>
    </row>
    <row r="3886" customFormat="false" ht="15.75" hidden="false" customHeight="false" outlineLevel="0" collapsed="false">
      <c r="A3886" s="1" t="s">
        <v>913</v>
      </c>
      <c r="B3886" s="1" t="n">
        <v>348.15</v>
      </c>
      <c r="C3886" s="1" t="n">
        <f aca="false">1/B3886</f>
        <v>0.00287232514720666</v>
      </c>
      <c r="D3886" s="1" t="n">
        <v>0.648</v>
      </c>
      <c r="E3886" s="1" t="n">
        <f aca="false">LN(D3886)</f>
        <v>-0.433864582629862</v>
      </c>
    </row>
    <row r="3887" customFormat="false" ht="15.75" hidden="false" customHeight="false" outlineLevel="0" collapsed="false">
      <c r="A3887" s="1" t="s">
        <v>913</v>
      </c>
      <c r="B3887" s="1" t="n">
        <v>373.15</v>
      </c>
      <c r="C3887" s="1" t="n">
        <f aca="false">1/B3887</f>
        <v>0.00267988744472732</v>
      </c>
      <c r="D3887" s="1" t="n">
        <v>0.487</v>
      </c>
      <c r="E3887" s="1" t="n">
        <f aca="false">LN(D3887)</f>
        <v>-0.719491155899547</v>
      </c>
    </row>
    <row r="3888" customFormat="false" ht="15.75" hidden="false" customHeight="false" outlineLevel="0" collapsed="false">
      <c r="A3888" s="1" t="s">
        <v>913</v>
      </c>
      <c r="B3888" s="1" t="n">
        <v>398.15</v>
      </c>
      <c r="C3888" s="1" t="n">
        <f aca="false">1/B3888</f>
        <v>0.00251161622504081</v>
      </c>
      <c r="D3888" s="1" t="n">
        <v>0.383</v>
      </c>
      <c r="E3888" s="1" t="n">
        <f aca="false">LN(D3888)</f>
        <v>-0.959720289801491</v>
      </c>
    </row>
    <row r="3889" customFormat="false" ht="15.75" hidden="false" customHeight="false" outlineLevel="0" collapsed="false">
      <c r="A3889" s="1" t="s">
        <v>913</v>
      </c>
      <c r="B3889" s="1" t="n">
        <v>423.15</v>
      </c>
      <c r="C3889" s="1" t="n">
        <f aca="false">1/B3889</f>
        <v>0.00236322816967978</v>
      </c>
      <c r="D3889" s="1" t="n">
        <v>0.31</v>
      </c>
      <c r="E3889" s="1" t="n">
        <f aca="false">LN(D3889)</f>
        <v>-1.17118298150295</v>
      </c>
    </row>
    <row r="3890" customFormat="false" ht="15.75" hidden="false" customHeight="false" outlineLevel="0" collapsed="false">
      <c r="A3890" s="1" t="s">
        <v>915</v>
      </c>
      <c r="B3890" s="1" t="n">
        <v>303.15</v>
      </c>
      <c r="C3890" s="1" t="n">
        <f aca="false">1/B3890</f>
        <v>0.0032986970146792</v>
      </c>
      <c r="D3890" s="1" t="n">
        <v>13.5682</v>
      </c>
      <c r="E3890" s="1" t="n">
        <f aca="false">LN(D3890)</f>
        <v>2.60772881950694</v>
      </c>
    </row>
    <row r="3891" customFormat="false" ht="15.75" hidden="false" customHeight="false" outlineLevel="0" collapsed="false">
      <c r="A3891" s="1" t="s">
        <v>915</v>
      </c>
      <c r="B3891" s="1" t="n">
        <v>313.15</v>
      </c>
      <c r="C3891" s="1" t="n">
        <f aca="false">1/B3891</f>
        <v>0.00319335781574325</v>
      </c>
      <c r="D3891" s="1" t="n">
        <v>8.5179</v>
      </c>
      <c r="E3891" s="1" t="n">
        <f aca="false">LN(D3891)</f>
        <v>2.14216983158708</v>
      </c>
    </row>
    <row r="3892" customFormat="false" ht="15.75" hidden="false" customHeight="false" outlineLevel="0" collapsed="false">
      <c r="A3892" s="1" t="s">
        <v>915</v>
      </c>
      <c r="B3892" s="1" t="n">
        <v>334.15</v>
      </c>
      <c r="C3892" s="1" t="n">
        <f aca="false">1/B3892</f>
        <v>0.00299266796348945</v>
      </c>
      <c r="D3892" s="1" t="n">
        <v>4.1701</v>
      </c>
      <c r="E3892" s="1" t="n">
        <f aca="false">LN(D3892)</f>
        <v>1.42794001633852</v>
      </c>
    </row>
    <row r="3893" customFormat="false" ht="15.75" hidden="false" customHeight="false" outlineLevel="0" collapsed="false">
      <c r="A3893" s="1" t="s">
        <v>915</v>
      </c>
      <c r="B3893" s="1" t="n">
        <v>354.15</v>
      </c>
      <c r="C3893" s="1" t="n">
        <f aca="false">1/B3893</f>
        <v>0.00282366228999012</v>
      </c>
      <c r="D3893" s="1" t="n">
        <v>2.5252</v>
      </c>
      <c r="E3893" s="1" t="n">
        <f aca="false">LN(D3893)</f>
        <v>0.926320267511333</v>
      </c>
    </row>
    <row r="3894" customFormat="false" ht="15.75" hidden="false" customHeight="false" outlineLevel="0" collapsed="false">
      <c r="A3894" s="1" t="s">
        <v>915</v>
      </c>
      <c r="B3894" s="1" t="n">
        <v>403.15</v>
      </c>
      <c r="C3894" s="1" t="n">
        <f aca="false">1/B3894</f>
        <v>0.0024804663276696</v>
      </c>
      <c r="D3894" s="1" t="n">
        <v>1.04</v>
      </c>
      <c r="E3894" s="1" t="n">
        <f aca="false">LN(D3894)</f>
        <v>0.0392207131532813</v>
      </c>
    </row>
    <row r="3895" customFormat="false" ht="15.75" hidden="false" customHeight="false" outlineLevel="0" collapsed="false">
      <c r="A3895" s="1" t="s">
        <v>917</v>
      </c>
      <c r="B3895" s="1" t="n">
        <v>332.75</v>
      </c>
      <c r="C3895" s="1" t="n">
        <f aca="false">1/B3895</f>
        <v>0.00300525920360631</v>
      </c>
      <c r="D3895" s="1" t="n">
        <v>1.564</v>
      </c>
      <c r="E3895" s="1" t="n">
        <f aca="false">LN(D3895)</f>
        <v>0.447246642123119</v>
      </c>
    </row>
    <row r="3896" customFormat="false" ht="15.75" hidden="false" customHeight="false" outlineLevel="0" collapsed="false">
      <c r="A3896" s="1" t="s">
        <v>917</v>
      </c>
      <c r="B3896" s="1" t="n">
        <v>373.15</v>
      </c>
      <c r="C3896" s="1" t="n">
        <f aca="false">1/B3896</f>
        <v>0.00267988744472732</v>
      </c>
      <c r="D3896" s="1" t="n">
        <v>0.931</v>
      </c>
      <c r="E3896" s="1" t="n">
        <f aca="false">LN(D3896)</f>
        <v>-0.0714960017050699</v>
      </c>
    </row>
    <row r="3897" customFormat="false" ht="15.75" hidden="false" customHeight="false" outlineLevel="0" collapsed="false">
      <c r="A3897" s="1" t="s">
        <v>917</v>
      </c>
      <c r="B3897" s="1" t="n">
        <v>403.05</v>
      </c>
      <c r="C3897" s="1" t="n">
        <f aca="false">1/B3897</f>
        <v>0.00248108175164372</v>
      </c>
      <c r="D3897" s="1" t="n">
        <v>0.6805</v>
      </c>
      <c r="E3897" s="1" t="n">
        <f aca="false">LN(D3897)</f>
        <v>-0.384927456890616</v>
      </c>
    </row>
    <row r="3898" customFormat="false" ht="15.75" hidden="false" customHeight="false" outlineLevel="0" collapsed="false">
      <c r="A3898" s="1" t="s">
        <v>917</v>
      </c>
      <c r="B3898" s="1" t="n">
        <v>418.55</v>
      </c>
      <c r="C3898" s="1" t="n">
        <f aca="false">1/B3898</f>
        <v>0.00238920081232828</v>
      </c>
      <c r="D3898" s="1" t="n">
        <v>0.582</v>
      </c>
      <c r="E3898" s="1" t="n">
        <f aca="false">LN(D3898)</f>
        <v>-0.541284831250699</v>
      </c>
    </row>
    <row r="3899" customFormat="false" ht="15.75" hidden="false" customHeight="false" outlineLevel="0" collapsed="false">
      <c r="A3899" s="1" t="s">
        <v>917</v>
      </c>
      <c r="B3899" s="1" t="n">
        <v>434.65</v>
      </c>
      <c r="C3899" s="1" t="n">
        <f aca="false">1/B3899</f>
        <v>0.00230070171402278</v>
      </c>
      <c r="D3899" s="1" t="n">
        <v>0.5072</v>
      </c>
      <c r="E3899" s="1" t="n">
        <f aca="false">LN(D3899)</f>
        <v>-0.678849875859121</v>
      </c>
    </row>
    <row r="3900" customFormat="false" ht="15.75" hidden="false" customHeight="false" outlineLevel="0" collapsed="false">
      <c r="A3900" s="1" t="s">
        <v>917</v>
      </c>
      <c r="B3900" s="1" t="n">
        <v>451.45</v>
      </c>
      <c r="C3900" s="1" t="n">
        <f aca="false">1/B3900</f>
        <v>0.00221508472699081</v>
      </c>
      <c r="D3900" s="1" t="n">
        <v>0.442</v>
      </c>
      <c r="E3900" s="1" t="n">
        <f aca="false">LN(D3900)</f>
        <v>-0.816445396904439</v>
      </c>
    </row>
    <row r="3901" customFormat="false" ht="15.75" hidden="false" customHeight="false" outlineLevel="0" collapsed="false">
      <c r="A3901" s="1" t="s">
        <v>917</v>
      </c>
      <c r="B3901" s="1" t="n">
        <v>464.45</v>
      </c>
      <c r="C3901" s="1" t="n">
        <f aca="false">1/B3901</f>
        <v>0.00215308429325008</v>
      </c>
      <c r="D3901" s="1" t="n">
        <v>0.4025</v>
      </c>
      <c r="E3901" s="1" t="n">
        <f aca="false">LN(D3901)</f>
        <v>-0.910060182123519</v>
      </c>
    </row>
    <row r="3902" customFormat="false" ht="15.75" hidden="false" customHeight="false" outlineLevel="0" collapsed="false">
      <c r="A3902" s="1" t="s">
        <v>917</v>
      </c>
      <c r="B3902" s="1" t="n">
        <v>484.15</v>
      </c>
      <c r="C3902" s="1" t="n">
        <f aca="false">1/B3902</f>
        <v>0.00206547557575132</v>
      </c>
      <c r="D3902" s="1" t="n">
        <v>0.3492</v>
      </c>
      <c r="E3902" s="1" t="n">
        <f aca="false">LN(D3902)</f>
        <v>-1.05211045501669</v>
      </c>
    </row>
    <row r="3903" customFormat="false" ht="15.75" hidden="false" customHeight="false" outlineLevel="0" collapsed="false">
      <c r="A3903" s="1" t="s">
        <v>917</v>
      </c>
      <c r="B3903" s="1" t="n">
        <v>533.65</v>
      </c>
      <c r="C3903" s="1" t="n">
        <f aca="false">1/B3903</f>
        <v>0.0018738873793685</v>
      </c>
      <c r="D3903" s="1" t="n">
        <v>0.259</v>
      </c>
      <c r="E3903" s="1" t="n">
        <f aca="false">LN(D3903)</f>
        <v>-1.3509272172826</v>
      </c>
    </row>
    <row r="3904" customFormat="false" ht="15.75" hidden="false" customHeight="false" outlineLevel="0" collapsed="false">
      <c r="A3904" s="1" t="s">
        <v>919</v>
      </c>
      <c r="B3904" s="1" t="n">
        <v>278.1531</v>
      </c>
      <c r="C3904" s="1" t="n">
        <f aca="false">1/B3904</f>
        <v>0.00359514238741182</v>
      </c>
      <c r="D3904" s="1" t="n">
        <v>0.693</v>
      </c>
      <c r="E3904" s="1" t="n">
        <f aca="false">LN(D3904)</f>
        <v>-0.366725279792234</v>
      </c>
    </row>
    <row r="3905" customFormat="false" ht="15.75" hidden="false" customHeight="false" outlineLevel="0" collapsed="false">
      <c r="A3905" s="1" t="s">
        <v>919</v>
      </c>
      <c r="B3905" s="1" t="n">
        <v>288.15</v>
      </c>
      <c r="C3905" s="1" t="n">
        <f aca="false">1/B3905</f>
        <v>0.00347041471455839</v>
      </c>
      <c r="D3905" s="1" t="n">
        <v>0.613</v>
      </c>
      <c r="E3905" s="1" t="n">
        <f aca="false">LN(D3905)</f>
        <v>-0.489390343045926</v>
      </c>
    </row>
    <row r="3906" customFormat="false" ht="15.75" hidden="false" customHeight="false" outlineLevel="0" collapsed="false">
      <c r="A3906" s="1" t="s">
        <v>919</v>
      </c>
      <c r="B3906" s="1" t="n">
        <v>289.15</v>
      </c>
      <c r="C3906" s="1" t="n">
        <f aca="false">1/B3906</f>
        <v>0.00345841258862182</v>
      </c>
      <c r="D3906" s="1" t="n">
        <v>0.525</v>
      </c>
      <c r="E3906" s="1" t="n">
        <f aca="false">LN(D3906)</f>
        <v>-0.644357016390513</v>
      </c>
    </row>
    <row r="3907" customFormat="false" ht="15.75" hidden="false" customHeight="false" outlineLevel="0" collapsed="false">
      <c r="A3907" s="1" t="s">
        <v>919</v>
      </c>
      <c r="B3907" s="1" t="n">
        <v>303.15</v>
      </c>
      <c r="C3907" s="1" t="n">
        <f aca="false">1/B3907</f>
        <v>0.0032986970146792</v>
      </c>
      <c r="D3907" s="1" t="n">
        <v>0.49</v>
      </c>
      <c r="E3907" s="1" t="n">
        <f aca="false">LN(D3907)</f>
        <v>-0.713349887877465</v>
      </c>
    </row>
    <row r="3908" customFormat="false" ht="15.75" hidden="false" customHeight="false" outlineLevel="0" collapsed="false">
      <c r="A3908" s="1" t="s">
        <v>919</v>
      </c>
      <c r="B3908" s="1" t="n">
        <v>313.15</v>
      </c>
      <c r="C3908" s="1" t="n">
        <f aca="false">1/B3908</f>
        <v>0.00319335781574325</v>
      </c>
      <c r="D3908" s="1" t="n">
        <v>0.435</v>
      </c>
      <c r="E3908" s="1" t="n">
        <f aca="false">LN(D3908)</f>
        <v>-0.832409247893453</v>
      </c>
    </row>
    <row r="3909" customFormat="false" ht="15.75" hidden="false" customHeight="false" outlineLevel="0" collapsed="false">
      <c r="A3909" s="1" t="s">
        <v>919</v>
      </c>
      <c r="B3909" s="1" t="n">
        <v>333.15</v>
      </c>
      <c r="C3909" s="1" t="n">
        <f aca="false">1/B3909</f>
        <v>0.0030016509079994</v>
      </c>
      <c r="D3909" s="1" t="n">
        <v>0.336</v>
      </c>
      <c r="E3909" s="1" t="n">
        <f aca="false">LN(D3909)</f>
        <v>-1.09064411901893</v>
      </c>
    </row>
    <row r="3910" customFormat="false" ht="15.75" hidden="false" customHeight="false" outlineLevel="0" collapsed="false">
      <c r="A3910" s="1" t="s">
        <v>919</v>
      </c>
      <c r="B3910" s="1" t="n">
        <v>353.15</v>
      </c>
      <c r="C3910" s="1" t="n">
        <f aca="false">1/B3910</f>
        <v>0.00283165793572137</v>
      </c>
      <c r="D3910" s="1" t="n">
        <v>0.278</v>
      </c>
      <c r="E3910" s="1" t="n">
        <f aca="false">LN(D3910)</f>
        <v>-1.2801341652915</v>
      </c>
    </row>
    <row r="3911" customFormat="false" ht="15.75" hidden="false" customHeight="false" outlineLevel="0" collapsed="false">
      <c r="A3911" s="1" t="s">
        <v>919</v>
      </c>
      <c r="B3911" s="1" t="n">
        <v>293.2565</v>
      </c>
      <c r="C3911" s="1" t="n">
        <f aca="false">1/B3911</f>
        <v>0.00340998409242421</v>
      </c>
      <c r="D3911" s="1" t="n">
        <v>0.5335</v>
      </c>
      <c r="E3911" s="1" t="n">
        <f aca="false">LN(D3911)</f>
        <v>-0.628296208240329</v>
      </c>
    </row>
    <row r="3912" customFormat="false" ht="15.75" hidden="false" customHeight="false" outlineLevel="0" collapsed="false">
      <c r="A3912" s="1" t="s">
        <v>919</v>
      </c>
      <c r="B3912" s="1" t="n">
        <v>310.35</v>
      </c>
      <c r="C3912" s="1" t="n">
        <f aca="false">1/B3912</f>
        <v>0.00322216851941356</v>
      </c>
      <c r="D3912" s="1" t="n">
        <v>0.4267</v>
      </c>
      <c r="E3912" s="1" t="n">
        <f aca="false">LN(D3912)</f>
        <v>-0.851674088788183</v>
      </c>
    </row>
    <row r="3913" customFormat="false" ht="15.75" hidden="false" customHeight="false" outlineLevel="0" collapsed="false">
      <c r="A3913" s="1" t="s">
        <v>919</v>
      </c>
      <c r="B3913" s="1" t="n">
        <v>337.65</v>
      </c>
      <c r="C3913" s="1" t="n">
        <f aca="false">1/B3913</f>
        <v>0.00296164667555161</v>
      </c>
      <c r="D3913" s="1" t="n">
        <v>0.3179</v>
      </c>
      <c r="E3913" s="1" t="n">
        <f aca="false">LN(D3913)</f>
        <v>-1.14601841106538</v>
      </c>
    </row>
    <row r="3914" customFormat="false" ht="15.75" hidden="false" customHeight="false" outlineLevel="0" collapsed="false">
      <c r="A3914" s="1" t="s">
        <v>919</v>
      </c>
      <c r="B3914" s="1" t="n">
        <v>352.65</v>
      </c>
      <c r="C3914" s="1" t="n">
        <f aca="false">1/B3914</f>
        <v>0.00283567276336311</v>
      </c>
      <c r="D3914" s="1" t="n">
        <v>0.2744</v>
      </c>
      <c r="E3914" s="1" t="n">
        <f aca="false">LN(D3914)</f>
        <v>-1.29316838313041</v>
      </c>
    </row>
    <row r="3915" customFormat="false" ht="15.75" hidden="false" customHeight="false" outlineLevel="0" collapsed="false">
      <c r="A3915" s="1" t="s">
        <v>919</v>
      </c>
      <c r="B3915" s="1" t="n">
        <v>366.45</v>
      </c>
      <c r="C3915" s="1" t="n">
        <f aca="false">1/B3915</f>
        <v>0.00272888525037522</v>
      </c>
      <c r="D3915" s="1" t="n">
        <v>0.2422</v>
      </c>
      <c r="E3915" s="1" t="n">
        <f aca="false">LN(D3915)</f>
        <v>-1.41799144786315</v>
      </c>
    </row>
    <row r="3916" customFormat="false" ht="15.75" hidden="false" customHeight="false" outlineLevel="0" collapsed="false">
      <c r="A3916" s="1" t="s">
        <v>919</v>
      </c>
      <c r="B3916" s="1" t="n">
        <v>376.65</v>
      </c>
      <c r="C3916" s="1" t="n">
        <f aca="false">1/B3916</f>
        <v>0.00265498473383778</v>
      </c>
      <c r="D3916" s="1" t="n">
        <v>0.2215</v>
      </c>
      <c r="E3916" s="1" t="n">
        <f aca="false">LN(D3916)</f>
        <v>-1.50733268949695</v>
      </c>
    </row>
    <row r="3917" customFormat="false" ht="15.75" hidden="false" customHeight="false" outlineLevel="0" collapsed="false">
      <c r="A3917" s="1" t="s">
        <v>919</v>
      </c>
      <c r="B3917" s="1" t="n">
        <v>308.15</v>
      </c>
      <c r="C3917" s="1" t="n">
        <f aca="false">1/B3917</f>
        <v>0.00324517280545189</v>
      </c>
      <c r="D3917" s="1" t="n">
        <v>0.453</v>
      </c>
      <c r="E3917" s="1" t="n">
        <f aca="false">LN(D3917)</f>
        <v>-0.791863153499103</v>
      </c>
    </row>
    <row r="3918" customFormat="false" ht="15.75" hidden="false" customHeight="false" outlineLevel="0" collapsed="false">
      <c r="A3918" s="1" t="s">
        <v>919</v>
      </c>
      <c r="B3918" s="1" t="n">
        <v>325.45</v>
      </c>
      <c r="C3918" s="1" t="n">
        <f aca="false">1/B3918</f>
        <v>0.00307266861269012</v>
      </c>
      <c r="D3918" s="1" t="n">
        <v>0.361</v>
      </c>
      <c r="E3918" s="1" t="n">
        <f aca="false">LN(D3918)</f>
        <v>-1.01887732064926</v>
      </c>
    </row>
    <row r="3919" customFormat="false" ht="15.75" hidden="false" customHeight="false" outlineLevel="0" collapsed="false">
      <c r="A3919" s="1" t="s">
        <v>919</v>
      </c>
      <c r="B3919" s="1" t="n">
        <v>382.05</v>
      </c>
      <c r="C3919" s="1" t="n">
        <f aca="false">1/B3919</f>
        <v>0.00261745844784714</v>
      </c>
      <c r="D3919" s="1" t="n">
        <v>0.2116</v>
      </c>
      <c r="E3919" s="1" t="n">
        <f aca="false">LN(D3919)</f>
        <v>-1.55305757899799</v>
      </c>
    </row>
    <row r="3920" customFormat="false" ht="15.75" hidden="false" customHeight="false" outlineLevel="0" collapsed="false">
      <c r="A3920" s="1" t="s">
        <v>921</v>
      </c>
      <c r="B3920" s="1" t="n">
        <v>263.6</v>
      </c>
      <c r="C3920" s="1" t="n">
        <f aca="false">1/B3920</f>
        <v>0.00379362670713202</v>
      </c>
      <c r="D3920" s="1" t="n">
        <v>2.8966</v>
      </c>
      <c r="E3920" s="1" t="n">
        <f aca="false">LN(D3920)</f>
        <v>1.06353763538462</v>
      </c>
    </row>
    <row r="3921" customFormat="false" ht="15.75" hidden="false" customHeight="false" outlineLevel="0" collapsed="false">
      <c r="A3921" s="1" t="s">
        <v>921</v>
      </c>
      <c r="B3921" s="1" t="n">
        <v>264.33</v>
      </c>
      <c r="C3921" s="1" t="n">
        <f aca="false">1/B3921</f>
        <v>0.00378314985056558</v>
      </c>
      <c r="D3921" s="1" t="n">
        <v>2.8397</v>
      </c>
      <c r="E3921" s="1" t="n">
        <f aca="false">LN(D3921)</f>
        <v>1.04369841279065</v>
      </c>
    </row>
    <row r="3922" customFormat="false" ht="15.75" hidden="false" customHeight="false" outlineLevel="0" collapsed="false">
      <c r="A3922" s="1" t="s">
        <v>921</v>
      </c>
      <c r="B3922" s="1" t="n">
        <v>265.05</v>
      </c>
      <c r="C3922" s="1" t="n">
        <f aca="false">1/B3922</f>
        <v>0.00377287304282211</v>
      </c>
      <c r="D3922" s="1" t="n">
        <v>2.7846</v>
      </c>
      <c r="E3922" s="1" t="n">
        <f aca="false">LN(D3922)</f>
        <v>1.02410423649305</v>
      </c>
    </row>
    <row r="3923" customFormat="false" ht="15.75" hidden="false" customHeight="false" outlineLevel="0" collapsed="false">
      <c r="A3923" s="1" t="s">
        <v>921</v>
      </c>
      <c r="B3923" s="1" t="n">
        <v>265.78</v>
      </c>
      <c r="C3923" s="1" t="n">
        <f aca="false">1/B3923</f>
        <v>0.00376251034690345</v>
      </c>
      <c r="D3923" s="1" t="n">
        <v>2.7311</v>
      </c>
      <c r="E3923" s="1" t="n">
        <f aca="false">LN(D3923)</f>
        <v>1.00470445844514</v>
      </c>
    </row>
    <row r="3924" customFormat="false" ht="15.75" hidden="false" customHeight="false" outlineLevel="0" collapsed="false">
      <c r="A3924" s="1" t="s">
        <v>921</v>
      </c>
      <c r="B3924" s="1" t="n">
        <v>266.51</v>
      </c>
      <c r="C3924" s="1" t="n">
        <f aca="false">1/B3924</f>
        <v>0.00375220442009681</v>
      </c>
      <c r="D3924" s="1" t="n">
        <v>2.6792</v>
      </c>
      <c r="E3924" s="1" t="n">
        <f aca="false">LN(D3924)</f>
        <v>0.985518242497858</v>
      </c>
    </row>
    <row r="3925" customFormat="false" ht="15.75" hidden="false" customHeight="false" outlineLevel="0" collapsed="false">
      <c r="A3925" s="1" t="s">
        <v>921</v>
      </c>
      <c r="B3925" s="1" t="n">
        <v>267.24</v>
      </c>
      <c r="C3925" s="1" t="n">
        <f aca="false">1/B3925</f>
        <v>0.00374195479718605</v>
      </c>
      <c r="D3925" s="1" t="n">
        <v>2.6288</v>
      </c>
      <c r="E3925" s="1" t="n">
        <f aca="false">LN(D3925)</f>
        <v>0.966527468300867</v>
      </c>
    </row>
    <row r="3926" customFormat="false" ht="15.75" hidden="false" customHeight="false" outlineLevel="0" collapsed="false">
      <c r="A3926" s="1" t="s">
        <v>921</v>
      </c>
      <c r="B3926" s="1" t="n">
        <v>267.96</v>
      </c>
      <c r="C3926" s="1" t="n">
        <f aca="false">1/B3926</f>
        <v>0.00373190028362442</v>
      </c>
      <c r="D3926" s="1" t="n">
        <v>2.5799</v>
      </c>
      <c r="E3926" s="1" t="n">
        <f aca="false">LN(D3926)</f>
        <v>0.947750638492427</v>
      </c>
    </row>
    <row r="3927" customFormat="false" ht="15.75" hidden="false" customHeight="false" outlineLevel="0" collapsed="false">
      <c r="A3927" s="1" t="s">
        <v>921</v>
      </c>
      <c r="B3927" s="1" t="n">
        <v>268.69</v>
      </c>
      <c r="C3927" s="1" t="n">
        <f aca="false">1/B3927</f>
        <v>0.0037217611373702</v>
      </c>
      <c r="D3927" s="1" t="n">
        <v>2.5325</v>
      </c>
      <c r="E3927" s="1" t="n">
        <f aca="false">LN(D3927)</f>
        <v>0.929206957140701</v>
      </c>
    </row>
    <row r="3928" customFormat="false" ht="15.75" hidden="false" customHeight="false" outlineLevel="0" collapsed="false">
      <c r="A3928" s="1" t="s">
        <v>921</v>
      </c>
      <c r="B3928" s="1" t="n">
        <v>269.42</v>
      </c>
      <c r="C3928" s="1" t="n">
        <f aca="false">1/B3928</f>
        <v>0.00371167693563952</v>
      </c>
      <c r="D3928" s="1" t="n">
        <v>2.4864</v>
      </c>
      <c r="E3928" s="1" t="n">
        <f aca="false">LN(D3928)</f>
        <v>0.910835881191191</v>
      </c>
    </row>
    <row r="3929" customFormat="false" ht="15.75" hidden="false" customHeight="false" outlineLevel="0" collapsed="false">
      <c r="A3929" s="1" t="s">
        <v>921</v>
      </c>
      <c r="B3929" s="1" t="n">
        <v>270.15</v>
      </c>
      <c r="C3929" s="1" t="n">
        <f aca="false">1/B3929</f>
        <v>0.00370164723301869</v>
      </c>
      <c r="D3929" s="1" t="n">
        <v>2.4416</v>
      </c>
      <c r="E3929" s="1" t="n">
        <f aca="false">LN(D3929)</f>
        <v>0.892653562108001</v>
      </c>
    </row>
    <row r="3930" customFormat="false" ht="15.75" hidden="false" customHeight="false" outlineLevel="0" collapsed="false">
      <c r="A3930" s="1" t="s">
        <v>921</v>
      </c>
      <c r="B3930" s="1" t="n">
        <v>270.87</v>
      </c>
      <c r="C3930" s="1" t="n">
        <f aca="false">1/B3930</f>
        <v>0.00369180787831801</v>
      </c>
      <c r="D3930" s="1" t="n">
        <v>2.398</v>
      </c>
      <c r="E3930" s="1" t="n">
        <f aca="false">LN(D3930)</f>
        <v>0.874635056605323</v>
      </c>
    </row>
    <row r="3931" customFormat="false" ht="15.75" hidden="false" customHeight="false" outlineLevel="0" collapsed="false">
      <c r="A3931" s="1" t="s">
        <v>921</v>
      </c>
      <c r="B3931" s="1" t="n">
        <v>271.6</v>
      </c>
      <c r="C3931" s="1" t="n">
        <f aca="false">1/B3931</f>
        <v>0.00368188512518409</v>
      </c>
      <c r="D3931" s="1" t="n">
        <v>2.3557</v>
      </c>
      <c r="E3931" s="1" t="n">
        <f aca="false">LN(D3931)</f>
        <v>0.856837923216424</v>
      </c>
    </row>
    <row r="3932" customFormat="false" ht="15.75" hidden="false" customHeight="false" outlineLevel="0" collapsed="false">
      <c r="A3932" s="1" t="s">
        <v>921</v>
      </c>
      <c r="B3932" s="1" t="n">
        <v>272.33</v>
      </c>
      <c r="C3932" s="1" t="n">
        <f aca="false">1/B3932</f>
        <v>0.00367201556934601</v>
      </c>
      <c r="D3932" s="1" t="n">
        <v>2.3145</v>
      </c>
      <c r="E3932" s="1" t="n">
        <f aca="false">LN(D3932)</f>
        <v>0.839193681489188</v>
      </c>
    </row>
    <row r="3933" customFormat="false" ht="15.75" hidden="false" customHeight="false" outlineLevel="0" collapsed="false">
      <c r="A3933" s="1" t="s">
        <v>921</v>
      </c>
      <c r="B3933" s="1" t="n">
        <v>273.06</v>
      </c>
      <c r="C3933" s="1" t="n">
        <f aca="false">1/B3933</f>
        <v>0.00366219878415</v>
      </c>
      <c r="D3933" s="1" t="n">
        <v>2.2745</v>
      </c>
      <c r="E3933" s="1" t="n">
        <f aca="false">LN(D3933)</f>
        <v>0.821760248027922</v>
      </c>
    </row>
    <row r="3934" customFormat="false" ht="15.75" hidden="false" customHeight="false" outlineLevel="0" collapsed="false">
      <c r="A3934" s="1" t="s">
        <v>921</v>
      </c>
      <c r="B3934" s="1" t="n">
        <v>273.78</v>
      </c>
      <c r="C3934" s="1" t="n">
        <f aca="false">1/B3934</f>
        <v>0.00365256775513186</v>
      </c>
      <c r="D3934" s="1" t="n">
        <v>2.2355</v>
      </c>
      <c r="E3934" s="1" t="n">
        <f aca="false">LN(D3934)</f>
        <v>0.804464916691898</v>
      </c>
    </row>
    <row r="3935" customFormat="false" ht="15.75" hidden="false" customHeight="false" outlineLevel="0" collapsed="false">
      <c r="A3935" s="1" t="s">
        <v>921</v>
      </c>
      <c r="B3935" s="1" t="n">
        <v>274.51</v>
      </c>
      <c r="C3935" s="1" t="n">
        <f aca="false">1/B3935</f>
        <v>0.00364285454081819</v>
      </c>
      <c r="D3935" s="1" t="n">
        <v>2.1975</v>
      </c>
      <c r="E3935" s="1" t="n">
        <f aca="false">LN(D3935)</f>
        <v>0.787320350577195</v>
      </c>
    </row>
    <row r="3936" customFormat="false" ht="15.75" hidden="false" customHeight="false" outlineLevel="0" collapsed="false">
      <c r="A3936" s="1" t="s">
        <v>921</v>
      </c>
      <c r="B3936" s="1" t="n">
        <v>275.24</v>
      </c>
      <c r="C3936" s="1" t="n">
        <f aca="false">1/B3936</f>
        <v>0.00363319284987647</v>
      </c>
      <c r="D3936" s="1" t="n">
        <v>2.1606</v>
      </c>
      <c r="E3936" s="1" t="n">
        <f aca="false">LN(D3936)</f>
        <v>0.770385960900748</v>
      </c>
    </row>
    <row r="3937" customFormat="false" ht="15.75" hidden="false" customHeight="false" outlineLevel="0" collapsed="false">
      <c r="A3937" s="1" t="s">
        <v>921</v>
      </c>
      <c r="B3937" s="1" t="n">
        <v>275.96</v>
      </c>
      <c r="C3937" s="1" t="n">
        <f aca="false">1/B3937</f>
        <v>0.0036237135816785</v>
      </c>
      <c r="D3937" s="1" t="n">
        <v>2.1246</v>
      </c>
      <c r="E3937" s="1" t="n">
        <f aca="false">LN(D3937)</f>
        <v>0.753583549363776</v>
      </c>
    </row>
    <row r="3938" customFormat="false" ht="15.75" hidden="false" customHeight="false" outlineLevel="0" collapsed="false">
      <c r="A3938" s="1" t="s">
        <v>921</v>
      </c>
      <c r="B3938" s="1" t="n">
        <v>276.69</v>
      </c>
      <c r="C3938" s="1" t="n">
        <f aca="false">1/B3938</f>
        <v>0.003614153023239</v>
      </c>
      <c r="D3938" s="1" t="n">
        <v>2.0896</v>
      </c>
      <c r="E3938" s="1" t="n">
        <f aca="false">LN(D3938)</f>
        <v>0.736972660099975</v>
      </c>
    </row>
    <row r="3939" customFormat="false" ht="15.75" hidden="false" customHeight="false" outlineLevel="0" collapsed="false">
      <c r="A3939" s="1" t="s">
        <v>921</v>
      </c>
      <c r="B3939" s="1" t="n">
        <v>277.42</v>
      </c>
      <c r="C3939" s="1" t="n">
        <f aca="false">1/B3939</f>
        <v>0.00360464277990051</v>
      </c>
      <c r="D3939" s="1" t="n">
        <v>2.0555</v>
      </c>
      <c r="E3939" s="1" t="n">
        <f aca="false">LN(D3939)</f>
        <v>0.720519127355796</v>
      </c>
    </row>
    <row r="3940" customFormat="false" ht="15.75" hidden="false" customHeight="false" outlineLevel="0" collapsed="false">
      <c r="A3940" s="1" t="s">
        <v>921</v>
      </c>
      <c r="B3940" s="1" t="n">
        <v>278.15</v>
      </c>
      <c r="C3940" s="1" t="n">
        <f aca="false">1/B3940</f>
        <v>0.00359518245550962</v>
      </c>
      <c r="D3940" s="1" t="n">
        <v>2.0222</v>
      </c>
      <c r="E3940" s="1" t="n">
        <f aca="false">LN(D3940)</f>
        <v>0.704186027675162</v>
      </c>
    </row>
    <row r="3941" customFormat="false" ht="15.75" hidden="false" customHeight="false" outlineLevel="0" collapsed="false">
      <c r="A3941" s="1" t="s">
        <v>921</v>
      </c>
      <c r="B3941" s="1" t="n">
        <v>278.87</v>
      </c>
      <c r="C3941" s="1" t="n">
        <f aca="false">1/B3941</f>
        <v>0.00358590024025532</v>
      </c>
      <c r="D3941" s="1" t="n">
        <v>1.9898</v>
      </c>
      <c r="E3941" s="1" t="n">
        <f aca="false">LN(D3941)</f>
        <v>0.688034131173122</v>
      </c>
    </row>
    <row r="3942" customFormat="false" ht="15.75" hidden="false" customHeight="false" outlineLevel="0" collapsed="false">
      <c r="A3942" s="1" t="s">
        <v>921</v>
      </c>
      <c r="B3942" s="1" t="n">
        <v>279.6</v>
      </c>
      <c r="C3942" s="1" t="n">
        <f aca="false">1/B3942</f>
        <v>0.00357653791130186</v>
      </c>
      <c r="D3942" s="1" t="n">
        <v>1.9582</v>
      </c>
      <c r="E3942" s="1" t="n">
        <f aca="false">LN(D3942)</f>
        <v>0.672025683937834</v>
      </c>
    </row>
    <row r="3943" customFormat="false" ht="15.75" hidden="false" customHeight="false" outlineLevel="0" collapsed="false">
      <c r="A3943" s="1" t="s">
        <v>921</v>
      </c>
      <c r="B3943" s="1" t="n">
        <v>280.33</v>
      </c>
      <c r="C3943" s="1" t="n">
        <f aca="false">1/B3943</f>
        <v>0.00356722434273891</v>
      </c>
      <c r="D3943" s="1" t="n">
        <v>1.9273</v>
      </c>
      <c r="E3943" s="1" t="n">
        <f aca="false">LN(D3943)</f>
        <v>0.656120059722869</v>
      </c>
    </row>
    <row r="3944" customFormat="false" ht="15.75" hidden="false" customHeight="false" outlineLevel="0" collapsed="false">
      <c r="A3944" s="1" t="s">
        <v>921</v>
      </c>
      <c r="B3944" s="1" t="n">
        <v>281.06</v>
      </c>
      <c r="C3944" s="1" t="n">
        <f aca="false">1/B3944</f>
        <v>0.0035579591546289</v>
      </c>
      <c r="D3944" s="1" t="n">
        <v>1.8972</v>
      </c>
      <c r="E3944" s="1" t="n">
        <f aca="false">LN(D3944)</f>
        <v>0.64037911502129</v>
      </c>
    </row>
    <row r="3945" customFormat="false" ht="15.75" hidden="false" customHeight="false" outlineLevel="0" collapsed="false">
      <c r="A3945" s="1" t="s">
        <v>921</v>
      </c>
      <c r="B3945" s="1" t="n">
        <v>281.78</v>
      </c>
      <c r="C3945" s="1" t="n">
        <f aca="false">1/B3945</f>
        <v>0.00354886791113635</v>
      </c>
      <c r="D3945" s="1" t="n">
        <v>1.8679</v>
      </c>
      <c r="E3945" s="1" t="n">
        <f aca="false">LN(D3945)</f>
        <v>0.62481480518312</v>
      </c>
    </row>
    <row r="3946" customFormat="false" ht="15.75" hidden="false" customHeight="false" outlineLevel="0" collapsed="false">
      <c r="A3946" s="1" t="s">
        <v>921</v>
      </c>
      <c r="B3946" s="1" t="n">
        <v>282.51</v>
      </c>
      <c r="C3946" s="1" t="n">
        <f aca="false">1/B3946</f>
        <v>0.00353969770981558</v>
      </c>
      <c r="D3946" s="1" t="n">
        <v>1.8393</v>
      </c>
      <c r="E3946" s="1" t="n">
        <f aca="false">LN(D3946)</f>
        <v>0.609385064454615</v>
      </c>
    </row>
    <row r="3947" customFormat="false" ht="15.75" hidden="false" customHeight="false" outlineLevel="0" collapsed="false">
      <c r="A3947" s="1" t="s">
        <v>921</v>
      </c>
      <c r="B3947" s="1" t="n">
        <v>283.24</v>
      </c>
      <c r="C3947" s="1" t="n">
        <f aca="false">1/B3947</f>
        <v>0.00353057477757379</v>
      </c>
      <c r="D3947" s="1" t="n">
        <v>1.8113</v>
      </c>
      <c r="E3947" s="1" t="n">
        <f aca="false">LN(D3947)</f>
        <v>0.594044819516734</v>
      </c>
    </row>
    <row r="3948" customFormat="false" ht="15.75" hidden="false" customHeight="false" outlineLevel="0" collapsed="false">
      <c r="A3948" s="1" t="s">
        <v>921</v>
      </c>
      <c r="B3948" s="1" t="n">
        <v>283.97</v>
      </c>
      <c r="C3948" s="1" t="n">
        <f aca="false">1/B3948</f>
        <v>0.00352149874986794</v>
      </c>
      <c r="D3948" s="1" t="n">
        <v>1.784</v>
      </c>
      <c r="E3948" s="1" t="n">
        <f aca="false">LN(D3948)</f>
        <v>0.578858034157818</v>
      </c>
    </row>
    <row r="3949" customFormat="false" ht="15.75" hidden="false" customHeight="false" outlineLevel="0" collapsed="false">
      <c r="A3949" s="1" t="s">
        <v>921</v>
      </c>
      <c r="B3949" s="1" t="n">
        <v>284.69</v>
      </c>
      <c r="C3949" s="1" t="n">
        <f aca="false">1/B3949</f>
        <v>0.003512592644631</v>
      </c>
      <c r="D3949" s="1" t="n">
        <v>1.7574</v>
      </c>
      <c r="E3949" s="1" t="n">
        <f aca="false">LN(D3949)</f>
        <v>0.563835444079606</v>
      </c>
    </row>
    <row r="3950" customFormat="false" ht="15.75" hidden="false" customHeight="false" outlineLevel="0" collapsed="false">
      <c r="A3950" s="1" t="s">
        <v>921</v>
      </c>
      <c r="B3950" s="1" t="n">
        <v>285.42</v>
      </c>
      <c r="C3950" s="1" t="n">
        <f aca="false">1/B3950</f>
        <v>0.00350360871697849</v>
      </c>
      <c r="D3950" s="1" t="n">
        <v>1.7313</v>
      </c>
      <c r="E3950" s="1" t="n">
        <f aca="false">LN(D3950)</f>
        <v>0.548872571402893</v>
      </c>
    </row>
    <row r="3951" customFormat="false" ht="15.75" hidden="false" customHeight="false" outlineLevel="0" collapsed="false">
      <c r="A3951" s="1" t="s">
        <v>921</v>
      </c>
      <c r="B3951" s="1" t="n">
        <v>286.15</v>
      </c>
      <c r="C3951" s="1" t="n">
        <f aca="false">1/B3951</f>
        <v>0.00349467062729338</v>
      </c>
      <c r="D3951" s="1" t="n">
        <v>1.7059</v>
      </c>
      <c r="E3951" s="1" t="n">
        <f aca="false">LN(D3951)</f>
        <v>0.534092830704337</v>
      </c>
    </row>
    <row r="3952" customFormat="false" ht="15.75" hidden="false" customHeight="false" outlineLevel="0" collapsed="false">
      <c r="A3952" s="1" t="s">
        <v>921</v>
      </c>
      <c r="B3952" s="1" t="n">
        <v>286.87</v>
      </c>
      <c r="C3952" s="1" t="n">
        <f aca="false">1/B3952</f>
        <v>0.00348589953637536</v>
      </c>
      <c r="D3952" s="1" t="n">
        <v>1.6811</v>
      </c>
      <c r="E3952" s="1" t="n">
        <f aca="false">LN(D3952)</f>
        <v>0.519448341056876</v>
      </c>
    </row>
    <row r="3953" customFormat="false" ht="15.75" hidden="false" customHeight="false" outlineLevel="0" collapsed="false">
      <c r="A3953" s="1" t="s">
        <v>921</v>
      </c>
      <c r="B3953" s="1" t="n">
        <v>287.6</v>
      </c>
      <c r="C3953" s="1" t="n">
        <f aca="false">1/B3953</f>
        <v>0.00347705146036161</v>
      </c>
      <c r="D3953" s="1" t="n">
        <v>1.6568</v>
      </c>
      <c r="E3953" s="1" t="n">
        <f aca="false">LN(D3953)</f>
        <v>0.504888031099237</v>
      </c>
    </row>
    <row r="3954" customFormat="false" ht="15.75" hidden="false" customHeight="false" outlineLevel="0" collapsed="false">
      <c r="A3954" s="1" t="s">
        <v>921</v>
      </c>
      <c r="B3954" s="1" t="n">
        <v>288.33</v>
      </c>
      <c r="C3954" s="1" t="n">
        <f aca="false">1/B3954</f>
        <v>0.00346824818784032</v>
      </c>
      <c r="D3954" s="1" t="n">
        <v>1.6331</v>
      </c>
      <c r="E3954" s="1" t="n">
        <f aca="false">LN(D3954)</f>
        <v>0.490480049100561</v>
      </c>
    </row>
    <row r="3955" customFormat="false" ht="15.75" hidden="false" customHeight="false" outlineLevel="0" collapsed="false">
      <c r="A3955" s="1" t="s">
        <v>921</v>
      </c>
      <c r="B3955" s="1" t="n">
        <v>289.06</v>
      </c>
      <c r="C3955" s="1" t="n">
        <f aca="false">1/B3955</f>
        <v>0.00345948937936761</v>
      </c>
      <c r="D3955" s="1" t="n">
        <v>1.6099</v>
      </c>
      <c r="E3955" s="1" t="n">
        <f aca="false">LN(D3955)</f>
        <v>0.476172065266112</v>
      </c>
    </row>
    <row r="3956" customFormat="false" ht="15.75" hidden="false" customHeight="false" outlineLevel="0" collapsed="false">
      <c r="A3956" s="1" t="s">
        <v>921</v>
      </c>
      <c r="B3956" s="1" t="n">
        <v>289.78</v>
      </c>
      <c r="C3956" s="1" t="n">
        <f aca="false">1/B3956</f>
        <v>0.00345089378148941</v>
      </c>
      <c r="D3956" s="1" t="n">
        <v>1.5872</v>
      </c>
      <c r="E3956" s="1" t="n">
        <f aca="false">LN(D3956)</f>
        <v>0.461971457548471</v>
      </c>
    </row>
    <row r="3957" customFormat="false" ht="15.75" hidden="false" customHeight="false" outlineLevel="0" collapsed="false">
      <c r="A3957" s="1" t="s">
        <v>921</v>
      </c>
      <c r="B3957" s="1" t="n">
        <v>290.51</v>
      </c>
      <c r="C3957" s="1" t="n">
        <f aca="false">1/B3957</f>
        <v>0.00344222229871605</v>
      </c>
      <c r="D3957" s="1" t="n">
        <v>1.565</v>
      </c>
      <c r="E3957" s="1" t="n">
        <f aca="false">LN(D3957)</f>
        <v>0.447885823992116</v>
      </c>
    </row>
    <row r="3958" customFormat="false" ht="15.75" hidden="false" customHeight="false" outlineLevel="0" collapsed="false">
      <c r="A3958" s="1" t="s">
        <v>921</v>
      </c>
      <c r="B3958" s="1" t="n">
        <v>291.24</v>
      </c>
      <c r="C3958" s="1" t="n">
        <f aca="false">1/B3958</f>
        <v>0.00343359428649911</v>
      </c>
      <c r="D3958" s="1" t="n">
        <v>1.5433</v>
      </c>
      <c r="E3958" s="1" t="n">
        <f aca="false">LN(D3958)</f>
        <v>0.433922980924649</v>
      </c>
    </row>
    <row r="3959" customFormat="false" ht="15.75" hidden="false" customHeight="false" outlineLevel="0" collapsed="false">
      <c r="A3959" s="1" t="s">
        <v>921</v>
      </c>
      <c r="B3959" s="1" t="n">
        <v>291.97</v>
      </c>
      <c r="C3959" s="1" t="n">
        <f aca="false">1/B3959</f>
        <v>0.0034250094187759</v>
      </c>
      <c r="D3959" s="1" t="n">
        <v>1.5221</v>
      </c>
      <c r="E3959" s="1" t="n">
        <f aca="false">LN(D3959)</f>
        <v>0.420090960303484</v>
      </c>
    </row>
    <row r="3960" customFormat="false" ht="15.75" hidden="false" customHeight="false" outlineLevel="0" collapsed="false">
      <c r="A3960" s="1" t="s">
        <v>921</v>
      </c>
      <c r="B3960" s="1" t="n">
        <v>292.69</v>
      </c>
      <c r="C3960" s="1" t="n">
        <f aca="false">1/B3960</f>
        <v>0.0034165840992176</v>
      </c>
      <c r="D3960" s="1" t="n">
        <v>1.5013</v>
      </c>
      <c r="E3960" s="1" t="n">
        <f aca="false">LN(D3960)</f>
        <v>0.406331399436122</v>
      </c>
    </row>
    <row r="3961" customFormat="false" ht="15.75" hidden="false" customHeight="false" outlineLevel="0" collapsed="false">
      <c r="A3961" s="1" t="s">
        <v>921</v>
      </c>
      <c r="B3961" s="1" t="n">
        <v>293.42</v>
      </c>
      <c r="C3961" s="1" t="n">
        <f aca="false">1/B3961</f>
        <v>0.00340808397518915</v>
      </c>
      <c r="D3961" s="1" t="n">
        <v>1.481</v>
      </c>
      <c r="E3961" s="1" t="n">
        <f aca="false">LN(D3961)</f>
        <v>0.392717535285662</v>
      </c>
    </row>
    <row r="3962" customFormat="false" ht="15.75" hidden="false" customHeight="false" outlineLevel="0" collapsed="false">
      <c r="A3962" s="1" t="s">
        <v>921</v>
      </c>
      <c r="B3962" s="1" t="n">
        <v>294.15</v>
      </c>
      <c r="C3962" s="1" t="n">
        <f aca="false">1/B3962</f>
        <v>0.00339962604113548</v>
      </c>
      <c r="D3962" s="1" t="n">
        <v>1.4611</v>
      </c>
      <c r="E3962" s="1" t="n">
        <f aca="false">LN(D3962)</f>
        <v>0.379189576695902</v>
      </c>
    </row>
    <row r="3963" customFormat="false" ht="15.75" hidden="false" customHeight="false" outlineLevel="0" collapsed="false">
      <c r="A3963" s="1" t="s">
        <v>921</v>
      </c>
      <c r="B3963" s="1" t="n">
        <v>294.88</v>
      </c>
      <c r="C3963" s="1" t="n">
        <f aca="false">1/B3963</f>
        <v>0.00339120998372219</v>
      </c>
      <c r="D3963" s="1" t="n">
        <v>1.4416</v>
      </c>
      <c r="E3963" s="1" t="n">
        <f aca="false">LN(D3963)</f>
        <v>0.365753607871936</v>
      </c>
    </row>
    <row r="3964" customFormat="false" ht="15.75" hidden="false" customHeight="false" outlineLevel="0" collapsed="false">
      <c r="A3964" s="1" t="s">
        <v>921</v>
      </c>
      <c r="B3964" s="1" t="n">
        <v>295.6</v>
      </c>
      <c r="C3964" s="1" t="n">
        <f aca="false">1/B3964</f>
        <v>0.003382949932341</v>
      </c>
      <c r="D3964" s="1" t="n">
        <v>1.4226</v>
      </c>
      <c r="E3964" s="1" t="n">
        <f aca="false">LN(D3964)</f>
        <v>0.352486183317278</v>
      </c>
    </row>
    <row r="3965" customFormat="false" ht="15.75" hidden="false" customHeight="false" outlineLevel="0" collapsed="false">
      <c r="A3965" s="1" t="s">
        <v>921</v>
      </c>
      <c r="B3965" s="1" t="n">
        <v>296.33</v>
      </c>
      <c r="C3965" s="1" t="n">
        <f aca="false">1/B3965</f>
        <v>0.00337461613741437</v>
      </c>
      <c r="D3965" s="1" t="n">
        <v>1.4039</v>
      </c>
      <c r="E3965" s="1" t="n">
        <f aca="false">LN(D3965)</f>
        <v>0.339254077995768</v>
      </c>
    </row>
    <row r="3966" customFormat="false" ht="15.75" hidden="false" customHeight="false" outlineLevel="0" collapsed="false">
      <c r="A3966" s="1" t="s">
        <v>921</v>
      </c>
      <c r="B3966" s="1" t="n">
        <v>297.06</v>
      </c>
      <c r="C3966" s="1" t="n">
        <f aca="false">1/B3966</f>
        <v>0.00336632330168989</v>
      </c>
      <c r="D3966" s="1" t="n">
        <v>1.3856</v>
      </c>
      <c r="E3966" s="1" t="n">
        <f aca="false">LN(D3966)</f>
        <v>0.326133258826034</v>
      </c>
    </row>
    <row r="3967" customFormat="false" ht="15.75" hidden="false" customHeight="false" outlineLevel="0" collapsed="false">
      <c r="A3967" s="1" t="s">
        <v>921</v>
      </c>
      <c r="B3967" s="1" t="n">
        <v>297.78</v>
      </c>
      <c r="C3967" s="1" t="n">
        <f aca="false">1/B3967</f>
        <v>0.00335818389415004</v>
      </c>
      <c r="D3967" s="1" t="n">
        <v>1.3677</v>
      </c>
      <c r="E3967" s="1" t="n">
        <f aca="false">LN(D3967)</f>
        <v>0.313130496905368</v>
      </c>
    </row>
    <row r="3968" customFormat="false" ht="15.75" hidden="false" customHeight="false" outlineLevel="0" collapsed="false">
      <c r="A3968" s="1" t="s">
        <v>921</v>
      </c>
      <c r="B3968" s="1" t="n">
        <v>298.51</v>
      </c>
      <c r="C3968" s="1" t="n">
        <f aca="false">1/B3968</f>
        <v>0.00334997152524204</v>
      </c>
      <c r="D3968" s="1" t="n">
        <v>1.3502</v>
      </c>
      <c r="E3968" s="1" t="n">
        <f aca="false">LN(D3968)</f>
        <v>0.300252729625633</v>
      </c>
    </row>
    <row r="3969" customFormat="false" ht="15.75" hidden="false" customHeight="false" outlineLevel="0" collapsed="false">
      <c r="A3969" s="1" t="s">
        <v>921</v>
      </c>
      <c r="B3969" s="1" t="n">
        <v>299.24</v>
      </c>
      <c r="C3969" s="1" t="n">
        <f aca="false">1/B3969</f>
        <v>0.00334179922470258</v>
      </c>
      <c r="D3969" s="1" t="n">
        <v>1.333</v>
      </c>
      <c r="E3969" s="1" t="n">
        <f aca="false">LN(D3969)</f>
        <v>0.287432041196572</v>
      </c>
    </row>
    <row r="3970" customFormat="false" ht="15.75" hidden="false" customHeight="false" outlineLevel="0" collapsed="false">
      <c r="A3970" s="1" t="s">
        <v>921</v>
      </c>
      <c r="B3970" s="1" t="n">
        <v>299.97</v>
      </c>
      <c r="C3970" s="1" t="n">
        <f aca="false">1/B3970</f>
        <v>0.00333366670000333</v>
      </c>
      <c r="D3970" s="1" t="n">
        <v>1.3161</v>
      </c>
      <c r="E3970" s="1" t="n">
        <f aca="false">LN(D3970)</f>
        <v>0.274672817858141</v>
      </c>
    </row>
    <row r="3971" customFormat="false" ht="15.75" hidden="false" customHeight="false" outlineLevel="0" collapsed="false">
      <c r="A3971" s="1" t="s">
        <v>921</v>
      </c>
      <c r="B3971" s="1" t="n">
        <v>300.69</v>
      </c>
      <c r="C3971" s="1" t="n">
        <f aca="false">1/B3971</f>
        <v>0.0033256842595364</v>
      </c>
      <c r="D3971" s="1" t="n">
        <v>1.2996</v>
      </c>
      <c r="E3971" s="1" t="n">
        <f aca="false">LN(D3971)</f>
        <v>0.262056524812808</v>
      </c>
    </row>
    <row r="3972" customFormat="false" ht="15.75" hidden="false" customHeight="false" outlineLevel="0" collapsed="false">
      <c r="A3972" s="1" t="s">
        <v>921</v>
      </c>
      <c r="B3972" s="1" t="n">
        <v>301.42</v>
      </c>
      <c r="C3972" s="1" t="n">
        <f aca="false">1/B3972</f>
        <v>0.00331762988521001</v>
      </c>
      <c r="D3972" s="1" t="n">
        <v>1.2834</v>
      </c>
      <c r="E3972" s="1" t="n">
        <f aca="false">LN(D3972)</f>
        <v>0.249512806334278</v>
      </c>
    </row>
    <row r="3973" customFormat="false" ht="15.75" hidden="false" customHeight="false" outlineLevel="0" collapsed="false">
      <c r="A3973" s="1" t="s">
        <v>921</v>
      </c>
      <c r="B3973" s="1" t="n">
        <v>302.15</v>
      </c>
      <c r="C3973" s="1" t="n">
        <f aca="false">1/B3973</f>
        <v>0.00330961442991891</v>
      </c>
      <c r="D3973" s="1" t="n">
        <v>1.2675</v>
      </c>
      <c r="E3973" s="1" t="n">
        <f aca="false">LN(D3973)</f>
        <v>0.237046456483201</v>
      </c>
    </row>
    <row r="3974" customFormat="false" ht="15.75" hidden="false" customHeight="false" outlineLevel="0" collapsed="false">
      <c r="A3974" s="1" t="s">
        <v>921</v>
      </c>
      <c r="B3974" s="1" t="n">
        <v>302.88</v>
      </c>
      <c r="C3974" s="1" t="n">
        <f aca="false">1/B3974</f>
        <v>0.00330163761225568</v>
      </c>
      <c r="D3974" s="1" t="n">
        <v>1.252</v>
      </c>
      <c r="E3974" s="1" t="n">
        <f aca="false">LN(D3974)</f>
        <v>0.224742272677907</v>
      </c>
    </row>
    <row r="3975" customFormat="false" ht="15.75" hidden="false" customHeight="false" outlineLevel="0" collapsed="false">
      <c r="A3975" s="1" t="s">
        <v>921</v>
      </c>
      <c r="B3975" s="1" t="n">
        <v>303.6</v>
      </c>
      <c r="C3975" s="1" t="n">
        <f aca="false">1/B3975</f>
        <v>0.00329380764163373</v>
      </c>
      <c r="D3975" s="1" t="n">
        <v>1.2367</v>
      </c>
      <c r="E3975" s="1" t="n">
        <f aca="false">LN(D3975)</f>
        <v>0.212446541765874</v>
      </c>
    </row>
    <row r="3976" customFormat="false" ht="15.75" hidden="false" customHeight="false" outlineLevel="0" collapsed="false">
      <c r="A3976" s="1" t="s">
        <v>921</v>
      </c>
      <c r="B3976" s="1" t="n">
        <v>304.33</v>
      </c>
      <c r="C3976" s="1" t="n">
        <f aca="false">1/B3976</f>
        <v>0.00328590674596655</v>
      </c>
      <c r="D3976" s="1" t="n">
        <v>1.2217</v>
      </c>
      <c r="E3976" s="1" t="n">
        <f aca="false">LN(D3976)</f>
        <v>0.200243331427877</v>
      </c>
    </row>
    <row r="3977" customFormat="false" ht="15.75" hidden="false" customHeight="false" outlineLevel="0" collapsed="false">
      <c r="A3977" s="1" t="s">
        <v>921</v>
      </c>
      <c r="B3977" s="1" t="n">
        <v>305.06</v>
      </c>
      <c r="C3977" s="1" t="n">
        <f aca="false">1/B3977</f>
        <v>0.0032780436635416</v>
      </c>
      <c r="D3977" s="1" t="n">
        <v>1.2071</v>
      </c>
      <c r="E3977" s="1" t="n">
        <f aca="false">LN(D3977)</f>
        <v>0.188220788724944</v>
      </c>
    </row>
    <row r="3978" customFormat="false" ht="15.75" hidden="false" customHeight="false" outlineLevel="0" collapsed="false">
      <c r="A3978" s="1" t="s">
        <v>921</v>
      </c>
      <c r="B3978" s="1" t="n">
        <v>305.79</v>
      </c>
      <c r="C3978" s="1" t="n">
        <f aca="false">1/B3978</f>
        <v>0.00327021812354884</v>
      </c>
      <c r="D3978" s="1" t="n">
        <v>1.1927</v>
      </c>
      <c r="E3978" s="1" t="n">
        <f aca="false">LN(D3978)</f>
        <v>0.176219644602486</v>
      </c>
    </row>
    <row r="3979" customFormat="false" ht="15.75" hidden="false" customHeight="false" outlineLevel="0" collapsed="false">
      <c r="A3979" s="1" t="s">
        <v>921</v>
      </c>
      <c r="B3979" s="1" t="n">
        <v>306.51</v>
      </c>
      <c r="C3979" s="1" t="n">
        <f aca="false">1/B3979</f>
        <v>0.00326253629571629</v>
      </c>
      <c r="D3979" s="1" t="n">
        <v>1.1785</v>
      </c>
      <c r="E3979" s="1" t="n">
        <f aca="false">LN(D3979)</f>
        <v>0.164242443394049</v>
      </c>
    </row>
    <row r="3980" customFormat="false" ht="15.75" hidden="false" customHeight="false" outlineLevel="0" collapsed="false">
      <c r="A3980" s="1" t="s">
        <v>921</v>
      </c>
      <c r="B3980" s="1" t="n">
        <v>307.24</v>
      </c>
      <c r="C3980" s="1" t="n">
        <f aca="false">1/B3980</f>
        <v>0.0032547845332639</v>
      </c>
      <c r="D3980" s="1" t="n">
        <v>1.1647</v>
      </c>
      <c r="E3980" s="1" t="n">
        <f aca="false">LN(D3980)</f>
        <v>0.152463543126469</v>
      </c>
    </row>
    <row r="3981" customFormat="false" ht="15.75" hidden="false" customHeight="false" outlineLevel="0" collapsed="false">
      <c r="A3981" s="1" t="s">
        <v>921</v>
      </c>
      <c r="B3981" s="1" t="n">
        <v>307.97</v>
      </c>
      <c r="C3981" s="1" t="n">
        <f aca="false">1/B3981</f>
        <v>0.00324706951975842</v>
      </c>
      <c r="D3981" s="1" t="n">
        <v>1.151</v>
      </c>
      <c r="E3981" s="1" t="n">
        <f aca="false">LN(D3981)</f>
        <v>0.140631129739746</v>
      </c>
    </row>
    <row r="3982" customFormat="false" ht="15.75" hidden="false" customHeight="false" outlineLevel="0" collapsed="false">
      <c r="A3982" s="1" t="s">
        <v>921</v>
      </c>
      <c r="B3982" s="1" t="n">
        <v>308.69</v>
      </c>
      <c r="C3982" s="1" t="n">
        <f aca="false">1/B3982</f>
        <v>0.0032394959344326</v>
      </c>
      <c r="D3982" s="1" t="n">
        <v>1.1377</v>
      </c>
      <c r="E3982" s="1" t="n">
        <f aca="false">LN(D3982)</f>
        <v>0.129008680563534</v>
      </c>
    </row>
    <row r="3983" customFormat="false" ht="15.75" hidden="false" customHeight="false" outlineLevel="0" collapsed="false">
      <c r="A3983" s="1" t="s">
        <v>921</v>
      </c>
      <c r="B3983" s="1" t="n">
        <v>309.42</v>
      </c>
      <c r="C3983" s="1" t="n">
        <f aca="false">1/B3983</f>
        <v>0.00323185314459311</v>
      </c>
      <c r="D3983" s="1" t="n">
        <v>1.1246</v>
      </c>
      <c r="E3983" s="1" t="n">
        <f aca="false">LN(D3983)</f>
        <v>0.117427416875964</v>
      </c>
    </row>
    <row r="3984" customFormat="false" ht="15.75" hidden="false" customHeight="false" outlineLevel="0" collapsed="false">
      <c r="A3984" s="1" t="s">
        <v>921</v>
      </c>
      <c r="B3984" s="1" t="n">
        <v>310.15</v>
      </c>
      <c r="C3984" s="1" t="n">
        <f aca="false">1/B3984</f>
        <v>0.0032242463324198</v>
      </c>
      <c r="D3984" s="1" t="n">
        <v>1.1117</v>
      </c>
      <c r="E3984" s="1" t="n">
        <f aca="false">LN(D3984)</f>
        <v>0.105890375257432</v>
      </c>
    </row>
    <row r="3985" customFormat="false" ht="15.75" hidden="false" customHeight="false" outlineLevel="0" collapsed="false">
      <c r="A3985" s="1" t="s">
        <v>921</v>
      </c>
      <c r="B3985" s="1" t="n">
        <v>310.88</v>
      </c>
      <c r="C3985" s="1" t="n">
        <f aca="false">1/B3985</f>
        <v>0.00321667524446732</v>
      </c>
      <c r="D3985" s="1" t="n">
        <v>1.099</v>
      </c>
      <c r="E3985" s="1" t="n">
        <f aca="false">LN(D3985)</f>
        <v>0.0944006754214843</v>
      </c>
    </row>
    <row r="3986" customFormat="false" ht="15.75" hidden="false" customHeight="false" outlineLevel="0" collapsed="false">
      <c r="A3986" s="1" t="s">
        <v>921</v>
      </c>
      <c r="B3986" s="1" t="n">
        <v>311.6</v>
      </c>
      <c r="C3986" s="1" t="n">
        <f aca="false">1/B3986</f>
        <v>0.00320924261874198</v>
      </c>
      <c r="D3986" s="1" t="n">
        <v>1.0866</v>
      </c>
      <c r="E3986" s="1" t="n">
        <f aca="false">LN(D3986)</f>
        <v>0.0830535551352857</v>
      </c>
    </row>
    <row r="3987" customFormat="false" ht="15.75" hidden="false" customHeight="false" outlineLevel="0" collapsed="false">
      <c r="A3987" s="1" t="s">
        <v>921</v>
      </c>
      <c r="B3987" s="1" t="n">
        <v>312.33</v>
      </c>
      <c r="C3987" s="1" t="n">
        <f aca="false">1/B3987</f>
        <v>0.00320174174751065</v>
      </c>
      <c r="D3987" s="1" t="n">
        <v>1.0744</v>
      </c>
      <c r="E3987" s="1" t="n">
        <f aca="false">LN(D3987)</f>
        <v>0.0717623662268908</v>
      </c>
    </row>
    <row r="3988" customFormat="false" ht="15.75" hidden="false" customHeight="false" outlineLevel="0" collapsed="false">
      <c r="A3988" s="1" t="s">
        <v>921</v>
      </c>
      <c r="B3988" s="1" t="n">
        <v>313.06</v>
      </c>
      <c r="C3988" s="1" t="n">
        <f aca="false">1/B3988</f>
        <v>0.00319427585766307</v>
      </c>
      <c r="D3988" s="1" t="n">
        <v>1.0625</v>
      </c>
      <c r="E3988" s="1" t="n">
        <f aca="false">LN(D3988)</f>
        <v>0.0606246218164348</v>
      </c>
    </row>
    <row r="3989" customFormat="false" ht="15.75" hidden="false" customHeight="false" outlineLevel="0" collapsed="false">
      <c r="A3989" s="1" t="s">
        <v>921</v>
      </c>
      <c r="B3989" s="1" t="n">
        <v>313.79</v>
      </c>
      <c r="C3989" s="1" t="n">
        <f aca="false">1/B3989</f>
        <v>0.00318684470505752</v>
      </c>
      <c r="D3989" s="1" t="n">
        <v>1.0507</v>
      </c>
      <c r="E3989" s="1" t="n">
        <f aca="false">LN(D3989)</f>
        <v>0.0494566087125925</v>
      </c>
    </row>
    <row r="3990" customFormat="false" ht="15.75" hidden="false" customHeight="false" outlineLevel="0" collapsed="false">
      <c r="A3990" s="1" t="s">
        <v>921</v>
      </c>
      <c r="B3990" s="1" t="n">
        <v>314.51</v>
      </c>
      <c r="C3990" s="1" t="n">
        <f aca="false">1/B3990</f>
        <v>0.00317954913993196</v>
      </c>
      <c r="D3990" s="1" t="n">
        <v>1.0391</v>
      </c>
      <c r="E3990" s="1" t="n">
        <f aca="false">LN(D3990)</f>
        <v>0.0383549538764639</v>
      </c>
    </row>
    <row r="3991" customFormat="false" ht="15.75" hidden="false" customHeight="false" outlineLevel="0" collapsed="false">
      <c r="A3991" s="1" t="s">
        <v>921</v>
      </c>
      <c r="B3991" s="1" t="n">
        <v>315.24</v>
      </c>
      <c r="C3991" s="1" t="n">
        <f aca="false">1/B3991</f>
        <v>0.00317218627077782</v>
      </c>
      <c r="D3991" s="1" t="n">
        <v>1.0278</v>
      </c>
      <c r="E3991" s="1" t="n">
        <f aca="false">LN(D3991)</f>
        <v>0.0274205955759922</v>
      </c>
    </row>
    <row r="3992" customFormat="false" ht="15.75" hidden="false" customHeight="false" outlineLevel="0" collapsed="false">
      <c r="A3992" s="1" t="s">
        <v>921</v>
      </c>
      <c r="B3992" s="1" t="n">
        <v>315.97</v>
      </c>
      <c r="C3992" s="1" t="n">
        <f aca="false">1/B3992</f>
        <v>0.00316485742317309</v>
      </c>
      <c r="D3992" s="1" t="n">
        <v>1.0166</v>
      </c>
      <c r="E3992" s="1" t="n">
        <f aca="false">LN(D3992)</f>
        <v>0.016463726030665</v>
      </c>
    </row>
    <row r="3993" customFormat="false" ht="15.75" hidden="false" customHeight="false" outlineLevel="0" collapsed="false">
      <c r="A3993" s="1" t="s">
        <v>921</v>
      </c>
      <c r="B3993" s="1" t="n">
        <v>316.7</v>
      </c>
      <c r="C3993" s="1" t="n">
        <f aca="false">1/B3993</f>
        <v>0.00315756236185665</v>
      </c>
      <c r="D3993" s="1" t="n">
        <v>1.0056</v>
      </c>
      <c r="E3993" s="1" t="n">
        <f aca="false">LN(D3993)</f>
        <v>0.00558437829390066</v>
      </c>
    </row>
    <row r="3994" customFormat="false" ht="15.75" hidden="false" customHeight="false" outlineLevel="0" collapsed="false">
      <c r="A3994" s="1" t="s">
        <v>921</v>
      </c>
      <c r="B3994" s="1" t="n">
        <v>317.42</v>
      </c>
      <c r="C3994" s="1" t="n">
        <f aca="false">1/B3994</f>
        <v>0.0031504001008128</v>
      </c>
      <c r="D3994" s="1" t="n">
        <v>0.99484</v>
      </c>
      <c r="E3994" s="1" t="n">
        <f aca="false">LN(D3994)</f>
        <v>-0.00517335877399747</v>
      </c>
    </row>
    <row r="3995" customFormat="false" ht="15.75" hidden="false" customHeight="false" outlineLevel="0" collapsed="false">
      <c r="A3995" s="1" t="s">
        <v>921</v>
      </c>
      <c r="B3995" s="1" t="n">
        <v>318.15</v>
      </c>
      <c r="C3995" s="1" t="n">
        <f aca="false">1/B3995</f>
        <v>0.00314317146000314</v>
      </c>
      <c r="D3995" s="1" t="n">
        <v>0.98424</v>
      </c>
      <c r="E3995" s="1" t="n">
        <f aca="false">LN(D3995)</f>
        <v>-0.0158855092302235</v>
      </c>
    </row>
    <row r="3996" customFormat="false" ht="15.75" hidden="false" customHeight="false" outlineLevel="0" collapsed="false">
      <c r="A3996" s="1" t="s">
        <v>921</v>
      </c>
      <c r="B3996" s="1" t="n">
        <v>318.88</v>
      </c>
      <c r="C3996" s="1" t="n">
        <f aca="false">1/B3996</f>
        <v>0.00313597591570497</v>
      </c>
      <c r="D3996" s="1" t="n">
        <v>0.97382</v>
      </c>
      <c r="E3996" s="1" t="n">
        <f aca="false">LN(D3996)</f>
        <v>-0.0265287973462682</v>
      </c>
    </row>
    <row r="3997" customFormat="false" ht="15.75" hidden="false" customHeight="false" outlineLevel="0" collapsed="false">
      <c r="A3997" s="1" t="s">
        <v>921</v>
      </c>
      <c r="B3997" s="1" t="n">
        <v>319.6</v>
      </c>
      <c r="C3997" s="1" t="n">
        <f aca="false">1/B3997</f>
        <v>0.00312891113892365</v>
      </c>
      <c r="D3997" s="1" t="n">
        <v>0.96357</v>
      </c>
      <c r="E3997" s="1" t="n">
        <f aca="false">LN(D3997)</f>
        <v>-0.0371101419763817</v>
      </c>
    </row>
    <row r="3998" customFormat="false" ht="15.75" hidden="false" customHeight="false" outlineLevel="0" collapsed="false">
      <c r="A3998" s="1" t="s">
        <v>921</v>
      </c>
      <c r="B3998" s="1" t="n">
        <v>320.33</v>
      </c>
      <c r="C3998" s="1" t="n">
        <f aca="false">1/B3998</f>
        <v>0.00312178066369057</v>
      </c>
      <c r="D3998" s="1" t="n">
        <v>0.95349</v>
      </c>
      <c r="E3998" s="1" t="n">
        <f aca="false">LN(D3998)</f>
        <v>-0.047626341673639</v>
      </c>
    </row>
    <row r="3999" customFormat="false" ht="15.75" hidden="false" customHeight="false" outlineLevel="0" collapsed="false">
      <c r="A3999" s="1" t="s">
        <v>921</v>
      </c>
      <c r="B3999" s="1" t="n">
        <v>321.06</v>
      </c>
      <c r="C3999" s="1" t="n">
        <f aca="false">1/B3999</f>
        <v>0.00311468261384165</v>
      </c>
      <c r="D3999" s="1" t="n">
        <v>0.94358</v>
      </c>
      <c r="E3999" s="1" t="n">
        <f aca="false">LN(D3999)</f>
        <v>-0.0580741270950321</v>
      </c>
    </row>
    <row r="4000" customFormat="false" ht="15.75" hidden="false" customHeight="false" outlineLevel="0" collapsed="false">
      <c r="A4000" s="1" t="s">
        <v>921</v>
      </c>
      <c r="B4000" s="1" t="n">
        <v>321.79</v>
      </c>
      <c r="C4000" s="1" t="n">
        <f aca="false">1/B4000</f>
        <v>0.00310761676870008</v>
      </c>
      <c r="D4000" s="1" t="n">
        <v>0.93384</v>
      </c>
      <c r="E4000" s="1" t="n">
        <f aca="false">LN(D4000)</f>
        <v>-0.0684501616377292</v>
      </c>
    </row>
    <row r="4001" customFormat="false" ht="15.75" hidden="false" customHeight="false" outlineLevel="0" collapsed="false">
      <c r="A4001" s="1" t="s">
        <v>921</v>
      </c>
      <c r="B4001" s="1" t="n">
        <v>322.51</v>
      </c>
      <c r="C4001" s="1" t="n">
        <f aca="false">1/B4001</f>
        <v>0.00310067904871167</v>
      </c>
      <c r="D4001" s="1" t="n">
        <v>0.92425</v>
      </c>
      <c r="E4001" s="1" t="n">
        <f aca="false">LN(D4001)</f>
        <v>-0.0787726811653957</v>
      </c>
    </row>
    <row r="4002" customFormat="false" ht="15.75" hidden="false" customHeight="false" outlineLevel="0" collapsed="false">
      <c r="A4002" s="1" t="s">
        <v>921</v>
      </c>
      <c r="B4002" s="1" t="n">
        <v>323.24</v>
      </c>
      <c r="C4002" s="1" t="n">
        <f aca="false">1/B4002</f>
        <v>0.00309367652518253</v>
      </c>
      <c r="D4002" s="1" t="n">
        <v>0.91482</v>
      </c>
      <c r="E4002" s="1" t="n">
        <f aca="false">LN(D4002)</f>
        <v>-0.0890279543702664</v>
      </c>
    </row>
    <row r="4003" customFormat="false" ht="15.75" hidden="false" customHeight="false" outlineLevel="0" collapsed="false">
      <c r="A4003" s="1" t="s">
        <v>921</v>
      </c>
      <c r="B4003" s="1" t="n">
        <v>323.97</v>
      </c>
      <c r="C4003" s="1" t="n">
        <f aca="false">1/B4003</f>
        <v>0.00308670555915671</v>
      </c>
      <c r="D4003" s="1" t="n">
        <v>0.90554</v>
      </c>
      <c r="E4003" s="1" t="n">
        <f aca="false">LN(D4003)</f>
        <v>-0.0992238281451005</v>
      </c>
    </row>
    <row r="4004" customFormat="false" ht="15.75" hidden="false" customHeight="false" outlineLevel="0" collapsed="false">
      <c r="A4004" s="1" t="s">
        <v>921</v>
      </c>
      <c r="B4004" s="1" t="n">
        <v>324.7</v>
      </c>
      <c r="C4004" s="1" t="n">
        <f aca="false">1/B4004</f>
        <v>0.00307976593778873</v>
      </c>
      <c r="D4004" s="1" t="n">
        <v>0.89641</v>
      </c>
      <c r="E4004" s="1" t="n">
        <f aca="false">LN(D4004)</f>
        <v>-0.109357381383543</v>
      </c>
    </row>
    <row r="4005" customFormat="false" ht="15.75" hidden="false" customHeight="false" outlineLevel="0" collapsed="false">
      <c r="A4005" s="1" t="s">
        <v>921</v>
      </c>
      <c r="B4005" s="1" t="n">
        <v>325.42</v>
      </c>
      <c r="C4005" s="1" t="n">
        <f aca="false">1/B4005</f>
        <v>0.0030729518775736</v>
      </c>
      <c r="D4005" s="1" t="n">
        <v>0.88742</v>
      </c>
      <c r="E4005" s="1" t="n">
        <f aca="false">LN(D4005)</f>
        <v>-0.119436902540567</v>
      </c>
    </row>
    <row r="4006" customFormat="false" ht="15.75" hidden="false" customHeight="false" outlineLevel="0" collapsed="false">
      <c r="A4006" s="1" t="s">
        <v>921</v>
      </c>
      <c r="B4006" s="1" t="n">
        <v>326.15</v>
      </c>
      <c r="C4006" s="1" t="n">
        <f aca="false">1/B4006</f>
        <v>0.00306607389238081</v>
      </c>
      <c r="D4006" s="1" t="n">
        <v>0.87858</v>
      </c>
      <c r="E4006" s="1" t="n">
        <f aca="false">LN(D4006)</f>
        <v>-0.129448311186916</v>
      </c>
    </row>
    <row r="4007" customFormat="false" ht="15.75" hidden="false" customHeight="false" outlineLevel="0" collapsed="false">
      <c r="A4007" s="1" t="s">
        <v>921</v>
      </c>
      <c r="B4007" s="1" t="n">
        <v>326.88</v>
      </c>
      <c r="C4007" s="1" t="n">
        <f aca="false">1/B4007</f>
        <v>0.00305922662750857</v>
      </c>
      <c r="D4007" s="1" t="n">
        <v>0.86988</v>
      </c>
      <c r="E4007" s="1" t="n">
        <f aca="false">LN(D4007)</f>
        <v>-0.13940000788135</v>
      </c>
    </row>
    <row r="4008" customFormat="false" ht="15.75" hidden="false" customHeight="false" outlineLevel="0" collapsed="false">
      <c r="A4008" s="1" t="s">
        <v>921</v>
      </c>
      <c r="B4008" s="1" t="n">
        <v>327.61</v>
      </c>
      <c r="C4008" s="1" t="n">
        <f aca="false">1/B4008</f>
        <v>0.00305240987759836</v>
      </c>
      <c r="D4008" s="1" t="n">
        <v>0.86131</v>
      </c>
      <c r="E4008" s="1" t="n">
        <f aca="false">LN(D4008)</f>
        <v>-0.149300792897971</v>
      </c>
    </row>
    <row r="4009" customFormat="false" ht="15.75" hidden="false" customHeight="false" outlineLevel="0" collapsed="false">
      <c r="A4009" s="1" t="s">
        <v>921</v>
      </c>
      <c r="B4009" s="1" t="n">
        <v>328.33</v>
      </c>
      <c r="C4009" s="1" t="n">
        <f aca="false">1/B4009</f>
        <v>0.00304571620016447</v>
      </c>
      <c r="D4009" s="1" t="n">
        <v>0.85288</v>
      </c>
      <c r="E4009" s="1" t="n">
        <f aca="false">LN(D4009)</f>
        <v>-0.159136421339917</v>
      </c>
    </row>
    <row r="4010" customFormat="false" ht="15.75" hidden="false" customHeight="false" outlineLevel="0" collapsed="false">
      <c r="A4010" s="1" t="s">
        <v>921</v>
      </c>
      <c r="B4010" s="1" t="n">
        <v>329.06</v>
      </c>
      <c r="C4010" s="1" t="n">
        <f aca="false">1/B4010</f>
        <v>0.0030389594602808</v>
      </c>
      <c r="D4010" s="1" t="n">
        <v>0.84458</v>
      </c>
      <c r="E4010" s="1" t="n">
        <f aca="false">LN(D4010)</f>
        <v>-0.168915816611115</v>
      </c>
    </row>
    <row r="4011" customFormat="false" ht="15.75" hidden="false" customHeight="false" outlineLevel="0" collapsed="false">
      <c r="A4011" s="1" t="s">
        <v>921</v>
      </c>
      <c r="B4011" s="1" t="n">
        <v>329.79</v>
      </c>
      <c r="C4011" s="1" t="n">
        <f aca="false">1/B4011</f>
        <v>0.00303223263288759</v>
      </c>
      <c r="D4011" s="1" t="n">
        <v>0.83641</v>
      </c>
      <c r="E4011" s="1" t="n">
        <f aca="false">LN(D4011)</f>
        <v>-0.178636355497218</v>
      </c>
    </row>
    <row r="4012" customFormat="false" ht="15.75" hidden="false" customHeight="false" outlineLevel="0" collapsed="false">
      <c r="A4012" s="1" t="s">
        <v>921</v>
      </c>
      <c r="B4012" s="1" t="n">
        <v>330.51</v>
      </c>
      <c r="C4012" s="1" t="n">
        <f aca="false">1/B4012</f>
        <v>0.00302562706120844</v>
      </c>
      <c r="D4012" s="1" t="n">
        <v>0.82836</v>
      </c>
      <c r="E4012" s="1" t="n">
        <f aca="false">LN(D4012)</f>
        <v>-0.188307436478753</v>
      </c>
    </row>
    <row r="4013" customFormat="false" ht="15.75" hidden="false" customHeight="false" outlineLevel="0" collapsed="false">
      <c r="A4013" s="1" t="s">
        <v>921</v>
      </c>
      <c r="B4013" s="1" t="n">
        <v>331.24</v>
      </c>
      <c r="C4013" s="1" t="n">
        <f aca="false">1/B4013</f>
        <v>0.00301895906291511</v>
      </c>
      <c r="D4013" s="1" t="n">
        <v>0.82044</v>
      </c>
      <c r="E4013" s="1" t="n">
        <f aca="false">LN(D4013)</f>
        <v>-0.197914497268434</v>
      </c>
    </row>
    <row r="4014" customFormat="false" ht="15.75" hidden="false" customHeight="false" outlineLevel="0" collapsed="false">
      <c r="A4014" s="1" t="s">
        <v>921</v>
      </c>
      <c r="B4014" s="1" t="n">
        <v>331.97</v>
      </c>
      <c r="C4014" s="1" t="n">
        <f aca="false">1/B4014</f>
        <v>0.00301232039039672</v>
      </c>
      <c r="D4014" s="1" t="n">
        <v>0.81263</v>
      </c>
      <c r="E4014" s="1" t="n">
        <f aca="false">LN(D4014)</f>
        <v>-0.207479377576879</v>
      </c>
    </row>
    <row r="4015" customFormat="false" ht="15.75" hidden="false" customHeight="false" outlineLevel="0" collapsed="false">
      <c r="A4015" s="1" t="s">
        <v>921</v>
      </c>
      <c r="B4015" s="1" t="n">
        <v>332.7</v>
      </c>
      <c r="C4015" s="1" t="n">
        <f aca="false">1/B4015</f>
        <v>0.00300571085061617</v>
      </c>
      <c r="D4015" s="1" t="n">
        <v>0.80494</v>
      </c>
      <c r="E4015" s="1" t="n">
        <f aca="false">LN(D4015)</f>
        <v>-0.216987538502873</v>
      </c>
    </row>
    <row r="4016" customFormat="false" ht="15.75" hidden="false" customHeight="false" outlineLevel="0" collapsed="false">
      <c r="A4016" s="1" t="s">
        <v>921</v>
      </c>
      <c r="B4016" s="1" t="n">
        <v>333.42</v>
      </c>
      <c r="C4016" s="1" t="n">
        <f aca="false">1/B4016</f>
        <v>0.00299922020274729</v>
      </c>
      <c r="D4016" s="1" t="n">
        <v>0.79737</v>
      </c>
      <c r="E4016" s="1" t="n">
        <f aca="false">LN(D4016)</f>
        <v>-0.226436467015003</v>
      </c>
    </row>
    <row r="4017" customFormat="false" ht="15.75" hidden="false" customHeight="false" outlineLevel="0" collapsed="false">
      <c r="A4017" s="1" t="s">
        <v>921</v>
      </c>
      <c r="B4017" s="1" t="n">
        <v>334.15</v>
      </c>
      <c r="C4017" s="1" t="n">
        <f aca="false">1/B4017</f>
        <v>0.00299266796348945</v>
      </c>
      <c r="D4017" s="1" t="n">
        <v>0.78991</v>
      </c>
      <c r="E4017" s="1" t="n">
        <f aca="false">LN(D4017)</f>
        <v>-0.23583626406154</v>
      </c>
    </row>
    <row r="4018" customFormat="false" ht="15.75" hidden="false" customHeight="false" outlineLevel="0" collapsed="false">
      <c r="A4018" s="1" t="s">
        <v>921</v>
      </c>
      <c r="B4018" s="1" t="n">
        <v>334.88</v>
      </c>
      <c r="C4018" s="1" t="n">
        <f aca="false">1/B4018</f>
        <v>0.00298614429049212</v>
      </c>
      <c r="D4018" s="1" t="n">
        <v>0.78256</v>
      </c>
      <c r="E4018" s="1" t="n">
        <f aca="false">LN(D4018)</f>
        <v>-0.24518468219109</v>
      </c>
    </row>
    <row r="4019" customFormat="false" ht="15.75" hidden="false" customHeight="false" outlineLevel="0" collapsed="false">
      <c r="A4019" s="1" t="s">
        <v>921</v>
      </c>
      <c r="B4019" s="1" t="n">
        <v>335.61</v>
      </c>
      <c r="C4019" s="1" t="n">
        <f aca="false">1/B4019</f>
        <v>0.00297964899734811</v>
      </c>
      <c r="D4019" s="1" t="n">
        <v>0.77532</v>
      </c>
      <c r="E4019" s="1" t="n">
        <f aca="false">LN(D4019)</f>
        <v>-0.254479431624063</v>
      </c>
    </row>
    <row r="4020" customFormat="false" ht="15.75" hidden="false" customHeight="false" outlineLevel="0" collapsed="false">
      <c r="A4020" s="1" t="s">
        <v>921</v>
      </c>
      <c r="B4020" s="1" t="n">
        <v>336.33</v>
      </c>
      <c r="C4020" s="1" t="n">
        <f aca="false">1/B4020</f>
        <v>0.00297327030000297</v>
      </c>
      <c r="D4020" s="1" t="n">
        <v>0.76819</v>
      </c>
      <c r="E4020" s="1" t="n">
        <f aca="false">LN(D4020)</f>
        <v>-0.263718180598434</v>
      </c>
    </row>
    <row r="4021" customFormat="false" ht="15.75" hidden="false" customHeight="false" outlineLevel="0" collapsed="false">
      <c r="A4021" s="1" t="s">
        <v>921</v>
      </c>
      <c r="B4021" s="1" t="n">
        <v>337.06</v>
      </c>
      <c r="C4021" s="1" t="n">
        <f aca="false">1/B4021</f>
        <v>0.002966830831306</v>
      </c>
      <c r="D4021" s="1" t="n">
        <v>0.76116</v>
      </c>
      <c r="E4021" s="1" t="n">
        <f aca="false">LN(D4021)</f>
        <v>-0.272911693548331</v>
      </c>
    </row>
    <row r="4022" customFormat="false" ht="15.75" hidden="false" customHeight="false" outlineLevel="0" collapsed="false">
      <c r="A4022" s="1" t="s">
        <v>921</v>
      </c>
      <c r="B4022" s="1" t="n">
        <v>337.79</v>
      </c>
      <c r="C4022" s="1" t="n">
        <f aca="false">1/B4022</f>
        <v>0.00296041919535806</v>
      </c>
      <c r="D4022" s="1" t="n">
        <v>0.75423</v>
      </c>
      <c r="E4022" s="1" t="n">
        <f aca="false">LN(D4022)</f>
        <v>-0.28205791770156</v>
      </c>
    </row>
    <row r="4023" customFormat="false" ht="15.75" hidden="false" customHeight="false" outlineLevel="0" collapsed="false">
      <c r="A4023" s="1" t="s">
        <v>921</v>
      </c>
      <c r="B4023" s="1" t="n">
        <v>338.52</v>
      </c>
      <c r="C4023" s="1" t="n">
        <f aca="false">1/B4023</f>
        <v>0.00295403521209973</v>
      </c>
      <c r="D4023" s="1" t="n">
        <v>0.7474</v>
      </c>
      <c r="E4023" s="1" t="n">
        <f aca="false">LN(D4023)</f>
        <v>-0.291154761930754</v>
      </c>
    </row>
    <row r="4024" customFormat="false" ht="15.75" hidden="false" customHeight="false" outlineLevel="0" collapsed="false">
      <c r="A4024" s="1" t="s">
        <v>921</v>
      </c>
      <c r="B4024" s="1" t="n">
        <v>339.24</v>
      </c>
      <c r="C4024" s="1" t="n">
        <f aca="false">1/B4024</f>
        <v>0.00294776559367999</v>
      </c>
      <c r="D4024" s="1" t="n">
        <v>0.74067</v>
      </c>
      <c r="E4024" s="1" t="n">
        <f aca="false">LN(D4024)</f>
        <v>-0.300200097010753</v>
      </c>
    </row>
    <row r="4025" customFormat="false" ht="15.75" hidden="false" customHeight="false" outlineLevel="0" collapsed="false">
      <c r="A4025" s="1" t="s">
        <v>921</v>
      </c>
      <c r="B4025" s="1" t="n">
        <v>339.97</v>
      </c>
      <c r="C4025" s="1" t="n">
        <f aca="false">1/B4025</f>
        <v>0.00294143600905962</v>
      </c>
      <c r="D4025" s="1" t="n">
        <v>0.73404</v>
      </c>
      <c r="E4025" s="1" t="n">
        <f aca="false">LN(D4025)</f>
        <v>-0.309191755939663</v>
      </c>
    </row>
    <row r="4026" customFormat="false" ht="15.75" hidden="false" customHeight="false" outlineLevel="0" collapsed="false">
      <c r="A4026" s="1" t="s">
        <v>921</v>
      </c>
      <c r="B4026" s="1" t="n">
        <v>340.7</v>
      </c>
      <c r="C4026" s="1" t="n">
        <f aca="false">1/B4026</f>
        <v>0.00293513354857646</v>
      </c>
      <c r="D4026" s="1" t="n">
        <v>0.72749</v>
      </c>
      <c r="E4026" s="1" t="n">
        <f aca="false">LN(D4026)</f>
        <v>-0.31815502573543</v>
      </c>
    </row>
    <row r="4027" customFormat="false" ht="15.75" hidden="false" customHeight="false" outlineLevel="0" collapsed="false">
      <c r="A4027" s="1" t="s">
        <v>921</v>
      </c>
      <c r="B4027" s="1" t="n">
        <v>341.42</v>
      </c>
      <c r="C4027" s="1" t="n">
        <f aca="false">1/B4027</f>
        <v>0.00292894382285748</v>
      </c>
      <c r="D4027" s="1" t="n">
        <v>0.72105</v>
      </c>
      <c r="E4027" s="1" t="n">
        <f aca="false">LN(D4027)</f>
        <v>-0.327046795974058</v>
      </c>
    </row>
    <row r="4028" customFormat="false" ht="15.75" hidden="false" customHeight="false" outlineLevel="0" collapsed="false">
      <c r="A4028" s="1" t="s">
        <v>921</v>
      </c>
      <c r="B4028" s="1" t="n">
        <v>342.15</v>
      </c>
      <c r="C4028" s="1" t="n">
        <f aca="false">1/B4028</f>
        <v>0.00292269472453602</v>
      </c>
      <c r="D4028" s="1" t="n">
        <v>0.71469</v>
      </c>
      <c r="E4028" s="1" t="n">
        <f aca="false">LN(D4028)</f>
        <v>-0.335906396738798</v>
      </c>
    </row>
    <row r="4029" customFormat="false" ht="15.75" hidden="false" customHeight="false" outlineLevel="0" collapsed="false">
      <c r="A4029" s="1" t="s">
        <v>921</v>
      </c>
      <c r="B4029" s="1" t="n">
        <v>342.88</v>
      </c>
      <c r="C4029" s="1" t="n">
        <f aca="false">1/B4029</f>
        <v>0.00291647223518432</v>
      </c>
      <c r="D4029" s="1" t="n">
        <v>0.70842</v>
      </c>
      <c r="E4029" s="1" t="n">
        <f aca="false">LN(D4029)</f>
        <v>-0.344718140835064</v>
      </c>
    </row>
    <row r="4030" customFormat="false" ht="15.75" hidden="false" customHeight="false" outlineLevel="0" collapsed="false">
      <c r="A4030" s="1" t="s">
        <v>921</v>
      </c>
      <c r="B4030" s="1" t="n">
        <v>343.61</v>
      </c>
      <c r="C4030" s="1" t="n">
        <f aca="false">1/B4030</f>
        <v>0.00291027618520998</v>
      </c>
      <c r="D4030" s="1" t="n">
        <v>0.70223</v>
      </c>
      <c r="E4030" s="1" t="n">
        <f aca="false">LN(D4030)</f>
        <v>-0.353494293289424</v>
      </c>
    </row>
    <row r="4031" customFormat="false" ht="15.75" hidden="false" customHeight="false" outlineLevel="0" collapsed="false">
      <c r="A4031" s="1" t="s">
        <v>921</v>
      </c>
      <c r="B4031" s="1" t="n">
        <v>344.33</v>
      </c>
      <c r="C4031" s="1" t="n">
        <f aca="false">1/B4031</f>
        <v>0.00290419074724828</v>
      </c>
      <c r="D4031" s="1" t="n">
        <v>0.69614</v>
      </c>
      <c r="E4031" s="1" t="n">
        <f aca="false">LN(D4031)</f>
        <v>-0.362204489450263</v>
      </c>
    </row>
    <row r="4032" customFormat="false" ht="15.75" hidden="false" customHeight="false" outlineLevel="0" collapsed="false">
      <c r="A4032" s="1" t="s">
        <v>921</v>
      </c>
      <c r="B4032" s="1" t="n">
        <v>345.06</v>
      </c>
      <c r="C4032" s="1" t="n">
        <f aca="false">1/B4032</f>
        <v>0.00289804671651307</v>
      </c>
      <c r="D4032" s="1" t="n">
        <v>0.69012</v>
      </c>
      <c r="E4032" s="1" t="n">
        <f aca="false">LN(D4032)</f>
        <v>-0.370889783468474</v>
      </c>
    </row>
    <row r="4033" customFormat="false" ht="15.75" hidden="false" customHeight="false" outlineLevel="0" collapsed="false">
      <c r="A4033" s="1" t="s">
        <v>921</v>
      </c>
      <c r="B4033" s="1" t="n">
        <v>345.79</v>
      </c>
      <c r="C4033" s="1" t="n">
        <f aca="false">1/B4033</f>
        <v>0.00289192862720148</v>
      </c>
      <c r="D4033" s="1" t="n">
        <v>0.68419</v>
      </c>
      <c r="E4033" s="1" t="n">
        <f aca="false">LN(D4033)</f>
        <v>-0.379519622154913</v>
      </c>
    </row>
    <row r="4034" customFormat="false" ht="15.75" hidden="false" customHeight="false" outlineLevel="0" collapsed="false">
      <c r="A4034" s="1" t="s">
        <v>921</v>
      </c>
      <c r="B4034" s="1" t="n">
        <v>346.52</v>
      </c>
      <c r="C4034" s="1" t="n">
        <f aca="false">1/B4034</f>
        <v>0.00288583631536419</v>
      </c>
      <c r="D4034" s="1" t="n">
        <v>0.67834</v>
      </c>
      <c r="E4034" s="1" t="n">
        <f aca="false">LN(D4034)</f>
        <v>-0.388106641812018</v>
      </c>
    </row>
    <row r="4035" customFormat="false" ht="15.75" hidden="false" customHeight="false" outlineLevel="0" collapsed="false">
      <c r="A4035" s="1" t="s">
        <v>921</v>
      </c>
      <c r="B4035" s="1" t="n">
        <v>347.24</v>
      </c>
      <c r="C4035" s="1" t="n">
        <f aca="false">1/B4035</f>
        <v>0.00287985255154936</v>
      </c>
      <c r="D4035" s="1" t="n">
        <v>0.67256</v>
      </c>
      <c r="E4035" s="1" t="n">
        <f aca="false">LN(D4035)</f>
        <v>-0.396663952155096</v>
      </c>
    </row>
    <row r="4036" customFormat="false" ht="15.75" hidden="false" customHeight="false" outlineLevel="0" collapsed="false">
      <c r="A4036" s="1" t="s">
        <v>921</v>
      </c>
      <c r="B4036" s="1" t="n">
        <v>347.97</v>
      </c>
      <c r="C4036" s="1" t="n">
        <f aca="false">1/B4036</f>
        <v>0.002873810960715</v>
      </c>
      <c r="D4036" s="1" t="n">
        <v>0.66687</v>
      </c>
      <c r="E4036" s="1" t="n">
        <f aca="false">LN(D4036)</f>
        <v>-0.405160154611209</v>
      </c>
    </row>
    <row r="4037" customFormat="false" ht="15.75" hidden="false" customHeight="false" outlineLevel="0" collapsed="false">
      <c r="A4037" s="1" t="s">
        <v>921</v>
      </c>
      <c r="B4037" s="1" t="n">
        <v>348.7</v>
      </c>
      <c r="C4037" s="1" t="n">
        <f aca="false">1/B4037</f>
        <v>0.00286779466590192</v>
      </c>
      <c r="D4037" s="1" t="n">
        <v>0.66125</v>
      </c>
      <c r="E4037" s="1" t="n">
        <f aca="false">LN(D4037)</f>
        <v>-0.413623295809628</v>
      </c>
    </row>
    <row r="4038" customFormat="false" ht="15.75" hidden="false" customHeight="false" outlineLevel="0" collapsed="false">
      <c r="A4038" s="1" t="s">
        <v>921</v>
      </c>
      <c r="B4038" s="1" t="n">
        <v>349.43</v>
      </c>
      <c r="C4038" s="1" t="n">
        <f aca="false">1/B4038</f>
        <v>0.0028618035085711</v>
      </c>
      <c r="D4038" s="1" t="n">
        <v>0.6557</v>
      </c>
      <c r="E4038" s="1" t="n">
        <f aca="false">LN(D4038)</f>
        <v>-0.422051911712563</v>
      </c>
    </row>
    <row r="4039" customFormat="false" ht="15.75" hidden="false" customHeight="false" outlineLevel="0" collapsed="false">
      <c r="A4039" s="1" t="s">
        <v>921</v>
      </c>
      <c r="B4039" s="1" t="n">
        <v>350.15</v>
      </c>
      <c r="C4039" s="1" t="n">
        <f aca="false">1/B4039</f>
        <v>0.00285591889190347</v>
      </c>
      <c r="D4039" s="1" t="n">
        <v>0.65023</v>
      </c>
      <c r="E4039" s="1" t="n">
        <f aca="false">LN(D4039)</f>
        <v>-0.430429132527394</v>
      </c>
    </row>
    <row r="4040" customFormat="false" ht="15.75" hidden="false" customHeight="false" outlineLevel="0" collapsed="false">
      <c r="A4040" s="1" t="s">
        <v>921</v>
      </c>
      <c r="B4040" s="1" t="n">
        <v>350.88</v>
      </c>
      <c r="C4040" s="1" t="n">
        <f aca="false">1/B4040</f>
        <v>0.0028499772001824</v>
      </c>
      <c r="D4040" s="1" t="n">
        <v>0.64483</v>
      </c>
      <c r="E4040" s="1" t="n">
        <f aca="false">LN(D4040)</f>
        <v>-0.438768562817431</v>
      </c>
    </row>
    <row r="4041" customFormat="false" ht="15.75" hidden="false" customHeight="false" outlineLevel="0" collapsed="false">
      <c r="A4041" s="1" t="s">
        <v>921</v>
      </c>
      <c r="B4041" s="1" t="n">
        <v>351.61</v>
      </c>
      <c r="C4041" s="1" t="n">
        <f aca="false">1/B4041</f>
        <v>0.00284406018031342</v>
      </c>
      <c r="D4041" s="1" t="n">
        <v>0.6395</v>
      </c>
      <c r="E4041" s="1" t="n">
        <f aca="false">LN(D4041)</f>
        <v>-0.44706865796324</v>
      </c>
    </row>
    <row r="4042" customFormat="false" ht="15.75" hidden="false" customHeight="false" outlineLevel="0" collapsed="false">
      <c r="A4042" s="1" t="s">
        <v>921</v>
      </c>
      <c r="B4042" s="1" t="n">
        <v>352.33</v>
      </c>
      <c r="C4042" s="1" t="n">
        <f aca="false">1/B4042</f>
        <v>0.00283824823319048</v>
      </c>
      <c r="D4042" s="1" t="n">
        <v>0.63424</v>
      </c>
      <c r="E4042" s="1" t="n">
        <f aca="false">LN(D4042)</f>
        <v>-0.455327847280569</v>
      </c>
    </row>
    <row r="4043" customFormat="false" ht="15.75" hidden="false" customHeight="false" outlineLevel="0" collapsed="false">
      <c r="A4043" s="1" t="s">
        <v>921</v>
      </c>
      <c r="B4043" s="1" t="n">
        <v>353.06</v>
      </c>
      <c r="C4043" s="1" t="n">
        <f aca="false">1/B4043</f>
        <v>0.00283237976547896</v>
      </c>
      <c r="D4043" s="1" t="n">
        <v>0.62905</v>
      </c>
      <c r="E4043" s="1" t="n">
        <f aca="false">LN(D4043)</f>
        <v>-0.463544534184997</v>
      </c>
    </row>
    <row r="4044" customFormat="false" ht="15.75" hidden="false" customHeight="false" outlineLevel="0" collapsed="false">
      <c r="A4044" s="1" t="s">
        <v>921</v>
      </c>
      <c r="B4044" s="1" t="n">
        <v>353.79</v>
      </c>
      <c r="C4044" s="1" t="n">
        <f aca="false">1/B4044</f>
        <v>0.00282653551541875</v>
      </c>
      <c r="D4044" s="1" t="n">
        <v>0.62392</v>
      </c>
      <c r="E4044" s="1" t="n">
        <f aca="false">LN(D4044)</f>
        <v>-0.471733123959894</v>
      </c>
    </row>
    <row r="4045" customFormat="false" ht="15.75" hidden="false" customHeight="false" outlineLevel="0" collapsed="false">
      <c r="A4045" s="1" t="s">
        <v>921</v>
      </c>
      <c r="B4045" s="1" t="n">
        <v>354.52</v>
      </c>
      <c r="C4045" s="1" t="n">
        <f aca="false">1/B4045</f>
        <v>0.00282071533340855</v>
      </c>
      <c r="D4045" s="1" t="n">
        <v>0.61886</v>
      </c>
      <c r="E4045" s="1" t="n">
        <f aca="false">LN(D4045)</f>
        <v>-0.479876203122056</v>
      </c>
    </row>
    <row r="4046" customFormat="false" ht="15.75" hidden="false" customHeight="false" outlineLevel="0" collapsed="false">
      <c r="A4046" s="1" t="s">
        <v>921</v>
      </c>
      <c r="B4046" s="1" t="n">
        <v>355.24</v>
      </c>
      <c r="C4046" s="1" t="n">
        <f aca="false">1/B4046</f>
        <v>0.00281499831100101</v>
      </c>
      <c r="D4046" s="1" t="n">
        <v>0.61386</v>
      </c>
      <c r="E4046" s="1" t="n">
        <f aca="false">LN(D4046)</f>
        <v>-0.487988389863234</v>
      </c>
    </row>
    <row r="4047" customFormat="false" ht="15.75" hidden="false" customHeight="false" outlineLevel="0" collapsed="false">
      <c r="A4047" s="1" t="s">
        <v>921</v>
      </c>
      <c r="B4047" s="1" t="n">
        <v>355.97</v>
      </c>
      <c r="C4047" s="1" t="n">
        <f aca="false">1/B4047</f>
        <v>0.00280922549653061</v>
      </c>
      <c r="D4047" s="1" t="n">
        <v>0.60893</v>
      </c>
      <c r="E4047" s="1" t="n">
        <f aca="false">LN(D4047)</f>
        <v>-0.496051960407374</v>
      </c>
    </row>
    <row r="4048" customFormat="false" ht="15.75" hidden="false" customHeight="false" outlineLevel="0" collapsed="false">
      <c r="A4048" s="1" t="s">
        <v>921</v>
      </c>
      <c r="B4048" s="1" t="n">
        <v>356.7</v>
      </c>
      <c r="C4048" s="1" t="n">
        <f aca="false">1/B4048</f>
        <v>0.00280347631062518</v>
      </c>
      <c r="D4048" s="1" t="n">
        <v>0.60406</v>
      </c>
      <c r="E4048" s="1" t="n">
        <f aca="false">LN(D4048)</f>
        <v>-0.504081748232645</v>
      </c>
    </row>
    <row r="4049" customFormat="false" ht="15.75" hidden="false" customHeight="false" outlineLevel="0" collapsed="false">
      <c r="A4049" s="1" t="s">
        <v>921</v>
      </c>
      <c r="B4049" s="1" t="n">
        <v>357.43</v>
      </c>
      <c r="C4049" s="1" t="n">
        <f aca="false">1/B4049</f>
        <v>0.00279775060851076</v>
      </c>
      <c r="D4049" s="1" t="n">
        <v>0.59925</v>
      </c>
      <c r="E4049" s="1" t="n">
        <f aca="false">LN(D4049)</f>
        <v>-0.512076405667643</v>
      </c>
    </row>
    <row r="4050" customFormat="false" ht="15.75" hidden="false" customHeight="false" outlineLevel="0" collapsed="false">
      <c r="A4050" s="1" t="s">
        <v>921</v>
      </c>
      <c r="B4050" s="1" t="n">
        <v>358.15</v>
      </c>
      <c r="C4050" s="1" t="n">
        <f aca="false">1/B4050</f>
        <v>0.00279212620410443</v>
      </c>
      <c r="D4050" s="1" t="n">
        <v>0.5945</v>
      </c>
      <c r="E4050" s="1" t="n">
        <f aca="false">LN(D4050)</f>
        <v>-0.5200345628513</v>
      </c>
    </row>
    <row r="4051" customFormat="false" ht="15.75" hidden="false" customHeight="false" outlineLevel="0" collapsed="false">
      <c r="A4051" s="1" t="s">
        <v>921</v>
      </c>
      <c r="B4051" s="1" t="n">
        <v>358.88</v>
      </c>
      <c r="C4051" s="1" t="n">
        <f aca="false">1/B4051</f>
        <v>0.00278644672313865</v>
      </c>
      <c r="D4051" s="1" t="n">
        <v>0.58981</v>
      </c>
      <c r="E4051" s="1" t="n">
        <f aca="false">LN(D4051)</f>
        <v>-0.527954827844728</v>
      </c>
    </row>
    <row r="4052" customFormat="false" ht="15.75" hidden="false" customHeight="false" outlineLevel="0" collapsed="false">
      <c r="A4052" s="1" t="s">
        <v>921</v>
      </c>
      <c r="B4052" s="1" t="n">
        <v>359.61</v>
      </c>
      <c r="C4052" s="1" t="n">
        <f aca="false">1/B4052</f>
        <v>0.00278079030060343</v>
      </c>
      <c r="D4052" s="1" t="n">
        <v>0.58517</v>
      </c>
      <c r="E4052" s="1" t="n">
        <f aca="false">LN(D4052)</f>
        <v>-0.535852875675187</v>
      </c>
    </row>
    <row r="4053" customFormat="false" ht="15.75" hidden="false" customHeight="false" outlineLevel="0" collapsed="false">
      <c r="A4053" s="1" t="s">
        <v>921</v>
      </c>
      <c r="B4053" s="1" t="n">
        <v>360.34</v>
      </c>
      <c r="C4053" s="1" t="n">
        <f aca="false">1/B4053</f>
        <v>0.00277515679635899</v>
      </c>
      <c r="D4053" s="1" t="n">
        <v>0.5806</v>
      </c>
      <c r="E4053" s="1" t="n">
        <f aca="false">LN(D4053)</f>
        <v>-0.543693227391608</v>
      </c>
    </row>
    <row r="4054" customFormat="false" ht="15.75" hidden="false" customHeight="false" outlineLevel="0" collapsed="false">
      <c r="A4054" s="1" t="s">
        <v>921</v>
      </c>
      <c r="B4054" s="1" t="n">
        <v>361.06</v>
      </c>
      <c r="C4054" s="1" t="n">
        <f aca="false">1/B4054</f>
        <v>0.00276962277737772</v>
      </c>
      <c r="D4054" s="1" t="n">
        <v>0.57608</v>
      </c>
      <c r="E4054" s="1" t="n">
        <f aca="false">LN(D4054)</f>
        <v>-0.551508739041526</v>
      </c>
    </row>
    <row r="4055" customFormat="false" ht="15.75" hidden="false" customHeight="false" outlineLevel="0" collapsed="false">
      <c r="A4055" s="1" t="s">
        <v>921</v>
      </c>
      <c r="B4055" s="1" t="n">
        <v>361.79</v>
      </c>
      <c r="C4055" s="1" t="n">
        <f aca="false">1/B4055</f>
        <v>0.00276403438458774</v>
      </c>
      <c r="D4055" s="1" t="n">
        <v>0.57161</v>
      </c>
      <c r="E4055" s="1" t="n">
        <f aca="false">LN(D4055)</f>
        <v>-0.559298338327882</v>
      </c>
    </row>
    <row r="4056" customFormat="false" ht="15.75" hidden="false" customHeight="false" outlineLevel="0" collapsed="false">
      <c r="A4056" s="1" t="s">
        <v>921</v>
      </c>
      <c r="B4056" s="1" t="n">
        <v>362.52</v>
      </c>
      <c r="C4056" s="1" t="n">
        <f aca="false">1/B4056</f>
        <v>0.00275846849828975</v>
      </c>
      <c r="D4056" s="1" t="n">
        <v>0.5672</v>
      </c>
      <c r="E4056" s="1" t="n">
        <f aca="false">LN(D4056)</f>
        <v>-0.567043303764219</v>
      </c>
    </row>
    <row r="4057" customFormat="false" ht="15.75" hidden="false" customHeight="false" outlineLevel="0" collapsed="false">
      <c r="A4057" s="1" t="s">
        <v>921</v>
      </c>
      <c r="B4057" s="1" t="n">
        <v>363.24</v>
      </c>
      <c r="C4057" s="1" t="n">
        <f aca="false">1/B4057</f>
        <v>0.00275300077084022</v>
      </c>
      <c r="D4057" s="1" t="n">
        <v>0.56284</v>
      </c>
      <c r="E4057" s="1" t="n">
        <f aca="false">LN(D4057)</f>
        <v>-0.574759883062082</v>
      </c>
    </row>
    <row r="4058" customFormat="false" ht="15.75" hidden="false" customHeight="false" outlineLevel="0" collapsed="false">
      <c r="A4058" s="1" t="s">
        <v>921</v>
      </c>
      <c r="B4058" s="1" t="n">
        <v>363.97</v>
      </c>
      <c r="C4058" s="1" t="n">
        <f aca="false">1/B4058</f>
        <v>0.00274747918784515</v>
      </c>
      <c r="D4058" s="1" t="n">
        <v>0.55853</v>
      </c>
      <c r="E4058" s="1" t="n">
        <f aca="false">LN(D4058)</f>
        <v>-0.582446946606634</v>
      </c>
    </row>
    <row r="4059" customFormat="false" ht="15.75" hidden="false" customHeight="false" outlineLevel="0" collapsed="false">
      <c r="A4059" s="1" t="s">
        <v>921</v>
      </c>
      <c r="B4059" s="1" t="n">
        <v>364.7</v>
      </c>
      <c r="C4059" s="1" t="n">
        <f aca="false">1/B4059</f>
        <v>0.00274197970935015</v>
      </c>
      <c r="D4059" s="1" t="n">
        <v>0.55427</v>
      </c>
      <c r="E4059" s="1" t="n">
        <f aca="false">LN(D4059)</f>
        <v>-0.590103346337479</v>
      </c>
    </row>
    <row r="4060" customFormat="false" ht="15.75" hidden="false" customHeight="false" outlineLevel="0" collapsed="false">
      <c r="A4060" s="1" t="s">
        <v>921</v>
      </c>
      <c r="B4060" s="1" t="n">
        <v>365.43</v>
      </c>
      <c r="C4060" s="1" t="n">
        <f aca="false">1/B4060</f>
        <v>0.00273650220288427</v>
      </c>
      <c r="D4060" s="1" t="n">
        <v>0.55007</v>
      </c>
      <c r="E4060" s="1" t="n">
        <f aca="false">LN(D4060)</f>
        <v>-0.597709736126834</v>
      </c>
    </row>
    <row r="4061" customFormat="false" ht="15.75" hidden="false" customHeight="false" outlineLevel="0" collapsed="false">
      <c r="A4061" s="1" t="s">
        <v>921</v>
      </c>
      <c r="B4061" s="1" t="n">
        <v>366.15</v>
      </c>
      <c r="C4061" s="1" t="n">
        <f aca="false">1/B4061</f>
        <v>0.0027311211252219</v>
      </c>
      <c r="D4061" s="1" t="n">
        <v>0.54591</v>
      </c>
      <c r="E4061" s="1" t="n">
        <f aca="false">LN(D4061)</f>
        <v>-0.605301151988876</v>
      </c>
    </row>
    <row r="4062" customFormat="false" ht="15.75" hidden="false" customHeight="false" outlineLevel="0" collapsed="false">
      <c r="A4062" s="1" t="s">
        <v>921</v>
      </c>
      <c r="B4062" s="1" t="n">
        <v>366.88</v>
      </c>
      <c r="C4062" s="1" t="n">
        <f aca="false">1/B4062</f>
        <v>0.00272568687309202</v>
      </c>
      <c r="D4062" s="1" t="n">
        <v>0.5418</v>
      </c>
      <c r="E4062" s="1" t="n">
        <f aca="false">LN(D4062)</f>
        <v>-0.612858349331142</v>
      </c>
    </row>
    <row r="4063" customFormat="false" ht="15.75" hidden="false" customHeight="false" outlineLevel="0" collapsed="false">
      <c r="A4063" s="1" t="s">
        <v>921</v>
      </c>
      <c r="B4063" s="1" t="n">
        <v>367.61</v>
      </c>
      <c r="C4063" s="1" t="n">
        <f aca="false">1/B4063</f>
        <v>0.00272027420363973</v>
      </c>
      <c r="D4063" s="1" t="n">
        <v>0.53774</v>
      </c>
      <c r="E4063" s="1" t="n">
        <f aca="false">LN(D4063)</f>
        <v>-0.620380107009065</v>
      </c>
    </row>
    <row r="4064" customFormat="false" ht="15.75" hidden="false" customHeight="false" outlineLevel="0" collapsed="false">
      <c r="A4064" s="1" t="s">
        <v>921</v>
      </c>
      <c r="B4064" s="1" t="n">
        <v>368.34</v>
      </c>
      <c r="C4064" s="1" t="n">
        <f aca="false">1/B4064</f>
        <v>0.00271488298854319</v>
      </c>
      <c r="D4064" s="1" t="n">
        <v>0.53373</v>
      </c>
      <c r="E4064" s="1" t="n">
        <f aca="false">LN(D4064)</f>
        <v>-0.627865185867343</v>
      </c>
    </row>
    <row r="4065" customFormat="false" ht="15.75" hidden="false" customHeight="false" outlineLevel="0" collapsed="false">
      <c r="A4065" s="1" t="s">
        <v>921</v>
      </c>
      <c r="B4065" s="1" t="n">
        <v>369.06</v>
      </c>
      <c r="C4065" s="1" t="n">
        <f aca="false">1/B4065</f>
        <v>0.00270958651709749</v>
      </c>
      <c r="D4065" s="1" t="n">
        <v>0.52976</v>
      </c>
      <c r="E4065" s="1" t="n">
        <f aca="false">LN(D4065)</f>
        <v>-0.635331205183201</v>
      </c>
    </row>
    <row r="4066" customFormat="false" ht="15.75" hidden="false" customHeight="false" outlineLevel="0" collapsed="false">
      <c r="A4066" s="1" t="s">
        <v>921</v>
      </c>
      <c r="B4066" s="1" t="n">
        <v>369.79</v>
      </c>
      <c r="C4066" s="1" t="n">
        <f aca="false">1/B4066</f>
        <v>0.00270423754022553</v>
      </c>
      <c r="D4066" s="1" t="n">
        <v>0.52584</v>
      </c>
      <c r="E4066" s="1" t="n">
        <f aca="false">LN(D4066)</f>
        <v>-0.642758295026816</v>
      </c>
    </row>
    <row r="4067" customFormat="false" ht="15.75" hidden="false" customHeight="false" outlineLevel="0" collapsed="false">
      <c r="A4067" s="1" t="s">
        <v>921</v>
      </c>
      <c r="B4067" s="1" t="n">
        <v>370.52</v>
      </c>
      <c r="C4067" s="1" t="n">
        <f aca="false">1/B4067</f>
        <v>0.00269890964050524</v>
      </c>
      <c r="D4067" s="1" t="n">
        <v>0.52196</v>
      </c>
      <c r="E4067" s="1" t="n">
        <f aca="false">LN(D4067)</f>
        <v>-0.650164322388091</v>
      </c>
    </row>
    <row r="4068" customFormat="false" ht="15.75" hidden="false" customHeight="false" outlineLevel="0" collapsed="false">
      <c r="A4068" s="1" t="s">
        <v>921</v>
      </c>
      <c r="B4068" s="1" t="n">
        <v>371.25</v>
      </c>
      <c r="C4068" s="1" t="n">
        <f aca="false">1/B4068</f>
        <v>0.00269360269360269</v>
      </c>
      <c r="D4068" s="1" t="n">
        <v>0.51813</v>
      </c>
      <c r="E4068" s="1" t="n">
        <f aca="false">LN(D4068)</f>
        <v>-0.657529102958199</v>
      </c>
    </row>
    <row r="4069" customFormat="false" ht="15.75" hidden="false" customHeight="false" outlineLevel="0" collapsed="false">
      <c r="A4069" s="1" t="s">
        <v>921</v>
      </c>
      <c r="B4069" s="1" t="n">
        <v>371.97</v>
      </c>
      <c r="C4069" s="1" t="n">
        <f aca="false">1/B4069</f>
        <v>0.00268838884856306</v>
      </c>
      <c r="D4069" s="1" t="n">
        <v>0.51434</v>
      </c>
      <c r="E4069" s="1" t="n">
        <f aca="false">LN(D4069)</f>
        <v>-0.664870753608289</v>
      </c>
    </row>
    <row r="4070" customFormat="false" ht="15.75" hidden="false" customHeight="false" outlineLevel="0" collapsed="false">
      <c r="A4070" s="1" t="s">
        <v>921</v>
      </c>
      <c r="B4070" s="1" t="n">
        <v>372.7</v>
      </c>
      <c r="C4070" s="1" t="n">
        <f aca="false">1/B4070</f>
        <v>0.00268312315535283</v>
      </c>
      <c r="D4070" s="1" t="n">
        <v>0.51059</v>
      </c>
      <c r="E4070" s="1" t="n">
        <f aca="false">LN(D4070)</f>
        <v>-0.672188359168732</v>
      </c>
    </row>
    <row r="4071" customFormat="false" ht="15.75" hidden="false" customHeight="false" outlineLevel="0" collapsed="false">
      <c r="A4071" s="1" t="s">
        <v>921</v>
      </c>
      <c r="B4071" s="1" t="n">
        <v>373.43</v>
      </c>
      <c r="C4071" s="1" t="n">
        <f aca="false">1/B4071</f>
        <v>0.00267787804943363</v>
      </c>
      <c r="D4071" s="1" t="n">
        <v>0.50689</v>
      </c>
      <c r="E4071" s="1" t="n">
        <f aca="false">LN(D4071)</f>
        <v>-0.679461261455382</v>
      </c>
    </row>
    <row r="4072" customFormat="false" ht="15.75" hidden="false" customHeight="false" outlineLevel="0" collapsed="false">
      <c r="A4072" s="1" t="s">
        <v>921</v>
      </c>
      <c r="B4072" s="1" t="n">
        <v>374.15</v>
      </c>
      <c r="C4072" s="1" t="n">
        <f aca="false">1/B4072</f>
        <v>0.00267272484297742</v>
      </c>
      <c r="D4072" s="1" t="n">
        <v>0.50322</v>
      </c>
      <c r="E4072" s="1" t="n">
        <f aca="false">LN(D4072)</f>
        <v>-0.686727828757762</v>
      </c>
    </row>
    <row r="4073" customFormat="false" ht="15.75" hidden="false" customHeight="false" outlineLevel="0" collapsed="false">
      <c r="A4073" s="1" t="s">
        <v>921</v>
      </c>
      <c r="B4073" s="1" t="n">
        <v>374.88</v>
      </c>
      <c r="C4073" s="1" t="n">
        <f aca="false">1/B4073</f>
        <v>0.00266752027315408</v>
      </c>
      <c r="D4073" s="1" t="n">
        <v>0.4996</v>
      </c>
      <c r="E4073" s="1" t="n">
        <f aca="false">LN(D4073)</f>
        <v>-0.693947500730714</v>
      </c>
    </row>
    <row r="4074" customFormat="false" ht="15.75" hidden="false" customHeight="false" outlineLevel="0" collapsed="false">
      <c r="A4074" s="1" t="s">
        <v>921</v>
      </c>
      <c r="B4074" s="1" t="n">
        <v>375.61</v>
      </c>
      <c r="C4074" s="1" t="n">
        <f aca="false">1/B4074</f>
        <v>0.00266233593354809</v>
      </c>
      <c r="D4074" s="1" t="n">
        <v>0.49602</v>
      </c>
      <c r="E4074" s="1" t="n">
        <f aca="false">LN(D4074)</f>
        <v>-0.701139030489498</v>
      </c>
    </row>
    <row r="4075" customFormat="false" ht="15.75" hidden="false" customHeight="false" outlineLevel="0" collapsed="false">
      <c r="A4075" s="1" t="s">
        <v>921</v>
      </c>
      <c r="B4075" s="1" t="n">
        <v>376.34</v>
      </c>
      <c r="C4075" s="1" t="n">
        <f aca="false">1/B4075</f>
        <v>0.00265717170643567</v>
      </c>
      <c r="D4075" s="1" t="n">
        <v>0.49247</v>
      </c>
      <c r="E4075" s="1" t="n">
        <f aca="false">LN(D4075)</f>
        <v>-0.708321733930892</v>
      </c>
    </row>
    <row r="4076" customFormat="false" ht="15.75" hidden="false" customHeight="false" outlineLevel="0" collapsed="false">
      <c r="A4076" s="1" t="s">
        <v>921</v>
      </c>
      <c r="B4076" s="1" t="n">
        <v>377.06</v>
      </c>
      <c r="C4076" s="1" t="n">
        <f aca="false">1/B4076</f>
        <v>0.00265209780936721</v>
      </c>
      <c r="D4076" s="1" t="n">
        <v>0.48896</v>
      </c>
      <c r="E4076" s="1" t="n">
        <f aca="false">LN(D4076)</f>
        <v>-0.715474592444036</v>
      </c>
    </row>
    <row r="4077" customFormat="false" ht="15.75" hidden="false" customHeight="false" outlineLevel="0" collapsed="false">
      <c r="A4077" s="1" t="s">
        <v>921</v>
      </c>
      <c r="B4077" s="1" t="n">
        <v>377.79</v>
      </c>
      <c r="C4077" s="1" t="n">
        <f aca="false">1/B4077</f>
        <v>0.00264697318616162</v>
      </c>
      <c r="D4077" s="1" t="n">
        <v>0.4855</v>
      </c>
      <c r="E4077" s="1" t="n">
        <f aca="false">LN(D4077)</f>
        <v>-0.722575991250757</v>
      </c>
    </row>
    <row r="4078" customFormat="false" ht="15.75" hidden="false" customHeight="false" outlineLevel="0" collapsed="false">
      <c r="A4078" s="1" t="s">
        <v>921</v>
      </c>
      <c r="B4078" s="1" t="n">
        <v>378.52</v>
      </c>
      <c r="C4078" s="1" t="n">
        <f aca="false">1/B4078</f>
        <v>0.00264186832928247</v>
      </c>
      <c r="D4078" s="1" t="n">
        <v>0.48206</v>
      </c>
      <c r="E4078" s="1" t="n">
        <f aca="false">LN(D4078)</f>
        <v>-0.729686691350894</v>
      </c>
    </row>
    <row r="4079" customFormat="false" ht="15.75" hidden="false" customHeight="false" outlineLevel="0" collapsed="false">
      <c r="A4079" s="1" t="s">
        <v>921</v>
      </c>
      <c r="B4079" s="1" t="n">
        <v>379.25</v>
      </c>
      <c r="C4079" s="1" t="n">
        <f aca="false">1/B4079</f>
        <v>0.002636783124588</v>
      </c>
      <c r="D4079" s="1" t="n">
        <v>0.47867</v>
      </c>
      <c r="E4079" s="1" t="n">
        <f aca="false">LN(D4079)</f>
        <v>-0.736743854278023</v>
      </c>
    </row>
    <row r="4080" customFormat="false" ht="15.75" hidden="false" customHeight="false" outlineLevel="0" collapsed="false">
      <c r="A4080" s="1" t="s">
        <v>921</v>
      </c>
      <c r="B4080" s="1" t="n">
        <v>379.97</v>
      </c>
      <c r="C4080" s="1" t="n">
        <f aca="false">1/B4080</f>
        <v>0.00263178672000421</v>
      </c>
      <c r="D4080" s="1" t="n">
        <v>0.47531</v>
      </c>
      <c r="E4080" s="1" t="n">
        <f aca="false">LN(D4080)</f>
        <v>-0.743788056239925</v>
      </c>
    </row>
    <row r="4081" customFormat="false" ht="15.75" hidden="false" customHeight="false" outlineLevel="0" collapsed="false">
      <c r="A4081" s="1" t="s">
        <v>921</v>
      </c>
      <c r="B4081" s="1" t="n">
        <v>380.7</v>
      </c>
      <c r="C4081" s="1" t="n">
        <f aca="false">1/B4081</f>
        <v>0.0026267402153927</v>
      </c>
      <c r="D4081" s="1" t="n">
        <v>0.47199</v>
      </c>
      <c r="E4081" s="1" t="n">
        <f aca="false">LN(D4081)</f>
        <v>-0.750797480061695</v>
      </c>
    </row>
    <row r="4082" customFormat="false" ht="15.75" hidden="false" customHeight="false" outlineLevel="0" collapsed="false">
      <c r="A4082" s="1" t="s">
        <v>921</v>
      </c>
      <c r="B4082" s="1" t="n">
        <v>381.43</v>
      </c>
      <c r="C4082" s="1" t="n">
        <f aca="false">1/B4082</f>
        <v>0.00262171302729203</v>
      </c>
      <c r="D4082" s="1" t="n">
        <v>0.4687</v>
      </c>
      <c r="E4082" s="1" t="n">
        <f aca="false">LN(D4082)</f>
        <v>-0.757792374053477</v>
      </c>
    </row>
    <row r="4083" customFormat="false" ht="15.75" hidden="false" customHeight="false" outlineLevel="0" collapsed="false">
      <c r="A4083" s="1" t="s">
        <v>921</v>
      </c>
      <c r="B4083" s="1" t="n">
        <v>382.16</v>
      </c>
      <c r="C4083" s="1" t="n">
        <f aca="false">1/B4083</f>
        <v>0.00261670504500733</v>
      </c>
      <c r="D4083" s="1" t="n">
        <v>0.46545</v>
      </c>
      <c r="E4083" s="1" t="n">
        <f aca="false">LN(D4083)</f>
        <v>-0.764750599419638</v>
      </c>
    </row>
    <row r="4084" customFormat="false" ht="15.75" hidden="false" customHeight="false" outlineLevel="0" collapsed="false">
      <c r="A4084" s="1" t="s">
        <v>921</v>
      </c>
      <c r="B4084" s="1" t="n">
        <v>382.88</v>
      </c>
      <c r="C4084" s="1" t="n">
        <f aca="false">1/B4084</f>
        <v>0.00261178437108232</v>
      </c>
      <c r="D4084" s="1" t="n">
        <v>0.46223</v>
      </c>
      <c r="E4084" s="1" t="n">
        <f aca="false">LN(D4084)</f>
        <v>-0.771692676281542</v>
      </c>
    </row>
    <row r="4085" customFormat="false" ht="15.75" hidden="false" customHeight="false" outlineLevel="0" collapsed="false">
      <c r="A4085" s="1" t="s">
        <v>921</v>
      </c>
      <c r="B4085" s="1" t="n">
        <v>383.61</v>
      </c>
      <c r="C4085" s="1" t="n">
        <f aca="false">1/B4085</f>
        <v>0.00260681421235109</v>
      </c>
      <c r="D4085" s="1" t="n">
        <v>0.45905</v>
      </c>
      <c r="E4085" s="1" t="n">
        <f aca="false">LN(D4085)</f>
        <v>-0.778596142392428</v>
      </c>
    </row>
    <row r="4086" customFormat="false" ht="15.75" hidden="false" customHeight="false" outlineLevel="0" collapsed="false">
      <c r="A4086" s="1" t="s">
        <v>921</v>
      </c>
      <c r="B4086" s="1" t="n">
        <v>384.34</v>
      </c>
      <c r="C4086" s="1" t="n">
        <f aca="false">1/B4086</f>
        <v>0.00260186293386064</v>
      </c>
      <c r="D4086" s="1" t="n">
        <v>0.45589</v>
      </c>
      <c r="E4086" s="1" t="n">
        <f aca="false">LN(D4086)</f>
        <v>-0.785503726638097</v>
      </c>
    </row>
    <row r="4087" customFormat="false" ht="15.75" hidden="false" customHeight="false" outlineLevel="0" collapsed="false">
      <c r="A4087" s="1" t="s">
        <v>921</v>
      </c>
      <c r="B4087" s="1" t="n">
        <v>385.06</v>
      </c>
      <c r="C4087" s="1" t="n">
        <f aca="false">1/B4087</f>
        <v>0.00259699787046175</v>
      </c>
      <c r="D4087" s="1" t="n">
        <v>0.45277</v>
      </c>
      <c r="E4087" s="1" t="n">
        <f aca="false">LN(D4087)</f>
        <v>-0.792371008705046</v>
      </c>
    </row>
    <row r="4088" customFormat="false" ht="15.75" hidden="false" customHeight="false" outlineLevel="0" collapsed="false">
      <c r="A4088" s="1" t="s">
        <v>921</v>
      </c>
      <c r="B4088" s="1" t="n">
        <v>385.79</v>
      </c>
      <c r="C4088" s="1" t="n">
        <f aca="false">1/B4088</f>
        <v>0.00259208377614764</v>
      </c>
      <c r="D4088" s="1" t="n">
        <v>0.44969</v>
      </c>
      <c r="E4088" s="1" t="n">
        <f aca="false">LN(D4088)</f>
        <v>-0.799196822499642</v>
      </c>
    </row>
    <row r="4089" customFormat="false" ht="15.75" hidden="false" customHeight="false" outlineLevel="0" collapsed="false">
      <c r="A4089" s="1" t="s">
        <v>921</v>
      </c>
      <c r="B4089" s="1" t="n">
        <v>386.52</v>
      </c>
      <c r="C4089" s="1" t="n">
        <f aca="false">1/B4089</f>
        <v>0.00258718824381662</v>
      </c>
      <c r="D4089" s="1" t="n">
        <v>0.44663</v>
      </c>
      <c r="E4089" s="1" t="n">
        <f aca="false">LN(D4089)</f>
        <v>-0.80602476762706</v>
      </c>
    </row>
    <row r="4090" customFormat="false" ht="15.75" hidden="false" customHeight="false" outlineLevel="0" collapsed="false">
      <c r="A4090" s="1" t="s">
        <v>921</v>
      </c>
      <c r="B4090" s="1" t="n">
        <v>387.25</v>
      </c>
      <c r="C4090" s="1" t="n">
        <f aca="false">1/B4090</f>
        <v>0.0025823111684958</v>
      </c>
      <c r="D4090" s="1" t="n">
        <v>0.4436</v>
      </c>
      <c r="E4090" s="1" t="n">
        <f aca="false">LN(D4090)</f>
        <v>-0.812832023505925</v>
      </c>
    </row>
    <row r="4091" customFormat="false" ht="15.75" hidden="false" customHeight="false" outlineLevel="0" collapsed="false">
      <c r="A4091" s="1" t="s">
        <v>921</v>
      </c>
      <c r="B4091" s="1" t="n">
        <v>387.97</v>
      </c>
      <c r="C4091" s="1" t="n">
        <f aca="false">1/B4091</f>
        <v>0.0025775188803258</v>
      </c>
      <c r="D4091" s="1" t="n">
        <v>0.44061</v>
      </c>
      <c r="E4091" s="1" t="n">
        <f aca="false">LN(D4091)</f>
        <v>-0.819595148548256</v>
      </c>
    </row>
    <row r="4092" customFormat="false" ht="15.75" hidden="false" customHeight="false" outlineLevel="0" collapsed="false">
      <c r="A4092" s="1" t="s">
        <v>921</v>
      </c>
      <c r="B4092" s="1" t="n">
        <v>388.7</v>
      </c>
      <c r="C4092" s="1" t="n">
        <f aca="false">1/B4092</f>
        <v>0.00257267815796244</v>
      </c>
      <c r="D4092" s="1" t="n">
        <v>0.43764</v>
      </c>
      <c r="E4092" s="1" t="n">
        <f aca="false">LN(D4092)</f>
        <v>-0.826358624373548</v>
      </c>
    </row>
    <row r="4093" customFormat="false" ht="15.75" hidden="false" customHeight="false" outlineLevel="0" collapsed="false">
      <c r="A4093" s="1" t="s">
        <v>921</v>
      </c>
      <c r="B4093" s="1" t="n">
        <v>389.43</v>
      </c>
      <c r="C4093" s="1" t="n">
        <f aca="false">1/B4093</f>
        <v>0.00256785558380197</v>
      </c>
      <c r="D4093" s="1" t="n">
        <v>0.43471</v>
      </c>
      <c r="E4093" s="1" t="n">
        <f aca="false">LN(D4093)</f>
        <v>-0.833076136881157</v>
      </c>
    </row>
    <row r="4094" customFormat="false" ht="15.75" hidden="false" customHeight="false" outlineLevel="0" collapsed="false">
      <c r="A4094" s="1" t="s">
        <v>921</v>
      </c>
      <c r="B4094" s="1" t="n">
        <v>390.16</v>
      </c>
      <c r="C4094" s="1" t="n">
        <f aca="false">1/B4094</f>
        <v>0.00256305105597703</v>
      </c>
      <c r="D4094" s="1" t="n">
        <v>0.4318</v>
      </c>
      <c r="E4094" s="1" t="n">
        <f aca="false">LN(D4094)</f>
        <v>-0.83979276090143</v>
      </c>
    </row>
    <row r="4095" customFormat="false" ht="15.75" hidden="false" customHeight="false" outlineLevel="0" collapsed="false">
      <c r="A4095" s="1" t="s">
        <v>921</v>
      </c>
      <c r="B4095" s="1" t="n">
        <v>390.88</v>
      </c>
      <c r="C4095" s="1" t="n">
        <f aca="false">1/B4095</f>
        <v>0.00255832992222677</v>
      </c>
      <c r="D4095" s="1" t="n">
        <v>0.42893</v>
      </c>
      <c r="E4095" s="1" t="n">
        <f aca="false">LN(D4095)</f>
        <v>-0.84646154353099</v>
      </c>
    </row>
    <row r="4096" customFormat="false" ht="15.75" hidden="false" customHeight="false" outlineLevel="0" collapsed="false">
      <c r="A4096" s="1" t="s">
        <v>921</v>
      </c>
      <c r="B4096" s="1" t="n">
        <v>391.61</v>
      </c>
      <c r="C4096" s="1" t="n">
        <f aca="false">1/B4096</f>
        <v>0.00255356094073185</v>
      </c>
      <c r="D4096" s="1" t="n">
        <v>0.42608</v>
      </c>
      <c r="E4096" s="1" t="n">
        <f aca="false">LN(D4096)</f>
        <v>-0.853128156916515</v>
      </c>
    </row>
    <row r="4097" customFormat="false" ht="15.75" hidden="false" customHeight="false" outlineLevel="0" collapsed="false">
      <c r="A4097" s="1" t="s">
        <v>921</v>
      </c>
      <c r="B4097" s="1" t="n">
        <v>392.34</v>
      </c>
      <c r="C4097" s="1" t="n">
        <f aca="false">1/B4097</f>
        <v>0.00254880970586736</v>
      </c>
      <c r="D4097" s="1" t="n">
        <v>0.42326</v>
      </c>
      <c r="E4097" s="1" t="n">
        <f aca="false">LN(D4097)</f>
        <v>-0.859768631549829</v>
      </c>
    </row>
    <row r="4098" customFormat="false" ht="15.75" hidden="false" customHeight="false" outlineLevel="0" collapsed="false">
      <c r="A4098" s="1" t="s">
        <v>921</v>
      </c>
      <c r="B4098" s="1" t="n">
        <v>393.07</v>
      </c>
      <c r="C4098" s="1" t="n">
        <f aca="false">1/B4098</f>
        <v>0.00254407611875747</v>
      </c>
      <c r="D4098" s="1" t="n">
        <v>0.42046</v>
      </c>
      <c r="E4098" s="1" t="n">
        <f aca="false">LN(D4098)</f>
        <v>-0.866405928945157</v>
      </c>
    </row>
    <row r="4099" customFormat="false" ht="15.75" hidden="false" customHeight="false" outlineLevel="0" collapsed="false">
      <c r="A4099" s="1" t="s">
        <v>921</v>
      </c>
      <c r="B4099" s="1" t="n">
        <v>393.79</v>
      </c>
      <c r="C4099" s="1" t="n">
        <f aca="false">1/B4099</f>
        <v>0.00253942456639325</v>
      </c>
      <c r="D4099" s="1" t="n">
        <v>0.4177</v>
      </c>
      <c r="E4099" s="1" t="n">
        <f aca="false">LN(D4099)</f>
        <v>-0.872991807479007</v>
      </c>
    </row>
    <row r="4100" customFormat="false" ht="15.75" hidden="false" customHeight="false" outlineLevel="0" collapsed="false">
      <c r="A4100" s="1" t="s">
        <v>921</v>
      </c>
      <c r="B4100" s="1" t="n">
        <v>394.52</v>
      </c>
      <c r="C4100" s="1" t="n">
        <f aca="false">1/B4100</f>
        <v>0.00253472574267464</v>
      </c>
      <c r="D4100" s="1" t="n">
        <v>0.41496</v>
      </c>
      <c r="E4100" s="1" t="n">
        <f aca="false">LN(D4100)</f>
        <v>-0.879573148938992</v>
      </c>
    </row>
    <row r="4101" customFormat="false" ht="15.75" hidden="false" customHeight="false" outlineLevel="0" collapsed="false">
      <c r="A4101" s="1" t="s">
        <v>921</v>
      </c>
      <c r="B4101" s="1" t="n">
        <v>395.25</v>
      </c>
      <c r="C4101" s="1" t="n">
        <f aca="false">1/B4101</f>
        <v>0.00253004427577483</v>
      </c>
      <c r="D4101" s="1" t="n">
        <v>0.41224</v>
      </c>
      <c r="E4101" s="1" t="n">
        <f aca="false">LN(D4101)</f>
        <v>-0.886149574962168</v>
      </c>
    </row>
    <row r="4102" customFormat="false" ht="15.75" hidden="false" customHeight="false" outlineLevel="0" collapsed="false">
      <c r="A4102" s="1" t="s">
        <v>921</v>
      </c>
      <c r="B4102" s="1" t="n">
        <v>395.97</v>
      </c>
      <c r="C4102" s="1" t="n">
        <f aca="false">1/B4102</f>
        <v>0.00252544384675607</v>
      </c>
      <c r="D4102" s="1" t="n">
        <v>0.40955</v>
      </c>
      <c r="E4102" s="1" t="n">
        <f aca="false">LN(D4102)</f>
        <v>-0.892696283020526</v>
      </c>
    </row>
    <row r="4103" customFormat="false" ht="15.75" hidden="false" customHeight="false" outlineLevel="0" collapsed="false">
      <c r="A4103" s="1" t="s">
        <v>921</v>
      </c>
      <c r="B4103" s="1" t="n">
        <v>396.7</v>
      </c>
      <c r="C4103" s="1" t="n">
        <f aca="false">1/B4103</f>
        <v>0.00252079657171666</v>
      </c>
      <c r="D4103" s="1" t="n">
        <v>0.40689</v>
      </c>
      <c r="E4103" s="1" t="n">
        <f aca="false">LN(D4103)</f>
        <v>-0.899212400339404</v>
      </c>
    </row>
    <row r="4104" customFormat="false" ht="15.75" hidden="false" customHeight="false" outlineLevel="0" collapsed="false">
      <c r="A4104" s="1" t="s">
        <v>921</v>
      </c>
      <c r="B4104" s="1" t="n">
        <v>397.43</v>
      </c>
      <c r="C4104" s="1" t="n">
        <f aca="false">1/B4104</f>
        <v>0.00251616636892031</v>
      </c>
      <c r="D4104" s="1" t="n">
        <v>0.40426</v>
      </c>
      <c r="E4104" s="1" t="n">
        <f aca="false">LN(D4104)</f>
        <v>-0.905697043663285</v>
      </c>
    </row>
    <row r="4105" customFormat="false" ht="15.75" hidden="false" customHeight="false" outlineLevel="0" collapsed="false">
      <c r="A4105" s="1" t="s">
        <v>921</v>
      </c>
      <c r="B4105" s="1" t="n">
        <v>398.16</v>
      </c>
      <c r="C4105" s="1" t="n">
        <f aca="false">1/B4105</f>
        <v>0.00251155314446454</v>
      </c>
      <c r="D4105" s="1" t="n">
        <v>0.40164</v>
      </c>
      <c r="E4105" s="1" t="n">
        <f aca="false">LN(D4105)</f>
        <v>-0.912199113970901</v>
      </c>
    </row>
    <row r="4106" customFormat="false" ht="15.75" hidden="false" customHeight="false" outlineLevel="0" collapsed="false">
      <c r="A4106" s="1" t="s">
        <v>921</v>
      </c>
      <c r="B4106" s="1" t="n">
        <v>398.88</v>
      </c>
      <c r="C4106" s="1" t="n">
        <f aca="false">1/B4106</f>
        <v>0.0025070196550341</v>
      </c>
      <c r="D4106" s="1" t="n">
        <v>0.39906</v>
      </c>
      <c r="E4106" s="1" t="n">
        <f aca="false">LN(D4106)</f>
        <v>-0.918643497457752</v>
      </c>
    </row>
    <row r="4107" customFormat="false" ht="15.75" hidden="false" customHeight="false" outlineLevel="0" collapsed="false">
      <c r="A4107" s="1" t="s">
        <v>921</v>
      </c>
      <c r="B4107" s="1" t="n">
        <v>399.61</v>
      </c>
      <c r="C4107" s="1" t="n">
        <f aca="false">1/B4107</f>
        <v>0.00250243987888191</v>
      </c>
      <c r="D4107" s="1" t="n">
        <v>0.39649</v>
      </c>
      <c r="E4107" s="1" t="n">
        <f aca="false">LN(D4107)</f>
        <v>-0.925104458906239</v>
      </c>
    </row>
    <row r="4108" customFormat="false" ht="15.75" hidden="false" customHeight="false" outlineLevel="0" collapsed="false">
      <c r="A4108" s="1" t="s">
        <v>921</v>
      </c>
      <c r="B4108" s="1" t="n">
        <v>400.34</v>
      </c>
      <c r="C4108" s="1" t="n">
        <f aca="false">1/B4108</f>
        <v>0.00249787680471599</v>
      </c>
      <c r="D4108" s="1" t="n">
        <v>0.39395</v>
      </c>
      <c r="E4108" s="1" t="n">
        <f aca="false">LN(D4108)</f>
        <v>-0.93153128129044</v>
      </c>
    </row>
    <row r="4109" customFormat="false" ht="15.75" hidden="false" customHeight="false" outlineLevel="0" collapsed="false">
      <c r="A4109" s="1" t="s">
        <v>921</v>
      </c>
      <c r="B4109" s="1" t="n">
        <v>401.07</v>
      </c>
      <c r="C4109" s="1" t="n">
        <f aca="false">1/B4109</f>
        <v>0.00249333034133692</v>
      </c>
      <c r="D4109" s="1" t="n">
        <v>0.39144</v>
      </c>
      <c r="E4109" s="1" t="n">
        <f aca="false">LN(D4109)</f>
        <v>-0.937923032001269</v>
      </c>
    </row>
    <row r="4110" customFormat="false" ht="15.75" hidden="false" customHeight="false" outlineLevel="0" collapsed="false">
      <c r="A4110" s="1" t="s">
        <v>921</v>
      </c>
      <c r="B4110" s="1" t="n">
        <v>401.79</v>
      </c>
      <c r="C4110" s="1" t="n">
        <f aca="false">1/B4110</f>
        <v>0.00248886234102392</v>
      </c>
      <c r="D4110" s="1" t="n">
        <v>0.38895</v>
      </c>
      <c r="E4110" s="1" t="n">
        <f aca="false">LN(D4110)</f>
        <v>-0.944304478329354</v>
      </c>
    </row>
    <row r="4111" customFormat="false" ht="15.75" hidden="false" customHeight="false" outlineLevel="0" collapsed="false">
      <c r="A4111" s="1" t="s">
        <v>921</v>
      </c>
      <c r="B4111" s="1" t="n">
        <v>402.52</v>
      </c>
      <c r="C4111" s="1" t="n">
        <f aca="false">1/B4111</f>
        <v>0.00248434860379608</v>
      </c>
      <c r="D4111" s="1" t="n">
        <v>0.38648</v>
      </c>
      <c r="E4111" s="1" t="n">
        <f aca="false">LN(D4111)</f>
        <v>-0.950675158735986</v>
      </c>
    </row>
    <row r="4112" customFormat="false" ht="15.75" hidden="false" customHeight="false" outlineLevel="0" collapsed="false">
      <c r="A4112" s="1" t="s">
        <v>921</v>
      </c>
      <c r="B4112" s="1" t="n">
        <v>403.25</v>
      </c>
      <c r="C4112" s="1" t="n">
        <f aca="false">1/B4112</f>
        <v>0.00247985120892746</v>
      </c>
      <c r="D4112" s="1" t="n">
        <v>0.38403</v>
      </c>
      <c r="E4112" s="1" t="n">
        <f aca="false">LN(D4112)</f>
        <v>-0.957034604446009</v>
      </c>
    </row>
    <row r="4113" customFormat="false" ht="15.75" hidden="false" customHeight="false" outlineLevel="0" collapsed="false">
      <c r="A4113" s="1" t="s">
        <v>921</v>
      </c>
      <c r="B4113" s="1" t="n">
        <v>403.98</v>
      </c>
      <c r="C4113" s="1" t="n">
        <f aca="false">1/B4113</f>
        <v>0.00247537006782514</v>
      </c>
      <c r="D4113" s="1" t="n">
        <v>0.3816</v>
      </c>
      <c r="E4113" s="1" t="n">
        <f aca="false">LN(D4113)</f>
        <v>-0.963382339408006</v>
      </c>
    </row>
    <row r="4114" customFormat="false" ht="15.75" hidden="false" customHeight="false" outlineLevel="0" collapsed="false">
      <c r="A4114" s="1" t="s">
        <v>921</v>
      </c>
      <c r="B4114" s="1" t="n">
        <v>404.7</v>
      </c>
      <c r="C4114" s="1" t="n">
        <f aca="false">1/B4114</f>
        <v>0.00247096614776378</v>
      </c>
      <c r="D4114" s="1" t="n">
        <v>0.3792</v>
      </c>
      <c r="E4114" s="1" t="n">
        <f aca="false">LN(D4114)</f>
        <v>-0.96969150860127</v>
      </c>
    </row>
    <row r="4115" customFormat="false" ht="15.75" hidden="false" customHeight="false" outlineLevel="0" collapsed="false">
      <c r="A4115" s="1" t="s">
        <v>921</v>
      </c>
      <c r="B4115" s="1" t="n">
        <v>405.43</v>
      </c>
      <c r="C4115" s="1" t="n">
        <f aca="false">1/B4115</f>
        <v>0.0024665170313001</v>
      </c>
      <c r="D4115" s="1" t="n">
        <v>0.37682</v>
      </c>
      <c r="E4115" s="1" t="n">
        <f aca="false">LN(D4115)</f>
        <v>-0.975987659132283</v>
      </c>
    </row>
    <row r="4116" customFormat="false" ht="15.75" hidden="false" customHeight="false" outlineLevel="0" collapsed="false">
      <c r="A4116" s="1" t="s">
        <v>921</v>
      </c>
      <c r="B4116" s="1" t="n">
        <v>406.16</v>
      </c>
      <c r="C4116" s="1" t="n">
        <f aca="false">1/B4116</f>
        <v>0.00246208390781958</v>
      </c>
      <c r="D4116" s="1" t="n">
        <v>0.37446</v>
      </c>
      <c r="E4116" s="1" t="n">
        <f aca="false">LN(D4116)</f>
        <v>-0.98227029080813</v>
      </c>
    </row>
    <row r="4117" customFormat="false" ht="15.75" hidden="false" customHeight="false" outlineLevel="0" collapsed="false">
      <c r="A4117" s="1" t="s">
        <v>921</v>
      </c>
      <c r="B4117" s="1" t="n">
        <v>406.88</v>
      </c>
      <c r="C4117" s="1" t="n">
        <f aca="false">1/B4117</f>
        <v>0.00245772709398348</v>
      </c>
      <c r="D4117" s="1" t="n">
        <v>0.37212</v>
      </c>
      <c r="E4117" s="1" t="n">
        <f aca="false">LN(D4117)</f>
        <v>-0.988538896081779</v>
      </c>
    </row>
    <row r="4118" customFormat="false" ht="15.75" hidden="false" customHeight="false" outlineLevel="0" collapsed="false">
      <c r="A4118" s="1" t="s">
        <v>921</v>
      </c>
      <c r="B4118" s="1" t="n">
        <v>407.61</v>
      </c>
      <c r="C4118" s="1" t="n">
        <f aca="false">1/B4118</f>
        <v>0.00245332548269179</v>
      </c>
      <c r="D4118" s="1" t="n">
        <v>0.3698</v>
      </c>
      <c r="E4118" s="1" t="n">
        <f aca="false">LN(D4118)</f>
        <v>-0.994792960029113</v>
      </c>
    </row>
    <row r="4119" customFormat="false" ht="15.75" hidden="false" customHeight="false" outlineLevel="0" collapsed="false">
      <c r="A4119" s="1" t="s">
        <v>921</v>
      </c>
      <c r="B4119" s="1" t="n">
        <v>408.34</v>
      </c>
      <c r="C4119" s="1" t="n">
        <f aca="false">1/B4119</f>
        <v>0.00244893960914924</v>
      </c>
      <c r="D4119" s="1" t="n">
        <v>0.3675</v>
      </c>
      <c r="E4119" s="1" t="n">
        <f aca="false">LN(D4119)</f>
        <v>-1.00103196032925</v>
      </c>
    </row>
    <row r="4120" customFormat="false" ht="15.75" hidden="false" customHeight="false" outlineLevel="0" collapsed="false">
      <c r="A4120" s="1" t="s">
        <v>921</v>
      </c>
      <c r="B4120" s="1" t="n">
        <v>409.07</v>
      </c>
      <c r="C4120" s="1" t="n">
        <f aca="false">1/B4120</f>
        <v>0.00244456938910211</v>
      </c>
      <c r="D4120" s="1" t="n">
        <v>0.36522</v>
      </c>
      <c r="E4120" s="1" t="n">
        <f aca="false">LN(D4120)</f>
        <v>-1.00725536724825</v>
      </c>
    </row>
    <row r="4121" customFormat="false" ht="15.75" hidden="false" customHeight="false" outlineLevel="0" collapsed="false">
      <c r="A4121" s="1" t="s">
        <v>921</v>
      </c>
      <c r="B4121" s="1" t="n">
        <v>409.79</v>
      </c>
      <c r="C4121" s="1" t="n">
        <f aca="false">1/B4121</f>
        <v>0.00244027428682984</v>
      </c>
      <c r="D4121" s="1" t="n">
        <v>0.36296</v>
      </c>
      <c r="E4121" s="1" t="n">
        <f aca="false">LN(D4121)</f>
        <v>-1.01346264362643</v>
      </c>
    </row>
    <row r="4122" customFormat="false" ht="15.75" hidden="false" customHeight="false" outlineLevel="0" collapsed="false">
      <c r="A4122" s="1" t="s">
        <v>921</v>
      </c>
      <c r="B4122" s="1" t="n">
        <v>410.52</v>
      </c>
      <c r="C4122" s="1" t="n">
        <f aca="false">1/B4122</f>
        <v>0.00243593491181916</v>
      </c>
      <c r="D4122" s="1" t="n">
        <v>0.36072</v>
      </c>
      <c r="E4122" s="1" t="n">
        <f aca="false">LN(D4122)</f>
        <v>-1.01965324486931</v>
      </c>
    </row>
    <row r="4123" customFormat="false" ht="15.75" hidden="false" customHeight="false" outlineLevel="0" collapsed="false">
      <c r="A4123" s="1" t="s">
        <v>921</v>
      </c>
      <c r="B4123" s="1" t="n">
        <v>411.25</v>
      </c>
      <c r="C4123" s="1" t="n">
        <f aca="false">1/B4123</f>
        <v>0.00243161094224924</v>
      </c>
      <c r="D4123" s="1" t="n">
        <v>0.3585</v>
      </c>
      <c r="E4123" s="1" t="n">
        <f aca="false">LN(D4123)</f>
        <v>-1.02582661894246</v>
      </c>
    </row>
    <row r="4124" customFormat="false" ht="15.75" hidden="false" customHeight="false" outlineLevel="0" collapsed="false">
      <c r="A4124" s="1" t="s">
        <v>921</v>
      </c>
      <c r="B4124" s="1" t="n">
        <v>411.98</v>
      </c>
      <c r="C4124" s="1" t="n">
        <f aca="false">1/B4124</f>
        <v>0.00242730229622797</v>
      </c>
      <c r="D4124" s="1" t="n">
        <v>0.3563</v>
      </c>
      <c r="E4124" s="1" t="n">
        <f aca="false">LN(D4124)</f>
        <v>-1.03198220637035</v>
      </c>
    </row>
    <row r="4125" customFormat="false" ht="15.75" hidden="false" customHeight="false" outlineLevel="0" collapsed="false">
      <c r="A4125" s="1" t="s">
        <v>921</v>
      </c>
      <c r="B4125" s="1" t="n">
        <v>412.7</v>
      </c>
      <c r="C4125" s="1" t="n">
        <f aca="false">1/B4125</f>
        <v>0.00242306760358614</v>
      </c>
      <c r="D4125" s="1" t="n">
        <v>0.35412</v>
      </c>
      <c r="E4125" s="1" t="n">
        <f aca="false">LN(D4125)</f>
        <v>-1.03811944023929</v>
      </c>
    </row>
    <row r="4126" customFormat="false" ht="15.75" hidden="false" customHeight="false" outlineLevel="0" collapsed="false">
      <c r="A4126" s="1" t="s">
        <v>921</v>
      </c>
      <c r="B4126" s="1" t="n">
        <v>413.43</v>
      </c>
      <c r="C4126" s="1" t="n">
        <f aca="false">1/B4126</f>
        <v>0.00241878915414943</v>
      </c>
      <c r="D4126" s="1" t="n">
        <v>0.35196</v>
      </c>
      <c r="E4126" s="1" t="n">
        <f aca="false">LN(D4126)</f>
        <v>-1.04423774620478</v>
      </c>
    </row>
    <row r="4127" customFormat="false" ht="15.75" hidden="false" customHeight="false" outlineLevel="0" collapsed="false">
      <c r="A4127" s="1" t="s">
        <v>921</v>
      </c>
      <c r="B4127" s="1" t="n">
        <v>414.16</v>
      </c>
      <c r="C4127" s="1" t="n">
        <f aca="false">1/B4127</f>
        <v>0.00241452578713541</v>
      </c>
      <c r="D4127" s="1" t="n">
        <v>0.34981</v>
      </c>
      <c r="E4127" s="1" t="n">
        <f aca="false">LN(D4127)</f>
        <v>-1.05036512904182</v>
      </c>
    </row>
    <row r="4128" customFormat="false" ht="15.75" hidden="false" customHeight="false" outlineLevel="0" collapsed="false">
      <c r="A4128" s="1" t="s">
        <v>921</v>
      </c>
      <c r="B4128" s="1" t="n">
        <v>414.89</v>
      </c>
      <c r="C4128" s="1" t="n">
        <f aca="false">1/B4128</f>
        <v>0.00241027742293138</v>
      </c>
      <c r="D4128" s="1" t="n">
        <v>0.34768</v>
      </c>
      <c r="E4128" s="1" t="n">
        <f aca="false">LN(D4128)</f>
        <v>-1.05647276247402</v>
      </c>
    </row>
    <row r="4129" customFormat="false" ht="15.75" hidden="false" customHeight="false" outlineLevel="0" collapsed="false">
      <c r="A4129" s="1" t="s">
        <v>921</v>
      </c>
      <c r="B4129" s="1" t="n">
        <v>415.61</v>
      </c>
      <c r="C4129" s="1" t="n">
        <f aca="false">1/B4129</f>
        <v>0.00240610187435336</v>
      </c>
      <c r="D4129" s="1" t="n">
        <v>0.34558</v>
      </c>
      <c r="E4129" s="1" t="n">
        <f aca="false">LN(D4129)</f>
        <v>-1.06253111409716</v>
      </c>
    </row>
    <row r="4130" customFormat="false" ht="15.75" hidden="false" customHeight="false" outlineLevel="0" collapsed="false">
      <c r="A4130" s="1" t="s">
        <v>921</v>
      </c>
      <c r="B4130" s="1" t="n">
        <v>416.34</v>
      </c>
      <c r="C4130" s="1" t="n">
        <f aca="false">1/B4130</f>
        <v>0.00240188307633184</v>
      </c>
      <c r="D4130" s="1" t="n">
        <v>0.34348</v>
      </c>
      <c r="E4130" s="1" t="n">
        <f aca="false">LN(D4130)</f>
        <v>-1.06862639317785</v>
      </c>
    </row>
    <row r="4131" customFormat="false" ht="15.75" hidden="false" customHeight="false" outlineLevel="0" collapsed="false">
      <c r="A4131" s="1" t="s">
        <v>921</v>
      </c>
      <c r="B4131" s="1" t="n">
        <v>417.07</v>
      </c>
      <c r="C4131" s="1" t="n">
        <f aca="false">1/B4131</f>
        <v>0.00239767904668281</v>
      </c>
      <c r="D4131" s="1" t="n">
        <v>0.34141</v>
      </c>
      <c r="E4131" s="1" t="n">
        <f aca="false">LN(D4131)</f>
        <v>-1.0746711778967</v>
      </c>
    </row>
    <row r="4132" customFormat="false" ht="15.75" hidden="false" customHeight="false" outlineLevel="0" collapsed="false">
      <c r="A4132" s="1" t="s">
        <v>921</v>
      </c>
      <c r="B4132" s="1" t="n">
        <v>417.79</v>
      </c>
      <c r="C4132" s="1" t="n">
        <f aca="false">1/B4132</f>
        <v>0.00239354699729529</v>
      </c>
      <c r="D4132" s="1" t="n">
        <v>0.33935</v>
      </c>
      <c r="E4132" s="1" t="n">
        <f aca="false">LN(D4132)</f>
        <v>-1.08072325583237</v>
      </c>
    </row>
    <row r="4133" customFormat="false" ht="15.75" hidden="false" customHeight="false" outlineLevel="0" collapsed="false">
      <c r="A4133" s="1" t="s">
        <v>921</v>
      </c>
      <c r="B4133" s="1" t="n">
        <v>418.52</v>
      </c>
      <c r="C4133" s="1" t="n">
        <f aca="false">1/B4133</f>
        <v>0.00238937207301921</v>
      </c>
      <c r="D4133" s="1" t="n">
        <v>0.33731</v>
      </c>
      <c r="E4133" s="1" t="n">
        <f aca="false">LN(D4133)</f>
        <v>-1.08675289015566</v>
      </c>
    </row>
    <row r="4134" customFormat="false" ht="15.75" hidden="false" customHeight="false" outlineLevel="0" collapsed="false">
      <c r="A4134" s="1" t="s">
        <v>921</v>
      </c>
      <c r="B4134" s="1" t="n">
        <v>419.25</v>
      </c>
      <c r="C4134" s="1" t="n">
        <f aca="false">1/B4134</f>
        <v>0.00238521168753727</v>
      </c>
      <c r="D4134" s="1" t="n">
        <v>0.33529</v>
      </c>
      <c r="E4134" s="1" t="n">
        <f aca="false">LN(D4134)</f>
        <v>-1.09275944999287</v>
      </c>
    </row>
    <row r="4135" customFormat="false" ht="15.75" hidden="false" customHeight="false" outlineLevel="0" collapsed="false">
      <c r="A4135" s="1" t="s">
        <v>921</v>
      </c>
      <c r="B4135" s="1" t="n">
        <v>419.98</v>
      </c>
      <c r="C4135" s="1" t="n">
        <f aca="false">1/B4135</f>
        <v>0.00238106576503643</v>
      </c>
      <c r="D4135" s="1" t="n">
        <v>0.33328</v>
      </c>
      <c r="E4135" s="1" t="n">
        <f aca="false">LN(D4135)</f>
        <v>-1.09877230146948</v>
      </c>
    </row>
    <row r="4136" customFormat="false" ht="15.75" hidden="false" customHeight="false" outlineLevel="0" collapsed="false">
      <c r="A4136" s="1" t="s">
        <v>921</v>
      </c>
      <c r="B4136" s="1" t="n">
        <v>420.7</v>
      </c>
      <c r="C4136" s="1" t="n">
        <f aca="false">1/B4136</f>
        <v>0.00237699072973615</v>
      </c>
      <c r="D4136" s="1" t="n">
        <v>0.33129</v>
      </c>
      <c r="E4136" s="1" t="n">
        <f aca="false">LN(D4136)</f>
        <v>-1.10476115425499</v>
      </c>
    </row>
    <row r="4137" customFormat="false" ht="15.75" hidden="false" customHeight="false" outlineLevel="0" collapsed="false">
      <c r="A4137" s="1" t="s">
        <v>921</v>
      </c>
      <c r="B4137" s="1" t="n">
        <v>421.43</v>
      </c>
      <c r="C4137" s="1" t="n">
        <f aca="false">1/B4137</f>
        <v>0.00237287331229386</v>
      </c>
      <c r="D4137" s="1" t="n">
        <v>0.32932</v>
      </c>
      <c r="E4137" s="1" t="n">
        <f aca="false">LN(D4137)</f>
        <v>-1.11072535655191</v>
      </c>
    </row>
    <row r="4138" customFormat="false" ht="15.75" hidden="false" customHeight="false" outlineLevel="0" collapsed="false">
      <c r="A4138" s="1" t="s">
        <v>921</v>
      </c>
      <c r="B4138" s="1" t="n">
        <v>422.16</v>
      </c>
      <c r="C4138" s="1" t="n">
        <f aca="false">1/B4138</f>
        <v>0.00236877013454614</v>
      </c>
      <c r="D4138" s="1" t="n">
        <v>0.32736</v>
      </c>
      <c r="E4138" s="1" t="n">
        <f aca="false">LN(D4138)</f>
        <v>-1.11669479621888</v>
      </c>
    </row>
    <row r="4139" customFormat="false" ht="15.75" hidden="false" customHeight="false" outlineLevel="0" collapsed="false">
      <c r="A4139" s="1" t="s">
        <v>921</v>
      </c>
      <c r="B4139" s="1" t="n">
        <v>422.89</v>
      </c>
      <c r="C4139" s="1" t="n">
        <f aca="false">1/B4139</f>
        <v>0.0023646811227506</v>
      </c>
      <c r="D4139" s="1" t="n">
        <v>0.32541</v>
      </c>
      <c r="E4139" s="1" t="n">
        <f aca="false">LN(D4139)</f>
        <v>-1.1226693532619</v>
      </c>
    </row>
    <row r="4140" customFormat="false" ht="15.75" hidden="false" customHeight="false" outlineLevel="0" collapsed="false">
      <c r="A4140" s="1" t="s">
        <v>921</v>
      </c>
      <c r="B4140" s="1" t="n">
        <v>423.61</v>
      </c>
      <c r="C4140" s="1" t="n">
        <f aca="false">1/B4140</f>
        <v>0.00236066192960506</v>
      </c>
      <c r="D4140" s="1" t="n">
        <v>0.32349</v>
      </c>
      <c r="E4140" s="1" t="n">
        <f aca="false">LN(D4140)</f>
        <v>-1.12858707742005</v>
      </c>
    </row>
    <row r="4141" customFormat="false" ht="15.75" hidden="false" customHeight="false" outlineLevel="0" collapsed="false">
      <c r="A4141" s="1" t="s">
        <v>921</v>
      </c>
      <c r="B4141" s="1" t="n">
        <v>424.34</v>
      </c>
      <c r="C4141" s="1" t="n">
        <f aca="false">1/B4141</f>
        <v>0.0023566008389499</v>
      </c>
      <c r="D4141" s="1" t="n">
        <v>0.32157</v>
      </c>
      <c r="E4141" s="1" t="n">
        <f aca="false">LN(D4141)</f>
        <v>-1.1345400296106</v>
      </c>
    </row>
    <row r="4142" customFormat="false" ht="15.75" hidden="false" customHeight="false" outlineLevel="0" collapsed="false">
      <c r="A4142" s="1" t="s">
        <v>921</v>
      </c>
      <c r="B4142" s="1" t="n">
        <v>425.07</v>
      </c>
      <c r="C4142" s="1" t="n">
        <f aca="false">1/B4142</f>
        <v>0.00235255369703813</v>
      </c>
      <c r="D4142" s="1" t="n">
        <v>0.31968</v>
      </c>
      <c r="E4142" s="1" t="n">
        <f aca="false">LN(D4142)</f>
        <v>-1.14043478352195</v>
      </c>
    </row>
    <row r="4143" customFormat="false" ht="15.75" hidden="false" customHeight="false" outlineLevel="0" collapsed="false">
      <c r="A4143" s="1" t="s">
        <v>921</v>
      </c>
      <c r="B4143" s="1" t="n">
        <v>425.8</v>
      </c>
      <c r="C4143" s="1" t="n">
        <f aca="false">1/B4143</f>
        <v>0.00234852043212776</v>
      </c>
      <c r="D4143" s="1" t="n">
        <v>0.31779</v>
      </c>
      <c r="E4143" s="1" t="n">
        <f aca="false">LN(D4143)</f>
        <v>-1.14636449170562</v>
      </c>
    </row>
    <row r="4144" customFormat="false" ht="15.75" hidden="false" customHeight="false" outlineLevel="0" collapsed="false">
      <c r="A4144" s="1" t="s">
        <v>921</v>
      </c>
      <c r="B4144" s="1" t="n">
        <v>426.52</v>
      </c>
      <c r="C4144" s="1" t="n">
        <f aca="false">1/B4144</f>
        <v>0.00234455594110475</v>
      </c>
      <c r="D4144" s="1" t="n">
        <v>0.31593</v>
      </c>
      <c r="E4144" s="1" t="n">
        <f aca="false">LN(D4144)</f>
        <v>-1.15223460892152</v>
      </c>
    </row>
    <row r="4145" customFormat="false" ht="15.75" hidden="false" customHeight="false" outlineLevel="0" collapsed="false">
      <c r="A4145" s="1" t="s">
        <v>921</v>
      </c>
      <c r="B4145" s="1" t="n">
        <v>427.25</v>
      </c>
      <c r="C4145" s="1" t="n">
        <f aca="false">1/B4145</f>
        <v>0.00234055002925688</v>
      </c>
      <c r="D4145" s="1" t="n">
        <v>0.31407</v>
      </c>
      <c r="E4145" s="1" t="n">
        <f aca="false">LN(D4145)</f>
        <v>-1.15813938798276</v>
      </c>
    </row>
    <row r="4146" customFormat="false" ht="15.75" hidden="false" customHeight="false" outlineLevel="0" collapsed="false">
      <c r="A4146" s="1" t="s">
        <v>921</v>
      </c>
      <c r="B4146" s="1" t="n">
        <v>427.98</v>
      </c>
      <c r="C4146" s="1" t="n">
        <f aca="false">1/B4146</f>
        <v>0.00233655778307398</v>
      </c>
      <c r="D4146" s="1" t="n">
        <v>0.31223</v>
      </c>
      <c r="E4146" s="1" t="n">
        <f aca="false">LN(D4146)</f>
        <v>-1.16401518326881</v>
      </c>
    </row>
    <row r="4147" customFormat="false" ht="15.75" hidden="false" customHeight="false" outlineLevel="0" collapsed="false">
      <c r="A4147" s="1" t="s">
        <v>921</v>
      </c>
      <c r="B4147" s="1" t="n">
        <v>428.7</v>
      </c>
      <c r="C4147" s="1" t="n">
        <f aca="false">1/B4147</f>
        <v>0.00233263354327035</v>
      </c>
      <c r="D4147" s="1" t="n">
        <v>0.31041</v>
      </c>
      <c r="E4147" s="1" t="n">
        <f aca="false">LN(D4147)</f>
        <v>-1.16986127469717</v>
      </c>
    </row>
    <row r="4148" customFormat="false" ht="15.75" hidden="false" customHeight="false" outlineLevel="0" collapsed="false">
      <c r="A4148" s="1" t="s">
        <v>921</v>
      </c>
      <c r="B4148" s="1" t="n">
        <v>429.43</v>
      </c>
      <c r="C4148" s="1" t="n">
        <f aca="false">1/B4148</f>
        <v>0.00232866823463661</v>
      </c>
      <c r="D4148" s="1" t="n">
        <v>0.3086</v>
      </c>
      <c r="E4148" s="1" t="n">
        <f aca="false">LN(D4148)</f>
        <v>-1.17570933905308</v>
      </c>
    </row>
    <row r="4149" customFormat="false" ht="15.75" hidden="false" customHeight="false" outlineLevel="0" collapsed="false">
      <c r="A4149" s="1" t="s">
        <v>921</v>
      </c>
      <c r="B4149" s="1" t="n">
        <v>430.16</v>
      </c>
      <c r="C4149" s="1" t="n">
        <f aca="false">1/B4149</f>
        <v>0.00232471638460108</v>
      </c>
      <c r="D4149" s="1" t="n">
        <v>0.3068</v>
      </c>
      <c r="E4149" s="1" t="n">
        <f aca="false">LN(D4149)</f>
        <v>-1.18155920948904</v>
      </c>
    </row>
    <row r="4150" customFormat="false" ht="15.75" hidden="false" customHeight="false" outlineLevel="0" collapsed="false">
      <c r="A4150" s="1" t="s">
        <v>921</v>
      </c>
      <c r="B4150" s="1" t="n">
        <v>430.89</v>
      </c>
      <c r="C4150" s="1" t="n">
        <f aca="false">1/B4150</f>
        <v>0.00232077792476038</v>
      </c>
      <c r="D4150" s="1" t="n">
        <v>0.30502</v>
      </c>
      <c r="E4150" s="1" t="n">
        <f aca="false">LN(D4150)</f>
        <v>-1.1873779307541</v>
      </c>
    </row>
    <row r="4151" customFormat="false" ht="15.75" hidden="false" customHeight="false" outlineLevel="0" collapsed="false">
      <c r="A4151" s="1" t="s">
        <v>921</v>
      </c>
      <c r="B4151" s="1" t="n">
        <v>431.61</v>
      </c>
      <c r="C4151" s="1" t="n">
        <f aca="false">1/B4151</f>
        <v>0.00231690646648595</v>
      </c>
      <c r="D4151" s="1" t="n">
        <v>0.30325</v>
      </c>
      <c r="E4151" s="1" t="n">
        <f aca="false">LN(D4151)</f>
        <v>-1.19319773115798</v>
      </c>
    </row>
    <row r="4152" customFormat="false" ht="15.75" hidden="false" customHeight="false" outlineLevel="0" collapsed="false">
      <c r="A4152" s="1" t="s">
        <v>921</v>
      </c>
      <c r="B4152" s="1" t="n">
        <v>432.34</v>
      </c>
      <c r="C4152" s="1" t="n">
        <f aca="false">1/B4152</f>
        <v>0.00231299440255355</v>
      </c>
      <c r="D4152" s="1" t="n">
        <v>0.30149</v>
      </c>
      <c r="E4152" s="1" t="n">
        <f aca="false">LN(D4152)</f>
        <v>-1.1990184308608</v>
      </c>
    </row>
    <row r="4153" customFormat="false" ht="15.75" hidden="false" customHeight="false" outlineLevel="0" collapsed="false">
      <c r="A4153" s="1" t="s">
        <v>921</v>
      </c>
      <c r="B4153" s="1" t="n">
        <v>433.07</v>
      </c>
      <c r="C4153" s="1" t="n">
        <f aca="false">1/B4153</f>
        <v>0.00230909552728196</v>
      </c>
      <c r="D4153" s="1" t="n">
        <v>0.29975</v>
      </c>
      <c r="E4153" s="1" t="n">
        <f aca="false">LN(D4153)</f>
        <v>-1.20480648507451</v>
      </c>
    </row>
    <row r="4154" customFormat="false" ht="15.75" hidden="false" customHeight="false" outlineLevel="0" collapsed="false">
      <c r="A4154" s="1" t="s">
        <v>921</v>
      </c>
      <c r="B4154" s="1" t="n">
        <v>433.8</v>
      </c>
      <c r="C4154" s="1" t="n">
        <f aca="false">1/B4154</f>
        <v>0.00230520977408944</v>
      </c>
      <c r="D4154" s="1" t="n">
        <v>0.29802</v>
      </c>
      <c r="E4154" s="1" t="n">
        <f aca="false">LN(D4154)</f>
        <v>-1.21059468063482</v>
      </c>
    </row>
    <row r="4155" customFormat="false" ht="15.75" hidden="false" customHeight="false" outlineLevel="0" collapsed="false">
      <c r="A4155" s="1" t="s">
        <v>921</v>
      </c>
      <c r="B4155" s="1" t="n">
        <v>434.52</v>
      </c>
      <c r="C4155" s="1" t="n">
        <f aca="false">1/B4155</f>
        <v>0.00230139003958391</v>
      </c>
      <c r="D4155" s="1" t="n">
        <v>0.2963</v>
      </c>
      <c r="E4155" s="1" t="n">
        <f aca="false">LN(D4155)</f>
        <v>-1.21638282440262</v>
      </c>
    </row>
    <row r="4156" customFormat="false" ht="15.75" hidden="false" customHeight="false" outlineLevel="0" collapsed="false">
      <c r="A4156" s="1" t="s">
        <v>921</v>
      </c>
      <c r="B4156" s="1" t="n">
        <v>435.25</v>
      </c>
      <c r="C4156" s="1" t="n">
        <f aca="false">1/B4156</f>
        <v>0.00229753015508329</v>
      </c>
      <c r="D4156" s="1" t="n">
        <v>0.2946</v>
      </c>
      <c r="E4156" s="1" t="n">
        <f aca="false">LN(D4156)</f>
        <v>-1.22213677495361</v>
      </c>
    </row>
    <row r="4157" customFormat="false" ht="15.75" hidden="false" customHeight="false" outlineLevel="0" collapsed="false">
      <c r="A4157" s="1" t="s">
        <v>921</v>
      </c>
      <c r="B4157" s="1" t="n">
        <v>435.98</v>
      </c>
      <c r="C4157" s="1" t="n">
        <f aca="false">1/B4157</f>
        <v>0.0022936831964769</v>
      </c>
      <c r="D4157" s="1" t="n">
        <v>0.2929</v>
      </c>
      <c r="E4157" s="1" t="n">
        <f aca="false">LN(D4157)</f>
        <v>-1.22792402514845</v>
      </c>
    </row>
    <row r="4158" customFormat="false" ht="15.75" hidden="false" customHeight="false" outlineLevel="0" collapsed="false">
      <c r="A4158" s="1" t="s">
        <v>921</v>
      </c>
      <c r="B4158" s="1" t="n">
        <v>436.71</v>
      </c>
      <c r="C4158" s="1" t="n">
        <f aca="false">1/B4158</f>
        <v>0.00228984909894438</v>
      </c>
      <c r="D4158" s="1" t="n">
        <v>0.29122</v>
      </c>
      <c r="E4158" s="1" t="n">
        <f aca="false">LN(D4158)</f>
        <v>-1.23367628369938</v>
      </c>
    </row>
    <row r="4159" customFormat="false" ht="15.75" hidden="false" customHeight="false" outlineLevel="0" collapsed="false">
      <c r="A4159" s="1" t="s">
        <v>921</v>
      </c>
      <c r="B4159" s="1" t="n">
        <v>437.43</v>
      </c>
      <c r="C4159" s="1" t="n">
        <f aca="false">1/B4159</f>
        <v>0.00228608005852365</v>
      </c>
      <c r="D4159" s="1" t="n">
        <v>0.28955</v>
      </c>
      <c r="E4159" s="1" t="n">
        <f aca="false">LN(D4159)</f>
        <v>-1.23942728531034</v>
      </c>
    </row>
    <row r="4160" customFormat="false" ht="15.75" hidden="false" customHeight="false" outlineLevel="0" collapsed="false">
      <c r="A4160" s="1" t="s">
        <v>921</v>
      </c>
      <c r="B4160" s="1" t="n">
        <v>438.16</v>
      </c>
      <c r="C4160" s="1" t="n">
        <f aca="false">1/B4160</f>
        <v>0.00228227131641409</v>
      </c>
      <c r="D4160" s="1" t="n">
        <v>0.2879</v>
      </c>
      <c r="E4160" s="1" t="n">
        <f aca="false">LN(D4160)</f>
        <v>-1.24514208136401</v>
      </c>
    </row>
    <row r="4161" customFormat="false" ht="15.75" hidden="false" customHeight="false" outlineLevel="0" collapsed="false">
      <c r="A4161" s="1" t="s">
        <v>921</v>
      </c>
      <c r="B4161" s="1" t="n">
        <v>438.89</v>
      </c>
      <c r="C4161" s="1" t="n">
        <f aca="false">1/B4161</f>
        <v>0.00227847524436647</v>
      </c>
      <c r="D4161" s="1" t="n">
        <v>0.28625</v>
      </c>
      <c r="E4161" s="1" t="n">
        <f aca="false">LN(D4161)</f>
        <v>-1.25088972411369</v>
      </c>
    </row>
    <row r="4162" customFormat="false" ht="15.75" hidden="false" customHeight="false" outlineLevel="0" collapsed="false">
      <c r="A4162" s="1" t="s">
        <v>921</v>
      </c>
      <c r="B4162" s="1" t="n">
        <v>439.61</v>
      </c>
      <c r="C4162" s="1" t="n">
        <f aca="false">1/B4162</f>
        <v>0.00227474352266782</v>
      </c>
      <c r="D4162" s="1" t="n">
        <v>0.28462</v>
      </c>
      <c r="E4162" s="1" t="n">
        <f aca="false">LN(D4162)</f>
        <v>-1.25660032172662</v>
      </c>
    </row>
    <row r="4163" customFormat="false" ht="15.75" hidden="false" customHeight="false" outlineLevel="0" collapsed="false">
      <c r="A4163" s="1" t="s">
        <v>921</v>
      </c>
      <c r="B4163" s="1" t="n">
        <v>440.34</v>
      </c>
      <c r="C4163" s="1" t="n">
        <f aca="false">1/B4163</f>
        <v>0.00227097243039469</v>
      </c>
      <c r="D4163" s="1" t="n">
        <v>0.283</v>
      </c>
      <c r="E4163" s="1" t="n">
        <f aca="false">LN(D4163)</f>
        <v>-1.2623083813389</v>
      </c>
    </row>
    <row r="4164" customFormat="false" ht="15.75" hidden="false" customHeight="false" outlineLevel="0" collapsed="false">
      <c r="A4164" s="1" t="s">
        <v>921</v>
      </c>
      <c r="B4164" s="1" t="n">
        <v>441.07</v>
      </c>
      <c r="C4164" s="1" t="n">
        <f aca="false">1/B4164</f>
        <v>0.00226721382093545</v>
      </c>
      <c r="D4164" s="1" t="n">
        <v>0.28139</v>
      </c>
      <c r="E4164" s="1" t="n">
        <f aca="false">LN(D4164)</f>
        <v>-1.26801367153599</v>
      </c>
    </row>
    <row r="4165" customFormat="false" ht="15.75" hidden="false" customHeight="false" outlineLevel="0" collapsed="false">
      <c r="A4165" s="1" t="s">
        <v>921</v>
      </c>
      <c r="B4165" s="1" t="n">
        <v>441.8</v>
      </c>
      <c r="C4165" s="1" t="n">
        <f aca="false">1/B4165</f>
        <v>0.00226346763241286</v>
      </c>
      <c r="D4165" s="1" t="n">
        <v>0.2798</v>
      </c>
      <c r="E4165" s="1" t="n">
        <f aca="false">LN(D4165)</f>
        <v>-1.27368021675076</v>
      </c>
    </row>
    <row r="4166" customFormat="false" ht="15.75" hidden="false" customHeight="false" outlineLevel="0" collapsed="false">
      <c r="A4166" s="1" t="s">
        <v>921</v>
      </c>
      <c r="B4166" s="1" t="n">
        <v>442.52</v>
      </c>
      <c r="C4166" s="1" t="n">
        <f aca="false">1/B4166</f>
        <v>0.00225978486848052</v>
      </c>
      <c r="D4166" s="1" t="n">
        <v>0.27821</v>
      </c>
      <c r="E4166" s="1" t="n">
        <f aca="false">LN(D4166)</f>
        <v>-1.27937905477577</v>
      </c>
    </row>
    <row r="4167" customFormat="false" ht="15.75" hidden="false" customHeight="false" outlineLevel="0" collapsed="false">
      <c r="A4167" s="1" t="s">
        <v>921</v>
      </c>
      <c r="B4167" s="1" t="n">
        <v>443.25</v>
      </c>
      <c r="C4167" s="1" t="n">
        <f aca="false">1/B4167</f>
        <v>0.00225606316976875</v>
      </c>
      <c r="D4167" s="1" t="n">
        <v>0.27663</v>
      </c>
      <c r="E4167" s="1" t="n">
        <f aca="false">LN(D4167)</f>
        <v>-1.28507440576298</v>
      </c>
    </row>
    <row r="4168" customFormat="false" ht="15.75" hidden="false" customHeight="false" outlineLevel="0" collapsed="false">
      <c r="A4168" s="1" t="s">
        <v>921</v>
      </c>
      <c r="B4168" s="1" t="n">
        <v>443.98</v>
      </c>
      <c r="C4168" s="1" t="n">
        <f aca="false">1/B4168</f>
        <v>0.00225235370962656</v>
      </c>
      <c r="D4168" s="1" t="n">
        <v>0.27507</v>
      </c>
      <c r="E4168" s="1" t="n">
        <f aca="false">LN(D4168)</f>
        <v>-1.29072966825222</v>
      </c>
    </row>
    <row r="4169" customFormat="false" ht="15.75" hidden="false" customHeight="false" outlineLevel="0" collapsed="false">
      <c r="A4169" s="1" t="s">
        <v>921</v>
      </c>
      <c r="B4169" s="1" t="n">
        <v>444.71</v>
      </c>
      <c r="C4169" s="1" t="n">
        <f aca="false">1/B4169</f>
        <v>0.0022486564277844</v>
      </c>
      <c r="D4169" s="1" t="n">
        <v>0.27352</v>
      </c>
      <c r="E4169" s="1" t="n">
        <f aca="false">LN(D4169)</f>
        <v>-1.29638053365109</v>
      </c>
    </row>
    <row r="4170" customFormat="false" ht="15.75" hidden="false" customHeight="false" outlineLevel="0" collapsed="false">
      <c r="A4170" s="1" t="s">
        <v>921</v>
      </c>
      <c r="B4170" s="1" t="n">
        <v>445.43</v>
      </c>
      <c r="C4170" s="1" t="n">
        <f aca="false">1/B4170</f>
        <v>0.00224502166445906</v>
      </c>
      <c r="D4170" s="1" t="n">
        <v>0.27197</v>
      </c>
      <c r="E4170" s="1" t="n">
        <f aca="false">LN(D4170)</f>
        <v>-1.30206351288663</v>
      </c>
    </row>
    <row r="4171" customFormat="false" ht="15.75" hidden="false" customHeight="false" outlineLevel="0" collapsed="false">
      <c r="A4171" s="1" t="s">
        <v>921</v>
      </c>
      <c r="B4171" s="1" t="n">
        <v>446.16</v>
      </c>
      <c r="C4171" s="1" t="n">
        <f aca="false">1/B4171</f>
        <v>0.00224134839519455</v>
      </c>
      <c r="D4171" s="1" t="n">
        <v>0.27044</v>
      </c>
      <c r="E4171" s="1" t="n">
        <f aca="false">LN(D4171)</f>
        <v>-1.30770501675966</v>
      </c>
    </row>
    <row r="4172" customFormat="false" ht="15.75" hidden="false" customHeight="false" outlineLevel="0" collapsed="false">
      <c r="A4172" s="1" t="s">
        <v>921</v>
      </c>
      <c r="B4172" s="1" t="n">
        <v>446.89</v>
      </c>
      <c r="C4172" s="1" t="n">
        <f aca="false">1/B4172</f>
        <v>0.00223768712658596</v>
      </c>
      <c r="D4172" s="1" t="n">
        <v>0.26892</v>
      </c>
      <c r="E4172" s="1" t="n">
        <f aca="false">LN(D4172)</f>
        <v>-1.3133413413813</v>
      </c>
    </row>
    <row r="4173" customFormat="false" ht="15.75" hidden="false" customHeight="false" outlineLevel="0" collapsed="false">
      <c r="A4173" s="1" t="s">
        <v>921</v>
      </c>
      <c r="B4173" s="1" t="n">
        <v>447.62</v>
      </c>
      <c r="C4173" s="1" t="n">
        <f aca="false">1/B4173</f>
        <v>0.00223403779991957</v>
      </c>
      <c r="D4173" s="1" t="n">
        <v>0.26741</v>
      </c>
      <c r="E4173" s="1" t="n">
        <f aca="false">LN(D4173)</f>
        <v>-1.31897221785573</v>
      </c>
    </row>
    <row r="4174" customFormat="false" ht="15.75" hidden="false" customHeight="false" outlineLevel="0" collapsed="false">
      <c r="A4174" s="1" t="s">
        <v>921</v>
      </c>
      <c r="B4174" s="1" t="n">
        <v>448.34</v>
      </c>
      <c r="C4174" s="1" t="n">
        <f aca="false">1/B4174</f>
        <v>0.00223045010483116</v>
      </c>
      <c r="D4174" s="1" t="n">
        <v>0.26591</v>
      </c>
      <c r="E4174" s="1" t="n">
        <f aca="false">LN(D4174)</f>
        <v>-1.32459737331698</v>
      </c>
    </row>
    <row r="4175" customFormat="false" ht="15.75" hidden="false" customHeight="false" outlineLevel="0" collapsed="false">
      <c r="A4175" s="1" t="s">
        <v>921</v>
      </c>
      <c r="B4175" s="1" t="n">
        <v>449.07</v>
      </c>
      <c r="C4175" s="1" t="n">
        <f aca="false">1/B4175</f>
        <v>0.00222682432582894</v>
      </c>
      <c r="D4175" s="1" t="n">
        <v>0.26441</v>
      </c>
      <c r="E4175" s="1" t="n">
        <f aca="false">LN(D4175)</f>
        <v>-1.33025435023722</v>
      </c>
    </row>
    <row r="4176" customFormat="false" ht="15.75" hidden="false" customHeight="false" outlineLevel="0" collapsed="false">
      <c r="A4176" s="1" t="s">
        <v>921</v>
      </c>
      <c r="B4176" s="1" t="n">
        <v>449.8</v>
      </c>
      <c r="C4176" s="1" t="n">
        <f aca="false">1/B4176</f>
        <v>0.00222321031569586</v>
      </c>
      <c r="D4176" s="1" t="n">
        <v>0.26293</v>
      </c>
      <c r="E4176" s="1" t="n">
        <f aca="false">LN(D4176)</f>
        <v>-1.33586744192697</v>
      </c>
    </row>
    <row r="4177" customFormat="false" ht="15.75" hidden="false" customHeight="false" outlineLevel="0" collapsed="false">
      <c r="A4177" s="1" t="s">
        <v>921</v>
      </c>
      <c r="B4177" s="1" t="n">
        <v>450.52</v>
      </c>
      <c r="C4177" s="1" t="n">
        <f aca="false">1/B4177</f>
        <v>0.00221965728491521</v>
      </c>
      <c r="D4177" s="1" t="n">
        <v>0.26146</v>
      </c>
      <c r="E4177" s="1" t="n">
        <f aca="false">LN(D4177)</f>
        <v>-1.34147397084842</v>
      </c>
    </row>
    <row r="4178" customFormat="false" ht="15.75" hidden="false" customHeight="false" outlineLevel="0" collapsed="false">
      <c r="A4178" s="1" t="s">
        <v>921</v>
      </c>
      <c r="B4178" s="1" t="n">
        <v>451.25</v>
      </c>
      <c r="C4178" s="1" t="n">
        <f aca="false">1/B4178</f>
        <v>0.00221606648199446</v>
      </c>
      <c r="D4178" s="1" t="n">
        <v>0.26</v>
      </c>
      <c r="E4178" s="1" t="n">
        <f aca="false">LN(D4178)</f>
        <v>-1.34707364796661</v>
      </c>
    </row>
    <row r="4179" customFormat="false" ht="15.75" hidden="false" customHeight="false" outlineLevel="0" collapsed="false">
      <c r="A4179" s="1" t="s">
        <v>921</v>
      </c>
      <c r="B4179" s="1" t="n">
        <v>451.98</v>
      </c>
      <c r="C4179" s="1" t="n">
        <f aca="false">1/B4179</f>
        <v>0.00221248727819815</v>
      </c>
      <c r="D4179" s="1" t="n">
        <v>0.25855</v>
      </c>
      <c r="E4179" s="1" t="n">
        <f aca="false">LN(D4179)</f>
        <v>-1.35266618013991</v>
      </c>
    </row>
    <row r="4180" customFormat="false" ht="15.75" hidden="false" customHeight="false" outlineLevel="0" collapsed="false">
      <c r="A4180" s="1" t="s">
        <v>921</v>
      </c>
      <c r="B4180" s="1" t="n">
        <v>452.71</v>
      </c>
      <c r="C4180" s="1" t="n">
        <f aca="false">1/B4180</f>
        <v>0.00220891961741512</v>
      </c>
      <c r="D4180" s="1" t="n">
        <v>0.25711</v>
      </c>
      <c r="E4180" s="1" t="n">
        <f aca="false">LN(D4180)</f>
        <v>-1.35825127009525</v>
      </c>
    </row>
    <row r="4181" customFormat="false" ht="15.75" hidden="false" customHeight="false" outlineLevel="0" collapsed="false">
      <c r="A4181" s="1" t="s">
        <v>921</v>
      </c>
      <c r="B4181" s="1" t="n">
        <v>453.43</v>
      </c>
      <c r="C4181" s="1" t="n">
        <f aca="false">1/B4181</f>
        <v>0.00220541208124738</v>
      </c>
      <c r="D4181" s="1" t="n">
        <v>0.25567</v>
      </c>
      <c r="E4181" s="1" t="n">
        <f aca="false">LN(D4181)</f>
        <v>-1.36386772855833</v>
      </c>
    </row>
    <row r="4182" customFormat="false" ht="15.75" hidden="false" customHeight="false" outlineLevel="0" collapsed="false">
      <c r="A4182" s="1" t="s">
        <v>921</v>
      </c>
      <c r="B4182" s="1" t="n">
        <v>454.16</v>
      </c>
      <c r="C4182" s="1" t="n">
        <f aca="false">1/B4182</f>
        <v>0.0022018671833715</v>
      </c>
      <c r="D4182" s="1" t="n">
        <v>0.25425</v>
      </c>
      <c r="E4182" s="1" t="n">
        <f aca="false">LN(D4182)</f>
        <v>-1.36943724405347</v>
      </c>
    </row>
    <row r="4183" customFormat="false" ht="15.75" hidden="false" customHeight="false" outlineLevel="0" collapsed="false">
      <c r="A4183" s="1" t="s">
        <v>921</v>
      </c>
      <c r="B4183" s="1" t="n">
        <v>454.89</v>
      </c>
      <c r="C4183" s="1" t="n">
        <f aca="false">1/B4183</f>
        <v>0.00219833366308338</v>
      </c>
      <c r="D4183" s="1" t="n">
        <v>0.25284</v>
      </c>
      <c r="E4183" s="1" t="n">
        <f aca="false">LN(D4183)</f>
        <v>-1.37499840137804</v>
      </c>
    </row>
    <row r="4184" customFormat="false" ht="15.75" hidden="false" customHeight="false" outlineLevel="0" collapsed="false">
      <c r="A4184" s="1" t="s">
        <v>921</v>
      </c>
      <c r="B4184" s="1" t="n">
        <v>455.62</v>
      </c>
      <c r="C4184" s="1" t="n">
        <f aca="false">1/B4184</f>
        <v>0.0021948114656951</v>
      </c>
      <c r="D4184" s="1" t="n">
        <v>0.25143</v>
      </c>
      <c r="E4184" s="1" t="n">
        <f aca="false">LN(D4184)</f>
        <v>-1.38059065820321</v>
      </c>
    </row>
    <row r="4185" customFormat="false" ht="15.75" hidden="false" customHeight="false" outlineLevel="0" collapsed="false">
      <c r="A4185" s="1" t="s">
        <v>921</v>
      </c>
      <c r="B4185" s="1" t="n">
        <v>456.34</v>
      </c>
      <c r="C4185" s="1" t="n">
        <f aca="false">1/B4185</f>
        <v>0.0021913485559013</v>
      </c>
      <c r="D4185" s="1" t="n">
        <v>0.25003</v>
      </c>
      <c r="E4185" s="1" t="n">
        <f aca="false">LN(D4185)</f>
        <v>-1.38617436831931</v>
      </c>
    </row>
    <row r="4186" customFormat="false" ht="15.75" hidden="false" customHeight="false" outlineLevel="0" collapsed="false">
      <c r="A4186" s="1" t="s">
        <v>921</v>
      </c>
      <c r="B4186" s="1" t="n">
        <v>457.07</v>
      </c>
      <c r="C4186" s="1" t="n">
        <f aca="false">1/B4186</f>
        <v>0.00218784868838471</v>
      </c>
      <c r="D4186" s="1" t="n">
        <v>0.24865</v>
      </c>
      <c r="E4186" s="1" t="n">
        <f aca="false">LN(D4186)</f>
        <v>-1.39170899382139</v>
      </c>
    </row>
    <row r="4187" customFormat="false" ht="15.75" hidden="false" customHeight="false" outlineLevel="0" collapsed="false">
      <c r="A4187" s="1" t="s">
        <v>921</v>
      </c>
      <c r="B4187" s="1" t="n">
        <v>457.8</v>
      </c>
      <c r="C4187" s="1" t="n">
        <f aca="false">1/B4187</f>
        <v>0.00218435998252512</v>
      </c>
      <c r="D4187" s="1" t="n">
        <v>0.24727</v>
      </c>
      <c r="E4187" s="1" t="n">
        <f aca="false">LN(D4187)</f>
        <v>-1.39727442196305</v>
      </c>
    </row>
    <row r="4188" customFormat="false" ht="15.75" hidden="false" customHeight="false" outlineLevel="0" collapsed="false">
      <c r="A4188" s="1" t="s">
        <v>921</v>
      </c>
      <c r="B4188" s="1" t="n">
        <v>458.53</v>
      </c>
      <c r="C4188" s="1" t="n">
        <f aca="false">1/B4188</f>
        <v>0.00218088238501298</v>
      </c>
      <c r="D4188" s="1" t="n">
        <v>0.2459</v>
      </c>
      <c r="E4188" s="1" t="n">
        <f aca="false">LN(D4188)</f>
        <v>-1.40283032975999</v>
      </c>
    </row>
    <row r="4189" customFormat="false" ht="15.75" hidden="false" customHeight="false" outlineLevel="0" collapsed="false">
      <c r="A4189" s="1" t="s">
        <v>921</v>
      </c>
      <c r="B4189" s="1" t="n">
        <v>459.25</v>
      </c>
      <c r="C4189" s="1" t="n">
        <f aca="false">1/B4189</f>
        <v>0.00217746325530757</v>
      </c>
      <c r="D4189" s="1" t="n">
        <v>0.24454</v>
      </c>
      <c r="E4189" s="1" t="n">
        <f aca="false">LN(D4189)</f>
        <v>-1.40837638426609</v>
      </c>
    </row>
    <row r="4190" customFormat="false" ht="15.75" hidden="false" customHeight="false" outlineLevel="0" collapsed="false">
      <c r="A4190" s="1" t="s">
        <v>921</v>
      </c>
      <c r="B4190" s="1" t="n">
        <v>459.98</v>
      </c>
      <c r="C4190" s="1" t="n">
        <f aca="false">1/B4190</f>
        <v>0.00217400756554633</v>
      </c>
      <c r="D4190" s="1" t="n">
        <v>0.24319</v>
      </c>
      <c r="E4190" s="1" t="n">
        <f aca="false">LN(D4190)</f>
        <v>-1.41391224815656</v>
      </c>
    </row>
    <row r="4191" customFormat="false" ht="15.75" hidden="false" customHeight="false" outlineLevel="0" collapsed="false">
      <c r="A4191" s="1" t="s">
        <v>921</v>
      </c>
      <c r="B4191" s="1" t="n">
        <v>460.71</v>
      </c>
      <c r="C4191" s="1" t="n">
        <f aca="false">1/B4191</f>
        <v>0.00217056282694103</v>
      </c>
      <c r="D4191" s="1" t="n">
        <v>0.24184</v>
      </c>
      <c r="E4191" s="1" t="n">
        <f aca="false">LN(D4191)</f>
        <v>-1.41947892851093</v>
      </c>
    </row>
    <row r="4192" customFormat="false" ht="15.75" hidden="false" customHeight="false" outlineLevel="0" collapsed="false">
      <c r="A4192" s="1" t="s">
        <v>921</v>
      </c>
      <c r="B4192" s="1" t="n">
        <v>461.43</v>
      </c>
      <c r="C4192" s="1" t="n">
        <f aca="false">1/B4192</f>
        <v>0.00216717595301562</v>
      </c>
      <c r="D4192" s="1" t="n">
        <v>0.24051</v>
      </c>
      <c r="E4192" s="1" t="n">
        <f aca="false">LN(D4192)</f>
        <v>-1.42499361025917</v>
      </c>
    </row>
    <row r="4193" customFormat="false" ht="15.75" hidden="false" customHeight="false" outlineLevel="0" collapsed="false">
      <c r="A4193" s="1" t="s">
        <v>921</v>
      </c>
      <c r="B4193" s="1" t="n">
        <v>462.16</v>
      </c>
      <c r="C4193" s="1" t="n">
        <f aca="false">1/B4193</f>
        <v>0.00216375281287866</v>
      </c>
      <c r="D4193" s="1" t="n">
        <v>0.23918</v>
      </c>
      <c r="E4193" s="1" t="n">
        <f aca="false">LN(D4193)</f>
        <v>-1.43053887244148</v>
      </c>
    </row>
    <row r="4194" customFormat="false" ht="15.75" hidden="false" customHeight="false" outlineLevel="0" collapsed="false">
      <c r="A4194" s="1" t="s">
        <v>921</v>
      </c>
      <c r="B4194" s="1" t="n">
        <v>462.89</v>
      </c>
      <c r="C4194" s="1" t="n">
        <f aca="false">1/B4194</f>
        <v>0.00216034046965802</v>
      </c>
      <c r="D4194" s="1" t="n">
        <v>0.23786</v>
      </c>
      <c r="E4194" s="1" t="n">
        <f aca="false">LN(D4194)</f>
        <v>-1.43607301368304</v>
      </c>
    </row>
    <row r="4195" customFormat="false" ht="15.75" hidden="false" customHeight="false" outlineLevel="0" collapsed="false">
      <c r="A4195" s="1" t="s">
        <v>921</v>
      </c>
      <c r="B4195" s="1" t="n">
        <v>463.62</v>
      </c>
      <c r="C4195" s="1" t="n">
        <f aca="false">1/B4195</f>
        <v>0.00215693887235236</v>
      </c>
      <c r="D4195" s="1" t="n">
        <v>0.23655</v>
      </c>
      <c r="E4195" s="1" t="n">
        <f aca="false">LN(D4195)</f>
        <v>-1.44159567690498</v>
      </c>
    </row>
    <row r="4196" customFormat="false" ht="15.75" hidden="false" customHeight="false" outlineLevel="0" collapsed="false">
      <c r="A4196" s="1" t="s">
        <v>921</v>
      </c>
      <c r="B4196" s="1" t="n">
        <v>464.34</v>
      </c>
      <c r="C4196" s="1" t="n">
        <f aca="false">1/B4196</f>
        <v>0.00215359434896843</v>
      </c>
      <c r="D4196" s="1" t="n">
        <v>0.23525</v>
      </c>
      <c r="E4196" s="1" t="n">
        <f aca="false">LN(D4196)</f>
        <v>-1.44710650051665</v>
      </c>
    </row>
    <row r="4197" customFormat="false" ht="15.75" hidden="false" customHeight="false" outlineLevel="0" collapsed="false">
      <c r="A4197" s="1" t="s">
        <v>921</v>
      </c>
      <c r="B4197" s="1" t="n">
        <v>465.07</v>
      </c>
      <c r="C4197" s="1" t="n">
        <f aca="false">1/B4197</f>
        <v>0.00215021394628766</v>
      </c>
      <c r="D4197" s="1" t="n">
        <v>0.23395</v>
      </c>
      <c r="E4197" s="1" t="n">
        <f aca="false">LN(D4197)</f>
        <v>-1.45264786166991</v>
      </c>
    </row>
    <row r="4198" customFormat="false" ht="15.75" hidden="false" customHeight="false" outlineLevel="0" collapsed="false">
      <c r="A4198" s="1" t="s">
        <v>921</v>
      </c>
      <c r="B4198" s="1" t="n">
        <v>465.8</v>
      </c>
      <c r="C4198" s="1" t="n">
        <f aca="false">1/B4198</f>
        <v>0.0021468441391155</v>
      </c>
      <c r="D4198" s="1" t="n">
        <v>0.23266</v>
      </c>
      <c r="E4198" s="1" t="n">
        <f aca="false">LN(D4198)</f>
        <v>-1.45817711859352</v>
      </c>
    </row>
    <row r="4199" customFormat="false" ht="15.75" hidden="false" customHeight="false" outlineLevel="0" collapsed="false">
      <c r="A4199" s="1" t="s">
        <v>921</v>
      </c>
      <c r="B4199" s="1" t="n">
        <v>466.53</v>
      </c>
      <c r="C4199" s="1" t="n">
        <f aca="false">1/B4199</f>
        <v>0.00214348487771419</v>
      </c>
      <c r="D4199" s="1" t="n">
        <v>0.23138</v>
      </c>
      <c r="E4199" s="1" t="n">
        <f aca="false">LN(D4199)</f>
        <v>-1.46369389838139</v>
      </c>
    </row>
    <row r="4200" customFormat="false" ht="15.75" hidden="false" customHeight="false" outlineLevel="0" collapsed="false">
      <c r="A4200" s="1" t="s">
        <v>921</v>
      </c>
      <c r="B4200" s="1" t="n">
        <v>467.25</v>
      </c>
      <c r="C4200" s="1" t="n">
        <f aca="false">1/B4200</f>
        <v>0.00214018191546281</v>
      </c>
      <c r="D4200" s="1" t="n">
        <v>0.23011</v>
      </c>
      <c r="E4200" s="1" t="n">
        <f aca="false">LN(D4200)</f>
        <v>-1.46919782351965</v>
      </c>
    </row>
    <row r="4201" customFormat="false" ht="15.75" hidden="false" customHeight="false" outlineLevel="0" collapsed="false">
      <c r="A4201" s="1" t="s">
        <v>921</v>
      </c>
      <c r="B4201" s="1" t="n">
        <v>467.98</v>
      </c>
      <c r="C4201" s="1" t="n">
        <f aca="false">1/B4201</f>
        <v>0.0021368434548485</v>
      </c>
      <c r="D4201" s="1" t="n">
        <v>0.22885</v>
      </c>
      <c r="E4201" s="1" t="n">
        <f aca="false">LN(D4201)</f>
        <v>-1.47468851188249</v>
      </c>
    </row>
    <row r="4202" customFormat="false" ht="15.75" hidden="false" customHeight="false" outlineLevel="0" collapsed="false">
      <c r="A4202" s="1" t="s">
        <v>921</v>
      </c>
      <c r="B4202" s="1" t="n">
        <v>468.71</v>
      </c>
      <c r="C4202" s="1" t="n">
        <f aca="false">1/B4202</f>
        <v>0.00213351539331356</v>
      </c>
      <c r="D4202" s="1" t="n">
        <v>0.22759</v>
      </c>
      <c r="E4202" s="1" t="n">
        <f aca="false">LN(D4202)</f>
        <v>-1.48020951442632</v>
      </c>
    </row>
    <row r="4203" customFormat="false" ht="15.75" hidden="false" customHeight="false" outlineLevel="0" collapsed="false">
      <c r="A4203" s="1" t="s">
        <v>921</v>
      </c>
      <c r="B4203" s="1" t="n">
        <v>469.44</v>
      </c>
      <c r="C4203" s="1" t="n">
        <f aca="false">1/B4203</f>
        <v>0.00213019768234492</v>
      </c>
      <c r="D4203" s="1" t="n">
        <v>0.22634</v>
      </c>
      <c r="E4203" s="1" t="n">
        <f aca="false">LN(D4203)</f>
        <v>-1.48571698544434</v>
      </c>
    </row>
    <row r="4204" customFormat="false" ht="15.75" hidden="false" customHeight="false" outlineLevel="0" collapsed="false">
      <c r="A4204" s="1" t="s">
        <v>921</v>
      </c>
      <c r="B4204" s="1" t="n">
        <v>470.16</v>
      </c>
      <c r="C4204" s="1" t="n">
        <f aca="false">1/B4204</f>
        <v>0.0021269355113153</v>
      </c>
      <c r="D4204" s="1" t="n">
        <v>0.2251</v>
      </c>
      <c r="E4204" s="1" t="n">
        <f aca="false">LN(D4204)</f>
        <v>-1.49121053106945</v>
      </c>
    </row>
    <row r="4205" customFormat="false" ht="15.75" hidden="false" customHeight="false" outlineLevel="0" collapsed="false">
      <c r="A4205" s="1" t="s">
        <v>921</v>
      </c>
      <c r="B4205" s="1" t="n">
        <v>470.89</v>
      </c>
      <c r="C4205" s="1" t="n">
        <f aca="false">1/B4205</f>
        <v>0.00212363821699335</v>
      </c>
      <c r="D4205" s="1" t="n">
        <v>0.22386</v>
      </c>
      <c r="E4205" s="1" t="n">
        <f aca="false">LN(D4205)</f>
        <v>-1.49673442252102</v>
      </c>
    </row>
    <row r="4206" customFormat="false" ht="15.75" hidden="false" customHeight="false" outlineLevel="0" collapsed="false">
      <c r="A4206" s="1" t="s">
        <v>921</v>
      </c>
      <c r="B4206" s="1" t="n">
        <v>471.62</v>
      </c>
      <c r="C4206" s="1" t="n">
        <f aca="false">1/B4206</f>
        <v>0.00212035113014715</v>
      </c>
      <c r="D4206" s="1" t="n">
        <v>0.22264</v>
      </c>
      <c r="E4206" s="1" t="n">
        <f aca="false">LN(D4206)</f>
        <v>-1.5021991617645</v>
      </c>
    </row>
    <row r="4207" customFormat="false" ht="15.75" hidden="false" customHeight="false" outlineLevel="0" collapsed="false">
      <c r="A4207" s="1" t="s">
        <v>921</v>
      </c>
      <c r="B4207" s="1" t="n">
        <v>472.34</v>
      </c>
      <c r="C4207" s="1" t="n">
        <f aca="false">1/B4207</f>
        <v>0.00211711902443155</v>
      </c>
      <c r="D4207" s="1" t="n">
        <v>0.22142</v>
      </c>
      <c r="E4207" s="1" t="n">
        <f aca="false">LN(D4207)</f>
        <v>-1.50769392855082</v>
      </c>
    </row>
    <row r="4208" customFormat="false" ht="15.75" hidden="false" customHeight="false" outlineLevel="0" collapsed="false">
      <c r="A4208" s="1" t="s">
        <v>921</v>
      </c>
      <c r="B4208" s="1" t="n">
        <v>473.07</v>
      </c>
      <c r="C4208" s="1" t="n">
        <f aca="false">1/B4208</f>
        <v>0.00211385207263196</v>
      </c>
      <c r="D4208" s="1" t="n">
        <v>0.2202</v>
      </c>
      <c r="E4208" s="1" t="n">
        <f aca="false">LN(D4208)</f>
        <v>-1.51321905469356</v>
      </c>
    </row>
    <row r="4209" customFormat="false" ht="15.75" hidden="false" customHeight="false" outlineLevel="0" collapsed="false">
      <c r="A4209" s="1" t="s">
        <v>921</v>
      </c>
      <c r="B4209" s="1" t="n">
        <v>473.8</v>
      </c>
      <c r="C4209" s="1" t="n">
        <f aca="false">1/B4209</f>
        <v>0.00211059518784297</v>
      </c>
      <c r="D4209" s="1" t="n">
        <v>0.219</v>
      </c>
      <c r="E4209" s="1" t="n">
        <f aca="false">LN(D4209)</f>
        <v>-1.51868354916564</v>
      </c>
    </row>
    <row r="4210" customFormat="false" ht="15.75" hidden="false" customHeight="false" outlineLevel="0" collapsed="false">
      <c r="A4210" s="1" t="s">
        <v>921</v>
      </c>
      <c r="B4210" s="1" t="n">
        <v>474.53</v>
      </c>
      <c r="C4210" s="1" t="n">
        <f aca="false">1/B4210</f>
        <v>0.00210734832360441</v>
      </c>
      <c r="D4210" s="1" t="n">
        <v>0.2178</v>
      </c>
      <c r="E4210" s="1" t="n">
        <f aca="false">LN(D4210)</f>
        <v>-1.52417806848328</v>
      </c>
    </row>
    <row r="4211" customFormat="false" ht="15.75" hidden="false" customHeight="false" outlineLevel="0" collapsed="false">
      <c r="A4211" s="1" t="s">
        <v>921</v>
      </c>
      <c r="B4211" s="1" t="n">
        <v>475.25</v>
      </c>
      <c r="C4211" s="1" t="n">
        <f aca="false">1/B4211</f>
        <v>0.00210415570752236</v>
      </c>
      <c r="D4211" s="1" t="n">
        <v>0.2166</v>
      </c>
      <c r="E4211" s="1" t="n">
        <f aca="false">LN(D4211)</f>
        <v>-1.52970294441525</v>
      </c>
    </row>
    <row r="4212" customFormat="false" ht="15.75" hidden="false" customHeight="false" outlineLevel="0" collapsed="false">
      <c r="A4212" s="1" t="s">
        <v>921</v>
      </c>
      <c r="B4212" s="1" t="n">
        <v>475.98</v>
      </c>
      <c r="C4212" s="1" t="n">
        <f aca="false">1/B4212</f>
        <v>0.00210092861044582</v>
      </c>
      <c r="D4212" s="1" t="n">
        <v>0.21542</v>
      </c>
      <c r="E4212" s="1" t="n">
        <f aca="false">LN(D4212)</f>
        <v>-1.53516566805951</v>
      </c>
    </row>
    <row r="4213" customFormat="false" ht="15.75" hidden="false" customHeight="false" outlineLevel="0" collapsed="false">
      <c r="A4213" s="1" t="s">
        <v>921</v>
      </c>
      <c r="B4213" s="1" t="n">
        <v>476.71</v>
      </c>
      <c r="C4213" s="1" t="n">
        <f aca="false">1/B4213</f>
        <v>0.00209771139686602</v>
      </c>
      <c r="D4213" s="1" t="n">
        <v>0.21424</v>
      </c>
      <c r="E4213" s="1" t="n">
        <f aca="false">LN(D4213)</f>
        <v>-1.54065839703927</v>
      </c>
    </row>
    <row r="4214" customFormat="false" ht="15.75" hidden="false" customHeight="false" outlineLevel="0" collapsed="false">
      <c r="A4214" s="1" t="s">
        <v>921</v>
      </c>
      <c r="B4214" s="1" t="n">
        <v>477.44</v>
      </c>
      <c r="C4214" s="1" t="n">
        <f aca="false">1/B4214</f>
        <v>0.00209450402144772</v>
      </c>
      <c r="D4214" s="1" t="n">
        <v>0.21306</v>
      </c>
      <c r="E4214" s="1" t="n">
        <f aca="false">LN(D4214)</f>
        <v>-1.54618146279909</v>
      </c>
    </row>
    <row r="4215" customFormat="false" ht="15.75" hidden="false" customHeight="false" outlineLevel="0" collapsed="false">
      <c r="A4215" s="1" t="s">
        <v>921</v>
      </c>
      <c r="B4215" s="1" t="n">
        <v>478.16</v>
      </c>
      <c r="C4215" s="1" t="n">
        <f aca="false">1/B4215</f>
        <v>0.00209135017567341</v>
      </c>
      <c r="D4215" s="1" t="n">
        <v>0.2119</v>
      </c>
      <c r="E4215" s="1" t="n">
        <f aca="false">LN(D4215)</f>
        <v>-1.55164081370788</v>
      </c>
    </row>
    <row r="4216" customFormat="false" ht="15.75" hidden="false" customHeight="false" outlineLevel="0" collapsed="false">
      <c r="A4216" s="1" t="s">
        <v>921</v>
      </c>
      <c r="B4216" s="1" t="n">
        <v>478.89</v>
      </c>
      <c r="C4216" s="1" t="n">
        <f aca="false">1/B4216</f>
        <v>0.00208816220844035</v>
      </c>
      <c r="D4216" s="1" t="n">
        <v>0.21074</v>
      </c>
      <c r="E4216" s="1" t="n">
        <f aca="false">LN(D4216)</f>
        <v>-1.55713013281076</v>
      </c>
    </row>
    <row r="4217" customFormat="false" ht="15.75" hidden="false" customHeight="false" outlineLevel="0" collapsed="false">
      <c r="A4217" s="1" t="s">
        <v>921</v>
      </c>
      <c r="B4217" s="1" t="n">
        <v>479.62</v>
      </c>
      <c r="C4217" s="1" t="n">
        <f aca="false">1/B4217</f>
        <v>0.00208498394562362</v>
      </c>
      <c r="D4217" s="1" t="n">
        <v>0.20958</v>
      </c>
      <c r="E4217" s="1" t="n">
        <f aca="false">LN(D4217)</f>
        <v>-1.56264975093534</v>
      </c>
    </row>
    <row r="4218" customFormat="false" ht="15.75" hidden="false" customHeight="false" outlineLevel="0" collapsed="false">
      <c r="A4218" s="1" t="s">
        <v>921</v>
      </c>
      <c r="B4218" s="1" t="n">
        <v>480.35</v>
      </c>
      <c r="C4218" s="1" t="n">
        <f aca="false">1/B4218</f>
        <v>0.00208181534297908</v>
      </c>
      <c r="D4218" s="1" t="n">
        <v>0.20844</v>
      </c>
      <c r="E4218" s="1" t="n">
        <f aca="false">LN(D4218)</f>
        <v>-1.56810404894112</v>
      </c>
    </row>
    <row r="4219" customFormat="false" ht="15.75" hidden="false" customHeight="false" outlineLevel="0" collapsed="false">
      <c r="A4219" s="1" t="s">
        <v>921</v>
      </c>
      <c r="B4219" s="1" t="n">
        <v>481.07</v>
      </c>
      <c r="C4219" s="1" t="n">
        <f aca="false">1/B4219</f>
        <v>0.00207869956555179</v>
      </c>
      <c r="D4219" s="1" t="n">
        <v>0.2073</v>
      </c>
      <c r="E4219" s="1" t="n">
        <f aca="false">LN(D4219)</f>
        <v>-1.5735882595404</v>
      </c>
    </row>
    <row r="4220" customFormat="false" ht="15.75" hidden="false" customHeight="false" outlineLevel="0" collapsed="false">
      <c r="A4220" s="1" t="s">
        <v>921</v>
      </c>
      <c r="B4220" s="1" t="n">
        <v>481.8</v>
      </c>
      <c r="C4220" s="1" t="n">
        <f aca="false">1/B4220</f>
        <v>0.0020755500207555</v>
      </c>
      <c r="D4220" s="1" t="n">
        <v>0.20616</v>
      </c>
      <c r="E4220" s="1" t="n">
        <f aca="false">LN(D4220)</f>
        <v>-1.57910271263803</v>
      </c>
    </row>
    <row r="4221" customFormat="false" ht="15.75" hidden="false" customHeight="false" outlineLevel="0" collapsed="false">
      <c r="A4221" s="1" t="s">
        <v>921</v>
      </c>
      <c r="B4221" s="1" t="n">
        <v>482.53</v>
      </c>
      <c r="C4221" s="1" t="n">
        <f aca="false">1/B4221</f>
        <v>0.00207241000559551</v>
      </c>
      <c r="D4221" s="1" t="n">
        <v>0.20503</v>
      </c>
      <c r="E4221" s="1" t="n">
        <f aca="false">LN(D4221)</f>
        <v>-1.58459896908718</v>
      </c>
    </row>
    <row r="4222" customFormat="false" ht="15.75" hidden="false" customHeight="false" outlineLevel="0" collapsed="false">
      <c r="A4222" s="1" t="s">
        <v>921</v>
      </c>
      <c r="B4222" s="1" t="n">
        <v>483.25</v>
      </c>
      <c r="C4222" s="1" t="n">
        <f aca="false">1/B4222</f>
        <v>0.00206932229694775</v>
      </c>
      <c r="D4222" s="1" t="n">
        <v>0.20391</v>
      </c>
      <c r="E4222" s="1" t="n">
        <f aca="false">LN(D4222)</f>
        <v>-1.59007655895548</v>
      </c>
    </row>
    <row r="4223" customFormat="false" ht="15.75" hidden="false" customHeight="false" outlineLevel="0" collapsed="false">
      <c r="A4223" s="1" t="s">
        <v>921</v>
      </c>
      <c r="B4223" s="1" t="n">
        <v>483.98</v>
      </c>
      <c r="C4223" s="1" t="n">
        <f aca="false">1/B4223</f>
        <v>0.00206620108268937</v>
      </c>
      <c r="D4223" s="1" t="n">
        <v>0.20279</v>
      </c>
      <c r="E4223" s="1" t="n">
        <f aca="false">LN(D4223)</f>
        <v>-1.59558431814556</v>
      </c>
    </row>
    <row r="4224" customFormat="false" ht="15.75" hidden="false" customHeight="false" outlineLevel="0" collapsed="false">
      <c r="A4224" s="1" t="s">
        <v>921</v>
      </c>
      <c r="B4224" s="1" t="n">
        <v>484.71</v>
      </c>
      <c r="C4224" s="1" t="n">
        <f aca="false">1/B4224</f>
        <v>0.00206308926987271</v>
      </c>
      <c r="D4224" s="1" t="n">
        <v>0.20168</v>
      </c>
      <c r="E4224" s="1" t="n">
        <f aca="false">LN(D4224)</f>
        <v>-1.60107299610247</v>
      </c>
    </row>
    <row r="4225" customFormat="false" ht="15.75" hidden="false" customHeight="false" outlineLevel="0" collapsed="false">
      <c r="A4225" s="1" t="s">
        <v>921</v>
      </c>
      <c r="B4225" s="1" t="n">
        <v>485.44</v>
      </c>
      <c r="C4225" s="1" t="n">
        <f aca="false">1/B4225</f>
        <v>0.00205998681608438</v>
      </c>
      <c r="D4225" s="1" t="n">
        <v>0.20058</v>
      </c>
      <c r="E4225" s="1" t="n">
        <f aca="false">LN(D4225)</f>
        <v>-1.60654210932207</v>
      </c>
    </row>
    <row r="4226" customFormat="false" ht="15.75" hidden="false" customHeight="false" outlineLevel="0" collapsed="false">
      <c r="A4226" s="1" t="s">
        <v>921</v>
      </c>
      <c r="B4226" s="1" t="n">
        <v>486.16</v>
      </c>
      <c r="C4226" s="1" t="n">
        <f aca="false">1/B4226</f>
        <v>0.00205693598815205</v>
      </c>
      <c r="D4226" s="1" t="n">
        <v>0.19948</v>
      </c>
      <c r="E4226" s="1" t="n">
        <f aca="false">LN(D4226)</f>
        <v>-1.61204129830422</v>
      </c>
    </row>
    <row r="4227" customFormat="false" ht="15.75" hidden="false" customHeight="false" outlineLevel="0" collapsed="false">
      <c r="A4227" s="1" t="s">
        <v>921</v>
      </c>
      <c r="B4227" s="1" t="n">
        <v>486.89</v>
      </c>
      <c r="C4227" s="1" t="n">
        <f aca="false">1/B4227</f>
        <v>0.00205385199942492</v>
      </c>
      <c r="D4227" s="1" t="n">
        <v>0.19839</v>
      </c>
      <c r="E4227" s="1" t="n">
        <f aca="false">LN(D4227)</f>
        <v>-1.61752048862746</v>
      </c>
    </row>
    <row r="4228" customFormat="false" ht="15.75" hidden="false" customHeight="false" outlineLevel="0" collapsed="false">
      <c r="A4228" s="1" t="s">
        <v>921</v>
      </c>
      <c r="B4228" s="1" t="n">
        <v>487.62</v>
      </c>
      <c r="C4228" s="1" t="n">
        <f aca="false">1/B4228</f>
        <v>0.00205077724457569</v>
      </c>
      <c r="D4228" s="1" t="n">
        <v>0.1973</v>
      </c>
      <c r="E4228" s="1" t="n">
        <f aca="false">LN(D4228)</f>
        <v>-1.62302986595357</v>
      </c>
    </row>
    <row r="4229" customFormat="false" ht="15.75" hidden="false" customHeight="false" outlineLevel="0" collapsed="false">
      <c r="A4229" s="1" t="s">
        <v>921</v>
      </c>
      <c r="B4229" s="1" t="n">
        <v>488.35</v>
      </c>
      <c r="C4229" s="1" t="n">
        <f aca="false">1/B4229</f>
        <v>0.00204771168219515</v>
      </c>
      <c r="D4229" s="1" t="n">
        <v>0.19622</v>
      </c>
      <c r="E4229" s="1" t="n">
        <f aca="false">LN(D4229)</f>
        <v>-1.62851880024689</v>
      </c>
    </row>
    <row r="4230" customFormat="false" ht="15.75" hidden="false" customHeight="false" outlineLevel="0" collapsed="false">
      <c r="A4230" s="1" t="s">
        <v>921</v>
      </c>
      <c r="B4230" s="1" t="n">
        <v>488.89</v>
      </c>
      <c r="C4230" s="1" t="n">
        <f aca="false">1/B4230</f>
        <v>0.00204544989670478</v>
      </c>
      <c r="D4230" s="1" t="n">
        <v>0.19541</v>
      </c>
      <c r="E4230" s="1" t="n">
        <f aca="false">LN(D4230)</f>
        <v>-1.63265536361029</v>
      </c>
    </row>
    <row r="4231" customFormat="false" ht="15.75" hidden="false" customHeight="false" outlineLevel="0" collapsed="false">
      <c r="A4231" s="1" t="s">
        <v>1450</v>
      </c>
      <c r="B4231" s="1" t="n">
        <v>323.15</v>
      </c>
      <c r="C4231" s="1" t="n">
        <f aca="false">1/B4231</f>
        <v>0.00309453814018258</v>
      </c>
      <c r="D4231" s="1" t="n">
        <v>6.877</v>
      </c>
      <c r="E4231" s="1" t="n">
        <f aca="false">LN(D4231)</f>
        <v>1.9281825103377</v>
      </c>
    </row>
    <row r="4232" customFormat="false" ht="15.75" hidden="false" customHeight="false" outlineLevel="0" collapsed="false">
      <c r="A4232" s="1" t="s">
        <v>1450</v>
      </c>
      <c r="B4232" s="1" t="n">
        <v>333.15</v>
      </c>
      <c r="C4232" s="1" t="n">
        <f aca="false">1/B4232</f>
        <v>0.0030016509079994</v>
      </c>
      <c r="D4232" s="1" t="n">
        <v>5.367</v>
      </c>
      <c r="E4232" s="1" t="n">
        <f aca="false">LN(D4232)</f>
        <v>1.68026909319469</v>
      </c>
    </row>
    <row r="4233" customFormat="false" ht="15.75" hidden="false" customHeight="false" outlineLevel="0" collapsed="false">
      <c r="A4233" s="1" t="s">
        <v>1450</v>
      </c>
      <c r="B4233" s="1" t="n">
        <v>373.15</v>
      </c>
      <c r="C4233" s="1" t="n">
        <f aca="false">1/B4233</f>
        <v>0.00267988744472732</v>
      </c>
      <c r="D4233" s="1" t="n">
        <v>2.457</v>
      </c>
      <c r="E4233" s="1" t="n">
        <f aca="false">LN(D4233)</f>
        <v>0.898941093539042</v>
      </c>
    </row>
    <row r="4234" customFormat="false" ht="15.75" hidden="false" customHeight="false" outlineLevel="0" collapsed="false">
      <c r="A4234" s="1" t="s">
        <v>1450</v>
      </c>
      <c r="B4234" s="1" t="n">
        <v>393.15</v>
      </c>
      <c r="C4234" s="1" t="n">
        <f aca="false">1/B4234</f>
        <v>0.00254355843825512</v>
      </c>
      <c r="D4234" s="1" t="n">
        <v>1.789</v>
      </c>
      <c r="E4234" s="1" t="n">
        <f aca="false">LN(D4234)</f>
        <v>0.581656804526582</v>
      </c>
    </row>
    <row r="4235" customFormat="false" ht="15.75" hidden="false" customHeight="false" outlineLevel="0" collapsed="false">
      <c r="A4235" s="1" t="s">
        <v>1450</v>
      </c>
      <c r="B4235" s="1" t="n">
        <v>433.15</v>
      </c>
      <c r="C4235" s="1" t="n">
        <f aca="false">1/B4235</f>
        <v>0.00230866905229135</v>
      </c>
      <c r="D4235" s="1" t="n">
        <v>1.041</v>
      </c>
      <c r="E4235" s="1" t="n">
        <f aca="false">LN(D4235)</f>
        <v>0.0401817896328318</v>
      </c>
    </row>
    <row r="4236" customFormat="false" ht="15.75" hidden="false" customHeight="false" outlineLevel="0" collapsed="false">
      <c r="A4236" s="1" t="s">
        <v>1450</v>
      </c>
      <c r="B4236" s="1" t="n">
        <v>353.15</v>
      </c>
      <c r="C4236" s="1" t="n">
        <f aca="false">1/B4236</f>
        <v>0.00283165793572137</v>
      </c>
      <c r="D4236" s="1" t="n">
        <v>3.51</v>
      </c>
      <c r="E4236" s="1" t="n">
        <f aca="false">LN(D4236)</f>
        <v>1.25561603747777</v>
      </c>
    </row>
    <row r="4237" customFormat="false" ht="15.75" hidden="false" customHeight="false" outlineLevel="0" collapsed="false">
      <c r="A4237" s="1" t="s">
        <v>1450</v>
      </c>
      <c r="B4237" s="1" t="n">
        <v>413.15</v>
      </c>
      <c r="C4237" s="1" t="n">
        <f aca="false">1/B4237</f>
        <v>0.0024204284158296</v>
      </c>
      <c r="D4237" s="1" t="n">
        <v>1.35</v>
      </c>
      <c r="E4237" s="1" t="n">
        <f aca="false">LN(D4237)</f>
        <v>0.300104592450338</v>
      </c>
    </row>
    <row r="4238" customFormat="false" ht="15.75" hidden="false" customHeight="false" outlineLevel="0" collapsed="false">
      <c r="A4238" s="1" t="s">
        <v>1451</v>
      </c>
      <c r="B4238" s="1" t="n">
        <v>333.15</v>
      </c>
      <c r="C4238" s="1" t="n">
        <f aca="false">1/B4238</f>
        <v>0.0030016509079994</v>
      </c>
      <c r="D4238" s="1" t="n">
        <v>9.1</v>
      </c>
      <c r="E4238" s="1" t="n">
        <f aca="false">LN(D4238)</f>
        <v>2.2082744135228</v>
      </c>
    </row>
    <row r="4239" customFormat="false" ht="15.75" hidden="false" customHeight="false" outlineLevel="0" collapsed="false">
      <c r="A4239" s="1" t="s">
        <v>1451</v>
      </c>
      <c r="B4239" s="1" t="n">
        <v>348.15</v>
      </c>
      <c r="C4239" s="1" t="n">
        <f aca="false">1/B4239</f>
        <v>0.00287232514720666</v>
      </c>
      <c r="D4239" s="1" t="n">
        <v>6.597</v>
      </c>
      <c r="E4239" s="1" t="n">
        <f aca="false">LN(D4239)</f>
        <v>1.88661500024073</v>
      </c>
    </row>
    <row r="4240" customFormat="false" ht="15.75" hidden="false" customHeight="false" outlineLevel="0" collapsed="false">
      <c r="A4240" s="1" t="s">
        <v>1451</v>
      </c>
      <c r="B4240" s="1" t="n">
        <v>363.15</v>
      </c>
      <c r="C4240" s="1" t="n">
        <f aca="false">1/B4240</f>
        <v>0.00275368305108082</v>
      </c>
      <c r="D4240" s="1" t="n">
        <v>5.004</v>
      </c>
      <c r="E4240" s="1" t="n">
        <f aca="false">LN(D4240)</f>
        <v>1.61023759260466</v>
      </c>
    </row>
    <row r="4241" customFormat="false" ht="15.75" hidden="false" customHeight="false" outlineLevel="0" collapsed="false">
      <c r="A4241" s="1" t="s">
        <v>923</v>
      </c>
      <c r="B4241" s="1" t="n">
        <v>313.15</v>
      </c>
      <c r="C4241" s="1" t="n">
        <f aca="false">1/B4241</f>
        <v>0.00319335781574325</v>
      </c>
      <c r="D4241" s="1" t="n">
        <v>4.072</v>
      </c>
      <c r="E4241" s="1" t="n">
        <f aca="false">LN(D4241)</f>
        <v>1.40413427924822</v>
      </c>
    </row>
    <row r="4242" customFormat="false" ht="15.75" hidden="false" customHeight="false" outlineLevel="0" collapsed="false">
      <c r="A4242" s="1" t="s">
        <v>923</v>
      </c>
      <c r="B4242" s="1" t="n">
        <v>323.15</v>
      </c>
      <c r="C4242" s="1" t="n">
        <f aca="false">1/B4242</f>
        <v>0.00309453814018258</v>
      </c>
      <c r="D4242" s="1" t="n">
        <v>3.259</v>
      </c>
      <c r="E4242" s="1" t="n">
        <f aca="false">LN(D4242)</f>
        <v>1.18142039985542</v>
      </c>
    </row>
    <row r="4243" customFormat="false" ht="15.75" hidden="false" customHeight="false" outlineLevel="0" collapsed="false">
      <c r="A4243" s="1" t="s">
        <v>923</v>
      </c>
      <c r="B4243" s="1" t="n">
        <v>333.15</v>
      </c>
      <c r="C4243" s="1" t="n">
        <f aca="false">1/B4243</f>
        <v>0.0030016509079994</v>
      </c>
      <c r="D4243" s="1" t="n">
        <v>2.665</v>
      </c>
      <c r="E4243" s="1" t="n">
        <f aca="false">LN(D4243)</f>
        <v>0.980204057617808</v>
      </c>
    </row>
    <row r="4244" customFormat="false" ht="15.75" hidden="false" customHeight="false" outlineLevel="0" collapsed="false">
      <c r="A4244" s="1" t="s">
        <v>923</v>
      </c>
      <c r="B4244" s="1" t="n">
        <v>353.15</v>
      </c>
      <c r="C4244" s="1" t="n">
        <f aca="false">1/B4244</f>
        <v>0.00283165793572137</v>
      </c>
      <c r="D4244" s="1" t="n">
        <v>1.188</v>
      </c>
      <c r="E4244" s="1" t="n">
        <f aca="false">LN(D4244)</f>
        <v>0.172271220940453</v>
      </c>
    </row>
    <row r="4245" customFormat="false" ht="15.75" hidden="false" customHeight="false" outlineLevel="0" collapsed="false">
      <c r="A4245" s="1" t="s">
        <v>923</v>
      </c>
      <c r="B4245" s="1" t="n">
        <v>363.15</v>
      </c>
      <c r="C4245" s="1" t="n">
        <f aca="false">1/B4245</f>
        <v>0.00275368305108082</v>
      </c>
      <c r="D4245" s="1" t="n">
        <v>1.614</v>
      </c>
      <c r="E4245" s="1" t="n">
        <f aca="false">LN(D4245)</f>
        <v>0.478715569847757</v>
      </c>
    </row>
    <row r="4246" customFormat="false" ht="15.75" hidden="false" customHeight="false" outlineLevel="0" collapsed="false">
      <c r="A4246" s="1" t="s">
        <v>923</v>
      </c>
      <c r="B4246" s="1" t="n">
        <v>373.15</v>
      </c>
      <c r="C4246" s="1" t="n">
        <f aca="false">1/B4246</f>
        <v>0.00267988744472732</v>
      </c>
      <c r="D4246" s="1" t="n">
        <v>1.403</v>
      </c>
      <c r="E4246" s="1" t="n">
        <f aca="false">LN(D4246)</f>
        <v>0.338612801120324</v>
      </c>
    </row>
    <row r="4247" customFormat="false" ht="15.75" hidden="false" customHeight="false" outlineLevel="0" collapsed="false">
      <c r="A4247" s="1" t="s">
        <v>923</v>
      </c>
      <c r="B4247" s="1" t="n">
        <v>393.15</v>
      </c>
      <c r="C4247" s="1" t="n">
        <f aca="false">1/B4247</f>
        <v>0.00254355843825512</v>
      </c>
      <c r="D4247" s="1" t="n">
        <v>1.094</v>
      </c>
      <c r="E4247" s="1" t="n">
        <f aca="false">LN(D4247)</f>
        <v>0.0898407039997895</v>
      </c>
    </row>
    <row r="4248" customFormat="false" ht="15.75" hidden="false" customHeight="false" outlineLevel="0" collapsed="false">
      <c r="A4248" s="1" t="s">
        <v>923</v>
      </c>
      <c r="B4248" s="1" t="n">
        <v>433.15</v>
      </c>
      <c r="C4248" s="1" t="n">
        <f aca="false">1/B4248</f>
        <v>0.00230866905229135</v>
      </c>
      <c r="D4248" s="1" t="n">
        <v>0.717</v>
      </c>
      <c r="E4248" s="1" t="n">
        <f aca="false">LN(D4248)</f>
        <v>-0.332679438382517</v>
      </c>
    </row>
    <row r="4249" customFormat="false" ht="15.75" hidden="false" customHeight="false" outlineLevel="0" collapsed="false">
      <c r="A4249" s="1" t="s">
        <v>923</v>
      </c>
      <c r="B4249" s="1" t="n">
        <v>453.15</v>
      </c>
      <c r="C4249" s="1" t="n">
        <f aca="false">1/B4249</f>
        <v>0.0022067747986318</v>
      </c>
      <c r="D4249" s="1" t="n">
        <v>0.598</v>
      </c>
      <c r="E4249" s="1" t="n">
        <f aca="false">LN(D4249)</f>
        <v>-0.514164525031505</v>
      </c>
    </row>
    <row r="4250" customFormat="false" ht="15.75" hidden="false" customHeight="false" outlineLevel="0" collapsed="false">
      <c r="A4250" s="1" t="s">
        <v>923</v>
      </c>
      <c r="B4250" s="1" t="n">
        <v>473.15</v>
      </c>
      <c r="C4250" s="1" t="n">
        <f aca="false">1/B4250</f>
        <v>0.00211349466342597</v>
      </c>
      <c r="D4250" s="1" t="n">
        <v>0.505</v>
      </c>
      <c r="E4250" s="1" t="n">
        <f aca="false">LN(D4250)</f>
        <v>-0.683196849706777</v>
      </c>
    </row>
    <row r="4251" customFormat="false" ht="15.75" hidden="false" customHeight="false" outlineLevel="0" collapsed="false">
      <c r="A4251" s="1" t="s">
        <v>923</v>
      </c>
      <c r="B4251" s="1" t="n">
        <v>343.15</v>
      </c>
      <c r="C4251" s="1" t="n">
        <f aca="false">1/B4251</f>
        <v>0.00291417747340813</v>
      </c>
      <c r="D4251" s="1" t="n">
        <v>2.22</v>
      </c>
      <c r="E4251" s="1" t="n">
        <f aca="false">LN(D4251)</f>
        <v>0.797507195884188</v>
      </c>
    </row>
    <row r="4252" customFormat="false" ht="15.75" hidden="false" customHeight="false" outlineLevel="0" collapsed="false">
      <c r="A4252" s="1" t="s">
        <v>923</v>
      </c>
      <c r="B4252" s="1" t="n">
        <v>413.15</v>
      </c>
      <c r="C4252" s="1" t="n">
        <f aca="false">1/B4252</f>
        <v>0.0024204284158296</v>
      </c>
      <c r="D4252" s="1" t="n">
        <v>0.876</v>
      </c>
      <c r="E4252" s="1" t="n">
        <f aca="false">LN(D4252)</f>
        <v>-0.132389188045746</v>
      </c>
    </row>
    <row r="4253" customFormat="false" ht="15.75" hidden="false" customHeight="false" outlineLevel="0" collapsed="false">
      <c r="A4253" s="1" t="s">
        <v>923</v>
      </c>
      <c r="B4253" s="1" t="n">
        <v>493.15</v>
      </c>
      <c r="C4253" s="1" t="n">
        <f aca="false">1/B4253</f>
        <v>0.00202778059413971</v>
      </c>
      <c r="D4253" s="1" t="n">
        <v>0.432</v>
      </c>
      <c r="E4253" s="1" t="n">
        <f aca="false">LN(D4253)</f>
        <v>-0.839329690738027</v>
      </c>
    </row>
    <row r="4254" customFormat="false" ht="15.75" hidden="false" customHeight="false" outlineLevel="0" collapsed="false">
      <c r="A4254" s="1" t="s">
        <v>1452</v>
      </c>
      <c r="B4254" s="1" t="n">
        <v>188.16</v>
      </c>
      <c r="C4254" s="1" t="n">
        <f aca="false">1/B4254</f>
        <v>0.00531462585034014</v>
      </c>
      <c r="D4254" s="1" t="n">
        <v>0.162</v>
      </c>
      <c r="E4254" s="1" t="n">
        <f aca="false">LN(D4254)</f>
        <v>-1.82015894374975</v>
      </c>
    </row>
    <row r="4255" customFormat="false" ht="15.75" hidden="false" customHeight="false" outlineLevel="0" collapsed="false">
      <c r="A4255" s="1" t="s">
        <v>1452</v>
      </c>
      <c r="B4255" s="1" t="n">
        <v>288.72</v>
      </c>
      <c r="C4255" s="1" t="n">
        <f aca="false">1/B4255</f>
        <v>0.00346356331393738</v>
      </c>
      <c r="D4255" s="1" t="n">
        <v>0.047</v>
      </c>
      <c r="E4255" s="1" t="n">
        <f aca="false">LN(D4255)</f>
        <v>-3.05760767727208</v>
      </c>
    </row>
    <row r="4256" customFormat="false" ht="15.75" hidden="false" customHeight="false" outlineLevel="0" collapsed="false">
      <c r="A4256" s="1" t="s">
        <v>1452</v>
      </c>
      <c r="B4256" s="1" t="n">
        <v>90.368</v>
      </c>
      <c r="C4256" s="1" t="n">
        <f aca="false">1/B4256</f>
        <v>0.0110658640226629</v>
      </c>
      <c r="D4256" s="1" t="n">
        <v>1.2927</v>
      </c>
      <c r="E4256" s="1" t="n">
        <f aca="false">LN(D4256)</f>
        <v>0.256733054307765</v>
      </c>
    </row>
    <row r="4257" customFormat="false" ht="15.75" hidden="false" customHeight="false" outlineLevel="0" collapsed="false">
      <c r="A4257" s="1" t="s">
        <v>1452</v>
      </c>
      <c r="B4257" s="1" t="n">
        <v>91.342</v>
      </c>
      <c r="C4257" s="1" t="n">
        <f aca="false">1/B4257</f>
        <v>0.0109478662608658</v>
      </c>
      <c r="D4257" s="1" t="n">
        <v>1.2412</v>
      </c>
      <c r="E4257" s="1" t="n">
        <f aca="false">LN(D4257)</f>
        <v>0.216078653592088</v>
      </c>
    </row>
    <row r="4258" customFormat="false" ht="15.75" hidden="false" customHeight="false" outlineLevel="0" collapsed="false">
      <c r="A4258" s="1" t="s">
        <v>1452</v>
      </c>
      <c r="B4258" s="1" t="n">
        <v>92.317</v>
      </c>
      <c r="C4258" s="1" t="n">
        <f aca="false">1/B4258</f>
        <v>0.0108322410823575</v>
      </c>
      <c r="D4258" s="1" t="n">
        <v>1.1926</v>
      </c>
      <c r="E4258" s="1" t="n">
        <f aca="false">LN(D4258)</f>
        <v>0.176135797706869</v>
      </c>
    </row>
    <row r="4259" customFormat="false" ht="15.75" hidden="false" customHeight="false" outlineLevel="0" collapsed="false">
      <c r="A4259" s="1" t="s">
        <v>1452</v>
      </c>
      <c r="B4259" s="1" t="n">
        <v>93.291</v>
      </c>
      <c r="C4259" s="1" t="n">
        <f aca="false">1/B4259</f>
        <v>0.0107191476133818</v>
      </c>
      <c r="D4259" s="1" t="n">
        <v>1.1467</v>
      </c>
      <c r="E4259" s="1" t="n">
        <f aca="false">LN(D4259)</f>
        <v>0.136888252062122</v>
      </c>
    </row>
    <row r="4260" customFormat="false" ht="15.75" hidden="false" customHeight="false" outlineLevel="0" collapsed="false">
      <c r="A4260" s="1" t="s">
        <v>1452</v>
      </c>
      <c r="B4260" s="1" t="n">
        <v>94.266</v>
      </c>
      <c r="C4260" s="1" t="n">
        <f aca="false">1/B4260</f>
        <v>0.010608278700698</v>
      </c>
      <c r="D4260" s="1" t="n">
        <v>1.1033</v>
      </c>
      <c r="E4260" s="1" t="n">
        <f aca="false">LN(D4260)</f>
        <v>0.0983056887841233</v>
      </c>
    </row>
    <row r="4261" customFormat="false" ht="15.75" hidden="false" customHeight="false" outlineLevel="0" collapsed="false">
      <c r="A4261" s="1" t="s">
        <v>1452</v>
      </c>
      <c r="B4261" s="1" t="n">
        <v>95.24</v>
      </c>
      <c r="C4261" s="1" t="n">
        <f aca="false">1/B4261</f>
        <v>0.0104997900041999</v>
      </c>
      <c r="D4261" s="1" t="n">
        <v>1.0622</v>
      </c>
      <c r="E4261" s="1" t="n">
        <f aca="false">LN(D4261)</f>
        <v>0.0603422290061618</v>
      </c>
    </row>
    <row r="4262" customFormat="false" ht="15.75" hidden="false" customHeight="false" outlineLevel="0" collapsed="false">
      <c r="A4262" s="1" t="s">
        <v>1452</v>
      </c>
      <c r="B4262" s="1" t="n">
        <v>96.214</v>
      </c>
      <c r="C4262" s="1" t="n">
        <f aca="false">1/B4262</f>
        <v>0.010393497827759</v>
      </c>
      <c r="D4262" s="1" t="n">
        <v>1.0234</v>
      </c>
      <c r="E4262" s="1" t="n">
        <f aca="false">LN(D4262)</f>
        <v>0.0231304173888545</v>
      </c>
    </row>
    <row r="4263" customFormat="false" ht="15.75" hidden="false" customHeight="false" outlineLevel="0" collapsed="false">
      <c r="A4263" s="1" t="s">
        <v>1452</v>
      </c>
      <c r="B4263" s="1" t="n">
        <v>97.189</v>
      </c>
      <c r="C4263" s="1" t="n">
        <f aca="false">1/B4263</f>
        <v>0.0102892302626841</v>
      </c>
      <c r="D4263" s="1" t="n">
        <v>0.98653</v>
      </c>
      <c r="E4263" s="1" t="n">
        <f aca="false">LN(D4263)</f>
        <v>-0.0135615434395368</v>
      </c>
    </row>
    <row r="4264" customFormat="false" ht="15.75" hidden="false" customHeight="false" outlineLevel="0" collapsed="false">
      <c r="A4264" s="1" t="s">
        <v>1452</v>
      </c>
      <c r="B4264" s="1" t="n">
        <v>98.163</v>
      </c>
      <c r="C4264" s="1" t="n">
        <f aca="false">1/B4264</f>
        <v>0.0101871377199148</v>
      </c>
      <c r="D4264" s="1" t="n">
        <v>0.95163</v>
      </c>
      <c r="E4264" s="1" t="n">
        <f aca="false">LN(D4264)</f>
        <v>-0.0495789751990657</v>
      </c>
    </row>
    <row r="4265" customFormat="false" ht="15.75" hidden="false" customHeight="false" outlineLevel="0" collapsed="false">
      <c r="A4265" s="1" t="s">
        <v>1452</v>
      </c>
      <c r="B4265" s="1" t="n">
        <v>99.137</v>
      </c>
      <c r="C4265" s="1" t="n">
        <f aca="false">1/B4265</f>
        <v>0.0100870512523074</v>
      </c>
      <c r="D4265" s="1" t="n">
        <v>0.91853</v>
      </c>
      <c r="E4265" s="1" t="n">
        <f aca="false">LN(D4265)</f>
        <v>-0.084980712911517</v>
      </c>
    </row>
    <row r="4266" customFormat="false" ht="15.75" hidden="false" customHeight="false" outlineLevel="0" collapsed="false">
      <c r="A4266" s="1" t="s">
        <v>1452</v>
      </c>
      <c r="B4266" s="1" t="n">
        <v>100.11</v>
      </c>
      <c r="C4266" s="1" t="n">
        <f aca="false">1/B4266</f>
        <v>0.00998901208670462</v>
      </c>
      <c r="D4266" s="1" t="n">
        <v>0.88713</v>
      </c>
      <c r="E4266" s="1" t="n">
        <f aca="false">LN(D4266)</f>
        <v>-0.11976374596857</v>
      </c>
    </row>
    <row r="4267" customFormat="false" ht="15.75" hidden="false" customHeight="false" outlineLevel="0" collapsed="false">
      <c r="A4267" s="1" t="s">
        <v>1452</v>
      </c>
      <c r="B4267" s="1" t="n">
        <v>101.09</v>
      </c>
      <c r="C4267" s="1" t="n">
        <f aca="false">1/B4267</f>
        <v>0.00989217528934613</v>
      </c>
      <c r="D4267" s="1" t="n">
        <v>0.85731</v>
      </c>
      <c r="E4267" s="1" t="n">
        <f aca="false">LN(D4267)</f>
        <v>-0.153955698837287</v>
      </c>
    </row>
    <row r="4268" customFormat="false" ht="15.75" hidden="false" customHeight="false" outlineLevel="0" collapsed="false">
      <c r="A4268" s="1" t="s">
        <v>1452</v>
      </c>
      <c r="B4268" s="1" t="n">
        <v>102.06</v>
      </c>
      <c r="C4268" s="1" t="n">
        <f aca="false">1/B4268</f>
        <v>0.00979815794630609</v>
      </c>
      <c r="D4268" s="1" t="n">
        <v>0.82898</v>
      </c>
      <c r="E4268" s="1" t="n">
        <f aca="false">LN(D4268)</f>
        <v>-0.187559249590218</v>
      </c>
    </row>
    <row r="4269" customFormat="false" ht="15.75" hidden="false" customHeight="false" outlineLevel="0" collapsed="false">
      <c r="A4269" s="1" t="s">
        <v>1452</v>
      </c>
      <c r="B4269" s="1" t="n">
        <v>103.04</v>
      </c>
      <c r="C4269" s="1" t="n">
        <f aca="false">1/B4269</f>
        <v>0.00970496894409938</v>
      </c>
      <c r="D4269" s="1" t="n">
        <v>0.80205</v>
      </c>
      <c r="E4269" s="1" t="n">
        <f aca="false">LN(D4269)</f>
        <v>-0.220584328919287</v>
      </c>
    </row>
    <row r="4270" customFormat="false" ht="15.75" hidden="false" customHeight="false" outlineLevel="0" collapsed="false">
      <c r="A4270" s="1" t="s">
        <v>1452</v>
      </c>
      <c r="B4270" s="1" t="n">
        <v>104.01</v>
      </c>
      <c r="C4270" s="1" t="n">
        <f aca="false">1/B4270</f>
        <v>0.00961446014806269</v>
      </c>
      <c r="D4270" s="1" t="n">
        <v>0.77644</v>
      </c>
      <c r="E4270" s="1" t="n">
        <f aca="false">LN(D4270)</f>
        <v>-0.253035909179246</v>
      </c>
    </row>
    <row r="4271" customFormat="false" ht="15.75" hidden="false" customHeight="false" outlineLevel="0" collapsed="false">
      <c r="A4271" s="1" t="s">
        <v>1452</v>
      </c>
      <c r="B4271" s="1" t="n">
        <v>104.98</v>
      </c>
      <c r="C4271" s="1" t="n">
        <f aca="false">1/B4271</f>
        <v>0.00952562392836731</v>
      </c>
      <c r="D4271" s="1" t="n">
        <v>0.75206</v>
      </c>
      <c r="E4271" s="1" t="n">
        <f aca="false">LN(D4271)</f>
        <v>-0.284939170981087</v>
      </c>
    </row>
    <row r="4272" customFormat="false" ht="15.75" hidden="false" customHeight="false" outlineLevel="0" collapsed="false">
      <c r="A4272" s="1" t="s">
        <v>1452</v>
      </c>
      <c r="B4272" s="1" t="n">
        <v>105.96</v>
      </c>
      <c r="C4272" s="1" t="n">
        <f aca="false">1/B4272</f>
        <v>0.00943752359380899</v>
      </c>
      <c r="D4272" s="1" t="n">
        <v>0.72885</v>
      </c>
      <c r="E4272" s="1" t="n">
        <f aca="false">LN(D4272)</f>
        <v>-0.316287329462115</v>
      </c>
    </row>
    <row r="4273" customFormat="false" ht="15.75" hidden="false" customHeight="false" outlineLevel="0" collapsed="false">
      <c r="A4273" s="1" t="s">
        <v>1452</v>
      </c>
      <c r="B4273" s="1" t="n">
        <v>106.93</v>
      </c>
      <c r="C4273" s="1" t="n">
        <f aca="false">1/B4273</f>
        <v>0.00935191246609932</v>
      </c>
      <c r="D4273" s="1" t="n">
        <v>0.70674</v>
      </c>
      <c r="E4273" s="1" t="n">
        <f aca="false">LN(D4273)</f>
        <v>-0.347092431783389</v>
      </c>
    </row>
    <row r="4274" customFormat="false" ht="15.75" hidden="false" customHeight="false" outlineLevel="0" collapsed="false">
      <c r="A4274" s="1" t="s">
        <v>1452</v>
      </c>
      <c r="B4274" s="1" t="n">
        <v>107.91</v>
      </c>
      <c r="C4274" s="1" t="n">
        <f aca="false">1/B4274</f>
        <v>0.00926698174404596</v>
      </c>
      <c r="D4274" s="1" t="n">
        <v>0.68566</v>
      </c>
      <c r="E4274" s="1" t="n">
        <f aca="false">LN(D4274)</f>
        <v>-0.377373400941981</v>
      </c>
    </row>
    <row r="4275" customFormat="false" ht="15.75" hidden="false" customHeight="false" outlineLevel="0" collapsed="false">
      <c r="A4275" s="1" t="s">
        <v>1452</v>
      </c>
      <c r="B4275" s="1" t="n">
        <v>108.88</v>
      </c>
      <c r="C4275" s="1" t="n">
        <f aca="false">1/B4275</f>
        <v>0.0091844232182219</v>
      </c>
      <c r="D4275" s="1" t="n">
        <v>0.66556</v>
      </c>
      <c r="E4275" s="1" t="n">
        <f aca="false">LN(D4275)</f>
        <v>-0.40712648743483</v>
      </c>
    </row>
    <row r="4276" customFormat="false" ht="15.75" hidden="false" customHeight="false" outlineLevel="0" collapsed="false">
      <c r="A4276" s="1" t="s">
        <v>1452</v>
      </c>
      <c r="B4276" s="1" t="n">
        <v>109.86</v>
      </c>
      <c r="C4276" s="1" t="n">
        <f aca="false">1/B4276</f>
        <v>0.00910249408337885</v>
      </c>
      <c r="D4276" s="1" t="n">
        <v>0.64637</v>
      </c>
      <c r="E4276" s="1" t="n">
        <f aca="false">LN(D4276)</f>
        <v>-0.436383183743359</v>
      </c>
    </row>
    <row r="4277" customFormat="false" ht="15.75" hidden="false" customHeight="false" outlineLevel="0" collapsed="false">
      <c r="A4277" s="1" t="s">
        <v>1452</v>
      </c>
      <c r="B4277" s="1" t="n">
        <v>110.83</v>
      </c>
      <c r="C4277" s="1" t="n">
        <f aca="false">1/B4277</f>
        <v>0.00902282775421817</v>
      </c>
      <c r="D4277" s="1" t="n">
        <v>0.62806</v>
      </c>
      <c r="E4277" s="1" t="n">
        <f aca="false">LN(D4277)</f>
        <v>-0.465119575676454</v>
      </c>
    </row>
    <row r="4278" customFormat="false" ht="15.75" hidden="false" customHeight="false" outlineLevel="0" collapsed="false">
      <c r="A4278" s="1" t="s">
        <v>1452</v>
      </c>
      <c r="B4278" s="1" t="n">
        <v>111.8</v>
      </c>
      <c r="C4278" s="1" t="n">
        <f aca="false">1/B4278</f>
        <v>0.00894454382826476</v>
      </c>
      <c r="D4278" s="1" t="n">
        <v>0.61056</v>
      </c>
      <c r="E4278" s="1" t="n">
        <f aca="false">LN(D4278)</f>
        <v>-0.49337871016227</v>
      </c>
    </row>
    <row r="4279" customFormat="false" ht="15.75" hidden="false" customHeight="false" outlineLevel="0" collapsed="false">
      <c r="A4279" s="1" t="s">
        <v>1452</v>
      </c>
      <c r="B4279" s="1" t="n">
        <v>112.78</v>
      </c>
      <c r="C4279" s="1" t="n">
        <f aca="false">1/B4279</f>
        <v>0.00886682035821954</v>
      </c>
      <c r="D4279" s="1" t="n">
        <v>0.59383</v>
      </c>
      <c r="E4279" s="1" t="n">
        <f aca="false">LN(D4279)</f>
        <v>-0.521162195867374</v>
      </c>
    </row>
    <row r="4280" customFormat="false" ht="15.75" hidden="false" customHeight="false" outlineLevel="0" collapsed="false">
      <c r="A4280" s="1" t="s">
        <v>1452</v>
      </c>
      <c r="B4280" s="1" t="n">
        <v>113.75</v>
      </c>
      <c r="C4280" s="1" t="n">
        <f aca="false">1/B4280</f>
        <v>0.00879120879120879</v>
      </c>
      <c r="D4280" s="1" t="n">
        <v>0.57784</v>
      </c>
      <c r="E4280" s="1" t="n">
        <f aca="false">LN(D4280)</f>
        <v>-0.548458265239546</v>
      </c>
    </row>
    <row r="4281" customFormat="false" ht="15.75" hidden="false" customHeight="false" outlineLevel="0" collapsed="false">
      <c r="A4281" s="1" t="s">
        <v>1452</v>
      </c>
      <c r="B4281" s="1" t="n">
        <v>114.73</v>
      </c>
      <c r="C4281" s="1" t="n">
        <f aca="false">1/B4281</f>
        <v>0.00871611609866643</v>
      </c>
      <c r="D4281" s="1" t="n">
        <v>0.56253</v>
      </c>
      <c r="E4281" s="1" t="n">
        <f aca="false">LN(D4281)</f>
        <v>-0.5753108129924</v>
      </c>
    </row>
    <row r="4282" customFormat="false" ht="15.75" hidden="false" customHeight="false" outlineLevel="0" collapsed="false">
      <c r="A4282" s="1" t="s">
        <v>1452</v>
      </c>
      <c r="B4282" s="1" t="n">
        <v>115.7</v>
      </c>
      <c r="C4282" s="1" t="n">
        <f aca="false">1/B4282</f>
        <v>0.00864304235090752</v>
      </c>
      <c r="D4282" s="1" t="n">
        <v>0.54788</v>
      </c>
      <c r="E4282" s="1" t="n">
        <f aca="false">LN(D4282)</f>
        <v>-0.601698994115517</v>
      </c>
    </row>
    <row r="4283" customFormat="false" ht="15.75" hidden="false" customHeight="false" outlineLevel="0" collapsed="false">
      <c r="A4283" s="1" t="s">
        <v>1452</v>
      </c>
      <c r="B4283" s="1" t="n">
        <v>116.68</v>
      </c>
      <c r="C4283" s="1" t="n">
        <f aca="false">1/B4283</f>
        <v>0.0085704490915324</v>
      </c>
      <c r="D4283" s="1" t="n">
        <v>0.53385</v>
      </c>
      <c r="E4283" s="1" t="n">
        <f aca="false">LN(D4283)</f>
        <v>-0.627640378357826</v>
      </c>
    </row>
    <row r="4284" customFormat="false" ht="15.75" hidden="false" customHeight="false" outlineLevel="0" collapsed="false">
      <c r="A4284" s="1" t="s">
        <v>1452</v>
      </c>
      <c r="B4284" s="1" t="n">
        <v>117.65</v>
      </c>
      <c r="C4284" s="1" t="n">
        <f aca="false">1/B4284</f>
        <v>0.00849978750531237</v>
      </c>
      <c r="D4284" s="1" t="n">
        <v>0.5204</v>
      </c>
      <c r="E4284" s="1" t="n">
        <f aca="false">LN(D4284)</f>
        <v>-0.653157532343787</v>
      </c>
    </row>
    <row r="4285" customFormat="false" ht="15.75" hidden="false" customHeight="false" outlineLevel="0" collapsed="false">
      <c r="A4285" s="1" t="s">
        <v>1452</v>
      </c>
      <c r="B4285" s="1" t="n">
        <v>118.63</v>
      </c>
      <c r="C4285" s="1" t="n">
        <f aca="false">1/B4285</f>
        <v>0.00842957093483942</v>
      </c>
      <c r="D4285" s="1" t="n">
        <v>0.50751</v>
      </c>
      <c r="E4285" s="1" t="n">
        <f aca="false">LN(D4285)</f>
        <v>-0.678238863826827</v>
      </c>
    </row>
    <row r="4286" customFormat="false" ht="15.75" hidden="false" customHeight="false" outlineLevel="0" collapsed="false">
      <c r="A4286" s="1" t="s">
        <v>1452</v>
      </c>
      <c r="B4286" s="1" t="n">
        <v>119.6</v>
      </c>
      <c r="C4286" s="1" t="n">
        <f aca="false">1/B4286</f>
        <v>0.00836120401337793</v>
      </c>
      <c r="D4286" s="1" t="n">
        <v>0.49514</v>
      </c>
      <c r="E4286" s="1" t="n">
        <f aca="false">LN(D4286)</f>
        <v>-0.702914728118997</v>
      </c>
    </row>
    <row r="4287" customFormat="false" ht="15.75" hidden="false" customHeight="false" outlineLevel="0" collapsed="false">
      <c r="A4287" s="1" t="s">
        <v>1452</v>
      </c>
      <c r="B4287" s="1" t="n">
        <v>120.57</v>
      </c>
      <c r="C4287" s="1" t="n">
        <f aca="false">1/B4287</f>
        <v>0.00829393713195654</v>
      </c>
      <c r="D4287" s="1" t="n">
        <v>0.48327</v>
      </c>
      <c r="E4287" s="1" t="n">
        <f aca="false">LN(D4287)</f>
        <v>-0.727179775304153</v>
      </c>
    </row>
    <row r="4288" customFormat="false" ht="15.75" hidden="false" customHeight="false" outlineLevel="0" collapsed="false">
      <c r="A4288" s="1" t="s">
        <v>1452</v>
      </c>
      <c r="B4288" s="1" t="n">
        <v>121.55</v>
      </c>
      <c r="C4288" s="1" t="n">
        <f aca="false">1/B4288</f>
        <v>0.00822706705059646</v>
      </c>
      <c r="D4288" s="1" t="n">
        <v>0.47187</v>
      </c>
      <c r="E4288" s="1" t="n">
        <f aca="false">LN(D4288)</f>
        <v>-0.751051755061476</v>
      </c>
    </row>
    <row r="4289" customFormat="false" ht="15.75" hidden="false" customHeight="false" outlineLevel="0" collapsed="false">
      <c r="A4289" s="1" t="s">
        <v>1452</v>
      </c>
      <c r="B4289" s="1" t="n">
        <v>122.52</v>
      </c>
      <c r="C4289" s="1" t="n">
        <f aca="false">1/B4289</f>
        <v>0.00816193274567418</v>
      </c>
      <c r="D4289" s="1" t="n">
        <v>0.46092</v>
      </c>
      <c r="E4289" s="1" t="n">
        <f aca="false">LN(D4289)</f>
        <v>-0.774530786836323</v>
      </c>
    </row>
    <row r="4290" customFormat="false" ht="15.75" hidden="false" customHeight="false" outlineLevel="0" collapsed="false">
      <c r="A4290" s="1" t="s">
        <v>1452</v>
      </c>
      <c r="B4290" s="1" t="n">
        <v>123.5</v>
      </c>
      <c r="C4290" s="1" t="n">
        <f aca="false">1/B4290</f>
        <v>0.00809716599190283</v>
      </c>
      <c r="D4290" s="1" t="n">
        <v>0.45039</v>
      </c>
      <c r="E4290" s="1" t="n">
        <f aca="false">LN(D4290)</f>
        <v>-0.797641404889814</v>
      </c>
    </row>
    <row r="4291" customFormat="false" ht="15.75" hidden="false" customHeight="false" outlineLevel="0" collapsed="false">
      <c r="A4291" s="1" t="s">
        <v>1452</v>
      </c>
      <c r="B4291" s="1" t="n">
        <v>124.47</v>
      </c>
      <c r="C4291" s="1" t="n">
        <f aca="false">1/B4291</f>
        <v>0.00803406443319676</v>
      </c>
      <c r="D4291" s="1" t="n">
        <v>0.44026</v>
      </c>
      <c r="E4291" s="1" t="n">
        <f aca="false">LN(D4291)</f>
        <v>-0.820389817496952</v>
      </c>
    </row>
    <row r="4292" customFormat="false" ht="15.75" hidden="false" customHeight="false" outlineLevel="0" collapsed="false">
      <c r="A4292" s="1" t="s">
        <v>1452</v>
      </c>
      <c r="B4292" s="1" t="n">
        <v>125.45</v>
      </c>
      <c r="C4292" s="1" t="n">
        <f aca="false">1/B4292</f>
        <v>0.00797130330809087</v>
      </c>
      <c r="D4292" s="1" t="n">
        <v>0.43052</v>
      </c>
      <c r="E4292" s="1" t="n">
        <f aca="false">LN(D4292)</f>
        <v>-0.842761498586039</v>
      </c>
    </row>
    <row r="4293" customFormat="false" ht="15.75" hidden="false" customHeight="false" outlineLevel="0" collapsed="false">
      <c r="A4293" s="1" t="s">
        <v>1452</v>
      </c>
      <c r="B4293" s="1" t="n">
        <v>126.42</v>
      </c>
      <c r="C4293" s="1" t="n">
        <f aca="false">1/B4293</f>
        <v>0.00791014080050625</v>
      </c>
      <c r="D4293" s="1" t="n">
        <v>0.42114</v>
      </c>
      <c r="E4293" s="1" t="n">
        <f aca="false">LN(D4293)</f>
        <v>-0.864789959011752</v>
      </c>
    </row>
    <row r="4294" customFormat="false" ht="15.75" hidden="false" customHeight="false" outlineLevel="0" collapsed="false">
      <c r="A4294" s="1" t="s">
        <v>1452</v>
      </c>
      <c r="B4294" s="1" t="n">
        <v>127.39</v>
      </c>
      <c r="C4294" s="1" t="n">
        <f aca="false">1/B4294</f>
        <v>0.00784990972603815</v>
      </c>
      <c r="D4294" s="1" t="n">
        <v>0.41211</v>
      </c>
      <c r="E4294" s="1" t="n">
        <f aca="false">LN(D4294)</f>
        <v>-0.886464974976914</v>
      </c>
    </row>
    <row r="4295" customFormat="false" ht="15.75" hidden="false" customHeight="false" outlineLevel="0" collapsed="false">
      <c r="A4295" s="1" t="s">
        <v>1452</v>
      </c>
      <c r="B4295" s="1" t="n">
        <v>128.37</v>
      </c>
      <c r="C4295" s="1" t="n">
        <f aca="false">1/B4295</f>
        <v>0.00778998208304121</v>
      </c>
      <c r="D4295" s="1" t="n">
        <v>0.40341</v>
      </c>
      <c r="E4295" s="1" t="n">
        <f aca="false">LN(D4295)</f>
        <v>-0.907801864478249</v>
      </c>
    </row>
    <row r="4296" customFormat="false" ht="15.75" hidden="false" customHeight="false" outlineLevel="0" collapsed="false">
      <c r="A4296" s="1" t="s">
        <v>1452</v>
      </c>
      <c r="B4296" s="1" t="n">
        <v>129.34</v>
      </c>
      <c r="C4296" s="1" t="n">
        <f aca="false">1/B4296</f>
        <v>0.00773156022885418</v>
      </c>
      <c r="D4296" s="1" t="n">
        <v>0.39502</v>
      </c>
      <c r="E4296" s="1" t="n">
        <f aca="false">LN(D4296)</f>
        <v>-0.928818882451425</v>
      </c>
    </row>
    <row r="4297" customFormat="false" ht="15.75" hidden="false" customHeight="false" outlineLevel="0" collapsed="false">
      <c r="A4297" s="1" t="s">
        <v>1452</v>
      </c>
      <c r="B4297" s="1" t="n">
        <v>130.32</v>
      </c>
      <c r="C4297" s="1" t="n">
        <f aca="false">1/B4297</f>
        <v>0.00767341927562922</v>
      </c>
      <c r="D4297" s="1" t="n">
        <v>0.38692</v>
      </c>
      <c r="E4297" s="1" t="n">
        <f aca="false">LN(D4297)</f>
        <v>-0.949537325667791</v>
      </c>
    </row>
    <row r="4298" customFormat="false" ht="15.75" hidden="false" customHeight="false" outlineLevel="0" collapsed="false">
      <c r="A4298" s="1" t="s">
        <v>1452</v>
      </c>
      <c r="B4298" s="1" t="n">
        <v>131.29</v>
      </c>
      <c r="C4298" s="1" t="n">
        <f aca="false">1/B4298</f>
        <v>0.00761672633102293</v>
      </c>
      <c r="D4298" s="1" t="n">
        <v>0.37911</v>
      </c>
      <c r="E4298" s="1" t="n">
        <f aca="false">LN(D4298)</f>
        <v>-0.969928878543438</v>
      </c>
    </row>
    <row r="4299" customFormat="false" ht="15.75" hidden="false" customHeight="false" outlineLevel="0" collapsed="false">
      <c r="A4299" s="1" t="s">
        <v>1452</v>
      </c>
      <c r="B4299" s="1" t="n">
        <v>132.27</v>
      </c>
      <c r="C4299" s="1" t="n">
        <f aca="false">1/B4299</f>
        <v>0.00756029333938157</v>
      </c>
      <c r="D4299" s="1" t="n">
        <v>0.37157</v>
      </c>
      <c r="E4299" s="1" t="n">
        <f aca="false">LN(D4299)</f>
        <v>-0.990018007271314</v>
      </c>
    </row>
    <row r="4300" customFormat="false" ht="15.75" hidden="false" customHeight="false" outlineLevel="0" collapsed="false">
      <c r="A4300" s="1" t="s">
        <v>1452</v>
      </c>
      <c r="B4300" s="1" t="n">
        <v>133.24</v>
      </c>
      <c r="C4300" s="1" t="n">
        <f aca="false">1/B4300</f>
        <v>0.0075052536775743</v>
      </c>
      <c r="D4300" s="1" t="n">
        <v>0.36429</v>
      </c>
      <c r="E4300" s="1" t="n">
        <f aca="false">LN(D4300)</f>
        <v>-1.0098050252483</v>
      </c>
    </row>
    <row r="4301" customFormat="false" ht="15.75" hidden="false" customHeight="false" outlineLevel="0" collapsed="false">
      <c r="A4301" s="1" t="s">
        <v>1452</v>
      </c>
      <c r="B4301" s="1" t="n">
        <v>134.22</v>
      </c>
      <c r="C4301" s="1" t="n">
        <f aca="false">1/B4301</f>
        <v>0.00745045447772314</v>
      </c>
      <c r="D4301" s="1" t="n">
        <v>0.35725</v>
      </c>
      <c r="E4301" s="1" t="n">
        <f aca="false">LN(D4301)</f>
        <v>-1.02931946217216</v>
      </c>
    </row>
    <row r="4302" customFormat="false" ht="15.75" hidden="false" customHeight="false" outlineLevel="0" collapsed="false">
      <c r="A4302" s="1" t="s">
        <v>1452</v>
      </c>
      <c r="B4302" s="1" t="n">
        <v>135.19</v>
      </c>
      <c r="C4302" s="1" t="n">
        <f aca="false">1/B4302</f>
        <v>0.00739699681929137</v>
      </c>
      <c r="D4302" s="1" t="n">
        <v>0.35045</v>
      </c>
      <c r="E4302" s="1" t="n">
        <f aca="false">LN(D4302)</f>
        <v>-1.0485372360358</v>
      </c>
    </row>
    <row r="4303" customFormat="false" ht="15.75" hidden="false" customHeight="false" outlineLevel="0" collapsed="false">
      <c r="A4303" s="1" t="s">
        <v>1452</v>
      </c>
      <c r="B4303" s="1" t="n">
        <v>136.16</v>
      </c>
      <c r="C4303" s="1" t="n">
        <f aca="false">1/B4303</f>
        <v>0.00734430082256169</v>
      </c>
      <c r="D4303" s="1" t="n">
        <v>0.34387</v>
      </c>
      <c r="E4303" s="1" t="n">
        <f aca="false">LN(D4303)</f>
        <v>-1.06749160001032</v>
      </c>
    </row>
    <row r="4304" customFormat="false" ht="15.75" hidden="false" customHeight="false" outlineLevel="0" collapsed="false">
      <c r="A4304" s="1" t="s">
        <v>1452</v>
      </c>
      <c r="B4304" s="1" t="n">
        <v>137.14</v>
      </c>
      <c r="C4304" s="1" t="n">
        <f aca="false">1/B4304</f>
        <v>0.00729181857955374</v>
      </c>
      <c r="D4304" s="1" t="n">
        <v>0.3375</v>
      </c>
      <c r="E4304" s="1" t="n">
        <f aca="false">LN(D4304)</f>
        <v>-1.08618976866955</v>
      </c>
    </row>
    <row r="4305" customFormat="false" ht="15.75" hidden="false" customHeight="false" outlineLevel="0" collapsed="false">
      <c r="A4305" s="1" t="s">
        <v>1452</v>
      </c>
      <c r="B4305" s="1" t="n">
        <v>138.11</v>
      </c>
      <c r="C4305" s="1" t="n">
        <f aca="false">1/B4305</f>
        <v>0.0072406053146043</v>
      </c>
      <c r="D4305" s="1" t="n">
        <v>0.33133</v>
      </c>
      <c r="E4305" s="1" t="n">
        <f aca="false">LN(D4305)</f>
        <v>-1.10464042140645</v>
      </c>
    </row>
    <row r="4306" customFormat="false" ht="15.75" hidden="false" customHeight="false" outlineLevel="0" collapsed="false">
      <c r="A4306" s="1" t="s">
        <v>1452</v>
      </c>
      <c r="B4306" s="1" t="n">
        <v>139.09</v>
      </c>
      <c r="C4306" s="1" t="n">
        <f aca="false">1/B4306</f>
        <v>0.00718958947444101</v>
      </c>
      <c r="D4306" s="1" t="n">
        <v>0.32536</v>
      </c>
      <c r="E4306" s="1" t="n">
        <f aca="false">LN(D4306)</f>
        <v>-1.12282301738317</v>
      </c>
    </row>
    <row r="4307" customFormat="false" ht="15.75" hidden="false" customHeight="false" outlineLevel="0" collapsed="false">
      <c r="A4307" s="1" t="s">
        <v>1452</v>
      </c>
      <c r="B4307" s="1" t="n">
        <v>140.06</v>
      </c>
      <c r="C4307" s="1" t="n">
        <f aca="false">1/B4307</f>
        <v>0.00713979722975867</v>
      </c>
      <c r="D4307" s="1" t="n">
        <v>0.31958</v>
      </c>
      <c r="E4307" s="1" t="n">
        <f aca="false">LN(D4307)</f>
        <v>-1.14074764527089</v>
      </c>
    </row>
    <row r="4308" customFormat="false" ht="15.75" hidden="false" customHeight="false" outlineLevel="0" collapsed="false">
      <c r="A4308" s="1" t="s">
        <v>1452</v>
      </c>
      <c r="B4308" s="1" t="n">
        <v>141.04</v>
      </c>
      <c r="C4308" s="1" t="n">
        <f aca="false">1/B4308</f>
        <v>0.00709018718094158</v>
      </c>
      <c r="D4308" s="1" t="n">
        <v>0.31397</v>
      </c>
      <c r="E4308" s="1" t="n">
        <f aca="false">LN(D4308)</f>
        <v>-1.15845783903953</v>
      </c>
    </row>
    <row r="4309" customFormat="false" ht="15.75" hidden="false" customHeight="false" outlineLevel="0" collapsed="false">
      <c r="A4309" s="1" t="s">
        <v>1452</v>
      </c>
      <c r="B4309" s="1" t="n">
        <v>142.01</v>
      </c>
      <c r="C4309" s="1" t="n">
        <f aca="false">1/B4309</f>
        <v>0.00704175762270263</v>
      </c>
      <c r="D4309" s="1" t="n">
        <v>0.30853</v>
      </c>
      <c r="E4309" s="1" t="n">
        <f aca="false">LN(D4309)</f>
        <v>-1.17593619563208</v>
      </c>
    </row>
    <row r="4310" customFormat="false" ht="15.75" hidden="false" customHeight="false" outlineLevel="0" collapsed="false">
      <c r="A4310" s="1" t="s">
        <v>1452</v>
      </c>
      <c r="B4310" s="1" t="n">
        <v>142.98</v>
      </c>
      <c r="C4310" s="1" t="n">
        <f aca="false">1/B4310</f>
        <v>0.00699398517275143</v>
      </c>
      <c r="D4310" s="1" t="n">
        <v>0.30325</v>
      </c>
      <c r="E4310" s="1" t="n">
        <f aca="false">LN(D4310)</f>
        <v>-1.19319773115798</v>
      </c>
    </row>
    <row r="4311" customFormat="false" ht="15.75" hidden="false" customHeight="false" outlineLevel="0" collapsed="false">
      <c r="A4311" s="1" t="s">
        <v>1452</v>
      </c>
      <c r="B4311" s="1" t="n">
        <v>143.96</v>
      </c>
      <c r="C4311" s="1" t="n">
        <f aca="false">1/B4311</f>
        <v>0.00694637399277577</v>
      </c>
      <c r="D4311" s="1" t="n">
        <v>0.29813</v>
      </c>
      <c r="E4311" s="1" t="n">
        <f aca="false">LN(D4311)</f>
        <v>-1.2102256459917</v>
      </c>
    </row>
    <row r="4312" customFormat="false" ht="15.75" hidden="false" customHeight="false" outlineLevel="0" collapsed="false">
      <c r="A4312" s="1" t="s">
        <v>1452</v>
      </c>
      <c r="B4312" s="1" t="n">
        <v>144.93</v>
      </c>
      <c r="C4312" s="1" t="n">
        <f aca="false">1/B4312</f>
        <v>0.00689988270199407</v>
      </c>
      <c r="D4312" s="1" t="n">
        <v>0.29316</v>
      </c>
      <c r="E4312" s="1" t="n">
        <f aca="false">LN(D4312)</f>
        <v>-1.22703674392449</v>
      </c>
    </row>
    <row r="4313" customFormat="false" ht="15.75" hidden="false" customHeight="false" outlineLevel="0" collapsed="false">
      <c r="A4313" s="1" t="s">
        <v>1452</v>
      </c>
      <c r="B4313" s="1" t="n">
        <v>145.91</v>
      </c>
      <c r="C4313" s="1" t="n">
        <f aca="false">1/B4313</f>
        <v>0.00685353985333425</v>
      </c>
      <c r="D4313" s="1" t="n">
        <v>0.28832</v>
      </c>
      <c r="E4313" s="1" t="n">
        <f aca="false">LN(D4313)</f>
        <v>-1.24368430456216</v>
      </c>
    </row>
    <row r="4314" customFormat="false" ht="15.75" hidden="false" customHeight="false" outlineLevel="0" collapsed="false">
      <c r="A4314" s="1" t="s">
        <v>1452</v>
      </c>
      <c r="B4314" s="1" t="n">
        <v>146.88</v>
      </c>
      <c r="C4314" s="1" t="n">
        <f aca="false">1/B4314</f>
        <v>0.0068082788671024</v>
      </c>
      <c r="D4314" s="1" t="n">
        <v>0.28363</v>
      </c>
      <c r="E4314" s="1" t="n">
        <f aca="false">LN(D4314)</f>
        <v>-1.2600847071261</v>
      </c>
    </row>
    <row r="4315" customFormat="false" ht="15.75" hidden="false" customHeight="false" outlineLevel="0" collapsed="false">
      <c r="A4315" s="1" t="s">
        <v>1452</v>
      </c>
      <c r="B4315" s="1" t="n">
        <v>147.86</v>
      </c>
      <c r="C4315" s="1" t="n">
        <f aca="false">1/B4315</f>
        <v>0.00676315433518193</v>
      </c>
      <c r="D4315" s="1" t="n">
        <v>0.27906</v>
      </c>
      <c r="E4315" s="1" t="n">
        <f aca="false">LN(D4315)</f>
        <v>-1.27632846651808</v>
      </c>
    </row>
    <row r="4316" customFormat="false" ht="15.75" hidden="false" customHeight="false" outlineLevel="0" collapsed="false">
      <c r="A4316" s="1" t="s">
        <v>1452</v>
      </c>
      <c r="B4316" s="1" t="n">
        <v>148.83</v>
      </c>
      <c r="C4316" s="1" t="n">
        <f aca="false">1/B4316</f>
        <v>0.00671907545521736</v>
      </c>
      <c r="D4316" s="1" t="n">
        <v>0.27462</v>
      </c>
      <c r="E4316" s="1" t="n">
        <f aca="false">LN(D4316)</f>
        <v>-1.29236695508853</v>
      </c>
    </row>
    <row r="4317" customFormat="false" ht="15.75" hidden="false" customHeight="false" outlineLevel="0" collapsed="false">
      <c r="A4317" s="1" t="s">
        <v>1452</v>
      </c>
      <c r="B4317" s="1" t="n">
        <v>149.81</v>
      </c>
      <c r="C4317" s="1" t="n">
        <f aca="false">1/B4317</f>
        <v>0.00667512182097323</v>
      </c>
      <c r="D4317" s="1" t="n">
        <v>0.2703</v>
      </c>
      <c r="E4317" s="1" t="n">
        <f aca="false">LN(D4317)</f>
        <v>-1.30822282569974</v>
      </c>
    </row>
    <row r="4318" customFormat="false" ht="15.75" hidden="false" customHeight="false" outlineLevel="0" collapsed="false">
      <c r="A4318" s="1" t="s">
        <v>1452</v>
      </c>
      <c r="B4318" s="1" t="n">
        <v>150.78</v>
      </c>
      <c r="C4318" s="1" t="n">
        <f aca="false">1/B4318</f>
        <v>0.0066321793341292</v>
      </c>
      <c r="D4318" s="1" t="n">
        <v>0.26609</v>
      </c>
      <c r="E4318" s="1" t="n">
        <f aca="false">LN(D4318)</f>
        <v>-1.32392068156183</v>
      </c>
    </row>
    <row r="4319" customFormat="false" ht="15.75" hidden="false" customHeight="false" outlineLevel="0" collapsed="false">
      <c r="A4319" s="1" t="s">
        <v>1452</v>
      </c>
      <c r="B4319" s="1" t="n">
        <v>151.75</v>
      </c>
      <c r="C4319" s="1" t="n">
        <f aca="false">1/B4319</f>
        <v>0.00658978583196046</v>
      </c>
      <c r="D4319" s="1" t="n">
        <v>0.262</v>
      </c>
      <c r="E4319" s="1" t="n">
        <f aca="false">LN(D4319)</f>
        <v>-1.33941077522104</v>
      </c>
    </row>
    <row r="4320" customFormat="false" ht="15.75" hidden="false" customHeight="false" outlineLevel="0" collapsed="false">
      <c r="A4320" s="1" t="s">
        <v>1452</v>
      </c>
      <c r="B4320" s="1" t="n">
        <v>152.73</v>
      </c>
      <c r="C4320" s="1" t="n">
        <f aca="false">1/B4320</f>
        <v>0.00654750212793819</v>
      </c>
      <c r="D4320" s="1" t="n">
        <v>0.25801</v>
      </c>
      <c r="E4320" s="1" t="n">
        <f aca="false">LN(D4320)</f>
        <v>-1.35475693512173</v>
      </c>
    </row>
    <row r="4321" customFormat="false" ht="15.75" hidden="false" customHeight="false" outlineLevel="0" collapsed="false">
      <c r="A4321" s="1" t="s">
        <v>1452</v>
      </c>
      <c r="B4321" s="1" t="n">
        <v>153.7</v>
      </c>
      <c r="C4321" s="1" t="n">
        <f aca="false">1/B4321</f>
        <v>0.00650618087182824</v>
      </c>
      <c r="D4321" s="1" t="n">
        <v>0.25412</v>
      </c>
      <c r="E4321" s="1" t="n">
        <f aca="false">LN(D4321)</f>
        <v>-1.3699486825838</v>
      </c>
    </row>
    <row r="4322" customFormat="false" ht="15.75" hidden="false" customHeight="false" outlineLevel="0" collapsed="false">
      <c r="A4322" s="1" t="s">
        <v>1452</v>
      </c>
      <c r="B4322" s="1" t="n">
        <v>154.68</v>
      </c>
      <c r="C4322" s="1" t="n">
        <f aca="false">1/B4322</f>
        <v>0.00646495991724851</v>
      </c>
      <c r="D4322" s="1" t="n">
        <v>0.25033</v>
      </c>
      <c r="E4322" s="1" t="n">
        <f aca="false">LN(D4322)</f>
        <v>-1.38497523155399</v>
      </c>
    </row>
    <row r="4323" customFormat="false" ht="15.75" hidden="false" customHeight="false" outlineLevel="0" collapsed="false">
      <c r="A4323" s="1" t="s">
        <v>1452</v>
      </c>
      <c r="B4323" s="1" t="n">
        <v>155.65</v>
      </c>
      <c r="C4323" s="1" t="n">
        <f aca="false">1/B4323</f>
        <v>0.0064246707356248</v>
      </c>
      <c r="D4323" s="1" t="n">
        <v>0.24663</v>
      </c>
      <c r="E4323" s="1" t="n">
        <f aca="false">LN(D4323)</f>
        <v>-1.39986604114999</v>
      </c>
    </row>
    <row r="4324" customFormat="false" ht="15.75" hidden="false" customHeight="false" outlineLevel="0" collapsed="false">
      <c r="A4324" s="1" t="s">
        <v>1452</v>
      </c>
      <c r="B4324" s="1" t="n">
        <v>156.63</v>
      </c>
      <c r="C4324" s="1" t="n">
        <f aca="false">1/B4324</f>
        <v>0.00638447296175701</v>
      </c>
      <c r="D4324" s="1" t="n">
        <v>0.24303</v>
      </c>
      <c r="E4324" s="1" t="n">
        <f aca="false">LN(D4324)</f>
        <v>-1.41457038647163</v>
      </c>
    </row>
    <row r="4325" customFormat="false" ht="15.75" hidden="false" customHeight="false" outlineLevel="0" collapsed="false">
      <c r="A4325" s="1" t="s">
        <v>1452</v>
      </c>
      <c r="B4325" s="1" t="n">
        <v>157.6</v>
      </c>
      <c r="C4325" s="1" t="n">
        <f aca="false">1/B4325</f>
        <v>0.00634517766497462</v>
      </c>
      <c r="D4325" s="1" t="n">
        <v>0.23951</v>
      </c>
      <c r="E4325" s="1" t="n">
        <f aca="false">LN(D4325)</f>
        <v>-1.42916010934938</v>
      </c>
    </row>
    <row r="4326" customFormat="false" ht="15.75" hidden="false" customHeight="false" outlineLevel="0" collapsed="false">
      <c r="A4326" s="1" t="s">
        <v>1452</v>
      </c>
      <c r="B4326" s="1" t="n">
        <v>158.58</v>
      </c>
      <c r="C4326" s="1" t="n">
        <f aca="false">1/B4326</f>
        <v>0.00630596544330937</v>
      </c>
      <c r="D4326" s="1" t="n">
        <v>0.23607</v>
      </c>
      <c r="E4326" s="1" t="n">
        <f aca="false">LN(D4326)</f>
        <v>-1.44362690776714</v>
      </c>
    </row>
    <row r="4327" customFormat="false" ht="15.75" hidden="false" customHeight="false" outlineLevel="0" collapsed="false">
      <c r="A4327" s="1" t="s">
        <v>1452</v>
      </c>
      <c r="B4327" s="1" t="n">
        <v>159.55</v>
      </c>
      <c r="C4327" s="1" t="n">
        <f aca="false">1/B4327</f>
        <v>0.00626762770291445</v>
      </c>
      <c r="D4327" s="1" t="n">
        <v>0.23272</v>
      </c>
      <c r="E4327" s="1" t="n">
        <f aca="false">LN(D4327)</f>
        <v>-1.45791926479519</v>
      </c>
    </row>
    <row r="4328" customFormat="false" ht="15.75" hidden="false" customHeight="false" outlineLevel="0" collapsed="false">
      <c r="A4328" s="1" t="s">
        <v>1452</v>
      </c>
      <c r="B4328" s="1" t="n">
        <v>160.52</v>
      </c>
      <c r="C4328" s="1" t="n">
        <f aca="false">1/B4328</f>
        <v>0.00622975330176925</v>
      </c>
      <c r="D4328" s="1" t="n">
        <v>0.22944</v>
      </c>
      <c r="E4328" s="1" t="n">
        <f aca="false">LN(D4328)</f>
        <v>-1.47211372157088</v>
      </c>
    </row>
    <row r="4329" customFormat="false" ht="15.75" hidden="false" customHeight="false" outlineLevel="0" collapsed="false">
      <c r="A4329" s="1" t="s">
        <v>1452</v>
      </c>
      <c r="B4329" s="1" t="n">
        <v>161.5</v>
      </c>
      <c r="C4329" s="1" t="n">
        <f aca="false">1/B4329</f>
        <v>0.00619195046439629</v>
      </c>
      <c r="D4329" s="1" t="n">
        <v>0.22623</v>
      </c>
      <c r="E4329" s="1" t="n">
        <f aca="false">LN(D4329)</f>
        <v>-1.48620309809947</v>
      </c>
    </row>
    <row r="4330" customFormat="false" ht="15.75" hidden="false" customHeight="false" outlineLevel="0" collapsed="false">
      <c r="A4330" s="1" t="s">
        <v>1452</v>
      </c>
      <c r="B4330" s="1" t="n">
        <v>162.47</v>
      </c>
      <c r="C4330" s="1" t="n">
        <f aca="false">1/B4330</f>
        <v>0.00615498245829999</v>
      </c>
      <c r="D4330" s="1" t="n">
        <v>0.2231</v>
      </c>
      <c r="E4330" s="1" t="n">
        <f aca="false">LN(D4330)</f>
        <v>-1.50013517754365</v>
      </c>
    </row>
    <row r="4331" customFormat="false" ht="15.75" hidden="false" customHeight="false" outlineLevel="0" collapsed="false">
      <c r="A4331" s="1" t="s">
        <v>1452</v>
      </c>
      <c r="B4331" s="1" t="n">
        <v>163.45</v>
      </c>
      <c r="C4331" s="1" t="n">
        <f aca="false">1/B4331</f>
        <v>0.00611807892321811</v>
      </c>
      <c r="D4331" s="1" t="n">
        <v>0.22004</v>
      </c>
      <c r="E4331" s="1" t="n">
        <f aca="false">LN(D4331)</f>
        <v>-1.51394593097488</v>
      </c>
    </row>
    <row r="4332" customFormat="false" ht="15.75" hidden="false" customHeight="false" outlineLevel="0" collapsed="false">
      <c r="A4332" s="1" t="s">
        <v>1452</v>
      </c>
      <c r="B4332" s="1" t="n">
        <v>164.42</v>
      </c>
      <c r="C4332" s="1" t="n">
        <f aca="false">1/B4332</f>
        <v>0.00608198515995621</v>
      </c>
      <c r="D4332" s="1" t="n">
        <v>0.21704</v>
      </c>
      <c r="E4332" s="1" t="n">
        <f aca="false">LN(D4332)</f>
        <v>-1.52767361063146</v>
      </c>
    </row>
    <row r="4333" customFormat="false" ht="15.75" hidden="false" customHeight="false" outlineLevel="0" collapsed="false">
      <c r="A4333" s="1" t="s">
        <v>1452</v>
      </c>
      <c r="B4333" s="1" t="n">
        <v>165.4</v>
      </c>
      <c r="C4333" s="1" t="n">
        <f aca="false">1/B4333</f>
        <v>0.0060459492140266</v>
      </c>
      <c r="D4333" s="1" t="n">
        <v>0.21411</v>
      </c>
      <c r="E4333" s="1" t="n">
        <f aca="false">LN(D4333)</f>
        <v>-1.54126537733105</v>
      </c>
    </row>
    <row r="4334" customFormat="false" ht="15.75" hidden="false" customHeight="false" outlineLevel="0" collapsed="false">
      <c r="A4334" s="1" t="s">
        <v>1452</v>
      </c>
      <c r="B4334" s="1" t="n">
        <v>166.37</v>
      </c>
      <c r="C4334" s="1" t="n">
        <f aca="false">1/B4334</f>
        <v>0.00601069904429885</v>
      </c>
      <c r="D4334" s="1" t="n">
        <v>0.21124</v>
      </c>
      <c r="E4334" s="1" t="n">
        <f aca="false">LN(D4334)</f>
        <v>-1.5547603511434</v>
      </c>
    </row>
    <row r="4335" customFormat="false" ht="15.75" hidden="false" customHeight="false" outlineLevel="0" collapsed="false">
      <c r="A4335" s="1" t="s">
        <v>1452</v>
      </c>
      <c r="B4335" s="1" t="n">
        <v>167.34</v>
      </c>
      <c r="C4335" s="1" t="n">
        <f aca="false">1/B4335</f>
        <v>0.00597585753555635</v>
      </c>
      <c r="D4335" s="1" t="n">
        <v>0.20843</v>
      </c>
      <c r="E4335" s="1" t="n">
        <f aca="false">LN(D4335)</f>
        <v>-1.56815202552856</v>
      </c>
    </row>
    <row r="4336" customFormat="false" ht="15.75" hidden="false" customHeight="false" outlineLevel="0" collapsed="false">
      <c r="A4336" s="1" t="s">
        <v>1452</v>
      </c>
      <c r="B4336" s="1" t="n">
        <v>168.32</v>
      </c>
      <c r="C4336" s="1" t="n">
        <f aca="false">1/B4336</f>
        <v>0.00594106463878327</v>
      </c>
      <c r="D4336" s="1" t="n">
        <v>0.20568</v>
      </c>
      <c r="E4336" s="1" t="n">
        <f aca="false">LN(D4336)</f>
        <v>-1.5814337160245</v>
      </c>
    </row>
    <row r="4337" customFormat="false" ht="15.75" hidden="false" customHeight="false" outlineLevel="0" collapsed="false">
      <c r="A4337" s="1" t="s">
        <v>1452</v>
      </c>
      <c r="B4337" s="1" t="n">
        <v>169.29</v>
      </c>
      <c r="C4337" s="1" t="n">
        <f aca="false">1/B4337</f>
        <v>0.0059070234508831</v>
      </c>
      <c r="D4337" s="1" t="n">
        <v>0.20299</v>
      </c>
      <c r="E4337" s="1" t="n">
        <f aca="false">LN(D4337)</f>
        <v>-1.59459856223746</v>
      </c>
    </row>
    <row r="4338" customFormat="false" ht="15.75" hidden="false" customHeight="false" outlineLevel="0" collapsed="false">
      <c r="A4338" s="1" t="s">
        <v>1452</v>
      </c>
      <c r="B4338" s="1" t="n">
        <v>170.27</v>
      </c>
      <c r="C4338" s="1" t="n">
        <f aca="false">1/B4338</f>
        <v>0.00587302519527809</v>
      </c>
      <c r="D4338" s="1" t="n">
        <v>0.20035</v>
      </c>
      <c r="E4338" s="1" t="n">
        <f aca="false">LN(D4338)</f>
        <v>-1.60768944189998</v>
      </c>
    </row>
    <row r="4339" customFormat="false" ht="15.75" hidden="false" customHeight="false" outlineLevel="0" collapsed="false">
      <c r="A4339" s="1" t="s">
        <v>1452</v>
      </c>
      <c r="B4339" s="1" t="n">
        <v>171.24</v>
      </c>
      <c r="C4339" s="1" t="n">
        <f aca="false">1/B4339</f>
        <v>0.00583975706610605</v>
      </c>
      <c r="D4339" s="1" t="n">
        <v>0.19776</v>
      </c>
      <c r="E4339" s="1" t="n">
        <f aca="false">LN(D4339)</f>
        <v>-1.62070110471281</v>
      </c>
    </row>
    <row r="4340" customFormat="false" ht="15.75" hidden="false" customHeight="false" outlineLevel="0" collapsed="false">
      <c r="A4340" s="1" t="s">
        <v>1452</v>
      </c>
      <c r="B4340" s="1" t="n">
        <v>172.22</v>
      </c>
      <c r="C4340" s="1" t="n">
        <f aca="false">1/B4340</f>
        <v>0.00580652653582627</v>
      </c>
      <c r="D4340" s="1" t="n">
        <v>0.19522</v>
      </c>
      <c r="E4340" s="1" t="n">
        <f aca="false">LN(D4340)</f>
        <v>-1.63362815123532</v>
      </c>
    </row>
    <row r="4341" customFormat="false" ht="15.75" hidden="false" customHeight="false" outlineLevel="0" collapsed="false">
      <c r="A4341" s="1" t="s">
        <v>1452</v>
      </c>
      <c r="B4341" s="1" t="n">
        <v>173.19</v>
      </c>
      <c r="C4341" s="1" t="n">
        <f aca="false">1/B4341</f>
        <v>0.0057740054275651</v>
      </c>
      <c r="D4341" s="1" t="n">
        <v>0.19273</v>
      </c>
      <c r="E4341" s="1" t="n">
        <f aca="false">LN(D4341)</f>
        <v>-1.64646503327118</v>
      </c>
    </row>
    <row r="4342" customFormat="false" ht="15.75" hidden="false" customHeight="false" outlineLevel="0" collapsed="false">
      <c r="A4342" s="1" t="s">
        <v>1452</v>
      </c>
      <c r="B4342" s="1" t="n">
        <v>174.17</v>
      </c>
      <c r="C4342" s="1" t="n">
        <f aca="false">1/B4342</f>
        <v>0.0057415169087673</v>
      </c>
      <c r="D4342" s="1" t="n">
        <v>0.19029</v>
      </c>
      <c r="E4342" s="1" t="n">
        <f aca="false">LN(D4342)</f>
        <v>-1.65920605466822</v>
      </c>
    </row>
    <row r="4343" customFormat="false" ht="15.75" hidden="false" customHeight="false" outlineLevel="0" collapsed="false">
      <c r="A4343" s="1" t="s">
        <v>1452</v>
      </c>
      <c r="B4343" s="1" t="n">
        <v>175.14</v>
      </c>
      <c r="C4343" s="1" t="n">
        <f aca="false">1/B4343</f>
        <v>0.00570971793993377</v>
      </c>
      <c r="D4343" s="1" t="n">
        <v>0.18789</v>
      </c>
      <c r="E4343" s="1" t="n">
        <f aca="false">LN(D4343)</f>
        <v>-1.67189859377671</v>
      </c>
    </row>
    <row r="4344" customFormat="false" ht="15.75" hidden="false" customHeight="false" outlineLevel="0" collapsed="false">
      <c r="A4344" s="1" t="s">
        <v>1452</v>
      </c>
      <c r="B4344" s="1" t="n">
        <v>176.11</v>
      </c>
      <c r="C4344" s="1" t="n">
        <f aca="false">1/B4344</f>
        <v>0.00567826926352848</v>
      </c>
      <c r="D4344" s="1" t="n">
        <v>0.18554</v>
      </c>
      <c r="E4344" s="1" t="n">
        <f aca="false">LN(D4344)</f>
        <v>-1.68448478675701</v>
      </c>
    </row>
    <row r="4345" customFormat="false" ht="15.75" hidden="false" customHeight="false" outlineLevel="0" collapsed="false">
      <c r="A4345" s="1" t="s">
        <v>1452</v>
      </c>
      <c r="B4345" s="1" t="n">
        <v>177.09</v>
      </c>
      <c r="C4345" s="1" t="n">
        <f aca="false">1/B4345</f>
        <v>0.00564684623637698</v>
      </c>
      <c r="D4345" s="1" t="n">
        <v>0.18323</v>
      </c>
      <c r="E4345" s="1" t="n">
        <f aca="false">LN(D4345)</f>
        <v>-1.69701308469005</v>
      </c>
    </row>
    <row r="4346" customFormat="false" ht="15.75" hidden="false" customHeight="false" outlineLevel="0" collapsed="false">
      <c r="A4346" s="1" t="s">
        <v>1452</v>
      </c>
      <c r="B4346" s="1" t="n">
        <v>178.06</v>
      </c>
      <c r="C4346" s="1" t="n">
        <f aca="false">1/B4346</f>
        <v>0.00561608446591037</v>
      </c>
      <c r="D4346" s="1" t="n">
        <v>0.18096</v>
      </c>
      <c r="E4346" s="1" t="n">
        <f aca="false">LN(D4346)</f>
        <v>-1.70947926661433</v>
      </c>
    </row>
    <row r="4347" customFormat="false" ht="15.75" hidden="false" customHeight="false" outlineLevel="0" collapsed="false">
      <c r="A4347" s="1" t="s">
        <v>1452</v>
      </c>
      <c r="B4347" s="1" t="n">
        <v>179.04</v>
      </c>
      <c r="C4347" s="1" t="n">
        <f aca="false">1/B4347</f>
        <v>0.00558534405719392</v>
      </c>
      <c r="D4347" s="1" t="n">
        <v>0.17873</v>
      </c>
      <c r="E4347" s="1" t="n">
        <f aca="false">LN(D4347)</f>
        <v>-1.72187899177985</v>
      </c>
    </row>
    <row r="4348" customFormat="false" ht="15.75" hidden="false" customHeight="false" outlineLevel="0" collapsed="false">
      <c r="A4348" s="1" t="s">
        <v>1452</v>
      </c>
      <c r="B4348" s="1" t="n">
        <v>180.01</v>
      </c>
      <c r="C4348" s="1" t="n">
        <f aca="false">1/B4348</f>
        <v>0.00555524693072607</v>
      </c>
      <c r="D4348" s="1" t="n">
        <v>0.17655</v>
      </c>
      <c r="E4348" s="1" t="n">
        <f aca="false">LN(D4348)</f>
        <v>-1.73415115660774</v>
      </c>
    </row>
    <row r="4349" customFormat="false" ht="15.75" hidden="false" customHeight="false" outlineLevel="0" collapsed="false">
      <c r="A4349" s="1" t="s">
        <v>1452</v>
      </c>
      <c r="B4349" s="1" t="n">
        <v>180.99</v>
      </c>
      <c r="C4349" s="1" t="n">
        <f aca="false">1/B4349</f>
        <v>0.00552516713630587</v>
      </c>
      <c r="D4349" s="1" t="n">
        <v>0.17439</v>
      </c>
      <c r="E4349" s="1" t="n">
        <f aca="false">LN(D4349)</f>
        <v>-1.74646110860077</v>
      </c>
    </row>
    <row r="4350" customFormat="false" ht="15.75" hidden="false" customHeight="false" outlineLevel="0" collapsed="false">
      <c r="A4350" s="1" t="s">
        <v>1452</v>
      </c>
      <c r="B4350" s="1" t="n">
        <v>181.96</v>
      </c>
      <c r="C4350" s="1" t="n">
        <f aca="false">1/B4350</f>
        <v>0.005495713343592</v>
      </c>
      <c r="D4350" s="1" t="n">
        <v>0.17228</v>
      </c>
      <c r="E4350" s="1" t="n">
        <f aca="false">LN(D4350)</f>
        <v>-1.75863421879623</v>
      </c>
    </row>
    <row r="4351" customFormat="false" ht="15.75" hidden="false" customHeight="false" outlineLevel="0" collapsed="false">
      <c r="A4351" s="1" t="s">
        <v>1452</v>
      </c>
      <c r="B4351" s="1" t="n">
        <v>182.93</v>
      </c>
      <c r="C4351" s="1" t="n">
        <f aca="false">1/B4351</f>
        <v>0.00546657191275351</v>
      </c>
      <c r="D4351" s="1" t="n">
        <v>0.1702</v>
      </c>
      <c r="E4351" s="1" t="n">
        <f aca="false">LN(D4351)</f>
        <v>-1.77078106284286</v>
      </c>
    </row>
    <row r="4352" customFormat="false" ht="15.75" hidden="false" customHeight="false" outlineLevel="0" collapsed="false">
      <c r="A4352" s="1" t="s">
        <v>1452</v>
      </c>
      <c r="B4352" s="1" t="n">
        <v>183.91</v>
      </c>
      <c r="C4352" s="1" t="n">
        <f aca="false">1/B4352</f>
        <v>0.00543744222717634</v>
      </c>
      <c r="D4352" s="1" t="n">
        <v>0.16816</v>
      </c>
      <c r="E4352" s="1" t="n">
        <f aca="false">LN(D4352)</f>
        <v>-1.7828393718535</v>
      </c>
    </row>
    <row r="4353" customFormat="false" ht="15.75" hidden="false" customHeight="false" outlineLevel="0" collapsed="false">
      <c r="A4353" s="1" t="s">
        <v>1452</v>
      </c>
      <c r="B4353" s="1" t="n">
        <v>184.33</v>
      </c>
      <c r="C4353" s="1" t="n">
        <f aca="false">1/B4353</f>
        <v>0.00542505289426572</v>
      </c>
      <c r="D4353" s="1" t="n">
        <v>0.1673</v>
      </c>
      <c r="E4353" s="1" t="n">
        <f aca="false">LN(D4353)</f>
        <v>-1.78796667098936</v>
      </c>
    </row>
    <row r="4354" customFormat="false" ht="15.75" hidden="false" customHeight="false" outlineLevel="0" collapsed="false">
      <c r="A4354" s="1" t="s">
        <v>120</v>
      </c>
      <c r="B4354" s="1" t="n">
        <v>273.24</v>
      </c>
      <c r="C4354" s="1" t="n">
        <f aca="false">1/B4354</f>
        <v>0.00365978626848192</v>
      </c>
      <c r="D4354" s="1" t="n">
        <v>0.3632</v>
      </c>
      <c r="E4354" s="1" t="n">
        <f aca="false">LN(D4354)</f>
        <v>-1.012801632255</v>
      </c>
    </row>
    <row r="4355" customFormat="false" ht="15.75" hidden="false" customHeight="false" outlineLevel="0" collapsed="false">
      <c r="A4355" s="1" t="s">
        <v>120</v>
      </c>
      <c r="B4355" s="1" t="n">
        <v>283.15</v>
      </c>
      <c r="C4355" s="1" t="n">
        <f aca="false">1/B4355</f>
        <v>0.00353169698039908</v>
      </c>
      <c r="D4355" s="1" t="n">
        <v>0.3298</v>
      </c>
      <c r="E4355" s="1" t="n">
        <f aca="false">LN(D4355)</f>
        <v>-1.10926886885664</v>
      </c>
    </row>
    <row r="4356" customFormat="false" ht="15.75" hidden="false" customHeight="false" outlineLevel="0" collapsed="false">
      <c r="A4356" s="1" t="s">
        <v>120</v>
      </c>
      <c r="B4356" s="1" t="n">
        <v>293.15</v>
      </c>
      <c r="C4356" s="1" t="n">
        <f aca="false">1/B4356</f>
        <v>0.00341122292341805</v>
      </c>
      <c r="D4356" s="1" t="n">
        <v>0.2999</v>
      </c>
      <c r="E4356" s="1" t="n">
        <f aca="false">LN(D4356)</f>
        <v>-1.20430619322717</v>
      </c>
    </row>
    <row r="4357" customFormat="false" ht="15.75" hidden="false" customHeight="false" outlineLevel="0" collapsed="false">
      <c r="A4357" s="1" t="s">
        <v>120</v>
      </c>
      <c r="B4357" s="1" t="n">
        <v>298.15</v>
      </c>
      <c r="C4357" s="1" t="n">
        <f aca="false">1/B4357</f>
        <v>0.00335401643468053</v>
      </c>
      <c r="D4357" s="1" t="n">
        <v>0.2876</v>
      </c>
      <c r="E4357" s="1" t="n">
        <f aca="false">LN(D4357)</f>
        <v>-1.24618465313525</v>
      </c>
    </row>
    <row r="4358" customFormat="false" ht="15.75" hidden="false" customHeight="false" outlineLevel="0" collapsed="false">
      <c r="A4358" s="1" t="s">
        <v>925</v>
      </c>
      <c r="B4358" s="1" t="n">
        <v>288.15</v>
      </c>
      <c r="C4358" s="1" t="n">
        <f aca="false">1/B4358</f>
        <v>0.00347041471455839</v>
      </c>
      <c r="D4358" s="1" t="n">
        <v>1.28</v>
      </c>
      <c r="E4358" s="1" t="n">
        <f aca="false">LN(D4358)</f>
        <v>0.246860077931526</v>
      </c>
    </row>
    <row r="4359" customFormat="false" ht="15.75" hidden="false" customHeight="false" outlineLevel="0" collapsed="false">
      <c r="A4359" s="1" t="s">
        <v>925</v>
      </c>
      <c r="B4359" s="1" t="n">
        <v>298.15</v>
      </c>
      <c r="C4359" s="1" t="n">
        <f aca="false">1/B4359</f>
        <v>0.00335401643468053</v>
      </c>
      <c r="D4359" s="1" t="n">
        <v>1.056</v>
      </c>
      <c r="E4359" s="1" t="n">
        <f aca="false">LN(D4359)</f>
        <v>0.0544881852840698</v>
      </c>
    </row>
    <row r="4360" customFormat="false" ht="15.75" hidden="false" customHeight="false" outlineLevel="0" collapsed="false">
      <c r="A4360" s="1" t="s">
        <v>925</v>
      </c>
      <c r="B4360" s="1" t="n">
        <v>308.15</v>
      </c>
      <c r="C4360" s="1" t="n">
        <f aca="false">1/B4360</f>
        <v>0.00324517280545189</v>
      </c>
      <c r="D4360" s="1" t="n">
        <v>0.8818</v>
      </c>
      <c r="E4360" s="1" t="n">
        <f aca="false">LN(D4360)</f>
        <v>-0.1257900060583</v>
      </c>
    </row>
    <row r="4361" customFormat="false" ht="15.75" hidden="false" customHeight="false" outlineLevel="0" collapsed="false">
      <c r="A4361" s="1" t="s">
        <v>925</v>
      </c>
      <c r="B4361" s="1" t="n">
        <v>318.15</v>
      </c>
      <c r="C4361" s="1" t="n">
        <f aca="false">1/B4361</f>
        <v>0.00314317146000314</v>
      </c>
      <c r="D4361" s="1" t="n">
        <v>0.7461</v>
      </c>
      <c r="E4361" s="1" t="n">
        <f aca="false">LN(D4361)</f>
        <v>-0.292895639504668</v>
      </c>
    </row>
    <row r="4362" customFormat="false" ht="15.75" hidden="false" customHeight="false" outlineLevel="0" collapsed="false">
      <c r="A4362" s="1" t="s">
        <v>925</v>
      </c>
      <c r="B4362" s="1" t="n">
        <v>223.15</v>
      </c>
      <c r="C4362" s="1" t="n">
        <f aca="false">1/B4362</f>
        <v>0.00448129061169617</v>
      </c>
      <c r="D4362" s="1" t="n">
        <v>6.84</v>
      </c>
      <c r="E4362" s="1" t="n">
        <f aca="false">LN(D4362)</f>
        <v>1.92278773163446</v>
      </c>
    </row>
    <row r="4363" customFormat="false" ht="15.75" hidden="false" customHeight="false" outlineLevel="0" collapsed="false">
      <c r="A4363" s="1" t="s">
        <v>925</v>
      </c>
      <c r="B4363" s="1" t="n">
        <v>233.15</v>
      </c>
      <c r="C4363" s="1" t="n">
        <f aca="false">1/B4363</f>
        <v>0.00428908428050611</v>
      </c>
      <c r="D4363" s="1" t="n">
        <v>4.9</v>
      </c>
      <c r="E4363" s="1" t="n">
        <f aca="false">LN(D4363)</f>
        <v>1.58923520511658</v>
      </c>
    </row>
    <row r="4364" customFormat="false" ht="15.75" hidden="false" customHeight="false" outlineLevel="0" collapsed="false">
      <c r="A4364" s="1" t="s">
        <v>925</v>
      </c>
      <c r="B4364" s="1" t="n">
        <v>243.15</v>
      </c>
      <c r="C4364" s="1" t="n">
        <f aca="false">1/B4364</f>
        <v>0.00411268764137364</v>
      </c>
      <c r="D4364" s="1" t="n">
        <v>3.58</v>
      </c>
      <c r="E4364" s="1" t="n">
        <f aca="false">LN(D4364)</f>
        <v>1.27536280041261</v>
      </c>
    </row>
    <row r="4365" customFormat="false" ht="15.75" hidden="false" customHeight="false" outlineLevel="0" collapsed="false">
      <c r="A4365" s="1" t="s">
        <v>925</v>
      </c>
      <c r="B4365" s="1" t="n">
        <v>253.15</v>
      </c>
      <c r="C4365" s="1" t="n">
        <f aca="false">1/B4365</f>
        <v>0.00395022713806044</v>
      </c>
      <c r="D4365" s="1" t="n">
        <v>2.76</v>
      </c>
      <c r="E4365" s="1" t="n">
        <f aca="false">LN(D4365)</f>
        <v>1.01523067972906</v>
      </c>
    </row>
    <row r="4366" customFormat="false" ht="15.75" hidden="false" customHeight="false" outlineLevel="0" collapsed="false">
      <c r="A4366" s="1" t="s">
        <v>925</v>
      </c>
      <c r="B4366" s="1" t="n">
        <v>273.15</v>
      </c>
      <c r="C4366" s="1" t="n">
        <f aca="false">1/B4366</f>
        <v>0.00366099212886692</v>
      </c>
      <c r="D4366" s="1" t="n">
        <v>1.77</v>
      </c>
      <c r="E4366" s="1" t="n">
        <f aca="false">LN(D4366)</f>
        <v>0.570979546585738</v>
      </c>
    </row>
    <row r="4367" customFormat="false" ht="15.75" hidden="false" customHeight="false" outlineLevel="0" collapsed="false">
      <c r="A4367" s="1" t="s">
        <v>925</v>
      </c>
      <c r="B4367" s="1" t="n">
        <v>293.15</v>
      </c>
      <c r="C4367" s="1" t="n">
        <f aca="false">1/B4367</f>
        <v>0.00341122292341805</v>
      </c>
      <c r="D4367" s="1" t="n">
        <v>1.19</v>
      </c>
      <c r="E4367" s="1" t="n">
        <f aca="false">LN(D4367)</f>
        <v>0.173953307123438</v>
      </c>
    </row>
    <row r="4368" customFormat="false" ht="15.75" hidden="false" customHeight="false" outlineLevel="0" collapsed="false">
      <c r="A4368" s="1" t="s">
        <v>925</v>
      </c>
      <c r="B4368" s="1" t="n">
        <v>280.31</v>
      </c>
      <c r="C4368" s="1" t="n">
        <f aca="false">1/B4368</f>
        <v>0.00356747886268774</v>
      </c>
      <c r="D4368" s="1" t="n">
        <v>1.5328</v>
      </c>
      <c r="E4368" s="1" t="n">
        <f aca="false">LN(D4368)</f>
        <v>0.427096128234459</v>
      </c>
    </row>
    <row r="4369" customFormat="false" ht="15.75" hidden="false" customHeight="false" outlineLevel="0" collapsed="false">
      <c r="A4369" s="1" t="s">
        <v>925</v>
      </c>
      <c r="B4369" s="1" t="n">
        <v>286.38</v>
      </c>
      <c r="C4369" s="1" t="n">
        <f aca="false">1/B4369</f>
        <v>0.00349186395698024</v>
      </c>
      <c r="D4369" s="1" t="n">
        <v>1.3573</v>
      </c>
      <c r="E4369" s="1" t="n">
        <f aca="false">LN(D4369)</f>
        <v>0.305497432321782</v>
      </c>
    </row>
    <row r="4370" customFormat="false" ht="15.75" hidden="false" customHeight="false" outlineLevel="0" collapsed="false">
      <c r="A4370" s="1" t="s">
        <v>925</v>
      </c>
      <c r="B4370" s="1" t="n">
        <v>292.37</v>
      </c>
      <c r="C4370" s="1" t="n">
        <f aca="false">1/B4370</f>
        <v>0.00342032356260902</v>
      </c>
      <c r="D4370" s="1" t="n">
        <v>1.2094</v>
      </c>
      <c r="E4370" s="1" t="n">
        <f aca="false">LN(D4370)</f>
        <v>0.190124368856976</v>
      </c>
    </row>
    <row r="4371" customFormat="false" ht="15.75" hidden="false" customHeight="false" outlineLevel="0" collapsed="false">
      <c r="A4371" s="1" t="s">
        <v>925</v>
      </c>
      <c r="B4371" s="1" t="n">
        <v>298.39</v>
      </c>
      <c r="C4371" s="1" t="n">
        <f aca="false">1/B4371</f>
        <v>0.00335131874392573</v>
      </c>
      <c r="D4371" s="1" t="n">
        <v>1.0792</v>
      </c>
      <c r="E4371" s="1" t="n">
        <f aca="false">LN(D4371)</f>
        <v>0.076220025911409</v>
      </c>
    </row>
    <row r="4372" customFormat="false" ht="15.75" hidden="false" customHeight="false" outlineLevel="0" collapsed="false">
      <c r="A4372" s="1" t="s">
        <v>925</v>
      </c>
      <c r="B4372" s="1" t="n">
        <v>305.04</v>
      </c>
      <c r="C4372" s="1" t="n">
        <f aca="false">1/B4372</f>
        <v>0.0032782585890375</v>
      </c>
      <c r="D4372" s="1" t="n">
        <v>0.956</v>
      </c>
      <c r="E4372" s="1" t="n">
        <f aca="false">LN(D4372)</f>
        <v>-0.0449973659307358</v>
      </c>
    </row>
    <row r="4373" customFormat="false" ht="15.75" hidden="false" customHeight="false" outlineLevel="0" collapsed="false">
      <c r="A4373" s="1" t="s">
        <v>925</v>
      </c>
      <c r="B4373" s="1" t="n">
        <v>310.66</v>
      </c>
      <c r="C4373" s="1" t="n">
        <f aca="false">1/B4373</f>
        <v>0.00321895319642052</v>
      </c>
      <c r="D4373" s="1" t="n">
        <v>0.8644</v>
      </c>
      <c r="E4373" s="1" t="n">
        <f aca="false">LN(D4373)</f>
        <v>-0.145719654349406</v>
      </c>
    </row>
    <row r="4374" customFormat="false" ht="15.75" hidden="false" customHeight="false" outlineLevel="0" collapsed="false">
      <c r="A4374" s="1" t="s">
        <v>925</v>
      </c>
      <c r="B4374" s="1" t="n">
        <v>328.72</v>
      </c>
      <c r="C4374" s="1" t="n">
        <f aca="false">1/B4374</f>
        <v>0.0030421027013872</v>
      </c>
      <c r="D4374" s="1" t="n">
        <v>0.6354</v>
      </c>
      <c r="E4374" s="1" t="n">
        <f aca="false">LN(D4374)</f>
        <v>-0.453500557146721</v>
      </c>
    </row>
    <row r="4375" customFormat="false" ht="15.75" hidden="false" customHeight="false" outlineLevel="0" collapsed="false">
      <c r="A4375" s="1" t="s">
        <v>925</v>
      </c>
      <c r="B4375" s="1" t="n">
        <v>334.22</v>
      </c>
      <c r="C4375" s="1" t="n">
        <f aca="false">1/B4375</f>
        <v>0.00299204117048651</v>
      </c>
      <c r="D4375" s="1" t="n">
        <v>0.5815</v>
      </c>
      <c r="E4375" s="1" t="n">
        <f aca="false">LN(D4375)</f>
        <v>-0.542144307023418</v>
      </c>
    </row>
    <row r="4376" customFormat="false" ht="15.75" hidden="false" customHeight="false" outlineLevel="0" collapsed="false">
      <c r="A4376" s="1" t="s">
        <v>925</v>
      </c>
      <c r="B4376" s="1" t="n">
        <v>340.7</v>
      </c>
      <c r="C4376" s="1" t="n">
        <f aca="false">1/B4376</f>
        <v>0.00293513354857646</v>
      </c>
      <c r="D4376" s="1" t="n">
        <v>0.5233</v>
      </c>
      <c r="E4376" s="1" t="n">
        <f aca="false">LN(D4376)</f>
        <v>-0.647600365603975</v>
      </c>
    </row>
    <row r="4377" customFormat="false" ht="15.75" hidden="false" customHeight="false" outlineLevel="0" collapsed="false">
      <c r="A4377" s="1" t="s">
        <v>925</v>
      </c>
      <c r="B4377" s="1" t="n">
        <v>346.72</v>
      </c>
      <c r="C4377" s="1" t="n">
        <f aca="false">1/B4377</f>
        <v>0.00288417166589755</v>
      </c>
      <c r="D4377" s="1" t="n">
        <v>0.4764</v>
      </c>
      <c r="E4377" s="1" t="n">
        <f aca="false">LN(D4377)</f>
        <v>-0.741497441500992</v>
      </c>
    </row>
    <row r="4378" customFormat="false" ht="15.75" hidden="false" customHeight="false" outlineLevel="0" collapsed="false">
      <c r="A4378" s="1" t="s">
        <v>925</v>
      </c>
      <c r="B4378" s="1" t="n">
        <v>278.15</v>
      </c>
      <c r="C4378" s="1" t="n">
        <f aca="false">1/B4378</f>
        <v>0.00359518245550962</v>
      </c>
      <c r="D4378" s="1" t="n">
        <v>1.611</v>
      </c>
      <c r="E4378" s="1" t="n">
        <f aca="false">LN(D4378)</f>
        <v>0.476855104194837</v>
      </c>
    </row>
    <row r="4379" customFormat="false" ht="15.75" hidden="false" customHeight="false" outlineLevel="0" collapsed="false">
      <c r="A4379" s="1" t="s">
        <v>925</v>
      </c>
      <c r="B4379" s="1" t="n">
        <v>288.15</v>
      </c>
      <c r="C4379" s="1" t="n">
        <f aca="false">1/B4379</f>
        <v>0.00347041471455839</v>
      </c>
      <c r="D4379" s="1" t="n">
        <v>1.321</v>
      </c>
      <c r="E4379" s="1" t="n">
        <f aca="false">LN(D4379)</f>
        <v>0.278389025540188</v>
      </c>
    </row>
    <row r="4380" customFormat="false" ht="15.75" hidden="false" customHeight="false" outlineLevel="0" collapsed="false">
      <c r="A4380" s="1" t="s">
        <v>925</v>
      </c>
      <c r="B4380" s="1" t="n">
        <v>293.15</v>
      </c>
      <c r="C4380" s="1" t="n">
        <f aca="false">1/B4380</f>
        <v>0.00341122292341805</v>
      </c>
      <c r="D4380" s="1" t="n">
        <v>1.2</v>
      </c>
      <c r="E4380" s="1" t="n">
        <f aca="false">LN(D4380)</f>
        <v>0.182321556793955</v>
      </c>
    </row>
    <row r="4381" customFormat="false" ht="15.75" hidden="false" customHeight="false" outlineLevel="0" collapsed="false">
      <c r="A4381" s="1" t="s">
        <v>925</v>
      </c>
      <c r="B4381" s="1" t="n">
        <v>289.15</v>
      </c>
      <c r="C4381" s="1" t="n">
        <f aca="false">1/B4381</f>
        <v>0.00345841258862182</v>
      </c>
      <c r="D4381" s="1" t="n">
        <v>1.092</v>
      </c>
      <c r="E4381" s="1" t="n">
        <f aca="false">LN(D4381)</f>
        <v>0.0880108773227134</v>
      </c>
    </row>
    <row r="4382" customFormat="false" ht="15.75" hidden="false" customHeight="false" outlineLevel="0" collapsed="false">
      <c r="A4382" s="1" t="s">
        <v>925</v>
      </c>
      <c r="B4382" s="1" t="n">
        <v>303.15</v>
      </c>
      <c r="C4382" s="1" t="n">
        <f aca="false">1/B4382</f>
        <v>0.0032986970146792</v>
      </c>
      <c r="D4382" s="1" t="n">
        <v>0.996</v>
      </c>
      <c r="E4382" s="1" t="n">
        <f aca="false">LN(D4382)</f>
        <v>-0.00400802139753882</v>
      </c>
    </row>
    <row r="4383" customFormat="false" ht="15.75" hidden="false" customHeight="false" outlineLevel="0" collapsed="false">
      <c r="A4383" s="1" t="s">
        <v>925</v>
      </c>
      <c r="B4383" s="1" t="n">
        <v>308.15</v>
      </c>
      <c r="C4383" s="1" t="n">
        <f aca="false">1/B4383</f>
        <v>0.00324517280545189</v>
      </c>
      <c r="D4383" s="1" t="n">
        <v>0.91</v>
      </c>
      <c r="E4383" s="1" t="n">
        <f aca="false">LN(D4383)</f>
        <v>-0.0943106794712413</v>
      </c>
    </row>
    <row r="4384" customFormat="false" ht="15.75" hidden="false" customHeight="false" outlineLevel="0" collapsed="false">
      <c r="A4384" s="1" t="s">
        <v>925</v>
      </c>
      <c r="B4384" s="1" t="n">
        <v>313.15</v>
      </c>
      <c r="C4384" s="1" t="n">
        <f aca="false">1/B4384</f>
        <v>0.00319335781574325</v>
      </c>
      <c r="D4384" s="1" t="n">
        <v>0.833</v>
      </c>
      <c r="E4384" s="1" t="n">
        <f aca="false">LN(D4384)</f>
        <v>-0.182721636815294</v>
      </c>
    </row>
    <row r="4385" customFormat="false" ht="15.75" hidden="false" customHeight="false" outlineLevel="0" collapsed="false">
      <c r="A4385" s="1" t="s">
        <v>925</v>
      </c>
      <c r="B4385" s="1" t="n">
        <v>333.15</v>
      </c>
      <c r="C4385" s="1" t="n">
        <f aca="false">1/B4385</f>
        <v>0.0030016509079994</v>
      </c>
      <c r="D4385" s="1" t="n">
        <v>0.595</v>
      </c>
      <c r="E4385" s="1" t="n">
        <f aca="false">LN(D4385)</f>
        <v>-0.519193873436507</v>
      </c>
    </row>
    <row r="4386" customFormat="false" ht="15.75" hidden="false" customHeight="false" outlineLevel="0" collapsed="false">
      <c r="A4386" s="1" t="s">
        <v>925</v>
      </c>
      <c r="B4386" s="1" t="n">
        <v>338.15</v>
      </c>
      <c r="C4386" s="1" t="n">
        <f aca="false">1/B4386</f>
        <v>0.002957267484844</v>
      </c>
      <c r="D4386" s="1" t="n">
        <v>0.549</v>
      </c>
      <c r="E4386" s="1" t="n">
        <f aca="false">LN(D4386)</f>
        <v>-0.599656837472606</v>
      </c>
    </row>
    <row r="4387" customFormat="false" ht="15.75" hidden="false" customHeight="false" outlineLevel="0" collapsed="false">
      <c r="A4387" s="1" t="s">
        <v>925</v>
      </c>
      <c r="B4387" s="1" t="n">
        <v>343.15</v>
      </c>
      <c r="C4387" s="1" t="n">
        <f aca="false">1/B4387</f>
        <v>0.00291417747340813</v>
      </c>
      <c r="D4387" s="1" t="n">
        <v>0.508</v>
      </c>
      <c r="E4387" s="1" t="n">
        <f aca="false">LN(D4387)</f>
        <v>-0.677273831403655</v>
      </c>
    </row>
    <row r="4388" customFormat="false" ht="15.75" hidden="false" customHeight="false" outlineLevel="0" collapsed="false">
      <c r="A4388" s="1" t="s">
        <v>925</v>
      </c>
      <c r="B4388" s="1" t="n">
        <v>348.15</v>
      </c>
      <c r="C4388" s="1" t="n">
        <f aca="false">1/B4388</f>
        <v>0.00287232514720666</v>
      </c>
      <c r="D4388" s="1" t="n">
        <v>0.47</v>
      </c>
      <c r="E4388" s="1" t="n">
        <f aca="false">LN(D4388)</f>
        <v>-0.755022584278033</v>
      </c>
    </row>
    <row r="4389" customFormat="false" ht="15.75" hidden="false" customHeight="false" outlineLevel="0" collapsed="false">
      <c r="A4389" s="1" t="s">
        <v>925</v>
      </c>
      <c r="B4389" s="1" t="n">
        <v>313.15</v>
      </c>
      <c r="C4389" s="1" t="n">
        <f aca="false">1/B4389</f>
        <v>0.00319335781574325</v>
      </c>
      <c r="D4389" s="1" t="n">
        <v>0.8291</v>
      </c>
      <c r="E4389" s="1" t="n">
        <f aca="false">LN(D4389)</f>
        <v>-0.187414503859964</v>
      </c>
    </row>
    <row r="4390" customFormat="false" ht="15.75" hidden="false" customHeight="false" outlineLevel="0" collapsed="false">
      <c r="A4390" s="1" t="s">
        <v>925</v>
      </c>
      <c r="B4390" s="1" t="n">
        <v>298.15212</v>
      </c>
      <c r="C4390" s="1" t="n">
        <f aca="false">1/B4390</f>
        <v>0.00335399258606647</v>
      </c>
      <c r="D4390" s="1" t="n">
        <v>1.105</v>
      </c>
      <c r="E4390" s="1" t="n">
        <f aca="false">LN(D4390)</f>
        <v>0.0998453349697161</v>
      </c>
    </row>
    <row r="4391" customFormat="false" ht="15.75" hidden="false" customHeight="false" outlineLevel="0" collapsed="false">
      <c r="A4391" s="1" t="s">
        <v>925</v>
      </c>
      <c r="B4391" s="1" t="n">
        <v>298.15189</v>
      </c>
      <c r="C4391" s="1" t="n">
        <f aca="false">1/B4391</f>
        <v>0.00335399517339971</v>
      </c>
      <c r="D4391" s="1" t="n">
        <v>1.0694</v>
      </c>
      <c r="E4391" s="1" t="n">
        <f aca="false">LN(D4391)</f>
        <v>0.0670977435324941</v>
      </c>
    </row>
    <row r="4392" customFormat="false" ht="15.75" hidden="false" customHeight="false" outlineLevel="0" collapsed="false">
      <c r="A4392" s="1" t="s">
        <v>925</v>
      </c>
      <c r="B4392" s="1" t="n">
        <v>328.15</v>
      </c>
      <c r="C4392" s="1" t="n">
        <f aca="false">1/B4392</f>
        <v>0.00304738686576261</v>
      </c>
      <c r="D4392" s="1" t="n">
        <v>0.6302</v>
      </c>
      <c r="E4392" s="1" t="n">
        <f aca="false">LN(D4392)</f>
        <v>-0.461718049658963</v>
      </c>
    </row>
    <row r="4393" customFormat="false" ht="15.75" hidden="false" customHeight="false" outlineLevel="0" collapsed="false">
      <c r="A4393" s="1" t="s">
        <v>925</v>
      </c>
      <c r="B4393" s="1" t="n">
        <v>263.15</v>
      </c>
      <c r="C4393" s="1" t="n">
        <f aca="false">1/B4393</f>
        <v>0.0038001140034201</v>
      </c>
      <c r="D4393" s="1" t="n">
        <v>2.18</v>
      </c>
      <c r="E4393" s="1" t="n">
        <f aca="false">LN(D4393)</f>
        <v>0.779324876800998</v>
      </c>
    </row>
    <row r="4394" customFormat="false" ht="15.75" hidden="false" customHeight="false" outlineLevel="0" collapsed="false">
      <c r="A4394" s="1" t="s">
        <v>925</v>
      </c>
      <c r="B4394" s="1" t="n">
        <v>283.15</v>
      </c>
      <c r="C4394" s="1" t="n">
        <f aca="false">1/B4394</f>
        <v>0.00353169698039908</v>
      </c>
      <c r="D4394" s="1" t="n">
        <v>1.45</v>
      </c>
      <c r="E4394" s="1" t="n">
        <f aca="false">LN(D4394)</f>
        <v>0.371563556432483</v>
      </c>
    </row>
    <row r="4395" customFormat="false" ht="15.75" hidden="false" customHeight="false" outlineLevel="0" collapsed="false">
      <c r="A4395" s="1" t="s">
        <v>925</v>
      </c>
      <c r="B4395" s="1" t="n">
        <v>315.99</v>
      </c>
      <c r="C4395" s="1" t="n">
        <f aca="false">1/B4395</f>
        <v>0.0031646571094022</v>
      </c>
      <c r="D4395" s="1" t="n">
        <v>0.7875</v>
      </c>
      <c r="E4395" s="1" t="n">
        <f aca="false">LN(D4395)</f>
        <v>-0.238891908282349</v>
      </c>
    </row>
    <row r="4396" customFormat="false" ht="15.75" hidden="false" customHeight="false" outlineLevel="0" collapsed="false">
      <c r="A4396" s="1" t="s">
        <v>925</v>
      </c>
      <c r="B4396" s="1" t="n">
        <v>283.15</v>
      </c>
      <c r="C4396" s="1" t="n">
        <f aca="false">1/B4396</f>
        <v>0.00353169698039908</v>
      </c>
      <c r="D4396" s="1" t="n">
        <v>1.456</v>
      </c>
      <c r="E4396" s="1" t="n">
        <f aca="false">LN(D4396)</f>
        <v>0.375692949774494</v>
      </c>
    </row>
    <row r="4397" customFormat="false" ht="15.75" hidden="false" customHeight="false" outlineLevel="0" collapsed="false">
      <c r="A4397" s="1" t="s">
        <v>925</v>
      </c>
      <c r="B4397" s="1" t="n">
        <v>323.15</v>
      </c>
      <c r="C4397" s="1" t="n">
        <f aca="false">1/B4397</f>
        <v>0.00309453814018258</v>
      </c>
      <c r="D4397" s="1" t="n">
        <v>0.701</v>
      </c>
      <c r="E4397" s="1" t="n">
        <f aca="false">LN(D4397)</f>
        <v>-0.355247391947547</v>
      </c>
    </row>
    <row r="4398" customFormat="false" ht="15.75" hidden="false" customHeight="false" outlineLevel="0" collapsed="false">
      <c r="A4398" s="1" t="s">
        <v>927</v>
      </c>
      <c r="B4398" s="1" t="n">
        <v>280.324</v>
      </c>
      <c r="C4398" s="1" t="n">
        <f aca="false">1/B4398</f>
        <v>0.00356730069491017</v>
      </c>
      <c r="D4398" s="1" t="n">
        <v>0.266</v>
      </c>
      <c r="E4398" s="1" t="n">
        <f aca="false">LN(D4398)</f>
        <v>-1.32425897020044</v>
      </c>
    </row>
    <row r="4399" customFormat="false" ht="15.75" hidden="false" customHeight="false" outlineLevel="0" collapsed="false">
      <c r="A4399" s="1" t="s">
        <v>927</v>
      </c>
      <c r="B4399" s="1" t="n">
        <v>282.69</v>
      </c>
      <c r="C4399" s="1" t="n">
        <f aca="false">1/B4399</f>
        <v>0.00353744384307899</v>
      </c>
      <c r="D4399" s="1" t="n">
        <v>0.2595</v>
      </c>
      <c r="E4399" s="1" t="n">
        <f aca="false">LN(D4399)</f>
        <v>-1.34899857637619</v>
      </c>
    </row>
    <row r="4400" customFormat="false" ht="15.75" hidden="false" customHeight="false" outlineLevel="0" collapsed="false">
      <c r="A4400" s="1" t="s">
        <v>927</v>
      </c>
      <c r="B4400" s="1" t="n">
        <v>284.86</v>
      </c>
      <c r="C4400" s="1" t="n">
        <f aca="false">1/B4400</f>
        <v>0.00351049638418872</v>
      </c>
      <c r="D4400" s="1" t="n">
        <v>0.254</v>
      </c>
      <c r="E4400" s="1" t="n">
        <f aca="false">LN(D4400)</f>
        <v>-1.3704210119636</v>
      </c>
    </row>
    <row r="4401" customFormat="false" ht="15.75" hidden="false" customHeight="false" outlineLevel="0" collapsed="false">
      <c r="A4401" s="1" t="s">
        <v>927</v>
      </c>
      <c r="B4401" s="1" t="n">
        <v>286.97</v>
      </c>
      <c r="C4401" s="1" t="n">
        <f aca="false">1/B4401</f>
        <v>0.00348468481025891</v>
      </c>
      <c r="D4401" s="1" t="n">
        <v>0.2489</v>
      </c>
      <c r="E4401" s="1" t="n">
        <f aca="false">LN(D4401)</f>
        <v>-1.39070406960859</v>
      </c>
    </row>
    <row r="4402" customFormat="false" ht="15.75" hidden="false" customHeight="false" outlineLevel="0" collapsed="false">
      <c r="A4402" s="1" t="s">
        <v>927</v>
      </c>
      <c r="B4402" s="1" t="n">
        <v>289.03</v>
      </c>
      <c r="C4402" s="1" t="n">
        <f aca="false">1/B4402</f>
        <v>0.00345984845863751</v>
      </c>
      <c r="D4402" s="1" t="n">
        <v>0.2438</v>
      </c>
      <c r="E4402" s="1" t="n">
        <f aca="false">LN(D4402)</f>
        <v>-1.41140706193497</v>
      </c>
    </row>
    <row r="4403" customFormat="false" ht="15.75" hidden="false" customHeight="false" outlineLevel="0" collapsed="false">
      <c r="A4403" s="1" t="s">
        <v>927</v>
      </c>
      <c r="B4403" s="1" t="n">
        <v>291.2</v>
      </c>
      <c r="C4403" s="1" t="n">
        <f aca="false">1/B4403</f>
        <v>0.00343406593406593</v>
      </c>
      <c r="D4403" s="1" t="n">
        <v>0.2389</v>
      </c>
      <c r="E4403" s="1" t="n">
        <f aca="false">LN(D4403)</f>
        <v>-1.43171022465037</v>
      </c>
    </row>
    <row r="4404" customFormat="false" ht="15.75" hidden="false" customHeight="false" outlineLevel="0" collapsed="false">
      <c r="A4404" s="1" t="s">
        <v>927</v>
      </c>
      <c r="B4404" s="1" t="n">
        <v>293.7</v>
      </c>
      <c r="C4404" s="1" t="n">
        <f aca="false">1/B4404</f>
        <v>0.00340483486550902</v>
      </c>
      <c r="D4404" s="1" t="n">
        <v>0.2334</v>
      </c>
      <c r="E4404" s="1" t="n">
        <f aca="false">LN(D4404)</f>
        <v>-1.45500155912968</v>
      </c>
    </row>
    <row r="4405" customFormat="false" ht="15.75" hidden="false" customHeight="false" outlineLevel="0" collapsed="false">
      <c r="A4405" s="1" t="s">
        <v>927</v>
      </c>
      <c r="B4405" s="1" t="n">
        <v>290.24</v>
      </c>
      <c r="C4405" s="1" t="n">
        <f aca="false">1/B4405</f>
        <v>0.00344542447629548</v>
      </c>
      <c r="D4405" s="1" t="n">
        <v>0.2276</v>
      </c>
      <c r="E4405" s="1" t="n">
        <f aca="false">LN(D4405)</f>
        <v>-1.48016557672996</v>
      </c>
    </row>
    <row r="4406" customFormat="false" ht="15.75" hidden="false" customHeight="false" outlineLevel="0" collapsed="false">
      <c r="A4406" s="1" t="s">
        <v>927</v>
      </c>
      <c r="B4406" s="1" t="n">
        <v>298.02</v>
      </c>
      <c r="C4406" s="1" t="n">
        <f aca="false">1/B4406</f>
        <v>0.00335547949802027</v>
      </c>
      <c r="D4406" s="1" t="n">
        <v>0.2243</v>
      </c>
      <c r="E4406" s="1" t="n">
        <f aca="false">LN(D4406)</f>
        <v>-1.49477083745597</v>
      </c>
    </row>
    <row r="4407" customFormat="false" ht="15.75" hidden="false" customHeight="false" outlineLevel="0" collapsed="false">
      <c r="A4407" s="1" t="s">
        <v>927</v>
      </c>
      <c r="B4407" s="1" t="n">
        <v>300.19</v>
      </c>
      <c r="C4407" s="1" t="n">
        <f aca="false">1/B4407</f>
        <v>0.003331223558413</v>
      </c>
      <c r="D4407" s="1" t="n">
        <v>0.2196</v>
      </c>
      <c r="E4407" s="1" t="n">
        <f aca="false">LN(D4407)</f>
        <v>-1.51594756934676</v>
      </c>
    </row>
    <row r="4408" customFormat="false" ht="15.75" hidden="false" customHeight="false" outlineLevel="0" collapsed="false">
      <c r="A4408" s="1" t="s">
        <v>927</v>
      </c>
      <c r="B4408" s="1" t="n">
        <v>302.81</v>
      </c>
      <c r="C4408" s="1" t="n">
        <f aca="false">1/B4408</f>
        <v>0.00330240084541462</v>
      </c>
      <c r="D4408" s="1" t="n">
        <v>0.2152</v>
      </c>
      <c r="E4408" s="1" t="n">
        <f aca="false">LN(D4408)</f>
        <v>-1.53618745069451</v>
      </c>
    </row>
    <row r="4409" customFormat="false" ht="15.75" hidden="false" customHeight="false" outlineLevel="0" collapsed="false">
      <c r="A4409" s="1" t="s">
        <v>927</v>
      </c>
      <c r="B4409" s="1" t="n">
        <v>304.29</v>
      </c>
      <c r="C4409" s="1" t="n">
        <f aca="false">1/B4409</f>
        <v>0.0032863386900654</v>
      </c>
      <c r="D4409" s="1" t="n">
        <v>0.2118</v>
      </c>
      <c r="E4409" s="1" t="n">
        <f aca="false">LN(D4409)</f>
        <v>-1.55211284581483</v>
      </c>
    </row>
    <row r="4410" customFormat="false" ht="15.75" hidden="false" customHeight="false" outlineLevel="0" collapsed="false">
      <c r="A4410" s="1" t="s">
        <v>927</v>
      </c>
      <c r="B4410" s="1" t="n">
        <v>305.19</v>
      </c>
      <c r="C4410" s="1" t="n">
        <f aca="false">1/B4410</f>
        <v>0.00327664733444739</v>
      </c>
      <c r="D4410" s="1" t="n">
        <v>0.2096</v>
      </c>
      <c r="E4410" s="1" t="n">
        <f aca="false">LN(D4410)</f>
        <v>-1.56255432653525</v>
      </c>
    </row>
    <row r="4411" customFormat="false" ht="15.75" hidden="false" customHeight="false" outlineLevel="0" collapsed="false">
      <c r="A4411" s="1" t="s">
        <v>927</v>
      </c>
      <c r="B4411" s="1" t="n">
        <v>273.154</v>
      </c>
      <c r="C4411" s="1" t="n">
        <f aca="false">1/B4411</f>
        <v>0.00366093851819853</v>
      </c>
      <c r="D4411" s="1" t="n">
        <v>0.279</v>
      </c>
      <c r="E4411" s="1" t="n">
        <f aca="false">LN(D4411)</f>
        <v>-1.27654349716077</v>
      </c>
    </row>
    <row r="4412" customFormat="false" ht="15.75" hidden="false" customHeight="false" outlineLevel="0" collapsed="false">
      <c r="A4412" s="1" t="s">
        <v>927</v>
      </c>
      <c r="B4412" s="1" t="n">
        <v>288.15</v>
      </c>
      <c r="C4412" s="1" t="n">
        <f aca="false">1/B4412</f>
        <v>0.00347041471455839</v>
      </c>
      <c r="D4412" s="1" t="n">
        <v>0.247</v>
      </c>
      <c r="E4412" s="1" t="n">
        <f aca="false">LN(D4412)</f>
        <v>-1.39836694235416</v>
      </c>
    </row>
    <row r="4413" customFormat="false" ht="15.75" hidden="false" customHeight="false" outlineLevel="0" collapsed="false">
      <c r="A4413" s="1" t="s">
        <v>929</v>
      </c>
      <c r="B4413" s="1" t="n">
        <v>291.15</v>
      </c>
      <c r="C4413" s="1" t="n">
        <f aca="false">1/B4413</f>
        <v>0.0034346556757685</v>
      </c>
      <c r="D4413" s="1" t="n">
        <v>1.356</v>
      </c>
      <c r="E4413" s="1" t="n">
        <f aca="false">LN(D4413)</f>
        <v>0.304539189518204</v>
      </c>
    </row>
    <row r="4414" customFormat="false" ht="15.75" hidden="false" customHeight="false" outlineLevel="0" collapsed="false">
      <c r="A4414" s="1" t="s">
        <v>929</v>
      </c>
      <c r="B4414" s="1" t="n">
        <v>330.95</v>
      </c>
      <c r="C4414" s="1" t="n">
        <f aca="false">1/B4414</f>
        <v>0.00302160447197462</v>
      </c>
      <c r="D4414" s="1" t="n">
        <v>0.7246</v>
      </c>
      <c r="E4414" s="1" t="n">
        <f aca="false">LN(D4414)</f>
        <v>-0.32213550052116</v>
      </c>
    </row>
    <row r="4415" customFormat="false" ht="15.75" hidden="false" customHeight="false" outlineLevel="0" collapsed="false">
      <c r="A4415" s="1" t="s">
        <v>929</v>
      </c>
      <c r="B4415" s="1" t="n">
        <v>370.25</v>
      </c>
      <c r="C4415" s="1" t="n">
        <f aca="false">1/B4415</f>
        <v>0.00270087778528022</v>
      </c>
      <c r="D4415" s="1" t="n">
        <v>0.4673</v>
      </c>
      <c r="E4415" s="1" t="n">
        <f aca="false">LN(D4415)</f>
        <v>-0.760783829275757</v>
      </c>
    </row>
    <row r="4416" customFormat="false" ht="15.75" hidden="false" customHeight="false" outlineLevel="0" collapsed="false">
      <c r="A4416" s="1" t="s">
        <v>929</v>
      </c>
      <c r="B4416" s="1" t="n">
        <v>390.15</v>
      </c>
      <c r="C4416" s="1" t="n">
        <f aca="false">1/B4416</f>
        <v>0.00256311674996796</v>
      </c>
      <c r="D4416" s="1" t="n">
        <v>0.3899</v>
      </c>
      <c r="E4416" s="1" t="n">
        <f aca="false">LN(D4416)</f>
        <v>-0.941864982993585</v>
      </c>
    </row>
    <row r="4417" customFormat="false" ht="15.75" hidden="false" customHeight="false" outlineLevel="0" collapsed="false">
      <c r="A4417" s="1" t="s">
        <v>929</v>
      </c>
      <c r="B4417" s="1" t="n">
        <v>422.45</v>
      </c>
      <c r="C4417" s="1" t="n">
        <f aca="false">1/B4417</f>
        <v>0.00236714404071488</v>
      </c>
      <c r="D4417" s="1" t="n">
        <v>0.297</v>
      </c>
      <c r="E4417" s="1" t="n">
        <f aca="false">LN(D4417)</f>
        <v>-1.21402314017944</v>
      </c>
    </row>
    <row r="4418" customFormat="false" ht="15.75" hidden="false" customHeight="false" outlineLevel="0" collapsed="false">
      <c r="A4418" s="1" t="s">
        <v>929</v>
      </c>
      <c r="B4418" s="1" t="n">
        <v>438.15</v>
      </c>
      <c r="C4418" s="1" t="n">
        <f aca="false">1/B4418</f>
        <v>0.00228232340522652</v>
      </c>
      <c r="D4418" s="1" t="n">
        <v>0.2619</v>
      </c>
      <c r="E4418" s="1" t="n">
        <f aca="false">LN(D4418)</f>
        <v>-1.33979252746847</v>
      </c>
    </row>
    <row r="4419" customFormat="false" ht="15.75" hidden="false" customHeight="false" outlineLevel="0" collapsed="false">
      <c r="A4419" s="1" t="s">
        <v>929</v>
      </c>
      <c r="B4419" s="1" t="n">
        <v>350.75</v>
      </c>
      <c r="C4419" s="1" t="n">
        <f aca="false">1/B4419</f>
        <v>0.00285103349964362</v>
      </c>
      <c r="D4419" s="1" t="n">
        <v>0.5738</v>
      </c>
      <c r="E4419" s="1" t="n">
        <f aca="false">LN(D4419)</f>
        <v>-0.555474375434873</v>
      </c>
    </row>
    <row r="4420" customFormat="false" ht="15.75" hidden="false" customHeight="false" outlineLevel="0" collapsed="false">
      <c r="A4420" s="1" t="s">
        <v>929</v>
      </c>
      <c r="B4420" s="1" t="n">
        <v>410.65</v>
      </c>
      <c r="C4420" s="1" t="n">
        <f aca="false">1/B4420</f>
        <v>0.00243516376476318</v>
      </c>
      <c r="D4420" s="1" t="n">
        <v>0.3261</v>
      </c>
      <c r="E4420" s="1" t="n">
        <f aca="false">LN(D4420)</f>
        <v>-1.12055119618686</v>
      </c>
    </row>
    <row r="4421" customFormat="false" ht="15.75" hidden="false" customHeight="false" outlineLevel="0" collapsed="false">
      <c r="A4421" s="1" t="s">
        <v>929</v>
      </c>
      <c r="B4421" s="1" t="n">
        <v>445.15</v>
      </c>
      <c r="C4421" s="1" t="n">
        <f aca="false">1/B4421</f>
        <v>0.00224643378636415</v>
      </c>
      <c r="D4421" s="1" t="n">
        <v>0.248</v>
      </c>
      <c r="E4421" s="1" t="n">
        <f aca="false">LN(D4421)</f>
        <v>-1.39432653281715</v>
      </c>
    </row>
    <row r="4422" customFormat="false" ht="15.75" hidden="false" customHeight="false" outlineLevel="0" collapsed="false">
      <c r="A4422" s="1" t="s">
        <v>931</v>
      </c>
      <c r="B4422" s="1" t="n">
        <v>273.4</v>
      </c>
      <c r="C4422" s="1" t="n">
        <f aca="false">1/B4422</f>
        <v>0.00365764447695684</v>
      </c>
      <c r="D4422" s="1" t="n">
        <v>0.5763</v>
      </c>
      <c r="E4422" s="1" t="n">
        <f aca="false">LN(D4422)</f>
        <v>-0.551126920539516</v>
      </c>
    </row>
    <row r="4423" customFormat="false" ht="15.75" hidden="false" customHeight="false" outlineLevel="0" collapsed="false">
      <c r="A4423" s="1" t="s">
        <v>931</v>
      </c>
      <c r="B4423" s="1" t="n">
        <v>282.04</v>
      </c>
      <c r="C4423" s="1" t="n">
        <f aca="false">1/B4423</f>
        <v>0.00354559636930932</v>
      </c>
      <c r="D4423" s="1" t="n">
        <v>0.5142</v>
      </c>
      <c r="E4423" s="1" t="n">
        <f aca="false">LN(D4423)</f>
        <v>-0.665142984150348</v>
      </c>
    </row>
    <row r="4424" customFormat="false" ht="15.75" hidden="false" customHeight="false" outlineLevel="0" collapsed="false">
      <c r="A4424" s="1" t="s">
        <v>931</v>
      </c>
      <c r="B4424" s="1" t="n">
        <v>287.62</v>
      </c>
      <c r="C4424" s="1" t="n">
        <f aca="false">1/B4424</f>
        <v>0.00347680967943815</v>
      </c>
      <c r="D4424" s="1" t="n">
        <v>0.4795</v>
      </c>
      <c r="E4424" s="1" t="n">
        <f aca="false">LN(D4424)</f>
        <v>-0.735011384658644</v>
      </c>
    </row>
    <row r="4425" customFormat="false" ht="15.75" hidden="false" customHeight="false" outlineLevel="0" collapsed="false">
      <c r="A4425" s="1" t="s">
        <v>931</v>
      </c>
      <c r="B4425" s="1" t="n">
        <v>293.53</v>
      </c>
      <c r="C4425" s="1" t="n">
        <f aca="false">1/B4425</f>
        <v>0.00340680679998637</v>
      </c>
      <c r="D4425" s="1" t="n">
        <v>0.4418</v>
      </c>
      <c r="E4425" s="1" t="n">
        <f aca="false">LN(D4425)</f>
        <v>-0.81689798799612</v>
      </c>
    </row>
    <row r="4426" customFormat="false" ht="15.75" hidden="false" customHeight="false" outlineLevel="0" collapsed="false">
      <c r="A4426" s="1" t="s">
        <v>931</v>
      </c>
      <c r="B4426" s="1" t="n">
        <v>301.17</v>
      </c>
      <c r="C4426" s="1" t="n">
        <f aca="false">1/B4426</f>
        <v>0.00332038383637148</v>
      </c>
      <c r="D4426" s="1" t="n">
        <v>0.4096</v>
      </c>
      <c r="E4426" s="1" t="n">
        <f aca="false">LN(D4426)</f>
        <v>-0.892574205256839</v>
      </c>
    </row>
    <row r="4427" customFormat="false" ht="15.75" hidden="false" customHeight="false" outlineLevel="0" collapsed="false">
      <c r="A4427" s="1" t="s">
        <v>931</v>
      </c>
      <c r="B4427" s="1" t="n">
        <v>309.69</v>
      </c>
      <c r="C4427" s="1" t="n">
        <f aca="false">1/B4427</f>
        <v>0.0032290354871</v>
      </c>
      <c r="D4427" s="1" t="n">
        <v>0.3738</v>
      </c>
      <c r="E4427" s="1" t="n">
        <f aca="false">LN(D4427)</f>
        <v>-0.984034383960675</v>
      </c>
    </row>
    <row r="4428" customFormat="false" ht="15.75" hidden="false" customHeight="false" outlineLevel="0" collapsed="false">
      <c r="A4428" s="1" t="s">
        <v>931</v>
      </c>
      <c r="B4428" s="1" t="n">
        <v>317.27</v>
      </c>
      <c r="C4428" s="1" t="n">
        <f aca="false">1/B4428</f>
        <v>0.0031518895577899</v>
      </c>
      <c r="D4428" s="1" t="n">
        <v>0.3455</v>
      </c>
      <c r="E4428" s="1" t="n">
        <f aca="false">LN(D4428)</f>
        <v>-1.06276263577441</v>
      </c>
    </row>
    <row r="4429" customFormat="false" ht="15.75" hidden="false" customHeight="false" outlineLevel="0" collapsed="false">
      <c r="A4429" s="1" t="s">
        <v>931</v>
      </c>
      <c r="B4429" s="1" t="n">
        <v>324.3</v>
      </c>
      <c r="C4429" s="1" t="n">
        <f aca="false">1/B4429</f>
        <v>0.00308356460067838</v>
      </c>
      <c r="D4429" s="1" t="n">
        <v>0.3224</v>
      </c>
      <c r="E4429" s="1" t="n">
        <f aca="false">LN(D4429)</f>
        <v>-1.13196226834966</v>
      </c>
    </row>
    <row r="4430" customFormat="false" ht="15.75" hidden="false" customHeight="false" outlineLevel="0" collapsed="false">
      <c r="A4430" s="1" t="s">
        <v>931</v>
      </c>
      <c r="B4430" s="1" t="n">
        <v>333.32</v>
      </c>
      <c r="C4430" s="1" t="n">
        <f aca="false">1/B4430</f>
        <v>0.00300012000480019</v>
      </c>
      <c r="D4430" s="1" t="n">
        <v>0.296</v>
      </c>
      <c r="E4430" s="1" t="n">
        <f aca="false">LN(D4430)</f>
        <v>-1.21739582465808</v>
      </c>
    </row>
    <row r="4431" customFormat="false" ht="15.75" hidden="false" customHeight="false" outlineLevel="0" collapsed="false">
      <c r="A4431" s="1" t="s">
        <v>931</v>
      </c>
      <c r="B4431" s="1" t="n">
        <v>341.59</v>
      </c>
      <c r="C4431" s="1" t="n">
        <f aca="false">1/B4431</f>
        <v>0.00292748616762786</v>
      </c>
      <c r="D4431" s="1" t="n">
        <v>0.2741</v>
      </c>
      <c r="E4431" s="1" t="n">
        <f aca="false">LN(D4431)</f>
        <v>-1.2942622756734</v>
      </c>
    </row>
    <row r="4432" customFormat="false" ht="15.75" hidden="false" customHeight="false" outlineLevel="0" collapsed="false">
      <c r="A4432" s="1" t="s">
        <v>931</v>
      </c>
      <c r="B4432" s="1" t="n">
        <v>347.75</v>
      </c>
      <c r="C4432" s="1" t="n">
        <f aca="false">1/B4432</f>
        <v>0.00287562904385334</v>
      </c>
      <c r="D4432" s="1" t="n">
        <v>0.2594</v>
      </c>
      <c r="E4432" s="1" t="n">
        <f aca="false">LN(D4432)</f>
        <v>-1.34938400709979</v>
      </c>
    </row>
    <row r="4433" customFormat="false" ht="15.75" hidden="false" customHeight="false" outlineLevel="0" collapsed="false">
      <c r="A4433" s="1" t="s">
        <v>931</v>
      </c>
      <c r="B4433" s="1" t="n">
        <v>288.15</v>
      </c>
      <c r="C4433" s="1" t="n">
        <f aca="false">1/B4433</f>
        <v>0.00347041471455839</v>
      </c>
      <c r="D4433" s="1" t="n">
        <v>0.473</v>
      </c>
      <c r="E4433" s="1" t="n">
        <f aca="false">LN(D4433)</f>
        <v>-0.748659890490204</v>
      </c>
    </row>
    <row r="4434" customFormat="false" ht="15.75" hidden="false" customHeight="false" outlineLevel="0" collapsed="false">
      <c r="A4434" s="1" t="s">
        <v>931</v>
      </c>
      <c r="B4434" s="1" t="n">
        <v>303.15</v>
      </c>
      <c r="C4434" s="1" t="n">
        <f aca="false">1/B4434</f>
        <v>0.0032986970146792</v>
      </c>
      <c r="D4434" s="1" t="n">
        <v>0.4</v>
      </c>
      <c r="E4434" s="1" t="n">
        <f aca="false">LN(D4434)</f>
        <v>-0.916290731874155</v>
      </c>
    </row>
    <row r="4435" customFormat="false" ht="15.75" hidden="false" customHeight="false" outlineLevel="0" collapsed="false">
      <c r="A4435" s="1" t="s">
        <v>931</v>
      </c>
      <c r="B4435" s="1" t="n">
        <v>298.15198</v>
      </c>
      <c r="C4435" s="1" t="n">
        <f aca="false">1/B4435</f>
        <v>0.00335399416096449</v>
      </c>
      <c r="D4435" s="1" t="n">
        <v>0.424</v>
      </c>
      <c r="E4435" s="1" t="n">
        <f aca="false">LN(D4435)</f>
        <v>-0.858021823750179</v>
      </c>
    </row>
    <row r="4436" customFormat="false" ht="15.75" hidden="false" customHeight="false" outlineLevel="0" collapsed="false">
      <c r="A4436" s="1" t="s">
        <v>931</v>
      </c>
      <c r="B4436" s="1" t="n">
        <v>303.15</v>
      </c>
      <c r="C4436" s="1" t="n">
        <f aca="false">1/B4436</f>
        <v>0.0032986970146792</v>
      </c>
      <c r="D4436" s="1" t="n">
        <v>0.4</v>
      </c>
      <c r="E4436" s="1" t="n">
        <f aca="false">LN(D4436)</f>
        <v>-0.916290731874155</v>
      </c>
    </row>
    <row r="4437" customFormat="false" ht="15.75" hidden="false" customHeight="false" outlineLevel="0" collapsed="false">
      <c r="A4437" s="1" t="s">
        <v>931</v>
      </c>
      <c r="B4437" s="1" t="n">
        <v>308.15</v>
      </c>
      <c r="C4437" s="1" t="n">
        <f aca="false">1/B4437</f>
        <v>0.00324517280545189</v>
      </c>
      <c r="D4437" s="1" t="n">
        <v>0.385</v>
      </c>
      <c r="E4437" s="1" t="n">
        <f aca="false">LN(D4437)</f>
        <v>-0.954511944694353</v>
      </c>
    </row>
    <row r="4438" customFormat="false" ht="15.75" hidden="false" customHeight="false" outlineLevel="0" collapsed="false">
      <c r="A4438" s="1" t="s">
        <v>931</v>
      </c>
      <c r="B4438" s="1" t="n">
        <v>413.16</v>
      </c>
      <c r="C4438" s="1" t="n">
        <f aca="false">1/B4438</f>
        <v>0.00242036983251041</v>
      </c>
      <c r="D4438" s="1" t="n">
        <v>0.153</v>
      </c>
      <c r="E4438" s="1" t="n">
        <f aca="false">LN(D4438)</f>
        <v>-1.8773173575897</v>
      </c>
    </row>
    <row r="4439" customFormat="false" ht="15.75" hidden="false" customHeight="false" outlineLevel="0" collapsed="false">
      <c r="A4439" s="1" t="s">
        <v>931</v>
      </c>
      <c r="B4439" s="1" t="n">
        <v>463.16</v>
      </c>
      <c r="C4439" s="1" t="n">
        <f aca="false">1/B4439</f>
        <v>0.00215908109508593</v>
      </c>
      <c r="D4439" s="1" t="n">
        <v>0.1</v>
      </c>
      <c r="E4439" s="1" t="n">
        <f aca="false">LN(D4439)</f>
        <v>-2.30258509299405</v>
      </c>
    </row>
    <row r="4440" customFormat="false" ht="15.75" hidden="false" customHeight="false" outlineLevel="0" collapsed="false">
      <c r="A4440" s="1" t="s">
        <v>933</v>
      </c>
      <c r="B4440" s="1" t="n">
        <v>273.56</v>
      </c>
      <c r="C4440" s="1" t="n">
        <f aca="false">1/B4440</f>
        <v>0.00365550519081737</v>
      </c>
      <c r="D4440" s="1" t="n">
        <v>0.869</v>
      </c>
      <c r="E4440" s="1" t="n">
        <f aca="false">LN(D4440)</f>
        <v>-0.140412153716745</v>
      </c>
    </row>
    <row r="4441" customFormat="false" ht="15.75" hidden="false" customHeight="false" outlineLevel="0" collapsed="false">
      <c r="A4441" s="1" t="s">
        <v>933</v>
      </c>
      <c r="B4441" s="1" t="n">
        <v>284.56</v>
      </c>
      <c r="C4441" s="1" t="n">
        <f aca="false">1/B4441</f>
        <v>0.00351419735732359</v>
      </c>
      <c r="D4441" s="1" t="n">
        <v>0.744</v>
      </c>
      <c r="E4441" s="1" t="n">
        <f aca="false">LN(D4441)</f>
        <v>-0.295714244149045</v>
      </c>
    </row>
    <row r="4442" customFormat="false" ht="15.75" hidden="false" customHeight="false" outlineLevel="0" collapsed="false">
      <c r="A4442" s="1" t="s">
        <v>933</v>
      </c>
      <c r="B4442" s="1" t="n">
        <v>294.81</v>
      </c>
      <c r="C4442" s="1" t="n">
        <f aca="false">1/B4442</f>
        <v>0.00339201519622808</v>
      </c>
      <c r="D4442" s="1" t="n">
        <v>0.654</v>
      </c>
      <c r="E4442" s="1" t="n">
        <f aca="false">LN(D4442)</f>
        <v>-0.424647927524938</v>
      </c>
    </row>
    <row r="4443" customFormat="false" ht="15.75" hidden="false" customHeight="false" outlineLevel="0" collapsed="false">
      <c r="A4443" s="1" t="s">
        <v>933</v>
      </c>
      <c r="B4443" s="1" t="n">
        <v>306.05</v>
      </c>
      <c r="C4443" s="1" t="n">
        <f aca="false">1/B4443</f>
        <v>0.00326743996079072</v>
      </c>
      <c r="D4443" s="1" t="n">
        <v>0.572</v>
      </c>
      <c r="E4443" s="1" t="n">
        <f aca="false">LN(D4443)</f>
        <v>-0.558616287602339</v>
      </c>
    </row>
    <row r="4444" customFormat="false" ht="15.75" hidden="false" customHeight="false" outlineLevel="0" collapsed="false">
      <c r="A4444" s="1" t="s">
        <v>933</v>
      </c>
      <c r="B4444" s="1" t="n">
        <v>320.26</v>
      </c>
      <c r="C4444" s="1" t="n">
        <f aca="false">1/B4444</f>
        <v>0.00312246299881346</v>
      </c>
      <c r="D4444" s="1" t="n">
        <v>0.491</v>
      </c>
      <c r="E4444" s="1" t="n">
        <f aca="false">LN(D4444)</f>
        <v>-0.711311151187616</v>
      </c>
    </row>
    <row r="4445" customFormat="false" ht="15.75" hidden="false" customHeight="false" outlineLevel="0" collapsed="false">
      <c r="A4445" s="1" t="s">
        <v>933</v>
      </c>
      <c r="B4445" s="1" t="n">
        <v>333.66</v>
      </c>
      <c r="C4445" s="1" t="n">
        <f aca="false">1/B4445</f>
        <v>0.00299706287837919</v>
      </c>
      <c r="D4445" s="1" t="n">
        <v>0.43</v>
      </c>
      <c r="E4445" s="1" t="n">
        <f aca="false">LN(D4445)</f>
        <v>-0.843970070294529</v>
      </c>
    </row>
    <row r="4446" customFormat="false" ht="15.75" hidden="false" customHeight="false" outlineLevel="0" collapsed="false">
      <c r="A4446" s="1" t="s">
        <v>933</v>
      </c>
      <c r="B4446" s="1" t="n">
        <v>336.96</v>
      </c>
      <c r="C4446" s="1" t="n">
        <f aca="false">1/B4446</f>
        <v>0.00296771130104463</v>
      </c>
      <c r="D4446" s="1" t="n">
        <v>0.381</v>
      </c>
      <c r="E4446" s="1" t="n">
        <f aca="false">LN(D4446)</f>
        <v>-0.964955903855436</v>
      </c>
    </row>
    <row r="4447" customFormat="false" ht="15.75" hidden="false" customHeight="false" outlineLevel="0" collapsed="false">
      <c r="A4447" s="1" t="s">
        <v>933</v>
      </c>
      <c r="B4447" s="1" t="n">
        <v>356.77</v>
      </c>
      <c r="C4447" s="1" t="n">
        <f aca="false">1/B4447</f>
        <v>0.00280292625501023</v>
      </c>
      <c r="D4447" s="1" t="n">
        <v>0.349</v>
      </c>
      <c r="E4447" s="1" t="n">
        <f aca="false">LN(D4447)</f>
        <v>-1.05268335677971</v>
      </c>
    </row>
    <row r="4448" customFormat="false" ht="15.75" hidden="false" customHeight="false" outlineLevel="0" collapsed="false">
      <c r="A4448" s="1" t="s">
        <v>933</v>
      </c>
      <c r="B4448" s="1" t="n">
        <v>368.75</v>
      </c>
      <c r="C4448" s="1" t="n">
        <f aca="false">1/B4448</f>
        <v>0.00271186440677966</v>
      </c>
      <c r="D4448" s="1" t="n">
        <v>0.316</v>
      </c>
      <c r="E4448" s="1" t="n">
        <f aca="false">LN(D4448)</f>
        <v>-1.15201306539523</v>
      </c>
    </row>
    <row r="4449" customFormat="false" ht="15.75" hidden="false" customHeight="false" outlineLevel="0" collapsed="false">
      <c r="A4449" s="1" t="s">
        <v>933</v>
      </c>
      <c r="B4449" s="1" t="n">
        <v>381.12</v>
      </c>
      <c r="C4449" s="1" t="n">
        <f aca="false">1/B4449</f>
        <v>0.00262384550797649</v>
      </c>
      <c r="D4449" s="1" t="n">
        <v>0.287</v>
      </c>
      <c r="E4449" s="1" t="n">
        <f aca="false">LN(D4449)</f>
        <v>-1.24827306322252</v>
      </c>
    </row>
    <row r="4450" customFormat="false" ht="15.75" hidden="false" customHeight="false" outlineLevel="0" collapsed="false">
      <c r="A4450" s="1" t="s">
        <v>933</v>
      </c>
      <c r="B4450" s="1" t="n">
        <v>392.34</v>
      </c>
      <c r="C4450" s="1" t="n">
        <f aca="false">1/B4450</f>
        <v>0.00254880970586736</v>
      </c>
      <c r="D4450" s="1" t="n">
        <v>0.263</v>
      </c>
      <c r="E4450" s="1" t="n">
        <f aca="false">LN(D4450)</f>
        <v>-1.33560124680437</v>
      </c>
    </row>
    <row r="4451" customFormat="false" ht="15.75" hidden="false" customHeight="false" outlineLevel="0" collapsed="false">
      <c r="A4451" s="1" t="s">
        <v>933</v>
      </c>
      <c r="B4451" s="1" t="n">
        <v>404.55</v>
      </c>
      <c r="C4451" s="1" t="n">
        <f aca="false">1/B4451</f>
        <v>0.00247188233840069</v>
      </c>
      <c r="D4451" s="1" t="n">
        <v>0.241</v>
      </c>
      <c r="E4451" s="1" t="n">
        <f aca="false">LN(D4451)</f>
        <v>-1.42295834549148</v>
      </c>
    </row>
    <row r="4452" customFormat="false" ht="15.75" hidden="false" customHeight="false" outlineLevel="0" collapsed="false">
      <c r="A4452" s="1" t="s">
        <v>933</v>
      </c>
      <c r="B4452" s="1" t="n">
        <v>288.15</v>
      </c>
      <c r="C4452" s="1" t="n">
        <f aca="false">1/B4452</f>
        <v>0.00347041471455839</v>
      </c>
      <c r="D4452" s="1" t="n">
        <v>0.697</v>
      </c>
      <c r="E4452" s="1" t="n">
        <f aca="false">LN(D4452)</f>
        <v>-0.360969868221613</v>
      </c>
    </row>
    <row r="4453" customFormat="false" ht="15.75" hidden="false" customHeight="false" outlineLevel="0" collapsed="false">
      <c r="A4453" s="1" t="s">
        <v>933</v>
      </c>
      <c r="B4453" s="1" t="n">
        <v>304.15</v>
      </c>
      <c r="C4453" s="1" t="n">
        <f aca="false">1/B4453</f>
        <v>0.00328785138911721</v>
      </c>
      <c r="D4453" s="1" t="n">
        <v>0.581</v>
      </c>
      <c r="E4453" s="1" t="n">
        <f aca="false">LN(D4453)</f>
        <v>-0.543004522130226</v>
      </c>
    </row>
    <row r="4454" customFormat="false" ht="15.75" hidden="false" customHeight="false" outlineLevel="0" collapsed="false">
      <c r="A4454" s="1" t="s">
        <v>933</v>
      </c>
      <c r="B4454" s="1" t="n">
        <v>303.15178</v>
      </c>
      <c r="C4454" s="1" t="n">
        <f aca="false">1/B4454</f>
        <v>0.00329867764589738</v>
      </c>
      <c r="D4454" s="1" t="n">
        <v>0.584</v>
      </c>
      <c r="E4454" s="1" t="n">
        <f aca="false">LN(D4454)</f>
        <v>-0.53785429615391</v>
      </c>
    </row>
    <row r="4455" customFormat="false" ht="15.75" hidden="false" customHeight="false" outlineLevel="0" collapsed="false">
      <c r="A4455" s="1" t="s">
        <v>933</v>
      </c>
      <c r="B4455" s="1" t="n">
        <v>313.15</v>
      </c>
      <c r="C4455" s="1" t="n">
        <f aca="false">1/B4455</f>
        <v>0.00319335781574325</v>
      </c>
      <c r="D4455" s="1" t="n">
        <v>0.531</v>
      </c>
      <c r="E4455" s="1" t="n">
        <f aca="false">LN(D4455)</f>
        <v>-0.632993257740198</v>
      </c>
    </row>
    <row r="4456" customFormat="false" ht="15.75" hidden="false" customHeight="false" outlineLevel="0" collapsed="false">
      <c r="A4456" s="1" t="s">
        <v>1453</v>
      </c>
      <c r="B4456" s="1" t="n">
        <v>308.15</v>
      </c>
      <c r="C4456" s="1" t="n">
        <f aca="false">1/B4456</f>
        <v>0.00324517280545189</v>
      </c>
      <c r="D4456" s="1" t="n">
        <v>0.576</v>
      </c>
      <c r="E4456" s="1" t="n">
        <f aca="false">LN(D4456)</f>
        <v>-0.551647618286246</v>
      </c>
    </row>
    <row r="4457" customFormat="false" ht="15.75" hidden="false" customHeight="false" outlineLevel="0" collapsed="false">
      <c r="A4457" s="1" t="s">
        <v>1453</v>
      </c>
      <c r="B4457" s="1" t="n">
        <v>318.15</v>
      </c>
      <c r="C4457" s="1" t="n">
        <f aca="false">1/B4457</f>
        <v>0.00314317146000314</v>
      </c>
      <c r="D4457" s="1" t="n">
        <v>0.538</v>
      </c>
      <c r="E4457" s="1" t="n">
        <f aca="false">LN(D4457)</f>
        <v>-0.619896718820353</v>
      </c>
    </row>
    <row r="4458" customFormat="false" ht="15.75" hidden="false" customHeight="false" outlineLevel="0" collapsed="false">
      <c r="A4458" s="1" t="s">
        <v>935</v>
      </c>
      <c r="B4458" s="1" t="n">
        <v>308.15</v>
      </c>
      <c r="C4458" s="1" t="n">
        <f aca="false">1/B4458</f>
        <v>0.00324517280545189</v>
      </c>
      <c r="D4458" s="1" t="n">
        <v>1.739</v>
      </c>
      <c r="E4458" s="1" t="n">
        <f aca="false">LN(D4458)</f>
        <v>0.553310235372146</v>
      </c>
    </row>
    <row r="4459" customFormat="false" ht="15.75" hidden="false" customHeight="false" outlineLevel="0" collapsed="false">
      <c r="A4459" s="1" t="s">
        <v>935</v>
      </c>
      <c r="B4459" s="1" t="n">
        <v>323.15</v>
      </c>
      <c r="C4459" s="1" t="n">
        <f aca="false">1/B4459</f>
        <v>0.00309453814018258</v>
      </c>
      <c r="D4459" s="1" t="n">
        <v>1.353</v>
      </c>
      <c r="E4459" s="1" t="n">
        <f aca="false">LN(D4459)</f>
        <v>0.302324349188651</v>
      </c>
    </row>
    <row r="4460" customFormat="false" ht="15.75" hidden="false" customHeight="false" outlineLevel="0" collapsed="false">
      <c r="A4460" s="1" t="s">
        <v>935</v>
      </c>
      <c r="B4460" s="1" t="n">
        <v>338.15</v>
      </c>
      <c r="C4460" s="1" t="n">
        <f aca="false">1/B4460</f>
        <v>0.002957267484844</v>
      </c>
      <c r="D4460" s="1" t="n">
        <v>1.087</v>
      </c>
      <c r="E4460" s="1" t="n">
        <f aca="false">LN(D4460)</f>
        <v>0.0834216081390724</v>
      </c>
    </row>
    <row r="4461" customFormat="false" ht="15.75" hidden="false" customHeight="false" outlineLevel="0" collapsed="false">
      <c r="A4461" s="1" t="s">
        <v>935</v>
      </c>
      <c r="B4461" s="1" t="n">
        <v>353.15</v>
      </c>
      <c r="C4461" s="1" t="n">
        <f aca="false">1/B4461</f>
        <v>0.00283165793572137</v>
      </c>
      <c r="D4461" s="1" t="n">
        <v>0.8174</v>
      </c>
      <c r="E4461" s="1" t="n">
        <f aca="false">LN(D4461)</f>
        <v>-0.20162670785196</v>
      </c>
    </row>
    <row r="4462" customFormat="false" ht="15.75" hidden="false" customHeight="false" outlineLevel="0" collapsed="false">
      <c r="A4462" s="1" t="s">
        <v>935</v>
      </c>
      <c r="B4462" s="1" t="n">
        <v>368.15</v>
      </c>
      <c r="C4462" s="1" t="n">
        <f aca="false">1/B4462</f>
        <v>0.0027162841233193</v>
      </c>
      <c r="D4462" s="1" t="n">
        <v>0.729</v>
      </c>
      <c r="E4462" s="1" t="n">
        <f aca="false">LN(D4462)</f>
        <v>-0.316081546973479</v>
      </c>
    </row>
    <row r="4463" customFormat="false" ht="15.75" hidden="false" customHeight="false" outlineLevel="0" collapsed="false">
      <c r="A4463" s="1" t="s">
        <v>937</v>
      </c>
      <c r="B4463" s="1" t="n">
        <v>308.15</v>
      </c>
      <c r="C4463" s="1" t="n">
        <f aca="false">1/B4463</f>
        <v>0.00324517280545189</v>
      </c>
      <c r="D4463" s="1" t="n">
        <v>0.8182</v>
      </c>
      <c r="E4463" s="1" t="n">
        <f aca="false">LN(D4463)</f>
        <v>-0.200648473486839</v>
      </c>
    </row>
    <row r="4464" customFormat="false" ht="15.75" hidden="false" customHeight="false" outlineLevel="0" collapsed="false">
      <c r="A4464" s="1" t="s">
        <v>937</v>
      </c>
      <c r="B4464" s="1" t="n">
        <v>323.15</v>
      </c>
      <c r="C4464" s="1" t="n">
        <f aca="false">1/B4464</f>
        <v>0.00309453814018258</v>
      </c>
      <c r="D4464" s="1" t="n">
        <v>0.6734</v>
      </c>
      <c r="E4464" s="1" t="n">
        <f aca="false">LN(D4464)</f>
        <v>-0.395415772255163</v>
      </c>
    </row>
    <row r="4465" customFormat="false" ht="15.75" hidden="false" customHeight="false" outlineLevel="0" collapsed="false">
      <c r="A4465" s="1" t="s">
        <v>937</v>
      </c>
      <c r="B4465" s="1" t="n">
        <v>338.15</v>
      </c>
      <c r="C4465" s="1" t="n">
        <f aca="false">1/B4465</f>
        <v>0.002957267484844</v>
      </c>
      <c r="D4465" s="1" t="n">
        <v>0.5665</v>
      </c>
      <c r="E4465" s="1" t="n">
        <f aca="false">LN(D4465)</f>
        <v>-0.568278198514076</v>
      </c>
    </row>
    <row r="4466" customFormat="false" ht="15.75" hidden="false" customHeight="false" outlineLevel="0" collapsed="false">
      <c r="A4466" s="1" t="s">
        <v>937</v>
      </c>
      <c r="B4466" s="1" t="n">
        <v>353.15</v>
      </c>
      <c r="C4466" s="1" t="n">
        <f aca="false">1/B4466</f>
        <v>0.00283165793572137</v>
      </c>
      <c r="D4466" s="1" t="n">
        <v>0.4832</v>
      </c>
      <c r="E4466" s="1" t="n">
        <f aca="false">LN(D4466)</f>
        <v>-0.727324632361532</v>
      </c>
    </row>
    <row r="4467" customFormat="false" ht="15.75" hidden="false" customHeight="false" outlineLevel="0" collapsed="false">
      <c r="A4467" s="1" t="s">
        <v>937</v>
      </c>
      <c r="B4467" s="1" t="n">
        <v>368.15</v>
      </c>
      <c r="C4467" s="1" t="n">
        <f aca="false">1/B4467</f>
        <v>0.0027162841233193</v>
      </c>
      <c r="D4467" s="1" t="n">
        <v>0.4174</v>
      </c>
      <c r="E4467" s="1" t="n">
        <f aca="false">LN(D4467)</f>
        <v>-0.873710284339037</v>
      </c>
    </row>
    <row r="4468" customFormat="false" ht="15.75" hidden="false" customHeight="false" outlineLevel="0" collapsed="false">
      <c r="A4468" s="1" t="s">
        <v>1454</v>
      </c>
      <c r="B4468" s="1" t="n">
        <v>278.16</v>
      </c>
      <c r="C4468" s="1" t="n">
        <f aca="false">1/B4468</f>
        <v>0.00359505320678746</v>
      </c>
      <c r="D4468" s="1" t="n">
        <v>0.292</v>
      </c>
      <c r="E4468" s="1" t="n">
        <f aca="false">LN(D4468)</f>
        <v>-1.23100147671386</v>
      </c>
    </row>
    <row r="4469" customFormat="false" ht="15.75" hidden="false" customHeight="false" outlineLevel="0" collapsed="false">
      <c r="A4469" s="1" t="s">
        <v>122</v>
      </c>
      <c r="B4469" s="1" t="n">
        <v>298.15</v>
      </c>
      <c r="C4469" s="1" t="n">
        <f aca="false">1/B4469</f>
        <v>0.00335401643468053</v>
      </c>
      <c r="D4469" s="1" t="n">
        <v>1.095</v>
      </c>
      <c r="E4469" s="1" t="n">
        <f aca="false">LN(D4469)</f>
        <v>0.0907543632684641</v>
      </c>
    </row>
    <row r="4470" customFormat="false" ht="15.75" hidden="false" customHeight="false" outlineLevel="0" collapsed="false">
      <c r="A4470" s="1" t="s">
        <v>122</v>
      </c>
      <c r="B4470" s="1" t="n">
        <v>303.15</v>
      </c>
      <c r="C4470" s="1" t="n">
        <f aca="false">1/B4470</f>
        <v>0.0032986970146792</v>
      </c>
      <c r="D4470" s="1" t="n">
        <v>1.013</v>
      </c>
      <c r="E4470" s="1" t="n">
        <f aca="false">LN(D4470)</f>
        <v>0.0129162252665462</v>
      </c>
    </row>
    <row r="4471" customFormat="false" ht="15.75" hidden="false" customHeight="false" outlineLevel="0" collapsed="false">
      <c r="A4471" s="1" t="s">
        <v>122</v>
      </c>
      <c r="B4471" s="1" t="n">
        <v>308.15</v>
      </c>
      <c r="C4471" s="1" t="n">
        <f aca="false">1/B4471</f>
        <v>0.00324517280545189</v>
      </c>
      <c r="D4471" s="1" t="n">
        <v>0.93</v>
      </c>
      <c r="E4471" s="1" t="n">
        <f aca="false">LN(D4471)</f>
        <v>-0.0725706928348354</v>
      </c>
    </row>
    <row r="4472" customFormat="false" ht="15.75" hidden="false" customHeight="false" outlineLevel="0" collapsed="false">
      <c r="A4472" s="1" t="s">
        <v>939</v>
      </c>
      <c r="B4472" s="1" t="n">
        <v>352.85</v>
      </c>
      <c r="C4472" s="1" t="n">
        <f aca="false">1/B4472</f>
        <v>0.00283406546691229</v>
      </c>
      <c r="D4472" s="1" t="n">
        <v>0.971</v>
      </c>
      <c r="E4472" s="1" t="n">
        <f aca="false">LN(D4472)</f>
        <v>-0.0294288106908122</v>
      </c>
    </row>
    <row r="4473" customFormat="false" ht="15.75" hidden="false" customHeight="false" outlineLevel="0" collapsed="false">
      <c r="A4473" s="1" t="s">
        <v>939</v>
      </c>
      <c r="B4473" s="1" t="n">
        <v>384.15</v>
      </c>
      <c r="C4473" s="1" t="n">
        <f aca="false">1/B4473</f>
        <v>0.00260314981127164</v>
      </c>
      <c r="D4473" s="1" t="n">
        <v>0.6667</v>
      </c>
      <c r="E4473" s="1" t="n">
        <f aca="false">LN(D4473)</f>
        <v>-0.405415109358123</v>
      </c>
    </row>
    <row r="4474" customFormat="false" ht="15.75" hidden="false" customHeight="false" outlineLevel="0" collapsed="false">
      <c r="A4474" s="1" t="s">
        <v>939</v>
      </c>
      <c r="B4474" s="1" t="n">
        <v>400.35</v>
      </c>
      <c r="C4474" s="1" t="n">
        <f aca="false">1/B4474</f>
        <v>0.00249781441238916</v>
      </c>
      <c r="D4474" s="1" t="n">
        <v>0.5643</v>
      </c>
      <c r="E4474" s="1" t="n">
        <f aca="false">LN(D4474)</f>
        <v>-0.572169254007043</v>
      </c>
    </row>
    <row r="4475" customFormat="false" ht="15.75" hidden="false" customHeight="false" outlineLevel="0" collapsed="false">
      <c r="A4475" s="1" t="s">
        <v>939</v>
      </c>
      <c r="B4475" s="1" t="n">
        <v>414.75</v>
      </c>
      <c r="C4475" s="1" t="n">
        <f aca="false">1/B4475</f>
        <v>0.00241109101868596</v>
      </c>
      <c r="D4475" s="1" t="n">
        <v>0.4907</v>
      </c>
      <c r="E4475" s="1" t="n">
        <f aca="false">LN(D4475)</f>
        <v>-0.711922335886279</v>
      </c>
    </row>
    <row r="4476" customFormat="false" ht="15.75" hidden="false" customHeight="false" outlineLevel="0" collapsed="false">
      <c r="A4476" s="1" t="s">
        <v>939</v>
      </c>
      <c r="B4476" s="1" t="n">
        <v>429.15</v>
      </c>
      <c r="C4476" s="1" t="n">
        <f aca="false">1/B4476</f>
        <v>0.0023301875801002</v>
      </c>
      <c r="D4476" s="1" t="n">
        <v>0.4332</v>
      </c>
      <c r="E4476" s="1" t="n">
        <f aca="false">LN(D4476)</f>
        <v>-0.836555763855302</v>
      </c>
    </row>
    <row r="4477" customFormat="false" ht="15.75" hidden="false" customHeight="false" outlineLevel="0" collapsed="false">
      <c r="A4477" s="1" t="s">
        <v>939</v>
      </c>
      <c r="B4477" s="1" t="n">
        <v>444.15</v>
      </c>
      <c r="C4477" s="1" t="n">
        <f aca="false">1/B4477</f>
        <v>0.00225149161319374</v>
      </c>
      <c r="D4477" s="1" t="n">
        <v>0.3812</v>
      </c>
      <c r="E4477" s="1" t="n">
        <f aca="false">LN(D4477)</f>
        <v>-0.96443110720209</v>
      </c>
    </row>
    <row r="4478" customFormat="false" ht="15.75" hidden="false" customHeight="false" outlineLevel="0" collapsed="false">
      <c r="A4478" s="1" t="s">
        <v>939</v>
      </c>
      <c r="B4478" s="1" t="n">
        <v>458.95</v>
      </c>
      <c r="C4478" s="1" t="n">
        <f aca="false">1/B4478</f>
        <v>0.00217888658895304</v>
      </c>
      <c r="D4478" s="1" t="n">
        <v>0.3389</v>
      </c>
      <c r="E4478" s="1" t="n">
        <f aca="false">LN(D4478)</f>
        <v>-1.08205020036913</v>
      </c>
    </row>
    <row r="4479" customFormat="false" ht="15.75" hidden="false" customHeight="false" outlineLevel="0" collapsed="false">
      <c r="A4479" s="1" t="s">
        <v>939</v>
      </c>
      <c r="B4479" s="1" t="n">
        <v>473.75</v>
      </c>
      <c r="C4479" s="1" t="n">
        <f aca="false">1/B4479</f>
        <v>0.00211081794195251</v>
      </c>
      <c r="D4479" s="1" t="n">
        <v>0.3049</v>
      </c>
      <c r="E4479" s="1" t="n">
        <f aca="false">LN(D4479)</f>
        <v>-1.18777142498793</v>
      </c>
    </row>
    <row r="4480" customFormat="false" ht="15.75" hidden="false" customHeight="false" outlineLevel="0" collapsed="false">
      <c r="A4480" s="1" t="s">
        <v>939</v>
      </c>
      <c r="B4480" s="1" t="n">
        <v>480.15</v>
      </c>
      <c r="C4480" s="1" t="n">
        <f aca="false">1/B4480</f>
        <v>0.00208268249505363</v>
      </c>
      <c r="D4480" s="1" t="n">
        <v>0.291</v>
      </c>
      <c r="E4480" s="1" t="n">
        <f aca="false">LN(D4480)</f>
        <v>-1.23443201181064</v>
      </c>
    </row>
    <row r="4481" customFormat="false" ht="15.75" hidden="false" customHeight="false" outlineLevel="0" collapsed="false">
      <c r="A4481" s="1" t="s">
        <v>1455</v>
      </c>
      <c r="B4481" s="1" t="n">
        <v>273.15</v>
      </c>
      <c r="C4481" s="1" t="n">
        <f aca="false">1/B4481</f>
        <v>0.00366099212886692</v>
      </c>
      <c r="D4481" s="1" t="n">
        <v>1.139</v>
      </c>
      <c r="E4481" s="1" t="n">
        <f aca="false">LN(D4481)</f>
        <v>0.130150684465045</v>
      </c>
    </row>
    <row r="4482" customFormat="false" ht="15.75" hidden="false" customHeight="false" outlineLevel="0" collapsed="false">
      <c r="A4482" s="1" t="s">
        <v>1455</v>
      </c>
      <c r="B4482" s="1" t="n">
        <v>283.15</v>
      </c>
      <c r="C4482" s="1" t="n">
        <f aca="false">1/B4482</f>
        <v>0.00353169698039908</v>
      </c>
      <c r="D4482" s="1" t="n">
        <v>0.972</v>
      </c>
      <c r="E4482" s="1" t="n">
        <f aca="false">LN(D4482)</f>
        <v>-0.028399474521698</v>
      </c>
    </row>
    <row r="4483" customFormat="false" ht="15.75" hidden="false" customHeight="false" outlineLevel="0" collapsed="false">
      <c r="A4483" s="1" t="s">
        <v>1455</v>
      </c>
      <c r="B4483" s="1" t="n">
        <v>293.15</v>
      </c>
      <c r="C4483" s="1" t="n">
        <f aca="false">1/B4483</f>
        <v>0.00341122292341805</v>
      </c>
      <c r="D4483" s="1" t="n">
        <v>0.839</v>
      </c>
      <c r="E4483" s="1" t="n">
        <f aca="false">LN(D4483)</f>
        <v>-0.175544572514931</v>
      </c>
    </row>
    <row r="4484" customFormat="false" ht="15.75" hidden="false" customHeight="false" outlineLevel="0" collapsed="false">
      <c r="A4484" s="1" t="s">
        <v>1455</v>
      </c>
      <c r="B4484" s="1" t="n">
        <v>303.15</v>
      </c>
      <c r="C4484" s="1" t="n">
        <f aca="false">1/B4484</f>
        <v>0.0032986970146792</v>
      </c>
      <c r="D4484" s="1" t="n">
        <v>0.735</v>
      </c>
      <c r="E4484" s="1" t="n">
        <f aca="false">LN(D4484)</f>
        <v>-0.3078847797693</v>
      </c>
    </row>
    <row r="4485" customFormat="false" ht="15.75" hidden="false" customHeight="false" outlineLevel="0" collapsed="false">
      <c r="A4485" s="1" t="s">
        <v>1455</v>
      </c>
      <c r="B4485" s="1" t="n">
        <v>313.15</v>
      </c>
      <c r="C4485" s="1" t="n">
        <f aca="false">1/B4485</f>
        <v>0.00319335781574325</v>
      </c>
      <c r="D4485" s="1" t="n">
        <v>0.649</v>
      </c>
      <c r="E4485" s="1" t="n">
        <f aca="false">LN(D4485)</f>
        <v>-0.432322562278047</v>
      </c>
    </row>
    <row r="4486" customFormat="false" ht="15.75" hidden="false" customHeight="false" outlineLevel="0" collapsed="false">
      <c r="A4486" s="1" t="s">
        <v>1455</v>
      </c>
      <c r="B4486" s="1" t="n">
        <v>278.16</v>
      </c>
      <c r="C4486" s="1" t="n">
        <f aca="false">1/B4486</f>
        <v>0.00359505320678746</v>
      </c>
      <c r="D4486" s="1" t="n">
        <v>1.061</v>
      </c>
      <c r="E4486" s="1" t="n">
        <f aca="false">LN(D4486)</f>
        <v>0.059211859631846</v>
      </c>
    </row>
    <row r="4487" customFormat="false" ht="15.75" hidden="false" customHeight="false" outlineLevel="0" collapsed="false">
      <c r="A4487" s="1" t="s">
        <v>1455</v>
      </c>
      <c r="B4487" s="1" t="n">
        <v>318.16</v>
      </c>
      <c r="C4487" s="1" t="n">
        <f aca="false">1/B4487</f>
        <v>0.00314307266784008</v>
      </c>
      <c r="D4487" s="1" t="n">
        <v>0.589</v>
      </c>
      <c r="E4487" s="1" t="n">
        <f aca="false">LN(D4487)</f>
        <v>-0.52932909533055</v>
      </c>
    </row>
    <row r="4488" customFormat="false" ht="15.75" hidden="false" customHeight="false" outlineLevel="0" collapsed="false">
      <c r="A4488" s="1" t="s">
        <v>1455</v>
      </c>
      <c r="B4488" s="1" t="n">
        <v>373.16</v>
      </c>
      <c r="C4488" s="1" t="n">
        <f aca="false">1/B4488</f>
        <v>0.00267981562868475</v>
      </c>
      <c r="D4488" s="1" t="n">
        <v>0.38</v>
      </c>
      <c r="E4488" s="1" t="n">
        <f aca="false">LN(D4488)</f>
        <v>-0.967584026261706</v>
      </c>
    </row>
    <row r="4489" customFormat="false" ht="15.75" hidden="false" customHeight="false" outlineLevel="0" collapsed="false">
      <c r="A4489" s="1" t="s">
        <v>941</v>
      </c>
      <c r="B4489" s="1" t="n">
        <v>293.15</v>
      </c>
      <c r="C4489" s="1" t="n">
        <f aca="false">1/B4489</f>
        <v>0.00341122292341805</v>
      </c>
      <c r="D4489" s="1" t="n">
        <v>0.958</v>
      </c>
      <c r="E4489" s="1" t="n">
        <f aca="false">LN(D4489)</f>
        <v>-0.0429075010112766</v>
      </c>
    </row>
    <row r="4490" customFormat="false" ht="15.75" hidden="false" customHeight="false" outlineLevel="0" collapsed="false">
      <c r="A4490" s="1" t="s">
        <v>941</v>
      </c>
      <c r="B4490" s="1" t="n">
        <v>303.15</v>
      </c>
      <c r="C4490" s="1" t="n">
        <f aca="false">1/B4490</f>
        <v>0.0032986970146792</v>
      </c>
      <c r="D4490" s="1" t="n">
        <v>0.8176</v>
      </c>
      <c r="E4490" s="1" t="n">
        <f aca="false">LN(D4490)</f>
        <v>-0.201382059532697</v>
      </c>
    </row>
    <row r="4491" customFormat="false" ht="15.75" hidden="false" customHeight="false" outlineLevel="0" collapsed="false">
      <c r="A4491" s="1" t="s">
        <v>941</v>
      </c>
      <c r="B4491" s="1" t="n">
        <v>313.15</v>
      </c>
      <c r="C4491" s="1" t="n">
        <f aca="false">1/B4491</f>
        <v>0.00319335781574325</v>
      </c>
      <c r="D4491" s="1" t="n">
        <v>0.7078</v>
      </c>
      <c r="E4491" s="1" t="n">
        <f aca="false">LN(D4491)</f>
        <v>-0.345593711070774</v>
      </c>
    </row>
    <row r="4492" customFormat="false" ht="15.75" hidden="false" customHeight="false" outlineLevel="0" collapsed="false">
      <c r="A4492" s="1" t="s">
        <v>941</v>
      </c>
      <c r="B4492" s="1" t="n">
        <v>323.15</v>
      </c>
      <c r="C4492" s="1" t="n">
        <f aca="false">1/B4492</f>
        <v>0.00309453814018258</v>
      </c>
      <c r="D4492" s="1" t="n">
        <v>0.6191</v>
      </c>
      <c r="E4492" s="1" t="n">
        <f aca="false">LN(D4492)</f>
        <v>-0.479488468456951</v>
      </c>
    </row>
    <row r="4493" customFormat="false" ht="15.75" hidden="false" customHeight="false" outlineLevel="0" collapsed="false">
      <c r="A4493" s="1" t="s">
        <v>941</v>
      </c>
      <c r="B4493" s="1" t="n">
        <v>333.15</v>
      </c>
      <c r="C4493" s="1" t="n">
        <f aca="false">1/B4493</f>
        <v>0.0030016509079994</v>
      </c>
      <c r="D4493" s="1" t="n">
        <v>0.553</v>
      </c>
      <c r="E4493" s="1" t="n">
        <f aca="false">LN(D4493)</f>
        <v>-0.592397277459802</v>
      </c>
    </row>
    <row r="4494" customFormat="false" ht="15.75" hidden="false" customHeight="false" outlineLevel="0" collapsed="false">
      <c r="A4494" s="1" t="s">
        <v>943</v>
      </c>
      <c r="B4494" s="1" t="n">
        <v>273.614</v>
      </c>
      <c r="C4494" s="1" t="n">
        <f aca="false">1/B4494</f>
        <v>0.00365478374644572</v>
      </c>
      <c r="D4494" s="1" t="n">
        <v>0.5024</v>
      </c>
      <c r="E4494" s="1" t="n">
        <f aca="false">LN(D4494)</f>
        <v>-0.688358663828148</v>
      </c>
    </row>
    <row r="4495" customFormat="false" ht="15.75" hidden="false" customHeight="false" outlineLevel="0" collapsed="false">
      <c r="A4495" s="1" t="s">
        <v>943</v>
      </c>
      <c r="B4495" s="1" t="n">
        <v>279.72</v>
      </c>
      <c r="C4495" s="1" t="n">
        <f aca="false">1/B4495</f>
        <v>0.00357500357500357</v>
      </c>
      <c r="D4495" s="1" t="n">
        <v>0.4656</v>
      </c>
      <c r="E4495" s="1" t="n">
        <f aca="false">LN(D4495)</f>
        <v>-0.764428382564909</v>
      </c>
    </row>
    <row r="4496" customFormat="false" ht="15.75" hidden="false" customHeight="false" outlineLevel="0" collapsed="false">
      <c r="A4496" s="1" t="s">
        <v>943</v>
      </c>
      <c r="B4496" s="1" t="n">
        <v>284.67</v>
      </c>
      <c r="C4496" s="1" t="n">
        <f aca="false">1/B4496</f>
        <v>0.00351283942810974</v>
      </c>
      <c r="D4496" s="1" t="n">
        <v>0.4409</v>
      </c>
      <c r="E4496" s="1" t="n">
        <f aca="false">LN(D4496)</f>
        <v>-0.818937186618245</v>
      </c>
    </row>
    <row r="4497" customFormat="false" ht="15.75" hidden="false" customHeight="false" outlineLevel="0" collapsed="false">
      <c r="A4497" s="1" t="s">
        <v>943</v>
      </c>
      <c r="B4497" s="1" t="n">
        <v>295.74</v>
      </c>
      <c r="C4497" s="1" t="n">
        <f aca="false">1/B4497</f>
        <v>0.00338134848177453</v>
      </c>
      <c r="D4497" s="1" t="n">
        <v>0.3916</v>
      </c>
      <c r="E4497" s="1" t="n">
        <f aca="false">LN(D4497)</f>
        <v>-0.937514368325782</v>
      </c>
    </row>
    <row r="4498" customFormat="false" ht="15.75" hidden="false" customHeight="false" outlineLevel="0" collapsed="false">
      <c r="A4498" s="1" t="s">
        <v>943</v>
      </c>
      <c r="B4498" s="1" t="n">
        <v>301.05</v>
      </c>
      <c r="C4498" s="1" t="n">
        <f aca="false">1/B4498</f>
        <v>0.0033217073575818</v>
      </c>
      <c r="D4498" s="1" t="n">
        <v>0.3698</v>
      </c>
      <c r="E4498" s="1" t="n">
        <f aca="false">LN(D4498)</f>
        <v>-0.994792960029113</v>
      </c>
    </row>
    <row r="4499" customFormat="false" ht="15.75" hidden="false" customHeight="false" outlineLevel="0" collapsed="false">
      <c r="A4499" s="1" t="s">
        <v>943</v>
      </c>
      <c r="B4499" s="1" t="n">
        <v>306.4</v>
      </c>
      <c r="C4499" s="1" t="n">
        <f aca="false">1/B4499</f>
        <v>0.00326370757180157</v>
      </c>
      <c r="D4499" s="1" t="n">
        <v>0.3501</v>
      </c>
      <c r="E4499" s="1" t="n">
        <f aca="false">LN(D4499)</f>
        <v>-1.04953645102152</v>
      </c>
    </row>
    <row r="4500" customFormat="false" ht="15.75" hidden="false" customHeight="false" outlineLevel="0" collapsed="false">
      <c r="A4500" s="1" t="s">
        <v>943</v>
      </c>
      <c r="B4500" s="1" t="n">
        <v>316.52</v>
      </c>
      <c r="C4500" s="1" t="n">
        <f aca="false">1/B4500</f>
        <v>0.00315935801845065</v>
      </c>
      <c r="D4500" s="1" t="n">
        <v>0.3178</v>
      </c>
      <c r="E4500" s="1" t="n">
        <f aca="false">LN(D4500)</f>
        <v>-1.14633302487952</v>
      </c>
    </row>
    <row r="4501" customFormat="false" ht="15.75" hidden="false" customHeight="false" outlineLevel="0" collapsed="false">
      <c r="A4501" s="1" t="s">
        <v>943</v>
      </c>
      <c r="B4501" s="1" t="n">
        <v>321.78</v>
      </c>
      <c r="C4501" s="1" t="n">
        <f aca="false">1/B4501</f>
        <v>0.0031077133445211</v>
      </c>
      <c r="D4501" s="1" t="n">
        <v>0.3031</v>
      </c>
      <c r="E4501" s="1" t="n">
        <f aca="false">LN(D4501)</f>
        <v>-1.19369249491838</v>
      </c>
    </row>
    <row r="4502" customFormat="false" ht="15.75" hidden="false" customHeight="false" outlineLevel="0" collapsed="false">
      <c r="A4502" s="1" t="s">
        <v>943</v>
      </c>
      <c r="B4502" s="1" t="n">
        <v>325.18</v>
      </c>
      <c r="C4502" s="1" t="n">
        <f aca="false">1/B4502</f>
        <v>0.00307521987822129</v>
      </c>
      <c r="D4502" s="1" t="n">
        <v>0.2942</v>
      </c>
      <c r="E4502" s="1" t="n">
        <f aca="false">LN(D4502)</f>
        <v>-1.2234954708148</v>
      </c>
    </row>
    <row r="4503" customFormat="false" ht="15.75" hidden="false" customHeight="false" outlineLevel="0" collapsed="false">
      <c r="A4503" s="1" t="s">
        <v>943</v>
      </c>
      <c r="B4503" s="1" t="n">
        <v>289.73</v>
      </c>
      <c r="C4503" s="1" t="n">
        <f aca="false">1/B4503</f>
        <v>0.00345148931764056</v>
      </c>
      <c r="D4503" s="1" t="n">
        <v>0.4172</v>
      </c>
      <c r="E4503" s="1" t="n">
        <f aca="false">LN(D4503)</f>
        <v>-0.87418955585552</v>
      </c>
    </row>
    <row r="4504" customFormat="false" ht="15.75" hidden="false" customHeight="false" outlineLevel="0" collapsed="false">
      <c r="A4504" s="1" t="s">
        <v>943</v>
      </c>
      <c r="B4504" s="1" t="n">
        <v>311.24</v>
      </c>
      <c r="C4504" s="1" t="n">
        <f aca="false">1/B4504</f>
        <v>0.00321295463308058</v>
      </c>
      <c r="D4504" s="1" t="n">
        <v>0.3344</v>
      </c>
      <c r="E4504" s="1" t="n">
        <f aca="false">LN(D4504)</f>
        <v>-1.09541739777159</v>
      </c>
    </row>
    <row r="4505" customFormat="false" ht="15.75" hidden="false" customHeight="false" outlineLevel="0" collapsed="false">
      <c r="A4505" s="1" t="s">
        <v>945</v>
      </c>
      <c r="B4505" s="1" t="n">
        <v>273.15</v>
      </c>
      <c r="C4505" s="1" t="n">
        <f aca="false">1/B4505</f>
        <v>0.00366099212886692</v>
      </c>
      <c r="D4505" s="1" t="n">
        <v>1.8308</v>
      </c>
      <c r="E4505" s="1" t="n">
        <f aca="false">LN(D4505)</f>
        <v>0.60475302979735</v>
      </c>
    </row>
    <row r="4506" customFormat="false" ht="15.75" hidden="false" customHeight="false" outlineLevel="0" collapsed="false">
      <c r="A4506" s="1" t="s">
        <v>945</v>
      </c>
      <c r="B4506" s="1" t="n">
        <v>283.15</v>
      </c>
      <c r="C4506" s="1" t="n">
        <f aca="false">1/B4506</f>
        <v>0.00353169698039908</v>
      </c>
      <c r="D4506" s="1" t="n">
        <v>1.4959</v>
      </c>
      <c r="E4506" s="1" t="n">
        <f aca="false">LN(D4506)</f>
        <v>0.402728032398278</v>
      </c>
    </row>
    <row r="4507" customFormat="false" ht="15.75" hidden="false" customHeight="false" outlineLevel="0" collapsed="false">
      <c r="A4507" s="1" t="s">
        <v>945</v>
      </c>
      <c r="B4507" s="1" t="n">
        <v>303.15</v>
      </c>
      <c r="C4507" s="1" t="n">
        <f aca="false">1/B4507</f>
        <v>0.0032986970146792</v>
      </c>
      <c r="D4507" s="1" t="n">
        <v>1.0642</v>
      </c>
      <c r="E4507" s="1" t="n">
        <f aca="false">LN(D4507)</f>
        <v>0.0622233431801319</v>
      </c>
    </row>
    <row r="4508" customFormat="false" ht="15.75" hidden="false" customHeight="false" outlineLevel="0" collapsed="false">
      <c r="A4508" s="1" t="s">
        <v>945</v>
      </c>
      <c r="B4508" s="1" t="n">
        <v>313.15</v>
      </c>
      <c r="C4508" s="1" t="n">
        <f aca="false">1/B4508</f>
        <v>0.00319335781574325</v>
      </c>
      <c r="D4508" s="1" t="n">
        <v>0.9201</v>
      </c>
      <c r="E4508" s="1" t="n">
        <f aca="false">LN(D4508)</f>
        <v>-0.0832729191938215</v>
      </c>
    </row>
    <row r="4509" customFormat="false" ht="15.75" hidden="false" customHeight="false" outlineLevel="0" collapsed="false">
      <c r="A4509" s="1" t="s">
        <v>945</v>
      </c>
      <c r="B4509" s="1" t="n">
        <v>353.15</v>
      </c>
      <c r="C4509" s="1" t="n">
        <f aca="false">1/B4509</f>
        <v>0.00283165793572137</v>
      </c>
      <c r="D4509" s="1" t="n">
        <v>0.5614</v>
      </c>
      <c r="E4509" s="1" t="n">
        <f aca="false">LN(D4509)</f>
        <v>-0.577321615054355</v>
      </c>
    </row>
    <row r="4510" customFormat="false" ht="15.75" hidden="false" customHeight="false" outlineLevel="0" collapsed="false">
      <c r="A4510" s="1" t="s">
        <v>945</v>
      </c>
      <c r="B4510" s="1" t="n">
        <v>373.15</v>
      </c>
      <c r="C4510" s="1" t="n">
        <f aca="false">1/B4510</f>
        <v>0.00267988744472732</v>
      </c>
      <c r="D4510" s="1" t="n">
        <v>0.4606</v>
      </c>
      <c r="E4510" s="1" t="n">
        <f aca="false">LN(D4510)</f>
        <v>-0.775225291595552</v>
      </c>
    </row>
    <row r="4511" customFormat="false" ht="15.75" hidden="false" customHeight="false" outlineLevel="0" collapsed="false">
      <c r="A4511" s="1" t="s">
        <v>945</v>
      </c>
      <c r="B4511" s="1" t="n">
        <v>293.15</v>
      </c>
      <c r="C4511" s="1" t="n">
        <f aca="false">1/B4511</f>
        <v>0.00341122292341805</v>
      </c>
      <c r="D4511" s="1" t="n">
        <v>1.2505</v>
      </c>
      <c r="E4511" s="1" t="n">
        <f aca="false">LN(D4511)</f>
        <v>0.223543471335537</v>
      </c>
    </row>
    <row r="4512" customFormat="false" ht="15.75" hidden="false" customHeight="false" outlineLevel="0" collapsed="false">
      <c r="A4512" s="1" t="s">
        <v>945</v>
      </c>
      <c r="B4512" s="1" t="n">
        <v>333.15</v>
      </c>
      <c r="C4512" s="1" t="n">
        <f aca="false">1/B4512</f>
        <v>0.0030016509079994</v>
      </c>
      <c r="D4512" s="1" t="n">
        <v>0.705</v>
      </c>
      <c r="E4512" s="1" t="n">
        <f aca="false">LN(D4512)</f>
        <v>-0.349557476169868</v>
      </c>
    </row>
    <row r="4513" customFormat="false" ht="15.75" hidden="false" customHeight="false" outlineLevel="0" collapsed="false">
      <c r="A4513" s="1" t="s">
        <v>947</v>
      </c>
      <c r="B4513" s="1" t="n">
        <v>273.33</v>
      </c>
      <c r="C4513" s="1" t="n">
        <f aca="false">1/B4513</f>
        <v>0.00365858120220978</v>
      </c>
      <c r="D4513" s="1" t="n">
        <v>5.2851</v>
      </c>
      <c r="E4513" s="1" t="n">
        <f aca="false">LN(D4513)</f>
        <v>1.66489154061907</v>
      </c>
    </row>
    <row r="4514" customFormat="false" ht="15.75" hidden="false" customHeight="false" outlineLevel="0" collapsed="false">
      <c r="A4514" s="1" t="s">
        <v>947</v>
      </c>
      <c r="B4514" s="1" t="n">
        <v>283.15</v>
      </c>
      <c r="C4514" s="1" t="n">
        <f aca="false">1/B4514</f>
        <v>0.00353169698039908</v>
      </c>
      <c r="D4514" s="1" t="n">
        <v>3.6805</v>
      </c>
      <c r="E4514" s="1" t="n">
        <f aca="false">LN(D4514)</f>
        <v>1.30304861251662</v>
      </c>
    </row>
    <row r="4515" customFormat="false" ht="15.75" hidden="false" customHeight="false" outlineLevel="0" collapsed="false">
      <c r="A4515" s="1" t="s">
        <v>947</v>
      </c>
      <c r="B4515" s="1" t="n">
        <v>293.15</v>
      </c>
      <c r="C4515" s="1" t="n">
        <f aca="false">1/B4515</f>
        <v>0.00341122292341805</v>
      </c>
      <c r="D4515" s="1" t="n">
        <v>2.681</v>
      </c>
      <c r="E4515" s="1" t="n">
        <f aca="false">LN(D4515)</f>
        <v>0.986189859253822</v>
      </c>
    </row>
    <row r="4516" customFormat="false" ht="15.75" hidden="false" customHeight="false" outlineLevel="0" collapsed="false">
      <c r="A4516" s="1" t="s">
        <v>947</v>
      </c>
      <c r="B4516" s="1" t="n">
        <v>303.15</v>
      </c>
      <c r="C4516" s="1" t="n">
        <f aca="false">1/B4516</f>
        <v>0.0032986970146792</v>
      </c>
      <c r="D4516" s="1" t="n">
        <v>2.042</v>
      </c>
      <c r="E4516" s="1" t="n">
        <f aca="false">LN(D4516)</f>
        <v>0.713929719742474</v>
      </c>
    </row>
    <row r="4517" customFormat="false" ht="15.75" hidden="false" customHeight="false" outlineLevel="0" collapsed="false">
      <c r="A4517" s="1" t="s">
        <v>947</v>
      </c>
      <c r="B4517" s="1" t="n">
        <v>313.15</v>
      </c>
      <c r="C4517" s="1" t="n">
        <f aca="false">1/B4517</f>
        <v>0.00319335781574325</v>
      </c>
      <c r="D4517" s="1" t="n">
        <v>1.6085</v>
      </c>
      <c r="E4517" s="1" t="n">
        <f aca="false">LN(D4517)</f>
        <v>0.475302067696944</v>
      </c>
    </row>
    <row r="4518" customFormat="false" ht="15.75" hidden="false" customHeight="false" outlineLevel="0" collapsed="false">
      <c r="A4518" s="1" t="s">
        <v>947</v>
      </c>
      <c r="B4518" s="1" t="n">
        <v>336.15</v>
      </c>
      <c r="C4518" s="1" t="n">
        <f aca="false">1/B4518</f>
        <v>0.00297486241261342</v>
      </c>
      <c r="D4518" s="1" t="n">
        <v>1.0795</v>
      </c>
      <c r="E4518" s="1" t="n">
        <f aca="false">LN(D4518)</f>
        <v>0.0764979709727249</v>
      </c>
    </row>
    <row r="4519" customFormat="false" ht="15.75" hidden="false" customHeight="false" outlineLevel="0" collapsed="false">
      <c r="A4519" s="1" t="s">
        <v>947</v>
      </c>
      <c r="B4519" s="1" t="n">
        <v>353.15</v>
      </c>
      <c r="C4519" s="1" t="n">
        <f aca="false">1/B4519</f>
        <v>0.00283165793572137</v>
      </c>
      <c r="D4519" s="1" t="n">
        <v>0.7797</v>
      </c>
      <c r="E4519" s="1" t="n">
        <f aca="false">LN(D4519)</f>
        <v>-0.248846048666583</v>
      </c>
    </row>
    <row r="4520" customFormat="false" ht="15.75" hidden="false" customHeight="false" outlineLevel="0" collapsed="false">
      <c r="A4520" s="1" t="s">
        <v>947</v>
      </c>
      <c r="B4520" s="1" t="n">
        <v>373.15</v>
      </c>
      <c r="C4520" s="1" t="n">
        <f aca="false">1/B4520</f>
        <v>0.00267988744472732</v>
      </c>
      <c r="D4520" s="1" t="n">
        <v>0.5595</v>
      </c>
      <c r="E4520" s="1" t="n">
        <f aca="false">LN(D4520)</f>
        <v>-0.580711751230157</v>
      </c>
    </row>
    <row r="4521" customFormat="false" ht="15.75" hidden="false" customHeight="false" outlineLevel="0" collapsed="false">
      <c r="A4521" s="1" t="s">
        <v>949</v>
      </c>
      <c r="B4521" s="1" t="n">
        <v>308.15</v>
      </c>
      <c r="C4521" s="1" t="n">
        <f aca="false">1/B4521</f>
        <v>0.00324517280545189</v>
      </c>
      <c r="D4521" s="1" t="n">
        <v>4.459</v>
      </c>
      <c r="E4521" s="1" t="n">
        <f aca="false">LN(D4521)</f>
        <v>1.49492452564534</v>
      </c>
    </row>
    <row r="4522" customFormat="false" ht="15.75" hidden="false" customHeight="false" outlineLevel="0" collapsed="false">
      <c r="A4522" s="1" t="s">
        <v>949</v>
      </c>
      <c r="B4522" s="1" t="n">
        <v>323.15</v>
      </c>
      <c r="C4522" s="1" t="n">
        <f aca="false">1/B4522</f>
        <v>0.00309453814018258</v>
      </c>
      <c r="D4522" s="1" t="n">
        <v>3.208</v>
      </c>
      <c r="E4522" s="1" t="n">
        <f aca="false">LN(D4522)</f>
        <v>1.16564769000427</v>
      </c>
    </row>
    <row r="4523" customFormat="false" ht="15.75" hidden="false" customHeight="false" outlineLevel="0" collapsed="false">
      <c r="A4523" s="1" t="s">
        <v>949</v>
      </c>
      <c r="B4523" s="1" t="n">
        <v>338.15</v>
      </c>
      <c r="C4523" s="1" t="n">
        <f aca="false">1/B4523</f>
        <v>0.002957267484844</v>
      </c>
      <c r="D4523" s="1" t="n">
        <v>2.415</v>
      </c>
      <c r="E4523" s="1" t="n">
        <f aca="false">LN(D4523)</f>
        <v>0.881699287104536</v>
      </c>
    </row>
    <row r="4524" customFormat="false" ht="15.75" hidden="false" customHeight="false" outlineLevel="0" collapsed="false">
      <c r="A4524" s="1" t="s">
        <v>949</v>
      </c>
      <c r="B4524" s="1" t="n">
        <v>353.15</v>
      </c>
      <c r="C4524" s="1" t="n">
        <f aca="false">1/B4524</f>
        <v>0.00283165793572137</v>
      </c>
      <c r="D4524" s="1" t="n">
        <v>1.892</v>
      </c>
      <c r="E4524" s="1" t="n">
        <f aca="false">LN(D4524)</f>
        <v>0.637634470629686</v>
      </c>
    </row>
    <row r="4525" customFormat="false" ht="15.75" hidden="false" customHeight="false" outlineLevel="0" collapsed="false">
      <c r="A4525" s="1" t="s">
        <v>949</v>
      </c>
      <c r="B4525" s="1" t="n">
        <v>368.15</v>
      </c>
      <c r="C4525" s="1" t="n">
        <f aca="false">1/B4525</f>
        <v>0.0027162841233193</v>
      </c>
      <c r="D4525" s="1" t="n">
        <v>1.516</v>
      </c>
      <c r="E4525" s="1" t="n">
        <f aca="false">LN(D4525)</f>
        <v>0.41607528722018</v>
      </c>
    </row>
    <row r="4526" customFormat="false" ht="15.75" hidden="false" customHeight="false" outlineLevel="0" collapsed="false">
      <c r="A4526" s="1" t="s">
        <v>951</v>
      </c>
      <c r="B4526" s="1" t="n">
        <v>273.54</v>
      </c>
      <c r="C4526" s="1" t="n">
        <f aca="false">1/B4526</f>
        <v>0.0036557724647218</v>
      </c>
      <c r="D4526" s="1" t="n">
        <v>0.689</v>
      </c>
      <c r="E4526" s="1" t="n">
        <f aca="false">LN(D4526)</f>
        <v>-0.372514007968479</v>
      </c>
    </row>
    <row r="4527" customFormat="false" ht="15.75" hidden="false" customHeight="false" outlineLevel="0" collapsed="false">
      <c r="A4527" s="1" t="s">
        <v>951</v>
      </c>
      <c r="B4527" s="1" t="n">
        <v>283.24</v>
      </c>
      <c r="C4527" s="1" t="n">
        <f aca="false">1/B4527</f>
        <v>0.00353057477757379</v>
      </c>
      <c r="D4527" s="1" t="n">
        <v>0.6037</v>
      </c>
      <c r="E4527" s="1" t="n">
        <f aca="false">LN(D4527)</f>
        <v>-0.504677893179757</v>
      </c>
    </row>
    <row r="4528" customFormat="false" ht="15.75" hidden="false" customHeight="false" outlineLevel="0" collapsed="false">
      <c r="A4528" s="1" t="s">
        <v>951</v>
      </c>
      <c r="B4528" s="1" t="n">
        <v>293.24</v>
      </c>
      <c r="C4528" s="1" t="n">
        <f aca="false">1/B4528</f>
        <v>0.0034101759650798</v>
      </c>
      <c r="D4528" s="1" t="n">
        <v>0.5317</v>
      </c>
      <c r="E4528" s="1" t="n">
        <f aca="false">LN(D4528)</f>
        <v>-0.631675858471844</v>
      </c>
    </row>
    <row r="4529" customFormat="false" ht="15.75" hidden="false" customHeight="false" outlineLevel="0" collapsed="false">
      <c r="A4529" s="1" t="s">
        <v>951</v>
      </c>
      <c r="B4529" s="1" t="n">
        <v>302.89</v>
      </c>
      <c r="C4529" s="1" t="n">
        <f aca="false">1/B4529</f>
        <v>0.00330152860774539</v>
      </c>
      <c r="D4529" s="1" t="n">
        <v>0.4736</v>
      </c>
      <c r="E4529" s="1" t="n">
        <f aca="false">LN(D4529)</f>
        <v>-0.747392195412341</v>
      </c>
    </row>
    <row r="4530" customFormat="false" ht="15.75" hidden="false" customHeight="false" outlineLevel="0" collapsed="false">
      <c r="A4530" s="1" t="s">
        <v>951</v>
      </c>
      <c r="B4530" s="1" t="n">
        <v>313.03</v>
      </c>
      <c r="C4530" s="1" t="n">
        <f aca="false">1/B4530</f>
        <v>0.00319458198894675</v>
      </c>
      <c r="D4530" s="1" t="n">
        <v>0.4231</v>
      </c>
      <c r="E4530" s="1" t="n">
        <f aca="false">LN(D4530)</f>
        <v>-0.860146721256115</v>
      </c>
    </row>
    <row r="4531" customFormat="false" ht="15.75" hidden="false" customHeight="false" outlineLevel="0" collapsed="false">
      <c r="A4531" s="1" t="s">
        <v>951</v>
      </c>
      <c r="B4531" s="1" t="n">
        <v>323.14</v>
      </c>
      <c r="C4531" s="1" t="n">
        <f aca="false">1/B4531</f>
        <v>0.00309463390480906</v>
      </c>
      <c r="D4531" s="1" t="n">
        <v>0.3818</v>
      </c>
      <c r="E4531" s="1" t="n">
        <f aca="false">LN(D4531)</f>
        <v>-0.96285836769049</v>
      </c>
    </row>
    <row r="4532" customFormat="false" ht="15.75" hidden="false" customHeight="false" outlineLevel="0" collapsed="false">
      <c r="A4532" s="1" t="s">
        <v>951</v>
      </c>
      <c r="B4532" s="1" t="n">
        <v>332.29</v>
      </c>
      <c r="C4532" s="1" t="n">
        <f aca="false">1/B4532</f>
        <v>0.00300941948298173</v>
      </c>
      <c r="D4532" s="1" t="n">
        <v>0.3478</v>
      </c>
      <c r="E4532" s="1" t="n">
        <f aca="false">LN(D4532)</f>
        <v>-1.05612767706195</v>
      </c>
    </row>
    <row r="4533" customFormat="false" ht="15.75" hidden="false" customHeight="false" outlineLevel="0" collapsed="false">
      <c r="A4533" s="1" t="s">
        <v>951</v>
      </c>
      <c r="B4533" s="1" t="n">
        <v>342.19</v>
      </c>
      <c r="C4533" s="1" t="n">
        <f aca="false">1/B4533</f>
        <v>0.00292235307869897</v>
      </c>
      <c r="D4533" s="1" t="n">
        <v>0.3155</v>
      </c>
      <c r="E4533" s="1" t="n">
        <f aca="false">LN(D4533)</f>
        <v>-1.15359659700087</v>
      </c>
    </row>
    <row r="4534" customFormat="false" ht="15.75" hidden="false" customHeight="false" outlineLevel="0" collapsed="false">
      <c r="A4534" s="1" t="s">
        <v>951</v>
      </c>
      <c r="B4534" s="1" t="n">
        <v>345.27</v>
      </c>
      <c r="C4534" s="1" t="n">
        <f aca="false">1/B4534</f>
        <v>0.00289628406754134</v>
      </c>
      <c r="D4534" s="1" t="n">
        <v>0.3074</v>
      </c>
      <c r="E4534" s="1" t="n">
        <f aca="false">LN(D4534)</f>
        <v>-1.17960544787764</v>
      </c>
    </row>
    <row r="4535" customFormat="false" ht="15.75" hidden="false" customHeight="false" outlineLevel="0" collapsed="false">
      <c r="A4535" s="1" t="s">
        <v>951</v>
      </c>
      <c r="B4535" s="1" t="n">
        <v>353.3</v>
      </c>
      <c r="C4535" s="1" t="n">
        <f aca="false">1/B4535</f>
        <v>0.00283045570336824</v>
      </c>
      <c r="D4535" s="1" t="n">
        <v>0.2855</v>
      </c>
      <c r="E4535" s="1" t="n">
        <f aca="false">LN(D4535)</f>
        <v>-1.25351324988607</v>
      </c>
    </row>
    <row r="4536" customFormat="false" ht="15.75" hidden="false" customHeight="false" outlineLevel="0" collapsed="false">
      <c r="A4536" s="1" t="s">
        <v>951</v>
      </c>
      <c r="B4536" s="1" t="n">
        <v>362.84</v>
      </c>
      <c r="C4536" s="1" t="n">
        <f aca="false">1/B4536</f>
        <v>0.00275603571822291</v>
      </c>
      <c r="D4536" s="1" t="n">
        <v>0.2627</v>
      </c>
      <c r="E4536" s="1" t="n">
        <f aca="false">LN(D4536)</f>
        <v>-1.33674258229064</v>
      </c>
    </row>
    <row r="4537" customFormat="false" ht="15.75" hidden="false" customHeight="false" outlineLevel="0" collapsed="false">
      <c r="A4537" s="1" t="s">
        <v>951</v>
      </c>
      <c r="B4537" s="1" t="n">
        <v>288.15</v>
      </c>
      <c r="C4537" s="1" t="n">
        <f aca="false">1/B4537</f>
        <v>0.00347041471455839</v>
      </c>
      <c r="D4537" s="1" t="n">
        <v>0.564</v>
      </c>
      <c r="E4537" s="1" t="n">
        <f aca="false">LN(D4537)</f>
        <v>-0.572701027484078</v>
      </c>
    </row>
    <row r="4538" customFormat="false" ht="15.75" hidden="false" customHeight="false" outlineLevel="0" collapsed="false">
      <c r="A4538" s="1" t="s">
        <v>951</v>
      </c>
      <c r="B4538" s="1" t="n">
        <v>303.15</v>
      </c>
      <c r="C4538" s="1" t="n">
        <f aca="false">1/B4538</f>
        <v>0.0032986970146792</v>
      </c>
      <c r="D4538" s="1" t="n">
        <v>0.473</v>
      </c>
      <c r="E4538" s="1" t="n">
        <f aca="false">LN(D4538)</f>
        <v>-0.748659890490204</v>
      </c>
    </row>
    <row r="4539" customFormat="false" ht="15.75" hidden="false" customHeight="false" outlineLevel="0" collapsed="false">
      <c r="A4539" s="1" t="s">
        <v>951</v>
      </c>
      <c r="B4539" s="1" t="n">
        <v>308.15191</v>
      </c>
      <c r="C4539" s="1" t="n">
        <f aca="false">1/B4539</f>
        <v>0.00324515269108668</v>
      </c>
      <c r="D4539" s="1" t="n">
        <v>0.467</v>
      </c>
      <c r="E4539" s="1" t="n">
        <f aca="false">LN(D4539)</f>
        <v>-0.76142602131324</v>
      </c>
    </row>
    <row r="4540" customFormat="false" ht="15.75" hidden="false" customHeight="false" outlineLevel="0" collapsed="false">
      <c r="A4540" s="1" t="s">
        <v>951</v>
      </c>
      <c r="B4540" s="1" t="n">
        <v>318.15</v>
      </c>
      <c r="C4540" s="1" t="n">
        <f aca="false">1/B4540</f>
        <v>0.00314317146000314</v>
      </c>
      <c r="D4540" s="1" t="n">
        <v>0.436</v>
      </c>
      <c r="E4540" s="1" t="n">
        <f aca="false">LN(D4540)</f>
        <v>-0.830113035633103</v>
      </c>
    </row>
    <row r="4541" customFormat="false" ht="15.75" hidden="false" customHeight="false" outlineLevel="0" collapsed="false">
      <c r="A4541" s="1" t="s">
        <v>953</v>
      </c>
      <c r="B4541" s="1" t="n">
        <v>308.15</v>
      </c>
      <c r="C4541" s="1" t="n">
        <f aca="false">1/B4541</f>
        <v>0.00324517280545189</v>
      </c>
      <c r="D4541" s="1" t="n">
        <v>5.689</v>
      </c>
      <c r="E4541" s="1" t="n">
        <f aca="false">LN(D4541)</f>
        <v>1.73853448576851</v>
      </c>
    </row>
    <row r="4542" customFormat="false" ht="15.75" hidden="false" customHeight="false" outlineLevel="0" collapsed="false">
      <c r="A4542" s="1" t="s">
        <v>953</v>
      </c>
      <c r="B4542" s="1" t="n">
        <v>323.15</v>
      </c>
      <c r="C4542" s="1" t="n">
        <f aca="false">1/B4542</f>
        <v>0.00309453814018258</v>
      </c>
      <c r="D4542" s="1" t="n">
        <v>4.041</v>
      </c>
      <c r="E4542" s="1" t="n">
        <f aca="false">LN(D4542)</f>
        <v>1.39649218609634</v>
      </c>
    </row>
    <row r="4543" customFormat="false" ht="15.75" hidden="false" customHeight="false" outlineLevel="0" collapsed="false">
      <c r="A4543" s="1" t="s">
        <v>953</v>
      </c>
      <c r="B4543" s="1" t="n">
        <v>338.15</v>
      </c>
      <c r="C4543" s="1" t="n">
        <f aca="false">1/B4543</f>
        <v>0.002957267484844</v>
      </c>
      <c r="D4543" s="1" t="n">
        <v>2.986</v>
      </c>
      <c r="E4543" s="1" t="n">
        <f aca="false">LN(D4543)</f>
        <v>1.093934699117</v>
      </c>
    </row>
    <row r="4544" customFormat="false" ht="15.75" hidden="false" customHeight="false" outlineLevel="0" collapsed="false">
      <c r="A4544" s="1" t="s">
        <v>953</v>
      </c>
      <c r="B4544" s="1" t="n">
        <v>353.15</v>
      </c>
      <c r="C4544" s="1" t="n">
        <f aca="false">1/B4544</f>
        <v>0.00283165793572137</v>
      </c>
      <c r="D4544" s="1" t="n">
        <v>2.292</v>
      </c>
      <c r="E4544" s="1" t="n">
        <f aca="false">LN(D4544)</f>
        <v>0.829424798852493</v>
      </c>
    </row>
    <row r="4545" customFormat="false" ht="15.75" hidden="false" customHeight="false" outlineLevel="0" collapsed="false">
      <c r="A4545" s="1" t="s">
        <v>953</v>
      </c>
      <c r="B4545" s="1" t="n">
        <v>368.15</v>
      </c>
      <c r="C4545" s="1" t="n">
        <f aca="false">1/B4545</f>
        <v>0.0027162841233193</v>
      </c>
      <c r="D4545" s="1" t="n">
        <v>1.831</v>
      </c>
      <c r="E4545" s="1" t="n">
        <f aca="false">LN(D4545)</f>
        <v>0.604862265692374</v>
      </c>
    </row>
    <row r="4546" customFormat="false" ht="15.75" hidden="false" customHeight="false" outlineLevel="0" collapsed="false">
      <c r="A4546" s="1" t="s">
        <v>955</v>
      </c>
      <c r="B4546" s="1" t="n">
        <v>273.36</v>
      </c>
      <c r="C4546" s="1" t="n">
        <f aca="false">1/B4546</f>
        <v>0.00365817968978636</v>
      </c>
      <c r="D4546" s="1" t="n">
        <v>0.5575</v>
      </c>
      <c r="E4546" s="1" t="n">
        <f aca="false">LN(D4546)</f>
        <v>-0.584292775647863</v>
      </c>
    </row>
    <row r="4547" customFormat="false" ht="15.75" hidden="false" customHeight="false" outlineLevel="0" collapsed="false">
      <c r="A4547" s="1" t="s">
        <v>955</v>
      </c>
      <c r="B4547" s="1" t="n">
        <v>281.47</v>
      </c>
      <c r="C4547" s="1" t="n">
        <f aca="false">1/B4547</f>
        <v>0.00355277649483071</v>
      </c>
      <c r="D4547" s="1" t="n">
        <v>0.5059</v>
      </c>
      <c r="E4547" s="1" t="n">
        <f aca="false">LN(D4547)</f>
        <v>-0.681416257684247</v>
      </c>
    </row>
    <row r="4548" customFormat="false" ht="15.75" hidden="false" customHeight="false" outlineLevel="0" collapsed="false">
      <c r="A4548" s="1" t="s">
        <v>955</v>
      </c>
      <c r="B4548" s="1" t="n">
        <v>289</v>
      </c>
      <c r="C4548" s="1" t="n">
        <f aca="false">1/B4548</f>
        <v>0.00346020761245675</v>
      </c>
      <c r="D4548" s="1" t="n">
        <v>0.4645</v>
      </c>
      <c r="E4548" s="1" t="n">
        <f aca="false">LN(D4548)</f>
        <v>-0.766793720728244</v>
      </c>
    </row>
    <row r="4549" customFormat="false" ht="15.75" hidden="false" customHeight="false" outlineLevel="0" collapsed="false">
      <c r="A4549" s="1" t="s">
        <v>955</v>
      </c>
      <c r="B4549" s="1" t="n">
        <v>305.78</v>
      </c>
      <c r="C4549" s="1" t="n">
        <f aca="false">1/B4549</f>
        <v>0.00327032507031199</v>
      </c>
      <c r="D4549" s="1" t="n">
        <v>0.3899</v>
      </c>
      <c r="E4549" s="1" t="n">
        <f aca="false">LN(D4549)</f>
        <v>-0.941864982993585</v>
      </c>
    </row>
    <row r="4550" customFormat="false" ht="15.75" hidden="false" customHeight="false" outlineLevel="0" collapsed="false">
      <c r="A4550" s="1" t="s">
        <v>955</v>
      </c>
      <c r="B4550" s="1" t="n">
        <v>313.24</v>
      </c>
      <c r="C4550" s="1" t="n">
        <f aca="false">1/B4550</f>
        <v>0.00319244030136636</v>
      </c>
      <c r="D4550" s="1" t="n">
        <v>0.3628</v>
      </c>
      <c r="E4550" s="1" t="n">
        <f aca="false">LN(D4550)</f>
        <v>-1.01390356074116</v>
      </c>
    </row>
    <row r="4551" customFormat="false" ht="15.75" hidden="false" customHeight="false" outlineLevel="0" collapsed="false">
      <c r="A4551" s="1" t="s">
        <v>955</v>
      </c>
      <c r="B4551" s="1" t="n">
        <v>320.9</v>
      </c>
      <c r="C4551" s="1" t="n">
        <f aca="false">1/B4551</f>
        <v>0.00311623558741041</v>
      </c>
      <c r="D4551" s="1" t="n">
        <v>0.3381</v>
      </c>
      <c r="E4551" s="1" t="n">
        <f aca="false">LN(D4551)</f>
        <v>-1.0844135692683</v>
      </c>
    </row>
    <row r="4552" customFormat="false" ht="15.75" hidden="false" customHeight="false" outlineLevel="0" collapsed="false">
      <c r="A4552" s="1" t="s">
        <v>955</v>
      </c>
      <c r="B4552" s="1" t="n">
        <v>336.65</v>
      </c>
      <c r="C4552" s="1" t="n">
        <f aca="false">1/B4552</f>
        <v>0.00297044408139017</v>
      </c>
      <c r="D4552" s="1" t="n">
        <v>0.2947</v>
      </c>
      <c r="E4552" s="1" t="n">
        <f aca="false">LN(D4552)</f>
        <v>-1.22179738923849</v>
      </c>
    </row>
    <row r="4553" customFormat="false" ht="15.75" hidden="false" customHeight="false" outlineLevel="0" collapsed="false">
      <c r="A4553" s="1" t="s">
        <v>955</v>
      </c>
      <c r="B4553" s="1" t="n">
        <v>344.4</v>
      </c>
      <c r="C4553" s="1" t="n">
        <f aca="false">1/B4553</f>
        <v>0.00290360046457607</v>
      </c>
      <c r="D4553" s="1" t="n">
        <v>0.2761</v>
      </c>
      <c r="E4553" s="1" t="n">
        <f aca="false">LN(D4553)</f>
        <v>-1.28699216004603</v>
      </c>
    </row>
    <row r="4554" customFormat="false" ht="15.75" hidden="false" customHeight="false" outlineLevel="0" collapsed="false">
      <c r="A4554" s="1" t="s">
        <v>955</v>
      </c>
      <c r="B4554" s="1" t="n">
        <v>353.46</v>
      </c>
      <c r="C4554" s="1" t="n">
        <f aca="false">1/B4554</f>
        <v>0.0028291744468964</v>
      </c>
      <c r="D4554" s="1" t="n">
        <v>0.2563</v>
      </c>
      <c r="E4554" s="1" t="n">
        <f aca="false">LN(D4554)</f>
        <v>-1.36140664561211</v>
      </c>
    </row>
    <row r="4555" customFormat="false" ht="15.75" hidden="false" customHeight="false" outlineLevel="0" collapsed="false">
      <c r="A4555" s="1" t="s">
        <v>955</v>
      </c>
      <c r="B4555" s="1" t="n">
        <v>297.79</v>
      </c>
      <c r="C4555" s="1" t="n">
        <f aca="false">1/B4555</f>
        <v>0.0033580711239464</v>
      </c>
      <c r="D4555" s="1" t="n">
        <v>0.4237</v>
      </c>
      <c r="E4555" s="1" t="n">
        <f aca="false">LN(D4555)</f>
        <v>-0.858729621349623</v>
      </c>
    </row>
    <row r="4556" customFormat="false" ht="15.75" hidden="false" customHeight="false" outlineLevel="0" collapsed="false">
      <c r="A4556" s="1" t="s">
        <v>955</v>
      </c>
      <c r="B4556" s="1" t="n">
        <v>329.64</v>
      </c>
      <c r="C4556" s="1" t="n">
        <f aca="false">1/B4556</f>
        <v>0.0030336124256765</v>
      </c>
      <c r="D4556" s="1" t="n">
        <v>0.3126</v>
      </c>
      <c r="E4556" s="1" t="n">
        <f aca="false">LN(D4556)</f>
        <v>-1.16283086099476</v>
      </c>
    </row>
    <row r="4557" customFormat="false" ht="15.75" hidden="false" customHeight="false" outlineLevel="0" collapsed="false">
      <c r="A4557" s="1" t="s">
        <v>955</v>
      </c>
      <c r="B4557" s="1" t="n">
        <v>361.14</v>
      </c>
      <c r="C4557" s="1" t="n">
        <f aca="false">1/B4557</f>
        <v>0.00276900924849089</v>
      </c>
      <c r="D4557" s="1" t="n">
        <v>0.2406</v>
      </c>
      <c r="E4557" s="1" t="n">
        <f aca="false">LN(D4557)</f>
        <v>-1.42461947544156</v>
      </c>
    </row>
    <row r="4558" customFormat="false" ht="15.75" hidden="false" customHeight="false" outlineLevel="0" collapsed="false">
      <c r="A4558" s="1" t="s">
        <v>1456</v>
      </c>
      <c r="B4558" s="1" t="n">
        <v>293.15</v>
      </c>
      <c r="C4558" s="1" t="n">
        <f aca="false">1/B4558</f>
        <v>0.00341122292341805</v>
      </c>
      <c r="D4558" s="1" t="n">
        <v>38.0518</v>
      </c>
      <c r="E4558" s="1" t="n">
        <f aca="false">LN(D4558)</f>
        <v>3.63894838936488</v>
      </c>
    </row>
    <row r="4559" customFormat="false" ht="15.75" hidden="false" customHeight="false" outlineLevel="0" collapsed="false">
      <c r="A4559" s="1" t="s">
        <v>1456</v>
      </c>
      <c r="B4559" s="1" t="n">
        <v>303.15</v>
      </c>
      <c r="C4559" s="1" t="n">
        <f aca="false">1/B4559</f>
        <v>0.0032986970146792</v>
      </c>
      <c r="D4559" s="1" t="n">
        <v>21.1374</v>
      </c>
      <c r="E4559" s="1" t="n">
        <f aca="false">LN(D4559)</f>
        <v>3.05104398328506</v>
      </c>
    </row>
    <row r="4560" customFormat="false" ht="15.75" hidden="false" customHeight="false" outlineLevel="0" collapsed="false">
      <c r="A4560" s="1" t="s">
        <v>1456</v>
      </c>
      <c r="B4560" s="1" t="n">
        <v>313.15</v>
      </c>
      <c r="C4560" s="1" t="n">
        <f aca="false">1/B4560</f>
        <v>0.00319335781574325</v>
      </c>
      <c r="D4560" s="1" t="n">
        <v>14.9098</v>
      </c>
      <c r="E4560" s="1" t="n">
        <f aca="false">LN(D4560)</f>
        <v>2.70201871487045</v>
      </c>
    </row>
    <row r="4561" customFormat="false" ht="15.75" hidden="false" customHeight="false" outlineLevel="0" collapsed="false">
      <c r="A4561" s="1" t="s">
        <v>1456</v>
      </c>
      <c r="B4561" s="1" t="n">
        <v>333.15</v>
      </c>
      <c r="C4561" s="1" t="n">
        <f aca="false">1/B4561</f>
        <v>0.0030016509079994</v>
      </c>
      <c r="D4561" s="1" t="n">
        <v>7.0274</v>
      </c>
      <c r="E4561" s="1" t="n">
        <f aca="false">LN(D4561)</f>
        <v>1.94981679388585</v>
      </c>
    </row>
    <row r="4562" customFormat="false" ht="15.75" hidden="false" customHeight="false" outlineLevel="0" collapsed="false">
      <c r="A4562" s="1" t="s">
        <v>1456</v>
      </c>
      <c r="B4562" s="1" t="n">
        <v>353.15</v>
      </c>
      <c r="C4562" s="1" t="n">
        <f aca="false">1/B4562</f>
        <v>0.00283165793572137</v>
      </c>
      <c r="D4562" s="1" t="n">
        <v>3.7893</v>
      </c>
      <c r="E4562" s="1" t="n">
        <f aca="false">LN(D4562)</f>
        <v>1.3321813054659</v>
      </c>
    </row>
    <row r="4563" customFormat="false" ht="15.75" hidden="false" customHeight="false" outlineLevel="0" collapsed="false">
      <c r="A4563" s="1" t="s">
        <v>1456</v>
      </c>
      <c r="B4563" s="1" t="n">
        <v>373.15</v>
      </c>
      <c r="C4563" s="1" t="n">
        <f aca="false">1/B4563</f>
        <v>0.00267988744472732</v>
      </c>
      <c r="D4563" s="1" t="n">
        <v>2.2894</v>
      </c>
      <c r="E4563" s="1" t="n">
        <f aca="false">LN(D4563)</f>
        <v>0.828289774502239</v>
      </c>
    </row>
    <row r="4564" customFormat="false" ht="15.75" hidden="false" customHeight="false" outlineLevel="0" collapsed="false">
      <c r="A4564" s="1" t="s">
        <v>957</v>
      </c>
      <c r="B4564" s="1" t="n">
        <v>273.24</v>
      </c>
      <c r="C4564" s="1" t="n">
        <f aca="false">1/B4564</f>
        <v>0.00365978626848192</v>
      </c>
      <c r="D4564" s="1" t="n">
        <v>1.1472</v>
      </c>
      <c r="E4564" s="1" t="n">
        <f aca="false">LN(D4564)</f>
        <v>0.137324190863219</v>
      </c>
    </row>
    <row r="4565" customFormat="false" ht="15.75" hidden="false" customHeight="false" outlineLevel="0" collapsed="false">
      <c r="A4565" s="1" t="s">
        <v>957</v>
      </c>
      <c r="B4565" s="1" t="n">
        <v>283.15</v>
      </c>
      <c r="C4565" s="1" t="n">
        <f aca="false">1/B4565</f>
        <v>0.00353169698039908</v>
      </c>
      <c r="D4565" s="1" t="n">
        <v>0.9664</v>
      </c>
      <c r="E4565" s="1" t="n">
        <f aca="false">LN(D4565)</f>
        <v>-0.0341774518015865</v>
      </c>
    </row>
    <row r="4566" customFormat="false" ht="15.75" hidden="false" customHeight="false" outlineLevel="0" collapsed="false">
      <c r="A4566" s="1" t="s">
        <v>957</v>
      </c>
      <c r="B4566" s="1" t="n">
        <v>303.15</v>
      </c>
      <c r="C4566" s="1" t="n">
        <f aca="false">1/B4566</f>
        <v>0.0032986970146792</v>
      </c>
      <c r="D4566" s="1" t="n">
        <v>0.7239</v>
      </c>
      <c r="E4566" s="1" t="n">
        <f aca="false">LN(D4566)</f>
        <v>-0.323102017683041</v>
      </c>
    </row>
    <row r="4567" customFormat="false" ht="15.75" hidden="false" customHeight="false" outlineLevel="0" collapsed="false">
      <c r="A4567" s="1" t="s">
        <v>957</v>
      </c>
      <c r="B4567" s="1" t="n">
        <v>313.15</v>
      </c>
      <c r="C4567" s="1" t="n">
        <f aca="false">1/B4567</f>
        <v>0.00319335781574325</v>
      </c>
      <c r="D4567" s="1" t="n">
        <v>0.6254</v>
      </c>
      <c r="E4567" s="1" t="n">
        <f aca="false">LN(D4567)</f>
        <v>-0.469363833958396</v>
      </c>
    </row>
    <row r="4568" customFormat="false" ht="15.75" hidden="false" customHeight="false" outlineLevel="0" collapsed="false">
      <c r="A4568" s="1" t="s">
        <v>957</v>
      </c>
      <c r="B4568" s="1" t="n">
        <v>353.15</v>
      </c>
      <c r="C4568" s="1" t="n">
        <f aca="false">1/B4568</f>
        <v>0.00283165793572137</v>
      </c>
      <c r="D4568" s="1" t="n">
        <v>0.414</v>
      </c>
      <c r="E4568" s="1" t="n">
        <f aca="false">LN(D4568)</f>
        <v>-0.881889305156823</v>
      </c>
    </row>
    <row r="4569" customFormat="false" ht="15.75" hidden="false" customHeight="false" outlineLevel="0" collapsed="false">
      <c r="A4569" s="1" t="s">
        <v>957</v>
      </c>
      <c r="B4569" s="1" t="n">
        <v>373.15</v>
      </c>
      <c r="C4569" s="1" t="n">
        <f aca="false">1/B4569</f>
        <v>0.00267988744472732</v>
      </c>
      <c r="D4569" s="1" t="n">
        <v>0.3456</v>
      </c>
      <c r="E4569" s="1" t="n">
        <f aca="false">LN(D4569)</f>
        <v>-1.06247324205224</v>
      </c>
    </row>
    <row r="4570" customFormat="false" ht="15.75" hidden="false" customHeight="false" outlineLevel="0" collapsed="false">
      <c r="A4570" s="1" t="s">
        <v>957</v>
      </c>
      <c r="B4570" s="1" t="n">
        <v>293.15</v>
      </c>
      <c r="C4570" s="1" t="n">
        <f aca="false">1/B4570</f>
        <v>0.00341122292341805</v>
      </c>
      <c r="D4570" s="1" t="n">
        <v>0.8322</v>
      </c>
      <c r="E4570" s="1" t="n">
        <f aca="false">LN(D4570)</f>
        <v>-0.183682482433296</v>
      </c>
    </row>
    <row r="4571" customFormat="false" ht="15.75" hidden="false" customHeight="false" outlineLevel="0" collapsed="false">
      <c r="A4571" s="1" t="s">
        <v>957</v>
      </c>
      <c r="B4571" s="1" t="n">
        <v>333.15</v>
      </c>
      <c r="C4571" s="1" t="n">
        <f aca="false">1/B4571</f>
        <v>0.0030016509079994</v>
      </c>
      <c r="D4571" s="1" t="n">
        <v>0.5038</v>
      </c>
      <c r="E4571" s="1" t="n">
        <f aca="false">LN(D4571)</f>
        <v>-0.685575915063627</v>
      </c>
    </row>
    <row r="4572" customFormat="false" ht="15.75" hidden="false" customHeight="false" outlineLevel="0" collapsed="false">
      <c r="A4572" s="1" t="s">
        <v>957</v>
      </c>
      <c r="B4572" s="1" t="n">
        <v>293.16</v>
      </c>
      <c r="C4572" s="1" t="n">
        <f aca="false">1/B4572</f>
        <v>0.00341110656296903</v>
      </c>
      <c r="D4572" s="1" t="n">
        <v>0.821</v>
      </c>
      <c r="E4572" s="1" t="n">
        <f aca="false">LN(D4572)</f>
        <v>-0.197232169529709</v>
      </c>
    </row>
    <row r="4573" customFormat="false" ht="15.75" hidden="false" customHeight="false" outlineLevel="0" collapsed="false">
      <c r="A4573" s="1" t="s">
        <v>1457</v>
      </c>
      <c r="B4573" s="1" t="n">
        <v>298.15</v>
      </c>
      <c r="C4573" s="1" t="n">
        <f aca="false">1/B4573</f>
        <v>0.00335401643468053</v>
      </c>
      <c r="D4573" s="1" t="n">
        <v>0.602</v>
      </c>
      <c r="E4573" s="1" t="n">
        <f aca="false">LN(D4573)</f>
        <v>-0.507497833673316</v>
      </c>
    </row>
    <row r="4574" customFormat="false" ht="15.75" hidden="false" customHeight="false" outlineLevel="0" collapsed="false">
      <c r="A4574" s="1" t="s">
        <v>1457</v>
      </c>
      <c r="B4574" s="1" t="n">
        <v>308.15</v>
      </c>
      <c r="C4574" s="1" t="n">
        <f aca="false">1/B4574</f>
        <v>0.00324517280545189</v>
      </c>
      <c r="D4574" s="1" t="n">
        <v>0.522</v>
      </c>
      <c r="E4574" s="1" t="n">
        <f aca="false">LN(D4574)</f>
        <v>-0.650087691099498</v>
      </c>
    </row>
    <row r="4575" customFormat="false" ht="15.75" hidden="false" customHeight="false" outlineLevel="0" collapsed="false">
      <c r="A4575" s="1" t="s">
        <v>959</v>
      </c>
      <c r="B4575" s="1" t="n">
        <v>283.15</v>
      </c>
      <c r="C4575" s="1" t="n">
        <f aca="false">1/B4575</f>
        <v>0.00353169698039908</v>
      </c>
      <c r="D4575" s="1" t="n">
        <v>5.73</v>
      </c>
      <c r="E4575" s="1" t="n">
        <f aca="false">LN(D4575)</f>
        <v>1.74571553072665</v>
      </c>
    </row>
    <row r="4576" customFormat="false" ht="15.75" hidden="false" customHeight="false" outlineLevel="0" collapsed="false">
      <c r="A4576" s="1" t="s">
        <v>959</v>
      </c>
      <c r="B4576" s="1" t="n">
        <v>288.15</v>
      </c>
      <c r="C4576" s="1" t="n">
        <f aca="false">1/B4576</f>
        <v>0.00347041471455839</v>
      </c>
      <c r="D4576" s="1" t="n">
        <v>4.87</v>
      </c>
      <c r="E4576" s="1" t="n">
        <f aca="false">LN(D4576)</f>
        <v>1.5830939370945</v>
      </c>
    </row>
    <row r="4577" customFormat="false" ht="15.75" hidden="false" customHeight="false" outlineLevel="0" collapsed="false">
      <c r="A4577" s="1" t="s">
        <v>959</v>
      </c>
      <c r="B4577" s="1" t="n">
        <v>293.15</v>
      </c>
      <c r="C4577" s="1" t="n">
        <f aca="false">1/B4577</f>
        <v>0.00341122292341805</v>
      </c>
      <c r="D4577" s="1" t="n">
        <v>4.21</v>
      </c>
      <c r="E4577" s="1" t="n">
        <f aca="false">LN(D4577)</f>
        <v>1.43746264769429</v>
      </c>
    </row>
    <row r="4578" customFormat="false" ht="15.75" hidden="false" customHeight="false" outlineLevel="0" collapsed="false">
      <c r="A4578" s="1" t="s">
        <v>959</v>
      </c>
      <c r="B4578" s="1" t="n">
        <v>303.15</v>
      </c>
      <c r="C4578" s="1" t="n">
        <f aca="false">1/B4578</f>
        <v>0.0032986970146792</v>
      </c>
      <c r="D4578" s="1" t="n">
        <v>3.29</v>
      </c>
      <c r="E4578" s="1" t="n">
        <f aca="false">LN(D4578)</f>
        <v>1.19088756477728</v>
      </c>
    </row>
    <row r="4579" customFormat="false" ht="15.75" hidden="false" customHeight="false" outlineLevel="0" collapsed="false">
      <c r="A4579" s="1" t="s">
        <v>959</v>
      </c>
      <c r="B4579" s="1" t="n">
        <v>308.15</v>
      </c>
      <c r="C4579" s="1" t="n">
        <f aca="false">1/B4579</f>
        <v>0.00324517280545189</v>
      </c>
      <c r="D4579" s="1" t="n">
        <v>2.92</v>
      </c>
      <c r="E4579" s="1" t="n">
        <f aca="false">LN(D4579)</f>
        <v>1.07158361628019</v>
      </c>
    </row>
    <row r="4580" customFormat="false" ht="15.75" hidden="false" customHeight="false" outlineLevel="0" collapsed="false">
      <c r="A4580" s="1" t="s">
        <v>959</v>
      </c>
      <c r="B4580" s="1" t="n">
        <v>313.15</v>
      </c>
      <c r="C4580" s="1" t="n">
        <f aca="false">1/B4580</f>
        <v>0.00319335781574325</v>
      </c>
      <c r="D4580" s="1" t="n">
        <v>2.6</v>
      </c>
      <c r="E4580" s="1" t="n">
        <f aca="false">LN(D4580)</f>
        <v>0.955511445027436</v>
      </c>
    </row>
    <row r="4581" customFormat="false" ht="15.75" hidden="false" customHeight="false" outlineLevel="0" collapsed="false">
      <c r="A4581" s="1" t="s">
        <v>959</v>
      </c>
      <c r="B4581" s="1" t="n">
        <v>323.15</v>
      </c>
      <c r="C4581" s="1" t="n">
        <f aca="false">1/B4581</f>
        <v>0.00309453814018258</v>
      </c>
      <c r="D4581" s="1" t="n">
        <v>2.14</v>
      </c>
      <c r="E4581" s="1" t="n">
        <f aca="false">LN(D4581)</f>
        <v>0.76080582903376</v>
      </c>
    </row>
    <row r="4582" customFormat="false" ht="15.75" hidden="false" customHeight="false" outlineLevel="0" collapsed="false">
      <c r="A4582" s="1" t="s">
        <v>959</v>
      </c>
      <c r="B4582" s="1" t="n">
        <v>328.15</v>
      </c>
      <c r="C4582" s="1" t="n">
        <f aca="false">1/B4582</f>
        <v>0.00304738686576261</v>
      </c>
      <c r="D4582" s="1" t="n">
        <v>1.95</v>
      </c>
      <c r="E4582" s="1" t="n">
        <f aca="false">LN(D4582)</f>
        <v>0.667829372575655</v>
      </c>
    </row>
    <row r="4583" customFormat="false" ht="15.75" hidden="false" customHeight="false" outlineLevel="0" collapsed="false">
      <c r="A4583" s="1" t="s">
        <v>959</v>
      </c>
      <c r="B4583" s="1" t="n">
        <v>333.15</v>
      </c>
      <c r="C4583" s="1" t="n">
        <f aca="false">1/B4583</f>
        <v>0.0030016509079994</v>
      </c>
      <c r="D4583" s="1" t="n">
        <v>1.82</v>
      </c>
      <c r="E4583" s="1" t="n">
        <f aca="false">LN(D4583)</f>
        <v>0.598836501088704</v>
      </c>
    </row>
    <row r="4584" customFormat="false" ht="15.75" hidden="false" customHeight="false" outlineLevel="0" collapsed="false">
      <c r="A4584" s="1" t="s">
        <v>959</v>
      </c>
      <c r="B4584" s="1" t="n">
        <v>298.15</v>
      </c>
      <c r="C4584" s="1" t="n">
        <f aca="false">1/B4584</f>
        <v>0.00335401643468053</v>
      </c>
      <c r="D4584" s="1" t="n">
        <v>3.69</v>
      </c>
      <c r="E4584" s="1" t="n">
        <f aca="false">LN(D4584)</f>
        <v>1.30562645805244</v>
      </c>
    </row>
    <row r="4585" customFormat="false" ht="15.75" hidden="false" customHeight="false" outlineLevel="0" collapsed="false">
      <c r="A4585" s="1" t="s">
        <v>959</v>
      </c>
      <c r="B4585" s="1" t="n">
        <v>318.15</v>
      </c>
      <c r="C4585" s="1" t="n">
        <f aca="false">1/B4585</f>
        <v>0.00314317146000314</v>
      </c>
      <c r="D4585" s="1" t="n">
        <v>2.36</v>
      </c>
      <c r="E4585" s="1" t="n">
        <f aca="false">LN(D4585)</f>
        <v>0.858661619037519</v>
      </c>
    </row>
    <row r="4586" customFormat="false" ht="15.75" hidden="false" customHeight="false" outlineLevel="0" collapsed="false">
      <c r="A4586" s="1" t="s">
        <v>961</v>
      </c>
      <c r="B4586" s="1" t="n">
        <v>298.15</v>
      </c>
      <c r="C4586" s="1" t="n">
        <f aca="false">1/B4586</f>
        <v>0.00335401643468053</v>
      </c>
      <c r="D4586" s="1" t="n">
        <v>2.056</v>
      </c>
      <c r="E4586" s="1" t="n">
        <f aca="false">LN(D4586)</f>
        <v>0.720762347592919</v>
      </c>
    </row>
    <row r="4587" customFormat="false" ht="15.75" hidden="false" customHeight="false" outlineLevel="0" collapsed="false">
      <c r="A4587" s="1" t="s">
        <v>961</v>
      </c>
      <c r="B4587" s="1" t="n">
        <v>308.15</v>
      </c>
      <c r="C4587" s="1" t="n">
        <f aca="false">1/B4587</f>
        <v>0.00324517280545189</v>
      </c>
      <c r="D4587" s="1" t="n">
        <v>1.734</v>
      </c>
      <c r="E4587" s="1" t="n">
        <f aca="false">LN(D4587)</f>
        <v>0.55043087835835</v>
      </c>
    </row>
    <row r="4588" customFormat="false" ht="15.75" hidden="false" customHeight="false" outlineLevel="0" collapsed="false">
      <c r="A4588" s="1" t="s">
        <v>961</v>
      </c>
      <c r="B4588" s="1" t="n">
        <v>318.15</v>
      </c>
      <c r="C4588" s="1" t="n">
        <f aca="false">1/B4588</f>
        <v>0.00314317146000314</v>
      </c>
      <c r="D4588" s="1" t="n">
        <v>1.483</v>
      </c>
      <c r="E4588" s="1" t="n">
        <f aca="false">LN(D4588)</f>
        <v>0.394067063155795</v>
      </c>
    </row>
    <row r="4589" customFormat="false" ht="15.75" hidden="false" customHeight="false" outlineLevel="0" collapsed="false">
      <c r="A4589" s="1" t="s">
        <v>961</v>
      </c>
      <c r="B4589" s="1" t="n">
        <v>328.15</v>
      </c>
      <c r="C4589" s="1" t="n">
        <f aca="false">1/B4589</f>
        <v>0.00304738686576261</v>
      </c>
      <c r="D4589" s="1" t="n">
        <v>1.287</v>
      </c>
      <c r="E4589" s="1" t="n">
        <f aca="false">LN(D4589)</f>
        <v>0.25231392861399</v>
      </c>
    </row>
    <row r="4590" customFormat="false" ht="15.75" hidden="false" customHeight="false" outlineLevel="0" collapsed="false">
      <c r="A4590" s="1" t="s">
        <v>961</v>
      </c>
      <c r="B4590" s="1" t="n">
        <v>338.15</v>
      </c>
      <c r="C4590" s="1" t="n">
        <f aca="false">1/B4590</f>
        <v>0.002957267484844</v>
      </c>
      <c r="D4590" s="1" t="n">
        <v>1.13</v>
      </c>
      <c r="E4590" s="1" t="n">
        <f aca="false">LN(D4590)</f>
        <v>0.122217632724249</v>
      </c>
    </row>
    <row r="4591" customFormat="false" ht="15.75" hidden="false" customHeight="false" outlineLevel="0" collapsed="false">
      <c r="A4591" s="1" t="s">
        <v>961</v>
      </c>
      <c r="B4591" s="1" t="n">
        <v>348.15</v>
      </c>
      <c r="C4591" s="1" t="n">
        <f aca="false">1/B4591</f>
        <v>0.00287232514720666</v>
      </c>
      <c r="D4591" s="1" t="n">
        <v>1.002</v>
      </c>
      <c r="E4591" s="1" t="n">
        <f aca="false">LN(D4591)</f>
        <v>0.00199800266267306</v>
      </c>
    </row>
    <row r="4592" customFormat="false" ht="15.75" hidden="false" customHeight="false" outlineLevel="0" collapsed="false">
      <c r="A4592" s="1" t="s">
        <v>963</v>
      </c>
      <c r="B4592" s="1" t="n">
        <v>292.75</v>
      </c>
      <c r="C4592" s="1" t="n">
        <f aca="false">1/B4592</f>
        <v>0.00341588385994876</v>
      </c>
      <c r="D4592" s="1" t="n">
        <v>1.686</v>
      </c>
      <c r="E4592" s="1" t="n">
        <f aca="false">LN(D4592)</f>
        <v>0.522358859579664</v>
      </c>
    </row>
    <row r="4593" customFormat="false" ht="15.75" hidden="false" customHeight="false" outlineLevel="0" collapsed="false">
      <c r="A4593" s="1" t="s">
        <v>963</v>
      </c>
      <c r="B4593" s="1" t="n">
        <v>325.45</v>
      </c>
      <c r="C4593" s="1" t="n">
        <f aca="false">1/B4593</f>
        <v>0.00307266861269012</v>
      </c>
      <c r="D4593" s="1" t="n">
        <v>0.902</v>
      </c>
      <c r="E4593" s="1" t="n">
        <f aca="false">LN(D4593)</f>
        <v>-0.103140758919513</v>
      </c>
    </row>
    <row r="4594" customFormat="false" ht="15.75" hidden="false" customHeight="false" outlineLevel="0" collapsed="false">
      <c r="A4594" s="1" t="s">
        <v>963</v>
      </c>
      <c r="B4594" s="1" t="n">
        <v>336.85</v>
      </c>
      <c r="C4594" s="1" t="n">
        <f aca="false">1/B4594</f>
        <v>0.00296868042155262</v>
      </c>
      <c r="D4594" s="1" t="n">
        <v>0.758</v>
      </c>
      <c r="E4594" s="1" t="n">
        <f aca="false">LN(D4594)</f>
        <v>-0.277071893339765</v>
      </c>
    </row>
    <row r="4595" customFormat="false" ht="15.75" hidden="false" customHeight="false" outlineLevel="0" collapsed="false">
      <c r="A4595" s="1" t="s">
        <v>963</v>
      </c>
      <c r="B4595" s="1" t="n">
        <v>350.65</v>
      </c>
      <c r="C4595" s="1" t="n">
        <f aca="false">1/B4595</f>
        <v>0.0028518465706545</v>
      </c>
      <c r="D4595" s="1" t="n">
        <v>0.6246</v>
      </c>
      <c r="E4595" s="1" t="n">
        <f aca="false">LN(D4595)</f>
        <v>-0.470643834133159</v>
      </c>
    </row>
    <row r="4596" customFormat="false" ht="15.75" hidden="false" customHeight="false" outlineLevel="0" collapsed="false">
      <c r="A4596" s="1" t="s">
        <v>963</v>
      </c>
      <c r="B4596" s="1" t="n">
        <v>361.35</v>
      </c>
      <c r="C4596" s="1" t="n">
        <f aca="false">1/B4596</f>
        <v>0.002767400027674</v>
      </c>
      <c r="D4596" s="1" t="n">
        <v>0.5435</v>
      </c>
      <c r="E4596" s="1" t="n">
        <f aca="false">LN(D4596)</f>
        <v>-0.609725572420873</v>
      </c>
    </row>
    <row r="4597" customFormat="false" ht="15.75" hidden="false" customHeight="false" outlineLevel="0" collapsed="false">
      <c r="A4597" s="1" t="s">
        <v>963</v>
      </c>
      <c r="B4597" s="1" t="n">
        <v>372.75</v>
      </c>
      <c r="C4597" s="1" t="n">
        <f aca="false">1/B4597</f>
        <v>0.00268276324614353</v>
      </c>
      <c r="D4597" s="1" t="n">
        <v>0.4721</v>
      </c>
      <c r="E4597" s="1" t="n">
        <f aca="false">LN(D4597)</f>
        <v>-0.750564451429896</v>
      </c>
    </row>
    <row r="4598" customFormat="false" ht="15.75" hidden="false" customHeight="false" outlineLevel="0" collapsed="false">
      <c r="A4598" s="1" t="s">
        <v>963</v>
      </c>
      <c r="B4598" s="1" t="n">
        <v>382.45</v>
      </c>
      <c r="C4598" s="1" t="n">
        <f aca="false">1/B4598</f>
        <v>0.00261472087854622</v>
      </c>
      <c r="D4598" s="1" t="n">
        <v>0.4223</v>
      </c>
      <c r="E4598" s="1" t="n">
        <f aca="false">LN(D4598)</f>
        <v>-0.862039317042239</v>
      </c>
    </row>
    <row r="4599" customFormat="false" ht="15.75" hidden="false" customHeight="false" outlineLevel="0" collapsed="false">
      <c r="A4599" s="1" t="s">
        <v>963</v>
      </c>
      <c r="B4599" s="1" t="n">
        <v>389.85</v>
      </c>
      <c r="C4599" s="1" t="n">
        <f aca="false">1/B4599</f>
        <v>0.00256508913684751</v>
      </c>
      <c r="D4599" s="1" t="n">
        <v>0.389</v>
      </c>
      <c r="E4599" s="1" t="n">
        <f aca="false">LN(D4599)</f>
        <v>-0.944175935363691</v>
      </c>
    </row>
    <row r="4600" customFormat="false" ht="15.75" hidden="false" customHeight="false" outlineLevel="0" collapsed="false">
      <c r="A4600" s="1" t="s">
        <v>965</v>
      </c>
      <c r="B4600" s="1" t="n">
        <v>273.15</v>
      </c>
      <c r="C4600" s="1" t="n">
        <f aca="false">1/B4600</f>
        <v>0.00366099212886692</v>
      </c>
      <c r="D4600" s="1" t="n">
        <v>28.86</v>
      </c>
      <c r="E4600" s="1" t="n">
        <f aca="false">LN(D4600)</f>
        <v>3.36245655334572</v>
      </c>
    </row>
    <row r="4601" customFormat="false" ht="15.75" hidden="false" customHeight="false" outlineLevel="0" collapsed="false">
      <c r="A4601" s="1" t="s">
        <v>965</v>
      </c>
      <c r="B4601" s="1" t="n">
        <v>283.15</v>
      </c>
      <c r="C4601" s="1" t="n">
        <f aca="false">1/B4601</f>
        <v>0.00353169698039908</v>
      </c>
      <c r="D4601" s="1" t="n">
        <v>15.2369</v>
      </c>
      <c r="E4601" s="1" t="n">
        <f aca="false">LN(D4601)</f>
        <v>2.72372011749397</v>
      </c>
    </row>
    <row r="4602" customFormat="false" ht="15.75" hidden="false" customHeight="false" outlineLevel="0" collapsed="false">
      <c r="A4602" s="1" t="s">
        <v>965</v>
      </c>
      <c r="B4602" s="1" t="n">
        <v>293.15</v>
      </c>
      <c r="C4602" s="1" t="n">
        <f aca="false">1/B4602</f>
        <v>0.00341122292341805</v>
      </c>
      <c r="D4602" s="1" t="n">
        <v>9.1241</v>
      </c>
      <c r="E4602" s="1" t="n">
        <f aca="false">LN(D4602)</f>
        <v>2.2109192644673</v>
      </c>
    </row>
    <row r="4603" customFormat="false" ht="15.75" hidden="false" customHeight="false" outlineLevel="0" collapsed="false">
      <c r="A4603" s="1" t="s">
        <v>965</v>
      </c>
      <c r="B4603" s="1" t="n">
        <v>303.15</v>
      </c>
      <c r="C4603" s="1" t="n">
        <f aca="false">1/B4603</f>
        <v>0.0032986970146792</v>
      </c>
      <c r="D4603" s="1" t="n">
        <v>5.9916</v>
      </c>
      <c r="E4603" s="1" t="n">
        <f aca="false">LN(D4603)</f>
        <v>1.79035848831243</v>
      </c>
    </row>
    <row r="4604" customFormat="false" ht="15.75" hidden="false" customHeight="false" outlineLevel="0" collapsed="false">
      <c r="A4604" s="1" t="s">
        <v>965</v>
      </c>
      <c r="B4604" s="1" t="n">
        <v>313.15</v>
      </c>
      <c r="C4604" s="1" t="n">
        <f aca="false">1/B4604</f>
        <v>0.00319335781574325</v>
      </c>
      <c r="D4604" s="1" t="n">
        <v>4.2159</v>
      </c>
      <c r="E4604" s="1" t="n">
        <f aca="false">LN(D4604)</f>
        <v>1.43886309179267</v>
      </c>
    </row>
    <row r="4605" customFormat="false" ht="15.75" hidden="false" customHeight="false" outlineLevel="0" collapsed="false">
      <c r="A4605" s="1" t="s">
        <v>965</v>
      </c>
      <c r="B4605" s="1" t="n">
        <v>333.15</v>
      </c>
      <c r="C4605" s="1" t="n">
        <f aca="false">1/B4605</f>
        <v>0.0030016509079994</v>
      </c>
      <c r="D4605" s="1" t="n">
        <v>2.4301</v>
      </c>
      <c r="E4605" s="1" t="n">
        <f aca="false">LN(D4605)</f>
        <v>0.8879324087691</v>
      </c>
    </row>
    <row r="4606" customFormat="false" ht="15.75" hidden="false" customHeight="false" outlineLevel="0" collapsed="false">
      <c r="A4606" s="1" t="s">
        <v>965</v>
      </c>
      <c r="B4606" s="1" t="n">
        <v>353.15</v>
      </c>
      <c r="C4606" s="1" t="n">
        <f aca="false">1/B4606</f>
        <v>0.00283165793572137</v>
      </c>
      <c r="D4606" s="1" t="n">
        <v>1.5934</v>
      </c>
      <c r="E4606" s="1" t="n">
        <f aca="false">LN(D4606)</f>
        <v>0.465870097964129</v>
      </c>
    </row>
    <row r="4607" customFormat="false" ht="15.75" hidden="false" customHeight="false" outlineLevel="0" collapsed="false">
      <c r="A4607" s="1" t="s">
        <v>965</v>
      </c>
      <c r="B4607" s="1" t="n">
        <v>373.15</v>
      </c>
      <c r="C4607" s="1" t="n">
        <f aca="false">1/B4607</f>
        <v>0.00267988744472732</v>
      </c>
      <c r="D4607" s="1" t="n">
        <v>1.1533</v>
      </c>
      <c r="E4607" s="1" t="n">
        <f aca="false">LN(D4607)</f>
        <v>0.142627398249756</v>
      </c>
    </row>
    <row r="4608" customFormat="false" ht="15.75" hidden="false" customHeight="false" outlineLevel="0" collapsed="false">
      <c r="A4608" s="1" t="s">
        <v>1458</v>
      </c>
      <c r="B4608" s="1" t="n">
        <v>69.2</v>
      </c>
      <c r="C4608" s="1" t="n">
        <f aca="false">1/B4608</f>
        <v>0.0144508670520231</v>
      </c>
      <c r="D4608" s="1" t="n">
        <v>0.414</v>
      </c>
      <c r="E4608" s="1" t="n">
        <f aca="false">LN(D4608)</f>
        <v>-0.881889305156823</v>
      </c>
    </row>
    <row r="4609" customFormat="false" ht="15.75" hidden="false" customHeight="false" outlineLevel="0" collapsed="false">
      <c r="A4609" s="1" t="s">
        <v>1458</v>
      </c>
      <c r="B4609" s="1" t="n">
        <v>73.2</v>
      </c>
      <c r="C4609" s="1" t="n">
        <f aca="false">1/B4609</f>
        <v>0.0136612021857924</v>
      </c>
      <c r="D4609" s="1" t="n">
        <v>0.349</v>
      </c>
      <c r="E4609" s="1" t="n">
        <f aca="false">LN(D4609)</f>
        <v>-1.05268335677971</v>
      </c>
    </row>
    <row r="4610" customFormat="false" ht="15.75" hidden="false" customHeight="false" outlineLevel="0" collapsed="false">
      <c r="A4610" s="1" t="s">
        <v>1458</v>
      </c>
      <c r="B4610" s="1" t="n">
        <v>75.3</v>
      </c>
      <c r="C4610" s="1" t="n">
        <f aca="false">1/B4610</f>
        <v>0.0132802124833997</v>
      </c>
      <c r="D4610" s="1" t="n">
        <v>0.328</v>
      </c>
      <c r="E4610" s="1" t="n">
        <f aca="false">LN(D4610)</f>
        <v>-1.11474167059799</v>
      </c>
    </row>
    <row r="4611" customFormat="false" ht="15.75" hidden="false" customHeight="false" outlineLevel="0" collapsed="false">
      <c r="A4611" s="1" t="s">
        <v>1458</v>
      </c>
      <c r="B4611" s="1" t="n">
        <v>78.2</v>
      </c>
      <c r="C4611" s="1" t="n">
        <f aca="false">1/B4611</f>
        <v>0.0127877237851662</v>
      </c>
      <c r="D4611" s="1" t="n">
        <v>0.299</v>
      </c>
      <c r="E4611" s="1" t="n">
        <f aca="false">LN(D4611)</f>
        <v>-1.20731170559145</v>
      </c>
    </row>
    <row r="4612" customFormat="false" ht="15.75" hidden="false" customHeight="false" outlineLevel="0" collapsed="false">
      <c r="A4612" s="1" t="s">
        <v>1458</v>
      </c>
      <c r="B4612" s="1" t="n">
        <v>80.9</v>
      </c>
      <c r="C4612" s="1" t="n">
        <f aca="false">1/B4612</f>
        <v>0.0123609394313968</v>
      </c>
      <c r="D4612" s="1" t="n">
        <v>0.275</v>
      </c>
      <c r="E4612" s="1" t="n">
        <f aca="false">LN(D4612)</f>
        <v>-1.29098418131557</v>
      </c>
    </row>
    <row r="4613" customFormat="false" ht="15.75" hidden="false" customHeight="false" outlineLevel="0" collapsed="false">
      <c r="A4613" s="1" t="s">
        <v>1458</v>
      </c>
      <c r="B4613" s="1" t="n">
        <v>83.2</v>
      </c>
      <c r="C4613" s="1" t="n">
        <f aca="false">1/B4613</f>
        <v>0.0120192307692308</v>
      </c>
      <c r="D4613" s="1" t="n">
        <v>0.257</v>
      </c>
      <c r="E4613" s="1" t="n">
        <f aca="false">LN(D4613)</f>
        <v>-1.35867919408692</v>
      </c>
    </row>
    <row r="4614" customFormat="false" ht="15.75" hidden="false" customHeight="false" outlineLevel="0" collapsed="false">
      <c r="A4614" s="1" t="s">
        <v>967</v>
      </c>
      <c r="B4614" s="1" t="n">
        <v>273.3595</v>
      </c>
      <c r="C4614" s="1" t="n">
        <f aca="false">1/B4614</f>
        <v>0.00365818638093792</v>
      </c>
      <c r="D4614" s="1" t="n">
        <v>0.752</v>
      </c>
      <c r="E4614" s="1" t="n">
        <f aca="false">LN(D4614)</f>
        <v>-0.285018955032297</v>
      </c>
    </row>
    <row r="4615" customFormat="false" ht="15.75" hidden="false" customHeight="false" outlineLevel="0" collapsed="false">
      <c r="A4615" s="1" t="s">
        <v>967</v>
      </c>
      <c r="B4615" s="1" t="n">
        <v>282.45</v>
      </c>
      <c r="C4615" s="1" t="n">
        <f aca="false">1/B4615</f>
        <v>0.00354044963710391</v>
      </c>
      <c r="D4615" s="1" t="n">
        <v>0.653</v>
      </c>
      <c r="E4615" s="1" t="n">
        <f aca="false">LN(D4615)</f>
        <v>-0.426178149705706</v>
      </c>
    </row>
    <row r="4616" customFormat="false" ht="15.75" hidden="false" customHeight="false" outlineLevel="0" collapsed="false">
      <c r="A4616" s="1" t="s">
        <v>967</v>
      </c>
      <c r="B4616" s="1" t="n">
        <v>289.05</v>
      </c>
      <c r="C4616" s="1" t="n">
        <f aca="false">1/B4616</f>
        <v>0.00345960906417575</v>
      </c>
      <c r="D4616" s="1" t="n">
        <v>0.622</v>
      </c>
      <c r="E4616" s="1" t="n">
        <f aca="false">LN(D4616)</f>
        <v>-0.474815186242958</v>
      </c>
    </row>
    <row r="4617" customFormat="false" ht="15.75" hidden="false" customHeight="false" outlineLevel="0" collapsed="false">
      <c r="A4617" s="1" t="s">
        <v>967</v>
      </c>
      <c r="B4617" s="1" t="n">
        <v>302.25</v>
      </c>
      <c r="C4617" s="1" t="n">
        <f aca="false">1/B4617</f>
        <v>0.0033085194375517</v>
      </c>
      <c r="D4617" s="1" t="n">
        <v>0.524</v>
      </c>
      <c r="E4617" s="1" t="n">
        <f aca="false">LN(D4617)</f>
        <v>-0.646263594661095</v>
      </c>
    </row>
    <row r="4618" customFormat="false" ht="15.75" hidden="false" customHeight="false" outlineLevel="0" collapsed="false">
      <c r="A4618" s="1" t="s">
        <v>967</v>
      </c>
      <c r="B4618" s="1" t="n">
        <v>296.35</v>
      </c>
      <c r="C4618" s="1" t="n">
        <f aca="false">1/B4618</f>
        <v>0.00337438839210393</v>
      </c>
      <c r="D4618" s="1" t="n">
        <v>0.506</v>
      </c>
      <c r="E4618" s="1" t="n">
        <f aca="false">LN(D4618)</f>
        <v>-0.681218609694672</v>
      </c>
    </row>
    <row r="4619" customFormat="false" ht="15.75" hidden="false" customHeight="false" outlineLevel="0" collapsed="false">
      <c r="A4619" s="1" t="s">
        <v>967</v>
      </c>
      <c r="B4619" s="1" t="n">
        <v>311.25</v>
      </c>
      <c r="C4619" s="1" t="n">
        <f aca="false">1/B4619</f>
        <v>0.00321285140562249</v>
      </c>
      <c r="D4619" s="1" t="n">
        <v>0.48</v>
      </c>
      <c r="E4619" s="1" t="n">
        <f aca="false">LN(D4619)</f>
        <v>-0.7339691750802</v>
      </c>
    </row>
    <row r="4620" customFormat="false" ht="15.75" hidden="false" customHeight="false" outlineLevel="0" collapsed="false">
      <c r="A4620" s="1" t="s">
        <v>967</v>
      </c>
      <c r="B4620" s="1" t="n">
        <v>317.15</v>
      </c>
      <c r="C4620" s="1" t="n">
        <f aca="false">1/B4620</f>
        <v>0.00315308213778969</v>
      </c>
      <c r="D4620" s="1" t="n">
        <v>0.451</v>
      </c>
      <c r="E4620" s="1" t="n">
        <f aca="false">LN(D4620)</f>
        <v>-0.796287939479459</v>
      </c>
    </row>
    <row r="4621" customFormat="false" ht="15.75" hidden="false" customHeight="false" outlineLevel="0" collapsed="false">
      <c r="A4621" s="1" t="s">
        <v>967</v>
      </c>
      <c r="B4621" s="1" t="n">
        <v>323.35</v>
      </c>
      <c r="C4621" s="1" t="n">
        <f aca="false">1/B4621</f>
        <v>0.00309262409154167</v>
      </c>
      <c r="D4621" s="1" t="n">
        <v>0.426</v>
      </c>
      <c r="E4621" s="1" t="n">
        <f aca="false">LN(D4621)</f>
        <v>-0.853315932712767</v>
      </c>
    </row>
    <row r="4622" customFormat="false" ht="15.75" hidden="false" customHeight="false" outlineLevel="0" collapsed="false">
      <c r="A4622" s="1" t="s">
        <v>967</v>
      </c>
      <c r="B4622" s="1" t="n">
        <v>333.65</v>
      </c>
      <c r="C4622" s="1" t="n">
        <f aca="false">1/B4622</f>
        <v>0.00299715270493032</v>
      </c>
      <c r="D4622" s="1" t="n">
        <v>0.386</v>
      </c>
      <c r="E4622" s="1" t="n">
        <f aca="false">LN(D4622)</f>
        <v>-0.951917909517306</v>
      </c>
    </row>
    <row r="4623" customFormat="false" ht="15.75" hidden="false" customHeight="false" outlineLevel="0" collapsed="false">
      <c r="A4623" s="1" t="s">
        <v>967</v>
      </c>
      <c r="B4623" s="1" t="n">
        <v>354.05</v>
      </c>
      <c r="C4623" s="1" t="n">
        <f aca="false">1/B4623</f>
        <v>0.00282445982205903</v>
      </c>
      <c r="D4623" s="1" t="n">
        <v>0.325</v>
      </c>
      <c r="E4623" s="1" t="n">
        <f aca="false">LN(D4623)</f>
        <v>-1.1239300966524</v>
      </c>
    </row>
    <row r="4624" customFormat="false" ht="15.75" hidden="false" customHeight="false" outlineLevel="0" collapsed="false">
      <c r="A4624" s="1" t="s">
        <v>967</v>
      </c>
      <c r="B4624" s="1" t="n">
        <v>303.15</v>
      </c>
      <c r="C4624" s="1" t="n">
        <f aca="false">1/B4624</f>
        <v>0.0032986970146792</v>
      </c>
      <c r="D4624" s="1" t="n">
        <v>0.517</v>
      </c>
      <c r="E4624" s="1" t="n">
        <f aca="false">LN(D4624)</f>
        <v>-0.659712404473708</v>
      </c>
    </row>
    <row r="4625" customFormat="false" ht="15.75" hidden="false" customHeight="false" outlineLevel="0" collapsed="false">
      <c r="A4625" s="1" t="s">
        <v>967</v>
      </c>
      <c r="B4625" s="1" t="n">
        <v>293.15</v>
      </c>
      <c r="C4625" s="1" t="n">
        <f aca="false">1/B4625</f>
        <v>0.00341122292341805</v>
      </c>
      <c r="D4625" s="1" t="n">
        <v>0.5822</v>
      </c>
      <c r="E4625" s="1" t="n">
        <f aca="false">LN(D4625)</f>
        <v>-0.540941247670614</v>
      </c>
    </row>
    <row r="4626" customFormat="false" ht="15.75" hidden="false" customHeight="false" outlineLevel="0" collapsed="false">
      <c r="A4626" s="1" t="s">
        <v>967</v>
      </c>
      <c r="B4626" s="1" t="n">
        <v>303.15</v>
      </c>
      <c r="C4626" s="1" t="n">
        <f aca="false">1/B4626</f>
        <v>0.0032986970146792</v>
      </c>
      <c r="D4626" s="1" t="n">
        <v>0.5164</v>
      </c>
      <c r="E4626" s="1" t="n">
        <f aca="false">LN(D4626)</f>
        <v>-0.66087362000965</v>
      </c>
    </row>
    <row r="4627" customFormat="false" ht="15.75" hidden="false" customHeight="false" outlineLevel="0" collapsed="false">
      <c r="A4627" s="1" t="s">
        <v>967</v>
      </c>
      <c r="B4627" s="1" t="n">
        <v>323.15</v>
      </c>
      <c r="C4627" s="1" t="n">
        <f aca="false">1/B4627</f>
        <v>0.00309453814018258</v>
      </c>
      <c r="D4627" s="1" t="n">
        <v>0.4147</v>
      </c>
      <c r="E4627" s="1" t="n">
        <f aca="false">LN(D4627)</f>
        <v>-0.880199911729801</v>
      </c>
    </row>
    <row r="4628" customFormat="false" ht="15.75" hidden="false" customHeight="false" outlineLevel="0" collapsed="false">
      <c r="A4628" s="1" t="s">
        <v>967</v>
      </c>
      <c r="B4628" s="1" t="n">
        <v>293.05</v>
      </c>
      <c r="C4628" s="1" t="n">
        <f aca="false">1/B4628</f>
        <v>0.00341238696468179</v>
      </c>
      <c r="D4628" s="1" t="n">
        <v>0.585</v>
      </c>
      <c r="E4628" s="1" t="n">
        <f aca="false">LN(D4628)</f>
        <v>-0.536143431750281</v>
      </c>
    </row>
    <row r="4629" customFormat="false" ht="15.75" hidden="false" customHeight="false" outlineLevel="0" collapsed="false">
      <c r="A4629" s="1" t="s">
        <v>967</v>
      </c>
      <c r="B4629" s="1" t="n">
        <v>345.05</v>
      </c>
      <c r="C4629" s="1" t="n">
        <f aca="false">1/B4629</f>
        <v>0.00289813070569483</v>
      </c>
      <c r="D4629" s="1" t="n">
        <v>0.352</v>
      </c>
      <c r="E4629" s="1" t="n">
        <f aca="false">LN(D4629)</f>
        <v>-1.04412410338404</v>
      </c>
    </row>
    <row r="4630" customFormat="false" ht="15.75" hidden="false" customHeight="false" outlineLevel="0" collapsed="false">
      <c r="A4630" s="1" t="s">
        <v>967</v>
      </c>
      <c r="B4630" s="1" t="n">
        <v>313.1</v>
      </c>
      <c r="C4630" s="1" t="n">
        <f aca="false">1/B4630</f>
        <v>0.00319386777387416</v>
      </c>
      <c r="D4630" s="1" t="n">
        <v>0.46</v>
      </c>
      <c r="E4630" s="1" t="n">
        <f aca="false">LN(D4630)</f>
        <v>-0.776528789498996</v>
      </c>
    </row>
    <row r="4631" customFormat="false" ht="15.75" hidden="false" customHeight="false" outlineLevel="0" collapsed="false">
      <c r="A4631" s="1" t="s">
        <v>969</v>
      </c>
      <c r="B4631" s="1" t="n">
        <v>293.15</v>
      </c>
      <c r="C4631" s="1" t="n">
        <f aca="false">1/B4631</f>
        <v>0.00341122292341805</v>
      </c>
      <c r="D4631" s="1" t="n">
        <v>1.086</v>
      </c>
      <c r="E4631" s="1" t="n">
        <f aca="false">LN(D4631)</f>
        <v>0.0825012215117438</v>
      </c>
    </row>
    <row r="4632" customFormat="false" ht="15.75" hidden="false" customHeight="false" outlineLevel="0" collapsed="false">
      <c r="A4632" s="1" t="s">
        <v>969</v>
      </c>
      <c r="B4632" s="1" t="n">
        <v>303.15</v>
      </c>
      <c r="C4632" s="1" t="n">
        <f aca="false">1/B4632</f>
        <v>0.0032986970146792</v>
      </c>
      <c r="D4632" s="1" t="n">
        <v>0.927</v>
      </c>
      <c r="E4632" s="1" t="n">
        <f aca="false">LN(D4632)</f>
        <v>-0.0758017134162818</v>
      </c>
    </row>
    <row r="4633" customFormat="false" ht="15.75" hidden="false" customHeight="false" outlineLevel="0" collapsed="false">
      <c r="A4633" s="1" t="s">
        <v>969</v>
      </c>
      <c r="B4633" s="1" t="n">
        <v>313.15</v>
      </c>
      <c r="C4633" s="1" t="n">
        <f aca="false">1/B4633</f>
        <v>0.00319335781574325</v>
      </c>
      <c r="D4633" s="1" t="n">
        <v>0.796</v>
      </c>
      <c r="E4633" s="1" t="n">
        <f aca="false">LN(D4633)</f>
        <v>-0.228156093137754</v>
      </c>
    </row>
    <row r="4634" customFormat="false" ht="15.75" hidden="false" customHeight="false" outlineLevel="0" collapsed="false">
      <c r="A4634" s="1" t="s">
        <v>969</v>
      </c>
      <c r="B4634" s="1" t="n">
        <v>323.15</v>
      </c>
      <c r="C4634" s="1" t="n">
        <f aca="false">1/B4634</f>
        <v>0.00309453814018258</v>
      </c>
      <c r="D4634" s="1" t="n">
        <v>0.697</v>
      </c>
      <c r="E4634" s="1" t="n">
        <f aca="false">LN(D4634)</f>
        <v>-0.360969868221613</v>
      </c>
    </row>
    <row r="4635" customFormat="false" ht="15.75" hidden="false" customHeight="false" outlineLevel="0" collapsed="false">
      <c r="A4635" s="1" t="s">
        <v>969</v>
      </c>
      <c r="B4635" s="1" t="n">
        <v>333.15</v>
      </c>
      <c r="C4635" s="1" t="n">
        <f aca="false">1/B4635</f>
        <v>0.0030016509079994</v>
      </c>
      <c r="D4635" s="1" t="n">
        <v>0.618</v>
      </c>
      <c r="E4635" s="1" t="n">
        <f aca="false">LN(D4635)</f>
        <v>-0.481266821524446</v>
      </c>
    </row>
    <row r="4636" customFormat="false" ht="15.75" hidden="false" customHeight="false" outlineLevel="0" collapsed="false">
      <c r="A4636" s="1" t="s">
        <v>971</v>
      </c>
      <c r="B4636" s="1" t="n">
        <v>278.15</v>
      </c>
      <c r="C4636" s="1" t="n">
        <f aca="false">1/B4636</f>
        <v>0.00359518245550962</v>
      </c>
      <c r="D4636" s="1" t="n">
        <v>6.0338</v>
      </c>
      <c r="E4636" s="1" t="n">
        <f aca="false">LN(D4636)</f>
        <v>1.79737699467876</v>
      </c>
    </row>
    <row r="4637" customFormat="false" ht="15.75" hidden="false" customHeight="false" outlineLevel="0" collapsed="false">
      <c r="A4637" s="1" t="s">
        <v>971</v>
      </c>
      <c r="B4637" s="1" t="n">
        <v>288.15</v>
      </c>
      <c r="C4637" s="1" t="n">
        <f aca="false">1/B4637</f>
        <v>0.00347041471455839</v>
      </c>
      <c r="D4637" s="1" t="n">
        <v>4.4052</v>
      </c>
      <c r="E4637" s="1" t="n">
        <f aca="false">LN(D4637)</f>
        <v>1.48278566130865</v>
      </c>
    </row>
    <row r="4638" customFormat="false" ht="15.75" hidden="false" customHeight="false" outlineLevel="0" collapsed="false">
      <c r="A4638" s="1" t="s">
        <v>971</v>
      </c>
      <c r="B4638" s="1" t="n">
        <v>298.15</v>
      </c>
      <c r="C4638" s="1" t="n">
        <f aca="false">1/B4638</f>
        <v>0.00335401643468053</v>
      </c>
      <c r="D4638" s="1" t="n">
        <v>3.3511</v>
      </c>
      <c r="E4638" s="1" t="n">
        <f aca="false">LN(D4638)</f>
        <v>1.20928865014817</v>
      </c>
    </row>
    <row r="4639" customFormat="false" ht="15.75" hidden="false" customHeight="false" outlineLevel="0" collapsed="false">
      <c r="A4639" s="1" t="s">
        <v>971</v>
      </c>
      <c r="B4639" s="1" t="n">
        <v>308.15</v>
      </c>
      <c r="C4639" s="1" t="n">
        <f aca="false">1/B4639</f>
        <v>0.00324517280545189</v>
      </c>
      <c r="D4639" s="1" t="n">
        <v>2.5932</v>
      </c>
      <c r="E4639" s="1" t="n">
        <f aca="false">LN(D4639)</f>
        <v>0.952892634318703</v>
      </c>
    </row>
    <row r="4640" customFormat="false" ht="15.75" hidden="false" customHeight="false" outlineLevel="0" collapsed="false">
      <c r="A4640" s="1" t="s">
        <v>971</v>
      </c>
      <c r="B4640" s="1" t="n">
        <v>318.15</v>
      </c>
      <c r="C4640" s="1" t="n">
        <f aca="false">1/B4640</f>
        <v>0.00314317146000314</v>
      </c>
      <c r="D4640" s="1" t="n">
        <v>2.0432</v>
      </c>
      <c r="E4640" s="1" t="n">
        <f aca="false">LN(D4640)</f>
        <v>0.714517206296138</v>
      </c>
    </row>
    <row r="4641" customFormat="false" ht="15.75" hidden="false" customHeight="false" outlineLevel="0" collapsed="false">
      <c r="A4641" s="1" t="s">
        <v>353</v>
      </c>
      <c r="B4641" s="1" t="n">
        <v>280.74</v>
      </c>
      <c r="C4641" s="1" t="n">
        <f aca="false">1/B4641</f>
        <v>0.00356201467550046</v>
      </c>
      <c r="D4641" s="1" t="n">
        <v>2.385</v>
      </c>
      <c r="E4641" s="1" t="n">
        <f aca="false">LN(D4641)</f>
        <v>0.869199124340304</v>
      </c>
    </row>
    <row r="4642" customFormat="false" ht="15.75" hidden="false" customHeight="false" outlineLevel="0" collapsed="false">
      <c r="A4642" s="1" t="s">
        <v>353</v>
      </c>
      <c r="B4642" s="1" t="n">
        <v>289.11</v>
      </c>
      <c r="C4642" s="1" t="n">
        <f aca="false">1/B4642</f>
        <v>0.00345889107951991</v>
      </c>
      <c r="D4642" s="1" t="n">
        <v>1.951</v>
      </c>
      <c r="E4642" s="1" t="n">
        <f aca="false">LN(D4642)</f>
        <v>0.668342061640974</v>
      </c>
    </row>
    <row r="4643" customFormat="false" ht="15.75" hidden="false" customHeight="false" outlineLevel="0" collapsed="false">
      <c r="A4643" s="1" t="s">
        <v>353</v>
      </c>
      <c r="B4643" s="1" t="n">
        <v>297.31</v>
      </c>
      <c r="C4643" s="1" t="n">
        <f aca="false">1/B4643</f>
        <v>0.00336349265076856</v>
      </c>
      <c r="D4643" s="1" t="n">
        <v>1.635</v>
      </c>
      <c r="E4643" s="1" t="n">
        <f aca="false">LN(D4643)</f>
        <v>0.491642804349217</v>
      </c>
    </row>
    <row r="4644" customFormat="false" ht="15.75" hidden="false" customHeight="false" outlineLevel="0" collapsed="false">
      <c r="A4644" s="1" t="s">
        <v>353</v>
      </c>
      <c r="B4644" s="1" t="n">
        <v>306.01</v>
      </c>
      <c r="C4644" s="1" t="n">
        <f aca="false">1/B4644</f>
        <v>0.00326786706316787</v>
      </c>
      <c r="D4644" s="1" t="n">
        <v>1.379</v>
      </c>
      <c r="E4644" s="1" t="n">
        <f aca="false">LN(D4644)</f>
        <v>0.321358598811165</v>
      </c>
    </row>
    <row r="4645" customFormat="false" ht="15.75" hidden="false" customHeight="false" outlineLevel="0" collapsed="false">
      <c r="A4645" s="1" t="s">
        <v>353</v>
      </c>
      <c r="B4645" s="1" t="n">
        <v>313.51</v>
      </c>
      <c r="C4645" s="1" t="n">
        <f aca="false">1/B4645</f>
        <v>0.00318969091894995</v>
      </c>
      <c r="D4645" s="1" t="n">
        <v>1.208</v>
      </c>
      <c r="E4645" s="1" t="n">
        <f aca="false">LN(D4645)</f>
        <v>0.188966099512623</v>
      </c>
    </row>
    <row r="4646" customFormat="false" ht="15.75" hidden="false" customHeight="false" outlineLevel="0" collapsed="false">
      <c r="A4646" s="1" t="s">
        <v>353</v>
      </c>
      <c r="B4646" s="1" t="n">
        <v>321.18</v>
      </c>
      <c r="C4646" s="1" t="n">
        <f aca="false">1/B4646</f>
        <v>0.00311351889905972</v>
      </c>
      <c r="D4646" s="1" t="n">
        <v>1.064</v>
      </c>
      <c r="E4646" s="1" t="n">
        <f aca="false">LN(D4646)</f>
        <v>0.0620353909194527</v>
      </c>
    </row>
    <row r="4647" customFormat="false" ht="15.75" hidden="false" customHeight="false" outlineLevel="0" collapsed="false">
      <c r="A4647" s="1" t="s">
        <v>353</v>
      </c>
      <c r="B4647" s="1" t="n">
        <v>329.45</v>
      </c>
      <c r="C4647" s="1" t="n">
        <f aca="false">1/B4647</f>
        <v>0.00303536196691455</v>
      </c>
      <c r="D4647" s="1" t="n">
        <v>0.937</v>
      </c>
      <c r="E4647" s="1" t="n">
        <f aca="false">LN(D4647)</f>
        <v>-0.0650719967437148</v>
      </c>
    </row>
    <row r="4648" customFormat="false" ht="15.75" hidden="false" customHeight="false" outlineLevel="0" collapsed="false">
      <c r="A4648" s="1" t="s">
        <v>353</v>
      </c>
      <c r="B4648" s="1" t="n">
        <v>337.35</v>
      </c>
      <c r="C4648" s="1" t="n">
        <f aca="false">1/B4648</f>
        <v>0.00296428042092782</v>
      </c>
      <c r="D4648" s="1" t="n">
        <v>0.838</v>
      </c>
      <c r="E4648" s="1" t="n">
        <f aca="false">LN(D4648)</f>
        <v>-0.176737178500054</v>
      </c>
    </row>
    <row r="4649" customFormat="false" ht="15.75" hidden="false" customHeight="false" outlineLevel="0" collapsed="false">
      <c r="A4649" s="1" t="s">
        <v>353</v>
      </c>
      <c r="B4649" s="1" t="n">
        <v>345.2</v>
      </c>
      <c r="C4649" s="1" t="n">
        <f aca="false">1/B4649</f>
        <v>0.00289687137891078</v>
      </c>
      <c r="D4649" s="1" t="n">
        <v>0.754</v>
      </c>
      <c r="E4649" s="1" t="n">
        <f aca="false">LN(D4649)</f>
        <v>-0.282362910974181</v>
      </c>
    </row>
    <row r="4650" customFormat="false" ht="15.75" hidden="false" customHeight="false" outlineLevel="0" collapsed="false">
      <c r="A4650" s="1" t="s">
        <v>353</v>
      </c>
      <c r="B4650" s="1" t="n">
        <v>353.37</v>
      </c>
      <c r="C4650" s="1" t="n">
        <f aca="false">1/B4650</f>
        <v>0.0028298950108951</v>
      </c>
      <c r="D4650" s="1" t="n">
        <v>0.681</v>
      </c>
      <c r="E4650" s="1" t="n">
        <f aca="false">LN(D4650)</f>
        <v>-0.384192972832625</v>
      </c>
    </row>
    <row r="4651" customFormat="false" ht="15.75" hidden="false" customHeight="false" outlineLevel="0" collapsed="false">
      <c r="A4651" s="1" t="s">
        <v>353</v>
      </c>
      <c r="B4651" s="1" t="n">
        <v>361.34</v>
      </c>
      <c r="C4651" s="1" t="n">
        <f aca="false">1/B4651</f>
        <v>0.0027674766148226</v>
      </c>
      <c r="D4651" s="1" t="n">
        <v>0.619</v>
      </c>
      <c r="E4651" s="1" t="n">
        <f aca="false">LN(D4651)</f>
        <v>-0.479650006297541</v>
      </c>
    </row>
    <row r="4652" customFormat="false" ht="15.75" hidden="false" customHeight="false" outlineLevel="0" collapsed="false">
      <c r="A4652" s="1" t="s">
        <v>353</v>
      </c>
      <c r="B4652" s="1" t="n">
        <v>370.38</v>
      </c>
      <c r="C4652" s="1" t="n">
        <f aca="false">1/B4652</f>
        <v>0.00269992980182515</v>
      </c>
      <c r="D4652" s="1" t="n">
        <v>0.558</v>
      </c>
      <c r="E4652" s="1" t="n">
        <f aca="false">LN(D4652)</f>
        <v>-0.583396316600826</v>
      </c>
    </row>
    <row r="4653" customFormat="false" ht="15.75" hidden="false" customHeight="false" outlineLevel="0" collapsed="false">
      <c r="A4653" s="1" t="s">
        <v>353</v>
      </c>
      <c r="B4653" s="1" t="n">
        <v>280.1522</v>
      </c>
      <c r="C4653" s="1" t="n">
        <f aca="false">1/B4653</f>
        <v>0.0035694882995743</v>
      </c>
      <c r="D4653" s="1" t="n">
        <v>1.966</v>
      </c>
      <c r="E4653" s="1" t="n">
        <f aca="false">LN(D4653)</f>
        <v>0.676001021724975</v>
      </c>
    </row>
    <row r="4654" customFormat="false" ht="15.75" hidden="false" customHeight="false" outlineLevel="0" collapsed="false">
      <c r="A4654" s="1" t="s">
        <v>353</v>
      </c>
      <c r="B4654" s="1" t="n">
        <v>303.15</v>
      </c>
      <c r="C4654" s="1" t="n">
        <f aca="false">1/B4654</f>
        <v>0.0032986970146792</v>
      </c>
      <c r="D4654" s="1" t="n">
        <v>1.443</v>
      </c>
      <c r="E4654" s="1" t="n">
        <f aca="false">LN(D4654)</f>
        <v>0.366724279791734</v>
      </c>
    </row>
    <row r="4655" customFormat="false" ht="15.75" hidden="false" customHeight="false" outlineLevel="0" collapsed="false">
      <c r="A4655" s="1" t="s">
        <v>974</v>
      </c>
      <c r="B4655" s="1" t="n">
        <v>278.15</v>
      </c>
      <c r="C4655" s="1" t="n">
        <f aca="false">1/B4655</f>
        <v>0.00359518245550962</v>
      </c>
      <c r="D4655" s="1" t="n">
        <v>0.746</v>
      </c>
      <c r="E4655" s="1" t="n">
        <f aca="false">LN(D4655)</f>
        <v>-0.293029678778376</v>
      </c>
    </row>
    <row r="4656" customFormat="false" ht="15.75" hidden="false" customHeight="false" outlineLevel="0" collapsed="false">
      <c r="A4656" s="1" t="s">
        <v>974</v>
      </c>
      <c r="B4656" s="1" t="n">
        <v>283.15</v>
      </c>
      <c r="C4656" s="1" t="n">
        <f aca="false">1/B4656</f>
        <v>0.00353169698039908</v>
      </c>
      <c r="D4656" s="1" t="n">
        <v>0.69</v>
      </c>
      <c r="E4656" s="1" t="n">
        <f aca="false">LN(D4656)</f>
        <v>-0.371063681390832</v>
      </c>
    </row>
    <row r="4657" customFormat="false" ht="15.75" hidden="false" customHeight="false" outlineLevel="0" collapsed="false">
      <c r="A4657" s="1" t="s">
        <v>974</v>
      </c>
      <c r="B4657" s="1" t="n">
        <v>288.15</v>
      </c>
      <c r="C4657" s="1" t="n">
        <f aca="false">1/B4657</f>
        <v>0.00347041471455839</v>
      </c>
      <c r="D4657" s="1" t="n">
        <v>0.644</v>
      </c>
      <c r="E4657" s="1" t="n">
        <f aca="false">LN(D4657)</f>
        <v>-0.440056552877783</v>
      </c>
    </row>
    <row r="4658" customFormat="false" ht="15.75" hidden="false" customHeight="false" outlineLevel="0" collapsed="false">
      <c r="A4658" s="1" t="s">
        <v>974</v>
      </c>
      <c r="B4658" s="1" t="n">
        <v>293.15</v>
      </c>
      <c r="C4658" s="1" t="n">
        <f aca="false">1/B4658</f>
        <v>0.00341122292341805</v>
      </c>
      <c r="D4658" s="1" t="n">
        <v>0.609</v>
      </c>
      <c r="E4658" s="1" t="n">
        <f aca="false">LN(D4658)</f>
        <v>-0.49593701127224</v>
      </c>
    </row>
    <row r="4659" customFormat="false" ht="15.75" hidden="false" customHeight="false" outlineLevel="0" collapsed="false">
      <c r="A4659" s="1" t="s">
        <v>974</v>
      </c>
      <c r="B4659" s="1" t="n">
        <v>298.15</v>
      </c>
      <c r="C4659" s="1" t="n">
        <f aca="false">1/B4659</f>
        <v>0.00335401643468053</v>
      </c>
      <c r="D4659" s="1" t="n">
        <v>0.569</v>
      </c>
      <c r="E4659" s="1" t="n">
        <f aca="false">LN(D4659)</f>
        <v>-0.563874844855806</v>
      </c>
    </row>
    <row r="4660" customFormat="false" ht="15.75" hidden="false" customHeight="false" outlineLevel="0" collapsed="false">
      <c r="A4660" s="1" t="s">
        <v>974</v>
      </c>
      <c r="B4660" s="1" t="n">
        <v>313.15</v>
      </c>
      <c r="C4660" s="1" t="n">
        <f aca="false">1/B4660</f>
        <v>0.00319335781574325</v>
      </c>
      <c r="D4660" s="1" t="n">
        <v>0.436</v>
      </c>
      <c r="E4660" s="1" t="n">
        <f aca="false">LN(D4660)</f>
        <v>-0.830113035633103</v>
      </c>
    </row>
    <row r="4661" customFormat="false" ht="15.75" hidden="false" customHeight="false" outlineLevel="0" collapsed="false">
      <c r="A4661" s="1" t="s">
        <v>974</v>
      </c>
      <c r="B4661" s="1" t="n">
        <v>323.15</v>
      </c>
      <c r="C4661" s="1" t="n">
        <f aca="false">1/B4661</f>
        <v>0.00309453814018258</v>
      </c>
      <c r="D4661" s="1" t="n">
        <v>0.379</v>
      </c>
      <c r="E4661" s="1" t="n">
        <f aca="false">LN(D4661)</f>
        <v>-0.970219073899711</v>
      </c>
    </row>
    <row r="4662" customFormat="false" ht="15.75" hidden="false" customHeight="false" outlineLevel="0" collapsed="false">
      <c r="A4662" s="1" t="s">
        <v>974</v>
      </c>
      <c r="B4662" s="1" t="n">
        <v>333.15</v>
      </c>
      <c r="C4662" s="1" t="n">
        <f aca="false">1/B4662</f>
        <v>0.0030016509079994</v>
      </c>
      <c r="D4662" s="1" t="n">
        <v>0.387</v>
      </c>
      <c r="E4662" s="1" t="n">
        <f aca="false">LN(D4662)</f>
        <v>-0.949330585952355</v>
      </c>
    </row>
    <row r="4663" customFormat="false" ht="15.75" hidden="false" customHeight="false" outlineLevel="0" collapsed="false">
      <c r="A4663" s="1" t="s">
        <v>976</v>
      </c>
      <c r="B4663" s="1" t="n">
        <v>273.57</v>
      </c>
      <c r="C4663" s="1" t="n">
        <f aca="false">1/B4663</f>
        <v>0.00365537156851994</v>
      </c>
      <c r="D4663" s="1" t="n">
        <v>0.4743</v>
      </c>
      <c r="E4663" s="1" t="n">
        <f aca="false">LN(D4663)</f>
        <v>-0.745915246098601</v>
      </c>
    </row>
    <row r="4664" customFormat="false" ht="15.75" hidden="false" customHeight="false" outlineLevel="0" collapsed="false">
      <c r="A4664" s="1" t="s">
        <v>976</v>
      </c>
      <c r="B4664" s="1" t="n">
        <v>280.85</v>
      </c>
      <c r="C4664" s="1" t="n">
        <f aca="false">1/B4664</f>
        <v>0.00356061954780132</v>
      </c>
      <c r="D4664" s="1" t="n">
        <v>0.4343</v>
      </c>
      <c r="E4664" s="1" t="n">
        <f aca="false">LN(D4664)</f>
        <v>-0.834019739441361</v>
      </c>
    </row>
    <row r="4665" customFormat="false" ht="15.75" hidden="false" customHeight="false" outlineLevel="0" collapsed="false">
      <c r="A4665" s="1" t="s">
        <v>976</v>
      </c>
      <c r="B4665" s="1" t="n">
        <v>297.78</v>
      </c>
      <c r="C4665" s="1" t="n">
        <f aca="false">1/B4665</f>
        <v>0.00335818389415004</v>
      </c>
      <c r="D4665" s="1" t="n">
        <v>0.3607</v>
      </c>
      <c r="E4665" s="1" t="n">
        <f aca="false">LN(D4665)</f>
        <v>-1.01970869107264</v>
      </c>
    </row>
    <row r="4666" customFormat="false" ht="15.75" hidden="false" customHeight="false" outlineLevel="0" collapsed="false">
      <c r="A4666" s="1" t="s">
        <v>976</v>
      </c>
      <c r="B4666" s="1" t="n">
        <v>305.46</v>
      </c>
      <c r="C4666" s="1" t="n">
        <f aca="false">1/B4666</f>
        <v>0.0032737510639691</v>
      </c>
      <c r="D4666" s="1" t="n">
        <v>0.3333</v>
      </c>
      <c r="E4666" s="1" t="n">
        <f aca="false">LN(D4666)</f>
        <v>-1.09871229366844</v>
      </c>
    </row>
    <row r="4667" customFormat="false" ht="15.75" hidden="false" customHeight="false" outlineLevel="0" collapsed="false">
      <c r="A4667" s="1" t="s">
        <v>976</v>
      </c>
      <c r="B4667" s="1" t="n">
        <v>313.2</v>
      </c>
      <c r="C4667" s="1" t="n">
        <f aca="false">1/B4667</f>
        <v>0.00319284802043423</v>
      </c>
      <c r="D4667" s="1" t="n">
        <v>0.3092</v>
      </c>
      <c r="E4667" s="1" t="n">
        <f aca="false">LN(D4667)</f>
        <v>-1.17376696226887</v>
      </c>
    </row>
    <row r="4668" customFormat="false" ht="15.75" hidden="false" customHeight="false" outlineLevel="0" collapsed="false">
      <c r="A4668" s="1" t="s">
        <v>976</v>
      </c>
      <c r="B4668" s="1" t="n">
        <v>329.61</v>
      </c>
      <c r="C4668" s="1" t="n">
        <f aca="false">1/B4668</f>
        <v>0.00303388853493523</v>
      </c>
      <c r="D4668" s="1" t="n">
        <v>0.2651</v>
      </c>
      <c r="E4668" s="1" t="n">
        <f aca="false">LN(D4668)</f>
        <v>-1.32764816568716</v>
      </c>
    </row>
    <row r="4669" customFormat="false" ht="15.75" hidden="false" customHeight="false" outlineLevel="0" collapsed="false">
      <c r="A4669" s="1" t="s">
        <v>976</v>
      </c>
      <c r="B4669" s="1" t="n">
        <v>337.07</v>
      </c>
      <c r="C4669" s="1" t="n">
        <f aca="false">1/B4669</f>
        <v>0.00296674281306554</v>
      </c>
      <c r="D4669" s="1" t="n">
        <v>0.2484</v>
      </c>
      <c r="E4669" s="1" t="n">
        <f aca="false">LN(D4669)</f>
        <v>-1.39271492892281</v>
      </c>
    </row>
    <row r="4670" customFormat="false" ht="15.75" hidden="false" customHeight="false" outlineLevel="0" collapsed="false">
      <c r="A4670" s="1" t="s">
        <v>976</v>
      </c>
      <c r="B4670" s="1" t="n">
        <v>344.99</v>
      </c>
      <c r="C4670" s="1" t="n">
        <f aca="false">1/B4670</f>
        <v>0.00289863474303603</v>
      </c>
      <c r="D4670" s="1" t="n">
        <v>0.2316</v>
      </c>
      <c r="E4670" s="1" t="n">
        <f aca="false">LN(D4670)</f>
        <v>-1.4627435332833</v>
      </c>
    </row>
    <row r="4671" customFormat="false" ht="15.75" hidden="false" customHeight="false" outlineLevel="0" collapsed="false">
      <c r="A4671" s="1" t="s">
        <v>976</v>
      </c>
      <c r="B4671" s="1" t="n">
        <v>361.56</v>
      </c>
      <c r="C4671" s="1" t="n">
        <f aca="false">1/B4671</f>
        <v>0.00276579267618099</v>
      </c>
      <c r="D4671" s="1" t="n">
        <v>0.2012</v>
      </c>
      <c r="E4671" s="1" t="n">
        <f aca="false">LN(D4671)</f>
        <v>-1.60345584075655</v>
      </c>
    </row>
    <row r="4672" customFormat="false" ht="15.75" hidden="false" customHeight="false" outlineLevel="0" collapsed="false">
      <c r="A4672" s="1" t="s">
        <v>976</v>
      </c>
      <c r="B4672" s="1" t="n">
        <v>289.03</v>
      </c>
      <c r="C4672" s="1" t="n">
        <f aca="false">1/B4672</f>
        <v>0.00345984845863751</v>
      </c>
      <c r="D4672" s="1" t="n">
        <v>0.3954</v>
      </c>
      <c r="E4672" s="1" t="n">
        <f aca="false">LN(D4672)</f>
        <v>-0.927857368245621</v>
      </c>
    </row>
    <row r="4673" customFormat="false" ht="15.75" hidden="false" customHeight="false" outlineLevel="0" collapsed="false">
      <c r="A4673" s="1" t="s">
        <v>976</v>
      </c>
      <c r="B4673" s="1" t="n">
        <v>322.16</v>
      </c>
      <c r="C4673" s="1" t="n">
        <f aca="false">1/B4673</f>
        <v>0.00310404767817234</v>
      </c>
      <c r="D4673" s="1" t="n">
        <v>0.2839</v>
      </c>
      <c r="E4673" s="1" t="n">
        <f aca="false">LN(D4673)</f>
        <v>-1.25913321550321</v>
      </c>
    </row>
    <row r="4674" customFormat="false" ht="15.75" hidden="false" customHeight="false" outlineLevel="0" collapsed="false">
      <c r="A4674" s="1" t="s">
        <v>976</v>
      </c>
      <c r="B4674" s="1" t="n">
        <v>353.84</v>
      </c>
      <c r="C4674" s="1" t="n">
        <f aca="false">1/B4674</f>
        <v>0.0028261361067149</v>
      </c>
      <c r="D4674" s="1" t="n">
        <v>0.2149</v>
      </c>
      <c r="E4674" s="1" t="n">
        <f aca="false">LN(D4674)</f>
        <v>-1.53758247533367</v>
      </c>
    </row>
    <row r="4675" customFormat="false" ht="15.75" hidden="false" customHeight="false" outlineLevel="0" collapsed="false">
      <c r="A4675" s="1" t="s">
        <v>978</v>
      </c>
      <c r="B4675" s="1" t="n">
        <v>294.25</v>
      </c>
      <c r="C4675" s="1" t="n">
        <f aca="false">1/B4675</f>
        <v>0.00339847068819031</v>
      </c>
      <c r="D4675" s="1" t="n">
        <v>0.549</v>
      </c>
      <c r="E4675" s="1" t="n">
        <f aca="false">LN(D4675)</f>
        <v>-0.599656837472606</v>
      </c>
    </row>
    <row r="4676" customFormat="false" ht="15.75" hidden="false" customHeight="false" outlineLevel="0" collapsed="false">
      <c r="A4676" s="1" t="s">
        <v>978</v>
      </c>
      <c r="B4676" s="1" t="n">
        <v>308.15</v>
      </c>
      <c r="C4676" s="1" t="n">
        <f aca="false">1/B4676</f>
        <v>0.00324517280545189</v>
      </c>
      <c r="D4676" s="1" t="n">
        <v>0.4615</v>
      </c>
      <c r="E4676" s="1" t="n">
        <f aca="false">LN(D4676)</f>
        <v>-0.77327322503923</v>
      </c>
    </row>
    <row r="4677" customFormat="false" ht="15.75" hidden="false" customHeight="false" outlineLevel="0" collapsed="false">
      <c r="A4677" s="1" t="s">
        <v>978</v>
      </c>
      <c r="B4677" s="1" t="n">
        <v>328.55</v>
      </c>
      <c r="C4677" s="1" t="n">
        <f aca="false">1/B4677</f>
        <v>0.00304367676152793</v>
      </c>
      <c r="D4677" s="1" t="n">
        <v>0.3693</v>
      </c>
      <c r="E4677" s="1" t="n">
        <f aca="false">LN(D4677)</f>
        <v>-0.996145957123619</v>
      </c>
    </row>
    <row r="4678" customFormat="false" ht="15.75" hidden="false" customHeight="false" outlineLevel="0" collapsed="false">
      <c r="A4678" s="1" t="s">
        <v>978</v>
      </c>
      <c r="B4678" s="1" t="n">
        <v>347.85</v>
      </c>
      <c r="C4678" s="1" t="n">
        <f aca="false">1/B4678</f>
        <v>0.00287480235733793</v>
      </c>
      <c r="D4678" s="1" t="n">
        <v>0.3063</v>
      </c>
      <c r="E4678" s="1" t="n">
        <f aca="false">LN(D4678)</f>
        <v>-1.18319026514341</v>
      </c>
    </row>
    <row r="4679" customFormat="false" ht="15.75" hidden="false" customHeight="false" outlineLevel="0" collapsed="false">
      <c r="A4679" s="1" t="s">
        <v>978</v>
      </c>
      <c r="B4679" s="1" t="n">
        <v>358.15</v>
      </c>
      <c r="C4679" s="1" t="n">
        <f aca="false">1/B4679</f>
        <v>0.00279212620410443</v>
      </c>
      <c r="D4679" s="1" t="n">
        <v>0.2798</v>
      </c>
      <c r="E4679" s="1" t="n">
        <f aca="false">LN(D4679)</f>
        <v>-1.27368021675076</v>
      </c>
    </row>
    <row r="4680" customFormat="false" ht="15.75" hidden="false" customHeight="false" outlineLevel="0" collapsed="false">
      <c r="A4680" s="1" t="s">
        <v>978</v>
      </c>
      <c r="B4680" s="1" t="n">
        <v>365.65</v>
      </c>
      <c r="C4680" s="1" t="n">
        <f aca="false">1/B4680</f>
        <v>0.00273485573635991</v>
      </c>
      <c r="D4680" s="1" t="n">
        <v>0.261</v>
      </c>
      <c r="E4680" s="1" t="n">
        <f aca="false">LN(D4680)</f>
        <v>-1.34323487165944</v>
      </c>
    </row>
    <row r="4681" customFormat="false" ht="15.75" hidden="false" customHeight="false" outlineLevel="0" collapsed="false">
      <c r="A4681" s="1" t="s">
        <v>978</v>
      </c>
      <c r="B4681" s="1" t="n">
        <v>318.45</v>
      </c>
      <c r="C4681" s="1" t="n">
        <f aca="false">1/B4681</f>
        <v>0.0031402103940964</v>
      </c>
      <c r="D4681" s="1" t="n">
        <v>0.4113</v>
      </c>
      <c r="E4681" s="1" t="n">
        <f aca="false">LN(D4681)</f>
        <v>-0.888432403745759</v>
      </c>
    </row>
    <row r="4682" customFormat="false" ht="15.75" hidden="false" customHeight="false" outlineLevel="0" collapsed="false">
      <c r="A4682" s="1" t="s">
        <v>124</v>
      </c>
      <c r="B4682" s="1" t="n">
        <v>298.15</v>
      </c>
      <c r="C4682" s="1" t="n">
        <f aca="false">1/B4682</f>
        <v>0.00335401643468053</v>
      </c>
      <c r="D4682" s="1" t="n">
        <v>4.381</v>
      </c>
      <c r="E4682" s="1" t="n">
        <f aca="false">LN(D4682)</f>
        <v>1.47727700883176</v>
      </c>
    </row>
    <row r="4683" customFormat="false" ht="15.75" hidden="false" customHeight="false" outlineLevel="0" collapsed="false">
      <c r="A4683" s="1" t="s">
        <v>980</v>
      </c>
      <c r="B4683" s="1" t="n">
        <v>315.21</v>
      </c>
      <c r="C4683" s="1" t="n">
        <f aca="false">1/B4683</f>
        <v>0.00317248818248152</v>
      </c>
      <c r="D4683" s="1" t="n">
        <v>5.767</v>
      </c>
      <c r="E4683" s="1" t="n">
        <f aca="false">LN(D4683)</f>
        <v>1.75215201463328</v>
      </c>
    </row>
    <row r="4684" customFormat="false" ht="15.75" hidden="false" customHeight="false" outlineLevel="0" collapsed="false">
      <c r="A4684" s="1" t="s">
        <v>980</v>
      </c>
      <c r="B4684" s="1" t="n">
        <v>335.15</v>
      </c>
      <c r="C4684" s="1" t="n">
        <f aca="false">1/B4684</f>
        <v>0.00298373862449649</v>
      </c>
      <c r="D4684" s="1" t="n">
        <v>2.908</v>
      </c>
      <c r="E4684" s="1" t="n">
        <f aca="false">LN(D4684)</f>
        <v>1.06746555967127</v>
      </c>
    </row>
    <row r="4685" customFormat="false" ht="15.75" hidden="false" customHeight="false" outlineLevel="0" collapsed="false">
      <c r="A4685" s="1" t="s">
        <v>980</v>
      </c>
      <c r="B4685" s="1" t="n">
        <v>355.1</v>
      </c>
      <c r="C4685" s="1" t="n">
        <f aca="false">1/B4685</f>
        <v>0.00281610813855252</v>
      </c>
      <c r="D4685" s="1" t="n">
        <v>1.732</v>
      </c>
      <c r="E4685" s="1" t="n">
        <f aca="false">LN(D4685)</f>
        <v>0.549276810140243</v>
      </c>
    </row>
    <row r="4686" customFormat="false" ht="15.75" hidden="false" customHeight="false" outlineLevel="0" collapsed="false">
      <c r="A4686" s="1" t="s">
        <v>980</v>
      </c>
      <c r="B4686" s="1" t="n">
        <v>375.45</v>
      </c>
      <c r="C4686" s="1" t="n">
        <f aca="false">1/B4686</f>
        <v>0.00266347050206419</v>
      </c>
      <c r="D4686" s="1" t="n">
        <v>1.197</v>
      </c>
      <c r="E4686" s="1" t="n">
        <f aca="false">LN(D4686)</f>
        <v>0.179818426575836</v>
      </c>
    </row>
    <row r="4687" customFormat="false" ht="15.75" hidden="false" customHeight="false" outlineLevel="0" collapsed="false">
      <c r="A4687" s="1" t="s">
        <v>980</v>
      </c>
      <c r="B4687" s="1" t="n">
        <v>396.65</v>
      </c>
      <c r="C4687" s="1" t="n">
        <f aca="false">1/B4687</f>
        <v>0.00252111433253498</v>
      </c>
      <c r="D4687" s="1" t="n">
        <v>0.8201</v>
      </c>
      <c r="E4687" s="1" t="n">
        <f aca="false">LN(D4687)</f>
        <v>-0.198328994939771</v>
      </c>
    </row>
    <row r="4688" customFormat="false" ht="15.75" hidden="false" customHeight="false" outlineLevel="0" collapsed="false">
      <c r="A4688" s="1" t="s">
        <v>980</v>
      </c>
      <c r="B4688" s="1" t="n">
        <v>414.75</v>
      </c>
      <c r="C4688" s="1" t="n">
        <f aca="false">1/B4688</f>
        <v>0.00241109101868596</v>
      </c>
      <c r="D4688" s="1" t="n">
        <v>0.6383</v>
      </c>
      <c r="E4688" s="1" t="n">
        <f aca="false">LN(D4688)</f>
        <v>-0.448946886720125</v>
      </c>
    </row>
    <row r="4689" customFormat="false" ht="15.75" hidden="false" customHeight="false" outlineLevel="0" collapsed="false">
      <c r="A4689" s="1" t="s">
        <v>980</v>
      </c>
      <c r="B4689" s="1" t="n">
        <v>423.15</v>
      </c>
      <c r="C4689" s="1" t="n">
        <f aca="false">1/B4689</f>
        <v>0.00236322816967978</v>
      </c>
      <c r="D4689" s="1" t="n">
        <v>0.58</v>
      </c>
      <c r="E4689" s="1" t="n">
        <f aca="false">LN(D4689)</f>
        <v>-0.544727175441672</v>
      </c>
    </row>
    <row r="4690" customFormat="false" ht="15.75" hidden="false" customHeight="false" outlineLevel="0" collapsed="false">
      <c r="A4690" s="1" t="s">
        <v>980</v>
      </c>
      <c r="B4690" s="1" t="n">
        <v>343.15</v>
      </c>
      <c r="C4690" s="1" t="n">
        <f aca="false">1/B4690</f>
        <v>0.00291417747340813</v>
      </c>
      <c r="D4690" s="1" t="n">
        <v>0.5087</v>
      </c>
      <c r="E4690" s="1" t="n">
        <f aca="false">LN(D4690)</f>
        <v>-0.675896827153418</v>
      </c>
    </row>
    <row r="4691" customFormat="false" ht="15.75" hidden="false" customHeight="false" outlineLevel="0" collapsed="false">
      <c r="A4691" s="1" t="s">
        <v>980</v>
      </c>
      <c r="B4691" s="1" t="n">
        <v>445.15</v>
      </c>
      <c r="C4691" s="1" t="n">
        <f aca="false">1/B4691</f>
        <v>0.00224643378636415</v>
      </c>
      <c r="D4691" s="1" t="n">
        <v>0.449</v>
      </c>
      <c r="E4691" s="1" t="n">
        <f aca="false">LN(D4691)</f>
        <v>-0.800732391239883</v>
      </c>
    </row>
    <row r="4692" customFormat="false" ht="15.75" hidden="false" customHeight="false" outlineLevel="0" collapsed="false">
      <c r="A4692" s="1" t="s">
        <v>980</v>
      </c>
      <c r="B4692" s="1" t="n">
        <v>455.25</v>
      </c>
      <c r="C4692" s="1" t="n">
        <f aca="false">1/B4692</f>
        <v>0.00219659527732015</v>
      </c>
      <c r="D4692" s="1" t="n">
        <v>0.4034</v>
      </c>
      <c r="E4692" s="1" t="n">
        <f aca="false">LN(D4692)</f>
        <v>-0.907826653462026</v>
      </c>
    </row>
    <row r="4693" customFormat="false" ht="15.75" hidden="false" customHeight="false" outlineLevel="0" collapsed="false">
      <c r="A4693" s="1" t="s">
        <v>980</v>
      </c>
      <c r="B4693" s="1" t="n">
        <v>465.45</v>
      </c>
      <c r="C4693" s="1" t="n">
        <f aca="false">1/B4693</f>
        <v>0.00214845848103985</v>
      </c>
      <c r="D4693" s="1" t="n">
        <v>0.3622</v>
      </c>
      <c r="E4693" s="1" t="n">
        <f aca="false">LN(D4693)</f>
        <v>-1.01555873353282</v>
      </c>
    </row>
    <row r="4694" customFormat="false" ht="15.75" hidden="false" customHeight="false" outlineLevel="0" collapsed="false">
      <c r="A4694" s="1" t="s">
        <v>980</v>
      </c>
      <c r="B4694" s="1" t="n">
        <v>472.85</v>
      </c>
      <c r="C4694" s="1" t="n">
        <f aca="false">1/B4694</f>
        <v>0.00211483557153431</v>
      </c>
      <c r="D4694" s="1" t="n">
        <v>0.3362</v>
      </c>
      <c r="E4694" s="1" t="n">
        <f aca="false">LN(D4694)</f>
        <v>-1.09004905800762</v>
      </c>
    </row>
    <row r="4695" customFormat="false" ht="15.75" hidden="false" customHeight="false" outlineLevel="0" collapsed="false">
      <c r="A4695" s="1" t="s">
        <v>980</v>
      </c>
      <c r="B4695" s="1" t="n">
        <v>313.1576</v>
      </c>
      <c r="C4695" s="1" t="n">
        <f aca="false">1/B4695</f>
        <v>0.00319328031636467</v>
      </c>
      <c r="D4695" s="1" t="n">
        <v>6.18</v>
      </c>
      <c r="E4695" s="1" t="n">
        <f aca="false">LN(D4695)</f>
        <v>1.8213182714696</v>
      </c>
    </row>
    <row r="4696" customFormat="false" ht="15.75" hidden="false" customHeight="false" outlineLevel="0" collapsed="false">
      <c r="A4696" s="1" t="s">
        <v>980</v>
      </c>
      <c r="B4696" s="1" t="n">
        <v>288.1511</v>
      </c>
      <c r="C4696" s="1" t="n">
        <f aca="false">1/B4696</f>
        <v>0.00347040146645284</v>
      </c>
      <c r="D4696" s="1" t="n">
        <v>24.666</v>
      </c>
      <c r="E4696" s="1" t="n">
        <f aca="false">LN(D4696)</f>
        <v>3.2054257771438</v>
      </c>
    </row>
    <row r="4697" customFormat="false" ht="15.75" hidden="false" customHeight="false" outlineLevel="0" collapsed="false">
      <c r="A4697" s="1" t="s">
        <v>980</v>
      </c>
      <c r="B4697" s="1" t="n">
        <v>303.15</v>
      </c>
      <c r="C4697" s="1" t="n">
        <f aca="false">1/B4697</f>
        <v>0.0032986970146792</v>
      </c>
      <c r="D4697" s="1" t="n">
        <v>9.807</v>
      </c>
      <c r="E4697" s="1" t="n">
        <f aca="false">LN(D4697)</f>
        <v>2.28309641641018</v>
      </c>
    </row>
    <row r="4698" customFormat="false" ht="15.75" hidden="false" customHeight="false" outlineLevel="0" collapsed="false">
      <c r="A4698" s="1" t="s">
        <v>1459</v>
      </c>
      <c r="B4698" s="1" t="n">
        <v>298.15</v>
      </c>
      <c r="C4698" s="1" t="n">
        <f aca="false">1/B4698</f>
        <v>0.00335401643468053</v>
      </c>
      <c r="D4698" s="1" t="n">
        <v>0.671</v>
      </c>
      <c r="E4698" s="1" t="n">
        <f aca="false">LN(D4698)</f>
        <v>-0.398986142010455</v>
      </c>
    </row>
    <row r="4699" customFormat="false" ht="15.75" hidden="false" customHeight="false" outlineLevel="0" collapsed="false">
      <c r="A4699" s="1" t="s">
        <v>1459</v>
      </c>
      <c r="B4699" s="1" t="n">
        <v>303.15</v>
      </c>
      <c r="C4699" s="1" t="n">
        <f aca="false">1/B4699</f>
        <v>0.0032986970146792</v>
      </c>
      <c r="D4699" s="1" t="n">
        <v>0.624</v>
      </c>
      <c r="E4699" s="1" t="n">
        <f aca="false">LN(D4699)</f>
        <v>-0.471604910612709</v>
      </c>
    </row>
    <row r="4700" customFormat="false" ht="15.75" hidden="false" customHeight="false" outlineLevel="0" collapsed="false">
      <c r="A4700" s="1" t="s">
        <v>1460</v>
      </c>
      <c r="B4700" s="1" t="n">
        <v>149.8</v>
      </c>
      <c r="C4700" s="1" t="n">
        <f aca="false">1/B4700</f>
        <v>0.00667556742323097</v>
      </c>
      <c r="D4700" s="1" t="n">
        <v>0.056</v>
      </c>
      <c r="E4700" s="1" t="n">
        <f aca="false">LN(D4700)</f>
        <v>-2.88240358824699</v>
      </c>
    </row>
    <row r="4701" customFormat="false" ht="15.75" hidden="false" customHeight="false" outlineLevel="0" collapsed="false">
      <c r="A4701" s="1" t="s">
        <v>1460</v>
      </c>
      <c r="B4701" s="1" t="n">
        <v>177.6</v>
      </c>
      <c r="C4701" s="1" t="n">
        <f aca="false">1/B4701</f>
        <v>0.00563063063063063</v>
      </c>
      <c r="D4701" s="1" t="n">
        <v>0.035</v>
      </c>
      <c r="E4701" s="1" t="n">
        <f aca="false">LN(D4701)</f>
        <v>-3.35240721749272</v>
      </c>
    </row>
    <row r="4702" customFormat="false" ht="15.75" hidden="false" customHeight="false" outlineLevel="0" collapsed="false">
      <c r="A4702" s="1" t="s">
        <v>982</v>
      </c>
      <c r="B4702" s="1" t="n">
        <v>175.61</v>
      </c>
      <c r="C4702" s="1" t="n">
        <f aca="false">1/B4702</f>
        <v>0.00569443653550481</v>
      </c>
      <c r="D4702" s="1" t="n">
        <v>12.825</v>
      </c>
      <c r="E4702" s="1" t="n">
        <f aca="false">LN(D4702)</f>
        <v>2.55139639105683</v>
      </c>
    </row>
    <row r="4703" customFormat="false" ht="15.75" hidden="false" customHeight="false" outlineLevel="0" collapsed="false">
      <c r="A4703" s="1" t="s">
        <v>982</v>
      </c>
      <c r="B4703" s="1" t="n">
        <v>179.31</v>
      </c>
      <c r="C4703" s="1" t="n">
        <f aca="false">1/B4703</f>
        <v>0.00557693380179577</v>
      </c>
      <c r="D4703" s="1" t="n">
        <v>10.795</v>
      </c>
      <c r="E4703" s="1" t="n">
        <f aca="false">LN(D4703)</f>
        <v>2.37908306396677</v>
      </c>
    </row>
    <row r="4704" customFormat="false" ht="15.75" hidden="false" customHeight="false" outlineLevel="0" collapsed="false">
      <c r="A4704" s="1" t="s">
        <v>982</v>
      </c>
      <c r="B4704" s="1" t="n">
        <v>180.05</v>
      </c>
      <c r="C4704" s="1" t="n">
        <f aca="false">1/B4704</f>
        <v>0.00555401277422938</v>
      </c>
      <c r="D4704" s="1" t="n">
        <v>10.425</v>
      </c>
      <c r="E4704" s="1" t="n">
        <f aca="false">LN(D4704)</f>
        <v>2.34420676768487</v>
      </c>
    </row>
    <row r="4705" customFormat="false" ht="15.75" hidden="false" customHeight="false" outlineLevel="0" collapsed="false">
      <c r="A4705" s="1" t="s">
        <v>982</v>
      </c>
      <c r="B4705" s="1" t="n">
        <v>180.79</v>
      </c>
      <c r="C4705" s="1" t="n">
        <f aca="false">1/B4705</f>
        <v>0.00553127938492173</v>
      </c>
      <c r="D4705" s="1" t="n">
        <v>10.067</v>
      </c>
      <c r="E4705" s="1" t="n">
        <f aca="false">LN(D4705)</f>
        <v>2.30926274774729</v>
      </c>
    </row>
    <row r="4706" customFormat="false" ht="15.75" hidden="false" customHeight="false" outlineLevel="0" collapsed="false">
      <c r="A4706" s="1" t="s">
        <v>982</v>
      </c>
      <c r="B4706" s="1" t="n">
        <v>181.54</v>
      </c>
      <c r="C4706" s="1" t="n">
        <f aca="false">1/B4706</f>
        <v>0.00550842789467886</v>
      </c>
      <c r="D4706" s="1" t="n">
        <v>9.7221</v>
      </c>
      <c r="E4706" s="1" t="n">
        <f aca="false">LN(D4706)</f>
        <v>2.27440164451976</v>
      </c>
    </row>
    <row r="4707" customFormat="false" ht="15.75" hidden="false" customHeight="false" outlineLevel="0" collapsed="false">
      <c r="A4707" s="1" t="s">
        <v>982</v>
      </c>
      <c r="B4707" s="1" t="n">
        <v>182.28</v>
      </c>
      <c r="C4707" s="1" t="n">
        <f aca="false">1/B4707</f>
        <v>0.0054860653938995</v>
      </c>
      <c r="D4707" s="1" t="n">
        <v>9.3905</v>
      </c>
      <c r="E4707" s="1" t="n">
        <f aca="false">LN(D4707)</f>
        <v>2.23969853993886</v>
      </c>
    </row>
    <row r="4708" customFormat="false" ht="15.75" hidden="false" customHeight="false" outlineLevel="0" collapsed="false">
      <c r="A4708" s="1" t="s">
        <v>982</v>
      </c>
      <c r="B4708" s="1" t="n">
        <v>183.02</v>
      </c>
      <c r="C4708" s="1" t="n">
        <f aca="false">1/B4708</f>
        <v>0.00546388372855426</v>
      </c>
      <c r="D4708" s="1" t="n">
        <v>9.0718</v>
      </c>
      <c r="E4708" s="1" t="n">
        <f aca="false">LN(D4708)</f>
        <v>2.205170700887</v>
      </c>
    </row>
    <row r="4709" customFormat="false" ht="15.75" hidden="false" customHeight="false" outlineLevel="0" collapsed="false">
      <c r="A4709" s="1" t="s">
        <v>982</v>
      </c>
      <c r="B4709" s="1" t="n">
        <v>183.76</v>
      </c>
      <c r="C4709" s="1" t="n">
        <f aca="false">1/B4709</f>
        <v>0.00544188071397475</v>
      </c>
      <c r="D4709" s="1" t="n">
        <v>8.7658</v>
      </c>
      <c r="E4709" s="1" t="n">
        <f aca="false">LN(D4709)</f>
        <v>2.17085778631312</v>
      </c>
    </row>
    <row r="4710" customFormat="false" ht="15.75" hidden="false" customHeight="false" outlineLevel="0" collapsed="false">
      <c r="A4710" s="1" t="s">
        <v>982</v>
      </c>
      <c r="B4710" s="1" t="n">
        <v>184.5</v>
      </c>
      <c r="C4710" s="1" t="n">
        <f aca="false">1/B4710</f>
        <v>0.00542005420054201</v>
      </c>
      <c r="D4710" s="1" t="n">
        <v>8.4724</v>
      </c>
      <c r="E4710" s="1" t="n">
        <f aca="false">LN(D4710)</f>
        <v>2.13681382153771</v>
      </c>
    </row>
    <row r="4711" customFormat="false" ht="15.75" hidden="false" customHeight="false" outlineLevel="0" collapsed="false">
      <c r="A4711" s="1" t="s">
        <v>982</v>
      </c>
      <c r="B4711" s="1" t="n">
        <v>185.24</v>
      </c>
      <c r="C4711" s="1" t="n">
        <f aca="false">1/B4711</f>
        <v>0.0053984020729864</v>
      </c>
      <c r="D4711" s="1" t="n">
        <v>8.1911</v>
      </c>
      <c r="E4711" s="1" t="n">
        <f aca="false">LN(D4711)</f>
        <v>2.10304819898049</v>
      </c>
    </row>
    <row r="4712" customFormat="false" ht="15.75" hidden="false" customHeight="false" outlineLevel="0" collapsed="false">
      <c r="A4712" s="1" t="s">
        <v>982</v>
      </c>
      <c r="B4712" s="1" t="n">
        <v>185.98</v>
      </c>
      <c r="C4712" s="1" t="n">
        <f aca="false">1/B4712</f>
        <v>0.00537692224970427</v>
      </c>
      <c r="D4712" s="1" t="n">
        <v>7.9215</v>
      </c>
      <c r="E4712" s="1" t="n">
        <f aca="false">LN(D4712)</f>
        <v>2.06958058183296</v>
      </c>
    </row>
    <row r="4713" customFormat="false" ht="15.75" hidden="false" customHeight="false" outlineLevel="0" collapsed="false">
      <c r="A4713" s="1" t="s">
        <v>982</v>
      </c>
      <c r="B4713" s="1" t="n">
        <v>186.72</v>
      </c>
      <c r="C4713" s="1" t="n">
        <f aca="false">1/B4713</f>
        <v>0.00535561268209083</v>
      </c>
      <c r="D4713" s="1" t="n">
        <v>7.6634</v>
      </c>
      <c r="E4713" s="1" t="n">
        <f aca="false">LN(D4713)</f>
        <v>2.03645574950368</v>
      </c>
    </row>
    <row r="4714" customFormat="false" ht="15.75" hidden="false" customHeight="false" outlineLevel="0" collapsed="false">
      <c r="A4714" s="1" t="s">
        <v>982</v>
      </c>
      <c r="B4714" s="1" t="n">
        <v>187.46</v>
      </c>
      <c r="C4714" s="1" t="n">
        <f aca="false">1/B4714</f>
        <v>0.00533447135388883</v>
      </c>
      <c r="D4714" s="1" t="n">
        <v>7.4163</v>
      </c>
      <c r="E4714" s="1" t="n">
        <f aca="false">LN(D4714)</f>
        <v>2.00368028051978</v>
      </c>
    </row>
    <row r="4715" customFormat="false" ht="15.75" hidden="false" customHeight="false" outlineLevel="0" collapsed="false">
      <c r="A4715" s="1" t="s">
        <v>982</v>
      </c>
      <c r="B4715" s="1" t="n">
        <v>188.2</v>
      </c>
      <c r="C4715" s="1" t="n">
        <f aca="false">1/B4715</f>
        <v>0.0053134962805526</v>
      </c>
      <c r="D4715" s="1" t="n">
        <v>7.1797</v>
      </c>
      <c r="E4715" s="1" t="n">
        <f aca="false">LN(D4715)</f>
        <v>1.97125759945741</v>
      </c>
    </row>
    <row r="4716" customFormat="false" ht="15.75" hidden="false" customHeight="false" outlineLevel="0" collapsed="false">
      <c r="A4716" s="1" t="s">
        <v>982</v>
      </c>
      <c r="B4716" s="1" t="n">
        <v>188.94</v>
      </c>
      <c r="C4716" s="1" t="n">
        <f aca="false">1/B4716</f>
        <v>0.00529268550862708</v>
      </c>
      <c r="D4716" s="1" t="n">
        <v>6.9532</v>
      </c>
      <c r="E4716" s="1" t="n">
        <f aca="false">LN(D4716)</f>
        <v>1.93920198526525</v>
      </c>
    </row>
    <row r="4717" customFormat="false" ht="15.75" hidden="false" customHeight="false" outlineLevel="0" collapsed="false">
      <c r="A4717" s="1" t="s">
        <v>982</v>
      </c>
      <c r="B4717" s="1" t="n">
        <v>189.68</v>
      </c>
      <c r="C4717" s="1" t="n">
        <f aca="false">1/B4717</f>
        <v>0.00527203711514129</v>
      </c>
      <c r="D4717" s="1" t="n">
        <v>6.7364</v>
      </c>
      <c r="E4717" s="1" t="n">
        <f aca="false">LN(D4717)</f>
        <v>1.90752565759976</v>
      </c>
    </row>
    <row r="4718" customFormat="false" ht="15.75" hidden="false" customHeight="false" outlineLevel="0" collapsed="false">
      <c r="A4718" s="1" t="s">
        <v>982</v>
      </c>
      <c r="B4718" s="1" t="n">
        <v>190.42</v>
      </c>
      <c r="C4718" s="1" t="n">
        <f aca="false">1/B4718</f>
        <v>0.00525154920701607</v>
      </c>
      <c r="D4718" s="1" t="n">
        <v>6.5289</v>
      </c>
      <c r="E4718" s="1" t="n">
        <f aca="false">LN(D4718)</f>
        <v>1.87623847580599</v>
      </c>
    </row>
    <row r="4719" customFormat="false" ht="15.75" hidden="false" customHeight="false" outlineLevel="0" collapsed="false">
      <c r="A4719" s="1" t="s">
        <v>982</v>
      </c>
      <c r="B4719" s="1" t="n">
        <v>191.16</v>
      </c>
      <c r="C4719" s="1" t="n">
        <f aca="false">1/B4719</f>
        <v>0.00523121992048546</v>
      </c>
      <c r="D4719" s="1" t="n">
        <v>6.3303</v>
      </c>
      <c r="E4719" s="1" t="n">
        <f aca="false">LN(D4719)</f>
        <v>1.84534762839798</v>
      </c>
    </row>
    <row r="4720" customFormat="false" ht="15.75" hidden="false" customHeight="false" outlineLevel="0" collapsed="false">
      <c r="A4720" s="1" t="s">
        <v>982</v>
      </c>
      <c r="B4720" s="1" t="n">
        <v>191.9</v>
      </c>
      <c r="C4720" s="1" t="n">
        <f aca="false">1/B4720</f>
        <v>0.00521104742053153</v>
      </c>
      <c r="D4720" s="1" t="n">
        <v>6.1401</v>
      </c>
      <c r="E4720" s="1" t="n">
        <f aca="false">LN(D4720)</f>
        <v>1.81484102867138</v>
      </c>
    </row>
    <row r="4721" customFormat="false" ht="15.75" hidden="false" customHeight="false" outlineLevel="0" collapsed="false">
      <c r="A4721" s="1" t="s">
        <v>982</v>
      </c>
      <c r="B4721" s="1" t="n">
        <v>192.64</v>
      </c>
      <c r="C4721" s="1" t="n">
        <f aca="false">1/B4721</f>
        <v>0.00519102990033223</v>
      </c>
      <c r="D4721" s="1" t="n">
        <v>5.9579</v>
      </c>
      <c r="E4721" s="1" t="n">
        <f aca="false">LN(D4721)</f>
        <v>1.78471806999448</v>
      </c>
    </row>
    <row r="4722" customFormat="false" ht="15.75" hidden="false" customHeight="false" outlineLevel="0" collapsed="false">
      <c r="A4722" s="1" t="s">
        <v>982</v>
      </c>
      <c r="B4722" s="1" t="n">
        <v>193.39</v>
      </c>
      <c r="C4722" s="1" t="n">
        <f aca="false">1/B4722</f>
        <v>0.00517089818501474</v>
      </c>
      <c r="D4722" s="1" t="n">
        <v>5.7834</v>
      </c>
      <c r="E4722" s="1" t="n">
        <f aca="false">LN(D4722)</f>
        <v>1.75499174503584</v>
      </c>
    </row>
    <row r="4723" customFormat="false" ht="15.75" hidden="false" customHeight="false" outlineLevel="0" collapsed="false">
      <c r="A4723" s="1" t="s">
        <v>982</v>
      </c>
      <c r="B4723" s="1" t="n">
        <v>194.13</v>
      </c>
      <c r="C4723" s="1" t="n">
        <f aca="false">1/B4723</f>
        <v>0.00515118734868387</v>
      </c>
      <c r="D4723" s="1" t="n">
        <v>5.6161</v>
      </c>
      <c r="E4723" s="1" t="n">
        <f aca="false">LN(D4723)</f>
        <v>1.72563747283279</v>
      </c>
    </row>
    <row r="4724" customFormat="false" ht="15.75" hidden="false" customHeight="false" outlineLevel="0" collapsed="false">
      <c r="A4724" s="1" t="s">
        <v>982</v>
      </c>
      <c r="B4724" s="1" t="n">
        <v>194.87</v>
      </c>
      <c r="C4724" s="1" t="n">
        <f aca="false">1/B4724</f>
        <v>0.00513162621234669</v>
      </c>
      <c r="D4724" s="1" t="n">
        <v>5.4558</v>
      </c>
      <c r="E4724" s="1" t="n">
        <f aca="false">LN(D4724)</f>
        <v>1.69667926297779</v>
      </c>
    </row>
    <row r="4725" customFormat="false" ht="15.75" hidden="false" customHeight="false" outlineLevel="0" collapsed="false">
      <c r="A4725" s="1" t="s">
        <v>982</v>
      </c>
      <c r="B4725" s="1" t="n">
        <v>195.61</v>
      </c>
      <c r="C4725" s="1" t="n">
        <f aca="false">1/B4725</f>
        <v>0.00511221307704105</v>
      </c>
      <c r="D4725" s="1" t="n">
        <v>5.3021</v>
      </c>
      <c r="E4725" s="1" t="n">
        <f aca="false">LN(D4725)</f>
        <v>1.66810296849621</v>
      </c>
    </row>
    <row r="4726" customFormat="false" ht="15.75" hidden="false" customHeight="false" outlineLevel="0" collapsed="false">
      <c r="A4726" s="1" t="s">
        <v>982</v>
      </c>
      <c r="B4726" s="1" t="n">
        <v>196.35</v>
      </c>
      <c r="C4726" s="1" t="n">
        <f aca="false">1/B4726</f>
        <v>0.00509294626941686</v>
      </c>
      <c r="D4726" s="1" t="n">
        <v>5.1547</v>
      </c>
      <c r="E4726" s="1" t="n">
        <f aca="false">LN(D4726)</f>
        <v>1.63990891984919</v>
      </c>
    </row>
    <row r="4727" customFormat="false" ht="15.75" hidden="false" customHeight="false" outlineLevel="0" collapsed="false">
      <c r="A4727" s="1" t="s">
        <v>982</v>
      </c>
      <c r="B4727" s="1" t="n">
        <v>197.09</v>
      </c>
      <c r="C4727" s="1" t="n">
        <f aca="false">1/B4727</f>
        <v>0.00507382414125526</v>
      </c>
      <c r="D4727" s="1" t="n">
        <v>5.0132</v>
      </c>
      <c r="E4727" s="1" t="n">
        <f aca="false">LN(D4727)</f>
        <v>1.61207443375523</v>
      </c>
    </row>
    <row r="4728" customFormat="false" ht="15.75" hidden="false" customHeight="false" outlineLevel="0" collapsed="false">
      <c r="A4728" s="1" t="s">
        <v>982</v>
      </c>
      <c r="B4728" s="1" t="n">
        <v>197.83</v>
      </c>
      <c r="C4728" s="1" t="n">
        <f aca="false">1/B4728</f>
        <v>0.00505484506899863</v>
      </c>
      <c r="D4728" s="1" t="n">
        <v>4.8775</v>
      </c>
      <c r="E4728" s="1" t="n">
        <f aca="false">LN(D4728)</f>
        <v>1.58463279351513</v>
      </c>
    </row>
    <row r="4729" customFormat="false" ht="15.75" hidden="false" customHeight="false" outlineLevel="0" collapsed="false">
      <c r="A4729" s="1" t="s">
        <v>982</v>
      </c>
      <c r="B4729" s="1" t="n">
        <v>198.57</v>
      </c>
      <c r="C4729" s="1" t="n">
        <f aca="false">1/B4729</f>
        <v>0.00503600745329103</v>
      </c>
      <c r="D4729" s="1" t="n">
        <v>4.747</v>
      </c>
      <c r="E4729" s="1" t="n">
        <f aca="false">LN(D4729)</f>
        <v>1.55751283956918</v>
      </c>
    </row>
    <row r="4730" customFormat="false" ht="15.75" hidden="false" customHeight="false" outlineLevel="0" collapsed="false">
      <c r="A4730" s="1" t="s">
        <v>982</v>
      </c>
      <c r="B4730" s="1" t="n">
        <v>199.31</v>
      </c>
      <c r="C4730" s="1" t="n">
        <f aca="false">1/B4730</f>
        <v>0.00501730971852892</v>
      </c>
      <c r="D4730" s="1" t="n">
        <v>4.6217</v>
      </c>
      <c r="E4730" s="1" t="n">
        <f aca="false">LN(D4730)</f>
        <v>1.53076260277896</v>
      </c>
    </row>
    <row r="4731" customFormat="false" ht="15.75" hidden="false" customHeight="false" outlineLevel="0" collapsed="false">
      <c r="A4731" s="1" t="s">
        <v>982</v>
      </c>
      <c r="B4731" s="1" t="n">
        <v>200.05</v>
      </c>
      <c r="C4731" s="1" t="n">
        <f aca="false">1/B4731</f>
        <v>0.0049987503124219</v>
      </c>
      <c r="D4731" s="1" t="n">
        <v>4.5013</v>
      </c>
      <c r="E4731" s="1" t="n">
        <f aca="false">LN(D4731)</f>
        <v>1.5043662439448</v>
      </c>
    </row>
    <row r="4732" customFormat="false" ht="15.75" hidden="false" customHeight="false" outlineLevel="0" collapsed="false">
      <c r="A4732" s="1" t="s">
        <v>982</v>
      </c>
      <c r="B4732" s="1" t="n">
        <v>200.79</v>
      </c>
      <c r="C4732" s="1" t="n">
        <f aca="false">1/B4732</f>
        <v>0.00498032770556303</v>
      </c>
      <c r="D4732" s="1" t="n">
        <v>4.3855</v>
      </c>
      <c r="E4732" s="1" t="n">
        <f aca="false">LN(D4732)</f>
        <v>1.4783036444093</v>
      </c>
    </row>
    <row r="4733" customFormat="false" ht="15.75" hidden="false" customHeight="false" outlineLevel="0" collapsed="false">
      <c r="A4733" s="1" t="s">
        <v>982</v>
      </c>
      <c r="B4733" s="1" t="n">
        <v>201.53</v>
      </c>
      <c r="C4733" s="1" t="n">
        <f aca="false">1/B4733</f>
        <v>0.00496204039100878</v>
      </c>
      <c r="D4733" s="1" t="n">
        <v>4.2741</v>
      </c>
      <c r="E4733" s="1" t="n">
        <f aca="false">LN(D4733)</f>
        <v>1.45257355390916</v>
      </c>
    </row>
    <row r="4734" customFormat="false" ht="15.75" hidden="false" customHeight="false" outlineLevel="0" collapsed="false">
      <c r="A4734" s="1" t="s">
        <v>982</v>
      </c>
      <c r="B4734" s="1" t="n">
        <v>202.27</v>
      </c>
      <c r="C4734" s="1" t="n">
        <f aca="false">1/B4734</f>
        <v>0.0049438868838681</v>
      </c>
      <c r="D4734" s="1" t="n">
        <v>4.1669</v>
      </c>
      <c r="E4734" s="1" t="n">
        <f aca="false">LN(D4734)</f>
        <v>1.4271723540722</v>
      </c>
    </row>
    <row r="4735" customFormat="false" ht="15.75" hidden="false" customHeight="false" outlineLevel="0" collapsed="false">
      <c r="A4735" s="1" t="s">
        <v>982</v>
      </c>
      <c r="B4735" s="1" t="n">
        <v>203.01</v>
      </c>
      <c r="C4735" s="1" t="n">
        <f aca="false">1/B4735</f>
        <v>0.00492586572090045</v>
      </c>
      <c r="D4735" s="1" t="n">
        <v>4.0637</v>
      </c>
      <c r="E4735" s="1" t="n">
        <f aca="false">LN(D4735)</f>
        <v>1.40209388865379</v>
      </c>
    </row>
    <row r="4736" customFormat="false" ht="15.75" hidden="false" customHeight="false" outlineLevel="0" collapsed="false">
      <c r="A4736" s="1" t="s">
        <v>982</v>
      </c>
      <c r="B4736" s="1" t="n">
        <v>203.75</v>
      </c>
      <c r="C4736" s="1" t="n">
        <f aca="false">1/B4736</f>
        <v>0.0049079754601227</v>
      </c>
      <c r="D4736" s="1" t="n">
        <v>3.9642</v>
      </c>
      <c r="E4736" s="1" t="n">
        <f aca="false">LN(D4736)</f>
        <v>1.37730406928176</v>
      </c>
    </row>
    <row r="4737" customFormat="false" ht="15.75" hidden="false" customHeight="false" outlineLevel="0" collapsed="false">
      <c r="A4737" s="1" t="s">
        <v>982</v>
      </c>
      <c r="B4737" s="1" t="n">
        <v>204.5</v>
      </c>
      <c r="C4737" s="1" t="n">
        <f aca="false">1/B4737</f>
        <v>0.00488997555012225</v>
      </c>
      <c r="D4737" s="1" t="n">
        <v>3.8684</v>
      </c>
      <c r="E4737" s="1" t="n">
        <f aca="false">LN(D4737)</f>
        <v>1.35284098486067</v>
      </c>
    </row>
    <row r="4738" customFormat="false" ht="15.75" hidden="false" customHeight="false" outlineLevel="0" collapsed="false">
      <c r="A4738" s="1" t="s">
        <v>982</v>
      </c>
      <c r="B4738" s="1" t="n">
        <v>205.24</v>
      </c>
      <c r="C4738" s="1" t="n">
        <f aca="false">1/B4738</f>
        <v>0.00487234457220815</v>
      </c>
      <c r="D4738" s="1" t="n">
        <v>3.776</v>
      </c>
      <c r="E4738" s="1" t="n">
        <f aca="false">LN(D4738)</f>
        <v>1.32866524828325</v>
      </c>
    </row>
    <row r="4739" customFormat="false" ht="15.75" hidden="false" customHeight="false" outlineLevel="0" collapsed="false">
      <c r="A4739" s="1" t="s">
        <v>982</v>
      </c>
      <c r="B4739" s="1" t="n">
        <v>205.98</v>
      </c>
      <c r="C4739" s="1" t="n">
        <f aca="false">1/B4739</f>
        <v>0.00485484027575493</v>
      </c>
      <c r="D4739" s="1" t="n">
        <v>3.6869</v>
      </c>
      <c r="E4739" s="1" t="n">
        <f aca="false">LN(D4739)</f>
        <v>1.30478599656252</v>
      </c>
    </row>
    <row r="4740" customFormat="false" ht="15.75" hidden="false" customHeight="false" outlineLevel="0" collapsed="false">
      <c r="A4740" s="1" t="s">
        <v>982</v>
      </c>
      <c r="B4740" s="1" t="n">
        <v>206.72</v>
      </c>
      <c r="C4740" s="1" t="n">
        <f aca="false">1/B4740</f>
        <v>0.0048374613003096</v>
      </c>
      <c r="D4740" s="1" t="n">
        <v>3.6009</v>
      </c>
      <c r="E4740" s="1" t="n">
        <f aca="false">LN(D4740)</f>
        <v>1.28118381421727</v>
      </c>
    </row>
    <row r="4741" customFormat="false" ht="15.75" hidden="false" customHeight="false" outlineLevel="0" collapsed="false">
      <c r="A4741" s="1" t="s">
        <v>982</v>
      </c>
      <c r="B4741" s="1" t="n">
        <v>207.46</v>
      </c>
      <c r="C4741" s="1" t="n">
        <f aca="false">1/B4741</f>
        <v>0.00482020630482985</v>
      </c>
      <c r="D4741" s="1" t="n">
        <v>3.5178</v>
      </c>
      <c r="E4741" s="1" t="n">
        <f aca="false">LN(D4741)</f>
        <v>1.25783579421609</v>
      </c>
    </row>
    <row r="4742" customFormat="false" ht="15.75" hidden="false" customHeight="false" outlineLevel="0" collapsed="false">
      <c r="A4742" s="1" t="s">
        <v>982</v>
      </c>
      <c r="B4742" s="1" t="n">
        <v>208.2</v>
      </c>
      <c r="C4742" s="1" t="n">
        <f aca="false">1/B4742</f>
        <v>0.0048030739673391</v>
      </c>
      <c r="D4742" s="1" t="n">
        <v>3.4376</v>
      </c>
      <c r="E4742" s="1" t="n">
        <f aca="false">LN(D4742)</f>
        <v>1.23477355347865</v>
      </c>
    </row>
    <row r="4743" customFormat="false" ht="15.75" hidden="false" customHeight="false" outlineLevel="0" collapsed="false">
      <c r="A4743" s="1" t="s">
        <v>982</v>
      </c>
      <c r="B4743" s="1" t="n">
        <v>208.94</v>
      </c>
      <c r="C4743" s="1" t="n">
        <f aca="false">1/B4743</f>
        <v>0.00478606298458888</v>
      </c>
      <c r="D4743" s="1" t="n">
        <v>3.3601</v>
      </c>
      <c r="E4743" s="1" t="n">
        <f aca="false">LN(D4743)</f>
        <v>1.211970735437</v>
      </c>
    </row>
    <row r="4744" customFormat="false" ht="15.75" hidden="false" customHeight="false" outlineLevel="0" collapsed="false">
      <c r="A4744" s="1" t="s">
        <v>982</v>
      </c>
      <c r="B4744" s="1" t="n">
        <v>209.68</v>
      </c>
      <c r="C4744" s="1" t="n">
        <f aca="false">1/B4744</f>
        <v>0.00476917207172835</v>
      </c>
      <c r="D4744" s="1" t="n">
        <v>3.2852</v>
      </c>
      <c r="E4744" s="1" t="n">
        <f aca="false">LN(D4744)</f>
        <v>1.1894275328839</v>
      </c>
    </row>
    <row r="4745" customFormat="false" ht="15.75" hidden="false" customHeight="false" outlineLevel="0" collapsed="false">
      <c r="A4745" s="1" t="s">
        <v>982</v>
      </c>
      <c r="B4745" s="1" t="n">
        <v>210.42</v>
      </c>
      <c r="C4745" s="1" t="n">
        <f aca="false">1/B4745</f>
        <v>0.0047523999619808</v>
      </c>
      <c r="D4745" s="1" t="n">
        <v>3.2127</v>
      </c>
      <c r="E4745" s="1" t="n">
        <f aca="false">LN(D4745)</f>
        <v>1.1671117050928</v>
      </c>
    </row>
    <row r="4746" customFormat="false" ht="15.75" hidden="false" customHeight="false" outlineLevel="0" collapsed="false">
      <c r="A4746" s="1" t="s">
        <v>982</v>
      </c>
      <c r="B4746" s="1" t="n">
        <v>211.16</v>
      </c>
      <c r="C4746" s="1" t="n">
        <f aca="false">1/B4746</f>
        <v>0.00473574540632696</v>
      </c>
      <c r="D4746" s="1" t="n">
        <v>3.1426</v>
      </c>
      <c r="E4746" s="1" t="n">
        <f aca="false">LN(D4746)</f>
        <v>1.14505048277389</v>
      </c>
    </row>
    <row r="4747" customFormat="false" ht="15.75" hidden="false" customHeight="false" outlineLevel="0" collapsed="false">
      <c r="A4747" s="1" t="s">
        <v>982</v>
      </c>
      <c r="B4747" s="1" t="n">
        <v>211.9</v>
      </c>
      <c r="C4747" s="1" t="n">
        <f aca="false">1/B4747</f>
        <v>0.0047192071731949</v>
      </c>
      <c r="D4747" s="1" t="n">
        <v>3.0748</v>
      </c>
      <c r="E4747" s="1" t="n">
        <f aca="false">LN(D4747)</f>
        <v>1.12323985849284</v>
      </c>
    </row>
    <row r="4748" customFormat="false" ht="15.75" hidden="false" customHeight="false" outlineLevel="0" collapsed="false">
      <c r="A4748" s="1" t="s">
        <v>982</v>
      </c>
      <c r="B4748" s="1" t="n">
        <v>212.64</v>
      </c>
      <c r="C4748" s="1" t="n">
        <f aca="false">1/B4748</f>
        <v>0.00470278404815651</v>
      </c>
      <c r="D4748" s="1" t="n">
        <v>3.0091</v>
      </c>
      <c r="E4748" s="1" t="n">
        <f aca="false">LN(D4748)</f>
        <v>1.10164103072812</v>
      </c>
    </row>
    <row r="4749" customFormat="false" ht="15.75" hidden="false" customHeight="false" outlineLevel="0" collapsed="false">
      <c r="A4749" s="1" t="s">
        <v>982</v>
      </c>
      <c r="B4749" s="1" t="n">
        <v>213.38</v>
      </c>
      <c r="C4749" s="1" t="n">
        <f aca="false">1/B4749</f>
        <v>0.00468647483363014</v>
      </c>
      <c r="D4749" s="1" t="n">
        <v>2.9454</v>
      </c>
      <c r="E4749" s="1" t="n">
        <f aca="false">LN(D4749)</f>
        <v>1.08024463130992</v>
      </c>
    </row>
    <row r="4750" customFormat="false" ht="15.75" hidden="false" customHeight="false" outlineLevel="0" collapsed="false">
      <c r="A4750" s="1" t="s">
        <v>982</v>
      </c>
      <c r="B4750" s="1" t="n">
        <v>214.12</v>
      </c>
      <c r="C4750" s="1" t="n">
        <f aca="false">1/B4750</f>
        <v>0.00467027834858958</v>
      </c>
      <c r="D4750" s="1" t="n">
        <v>2.8838</v>
      </c>
      <c r="E4750" s="1" t="n">
        <f aca="false">LN(D4750)</f>
        <v>1.05910886889041</v>
      </c>
    </row>
    <row r="4751" customFormat="false" ht="15.75" hidden="false" customHeight="false" outlineLevel="0" collapsed="false">
      <c r="A4751" s="1" t="s">
        <v>982</v>
      </c>
      <c r="B4751" s="1" t="n">
        <v>214.86</v>
      </c>
      <c r="C4751" s="1" t="n">
        <f aca="false">1/B4751</f>
        <v>0.00465419342827888</v>
      </c>
      <c r="D4751" s="1" t="n">
        <v>2.824</v>
      </c>
      <c r="E4751" s="1" t="n">
        <f aca="false">LN(D4751)</f>
        <v>1.038154319631</v>
      </c>
    </row>
    <row r="4752" customFormat="false" ht="15.75" hidden="false" customHeight="false" outlineLevel="0" collapsed="false">
      <c r="A4752" s="1" t="s">
        <v>982</v>
      </c>
      <c r="B4752" s="1" t="n">
        <v>215.61</v>
      </c>
      <c r="C4752" s="1" t="n">
        <f aca="false">1/B4752</f>
        <v>0.00463800380316312</v>
      </c>
      <c r="D4752" s="1" t="n">
        <v>2.766</v>
      </c>
      <c r="E4752" s="1" t="n">
        <f aca="false">LN(D4752)</f>
        <v>1.01740223324257</v>
      </c>
    </row>
    <row r="4753" customFormat="false" ht="15.75" hidden="false" customHeight="false" outlineLevel="0" collapsed="false">
      <c r="A4753" s="1" t="s">
        <v>982</v>
      </c>
      <c r="B4753" s="1" t="n">
        <v>216.35</v>
      </c>
      <c r="C4753" s="1" t="n">
        <f aca="false">1/B4753</f>
        <v>0.00462214005084354</v>
      </c>
      <c r="D4753" s="1" t="n">
        <v>2.7097</v>
      </c>
      <c r="E4753" s="1" t="n">
        <f aca="false">LN(D4753)</f>
        <v>0.996837927656779</v>
      </c>
    </row>
    <row r="4754" customFormat="false" ht="15.75" hidden="false" customHeight="false" outlineLevel="0" collapsed="false">
      <c r="A4754" s="1" t="s">
        <v>982</v>
      </c>
      <c r="B4754" s="1" t="n">
        <v>217.09</v>
      </c>
      <c r="C4754" s="1" t="n">
        <f aca="false">1/B4754</f>
        <v>0.0046063844488461</v>
      </c>
      <c r="D4754" s="1" t="n">
        <v>2.6551</v>
      </c>
      <c r="E4754" s="1" t="n">
        <f aca="false">LN(D4754)</f>
        <v>0.976482318768029</v>
      </c>
    </row>
    <row r="4755" customFormat="false" ht="15.75" hidden="false" customHeight="false" outlineLevel="0" collapsed="false">
      <c r="A4755" s="1" t="s">
        <v>982</v>
      </c>
      <c r="B4755" s="1" t="n">
        <v>217.83</v>
      </c>
      <c r="C4755" s="1" t="n">
        <f aca="false">1/B4755</f>
        <v>0.00459073589496396</v>
      </c>
      <c r="D4755" s="1" t="n">
        <v>2.6022</v>
      </c>
      <c r="E4755" s="1" t="n">
        <f aca="false">LN(D4755)</f>
        <v>0.956357241087238</v>
      </c>
    </row>
    <row r="4756" customFormat="false" ht="15.75" hidden="false" customHeight="false" outlineLevel="0" collapsed="false">
      <c r="A4756" s="1" t="s">
        <v>982</v>
      </c>
      <c r="B4756" s="1" t="n">
        <v>218.57</v>
      </c>
      <c r="C4756" s="1" t="n">
        <f aca="false">1/B4756</f>
        <v>0.00457519330191701</v>
      </c>
      <c r="D4756" s="1" t="n">
        <v>2.5507</v>
      </c>
      <c r="E4756" s="1" t="n">
        <f aca="false">LN(D4756)</f>
        <v>0.936367831303334</v>
      </c>
    </row>
    <row r="4757" customFormat="false" ht="15.75" hidden="false" customHeight="false" outlineLevel="0" collapsed="false">
      <c r="A4757" s="1" t="s">
        <v>982</v>
      </c>
      <c r="B4757" s="1" t="n">
        <v>219.31</v>
      </c>
      <c r="C4757" s="1" t="n">
        <f aca="false">1/B4757</f>
        <v>0.0045597555971</v>
      </c>
      <c r="D4757" s="1" t="n">
        <v>2.5007</v>
      </c>
      <c r="E4757" s="1" t="n">
        <f aca="false">LN(D4757)</f>
        <v>0.916570692681471</v>
      </c>
    </row>
    <row r="4758" customFormat="false" ht="15.75" hidden="false" customHeight="false" outlineLevel="0" collapsed="false">
      <c r="A4758" s="1" t="s">
        <v>982</v>
      </c>
      <c r="B4758" s="1" t="n">
        <v>220.05</v>
      </c>
      <c r="C4758" s="1" t="n">
        <f aca="false">1/B4758</f>
        <v>0.00454442172233583</v>
      </c>
      <c r="D4758" s="1" t="n">
        <v>2.4521</v>
      </c>
      <c r="E4758" s="1" t="n">
        <f aca="false">LN(D4758)</f>
        <v>0.896944800276618</v>
      </c>
    </row>
    <row r="4759" customFormat="false" ht="15.75" hidden="false" customHeight="false" outlineLevel="0" collapsed="false">
      <c r="A4759" s="1" t="s">
        <v>982</v>
      </c>
      <c r="B4759" s="1" t="n">
        <v>220.79</v>
      </c>
      <c r="C4759" s="1" t="n">
        <f aca="false">1/B4759</f>
        <v>0.00452919063363377</v>
      </c>
      <c r="D4759" s="1" t="n">
        <v>2.4049</v>
      </c>
      <c r="E4759" s="1" t="n">
        <f aca="false">LN(D4759)</f>
        <v>0.87750832265167</v>
      </c>
    </row>
    <row r="4760" customFormat="false" ht="15.75" hidden="false" customHeight="false" outlineLevel="0" collapsed="false">
      <c r="A4760" s="1" t="s">
        <v>982</v>
      </c>
      <c r="B4760" s="1" t="n">
        <v>221.53</v>
      </c>
      <c r="C4760" s="1" t="n">
        <f aca="false">1/B4760</f>
        <v>0.00451406130095247</v>
      </c>
      <c r="D4760" s="1" t="n">
        <v>2.3589</v>
      </c>
      <c r="E4760" s="1" t="n">
        <f aca="false">LN(D4760)</f>
        <v>0.858195408683443</v>
      </c>
    </row>
    <row r="4761" customFormat="false" ht="15.75" hidden="false" customHeight="false" outlineLevel="0" collapsed="false">
      <c r="A4761" s="1" t="s">
        <v>982</v>
      </c>
      <c r="B4761" s="1" t="n">
        <v>222.27</v>
      </c>
      <c r="C4761" s="1" t="n">
        <f aca="false">1/B4761</f>
        <v>0.00449903270796779</v>
      </c>
      <c r="D4761" s="1" t="n">
        <v>2.3143</v>
      </c>
      <c r="E4761" s="1" t="n">
        <f aca="false">LN(D4761)</f>
        <v>0.839107266003479</v>
      </c>
    </row>
    <row r="4762" customFormat="false" ht="15.75" hidden="false" customHeight="false" outlineLevel="0" collapsed="false">
      <c r="A4762" s="1" t="s">
        <v>982</v>
      </c>
      <c r="B4762" s="1" t="n">
        <v>223.01</v>
      </c>
      <c r="C4762" s="1" t="n">
        <f aca="false">1/B4762</f>
        <v>0.00448410385184521</v>
      </c>
      <c r="D4762" s="1" t="n">
        <v>2.2708</v>
      </c>
      <c r="E4762" s="1" t="n">
        <f aca="false">LN(D4762)</f>
        <v>0.820132192314434</v>
      </c>
    </row>
    <row r="4763" customFormat="false" ht="15.75" hidden="false" customHeight="false" outlineLevel="0" collapsed="false">
      <c r="A4763" s="1" t="s">
        <v>982</v>
      </c>
      <c r="B4763" s="1" t="n">
        <v>223.75</v>
      </c>
      <c r="C4763" s="1" t="n">
        <f aca="false">1/B4763</f>
        <v>0.00446927374301676</v>
      </c>
      <c r="D4763" s="1" t="n">
        <v>2.2285</v>
      </c>
      <c r="E4763" s="1" t="n">
        <f aca="false">LN(D4763)</f>
        <v>0.801328713404473</v>
      </c>
    </row>
    <row r="4764" customFormat="false" ht="15.75" hidden="false" customHeight="false" outlineLevel="0" collapsed="false">
      <c r="A4764" s="1" t="s">
        <v>982</v>
      </c>
      <c r="B4764" s="1" t="n">
        <v>224.49</v>
      </c>
      <c r="C4764" s="1" t="n">
        <f aca="false">1/B4764</f>
        <v>0.00445454140496236</v>
      </c>
      <c r="D4764" s="1" t="n">
        <v>2.1873</v>
      </c>
      <c r="E4764" s="1" t="n">
        <f aca="false">LN(D4764)</f>
        <v>0.782667906498357</v>
      </c>
    </row>
    <row r="4765" customFormat="false" ht="15.75" hidden="false" customHeight="false" outlineLevel="0" collapsed="false">
      <c r="A4765" s="1" t="s">
        <v>982</v>
      </c>
      <c r="B4765" s="1" t="n">
        <v>225.23</v>
      </c>
      <c r="C4765" s="1" t="n">
        <f aca="false">1/B4765</f>
        <v>0.00443990587399547</v>
      </c>
      <c r="D4765" s="1" t="n">
        <v>2.1472</v>
      </c>
      <c r="E4765" s="1" t="n">
        <f aca="false">LN(D4765)</f>
        <v>0.764164667795226</v>
      </c>
    </row>
    <row r="4766" customFormat="false" ht="15.75" hidden="false" customHeight="false" outlineLevel="0" collapsed="false">
      <c r="A4766" s="1" t="s">
        <v>982</v>
      </c>
      <c r="B4766" s="1" t="n">
        <v>225.97</v>
      </c>
      <c r="C4766" s="1" t="n">
        <f aca="false">1/B4766</f>
        <v>0.00442536619905297</v>
      </c>
      <c r="D4766" s="1" t="n">
        <v>2.1081</v>
      </c>
      <c r="E4766" s="1" t="n">
        <f aca="false">LN(D4766)</f>
        <v>0.745787067884125</v>
      </c>
    </row>
    <row r="4767" customFormat="false" ht="15.75" hidden="false" customHeight="false" outlineLevel="0" collapsed="false">
      <c r="A4767" s="1" t="s">
        <v>982</v>
      </c>
      <c r="B4767" s="1" t="n">
        <v>226.71</v>
      </c>
      <c r="C4767" s="1" t="n">
        <f aca="false">1/B4767</f>
        <v>0.00441092144148913</v>
      </c>
      <c r="D4767" s="1" t="n">
        <v>2.07</v>
      </c>
      <c r="E4767" s="1" t="n">
        <f aca="false">LN(D4767)</f>
        <v>0.727548607277278</v>
      </c>
    </row>
    <row r="4768" customFormat="false" ht="15.75" hidden="false" customHeight="false" outlineLevel="0" collapsed="false">
      <c r="A4768" s="1" t="s">
        <v>982</v>
      </c>
      <c r="B4768" s="1" t="n">
        <v>227.46</v>
      </c>
      <c r="C4768" s="1" t="n">
        <f aca="false">1/B4768</f>
        <v>0.00439637738503473</v>
      </c>
      <c r="D4768" s="1" t="n">
        <v>2.0329</v>
      </c>
      <c r="E4768" s="1" t="n">
        <f aca="false">LN(D4768)</f>
        <v>0.709463345044882</v>
      </c>
    </row>
    <row r="4769" customFormat="false" ht="15.75" hidden="false" customHeight="false" outlineLevel="0" collapsed="false">
      <c r="A4769" s="1" t="s">
        <v>982</v>
      </c>
      <c r="B4769" s="1" t="n">
        <v>228.2</v>
      </c>
      <c r="C4769" s="1" t="n">
        <f aca="false">1/B4769</f>
        <v>0.00438212094653813</v>
      </c>
      <c r="D4769" s="1" t="n">
        <v>1.9968</v>
      </c>
      <c r="E4769" s="1" t="n">
        <f aca="false">LN(D4769)</f>
        <v>0.691545899192971</v>
      </c>
    </row>
    <row r="4770" customFormat="false" ht="15.75" hidden="false" customHeight="false" outlineLevel="0" collapsed="false">
      <c r="A4770" s="1" t="s">
        <v>982</v>
      </c>
      <c r="B4770" s="1" t="n">
        <v>228.94</v>
      </c>
      <c r="C4770" s="1" t="n">
        <f aca="false">1/B4770</f>
        <v>0.00436795666986983</v>
      </c>
      <c r="D4770" s="1" t="n">
        <v>1.9615</v>
      </c>
      <c r="E4770" s="1" t="n">
        <f aca="false">LN(D4770)</f>
        <v>0.67370948666747</v>
      </c>
    </row>
    <row r="4771" customFormat="false" ht="15.75" hidden="false" customHeight="false" outlineLevel="0" collapsed="false">
      <c r="A4771" s="1" t="s">
        <v>982</v>
      </c>
      <c r="B4771" s="1" t="n">
        <v>229.68</v>
      </c>
      <c r="C4771" s="1" t="n">
        <f aca="false">1/B4771</f>
        <v>0.00435388366422849</v>
      </c>
      <c r="D4771" s="1" t="n">
        <v>1.9271</v>
      </c>
      <c r="E4771" s="1" t="n">
        <f aca="false">LN(D4771)</f>
        <v>0.656016282221738</v>
      </c>
    </row>
    <row r="4772" customFormat="false" ht="15.75" hidden="false" customHeight="false" outlineLevel="0" collapsed="false">
      <c r="A4772" s="1" t="s">
        <v>982</v>
      </c>
      <c r="B4772" s="1" t="n">
        <v>230.42</v>
      </c>
      <c r="C4772" s="1" t="n">
        <f aca="false">1/B4772</f>
        <v>0.00433990105025605</v>
      </c>
      <c r="D4772" s="1" t="n">
        <v>1.8936</v>
      </c>
      <c r="E4772" s="1" t="n">
        <f aca="false">LN(D4772)</f>
        <v>0.638479779217637</v>
      </c>
    </row>
    <row r="4773" customFormat="false" ht="15.75" hidden="false" customHeight="false" outlineLevel="0" collapsed="false">
      <c r="A4773" s="1" t="s">
        <v>982</v>
      </c>
      <c r="B4773" s="1" t="n">
        <v>231.16</v>
      </c>
      <c r="C4773" s="1" t="n">
        <f aca="false">1/B4773</f>
        <v>0.00432600795985465</v>
      </c>
      <c r="D4773" s="1" t="n">
        <v>1.8608</v>
      </c>
      <c r="E4773" s="1" t="n">
        <f aca="false">LN(D4773)</f>
        <v>0.621006502782263</v>
      </c>
    </row>
    <row r="4774" customFormat="false" ht="15.75" hidden="false" customHeight="false" outlineLevel="0" collapsed="false">
      <c r="A4774" s="1" t="s">
        <v>982</v>
      </c>
      <c r="B4774" s="1" t="n">
        <v>231.9</v>
      </c>
      <c r="C4774" s="1" t="n">
        <f aca="false">1/B4774</f>
        <v>0.0043122035360069</v>
      </c>
      <c r="D4774" s="1" t="n">
        <v>1.8289</v>
      </c>
      <c r="E4774" s="1" t="n">
        <f aca="false">LN(D4774)</f>
        <v>0.603714693228393</v>
      </c>
    </row>
    <row r="4775" customFormat="false" ht="15.75" hidden="false" customHeight="false" outlineLevel="0" collapsed="false">
      <c r="A4775" s="1" t="s">
        <v>982</v>
      </c>
      <c r="B4775" s="1" t="n">
        <v>232.64</v>
      </c>
      <c r="C4775" s="1" t="n">
        <f aca="false">1/B4775</f>
        <v>0.00429848693259973</v>
      </c>
      <c r="D4775" s="1" t="n">
        <v>1.7977</v>
      </c>
      <c r="E4775" s="1" t="n">
        <f aca="false">LN(D4775)</f>
        <v>0.586508070070233</v>
      </c>
    </row>
    <row r="4776" customFormat="false" ht="15.75" hidden="false" customHeight="false" outlineLevel="0" collapsed="false">
      <c r="A4776" s="1" t="s">
        <v>982</v>
      </c>
      <c r="B4776" s="1" t="n">
        <v>233.38</v>
      </c>
      <c r="C4776" s="1" t="n">
        <f aca="false">1/B4776</f>
        <v>0.00428485731425144</v>
      </c>
      <c r="D4776" s="1" t="n">
        <v>1.7673</v>
      </c>
      <c r="E4776" s="1" t="n">
        <f aca="false">LN(D4776)</f>
        <v>0.569452958213614</v>
      </c>
    </row>
    <row r="4777" customFormat="false" ht="15.75" hidden="false" customHeight="false" outlineLevel="0" collapsed="false">
      <c r="A4777" s="1" t="s">
        <v>982</v>
      </c>
      <c r="B4777" s="1" t="n">
        <v>234.12</v>
      </c>
      <c r="C4777" s="1" t="n">
        <f aca="false">1/B4777</f>
        <v>0.00427131385614215</v>
      </c>
      <c r="D4777" s="1" t="n">
        <v>1.7375</v>
      </c>
      <c r="E4777" s="1" t="n">
        <f aca="false">LN(D4777)</f>
        <v>0.55244729845681</v>
      </c>
    </row>
    <row r="4778" customFormat="false" ht="15.75" hidden="false" customHeight="false" outlineLevel="0" collapsed="false">
      <c r="A4778" s="1" t="s">
        <v>982</v>
      </c>
      <c r="B4778" s="1" t="n">
        <v>234.86</v>
      </c>
      <c r="C4778" s="1" t="n">
        <f aca="false">1/B4778</f>
        <v>0.0042578557438474</v>
      </c>
      <c r="D4778" s="1" t="n">
        <v>1.7085</v>
      </c>
      <c r="E4778" s="1" t="n">
        <f aca="false">LN(D4778)</f>
        <v>0.535615792573209</v>
      </c>
    </row>
    <row r="4779" customFormat="false" ht="15.75" hidden="false" customHeight="false" outlineLevel="0" collapsed="false">
      <c r="A4779" s="1" t="s">
        <v>982</v>
      </c>
      <c r="B4779" s="1" t="n">
        <v>235.6</v>
      </c>
      <c r="C4779" s="1" t="n">
        <f aca="false">1/B4779</f>
        <v>0.00424448217317487</v>
      </c>
      <c r="D4779" s="1" t="n">
        <v>1.6801</v>
      </c>
      <c r="E4779" s="1" t="n">
        <f aca="false">LN(D4779)</f>
        <v>0.51885331545322</v>
      </c>
    </row>
    <row r="4780" customFormat="false" ht="15.75" hidden="false" customHeight="false" outlineLevel="0" collapsed="false">
      <c r="A4780" s="1" t="s">
        <v>982</v>
      </c>
      <c r="B4780" s="1" t="n">
        <v>236.34</v>
      </c>
      <c r="C4780" s="1" t="n">
        <f aca="false">1/B4780</f>
        <v>0.00423119235000423</v>
      </c>
      <c r="D4780" s="1" t="n">
        <v>1.6524</v>
      </c>
      <c r="E4780" s="1" t="n">
        <f aca="false">LN(D4780)</f>
        <v>0.502228776540473</v>
      </c>
    </row>
    <row r="4781" customFormat="false" ht="15.75" hidden="false" customHeight="false" outlineLevel="0" collapsed="false">
      <c r="A4781" s="1" t="s">
        <v>982</v>
      </c>
      <c r="B4781" s="1" t="n">
        <v>237.08</v>
      </c>
      <c r="C4781" s="1" t="n">
        <f aca="false">1/B4781</f>
        <v>0.00421798549012991</v>
      </c>
      <c r="D4781" s="1" t="n">
        <v>1.6253</v>
      </c>
      <c r="E4781" s="1" t="n">
        <f aca="false">LN(D4781)</f>
        <v>0.485692414126993</v>
      </c>
    </row>
    <row r="4782" customFormat="false" ht="15.75" hidden="false" customHeight="false" outlineLevel="0" collapsed="false">
      <c r="A4782" s="1" t="s">
        <v>982</v>
      </c>
      <c r="B4782" s="1" t="n">
        <v>237.82</v>
      </c>
      <c r="C4782" s="1" t="n">
        <f aca="false">1/B4782</f>
        <v>0.00420486081910689</v>
      </c>
      <c r="D4782" s="1" t="n">
        <v>1.5988</v>
      </c>
      <c r="E4782" s="1" t="n">
        <f aca="false">LN(D4782)</f>
        <v>0.469253347855031</v>
      </c>
    </row>
    <row r="4783" customFormat="false" ht="15.75" hidden="false" customHeight="false" outlineLevel="0" collapsed="false">
      <c r="A4783" s="1" t="s">
        <v>982</v>
      </c>
      <c r="B4783" s="1" t="n">
        <v>238.57</v>
      </c>
      <c r="C4783" s="1" t="n">
        <f aca="false">1/B4783</f>
        <v>0.00419164186611896</v>
      </c>
      <c r="D4783" s="1" t="n">
        <v>1.5729</v>
      </c>
      <c r="E4783" s="1" t="n">
        <f aca="false">LN(D4783)</f>
        <v>0.45292104926446</v>
      </c>
    </row>
    <row r="4784" customFormat="false" ht="15.75" hidden="false" customHeight="false" outlineLevel="0" collapsed="false">
      <c r="A4784" s="1" t="s">
        <v>982</v>
      </c>
      <c r="B4784" s="1" t="n">
        <v>239.31</v>
      </c>
      <c r="C4784" s="1" t="n">
        <f aca="false">1/B4784</f>
        <v>0.00417868037273829</v>
      </c>
      <c r="D4784" s="1" t="n">
        <v>1.5476</v>
      </c>
      <c r="E4784" s="1" t="n">
        <f aca="false">LN(D4784)</f>
        <v>0.436705343844221</v>
      </c>
    </row>
    <row r="4785" customFormat="false" ht="15.75" hidden="false" customHeight="false" outlineLevel="0" collapsed="false">
      <c r="A4785" s="1" t="s">
        <v>982</v>
      </c>
      <c r="B4785" s="1" t="n">
        <v>240.05</v>
      </c>
      <c r="C4785" s="1" t="n">
        <f aca="false">1/B4785</f>
        <v>0.00416579879191835</v>
      </c>
      <c r="D4785" s="1" t="n">
        <v>1.5229</v>
      </c>
      <c r="E4785" s="1" t="n">
        <f aca="false">LN(D4785)</f>
        <v>0.420616411875508</v>
      </c>
    </row>
    <row r="4786" customFormat="false" ht="15.75" hidden="false" customHeight="false" outlineLevel="0" collapsed="false">
      <c r="A4786" s="1" t="s">
        <v>982</v>
      </c>
      <c r="B4786" s="1" t="n">
        <v>240.79</v>
      </c>
      <c r="C4786" s="1" t="n">
        <f aca="false">1/B4786</f>
        <v>0.00415299638689314</v>
      </c>
      <c r="D4786" s="1" t="n">
        <v>1.4987</v>
      </c>
      <c r="E4786" s="1" t="n">
        <f aca="false">LN(D4786)</f>
        <v>0.404598065668813</v>
      </c>
    </row>
    <row r="4787" customFormat="false" ht="15.75" hidden="false" customHeight="false" outlineLevel="0" collapsed="false">
      <c r="A4787" s="1" t="s">
        <v>982</v>
      </c>
      <c r="B4787" s="1" t="n">
        <v>241.53</v>
      </c>
      <c r="C4787" s="1" t="n">
        <f aca="false">1/B4787</f>
        <v>0.00414027242992589</v>
      </c>
      <c r="D4787" s="1" t="n">
        <v>1.475</v>
      </c>
      <c r="E4787" s="1" t="n">
        <f aca="false">LN(D4787)</f>
        <v>0.388657989791783</v>
      </c>
    </row>
    <row r="4788" customFormat="false" ht="15.75" hidden="false" customHeight="false" outlineLevel="0" collapsed="false">
      <c r="A4788" s="1" t="s">
        <v>982</v>
      </c>
      <c r="B4788" s="1" t="n">
        <v>242.27</v>
      </c>
      <c r="C4788" s="1" t="n">
        <f aca="false">1/B4788</f>
        <v>0.00412762620217113</v>
      </c>
      <c r="D4788" s="1" t="n">
        <v>1.4518</v>
      </c>
      <c r="E4788" s="1" t="n">
        <f aca="false">LN(D4788)</f>
        <v>0.372804165868603</v>
      </c>
    </row>
    <row r="4789" customFormat="false" ht="15.75" hidden="false" customHeight="false" outlineLevel="0" collapsed="false">
      <c r="A4789" s="1" t="s">
        <v>982</v>
      </c>
      <c r="B4789" s="1" t="n">
        <v>243.01</v>
      </c>
      <c r="C4789" s="1" t="n">
        <f aca="false">1/B4789</f>
        <v>0.00411505699353936</v>
      </c>
      <c r="D4789" s="1" t="n">
        <v>1.4291</v>
      </c>
      <c r="E4789" s="1" t="n">
        <f aca="false">LN(D4789)</f>
        <v>0.357044875505612</v>
      </c>
    </row>
    <row r="4790" customFormat="false" ht="15.75" hidden="false" customHeight="false" outlineLevel="0" collapsed="false">
      <c r="A4790" s="1" t="s">
        <v>982</v>
      </c>
      <c r="B4790" s="1" t="n">
        <v>243.75</v>
      </c>
      <c r="C4790" s="1" t="n">
        <f aca="false">1/B4790</f>
        <v>0.0041025641025641</v>
      </c>
      <c r="D4790" s="1" t="n">
        <v>1.4069</v>
      </c>
      <c r="E4790" s="1" t="n">
        <f aca="false">LN(D4790)</f>
        <v>0.341388702401031</v>
      </c>
    </row>
    <row r="4791" customFormat="false" ht="15.75" hidden="false" customHeight="false" outlineLevel="0" collapsed="false">
      <c r="A4791" s="1" t="s">
        <v>982</v>
      </c>
      <c r="B4791" s="1" t="n">
        <v>244.49</v>
      </c>
      <c r="C4791" s="1" t="n">
        <f aca="false">1/B4791</f>
        <v>0.00409014683627142</v>
      </c>
      <c r="D4791" s="1" t="n">
        <v>1.3852</v>
      </c>
      <c r="E4791" s="1" t="n">
        <f aca="false">LN(D4791)</f>
        <v>0.32584453354613</v>
      </c>
    </row>
    <row r="4792" customFormat="false" ht="15.75" hidden="false" customHeight="false" outlineLevel="0" collapsed="false">
      <c r="A4792" s="1" t="s">
        <v>982</v>
      </c>
      <c r="B4792" s="1" t="n">
        <v>245.23</v>
      </c>
      <c r="C4792" s="1" t="n">
        <f aca="false">1/B4792</f>
        <v>0.00407780451005179</v>
      </c>
      <c r="D4792" s="1" t="n">
        <v>1.364</v>
      </c>
      <c r="E4792" s="1" t="n">
        <f aca="false">LN(D4792)</f>
        <v>0.31042155942127</v>
      </c>
    </row>
    <row r="4793" customFormat="false" ht="15.75" hidden="false" customHeight="false" outlineLevel="0" collapsed="false">
      <c r="A4793" s="1" t="s">
        <v>982</v>
      </c>
      <c r="B4793" s="1" t="n">
        <v>245.97</v>
      </c>
      <c r="C4793" s="1" t="n">
        <f aca="false">1/B4793</f>
        <v>0.00406553644753425</v>
      </c>
      <c r="D4793" s="1" t="n">
        <v>1.3431</v>
      </c>
      <c r="E4793" s="1" t="n">
        <f aca="false">LN(D4793)</f>
        <v>0.294980374932892</v>
      </c>
    </row>
    <row r="4794" customFormat="false" ht="15.75" hidden="false" customHeight="false" outlineLevel="0" collapsed="false">
      <c r="A4794" s="1" t="s">
        <v>982</v>
      </c>
      <c r="B4794" s="1" t="n">
        <v>246.71</v>
      </c>
      <c r="C4794" s="1" t="n">
        <f aca="false">1/B4794</f>
        <v>0.00405334198046289</v>
      </c>
      <c r="D4794" s="1" t="n">
        <v>1.3228</v>
      </c>
      <c r="E4794" s="1" t="n">
        <f aca="false">LN(D4794)</f>
        <v>0.279750702125501</v>
      </c>
    </row>
    <row r="4795" customFormat="false" ht="15.75" hidden="false" customHeight="false" outlineLevel="0" collapsed="false">
      <c r="A4795" s="1" t="s">
        <v>982</v>
      </c>
      <c r="B4795" s="1" t="n">
        <v>247.45</v>
      </c>
      <c r="C4795" s="1" t="n">
        <f aca="false">1/B4795</f>
        <v>0.00404122044857547</v>
      </c>
      <c r="D4795" s="1" t="n">
        <v>1.3028</v>
      </c>
      <c r="E4795" s="1" t="n">
        <f aca="false">LN(D4795)</f>
        <v>0.264515794419941</v>
      </c>
    </row>
    <row r="4796" customFormat="false" ht="15.75" hidden="false" customHeight="false" outlineLevel="0" collapsed="false">
      <c r="A4796" s="1" t="s">
        <v>982</v>
      </c>
      <c r="B4796" s="1" t="n">
        <v>248.19</v>
      </c>
      <c r="C4796" s="1" t="n">
        <f aca="false">1/B4796</f>
        <v>0.00402917119948427</v>
      </c>
      <c r="D4796" s="1" t="n">
        <v>1.2832</v>
      </c>
      <c r="E4796" s="1" t="n">
        <f aca="false">LN(D4796)</f>
        <v>0.249356958130113</v>
      </c>
    </row>
    <row r="4797" customFormat="false" ht="15.75" hidden="false" customHeight="false" outlineLevel="0" collapsed="false">
      <c r="A4797" s="1" t="s">
        <v>982</v>
      </c>
      <c r="B4797" s="1" t="n">
        <v>248.93</v>
      </c>
      <c r="C4797" s="1" t="n">
        <f aca="false">1/B4797</f>
        <v>0.00401719358855903</v>
      </c>
      <c r="D4797" s="1" t="n">
        <v>1.2641</v>
      </c>
      <c r="E4797" s="1" t="n">
        <f aca="false">LN(D4797)</f>
        <v>0.234360406519375</v>
      </c>
    </row>
    <row r="4798" customFormat="false" ht="15.75" hidden="false" customHeight="false" outlineLevel="0" collapsed="false">
      <c r="A4798" s="1" t="s">
        <v>982</v>
      </c>
      <c r="B4798" s="1" t="n">
        <v>249.67</v>
      </c>
      <c r="C4798" s="1" t="n">
        <f aca="false">1/B4798</f>
        <v>0.00400528697881203</v>
      </c>
      <c r="D4798" s="1" t="n">
        <v>1.2453</v>
      </c>
      <c r="E4798" s="1" t="n">
        <f aca="false">LN(D4798)</f>
        <v>0.219376464744966</v>
      </c>
    </row>
    <row r="4799" customFormat="false" ht="15.75" hidden="false" customHeight="false" outlineLevel="0" collapsed="false">
      <c r="A4799" s="1" t="s">
        <v>982</v>
      </c>
      <c r="B4799" s="1" t="n">
        <v>250.42</v>
      </c>
      <c r="C4799" s="1" t="n">
        <f aca="false">1/B4799</f>
        <v>0.00399329127066528</v>
      </c>
      <c r="D4799" s="1" t="n">
        <v>1.227</v>
      </c>
      <c r="E4799" s="1" t="n">
        <f aca="false">LN(D4799)</f>
        <v>0.204572165728774</v>
      </c>
    </row>
    <row r="4800" customFormat="false" ht="15.75" hidden="false" customHeight="false" outlineLevel="0" collapsed="false">
      <c r="A4800" s="1" t="s">
        <v>982</v>
      </c>
      <c r="B4800" s="1" t="n">
        <v>251.16</v>
      </c>
      <c r="C4800" s="1" t="n">
        <f aca="false">1/B4800</f>
        <v>0.00398152572065616</v>
      </c>
      <c r="D4800" s="1" t="n">
        <v>1.2089</v>
      </c>
      <c r="E4800" s="1" t="n">
        <f aca="false">LN(D4800)</f>
        <v>0.189710855225809</v>
      </c>
    </row>
    <row r="4801" customFormat="false" ht="15.75" hidden="false" customHeight="false" outlineLevel="0" collapsed="false">
      <c r="A4801" s="1" t="s">
        <v>982</v>
      </c>
      <c r="B4801" s="1" t="n">
        <v>251.9</v>
      </c>
      <c r="C4801" s="1" t="n">
        <f aca="false">1/B4801</f>
        <v>0.00396982929734021</v>
      </c>
      <c r="D4801" s="1" t="n">
        <v>1.1913</v>
      </c>
      <c r="E4801" s="1" t="n">
        <f aca="false">LN(D4801)</f>
        <v>0.175045147823178</v>
      </c>
    </row>
    <row r="4802" customFormat="false" ht="15.75" hidden="false" customHeight="false" outlineLevel="0" collapsed="false">
      <c r="A4802" s="1" t="s">
        <v>982</v>
      </c>
      <c r="B4802" s="1" t="n">
        <v>252.64</v>
      </c>
      <c r="C4802" s="1" t="n">
        <f aca="false">1/B4802</f>
        <v>0.00395820139328689</v>
      </c>
      <c r="D4802" s="1" t="n">
        <v>1.174</v>
      </c>
      <c r="E4802" s="1" t="n">
        <f aca="false">LN(D4802)</f>
        <v>0.160416721405905</v>
      </c>
    </row>
    <row r="4803" customFormat="false" ht="15.75" hidden="false" customHeight="false" outlineLevel="0" collapsed="false">
      <c r="A4803" s="1" t="s">
        <v>982</v>
      </c>
      <c r="B4803" s="1" t="n">
        <v>253.38</v>
      </c>
      <c r="C4803" s="1" t="n">
        <f aca="false">1/B4803</f>
        <v>0.00394664140816165</v>
      </c>
      <c r="D4803" s="1" t="n">
        <v>1.157</v>
      </c>
      <c r="E4803" s="1" t="n">
        <f aca="false">LN(D4803)</f>
        <v>0.14583044821154</v>
      </c>
    </row>
    <row r="4804" customFormat="false" ht="15.75" hidden="false" customHeight="false" outlineLevel="0" collapsed="false">
      <c r="A4804" s="1" t="s">
        <v>982</v>
      </c>
      <c r="B4804" s="1" t="n">
        <v>254.12</v>
      </c>
      <c r="C4804" s="1" t="n">
        <f aca="false">1/B4804</f>
        <v>0.0039351487486227</v>
      </c>
      <c r="D4804" s="1" t="n">
        <v>1.1404</v>
      </c>
      <c r="E4804" s="1" t="n">
        <f aca="false">LN(D4804)</f>
        <v>0.13137907805638</v>
      </c>
    </row>
    <row r="4805" customFormat="false" ht="15.75" hidden="false" customHeight="false" outlineLevel="0" collapsed="false">
      <c r="A4805" s="1" t="s">
        <v>982</v>
      </c>
      <c r="B4805" s="1" t="n">
        <v>254.86</v>
      </c>
      <c r="C4805" s="1" t="n">
        <f aca="false">1/B4805</f>
        <v>0.00392372282821941</v>
      </c>
      <c r="D4805" s="1" t="n">
        <v>1.1241</v>
      </c>
      <c r="E4805" s="1" t="n">
        <f aca="false">LN(D4805)</f>
        <v>0.116982715485614</v>
      </c>
    </row>
    <row r="4806" customFormat="false" ht="15.75" hidden="false" customHeight="false" outlineLevel="0" collapsed="false">
      <c r="A4806" s="1" t="s">
        <v>982</v>
      </c>
      <c r="B4806" s="1" t="n">
        <v>255.6</v>
      </c>
      <c r="C4806" s="1" t="n">
        <f aca="false">1/B4806</f>
        <v>0.00391236306729264</v>
      </c>
      <c r="D4806" s="1" t="n">
        <v>1.1081</v>
      </c>
      <c r="E4806" s="1" t="n">
        <f aca="false">LN(D4806)</f>
        <v>0.102646836960143</v>
      </c>
    </row>
    <row r="4807" customFormat="false" ht="15.75" hidden="false" customHeight="false" outlineLevel="0" collapsed="false">
      <c r="A4807" s="1" t="s">
        <v>982</v>
      </c>
      <c r="B4807" s="1" t="n">
        <v>256.34</v>
      </c>
      <c r="C4807" s="1" t="n">
        <f aca="false">1/B4807</f>
        <v>0.00390106889287665</v>
      </c>
      <c r="D4807" s="1" t="n">
        <v>1.0925</v>
      </c>
      <c r="E4807" s="1" t="n">
        <f aca="false">LN(D4807)</f>
        <v>0.0884686479876082</v>
      </c>
    </row>
    <row r="4808" customFormat="false" ht="15.75" hidden="false" customHeight="false" outlineLevel="0" collapsed="false">
      <c r="A4808" s="1" t="s">
        <v>982</v>
      </c>
      <c r="B4808" s="1" t="n">
        <v>257.08</v>
      </c>
      <c r="C4808" s="1" t="n">
        <f aca="false">1/B4808</f>
        <v>0.00388983973860277</v>
      </c>
      <c r="D4808" s="1" t="n">
        <v>1.0771</v>
      </c>
      <c r="E4808" s="1" t="n">
        <f aca="false">LN(D4808)</f>
        <v>0.0742722443745874</v>
      </c>
    </row>
    <row r="4809" customFormat="false" ht="15.75" hidden="false" customHeight="false" outlineLevel="0" collapsed="false">
      <c r="A4809" s="1" t="s">
        <v>982</v>
      </c>
      <c r="B4809" s="1" t="n">
        <v>257.82</v>
      </c>
      <c r="C4809" s="1" t="n">
        <f aca="false">1/B4809</f>
        <v>0.00387867504460476</v>
      </c>
      <c r="D4809" s="1" t="n">
        <v>1.062</v>
      </c>
      <c r="E4809" s="1" t="n">
        <f aca="false">LN(D4809)</f>
        <v>0.0601539228197471</v>
      </c>
    </row>
    <row r="4810" customFormat="false" ht="15.75" hidden="false" customHeight="false" outlineLevel="0" collapsed="false">
      <c r="A4810" s="1" t="s">
        <v>982</v>
      </c>
      <c r="B4810" s="1" t="n">
        <v>258.56</v>
      </c>
      <c r="C4810" s="1" t="n">
        <f aca="false">1/B4810</f>
        <v>0.00386757425742574</v>
      </c>
      <c r="D4810" s="1" t="n">
        <v>1.0472</v>
      </c>
      <c r="E4810" s="1" t="n">
        <f aca="false">LN(D4810)</f>
        <v>0.046119935613553</v>
      </c>
    </row>
    <row r="4811" customFormat="false" ht="15.75" hidden="false" customHeight="false" outlineLevel="0" collapsed="false">
      <c r="A4811" s="1" t="s">
        <v>982</v>
      </c>
      <c r="B4811" s="1" t="n">
        <v>259.3</v>
      </c>
      <c r="C4811" s="1" t="n">
        <f aca="false">1/B4811</f>
        <v>0.00385653682992673</v>
      </c>
      <c r="D4811" s="1" t="n">
        <v>1.0327</v>
      </c>
      <c r="E4811" s="1" t="n">
        <f aca="false">LN(D4811)</f>
        <v>0.0321767316952212</v>
      </c>
    </row>
    <row r="4812" customFormat="false" ht="15.75" hidden="false" customHeight="false" outlineLevel="0" collapsed="false">
      <c r="A4812" s="1" t="s">
        <v>982</v>
      </c>
      <c r="B4812" s="1" t="n">
        <v>260.04</v>
      </c>
      <c r="C4812" s="1" t="n">
        <f aca="false">1/B4812</f>
        <v>0.00384556222119674</v>
      </c>
      <c r="D4812" s="1" t="n">
        <v>1.0185</v>
      </c>
      <c r="E4812" s="1" t="n">
        <f aca="false">LN(D4812)</f>
        <v>0.0183309566847234</v>
      </c>
    </row>
    <row r="4813" customFormat="false" ht="15.75" hidden="false" customHeight="false" outlineLevel="0" collapsed="false">
      <c r="A4813" s="1" t="s">
        <v>982</v>
      </c>
      <c r="B4813" s="1" t="n">
        <v>260.78</v>
      </c>
      <c r="C4813" s="1" t="n">
        <f aca="false">1/B4813</f>
        <v>0.00383464989646445</v>
      </c>
      <c r="D4813" s="1" t="n">
        <v>1.0046</v>
      </c>
      <c r="E4813" s="1" t="n">
        <f aca="false">LN(D4813)</f>
        <v>0.00458945233380722</v>
      </c>
    </row>
    <row r="4814" customFormat="false" ht="15.75" hidden="false" customHeight="false" outlineLevel="0" collapsed="false">
      <c r="A4814" s="1" t="s">
        <v>982</v>
      </c>
      <c r="B4814" s="1" t="n">
        <v>261.53</v>
      </c>
      <c r="C4814" s="1" t="n">
        <f aca="false">1/B4814</f>
        <v>0.00382365311818912</v>
      </c>
      <c r="D4814" s="1" t="n">
        <v>0.99086</v>
      </c>
      <c r="E4814" s="1" t="n">
        <f aca="false">LN(D4814)</f>
        <v>-0.0091820260748862</v>
      </c>
    </row>
    <row r="4815" customFormat="false" ht="15.75" hidden="false" customHeight="false" outlineLevel="0" collapsed="false">
      <c r="A4815" s="1" t="s">
        <v>982</v>
      </c>
      <c r="B4815" s="1" t="n">
        <v>262.27</v>
      </c>
      <c r="C4815" s="1" t="n">
        <f aca="false">1/B4815</f>
        <v>0.00381286460517787</v>
      </c>
      <c r="D4815" s="1" t="n">
        <v>0.97742</v>
      </c>
      <c r="E4815" s="1" t="n">
        <f aca="false">LN(D4815)</f>
        <v>-0.0228388319040341</v>
      </c>
    </row>
    <row r="4816" customFormat="false" ht="15.75" hidden="false" customHeight="false" outlineLevel="0" collapsed="false">
      <c r="A4816" s="1" t="s">
        <v>982</v>
      </c>
      <c r="B4816" s="1" t="n">
        <v>263.01</v>
      </c>
      <c r="C4816" s="1" t="n">
        <f aca="false">1/B4816</f>
        <v>0.0038021368008821</v>
      </c>
      <c r="D4816" s="1" t="n">
        <v>0.96423</v>
      </c>
      <c r="E4816" s="1" t="n">
        <f aca="false">LN(D4816)</f>
        <v>-0.0364254236178527</v>
      </c>
    </row>
    <row r="4817" customFormat="false" ht="15.75" hidden="false" customHeight="false" outlineLevel="0" collapsed="false">
      <c r="A4817" s="1" t="s">
        <v>982</v>
      </c>
      <c r="B4817" s="1" t="n">
        <v>263.75</v>
      </c>
      <c r="C4817" s="1" t="n">
        <f aca="false">1/B4817</f>
        <v>0.0037914691943128</v>
      </c>
      <c r="D4817" s="1" t="n">
        <v>0.95128</v>
      </c>
      <c r="E4817" s="1" t="n">
        <f aca="false">LN(D4817)</f>
        <v>-0.0499468328528137</v>
      </c>
    </row>
    <row r="4818" customFormat="false" ht="15.75" hidden="false" customHeight="false" outlineLevel="0" collapsed="false">
      <c r="A4818" s="1" t="s">
        <v>982</v>
      </c>
      <c r="B4818" s="1" t="n">
        <v>264.49</v>
      </c>
      <c r="C4818" s="1" t="n">
        <f aca="false">1/B4818</f>
        <v>0.00378086128019963</v>
      </c>
      <c r="D4818" s="1" t="n">
        <v>0.93857</v>
      </c>
      <c r="E4818" s="1" t="n">
        <f aca="false">LN(D4818)</f>
        <v>-0.0633978386299677</v>
      </c>
    </row>
    <row r="4819" customFormat="false" ht="15.75" hidden="false" customHeight="false" outlineLevel="0" collapsed="false">
      <c r="A4819" s="1" t="s">
        <v>982</v>
      </c>
      <c r="B4819" s="1" t="n">
        <v>265.23</v>
      </c>
      <c r="C4819" s="1" t="n">
        <f aca="false">1/B4819</f>
        <v>0.00377031255891113</v>
      </c>
      <c r="D4819" s="1" t="n">
        <v>0.9261</v>
      </c>
      <c r="E4819" s="1" t="n">
        <f aca="false">LN(D4819)</f>
        <v>-0.0767730588059137</v>
      </c>
    </row>
    <row r="4820" customFormat="false" ht="15.75" hidden="false" customHeight="false" outlineLevel="0" collapsed="false">
      <c r="A4820" s="1" t="s">
        <v>982</v>
      </c>
      <c r="B4820" s="1" t="n">
        <v>265.97</v>
      </c>
      <c r="C4820" s="1" t="n">
        <f aca="false">1/B4820</f>
        <v>0.00375982253637628</v>
      </c>
      <c r="D4820" s="1" t="n">
        <v>0.91385</v>
      </c>
      <c r="E4820" s="1" t="n">
        <f aca="false">LN(D4820)</f>
        <v>-0.0900888347816858</v>
      </c>
    </row>
    <row r="4821" customFormat="false" ht="15.75" hidden="false" customHeight="false" outlineLevel="0" collapsed="false">
      <c r="A4821" s="1" t="s">
        <v>982</v>
      </c>
      <c r="B4821" s="1" t="n">
        <v>266.71</v>
      </c>
      <c r="C4821" s="1" t="n">
        <f aca="false">1/B4821</f>
        <v>0.00374939072400735</v>
      </c>
      <c r="D4821" s="1" t="n">
        <v>0.90183</v>
      </c>
      <c r="E4821" s="1" t="n">
        <f aca="false">LN(D4821)</f>
        <v>-0.103329246748747</v>
      </c>
    </row>
    <row r="4822" customFormat="false" ht="15.75" hidden="false" customHeight="false" outlineLevel="0" collapsed="false">
      <c r="A4822" s="1" t="s">
        <v>982</v>
      </c>
      <c r="B4822" s="1" t="n">
        <v>267.45</v>
      </c>
      <c r="C4822" s="1" t="n">
        <f aca="false">1/B4822</f>
        <v>0.00373901663862404</v>
      </c>
      <c r="D4822" s="1" t="n">
        <v>0.89002</v>
      </c>
      <c r="E4822" s="1" t="n">
        <f aca="false">LN(D4822)</f>
        <v>-0.116511344598329</v>
      </c>
    </row>
    <row r="4823" customFormat="false" ht="15.75" hidden="false" customHeight="false" outlineLevel="0" collapsed="false">
      <c r="A4823" s="1" t="s">
        <v>982</v>
      </c>
      <c r="B4823" s="1" t="n">
        <v>268.19</v>
      </c>
      <c r="C4823" s="1" t="n">
        <f aca="false">1/B4823</f>
        <v>0.00372869980237891</v>
      </c>
      <c r="D4823" s="1" t="n">
        <v>0.87842</v>
      </c>
      <c r="E4823" s="1" t="n">
        <f aca="false">LN(D4823)</f>
        <v>-0.129630439815763</v>
      </c>
    </row>
    <row r="4824" customFormat="false" ht="15.75" hidden="false" customHeight="false" outlineLevel="0" collapsed="false">
      <c r="A4824" s="1" t="s">
        <v>982</v>
      </c>
      <c r="B4824" s="1" t="n">
        <v>268.93</v>
      </c>
      <c r="C4824" s="1" t="n">
        <f aca="false">1/B4824</f>
        <v>0.00371843974268397</v>
      </c>
      <c r="D4824" s="1" t="n">
        <v>0.86704</v>
      </c>
      <c r="E4824" s="1" t="n">
        <f aca="false">LN(D4824)</f>
        <v>-0.142670167164333</v>
      </c>
    </row>
    <row r="4825" customFormat="false" ht="15.75" hidden="false" customHeight="false" outlineLevel="0" collapsed="false">
      <c r="A4825" s="1" t="s">
        <v>982</v>
      </c>
      <c r="B4825" s="1" t="n">
        <v>269.67</v>
      </c>
      <c r="C4825" s="1" t="n">
        <f aca="false">1/B4825</f>
        <v>0.00370823599213854</v>
      </c>
      <c r="D4825" s="1" t="n">
        <v>0.85586</v>
      </c>
      <c r="E4825" s="1" t="n">
        <f aca="false">LN(D4825)</f>
        <v>-0.155648467618253</v>
      </c>
    </row>
    <row r="4826" customFormat="false" ht="15.75" hidden="false" customHeight="false" outlineLevel="0" collapsed="false">
      <c r="A4826" s="1" t="s">
        <v>982</v>
      </c>
      <c r="B4826" s="1" t="n">
        <v>270.41</v>
      </c>
      <c r="C4826" s="1" t="n">
        <f aca="false">1/B4826</f>
        <v>0.00369808808845827</v>
      </c>
      <c r="D4826" s="1" t="n">
        <v>0.84487</v>
      </c>
      <c r="E4826" s="1" t="n">
        <f aca="false">LN(D4826)</f>
        <v>-0.168572509614343</v>
      </c>
    </row>
    <row r="4827" customFormat="false" ht="15.75" hidden="false" customHeight="false" outlineLevel="0" collapsed="false">
      <c r="A4827" s="1" t="s">
        <v>982</v>
      </c>
      <c r="B4827" s="1" t="n">
        <v>271.15</v>
      </c>
      <c r="C4827" s="1" t="n">
        <f aca="false">1/B4827</f>
        <v>0.00368799557440531</v>
      </c>
      <c r="D4827" s="1" t="n">
        <v>0.83409</v>
      </c>
      <c r="E4827" s="1" t="n">
        <f aca="false">LN(D4827)</f>
        <v>-0.181413968776587</v>
      </c>
    </row>
    <row r="4828" customFormat="false" ht="15.75" hidden="false" customHeight="false" outlineLevel="0" collapsed="false">
      <c r="A4828" s="1" t="s">
        <v>982</v>
      </c>
      <c r="B4828" s="1" t="n">
        <v>271.89</v>
      </c>
      <c r="C4828" s="1" t="n">
        <f aca="false">1/B4828</f>
        <v>0.00367795799771967</v>
      </c>
      <c r="D4828" s="1" t="n">
        <v>0.82349</v>
      </c>
      <c r="E4828" s="1" t="n">
        <f aca="false">LN(D4828)</f>
        <v>-0.194203872729004</v>
      </c>
    </row>
    <row r="4829" customFormat="false" ht="15.75" hidden="false" customHeight="false" outlineLevel="0" collapsed="false">
      <c r="A4829" s="1" t="s">
        <v>982</v>
      </c>
      <c r="B4829" s="1" t="n">
        <v>272.64</v>
      </c>
      <c r="C4829" s="1" t="n">
        <f aca="false">1/B4829</f>
        <v>0.00366784037558685</v>
      </c>
      <c r="D4829" s="1" t="n">
        <v>0.81308</v>
      </c>
      <c r="E4829" s="1" t="n">
        <f aca="false">LN(D4829)</f>
        <v>-0.206925773291376</v>
      </c>
    </row>
    <row r="4830" customFormat="false" ht="15.75" hidden="false" customHeight="false" outlineLevel="0" collapsed="false">
      <c r="A4830" s="1" t="s">
        <v>982</v>
      </c>
      <c r="B4830" s="1" t="n">
        <v>273.38</v>
      </c>
      <c r="C4830" s="1" t="n">
        <f aca="false">1/B4830</f>
        <v>0.00365791206379399</v>
      </c>
      <c r="D4830" s="1" t="n">
        <v>0.80285</v>
      </c>
      <c r="E4830" s="1" t="n">
        <f aca="false">LN(D4830)</f>
        <v>-0.219587381986443</v>
      </c>
    </row>
    <row r="4831" customFormat="false" ht="15.75" hidden="false" customHeight="false" outlineLevel="0" collapsed="false">
      <c r="A4831" s="1" t="s">
        <v>982</v>
      </c>
      <c r="B4831" s="1" t="n">
        <v>274.12</v>
      </c>
      <c r="C4831" s="1" t="n">
        <f aca="false">1/B4831</f>
        <v>0.00364803735590252</v>
      </c>
      <c r="D4831" s="1" t="n">
        <v>0.7928</v>
      </c>
      <c r="E4831" s="1" t="n">
        <f aca="false">LN(D4831)</f>
        <v>-0.232184295966359</v>
      </c>
    </row>
    <row r="4832" customFormat="false" ht="15.75" hidden="false" customHeight="false" outlineLevel="0" collapsed="false">
      <c r="A4832" s="1" t="s">
        <v>982</v>
      </c>
      <c r="B4832" s="1" t="n">
        <v>274.86</v>
      </c>
      <c r="C4832" s="1" t="n">
        <f aca="false">1/B4832</f>
        <v>0.00363821581896238</v>
      </c>
      <c r="D4832" s="1" t="n">
        <v>0.78292</v>
      </c>
      <c r="E4832" s="1" t="n">
        <f aca="false">LN(D4832)</f>
        <v>-0.244724759347814</v>
      </c>
    </row>
    <row r="4833" customFormat="false" ht="15.75" hidden="false" customHeight="false" outlineLevel="0" collapsed="false">
      <c r="A4833" s="1" t="s">
        <v>982</v>
      </c>
      <c r="B4833" s="1" t="n">
        <v>275.6</v>
      </c>
      <c r="C4833" s="1" t="n">
        <f aca="false">1/B4833</f>
        <v>0.00362844702467344</v>
      </c>
      <c r="D4833" s="1" t="n">
        <v>0.77322</v>
      </c>
      <c r="E4833" s="1" t="n">
        <f aca="false">LN(D4833)</f>
        <v>-0.257191665453782</v>
      </c>
    </row>
    <row r="4834" customFormat="false" ht="15.75" hidden="false" customHeight="false" outlineLevel="0" collapsed="false">
      <c r="A4834" s="1" t="s">
        <v>982</v>
      </c>
      <c r="B4834" s="1" t="n">
        <v>276.34</v>
      </c>
      <c r="C4834" s="1" t="n">
        <f aca="false">1/B4834</f>
        <v>0.0036187305493233</v>
      </c>
      <c r="D4834" s="1" t="n">
        <v>0.76368</v>
      </c>
      <c r="E4834" s="1" t="n">
        <f aca="false">LN(D4834)</f>
        <v>-0.269606425724551</v>
      </c>
    </row>
    <row r="4835" customFormat="false" ht="15.75" hidden="false" customHeight="false" outlineLevel="0" collapsed="false">
      <c r="A4835" s="1" t="s">
        <v>982</v>
      </c>
      <c r="B4835" s="1" t="n">
        <v>277.08</v>
      </c>
      <c r="C4835" s="1" t="n">
        <f aca="false">1/B4835</f>
        <v>0.003609065973726</v>
      </c>
      <c r="D4835" s="1" t="n">
        <v>0.75431</v>
      </c>
      <c r="E4835" s="1" t="n">
        <f aca="false">LN(D4835)</f>
        <v>-0.281951854885757</v>
      </c>
    </row>
    <row r="4836" customFormat="false" ht="15.75" hidden="false" customHeight="false" outlineLevel="0" collapsed="false">
      <c r="A4836" s="1" t="s">
        <v>982</v>
      </c>
      <c r="B4836" s="1" t="n">
        <v>277.82</v>
      </c>
      <c r="C4836" s="1" t="n">
        <f aca="false">1/B4836</f>
        <v>0.00359945288316176</v>
      </c>
      <c r="D4836" s="1" t="n">
        <v>0.7451</v>
      </c>
      <c r="E4836" s="1" t="n">
        <f aca="false">LN(D4836)</f>
        <v>-0.294236841422455</v>
      </c>
    </row>
    <row r="4837" customFormat="false" ht="15.75" hidden="false" customHeight="false" outlineLevel="0" collapsed="false">
      <c r="A4837" s="1" t="s">
        <v>982</v>
      </c>
      <c r="B4837" s="1" t="n">
        <v>278.56</v>
      </c>
      <c r="C4837" s="1" t="n">
        <f aca="false">1/B4837</f>
        <v>0.00358989086731763</v>
      </c>
      <c r="D4837" s="1" t="n">
        <v>0.73604</v>
      </c>
      <c r="E4837" s="1" t="n">
        <f aca="false">LN(D4837)</f>
        <v>-0.306470813903963</v>
      </c>
    </row>
    <row r="4838" customFormat="false" ht="15.75" hidden="false" customHeight="false" outlineLevel="0" collapsed="false">
      <c r="A4838" s="1" t="s">
        <v>982</v>
      </c>
      <c r="B4838" s="1" t="n">
        <v>279.3</v>
      </c>
      <c r="C4838" s="1" t="n">
        <f aca="false">1/B4838</f>
        <v>0.00358037952022914</v>
      </c>
      <c r="D4838" s="1" t="n">
        <v>0.72714</v>
      </c>
      <c r="E4838" s="1" t="n">
        <f aca="false">LN(D4838)</f>
        <v>-0.318636247773686</v>
      </c>
    </row>
    <row r="4839" customFormat="false" ht="15.75" hidden="false" customHeight="false" outlineLevel="0" collapsed="false">
      <c r="A4839" s="1" t="s">
        <v>982</v>
      </c>
      <c r="B4839" s="1" t="n">
        <v>280.04</v>
      </c>
      <c r="C4839" s="1" t="n">
        <f aca="false">1/B4839</f>
        <v>0.00357091844022282</v>
      </c>
      <c r="D4839" s="1" t="n">
        <v>0.71839</v>
      </c>
      <c r="E4839" s="1" t="n">
        <f aca="false">LN(D4839)</f>
        <v>-0.330742681912855</v>
      </c>
    </row>
    <row r="4840" customFormat="false" ht="15.75" hidden="false" customHeight="false" outlineLevel="0" collapsed="false">
      <c r="A4840" s="1" t="s">
        <v>982</v>
      </c>
      <c r="B4840" s="1" t="n">
        <v>280.78</v>
      </c>
      <c r="C4840" s="1" t="n">
        <f aca="false">1/B4840</f>
        <v>0.00356150722985968</v>
      </c>
      <c r="D4840" s="1" t="n">
        <v>0.70978</v>
      </c>
      <c r="E4840" s="1" t="n">
        <f aca="false">LN(D4840)</f>
        <v>-0.342800216117973</v>
      </c>
    </row>
    <row r="4841" customFormat="false" ht="15.75" hidden="false" customHeight="false" outlineLevel="0" collapsed="false">
      <c r="A4841" s="1" t="s">
        <v>982</v>
      </c>
      <c r="B4841" s="1" t="n">
        <v>281.52</v>
      </c>
      <c r="C4841" s="1" t="n">
        <f aca="false">1/B4841</f>
        <v>0.00355214549587951</v>
      </c>
      <c r="D4841" s="1" t="n">
        <v>0.70132</v>
      </c>
      <c r="E4841" s="1" t="n">
        <f aca="false">LN(D4841)</f>
        <v>-0.354791005380209</v>
      </c>
    </row>
    <row r="4842" customFormat="false" ht="15.75" hidden="false" customHeight="false" outlineLevel="0" collapsed="false">
      <c r="A4842" s="1" t="s">
        <v>982</v>
      </c>
      <c r="B4842" s="1" t="n">
        <v>282.26</v>
      </c>
      <c r="C4842" s="1" t="n">
        <f aca="false">1/B4842</f>
        <v>0.00354283284914618</v>
      </c>
      <c r="D4842" s="1" t="n">
        <v>0.693</v>
      </c>
      <c r="E4842" s="1" t="n">
        <f aca="false">LN(D4842)</f>
        <v>-0.366725279792234</v>
      </c>
    </row>
    <row r="4843" customFormat="false" ht="15.75" hidden="false" customHeight="false" outlineLevel="0" collapsed="false">
      <c r="A4843" s="1" t="s">
        <v>982</v>
      </c>
      <c r="B4843" s="1" t="n">
        <v>283</v>
      </c>
      <c r="C4843" s="1" t="n">
        <f aca="false">1/B4843</f>
        <v>0.00353356890459364</v>
      </c>
      <c r="D4843" s="1" t="n">
        <v>0.68482</v>
      </c>
      <c r="E4843" s="1" t="n">
        <f aca="false">LN(D4843)</f>
        <v>-0.378599248973603</v>
      </c>
    </row>
    <row r="4844" customFormat="false" ht="15.75" hidden="false" customHeight="false" outlineLevel="0" collapsed="false">
      <c r="A4844" s="1" t="s">
        <v>982</v>
      </c>
      <c r="B4844" s="1" t="n">
        <v>283.74</v>
      </c>
      <c r="C4844" s="1" t="n">
        <f aca="false">1/B4844</f>
        <v>0.0035243532811729</v>
      </c>
      <c r="D4844" s="1" t="n">
        <v>0.67678</v>
      </c>
      <c r="E4844" s="1" t="n">
        <f aca="false">LN(D4844)</f>
        <v>-0.390409021954181</v>
      </c>
    </row>
    <row r="4845" customFormat="false" ht="15.75" hidden="false" customHeight="false" outlineLevel="0" collapsed="false">
      <c r="A4845" s="1" t="s">
        <v>982</v>
      </c>
      <c r="B4845" s="1" t="n">
        <v>284.49</v>
      </c>
      <c r="C4845" s="1" t="n">
        <f aca="false">1/B4845</f>
        <v>0.00351506204084502</v>
      </c>
      <c r="D4845" s="1" t="n">
        <v>0.66886</v>
      </c>
      <c r="E4845" s="1" t="n">
        <f aca="false">LN(D4845)</f>
        <v>-0.402180508316948</v>
      </c>
    </row>
    <row r="4846" customFormat="false" ht="15.75" hidden="false" customHeight="false" outlineLevel="0" collapsed="false">
      <c r="A4846" s="1" t="s">
        <v>982</v>
      </c>
      <c r="B4846" s="1" t="n">
        <v>285.23</v>
      </c>
      <c r="C4846" s="1" t="n">
        <f aca="false">1/B4846</f>
        <v>0.00350594257266066</v>
      </c>
      <c r="D4846" s="1" t="n">
        <v>0.66108</v>
      </c>
      <c r="E4846" s="1" t="n">
        <f aca="false">LN(D4846)</f>
        <v>-0.413880417709512</v>
      </c>
    </row>
    <row r="4847" customFormat="false" ht="15.75" hidden="false" customHeight="false" outlineLevel="0" collapsed="false">
      <c r="A4847" s="1" t="s">
        <v>982</v>
      </c>
      <c r="B4847" s="1" t="n">
        <v>285.97</v>
      </c>
      <c r="C4847" s="1" t="n">
        <f aca="false">1/B4847</f>
        <v>0.00349687030108053</v>
      </c>
      <c r="D4847" s="1" t="n">
        <v>0.65343</v>
      </c>
      <c r="E4847" s="1" t="n">
        <f aca="false">LN(D4847)</f>
        <v>-0.425519867186891</v>
      </c>
    </row>
    <row r="4848" customFormat="false" ht="15.75" hidden="false" customHeight="false" outlineLevel="0" collapsed="false">
      <c r="A4848" s="1" t="s">
        <v>982</v>
      </c>
      <c r="B4848" s="1" t="n">
        <v>286.71</v>
      </c>
      <c r="C4848" s="1" t="n">
        <f aca="false">1/B4848</f>
        <v>0.0034878448606606</v>
      </c>
      <c r="D4848" s="1" t="n">
        <v>0.6459</v>
      </c>
      <c r="E4848" s="1" t="n">
        <f aca="false">LN(D4848)</f>
        <v>-0.43711058594371</v>
      </c>
    </row>
    <row r="4849" customFormat="false" ht="15.75" hidden="false" customHeight="false" outlineLevel="0" collapsed="false">
      <c r="A4849" s="1" t="s">
        <v>982</v>
      </c>
      <c r="B4849" s="1" t="n">
        <v>287.45</v>
      </c>
      <c r="C4849" s="1" t="n">
        <f aca="false">1/B4849</f>
        <v>0.00347886588971995</v>
      </c>
      <c r="D4849" s="1" t="n">
        <v>0.63849</v>
      </c>
      <c r="E4849" s="1" t="n">
        <f aca="false">LN(D4849)</f>
        <v>-0.448649265339315</v>
      </c>
    </row>
    <row r="4850" customFormat="false" ht="15.75" hidden="false" customHeight="false" outlineLevel="0" collapsed="false">
      <c r="A4850" s="1" t="s">
        <v>982</v>
      </c>
      <c r="B4850" s="1" t="n">
        <v>288.19</v>
      </c>
      <c r="C4850" s="1" t="n">
        <f aca="false">1/B4850</f>
        <v>0.00346993303029252</v>
      </c>
      <c r="D4850" s="1" t="n">
        <v>0.6312</v>
      </c>
      <c r="E4850" s="1" t="n">
        <f aca="false">LN(D4850)</f>
        <v>-0.460132509450473</v>
      </c>
    </row>
    <row r="4851" customFormat="false" ht="15.75" hidden="false" customHeight="false" outlineLevel="0" collapsed="false">
      <c r="A4851" s="1" t="s">
        <v>982</v>
      </c>
      <c r="B4851" s="1" t="n">
        <v>288.93</v>
      </c>
      <c r="C4851" s="1" t="n">
        <f aca="false">1/B4851</f>
        <v>0.00346104592807947</v>
      </c>
      <c r="D4851" s="1" t="n">
        <v>0.62403</v>
      </c>
      <c r="E4851" s="1" t="n">
        <f aca="false">LN(D4851)</f>
        <v>-0.471556834845291</v>
      </c>
    </row>
    <row r="4852" customFormat="false" ht="15.75" hidden="false" customHeight="false" outlineLevel="0" collapsed="false">
      <c r="A4852" s="1" t="s">
        <v>982</v>
      </c>
      <c r="B4852" s="1" t="n">
        <v>289.67</v>
      </c>
      <c r="C4852" s="1" t="n">
        <f aca="false">1/B4852</f>
        <v>0.00345220423240239</v>
      </c>
      <c r="D4852" s="1" t="n">
        <v>0.61697</v>
      </c>
      <c r="E4852" s="1" t="n">
        <f aca="false">LN(D4852)</f>
        <v>-0.482934878625143</v>
      </c>
    </row>
    <row r="4853" customFormat="false" ht="15.75" hidden="false" customHeight="false" outlineLevel="0" collapsed="false">
      <c r="A4853" s="1" t="s">
        <v>982</v>
      </c>
      <c r="B4853" s="1" t="n">
        <v>290.41</v>
      </c>
      <c r="C4853" s="1" t="n">
        <f aca="false">1/B4853</f>
        <v>0.00344340759615716</v>
      </c>
      <c r="D4853" s="1" t="n">
        <v>0.61003</v>
      </c>
      <c r="E4853" s="1" t="n">
        <f aca="false">LN(D4853)</f>
        <v>-0.494247142696224</v>
      </c>
    </row>
    <row r="4854" customFormat="false" ht="15.75" hidden="false" customHeight="false" outlineLevel="0" collapsed="false">
      <c r="A4854" s="1" t="s">
        <v>982</v>
      </c>
      <c r="B4854" s="1" t="n">
        <v>291.15</v>
      </c>
      <c r="C4854" s="1" t="n">
        <f aca="false">1/B4854</f>
        <v>0.0034346556757685</v>
      </c>
      <c r="D4854" s="1" t="n">
        <v>0.6032</v>
      </c>
      <c r="E4854" s="1" t="n">
        <f aca="false">LN(D4854)</f>
        <v>-0.505506462288391</v>
      </c>
    </row>
    <row r="4855" customFormat="false" ht="15.75" hidden="false" customHeight="false" outlineLevel="0" collapsed="false">
      <c r="A4855" s="1" t="s">
        <v>982</v>
      </c>
      <c r="B4855" s="1" t="n">
        <v>291.89</v>
      </c>
      <c r="C4855" s="1" t="n">
        <f aca="false">1/B4855</f>
        <v>0.00342594813114529</v>
      </c>
      <c r="D4855" s="1" t="n">
        <v>0.59648</v>
      </c>
      <c r="E4855" s="1" t="n">
        <f aca="false">LN(D4855)</f>
        <v>-0.516709566924965</v>
      </c>
    </row>
    <row r="4856" customFormat="false" ht="15.75" hidden="false" customHeight="false" outlineLevel="0" collapsed="false">
      <c r="A4856" s="1" t="s">
        <v>982</v>
      </c>
      <c r="B4856" s="1" t="n">
        <v>292.63</v>
      </c>
      <c r="C4856" s="1" t="n">
        <f aca="false">1/B4856</f>
        <v>0.00341728462563647</v>
      </c>
      <c r="D4856" s="1" t="n">
        <v>0.58986</v>
      </c>
      <c r="E4856" s="1" t="n">
        <f aca="false">LN(D4856)</f>
        <v>-0.527870058375249</v>
      </c>
    </row>
    <row r="4857" customFormat="false" ht="15.75" hidden="false" customHeight="false" outlineLevel="0" collapsed="false">
      <c r="A4857" s="1" t="s">
        <v>982</v>
      </c>
      <c r="B4857" s="1" t="n">
        <v>293.37</v>
      </c>
      <c r="C4857" s="1" t="n">
        <f aca="false">1/B4857</f>
        <v>0.00340866482598766</v>
      </c>
      <c r="D4857" s="1" t="n">
        <v>0.58335</v>
      </c>
      <c r="E4857" s="1" t="n">
        <f aca="false">LN(D4857)</f>
        <v>-0.538967929712271</v>
      </c>
    </row>
    <row r="4858" customFormat="false" ht="15.75" hidden="false" customHeight="false" outlineLevel="0" collapsed="false">
      <c r="A4858" s="1" t="s">
        <v>982</v>
      </c>
      <c r="B4858" s="1" t="n">
        <v>294.11</v>
      </c>
      <c r="C4858" s="1" t="n">
        <f aca="false">1/B4858</f>
        <v>0.00340008840229846</v>
      </c>
      <c r="D4858" s="1" t="n">
        <v>0.57693</v>
      </c>
      <c r="E4858" s="1" t="n">
        <f aca="false">LN(D4858)</f>
        <v>-0.550034336991271</v>
      </c>
    </row>
    <row r="4859" customFormat="false" ht="15.75" hidden="false" customHeight="false" outlineLevel="0" collapsed="false">
      <c r="A4859" s="1" t="s">
        <v>982</v>
      </c>
      <c r="B4859" s="1" t="n">
        <v>294.85</v>
      </c>
      <c r="C4859" s="1" t="n">
        <f aca="false">1/B4859</f>
        <v>0.00339155502798033</v>
      </c>
      <c r="D4859" s="1" t="n">
        <v>0.57062</v>
      </c>
      <c r="E4859" s="1" t="n">
        <f aca="false">LN(D4859)</f>
        <v>-0.561031789993309</v>
      </c>
    </row>
    <row r="4860" customFormat="false" ht="15.75" hidden="false" customHeight="false" outlineLevel="0" collapsed="false">
      <c r="A4860" s="1" t="s">
        <v>982</v>
      </c>
      <c r="B4860" s="1" t="n">
        <v>295.6</v>
      </c>
      <c r="C4860" s="1" t="n">
        <f aca="false">1/B4860</f>
        <v>0.003382949932341</v>
      </c>
      <c r="D4860" s="1" t="n">
        <v>0.56441</v>
      </c>
      <c r="E4860" s="1" t="n">
        <f aca="false">LN(D4860)</f>
        <v>-0.571974341229893</v>
      </c>
    </row>
    <row r="4861" customFormat="false" ht="15.75" hidden="false" customHeight="false" outlineLevel="0" collapsed="false">
      <c r="A4861" s="1" t="s">
        <v>982</v>
      </c>
      <c r="B4861" s="1" t="n">
        <v>296.34</v>
      </c>
      <c r="C4861" s="1" t="n">
        <f aca="false">1/B4861</f>
        <v>0.00337450226091652</v>
      </c>
      <c r="D4861" s="1" t="n">
        <v>0.55829</v>
      </c>
      <c r="E4861" s="1" t="n">
        <f aca="false">LN(D4861)</f>
        <v>-0.582876738343341</v>
      </c>
    </row>
    <row r="4862" customFormat="false" ht="15.75" hidden="false" customHeight="false" outlineLevel="0" collapsed="false">
      <c r="A4862" s="1" t="s">
        <v>982</v>
      </c>
      <c r="B4862" s="1" t="n">
        <v>297.08</v>
      </c>
      <c r="C4862" s="1" t="n">
        <f aca="false">1/B4862</f>
        <v>0.00336609667429649</v>
      </c>
      <c r="D4862" s="1" t="n">
        <v>0.55227</v>
      </c>
      <c r="E4862" s="1" t="n">
        <f aca="false">LN(D4862)</f>
        <v>-0.593718221855557</v>
      </c>
    </row>
    <row r="4863" customFormat="false" ht="15.75" hidden="false" customHeight="false" outlineLevel="0" collapsed="false">
      <c r="A4863" s="1" t="s">
        <v>982</v>
      </c>
      <c r="B4863" s="1" t="n">
        <v>297.82</v>
      </c>
      <c r="C4863" s="1" t="n">
        <f aca="false">1/B4863</f>
        <v>0.00335773285877376</v>
      </c>
      <c r="D4863" s="1" t="n">
        <v>0.54634</v>
      </c>
      <c r="E4863" s="1" t="n">
        <f aca="false">LN(D4863)</f>
        <v>-0.60451378641833</v>
      </c>
    </row>
    <row r="4864" customFormat="false" ht="15.75" hidden="false" customHeight="false" outlineLevel="0" collapsed="false">
      <c r="A4864" s="1" t="s">
        <v>982</v>
      </c>
      <c r="B4864" s="1" t="n">
        <v>298.56</v>
      </c>
      <c r="C4864" s="1" t="n">
        <f aca="false">1/B4864</f>
        <v>0.00334941050375134</v>
      </c>
      <c r="D4864" s="1" t="n">
        <v>0.5405</v>
      </c>
      <c r="E4864" s="1" t="n">
        <f aca="false">LN(D4864)</f>
        <v>-0.615260641902874</v>
      </c>
    </row>
    <row r="4865" customFormat="false" ht="15.75" hidden="false" customHeight="false" outlineLevel="0" collapsed="false">
      <c r="A4865" s="1" t="s">
        <v>982</v>
      </c>
      <c r="B4865" s="1" t="n">
        <v>299.3</v>
      </c>
      <c r="C4865" s="1" t="n">
        <f aca="false">1/B4865</f>
        <v>0.00334112930170398</v>
      </c>
      <c r="D4865" s="1" t="n">
        <v>0.53475</v>
      </c>
      <c r="E4865" s="1" t="n">
        <f aca="false">LN(D4865)</f>
        <v>-0.625955931019622</v>
      </c>
    </row>
    <row r="4866" customFormat="false" ht="15.75" hidden="false" customHeight="false" outlineLevel="0" collapsed="false">
      <c r="A4866" s="1" t="s">
        <v>982</v>
      </c>
      <c r="B4866" s="1" t="n">
        <v>300.04</v>
      </c>
      <c r="C4866" s="1" t="n">
        <f aca="false">1/B4866</f>
        <v>0.00333288894814025</v>
      </c>
      <c r="D4866" s="1" t="n">
        <v>0.52909</v>
      </c>
      <c r="E4866" s="1" t="n">
        <f aca="false">LN(D4866)</f>
        <v>-0.636596729269559</v>
      </c>
    </row>
    <row r="4867" customFormat="false" ht="15.75" hidden="false" customHeight="false" outlineLevel="0" collapsed="false">
      <c r="A4867" s="1" t="s">
        <v>982</v>
      </c>
      <c r="B4867" s="1" t="n">
        <v>300.78</v>
      </c>
      <c r="C4867" s="1" t="n">
        <f aca="false">1/B4867</f>
        <v>0.00332468914156526</v>
      </c>
      <c r="D4867" s="1" t="n">
        <v>0.52351</v>
      </c>
      <c r="E4867" s="1" t="n">
        <f aca="false">LN(D4867)</f>
        <v>-0.647199146657237</v>
      </c>
    </row>
    <row r="4868" customFormat="false" ht="15.75" hidden="false" customHeight="false" outlineLevel="0" collapsed="false">
      <c r="A4868" s="1" t="s">
        <v>982</v>
      </c>
      <c r="B4868" s="1" t="n">
        <v>301.52</v>
      </c>
      <c r="C4868" s="1" t="n">
        <f aca="false">1/B4868</f>
        <v>0.00331652958344388</v>
      </c>
      <c r="D4868" s="1" t="n">
        <v>0.51802</v>
      </c>
      <c r="E4868" s="1" t="n">
        <f aca="false">LN(D4868)</f>
        <v>-0.657741427429392</v>
      </c>
    </row>
    <row r="4869" customFormat="false" ht="15.75" hidden="false" customHeight="false" outlineLevel="0" collapsed="false">
      <c r="A4869" s="1" t="s">
        <v>982</v>
      </c>
      <c r="B4869" s="1" t="n">
        <v>302.26</v>
      </c>
      <c r="C4869" s="1" t="n">
        <f aca="false">1/B4869</f>
        <v>0.00330840997816449</v>
      </c>
      <c r="D4869" s="1" t="n">
        <v>0.51261</v>
      </c>
      <c r="E4869" s="1" t="n">
        <f aca="false">LN(D4869)</f>
        <v>-0.668239956853845</v>
      </c>
    </row>
    <row r="4870" customFormat="false" ht="15.75" hidden="false" customHeight="false" outlineLevel="0" collapsed="false">
      <c r="A4870" s="1" t="s">
        <v>982</v>
      </c>
      <c r="B4870" s="1" t="n">
        <v>303</v>
      </c>
      <c r="C4870" s="1" t="n">
        <f aca="false">1/B4870</f>
        <v>0.0033003300330033</v>
      </c>
      <c r="D4870" s="1" t="n">
        <v>0.50728</v>
      </c>
      <c r="E4870" s="1" t="n">
        <f aca="false">LN(D4870)</f>
        <v>-0.678692159590361</v>
      </c>
    </row>
    <row r="4871" customFormat="false" ht="15.75" hidden="false" customHeight="false" outlineLevel="0" collapsed="false">
      <c r="A4871" s="1" t="s">
        <v>982</v>
      </c>
      <c r="B4871" s="1" t="n">
        <v>303.74</v>
      </c>
      <c r="C4871" s="1" t="n">
        <f aca="false">1/B4871</f>
        <v>0.00329228945808915</v>
      </c>
      <c r="D4871" s="1" t="n">
        <v>0.50203</v>
      </c>
      <c r="E4871" s="1" t="n">
        <f aca="false">LN(D4871)</f>
        <v>-0.689095400119847</v>
      </c>
    </row>
    <row r="4872" customFormat="false" ht="15.75" hidden="false" customHeight="false" outlineLevel="0" collapsed="false">
      <c r="A4872" s="1" t="s">
        <v>982</v>
      </c>
      <c r="B4872" s="1" t="n">
        <v>304.48</v>
      </c>
      <c r="C4872" s="1" t="n">
        <f aca="false">1/B4872</f>
        <v>0.00328428796636889</v>
      </c>
      <c r="D4872" s="1" t="n">
        <v>0.49686</v>
      </c>
      <c r="E4872" s="1" t="n">
        <f aca="false">LN(D4872)</f>
        <v>-0.699446982708473</v>
      </c>
    </row>
    <row r="4873" customFormat="false" ht="15.75" hidden="false" customHeight="false" outlineLevel="0" collapsed="false">
      <c r="A4873" s="1" t="s">
        <v>982</v>
      </c>
      <c r="B4873" s="1" t="n">
        <v>305.22</v>
      </c>
      <c r="C4873" s="1" t="n">
        <f aca="false">1/B4873</f>
        <v>0.00327632527357316</v>
      </c>
      <c r="D4873" s="1" t="n">
        <v>0.49176</v>
      </c>
      <c r="E4873" s="1" t="n">
        <f aca="false">LN(D4873)</f>
        <v>-0.709764486383383</v>
      </c>
    </row>
    <row r="4874" customFormat="false" ht="15.75" hidden="false" customHeight="false" outlineLevel="0" collapsed="false">
      <c r="A4874" s="1" t="s">
        <v>982</v>
      </c>
      <c r="B4874" s="1" t="n">
        <v>305.96</v>
      </c>
      <c r="C4874" s="1" t="n">
        <f aca="false">1/B4874</f>
        <v>0.00326840109818277</v>
      </c>
      <c r="D4874" s="1" t="n">
        <v>0.48674</v>
      </c>
      <c r="E4874" s="1" t="n">
        <f aca="false">LN(D4874)</f>
        <v>-0.720025179368192</v>
      </c>
    </row>
    <row r="4875" customFormat="false" ht="15.75" hidden="false" customHeight="false" outlineLevel="0" collapsed="false">
      <c r="A4875" s="1" t="s">
        <v>982</v>
      </c>
      <c r="B4875" s="1" t="n">
        <v>306.71</v>
      </c>
      <c r="C4875" s="1" t="n">
        <f aca="false">1/B4875</f>
        <v>0.00326040885527045</v>
      </c>
      <c r="D4875" s="1" t="n">
        <v>0.48179</v>
      </c>
      <c r="E4875" s="1" t="n">
        <f aca="false">LN(D4875)</f>
        <v>-0.730246944516972</v>
      </c>
    </row>
    <row r="4876" customFormat="false" ht="15.75" hidden="false" customHeight="false" outlineLevel="0" collapsed="false">
      <c r="A4876" s="1" t="s">
        <v>982</v>
      </c>
      <c r="B4876" s="1" t="n">
        <v>307.45</v>
      </c>
      <c r="C4876" s="1" t="n">
        <f aca="false">1/B4876</f>
        <v>0.00325256139209628</v>
      </c>
      <c r="D4876" s="1" t="n">
        <v>0.47691</v>
      </c>
      <c r="E4876" s="1" t="n">
        <f aca="false">LN(D4876)</f>
        <v>-0.740427485141247</v>
      </c>
    </row>
    <row r="4877" customFormat="false" ht="15.75" hidden="false" customHeight="false" outlineLevel="0" collapsed="false">
      <c r="A4877" s="1" t="s">
        <v>982</v>
      </c>
      <c r="B4877" s="1" t="n">
        <v>308.19</v>
      </c>
      <c r="C4877" s="1" t="n">
        <f aca="false">1/B4877</f>
        <v>0.00324475161426393</v>
      </c>
      <c r="D4877" s="1" t="n">
        <v>0.47211</v>
      </c>
      <c r="E4877" s="1" t="n">
        <f aca="false">LN(D4877)</f>
        <v>-0.750543269701254</v>
      </c>
    </row>
    <row r="4878" customFormat="false" ht="15.75" hidden="false" customHeight="false" outlineLevel="0" collapsed="false">
      <c r="A4878" s="1" t="s">
        <v>982</v>
      </c>
      <c r="B4878" s="1" t="n">
        <v>308.93</v>
      </c>
      <c r="C4878" s="1" t="n">
        <f aca="false">1/B4878</f>
        <v>0.003236979250963</v>
      </c>
      <c r="D4878" s="1" t="n">
        <v>0.46737</v>
      </c>
      <c r="E4878" s="1" t="n">
        <f aca="false">LN(D4878)</f>
        <v>-0.76063404378969</v>
      </c>
    </row>
    <row r="4879" customFormat="false" ht="15.75" hidden="false" customHeight="false" outlineLevel="0" collapsed="false">
      <c r="A4879" s="1" t="s">
        <v>982</v>
      </c>
      <c r="B4879" s="1" t="n">
        <v>309.67</v>
      </c>
      <c r="C4879" s="1" t="n">
        <f aca="false">1/B4879</f>
        <v>0.00322924403397165</v>
      </c>
      <c r="D4879" s="1" t="n">
        <v>0.46271</v>
      </c>
      <c r="E4879" s="1" t="n">
        <f aca="false">LN(D4879)</f>
        <v>-0.770654771026952</v>
      </c>
    </row>
    <row r="4880" customFormat="false" ht="15.75" hidden="false" customHeight="false" outlineLevel="0" collapsed="false">
      <c r="A4880" s="1" t="s">
        <v>982</v>
      </c>
      <c r="B4880" s="1" t="n">
        <v>310.41</v>
      </c>
      <c r="C4880" s="1" t="n">
        <f aca="false">1/B4880</f>
        <v>0.00322154569762572</v>
      </c>
      <c r="D4880" s="1" t="n">
        <v>0.4581</v>
      </c>
      <c r="E4880" s="1" t="n">
        <f aca="false">LN(D4880)</f>
        <v>-0.780667778089441</v>
      </c>
    </row>
    <row r="4881" customFormat="false" ht="15.75" hidden="false" customHeight="false" outlineLevel="0" collapsed="false">
      <c r="A4881" s="1" t="s">
        <v>982</v>
      </c>
      <c r="B4881" s="1" t="n">
        <v>311.15</v>
      </c>
      <c r="C4881" s="1" t="n">
        <f aca="false">1/B4881</f>
        <v>0.00321388397878837</v>
      </c>
      <c r="D4881" s="1" t="n">
        <v>0.45357</v>
      </c>
      <c r="E4881" s="1" t="n">
        <f aca="false">LN(D4881)</f>
        <v>-0.790605666321918</v>
      </c>
    </row>
    <row r="4882" customFormat="false" ht="15.75" hidden="false" customHeight="false" outlineLevel="0" collapsed="false">
      <c r="A4882" s="1" t="s">
        <v>982</v>
      </c>
      <c r="B4882" s="1" t="n">
        <v>311.89</v>
      </c>
      <c r="C4882" s="1" t="n">
        <f aca="false">1/B4882</f>
        <v>0.00320625861682003</v>
      </c>
      <c r="D4882" s="1" t="n">
        <v>0.4491</v>
      </c>
      <c r="E4882" s="1" t="n">
        <f aca="false">LN(D4882)</f>
        <v>-0.800509698888445</v>
      </c>
    </row>
    <row r="4883" customFormat="false" ht="15.75" hidden="false" customHeight="false" outlineLevel="0" collapsed="false">
      <c r="A4883" s="1" t="s">
        <v>982</v>
      </c>
      <c r="B4883" s="1" t="n">
        <v>312.63</v>
      </c>
      <c r="C4883" s="1" t="n">
        <f aca="false">1/B4883</f>
        <v>0.00319866935354892</v>
      </c>
      <c r="D4883" s="1" t="n">
        <v>0.44469</v>
      </c>
      <c r="E4883" s="1" t="n">
        <f aca="false">LN(D4883)</f>
        <v>-0.810377868788259</v>
      </c>
    </row>
    <row r="4884" customFormat="false" ht="15.75" hidden="false" customHeight="false" outlineLevel="0" collapsed="false">
      <c r="A4884" s="1" t="s">
        <v>982</v>
      </c>
      <c r="B4884" s="1" t="n">
        <v>313.37</v>
      </c>
      <c r="C4884" s="1" t="n">
        <f aca="false">1/B4884</f>
        <v>0.00319111593324185</v>
      </c>
      <c r="D4884" s="1" t="n">
        <v>0.44035</v>
      </c>
      <c r="E4884" s="1" t="n">
        <f aca="false">LN(D4884)</f>
        <v>-0.820185413730668</v>
      </c>
    </row>
    <row r="4885" customFormat="false" ht="15.75" hidden="false" customHeight="false" outlineLevel="0" collapsed="false">
      <c r="A4885" s="1" t="s">
        <v>982</v>
      </c>
      <c r="B4885" s="1" t="n">
        <v>314.11</v>
      </c>
      <c r="C4885" s="1" t="n">
        <f aca="false">1/B4885</f>
        <v>0.00318359810257553</v>
      </c>
      <c r="D4885" s="1" t="n">
        <v>0.43606</v>
      </c>
      <c r="E4885" s="1" t="n">
        <f aca="false">LN(D4885)</f>
        <v>-0.829975430422235</v>
      </c>
    </row>
    <row r="4886" customFormat="false" ht="15.75" hidden="false" customHeight="false" outlineLevel="0" collapsed="false">
      <c r="A4886" s="1" t="s">
        <v>982</v>
      </c>
      <c r="B4886" s="1" t="n">
        <v>314.85</v>
      </c>
      <c r="C4886" s="1" t="n">
        <f aca="false">1/B4886</f>
        <v>0.00317611561060823</v>
      </c>
      <c r="D4886" s="1" t="n">
        <v>0.43184</v>
      </c>
      <c r="E4886" s="1" t="n">
        <f aca="false">LN(D4886)</f>
        <v>-0.839700129712443</v>
      </c>
    </row>
    <row r="4887" customFormat="false" ht="15.75" hidden="false" customHeight="false" outlineLevel="0" collapsed="false">
      <c r="A4887" s="1" t="s">
        <v>982</v>
      </c>
      <c r="B4887" s="1" t="n">
        <v>315.59</v>
      </c>
      <c r="C4887" s="1" t="n">
        <f aca="false">1/B4887</f>
        <v>0.00316866820875186</v>
      </c>
      <c r="D4887" s="1" t="n">
        <v>0.42767</v>
      </c>
      <c r="E4887" s="1" t="n">
        <f aca="false">LN(D4887)</f>
        <v>-0.849403408832717</v>
      </c>
    </row>
    <row r="4888" customFormat="false" ht="15.75" hidden="false" customHeight="false" outlineLevel="0" collapsed="false">
      <c r="A4888" s="1" t="s">
        <v>982</v>
      </c>
      <c r="B4888" s="1" t="n">
        <v>316.33</v>
      </c>
      <c r="C4888" s="1" t="n">
        <f aca="false">1/B4888</f>
        <v>0.00316125565074448</v>
      </c>
      <c r="D4888" s="1" t="n">
        <v>0.42357</v>
      </c>
      <c r="E4888" s="1" t="n">
        <f aca="false">LN(D4888)</f>
        <v>-0.859036489292594</v>
      </c>
    </row>
    <row r="4889" customFormat="false" ht="15.75" hidden="false" customHeight="false" outlineLevel="0" collapsed="false">
      <c r="A4889" s="1" t="s">
        <v>982</v>
      </c>
      <c r="B4889" s="1" t="n">
        <v>317.07</v>
      </c>
      <c r="C4889" s="1" t="n">
        <f aca="false">1/B4889</f>
        <v>0.00315387769262308</v>
      </c>
      <c r="D4889" s="1" t="n">
        <v>0.41951</v>
      </c>
      <c r="E4889" s="1" t="n">
        <f aca="false">LN(D4889)</f>
        <v>-0.86866791545673</v>
      </c>
    </row>
    <row r="4890" customFormat="false" ht="15.75" hidden="false" customHeight="false" outlineLevel="0" collapsed="false">
      <c r="A4890" s="1" t="s">
        <v>982</v>
      </c>
      <c r="B4890" s="1" t="n">
        <v>317.81</v>
      </c>
      <c r="C4890" s="1" t="n">
        <f aca="false">1/B4890</f>
        <v>0.00314653409269689</v>
      </c>
      <c r="D4890" s="1" t="n">
        <v>0.41552</v>
      </c>
      <c r="E4890" s="1" t="n">
        <f aca="false">LN(D4890)</f>
        <v>-0.878224531067699</v>
      </c>
    </row>
    <row r="4891" customFormat="false" ht="15.75" hidden="false" customHeight="false" outlineLevel="0" collapsed="false">
      <c r="A4891" s="1" t="s">
        <v>982</v>
      </c>
      <c r="B4891" s="1" t="n">
        <v>318.56</v>
      </c>
      <c r="C4891" s="1" t="n">
        <f aca="false">1/B4891</f>
        <v>0.00313912606730286</v>
      </c>
      <c r="D4891" s="1" t="n">
        <v>0.41158</v>
      </c>
      <c r="E4891" s="1" t="n">
        <f aca="false">LN(D4891)</f>
        <v>-0.887751867067734</v>
      </c>
    </row>
    <row r="4892" customFormat="false" ht="15.75" hidden="false" customHeight="false" outlineLevel="0" collapsed="false">
      <c r="A4892" s="1" t="s">
        <v>982</v>
      </c>
      <c r="B4892" s="1" t="n">
        <v>319.3</v>
      </c>
      <c r="C4892" s="1" t="n">
        <f aca="false">1/B4892</f>
        <v>0.00313185092389602</v>
      </c>
      <c r="D4892" s="1" t="n">
        <v>0.40769</v>
      </c>
      <c r="E4892" s="1" t="n">
        <f aca="false">LN(D4892)</f>
        <v>-0.897248197296839</v>
      </c>
    </row>
    <row r="4893" customFormat="false" ht="15.75" hidden="false" customHeight="false" outlineLevel="0" collapsed="false">
      <c r="A4893" s="1" t="s">
        <v>982</v>
      </c>
      <c r="B4893" s="1" t="n">
        <v>320.04</v>
      </c>
      <c r="C4893" s="1" t="n">
        <f aca="false">1/B4893</f>
        <v>0.00312460942382202</v>
      </c>
      <c r="D4893" s="1" t="n">
        <v>0.40386</v>
      </c>
      <c r="E4893" s="1" t="n">
        <f aca="false">LN(D4893)</f>
        <v>-0.90668699573146</v>
      </c>
    </row>
    <row r="4894" customFormat="false" ht="15.75" hidden="false" customHeight="false" outlineLevel="0" collapsed="false">
      <c r="A4894" s="1" t="s">
        <v>982</v>
      </c>
      <c r="B4894" s="1" t="n">
        <v>320.78</v>
      </c>
      <c r="C4894" s="1" t="n">
        <f aca="false">1/B4894</f>
        <v>0.00311740133424777</v>
      </c>
      <c r="D4894" s="1" t="n">
        <v>0.40007</v>
      </c>
      <c r="E4894" s="1" t="n">
        <f aca="false">LN(D4894)</f>
        <v>-0.916115747184869</v>
      </c>
    </row>
    <row r="4895" customFormat="false" ht="15.75" hidden="false" customHeight="false" outlineLevel="0" collapsed="false">
      <c r="A4895" s="1" t="s">
        <v>982</v>
      </c>
      <c r="B4895" s="1" t="n">
        <v>321.52</v>
      </c>
      <c r="C4895" s="1" t="n">
        <f aca="false">1/B4895</f>
        <v>0.0031102264244837</v>
      </c>
      <c r="D4895" s="1" t="n">
        <v>0.39634</v>
      </c>
      <c r="E4895" s="1" t="n">
        <f aca="false">LN(D4895)</f>
        <v>-0.92548285024307</v>
      </c>
    </row>
    <row r="4896" customFormat="false" ht="15.75" hidden="false" customHeight="false" outlineLevel="0" collapsed="false">
      <c r="A4896" s="1" t="s">
        <v>982</v>
      </c>
      <c r="B4896" s="1" t="n">
        <v>322.26</v>
      </c>
      <c r="C4896" s="1" t="n">
        <f aca="false">1/B4896</f>
        <v>0.00310308446595916</v>
      </c>
      <c r="D4896" s="1" t="n">
        <v>0.39266</v>
      </c>
      <c r="E4896" s="1" t="n">
        <f aca="false">LN(D4896)</f>
        <v>-0.934811181511534</v>
      </c>
    </row>
    <row r="4897" customFormat="false" ht="15.75" hidden="false" customHeight="false" outlineLevel="0" collapsed="false">
      <c r="A4897" s="1" t="s">
        <v>982</v>
      </c>
      <c r="B4897" s="1" t="n">
        <v>323</v>
      </c>
      <c r="C4897" s="1" t="n">
        <f aca="false">1/B4897</f>
        <v>0.00309597523219814</v>
      </c>
      <c r="D4897" s="1" t="n">
        <v>0.38903</v>
      </c>
      <c r="E4897" s="1" t="n">
        <f aca="false">LN(D4897)</f>
        <v>-0.944098817514726</v>
      </c>
    </row>
    <row r="4898" customFormat="false" ht="15.75" hidden="false" customHeight="false" outlineLevel="0" collapsed="false">
      <c r="A4898" s="1" t="s">
        <v>982</v>
      </c>
      <c r="B4898" s="1" t="n">
        <v>323.74</v>
      </c>
      <c r="C4898" s="1" t="n">
        <f aca="false">1/B4898</f>
        <v>0.00308889849879533</v>
      </c>
      <c r="D4898" s="1" t="n">
        <v>0.38544</v>
      </c>
      <c r="E4898" s="1" t="n">
        <f aca="false">LN(D4898)</f>
        <v>-0.953369740115576</v>
      </c>
    </row>
    <row r="4899" customFormat="false" ht="15.75" hidden="false" customHeight="false" outlineLevel="0" collapsed="false">
      <c r="A4899" s="1" t="s">
        <v>982</v>
      </c>
      <c r="B4899" s="1" t="n">
        <v>324.48</v>
      </c>
      <c r="C4899" s="1" t="n">
        <f aca="false">1/B4899</f>
        <v>0.0030818540433925</v>
      </c>
      <c r="D4899" s="1" t="n">
        <v>0.38191</v>
      </c>
      <c r="E4899" s="1" t="n">
        <f aca="false">LN(D4899)</f>
        <v>-0.962570300228336</v>
      </c>
    </row>
    <row r="4900" customFormat="false" ht="15.75" hidden="false" customHeight="false" outlineLevel="0" collapsed="false">
      <c r="A4900" s="1" t="s">
        <v>982</v>
      </c>
      <c r="B4900" s="1" t="n">
        <v>325.22</v>
      </c>
      <c r="C4900" s="1" t="n">
        <f aca="false">1/B4900</f>
        <v>0.00307484164565525</v>
      </c>
      <c r="D4900" s="1" t="n">
        <v>0.37841</v>
      </c>
      <c r="E4900" s="1" t="n">
        <f aca="false">LN(D4900)</f>
        <v>-0.971777015092292</v>
      </c>
    </row>
    <row r="4901" customFormat="false" ht="15.75" hidden="false" customHeight="false" outlineLevel="0" collapsed="false">
      <c r="A4901" s="1" t="s">
        <v>982</v>
      </c>
      <c r="B4901" s="1" t="n">
        <v>325.96</v>
      </c>
      <c r="C4901" s="1" t="n">
        <f aca="false">1/B4901</f>
        <v>0.00306786108724997</v>
      </c>
      <c r="D4901" s="1" t="n">
        <v>0.37497</v>
      </c>
      <c r="E4901" s="1" t="n">
        <f aca="false">LN(D4901)</f>
        <v>-0.980909256211897</v>
      </c>
    </row>
    <row r="4902" customFormat="false" ht="15.75" hidden="false" customHeight="false" outlineLevel="0" collapsed="false">
      <c r="A4902" s="1" t="s">
        <v>982</v>
      </c>
      <c r="B4902" s="1" t="n">
        <v>326.7</v>
      </c>
      <c r="C4902" s="1" t="n">
        <f aca="false">1/B4902</f>
        <v>0.00306091215182124</v>
      </c>
      <c r="D4902" s="1" t="n">
        <v>0.37157</v>
      </c>
      <c r="E4902" s="1" t="n">
        <f aca="false">LN(D4902)</f>
        <v>-0.990018007271314</v>
      </c>
    </row>
    <row r="4903" customFormat="false" ht="15.75" hidden="false" customHeight="false" outlineLevel="0" collapsed="false">
      <c r="A4903" s="1" t="s">
        <v>982</v>
      </c>
      <c r="B4903" s="1" t="n">
        <v>327.44</v>
      </c>
      <c r="C4903" s="1" t="n">
        <f aca="false">1/B4903</f>
        <v>0.00305399462496946</v>
      </c>
      <c r="D4903" s="1" t="n">
        <v>0.36821</v>
      </c>
      <c r="E4903" s="1" t="n">
        <f aca="false">LN(D4903)</f>
        <v>-0.999101851399328</v>
      </c>
    </row>
    <row r="4904" customFormat="false" ht="15.75" hidden="false" customHeight="false" outlineLevel="0" collapsed="false">
      <c r="A4904" s="1" t="s">
        <v>982</v>
      </c>
      <c r="B4904" s="1" t="n">
        <v>328.18</v>
      </c>
      <c r="C4904" s="1" t="n">
        <f aca="false">1/B4904</f>
        <v>0.00304710829422878</v>
      </c>
      <c r="D4904" s="1" t="n">
        <v>0.3649</v>
      </c>
      <c r="E4904" s="1" t="n">
        <f aca="false">LN(D4904)</f>
        <v>-1.00813193553974</v>
      </c>
    </row>
    <row r="4905" customFormat="false" ht="15.75" hidden="false" customHeight="false" outlineLevel="0" collapsed="false">
      <c r="A4905" s="1" t="s">
        <v>982</v>
      </c>
      <c r="B4905" s="1" t="n">
        <v>328.92</v>
      </c>
      <c r="C4905" s="1" t="n">
        <f aca="false">1/B4905</f>
        <v>0.00304025294904536</v>
      </c>
      <c r="D4905" s="1" t="n">
        <v>0.36163</v>
      </c>
      <c r="E4905" s="1" t="n">
        <f aca="false">LN(D4905)</f>
        <v>-1.01713368930372</v>
      </c>
    </row>
    <row r="4906" customFormat="false" ht="15.75" hidden="false" customHeight="false" outlineLevel="0" collapsed="false">
      <c r="A4906" s="1" t="s">
        <v>982</v>
      </c>
      <c r="B4906" s="1" t="n">
        <v>329.67</v>
      </c>
      <c r="C4906" s="1" t="n">
        <f aca="false">1/B4906</f>
        <v>0.0030333363666697</v>
      </c>
      <c r="D4906" s="1" t="n">
        <v>0.3584</v>
      </c>
      <c r="E4906" s="1" t="n">
        <f aca="false">LN(D4906)</f>
        <v>-1.02610559788136</v>
      </c>
    </row>
    <row r="4907" customFormat="false" ht="15.75" hidden="false" customHeight="false" outlineLevel="0" collapsed="false">
      <c r="A4907" s="1" t="s">
        <v>982</v>
      </c>
      <c r="B4907" s="1" t="n">
        <v>330.41</v>
      </c>
      <c r="C4907" s="1" t="n">
        <f aca="false">1/B4907</f>
        <v>0.0030265427801822</v>
      </c>
      <c r="D4907" s="1" t="n">
        <v>0.35522</v>
      </c>
      <c r="E4907" s="1" t="n">
        <f aca="false">LN(D4907)</f>
        <v>-1.03501796314296</v>
      </c>
    </row>
    <row r="4908" customFormat="false" ht="15.75" hidden="false" customHeight="false" outlineLevel="0" collapsed="false">
      <c r="A4908" s="1" t="s">
        <v>982</v>
      </c>
      <c r="B4908" s="1" t="n">
        <v>331.15</v>
      </c>
      <c r="C4908" s="1" t="n">
        <f aca="false">1/B4908</f>
        <v>0.00301977955609241</v>
      </c>
      <c r="D4908" s="1" t="n">
        <v>0.35207</v>
      </c>
      <c r="E4908" s="1" t="n">
        <f aca="false">LN(D4908)</f>
        <v>-1.04392525951843</v>
      </c>
    </row>
    <row r="4909" customFormat="false" ht="15.75" hidden="false" customHeight="false" outlineLevel="0" collapsed="false">
      <c r="A4909" s="1" t="s">
        <v>982</v>
      </c>
      <c r="B4909" s="1" t="n">
        <v>331.89</v>
      </c>
      <c r="C4909" s="1" t="n">
        <f aca="false">1/B4909</f>
        <v>0.00301304649130736</v>
      </c>
      <c r="D4909" s="1" t="n">
        <v>0.34896</v>
      </c>
      <c r="E4909" s="1" t="n">
        <f aca="false">LN(D4909)</f>
        <v>-1.05279797652882</v>
      </c>
    </row>
    <row r="4910" customFormat="false" ht="15.75" hidden="false" customHeight="false" outlineLevel="0" collapsed="false">
      <c r="A4910" s="1" t="s">
        <v>982</v>
      </c>
      <c r="B4910" s="1" t="n">
        <v>332.63</v>
      </c>
      <c r="C4910" s="1" t="n">
        <f aca="false">1/B4910</f>
        <v>0.00300634338454138</v>
      </c>
      <c r="D4910" s="1" t="n">
        <v>0.34589</v>
      </c>
      <c r="E4910" s="1" t="n">
        <f aca="false">LN(D4910)</f>
        <v>-1.06163447354654</v>
      </c>
    </row>
    <row r="4911" customFormat="false" ht="15.75" hidden="false" customHeight="false" outlineLevel="0" collapsed="false">
      <c r="A4911" s="1" t="s">
        <v>982</v>
      </c>
      <c r="B4911" s="1" t="n">
        <v>333.37</v>
      </c>
      <c r="C4911" s="1" t="n">
        <f aca="false">1/B4911</f>
        <v>0.00299967003629601</v>
      </c>
      <c r="D4911" s="1" t="n">
        <v>0.34286</v>
      </c>
      <c r="E4911" s="1" t="n">
        <f aca="false">LN(D4911)</f>
        <v>-1.0704330784028</v>
      </c>
    </row>
    <row r="4912" customFormat="false" ht="15.75" hidden="false" customHeight="false" outlineLevel="0" collapsed="false">
      <c r="A4912" s="1" t="s">
        <v>982</v>
      </c>
      <c r="B4912" s="1" t="n">
        <v>334.11</v>
      </c>
      <c r="C4912" s="1" t="n">
        <f aca="false">1/B4912</f>
        <v>0.0029930262488402</v>
      </c>
      <c r="D4912" s="1" t="n">
        <v>0.33987</v>
      </c>
      <c r="E4912" s="1" t="n">
        <f aca="false">LN(D4912)</f>
        <v>-1.07919208742863</v>
      </c>
    </row>
    <row r="4913" customFormat="false" ht="15.75" hidden="false" customHeight="false" outlineLevel="0" collapsed="false">
      <c r="A4913" s="1" t="s">
        <v>982</v>
      </c>
      <c r="B4913" s="1" t="n">
        <v>334.85</v>
      </c>
      <c r="C4913" s="1" t="n">
        <f aca="false">1/B4913</f>
        <v>0.00298641182619083</v>
      </c>
      <c r="D4913" s="1" t="n">
        <v>0.33692</v>
      </c>
      <c r="E4913" s="1" t="n">
        <f aca="false">LN(D4913)</f>
        <v>-1.08790976553497</v>
      </c>
    </row>
    <row r="4914" customFormat="false" ht="15.75" hidden="false" customHeight="false" outlineLevel="0" collapsed="false">
      <c r="A4914" s="1" t="s">
        <v>982</v>
      </c>
      <c r="B4914" s="1" t="n">
        <v>335.59</v>
      </c>
      <c r="C4914" s="1" t="n">
        <f aca="false">1/B4914</f>
        <v>0.00297982657409339</v>
      </c>
      <c r="D4914" s="1" t="n">
        <v>0.334</v>
      </c>
      <c r="E4914" s="1" t="n">
        <f aca="false">LN(D4914)</f>
        <v>-1.09661428600544</v>
      </c>
    </row>
    <row r="4915" customFormat="false" ht="15.75" hidden="false" customHeight="false" outlineLevel="0" collapsed="false">
      <c r="A4915" s="1" t="s">
        <v>982</v>
      </c>
      <c r="B4915" s="1" t="n">
        <v>336.33</v>
      </c>
      <c r="C4915" s="1" t="n">
        <f aca="false">1/B4915</f>
        <v>0.00297327030000297</v>
      </c>
      <c r="D4915" s="1" t="n">
        <v>0.33111</v>
      </c>
      <c r="E4915" s="1" t="n">
        <f aca="false">LN(D4915)</f>
        <v>-1.10530463252923</v>
      </c>
    </row>
    <row r="4916" customFormat="false" ht="15.75" hidden="false" customHeight="false" outlineLevel="0" collapsed="false">
      <c r="A4916" s="1" t="s">
        <v>982</v>
      </c>
      <c r="B4916" s="1" t="n">
        <v>337.07</v>
      </c>
      <c r="C4916" s="1" t="n">
        <f aca="false">1/B4916</f>
        <v>0.00296674281306554</v>
      </c>
      <c r="D4916" s="1" t="n">
        <v>0.32827</v>
      </c>
      <c r="E4916" s="1" t="n">
        <f aca="false">LN(D4916)</f>
        <v>-1.1139188384855</v>
      </c>
    </row>
    <row r="4917" customFormat="false" ht="15.75" hidden="false" customHeight="false" outlineLevel="0" collapsed="false">
      <c r="A4917" s="1" t="s">
        <v>982</v>
      </c>
      <c r="B4917" s="1" t="n">
        <v>337.3</v>
      </c>
      <c r="C4917" s="1" t="n">
        <f aca="false">1/B4917</f>
        <v>0.00296471983397569</v>
      </c>
      <c r="D4917" s="1" t="n">
        <v>0.3274</v>
      </c>
      <c r="E4917" s="1" t="n">
        <f aca="false">LN(D4917)</f>
        <v>-1.1165726140451</v>
      </c>
    </row>
    <row r="4918" customFormat="false" ht="15.75" hidden="false" customHeight="false" outlineLevel="0" collapsed="false">
      <c r="A4918" s="1" t="s">
        <v>984</v>
      </c>
      <c r="B4918" s="1" t="n">
        <v>273.49</v>
      </c>
      <c r="C4918" s="1" t="n">
        <f aca="false">1/B4918</f>
        <v>0.00365644082050532</v>
      </c>
      <c r="D4918" s="1" t="n">
        <v>0.4762</v>
      </c>
      <c r="E4918" s="1" t="n">
        <f aca="false">LN(D4918)</f>
        <v>-0.741917344929375</v>
      </c>
    </row>
    <row r="4919" customFormat="false" ht="15.75" hidden="false" customHeight="false" outlineLevel="0" collapsed="false">
      <c r="A4919" s="1" t="s">
        <v>984</v>
      </c>
      <c r="B4919" s="1" t="n">
        <v>279.49</v>
      </c>
      <c r="C4919" s="1" t="n">
        <f aca="false">1/B4919</f>
        <v>0.00357794554366883</v>
      </c>
      <c r="D4919" s="1" t="n">
        <v>0.4436</v>
      </c>
      <c r="E4919" s="1" t="n">
        <f aca="false">LN(D4919)</f>
        <v>-0.812832023505925</v>
      </c>
    </row>
    <row r="4920" customFormat="false" ht="15.75" hidden="false" customHeight="false" outlineLevel="0" collapsed="false">
      <c r="A4920" s="1" t="s">
        <v>984</v>
      </c>
      <c r="B4920" s="1" t="n">
        <v>284.56</v>
      </c>
      <c r="C4920" s="1" t="n">
        <f aca="false">1/B4920</f>
        <v>0.00351419735732359</v>
      </c>
      <c r="D4920" s="1" t="n">
        <v>0.4186</v>
      </c>
      <c r="E4920" s="1" t="n">
        <f aca="false">LN(D4920)</f>
        <v>-0.870839468970238</v>
      </c>
    </row>
    <row r="4921" customFormat="false" ht="15.75" hidden="false" customHeight="false" outlineLevel="0" collapsed="false">
      <c r="A4921" s="1" t="s">
        <v>984</v>
      </c>
      <c r="B4921" s="1" t="n">
        <v>290.21</v>
      </c>
      <c r="C4921" s="1" t="n">
        <f aca="false">1/B4921</f>
        <v>0.00344578064160436</v>
      </c>
      <c r="D4921" s="1" t="n">
        <v>0.3948</v>
      </c>
      <c r="E4921" s="1" t="n">
        <f aca="false">LN(D4921)</f>
        <v>-0.929375971422811</v>
      </c>
    </row>
    <row r="4922" customFormat="false" ht="15.75" hidden="false" customHeight="false" outlineLevel="0" collapsed="false">
      <c r="A4922" s="1" t="s">
        <v>984</v>
      </c>
      <c r="B4922" s="1" t="n">
        <v>301.53</v>
      </c>
      <c r="C4922" s="1" t="n">
        <f aca="false">1/B4922</f>
        <v>0.00331641959340696</v>
      </c>
      <c r="D4922" s="1" t="n">
        <v>0.3491</v>
      </c>
      <c r="E4922" s="1" t="n">
        <f aca="false">LN(D4922)</f>
        <v>-1.05239686487115</v>
      </c>
    </row>
    <row r="4923" customFormat="false" ht="15.75" hidden="false" customHeight="false" outlineLevel="0" collapsed="false">
      <c r="A4923" s="1" t="s">
        <v>984</v>
      </c>
      <c r="B4923" s="1" t="n">
        <v>307.01</v>
      </c>
      <c r="C4923" s="1" t="n">
        <f aca="false">1/B4923</f>
        <v>0.00325722289176248</v>
      </c>
      <c r="D4923" s="1" t="n">
        <v>0.3304</v>
      </c>
      <c r="E4923" s="1" t="n">
        <f aca="false">LN(D4923)</f>
        <v>-1.10745123733531</v>
      </c>
    </row>
    <row r="4924" customFormat="false" ht="15.75" hidden="false" customHeight="false" outlineLevel="0" collapsed="false">
      <c r="A4924" s="1" t="s">
        <v>984</v>
      </c>
      <c r="B4924" s="1" t="n">
        <v>313.6</v>
      </c>
      <c r="C4924" s="1" t="n">
        <f aca="false">1/B4924</f>
        <v>0.00318877551020408</v>
      </c>
      <c r="D4924" s="1" t="n">
        <v>0.31</v>
      </c>
      <c r="E4924" s="1" t="n">
        <f aca="false">LN(D4924)</f>
        <v>-1.17118298150295</v>
      </c>
    </row>
    <row r="4925" customFormat="false" ht="15.75" hidden="false" customHeight="false" outlineLevel="0" collapsed="false">
      <c r="A4925" s="1" t="s">
        <v>984</v>
      </c>
      <c r="B4925" s="1" t="n">
        <v>319.17</v>
      </c>
      <c r="C4925" s="1" t="n">
        <f aca="false">1/B4925</f>
        <v>0.00313312654698123</v>
      </c>
      <c r="D4925" s="1" t="n">
        <v>0.2943</v>
      </c>
      <c r="E4925" s="1" t="n">
        <f aca="false">LN(D4925)</f>
        <v>-1.22315562374271</v>
      </c>
    </row>
    <row r="4926" customFormat="false" ht="15.75" hidden="false" customHeight="false" outlineLevel="0" collapsed="false">
      <c r="A4926" s="1" t="s">
        <v>984</v>
      </c>
      <c r="B4926" s="1" t="n">
        <v>327.48</v>
      </c>
      <c r="C4926" s="1" t="n">
        <f aca="false">1/B4926</f>
        <v>0.00305362159521192</v>
      </c>
      <c r="D4926" s="1" t="n">
        <v>0.2732</v>
      </c>
      <c r="E4926" s="1" t="n">
        <f aca="false">LN(D4926)</f>
        <v>-1.2975511512855</v>
      </c>
    </row>
    <row r="4927" customFormat="false" ht="15.75" hidden="false" customHeight="false" outlineLevel="0" collapsed="false">
      <c r="A4927" s="1" t="s">
        <v>984</v>
      </c>
      <c r="B4927" s="1" t="n">
        <v>353.55</v>
      </c>
      <c r="C4927" s="1" t="n">
        <f aca="false">1/B4927</f>
        <v>0.00282845424975251</v>
      </c>
      <c r="D4927" s="1" t="n">
        <v>0.217</v>
      </c>
      <c r="E4927" s="1" t="n">
        <f aca="false">LN(D4927)</f>
        <v>-1.52785792544168</v>
      </c>
    </row>
    <row r="4928" customFormat="false" ht="15.75" hidden="false" customHeight="false" outlineLevel="0" collapsed="false">
      <c r="A4928" s="1" t="s">
        <v>984</v>
      </c>
      <c r="B4928" s="1" t="n">
        <v>383.35</v>
      </c>
      <c r="C4928" s="1" t="n">
        <f aca="false">1/B4928</f>
        <v>0.00260858223555498</v>
      </c>
      <c r="D4928" s="1" t="n">
        <v>0.167</v>
      </c>
      <c r="E4928" s="1" t="n">
        <f aca="false">LN(D4928)</f>
        <v>-1.78976146656538</v>
      </c>
    </row>
    <row r="4929" customFormat="false" ht="15.75" hidden="false" customHeight="false" outlineLevel="0" collapsed="false">
      <c r="A4929" s="1" t="s">
        <v>984</v>
      </c>
      <c r="B4929" s="1" t="n">
        <v>412.15</v>
      </c>
      <c r="C4929" s="1" t="n">
        <f aca="false">1/B4929</f>
        <v>0.002426301103967</v>
      </c>
      <c r="D4929" s="1" t="n">
        <v>0.132</v>
      </c>
      <c r="E4929" s="1" t="n">
        <f aca="false">LN(D4929)</f>
        <v>-2.02495335639577</v>
      </c>
    </row>
    <row r="4930" customFormat="false" ht="15.75" hidden="false" customHeight="false" outlineLevel="0" collapsed="false">
      <c r="A4930" s="1" t="s">
        <v>984</v>
      </c>
      <c r="B4930" s="1" t="n">
        <v>295.89</v>
      </c>
      <c r="C4930" s="1" t="n">
        <f aca="false">1/B4930</f>
        <v>0.00337963432356619</v>
      </c>
      <c r="D4930" s="1" t="n">
        <v>0.3706</v>
      </c>
      <c r="E4930" s="1" t="n">
        <f aca="false">LN(D4930)</f>
        <v>-0.992631965130878</v>
      </c>
    </row>
    <row r="4931" customFormat="false" ht="15.75" hidden="false" customHeight="false" outlineLevel="0" collapsed="false">
      <c r="A4931" s="1" t="s">
        <v>984</v>
      </c>
      <c r="B4931" s="1" t="n">
        <v>323.49</v>
      </c>
      <c r="C4931" s="1" t="n">
        <f aca="false">1/B4931</f>
        <v>0.00309128566570837</v>
      </c>
      <c r="D4931" s="1" t="n">
        <v>0.2828</v>
      </c>
      <c r="E4931" s="1" t="n">
        <f aca="false">LN(D4931)</f>
        <v>-1.26301534495972</v>
      </c>
    </row>
    <row r="4932" customFormat="false" ht="15.75" hidden="false" customHeight="false" outlineLevel="0" collapsed="false">
      <c r="A4932" s="1" t="s">
        <v>984</v>
      </c>
      <c r="B4932" s="1" t="n">
        <v>393.16</v>
      </c>
      <c r="C4932" s="1" t="n">
        <f aca="false">1/B4932</f>
        <v>0.00254349374300539</v>
      </c>
      <c r="D4932" s="1" t="n">
        <v>0.154</v>
      </c>
      <c r="E4932" s="1" t="n">
        <f aca="false">LN(D4932)</f>
        <v>-1.87080267656851</v>
      </c>
    </row>
    <row r="4933" customFormat="false" ht="15.75" hidden="false" customHeight="false" outlineLevel="0" collapsed="false">
      <c r="A4933" s="1" t="s">
        <v>984</v>
      </c>
      <c r="B4933" s="1" t="n">
        <v>413.16</v>
      </c>
      <c r="C4933" s="1" t="n">
        <f aca="false">1/B4933</f>
        <v>0.00242036983251041</v>
      </c>
      <c r="D4933" s="1" t="n">
        <v>0.13</v>
      </c>
      <c r="E4933" s="1" t="n">
        <f aca="false">LN(D4933)</f>
        <v>-2.04022082852655</v>
      </c>
    </row>
    <row r="4934" customFormat="false" ht="15.75" hidden="false" customHeight="false" outlineLevel="0" collapsed="false">
      <c r="A4934" s="1" t="s">
        <v>1461</v>
      </c>
      <c r="B4934" s="1" t="n">
        <v>202.45142</v>
      </c>
      <c r="C4934" s="1" t="n">
        <f aca="false">1/B4934</f>
        <v>0.00493945658667151</v>
      </c>
      <c r="D4934" s="1" t="n">
        <v>0.805</v>
      </c>
      <c r="E4934" s="1" t="n">
        <f aca="false">LN(D4934)</f>
        <v>-0.216913001563574</v>
      </c>
    </row>
    <row r="4935" customFormat="false" ht="15.75" hidden="false" customHeight="false" outlineLevel="0" collapsed="false">
      <c r="A4935" s="1" t="s">
        <v>1461</v>
      </c>
      <c r="B4935" s="1" t="n">
        <v>204.35</v>
      </c>
      <c r="C4935" s="1" t="n">
        <f aca="false">1/B4935</f>
        <v>0.00489356496207487</v>
      </c>
      <c r="D4935" s="1" t="n">
        <v>0.755</v>
      </c>
      <c r="E4935" s="1" t="n">
        <f aca="false">LN(D4935)</f>
        <v>-0.281037529733112</v>
      </c>
    </row>
    <row r="4936" customFormat="false" ht="15.75" hidden="false" customHeight="false" outlineLevel="0" collapsed="false">
      <c r="A4936" s="1" t="s">
        <v>1461</v>
      </c>
      <c r="B4936" s="1" t="n">
        <v>205.15</v>
      </c>
      <c r="C4936" s="1" t="n">
        <f aca="false">1/B4936</f>
        <v>0.00487448208627833</v>
      </c>
      <c r="D4936" s="1" t="n">
        <v>0.74</v>
      </c>
      <c r="E4936" s="1" t="n">
        <f aca="false">LN(D4936)</f>
        <v>-0.301105092783922</v>
      </c>
    </row>
    <row r="4937" customFormat="false" ht="15.75" hidden="false" customHeight="false" outlineLevel="0" collapsed="false">
      <c r="A4937" s="1" t="s">
        <v>1461</v>
      </c>
      <c r="B4937" s="1" t="n">
        <v>206.35</v>
      </c>
      <c r="C4937" s="1" t="n">
        <f aca="false">1/B4937</f>
        <v>0.00484613520717228</v>
      </c>
      <c r="D4937" s="1" t="n">
        <v>0.713</v>
      </c>
      <c r="E4937" s="1" t="n">
        <f aca="false">LN(D4937)</f>
        <v>-0.338273858567841</v>
      </c>
    </row>
    <row r="4938" customFormat="false" ht="15.75" hidden="false" customHeight="false" outlineLevel="0" collapsed="false">
      <c r="A4938" s="1" t="s">
        <v>1461</v>
      </c>
      <c r="B4938" s="1" t="n">
        <v>212.45</v>
      </c>
      <c r="C4938" s="1" t="n">
        <f aca="false">1/B4938</f>
        <v>0.00470698987997176</v>
      </c>
      <c r="D4938" s="1" t="n">
        <v>0.614</v>
      </c>
      <c r="E4938" s="1" t="n">
        <f aca="false">LN(D4938)</f>
        <v>-0.487760350834995</v>
      </c>
    </row>
    <row r="4939" customFormat="false" ht="15.75" hidden="false" customHeight="false" outlineLevel="0" collapsed="false">
      <c r="A4939" s="1" t="s">
        <v>1461</v>
      </c>
      <c r="B4939" s="1" t="n">
        <v>214.75</v>
      </c>
      <c r="C4939" s="1" t="n">
        <f aca="false">1/B4939</f>
        <v>0.00465657741559953</v>
      </c>
      <c r="D4939" s="1" t="n">
        <v>0.582</v>
      </c>
      <c r="E4939" s="1" t="n">
        <f aca="false">LN(D4939)</f>
        <v>-0.541284831250699</v>
      </c>
    </row>
    <row r="4940" customFormat="false" ht="15.75" hidden="false" customHeight="false" outlineLevel="0" collapsed="false">
      <c r="A4940" s="1" t="s">
        <v>1461</v>
      </c>
      <c r="B4940" s="1" t="n">
        <v>217.85</v>
      </c>
      <c r="C4940" s="1" t="n">
        <f aca="false">1/B4940</f>
        <v>0.0045903144365389</v>
      </c>
      <c r="D4940" s="1" t="n">
        <v>0.541</v>
      </c>
      <c r="E4940" s="1" t="n">
        <f aca="false">LN(D4940)</f>
        <v>-0.614336000135655</v>
      </c>
    </row>
    <row r="4941" customFormat="false" ht="15.75" hidden="false" customHeight="false" outlineLevel="0" collapsed="false">
      <c r="A4941" s="1" t="s">
        <v>1461</v>
      </c>
      <c r="B4941" s="1" t="n">
        <v>222.55</v>
      </c>
      <c r="C4941" s="1" t="n">
        <f aca="false">1/B4941</f>
        <v>0.00449337227589306</v>
      </c>
      <c r="D4941" s="1" t="n">
        <v>0.495</v>
      </c>
      <c r="E4941" s="1" t="n">
        <f aca="false">LN(D4941)</f>
        <v>-0.703197516413447</v>
      </c>
    </row>
    <row r="4942" customFormat="false" ht="15.75" hidden="false" customHeight="false" outlineLevel="0" collapsed="false">
      <c r="A4942" s="1" t="s">
        <v>1461</v>
      </c>
      <c r="B4942" s="1" t="n">
        <v>223.05</v>
      </c>
      <c r="C4942" s="1" t="n">
        <f aca="false">1/B4942</f>
        <v>0.00448329970858552</v>
      </c>
      <c r="D4942" s="1" t="n">
        <v>0.486</v>
      </c>
      <c r="E4942" s="1" t="n">
        <f aca="false">LN(D4942)</f>
        <v>-0.721546655081643</v>
      </c>
    </row>
    <row r="4943" customFormat="false" ht="15.75" hidden="false" customHeight="false" outlineLevel="0" collapsed="false">
      <c r="A4943" s="1" t="s">
        <v>1461</v>
      </c>
      <c r="B4943" s="1" t="n">
        <v>229.05</v>
      </c>
      <c r="C4943" s="1" t="n">
        <f aca="false">1/B4943</f>
        <v>0.00436585898275486</v>
      </c>
      <c r="D4943" s="1" t="n">
        <v>0.437</v>
      </c>
      <c r="E4943" s="1" t="n">
        <f aca="false">LN(D4943)</f>
        <v>-0.827822083886547</v>
      </c>
    </row>
    <row r="4944" customFormat="false" ht="15.75" hidden="false" customHeight="false" outlineLevel="0" collapsed="false">
      <c r="A4944" s="1" t="s">
        <v>1461</v>
      </c>
      <c r="B4944" s="1" t="n">
        <v>230.45</v>
      </c>
      <c r="C4944" s="1" t="n">
        <f aca="false">1/B4944</f>
        <v>0.00433933608157952</v>
      </c>
      <c r="D4944" s="1" t="n">
        <v>0.425</v>
      </c>
      <c r="E4944" s="1" t="n">
        <f aca="false">LN(D4944)</f>
        <v>-0.85566611005772</v>
      </c>
    </row>
    <row r="4945" customFormat="false" ht="15.75" hidden="false" customHeight="false" outlineLevel="0" collapsed="false">
      <c r="A4945" s="1" t="s">
        <v>1461</v>
      </c>
      <c r="B4945" s="1" t="n">
        <v>233.05</v>
      </c>
      <c r="C4945" s="1" t="n">
        <f aca="false">1/B4945</f>
        <v>0.00429092469427162</v>
      </c>
      <c r="D4945" s="1" t="n">
        <v>0.405</v>
      </c>
      <c r="E4945" s="1" t="n">
        <f aca="false">LN(D4945)</f>
        <v>-0.903868211875598</v>
      </c>
    </row>
    <row r="4946" customFormat="false" ht="15.75" hidden="false" customHeight="false" outlineLevel="0" collapsed="false">
      <c r="A4946" s="1" t="s">
        <v>1461</v>
      </c>
      <c r="B4946" s="1" t="n">
        <v>235.75</v>
      </c>
      <c r="C4946" s="1" t="n">
        <f aca="false">1/B4946</f>
        <v>0.00424178154825027</v>
      </c>
      <c r="D4946" s="1" t="n">
        <v>0.385</v>
      </c>
      <c r="E4946" s="1" t="n">
        <f aca="false">LN(D4946)</f>
        <v>-0.954511944694353</v>
      </c>
    </row>
    <row r="4947" customFormat="false" ht="15.75" hidden="false" customHeight="false" outlineLevel="0" collapsed="false">
      <c r="A4947" s="1" t="s">
        <v>1461</v>
      </c>
      <c r="B4947" s="1" t="n">
        <v>241.15</v>
      </c>
      <c r="C4947" s="1" t="n">
        <f aca="false">1/B4947</f>
        <v>0.00414679659962679</v>
      </c>
      <c r="D4947" s="1" t="n">
        <v>0.358</v>
      </c>
      <c r="E4947" s="1" t="n">
        <f aca="false">LN(D4947)</f>
        <v>-1.02722229258144</v>
      </c>
    </row>
    <row r="4948" customFormat="false" ht="15.75" hidden="false" customHeight="false" outlineLevel="0" collapsed="false">
      <c r="A4948" s="1" t="s">
        <v>1461</v>
      </c>
      <c r="B4948" s="1" t="n">
        <v>245.75</v>
      </c>
      <c r="C4948" s="1" t="n">
        <f aca="false">1/B4948</f>
        <v>0.00406917599186165</v>
      </c>
      <c r="D4948" s="1" t="n">
        <v>0.337</v>
      </c>
      <c r="E4948" s="1" t="n">
        <f aca="false">LN(D4948)</f>
        <v>-1.08767234862978</v>
      </c>
    </row>
    <row r="4949" customFormat="false" ht="15.75" hidden="false" customHeight="false" outlineLevel="0" collapsed="false">
      <c r="A4949" s="1" t="s">
        <v>1461</v>
      </c>
      <c r="B4949" s="1" t="n">
        <v>248.55</v>
      </c>
      <c r="C4949" s="1" t="n">
        <f aca="false">1/B4949</f>
        <v>0.00402333534500101</v>
      </c>
      <c r="D4949" s="1" t="n">
        <v>0.381</v>
      </c>
      <c r="E4949" s="1" t="n">
        <f aca="false">LN(D4949)</f>
        <v>-0.964955903855436</v>
      </c>
    </row>
    <row r="4950" customFormat="false" ht="15.75" hidden="false" customHeight="false" outlineLevel="0" collapsed="false">
      <c r="A4950" s="1" t="s">
        <v>1461</v>
      </c>
      <c r="B4950" s="1" t="n">
        <v>255.05</v>
      </c>
      <c r="C4950" s="1" t="n">
        <f aca="false">1/B4950</f>
        <v>0.00392079984316801</v>
      </c>
      <c r="D4950" s="1" t="n">
        <v>0.295</v>
      </c>
      <c r="E4950" s="1" t="n">
        <f aca="false">LN(D4950)</f>
        <v>-1.22077992264232</v>
      </c>
    </row>
    <row r="4951" customFormat="false" ht="15.75" hidden="false" customHeight="false" outlineLevel="0" collapsed="false">
      <c r="A4951" s="1" t="s">
        <v>1461</v>
      </c>
      <c r="B4951" s="1" t="n">
        <v>257.59</v>
      </c>
      <c r="C4951" s="1" t="n">
        <f aca="false">1/B4951</f>
        <v>0.0038821382817656</v>
      </c>
      <c r="D4951" s="1" t="n">
        <v>0.281</v>
      </c>
      <c r="E4951" s="1" t="n">
        <f aca="false">LN(D4951)</f>
        <v>-1.26940060964839</v>
      </c>
    </row>
    <row r="4952" customFormat="false" ht="15.75" hidden="false" customHeight="false" outlineLevel="0" collapsed="false">
      <c r="A4952" s="1" t="s">
        <v>1461</v>
      </c>
      <c r="B4952" s="1" t="n">
        <v>258.35</v>
      </c>
      <c r="C4952" s="1" t="n">
        <f aca="false">1/B4952</f>
        <v>0.00387071801819237</v>
      </c>
      <c r="D4952" s="1" t="n">
        <v>0.283</v>
      </c>
      <c r="E4952" s="1" t="n">
        <f aca="false">LN(D4952)</f>
        <v>-1.2623083813389</v>
      </c>
    </row>
    <row r="4953" customFormat="false" ht="15.75" hidden="false" customHeight="false" outlineLevel="0" collapsed="false">
      <c r="A4953" s="1" t="s">
        <v>1461</v>
      </c>
      <c r="B4953" s="1" t="n">
        <v>263.05</v>
      </c>
      <c r="C4953" s="1" t="n">
        <f aca="false">1/B4953</f>
        <v>0.00380155863904201</v>
      </c>
      <c r="D4953" s="1" t="n">
        <v>0.266</v>
      </c>
      <c r="E4953" s="1" t="n">
        <f aca="false">LN(D4953)</f>
        <v>-1.32425897020044</v>
      </c>
    </row>
    <row r="4954" customFormat="false" ht="15.75" hidden="false" customHeight="false" outlineLevel="0" collapsed="false">
      <c r="A4954" s="1" t="s">
        <v>1461</v>
      </c>
      <c r="B4954" s="1" t="n">
        <v>263.55143</v>
      </c>
      <c r="C4954" s="1" t="n">
        <f aca="false">1/B4954</f>
        <v>0.00379432583613756</v>
      </c>
      <c r="D4954" s="1" t="n">
        <v>0.256</v>
      </c>
      <c r="E4954" s="1" t="n">
        <f aca="false">LN(D4954)</f>
        <v>-1.36257783450257</v>
      </c>
    </row>
    <row r="4955" customFormat="false" ht="15.75" hidden="false" customHeight="false" outlineLevel="0" collapsed="false">
      <c r="A4955" s="1" t="s">
        <v>1461</v>
      </c>
      <c r="B4955" s="1" t="n">
        <v>273.25</v>
      </c>
      <c r="C4955" s="1" t="n">
        <f aca="false">1/B4955</f>
        <v>0.00365965233302836</v>
      </c>
      <c r="D4955" s="1" t="n">
        <v>0.231</v>
      </c>
      <c r="E4955" s="1" t="n">
        <f aca="false">LN(D4955)</f>
        <v>-1.46533756846034</v>
      </c>
    </row>
    <row r="4956" customFormat="false" ht="15.75" hidden="false" customHeight="false" outlineLevel="0" collapsed="false">
      <c r="A4956" s="1" t="s">
        <v>1461</v>
      </c>
      <c r="B4956" s="1" t="n">
        <v>280</v>
      </c>
      <c r="C4956" s="1" t="n">
        <f aca="false">1/B4956</f>
        <v>0.00357142857142857</v>
      </c>
      <c r="D4956" s="1" t="n">
        <v>0.212</v>
      </c>
      <c r="E4956" s="1" t="n">
        <f aca="false">LN(D4956)</f>
        <v>-1.55116900431012</v>
      </c>
    </row>
    <row r="4957" customFormat="false" ht="15.75" hidden="false" customHeight="false" outlineLevel="0" collapsed="false">
      <c r="A4957" s="1" t="s">
        <v>1461</v>
      </c>
      <c r="B4957" s="1" t="n">
        <v>283.25</v>
      </c>
      <c r="C4957" s="1" t="n">
        <f aca="false">1/B4957</f>
        <v>0.00353045013239188</v>
      </c>
      <c r="D4957" s="1" t="n">
        <v>2.06</v>
      </c>
      <c r="E4957" s="1" t="n">
        <f aca="false">LN(D4957)</f>
        <v>0.72270598280149</v>
      </c>
    </row>
    <row r="4958" customFormat="false" ht="15.75" hidden="false" customHeight="false" outlineLevel="0" collapsed="false">
      <c r="A4958" s="1" t="s">
        <v>1461</v>
      </c>
      <c r="B4958" s="1" t="n">
        <v>285.65</v>
      </c>
      <c r="C4958" s="1" t="n">
        <f aca="false">1/B4958</f>
        <v>0.00350078767722738</v>
      </c>
      <c r="D4958" s="1" t="n">
        <v>0.202</v>
      </c>
      <c r="E4958" s="1" t="n">
        <f aca="false">LN(D4958)</f>
        <v>-1.59948758158093</v>
      </c>
    </row>
    <row r="4959" customFormat="false" ht="15.75" hidden="false" customHeight="false" outlineLevel="0" collapsed="false">
      <c r="A4959" s="1" t="s">
        <v>1461</v>
      </c>
      <c r="B4959" s="1" t="n">
        <v>291.65</v>
      </c>
      <c r="C4959" s="1" t="n">
        <f aca="false">1/B4959</f>
        <v>0.00342876735813475</v>
      </c>
      <c r="D4959" s="1" t="n">
        <v>0.19</v>
      </c>
      <c r="E4959" s="1" t="n">
        <f aca="false">LN(D4959)</f>
        <v>-1.66073120682165</v>
      </c>
    </row>
    <row r="4960" customFormat="false" ht="15.75" hidden="false" customHeight="false" outlineLevel="0" collapsed="false">
      <c r="A4960" s="1" t="s">
        <v>1461</v>
      </c>
      <c r="B4960" s="1" t="n">
        <v>295.25</v>
      </c>
      <c r="C4960" s="1" t="n">
        <f aca="false">1/B4960</f>
        <v>0.00338696020321761</v>
      </c>
      <c r="D4960" s="1" t="n">
        <v>0.184</v>
      </c>
      <c r="E4960" s="1" t="n">
        <f aca="false">LN(D4960)</f>
        <v>-1.69281952137315</v>
      </c>
    </row>
    <row r="4961" customFormat="false" ht="15.75" hidden="false" customHeight="false" outlineLevel="0" collapsed="false">
      <c r="A4961" s="1" t="s">
        <v>1461</v>
      </c>
      <c r="B4961" s="1" t="n">
        <v>207.95</v>
      </c>
      <c r="C4961" s="1" t="n">
        <f aca="false">1/B4961</f>
        <v>0.00480884828083674</v>
      </c>
      <c r="D4961" s="1" t="n">
        <v>0.681</v>
      </c>
      <c r="E4961" s="1" t="n">
        <f aca="false">LN(D4961)</f>
        <v>-0.384192972832625</v>
      </c>
    </row>
    <row r="4962" customFormat="false" ht="15.75" hidden="false" customHeight="false" outlineLevel="0" collapsed="false">
      <c r="A4962" s="1" t="s">
        <v>1461</v>
      </c>
      <c r="B4962" s="1" t="n">
        <v>212.95</v>
      </c>
      <c r="C4962" s="1" t="n">
        <f aca="false">1/B4962</f>
        <v>0.00469593801361822</v>
      </c>
      <c r="D4962" s="1" t="n">
        <v>0.605</v>
      </c>
      <c r="E4962" s="1" t="n">
        <f aca="false">LN(D4962)</f>
        <v>-0.502526820951296</v>
      </c>
    </row>
    <row r="4963" customFormat="false" ht="15.75" hidden="false" customHeight="false" outlineLevel="0" collapsed="false">
      <c r="A4963" s="1" t="s">
        <v>1461</v>
      </c>
      <c r="B4963" s="1" t="n">
        <v>222.45</v>
      </c>
      <c r="C4963" s="1" t="n">
        <f aca="false">1/B4963</f>
        <v>0.00449539222297145</v>
      </c>
      <c r="D4963" s="1" t="n">
        <v>0.494</v>
      </c>
      <c r="E4963" s="1" t="n">
        <f aca="false">LN(D4963)</f>
        <v>-0.705219761794215</v>
      </c>
    </row>
    <row r="4964" customFormat="false" ht="15.75" hidden="false" customHeight="false" outlineLevel="0" collapsed="false">
      <c r="A4964" s="1" t="s">
        <v>1461</v>
      </c>
      <c r="B4964" s="1" t="n">
        <v>227.95</v>
      </c>
      <c r="C4964" s="1" t="n">
        <f aca="false">1/B4964</f>
        <v>0.00438692695766616</v>
      </c>
      <c r="D4964" s="1" t="n">
        <v>0.445</v>
      </c>
      <c r="E4964" s="1" t="n">
        <f aca="false">LN(D4964)</f>
        <v>-0.809680996815897</v>
      </c>
    </row>
    <row r="4965" customFormat="false" ht="15.75" hidden="false" customHeight="false" outlineLevel="0" collapsed="false">
      <c r="A4965" s="1" t="s">
        <v>1461</v>
      </c>
      <c r="B4965" s="1" t="n">
        <v>237.95</v>
      </c>
      <c r="C4965" s="1" t="n">
        <f aca="false">1/B4965</f>
        <v>0.0042025635637739</v>
      </c>
      <c r="D4965" s="1" t="n">
        <v>0.375</v>
      </c>
      <c r="E4965" s="1" t="n">
        <f aca="false">LN(D4965)</f>
        <v>-0.980829253011726</v>
      </c>
    </row>
    <row r="4966" customFormat="false" ht="15.75" hidden="false" customHeight="false" outlineLevel="0" collapsed="false">
      <c r="A4966" s="1" t="s">
        <v>1461</v>
      </c>
      <c r="B4966" s="1" t="n">
        <v>242.95</v>
      </c>
      <c r="C4966" s="1" t="n">
        <f aca="false">1/B4966</f>
        <v>0.00411607326610414</v>
      </c>
      <c r="D4966" s="1" t="n">
        <v>0.35</v>
      </c>
      <c r="E4966" s="1" t="n">
        <f aca="false">LN(D4966)</f>
        <v>-1.04982212449868</v>
      </c>
    </row>
    <row r="4967" customFormat="false" ht="15.75" hidden="false" customHeight="false" outlineLevel="0" collapsed="false">
      <c r="A4967" s="1" t="s">
        <v>1461</v>
      </c>
      <c r="B4967" s="1" t="n">
        <v>253.05</v>
      </c>
      <c r="C4967" s="1" t="n">
        <f aca="false">1/B4967</f>
        <v>0.00395178818415333</v>
      </c>
      <c r="D4967" s="1" t="n">
        <v>0.301</v>
      </c>
      <c r="E4967" s="1" t="n">
        <f aca="false">LN(D4967)</f>
        <v>-1.20064501423326</v>
      </c>
    </row>
    <row r="4968" customFormat="false" ht="15.75" hidden="false" customHeight="false" outlineLevel="0" collapsed="false">
      <c r="A4968" s="1" t="s">
        <v>1461</v>
      </c>
      <c r="B4968" s="1" t="n">
        <v>278.55</v>
      </c>
      <c r="C4968" s="1" t="n">
        <f aca="false">1/B4968</f>
        <v>0.0035900197451086</v>
      </c>
      <c r="D4968" s="1" t="n">
        <v>0.217</v>
      </c>
      <c r="E4968" s="1" t="n">
        <f aca="false">LN(D4968)</f>
        <v>-1.52785792544168</v>
      </c>
    </row>
    <row r="4969" customFormat="false" ht="15.75" hidden="false" customHeight="false" outlineLevel="0" collapsed="false">
      <c r="A4969" s="1" t="s">
        <v>1461</v>
      </c>
      <c r="B4969" s="1" t="n">
        <v>283.05</v>
      </c>
      <c r="C4969" s="1" t="n">
        <f aca="false">1/B4969</f>
        <v>0.0035329447094153</v>
      </c>
      <c r="D4969" s="1" t="n">
        <v>0.206</v>
      </c>
      <c r="E4969" s="1" t="n">
        <f aca="false">LN(D4969)</f>
        <v>-1.57987911019256</v>
      </c>
    </row>
    <row r="4970" customFormat="false" ht="15.75" hidden="false" customHeight="false" outlineLevel="0" collapsed="false">
      <c r="A4970" s="1" t="s">
        <v>1461</v>
      </c>
      <c r="B4970" s="1" t="n">
        <v>288.65</v>
      </c>
      <c r="C4970" s="1" t="n">
        <f aca="false">1/B4970</f>
        <v>0.00346440325653906</v>
      </c>
      <c r="D4970" s="1" t="n">
        <v>0.196</v>
      </c>
      <c r="E4970" s="1" t="n">
        <f aca="false">LN(D4970)</f>
        <v>-1.62964061975162</v>
      </c>
    </row>
    <row r="4971" customFormat="false" ht="15.75" hidden="false" customHeight="false" outlineLevel="0" collapsed="false">
      <c r="A4971" s="1" t="s">
        <v>126</v>
      </c>
      <c r="B4971" s="1" t="n">
        <v>288.1577</v>
      </c>
      <c r="C4971" s="1" t="n">
        <f aca="false">1/B4971</f>
        <v>0.00347032197994362</v>
      </c>
      <c r="D4971" s="1" t="n">
        <v>2.298</v>
      </c>
      <c r="E4971" s="1" t="n">
        <f aca="false">LN(D4971)</f>
        <v>0.832039179426564</v>
      </c>
    </row>
    <row r="4972" customFormat="false" ht="15.75" hidden="false" customHeight="false" outlineLevel="0" collapsed="false">
      <c r="A4972" s="1" t="s">
        <v>126</v>
      </c>
      <c r="B4972" s="1" t="n">
        <v>303.15</v>
      </c>
      <c r="C4972" s="1" t="n">
        <f aca="false">1/B4972</f>
        <v>0.0032986970146792</v>
      </c>
      <c r="D4972" s="1" t="n">
        <v>1.673</v>
      </c>
      <c r="E4972" s="1" t="n">
        <f aca="false">LN(D4972)</f>
        <v>0.514618422004687</v>
      </c>
    </row>
    <row r="4973" customFormat="false" ht="15.75" hidden="false" customHeight="false" outlineLevel="0" collapsed="false">
      <c r="A4973" s="1" t="s">
        <v>126</v>
      </c>
      <c r="B4973" s="1" t="n">
        <v>293.15119</v>
      </c>
      <c r="C4973" s="1" t="n">
        <f aca="false">1/B4973</f>
        <v>0.00341120907610847</v>
      </c>
      <c r="D4973" s="1" t="n">
        <v>2.051</v>
      </c>
      <c r="E4973" s="1" t="n">
        <f aca="false">LN(D4973)</f>
        <v>0.718327479090244</v>
      </c>
    </row>
    <row r="4974" customFormat="false" ht="15.75" hidden="false" customHeight="false" outlineLevel="0" collapsed="false">
      <c r="A4974" s="1" t="s">
        <v>1462</v>
      </c>
      <c r="B4974" s="1" t="n">
        <v>328.759</v>
      </c>
      <c r="C4974" s="1" t="n">
        <f aca="false">1/B4974</f>
        <v>0.00304174182303754</v>
      </c>
      <c r="D4974" s="1" t="n">
        <v>2.2779</v>
      </c>
      <c r="E4974" s="1" t="n">
        <f aca="false">LN(D4974)</f>
        <v>0.823253965905161</v>
      </c>
    </row>
    <row r="4975" customFormat="false" ht="15.75" hidden="false" customHeight="false" outlineLevel="0" collapsed="false">
      <c r="A4975" s="1" t="s">
        <v>1462</v>
      </c>
      <c r="B4975" s="1" t="n">
        <v>338.15</v>
      </c>
      <c r="C4975" s="1" t="n">
        <f aca="false">1/B4975</f>
        <v>0.002957267484844</v>
      </c>
      <c r="D4975" s="1" t="n">
        <v>2.056</v>
      </c>
      <c r="E4975" s="1" t="n">
        <f aca="false">LN(D4975)</f>
        <v>0.720762347592919</v>
      </c>
    </row>
    <row r="4976" customFormat="false" ht="15.75" hidden="false" customHeight="false" outlineLevel="0" collapsed="false">
      <c r="A4976" s="1" t="s">
        <v>1462</v>
      </c>
      <c r="B4976" s="1" t="n">
        <v>348.15</v>
      </c>
      <c r="C4976" s="1" t="n">
        <f aca="false">1/B4976</f>
        <v>0.00287232514720666</v>
      </c>
      <c r="D4976" s="1" t="n">
        <v>1.679</v>
      </c>
      <c r="E4976" s="1" t="n">
        <f aca="false">LN(D4976)</f>
        <v>0.518198378095404</v>
      </c>
    </row>
    <row r="4977" customFormat="false" ht="15.75" hidden="false" customHeight="false" outlineLevel="0" collapsed="false">
      <c r="A4977" s="1" t="s">
        <v>1462</v>
      </c>
      <c r="B4977" s="1" t="n">
        <v>358.15</v>
      </c>
      <c r="C4977" s="1" t="n">
        <f aca="false">1/B4977</f>
        <v>0.00279212620410443</v>
      </c>
      <c r="D4977" s="1" t="n">
        <v>1.398</v>
      </c>
      <c r="E4977" s="1" t="n">
        <f aca="false">LN(D4977)</f>
        <v>0.335042643811618</v>
      </c>
    </row>
    <row r="4978" customFormat="false" ht="15.75" hidden="false" customHeight="false" outlineLevel="0" collapsed="false">
      <c r="A4978" s="1" t="s">
        <v>986</v>
      </c>
      <c r="B4978" s="1" t="n">
        <v>273.1517</v>
      </c>
      <c r="C4978" s="1" t="n">
        <f aca="false">1/B4978</f>
        <v>0.003660969344141</v>
      </c>
      <c r="D4978" s="1" t="n">
        <v>0.991</v>
      </c>
      <c r="E4978" s="1" t="n">
        <f aca="false">LN(D4978)</f>
        <v>-0.00904074465214907</v>
      </c>
    </row>
    <row r="4979" customFormat="false" ht="15.75" hidden="false" customHeight="false" outlineLevel="0" collapsed="false">
      <c r="A4979" s="1" t="s">
        <v>986</v>
      </c>
      <c r="B4979" s="1" t="n">
        <v>283.15</v>
      </c>
      <c r="C4979" s="1" t="n">
        <f aca="false">1/B4979</f>
        <v>0.00353169698039908</v>
      </c>
      <c r="D4979" s="1" t="n">
        <v>0.847</v>
      </c>
      <c r="E4979" s="1" t="n">
        <f aca="false">LN(D4979)</f>
        <v>-0.166054584330083</v>
      </c>
    </row>
    <row r="4980" customFormat="false" ht="15.75" hidden="false" customHeight="false" outlineLevel="0" collapsed="false">
      <c r="A4980" s="1" t="s">
        <v>986</v>
      </c>
      <c r="B4980" s="1" t="n">
        <v>293.15</v>
      </c>
      <c r="C4980" s="1" t="n">
        <f aca="false">1/B4980</f>
        <v>0.00341122292341805</v>
      </c>
      <c r="D4980" s="1" t="n">
        <v>0.731</v>
      </c>
      <c r="E4980" s="1" t="n">
        <f aca="false">LN(D4980)</f>
        <v>-0.313341819232359</v>
      </c>
    </row>
    <row r="4981" customFormat="false" ht="15.75" hidden="false" customHeight="false" outlineLevel="0" collapsed="false">
      <c r="A4981" s="1" t="s">
        <v>986</v>
      </c>
      <c r="B4981" s="1" t="n">
        <v>303.15</v>
      </c>
      <c r="C4981" s="1" t="n">
        <f aca="false">1/B4981</f>
        <v>0.0032986970146792</v>
      </c>
      <c r="D4981" s="1" t="n">
        <v>0.639</v>
      </c>
      <c r="E4981" s="1" t="n">
        <f aca="false">LN(D4981)</f>
        <v>-0.447850824604602</v>
      </c>
    </row>
    <row r="4982" customFormat="false" ht="15.75" hidden="false" customHeight="false" outlineLevel="0" collapsed="false">
      <c r="A4982" s="1" t="s">
        <v>986</v>
      </c>
      <c r="B4982" s="1" t="n">
        <v>313.15</v>
      </c>
      <c r="C4982" s="1" t="n">
        <f aca="false">1/B4982</f>
        <v>0.00319335781574325</v>
      </c>
      <c r="D4982" s="1" t="n">
        <v>0.562</v>
      </c>
      <c r="E4982" s="1" t="n">
        <f aca="false">LN(D4982)</f>
        <v>-0.576253429088446</v>
      </c>
    </row>
    <row r="4983" customFormat="false" ht="15.75" hidden="false" customHeight="false" outlineLevel="0" collapsed="false">
      <c r="A4983" s="1" t="s">
        <v>986</v>
      </c>
      <c r="B4983" s="1" t="n">
        <v>288.158</v>
      </c>
      <c r="C4983" s="1" t="n">
        <f aca="false">1/B4983</f>
        <v>0.00347031836700699</v>
      </c>
      <c r="D4983" s="1" t="n">
        <v>0.777</v>
      </c>
      <c r="E4983" s="1" t="n">
        <f aca="false">LN(D4983)</f>
        <v>-0.25231492861449</v>
      </c>
    </row>
    <row r="4984" customFormat="false" ht="15.75" hidden="false" customHeight="false" outlineLevel="0" collapsed="false">
      <c r="A4984" s="1" t="s">
        <v>986</v>
      </c>
      <c r="B4984" s="1" t="n">
        <v>303.15</v>
      </c>
      <c r="C4984" s="1" t="n">
        <f aca="false">1/B4984</f>
        <v>0.0032986970146792</v>
      </c>
      <c r="D4984" s="1" t="n">
        <v>0.639</v>
      </c>
      <c r="E4984" s="1" t="n">
        <f aca="false">LN(D4984)</f>
        <v>-0.447850824604602</v>
      </c>
    </row>
    <row r="4985" customFormat="false" ht="15.75" hidden="false" customHeight="false" outlineLevel="0" collapsed="false">
      <c r="A4985" s="1" t="s">
        <v>986</v>
      </c>
      <c r="B4985" s="1" t="n">
        <v>285.6042</v>
      </c>
      <c r="C4985" s="1" t="n">
        <f aca="false">1/B4985</f>
        <v>0.00350134906979659</v>
      </c>
      <c r="D4985" s="1" t="n">
        <v>0.838</v>
      </c>
      <c r="E4985" s="1" t="n">
        <f aca="false">LN(D4985)</f>
        <v>-0.176737178500054</v>
      </c>
    </row>
    <row r="4986" customFormat="false" ht="15.75" hidden="false" customHeight="false" outlineLevel="0" collapsed="false">
      <c r="A4986" s="1" t="s">
        <v>986</v>
      </c>
      <c r="B4986" s="1" t="n">
        <v>325.45</v>
      </c>
      <c r="C4986" s="1" t="n">
        <f aca="false">1/B4986</f>
        <v>0.00307266861269012</v>
      </c>
      <c r="D4986" s="1" t="n">
        <v>0.5046</v>
      </c>
      <c r="E4986" s="1" t="n">
        <f aca="false">LN(D4986)</f>
        <v>-0.68398924277518</v>
      </c>
    </row>
    <row r="4987" customFormat="false" ht="15.75" hidden="false" customHeight="false" outlineLevel="0" collapsed="false">
      <c r="A4987" s="1" t="s">
        <v>986</v>
      </c>
      <c r="B4987" s="1" t="n">
        <v>339.95</v>
      </c>
      <c r="C4987" s="1" t="n">
        <f aca="false">1/B4987</f>
        <v>0.00294160906015591</v>
      </c>
      <c r="D4987" s="1" t="n">
        <v>0.4254</v>
      </c>
      <c r="E4987" s="1" t="n">
        <f aca="false">LN(D4987)</f>
        <v>-0.854725376216</v>
      </c>
    </row>
    <row r="4988" customFormat="false" ht="15.75" hidden="false" customHeight="false" outlineLevel="0" collapsed="false">
      <c r="A4988" s="1" t="s">
        <v>986</v>
      </c>
      <c r="B4988" s="1" t="n">
        <v>357.15</v>
      </c>
      <c r="C4988" s="1" t="n">
        <f aca="false">1/B4988</f>
        <v>0.00279994400111998</v>
      </c>
      <c r="D4988" s="1" t="n">
        <v>0.3607</v>
      </c>
      <c r="E4988" s="1" t="n">
        <f aca="false">LN(D4988)</f>
        <v>-1.01970869107264</v>
      </c>
    </row>
    <row r="4989" customFormat="false" ht="15.75" hidden="false" customHeight="false" outlineLevel="0" collapsed="false">
      <c r="A4989" s="1" t="s">
        <v>986</v>
      </c>
      <c r="B4989" s="1" t="n">
        <v>370.65</v>
      </c>
      <c r="C4989" s="1" t="n">
        <f aca="false">1/B4989</f>
        <v>0.00269796303790638</v>
      </c>
      <c r="D4989" s="1" t="n">
        <v>0.3211</v>
      </c>
      <c r="E4989" s="1" t="n">
        <f aca="false">LN(D4989)</f>
        <v>-1.13600267788667</v>
      </c>
    </row>
    <row r="4990" customFormat="false" ht="15.75" hidden="false" customHeight="false" outlineLevel="0" collapsed="false">
      <c r="A4990" s="1" t="s">
        <v>986</v>
      </c>
      <c r="B4990" s="1" t="n">
        <v>373.65</v>
      </c>
      <c r="C4990" s="1" t="n">
        <f aca="false">1/B4990</f>
        <v>0.00267630135153218</v>
      </c>
      <c r="D4990" s="1" t="n">
        <v>0.313</v>
      </c>
      <c r="E4990" s="1" t="n">
        <f aca="false">LN(D4990)</f>
        <v>-1.16155208844198</v>
      </c>
    </row>
    <row r="4991" customFormat="false" ht="15.75" hidden="false" customHeight="false" outlineLevel="0" collapsed="false">
      <c r="A4991" s="1" t="s">
        <v>988</v>
      </c>
      <c r="B4991" s="1" t="n">
        <v>288.15</v>
      </c>
      <c r="C4991" s="1" t="n">
        <f aca="false">1/B4991</f>
        <v>0.00347041471455839</v>
      </c>
      <c r="D4991" s="1" t="n">
        <v>0.534</v>
      </c>
      <c r="E4991" s="1" t="n">
        <f aca="false">LN(D4991)</f>
        <v>-0.627359440021942</v>
      </c>
    </row>
    <row r="4992" customFormat="false" ht="15.75" hidden="false" customHeight="false" outlineLevel="0" collapsed="false">
      <c r="A4992" s="1" t="s">
        <v>988</v>
      </c>
      <c r="B4992" s="1" t="n">
        <v>303.15</v>
      </c>
      <c r="C4992" s="1" t="n">
        <f aca="false">1/B4992</f>
        <v>0.0032986970146792</v>
      </c>
      <c r="D4992" s="1" t="n">
        <v>0.448</v>
      </c>
      <c r="E4992" s="1" t="n">
        <f aca="false">LN(D4992)</f>
        <v>-0.802962046567152</v>
      </c>
    </row>
    <row r="4993" customFormat="false" ht="15.75" hidden="false" customHeight="false" outlineLevel="0" collapsed="false">
      <c r="A4993" s="1" t="s">
        <v>988</v>
      </c>
      <c r="B4993" s="1" t="n">
        <v>248.1524</v>
      </c>
      <c r="C4993" s="1" t="n">
        <f aca="false">1/B4993</f>
        <v>0.00402978169866582</v>
      </c>
      <c r="D4993" s="1" t="n">
        <v>0.93</v>
      </c>
      <c r="E4993" s="1" t="n">
        <f aca="false">LN(D4993)</f>
        <v>-0.0725706928348354</v>
      </c>
    </row>
    <row r="4994" customFormat="false" ht="15.75" hidden="false" customHeight="false" outlineLevel="0" collapsed="false">
      <c r="A4994" s="1" t="s">
        <v>988</v>
      </c>
      <c r="B4994" s="1" t="n">
        <v>253.15</v>
      </c>
      <c r="C4994" s="1" t="n">
        <f aca="false">1/B4994</f>
        <v>0.00395022713806044</v>
      </c>
      <c r="D4994" s="1" t="n">
        <v>0.86</v>
      </c>
      <c r="E4994" s="1" t="n">
        <f aca="false">LN(D4994)</f>
        <v>-0.150822889734584</v>
      </c>
    </row>
    <row r="4995" customFormat="false" ht="15.75" hidden="false" customHeight="false" outlineLevel="0" collapsed="false">
      <c r="A4995" s="1" t="s">
        <v>988</v>
      </c>
      <c r="B4995" s="1" t="n">
        <v>258.15</v>
      </c>
      <c r="C4995" s="1" t="n">
        <f aca="false">1/B4995</f>
        <v>0.00387371683129963</v>
      </c>
      <c r="D4995" s="1" t="n">
        <v>0.8</v>
      </c>
      <c r="E4995" s="1" t="n">
        <f aca="false">LN(D4995)</f>
        <v>-0.22314355131421</v>
      </c>
    </row>
    <row r="4996" customFormat="false" ht="15.75" hidden="false" customHeight="false" outlineLevel="0" collapsed="false">
      <c r="A4996" s="1" t="s">
        <v>988</v>
      </c>
      <c r="B4996" s="1" t="n">
        <v>273.15</v>
      </c>
      <c r="C4996" s="1" t="n">
        <f aca="false">1/B4996</f>
        <v>0.00366099212886692</v>
      </c>
      <c r="D4996" s="1" t="n">
        <v>0.65</v>
      </c>
      <c r="E4996" s="1" t="n">
        <f aca="false">LN(D4996)</f>
        <v>-0.430782916092454</v>
      </c>
    </row>
    <row r="4997" customFormat="false" ht="15.75" hidden="false" customHeight="false" outlineLevel="0" collapsed="false">
      <c r="A4997" s="1" t="s">
        <v>988</v>
      </c>
      <c r="B4997" s="1" t="n">
        <v>278.15</v>
      </c>
      <c r="C4997" s="1" t="n">
        <f aca="false">1/B4997</f>
        <v>0.00359518245550962</v>
      </c>
      <c r="D4997" s="1" t="n">
        <v>0.609</v>
      </c>
      <c r="E4997" s="1" t="n">
        <f aca="false">LN(D4997)</f>
        <v>-0.49593701127224</v>
      </c>
    </row>
    <row r="4998" customFormat="false" ht="15.75" hidden="false" customHeight="false" outlineLevel="0" collapsed="false">
      <c r="A4998" s="1" t="s">
        <v>988</v>
      </c>
      <c r="B4998" s="1" t="n">
        <v>283.15</v>
      </c>
      <c r="C4998" s="1" t="n">
        <f aca="false">1/B4998</f>
        <v>0.00353169698039908</v>
      </c>
      <c r="D4998" s="1" t="n">
        <v>0.572</v>
      </c>
      <c r="E4998" s="1" t="n">
        <f aca="false">LN(D4998)</f>
        <v>-0.558616287602339</v>
      </c>
    </row>
    <row r="4999" customFormat="false" ht="15.75" hidden="false" customHeight="false" outlineLevel="0" collapsed="false">
      <c r="A4999" s="1" t="s">
        <v>988</v>
      </c>
      <c r="B4999" s="1" t="n">
        <v>288.15</v>
      </c>
      <c r="C4999" s="1" t="n">
        <f aca="false">1/B4999</f>
        <v>0.00347041471455839</v>
      </c>
      <c r="D4999" s="1" t="n">
        <v>0.538</v>
      </c>
      <c r="E4999" s="1" t="n">
        <f aca="false">LN(D4999)</f>
        <v>-0.619896718820353</v>
      </c>
    </row>
    <row r="5000" customFormat="false" ht="15.75" hidden="false" customHeight="false" outlineLevel="0" collapsed="false">
      <c r="A5000" s="1" t="s">
        <v>988</v>
      </c>
      <c r="B5000" s="1" t="n">
        <v>293.15</v>
      </c>
      <c r="C5000" s="1" t="n">
        <f aca="false">1/B5000</f>
        <v>0.00341122292341805</v>
      </c>
      <c r="D5000" s="1" t="n">
        <v>0.507</v>
      </c>
      <c r="E5000" s="1" t="n">
        <f aca="false">LN(D5000)</f>
        <v>-0.679244275390954</v>
      </c>
    </row>
    <row r="5001" customFormat="false" ht="15.75" hidden="false" customHeight="false" outlineLevel="0" collapsed="false">
      <c r="A5001" s="1" t="s">
        <v>988</v>
      </c>
      <c r="B5001" s="1" t="n">
        <v>298.15</v>
      </c>
      <c r="C5001" s="1" t="n">
        <f aca="false">1/B5001</f>
        <v>0.00335401643468053</v>
      </c>
      <c r="D5001" s="1" t="n">
        <v>0.478</v>
      </c>
      <c r="E5001" s="1" t="n">
        <f aca="false">LN(D5001)</f>
        <v>-0.738144546490681</v>
      </c>
    </row>
    <row r="5002" customFormat="false" ht="15.75" hidden="false" customHeight="false" outlineLevel="0" collapsed="false">
      <c r="A5002" s="1" t="s">
        <v>988</v>
      </c>
      <c r="B5002" s="1" t="n">
        <v>313.15</v>
      </c>
      <c r="C5002" s="1" t="n">
        <f aca="false">1/B5002</f>
        <v>0.00319335781574325</v>
      </c>
      <c r="D5002" s="1" t="n">
        <v>0.405</v>
      </c>
      <c r="E5002" s="1" t="n">
        <f aca="false">LN(D5002)</f>
        <v>-0.903868211875598</v>
      </c>
    </row>
    <row r="5003" customFormat="false" ht="15.75" hidden="false" customHeight="false" outlineLevel="0" collapsed="false">
      <c r="A5003" s="1" t="s">
        <v>988</v>
      </c>
      <c r="B5003" s="1" t="n">
        <v>318.15</v>
      </c>
      <c r="C5003" s="1" t="n">
        <f aca="false">1/B5003</f>
        <v>0.00314317146000314</v>
      </c>
      <c r="D5003" s="1" t="n">
        <v>0.384</v>
      </c>
      <c r="E5003" s="1" t="n">
        <f aca="false">LN(D5003)</f>
        <v>-0.95711272639441</v>
      </c>
    </row>
    <row r="5004" customFormat="false" ht="15.75" hidden="false" customHeight="false" outlineLevel="0" collapsed="false">
      <c r="A5004" s="1" t="s">
        <v>988</v>
      </c>
      <c r="B5004" s="1" t="n">
        <v>323.15</v>
      </c>
      <c r="C5004" s="1" t="n">
        <f aca="false">1/B5004</f>
        <v>0.00309453814018258</v>
      </c>
      <c r="D5004" s="1" t="n">
        <v>0.365</v>
      </c>
      <c r="E5004" s="1" t="n">
        <f aca="false">LN(D5004)</f>
        <v>-1.00785792539965</v>
      </c>
    </row>
    <row r="5005" customFormat="false" ht="15.75" hidden="false" customHeight="false" outlineLevel="0" collapsed="false">
      <c r="A5005" s="1" t="s">
        <v>988</v>
      </c>
      <c r="B5005" s="1" t="n">
        <v>273.1532</v>
      </c>
      <c r="C5005" s="1" t="n">
        <f aca="false">1/B5005</f>
        <v>0.00366094924020659</v>
      </c>
      <c r="D5005" s="1" t="n">
        <v>0.6649</v>
      </c>
      <c r="E5005" s="1" t="n">
        <f aca="false">LN(D5005)</f>
        <v>-0.408118625573728</v>
      </c>
    </row>
    <row r="5006" customFormat="false" ht="15.75" hidden="false" customHeight="false" outlineLevel="0" collapsed="false">
      <c r="A5006" s="1" t="s">
        <v>988</v>
      </c>
      <c r="B5006" s="1" t="n">
        <v>283.15</v>
      </c>
      <c r="C5006" s="1" t="n">
        <f aca="false">1/B5006</f>
        <v>0.00353169698039908</v>
      </c>
      <c r="D5006" s="1" t="n">
        <v>0.5821</v>
      </c>
      <c r="E5006" s="1" t="n">
        <f aca="false">LN(D5006)</f>
        <v>-0.541113024704447</v>
      </c>
    </row>
    <row r="5007" customFormat="false" ht="15.75" hidden="false" customHeight="false" outlineLevel="0" collapsed="false">
      <c r="A5007" s="1" t="s">
        <v>988</v>
      </c>
      <c r="B5007" s="1" t="n">
        <v>263.15</v>
      </c>
      <c r="C5007" s="1" t="n">
        <f aca="false">1/B5007</f>
        <v>0.0038001140034201</v>
      </c>
      <c r="D5007" s="1" t="n">
        <v>0.745</v>
      </c>
      <c r="E5007" s="1" t="n">
        <f aca="false">LN(D5007)</f>
        <v>-0.294371060602578</v>
      </c>
    </row>
    <row r="5008" customFormat="false" ht="15.75" hidden="false" customHeight="false" outlineLevel="0" collapsed="false">
      <c r="A5008" s="1" t="s">
        <v>988</v>
      </c>
      <c r="B5008" s="1" t="n">
        <v>303.15</v>
      </c>
      <c r="C5008" s="1" t="n">
        <f aca="false">1/B5008</f>
        <v>0.0032986970146792</v>
      </c>
      <c r="D5008" s="1" t="n">
        <v>0.452</v>
      </c>
      <c r="E5008" s="1" t="n">
        <f aca="false">LN(D5008)</f>
        <v>-0.794073099149906</v>
      </c>
    </row>
    <row r="5009" customFormat="false" ht="15.75" hidden="false" customHeight="false" outlineLevel="0" collapsed="false">
      <c r="A5009" s="1" t="s">
        <v>988</v>
      </c>
      <c r="B5009" s="1" t="n">
        <v>293.15</v>
      </c>
      <c r="C5009" s="1" t="n">
        <f aca="false">1/B5009</f>
        <v>0.00341122292341805</v>
      </c>
      <c r="D5009" s="1" t="n">
        <v>0.5128</v>
      </c>
      <c r="E5009" s="1" t="n">
        <f aca="false">LN(D5009)</f>
        <v>-0.667869373375677</v>
      </c>
    </row>
    <row r="5010" customFormat="false" ht="15.75" hidden="false" customHeight="false" outlineLevel="0" collapsed="false">
      <c r="A5010" s="1" t="s">
        <v>988</v>
      </c>
      <c r="B5010" s="1" t="n">
        <v>268.15</v>
      </c>
      <c r="C5010" s="1" t="n">
        <f aca="false">1/B5010</f>
        <v>0.00372925601342532</v>
      </c>
      <c r="D5010" s="1" t="n">
        <v>0.695</v>
      </c>
      <c r="E5010" s="1" t="n">
        <f aca="false">LN(D5010)</f>
        <v>-0.363843433417345</v>
      </c>
    </row>
    <row r="5011" customFormat="false" ht="15.75" hidden="false" customHeight="false" outlineLevel="0" collapsed="false">
      <c r="A5011" s="1" t="s">
        <v>988</v>
      </c>
      <c r="B5011" s="1" t="n">
        <v>308.15</v>
      </c>
      <c r="C5011" s="1" t="n">
        <f aca="false">1/B5011</f>
        <v>0.00324517280545189</v>
      </c>
      <c r="D5011" s="1" t="n">
        <v>0.427</v>
      </c>
      <c r="E5011" s="1" t="n">
        <f aca="false">LN(D5011)</f>
        <v>-0.850971265753513</v>
      </c>
    </row>
    <row r="5012" customFormat="false" ht="15.75" hidden="false" customHeight="false" outlineLevel="0" collapsed="false">
      <c r="A5012" s="1" t="s">
        <v>988</v>
      </c>
      <c r="B5012" s="1" t="n">
        <v>303.15</v>
      </c>
      <c r="C5012" s="1" t="n">
        <f aca="false">1/B5012</f>
        <v>0.0032986970146792</v>
      </c>
      <c r="D5012" s="1" t="n">
        <v>0.456</v>
      </c>
      <c r="E5012" s="1" t="n">
        <f aca="false">LN(D5012)</f>
        <v>-0.785262469467751</v>
      </c>
    </row>
    <row r="5013" customFormat="false" ht="15.75" hidden="false" customHeight="false" outlineLevel="0" collapsed="false">
      <c r="A5013" s="1" t="s">
        <v>990</v>
      </c>
      <c r="B5013" s="1" t="n">
        <v>240.758</v>
      </c>
      <c r="C5013" s="1" t="n">
        <f aca="false">1/B5013</f>
        <v>0.00415354837637794</v>
      </c>
      <c r="D5013" s="1" t="n">
        <v>0.801</v>
      </c>
      <c r="E5013" s="1" t="n">
        <f aca="false">LN(D5013)</f>
        <v>-0.221894331913778</v>
      </c>
    </row>
    <row r="5014" customFormat="false" ht="15.75" hidden="false" customHeight="false" outlineLevel="0" collapsed="false">
      <c r="A5014" s="1" t="s">
        <v>990</v>
      </c>
      <c r="B5014" s="1" t="n">
        <v>248.45</v>
      </c>
      <c r="C5014" s="1" t="n">
        <f aca="false">1/B5014</f>
        <v>0.00402495471925941</v>
      </c>
      <c r="D5014" s="1" t="n">
        <v>0.72</v>
      </c>
      <c r="E5014" s="1" t="n">
        <f aca="false">LN(D5014)</f>
        <v>-0.328504066972036</v>
      </c>
    </row>
    <row r="5015" customFormat="false" ht="15.75" hidden="false" customHeight="false" outlineLevel="0" collapsed="false">
      <c r="A5015" s="1" t="s">
        <v>990</v>
      </c>
      <c r="B5015" s="1" t="n">
        <v>260.95</v>
      </c>
      <c r="C5015" s="1" t="n">
        <f aca="false">1/B5015</f>
        <v>0.00383215175320943</v>
      </c>
      <c r="D5015" s="1" t="n">
        <v>0.603</v>
      </c>
      <c r="E5015" s="1" t="n">
        <f aca="false">LN(D5015)</f>
        <v>-0.505838082254952</v>
      </c>
    </row>
    <row r="5016" customFormat="false" ht="15.75" hidden="false" customHeight="false" outlineLevel="0" collapsed="false">
      <c r="A5016" s="1" t="s">
        <v>990</v>
      </c>
      <c r="B5016" s="1" t="n">
        <v>271.45</v>
      </c>
      <c r="C5016" s="1" t="n">
        <f aca="false">1/B5016</f>
        <v>0.00368391969055075</v>
      </c>
      <c r="D5016" s="1" t="n">
        <v>0.547</v>
      </c>
      <c r="E5016" s="1" t="n">
        <f aca="false">LN(D5016)</f>
        <v>-0.603306476560156</v>
      </c>
    </row>
    <row r="5017" customFormat="false" ht="15.75" hidden="false" customHeight="false" outlineLevel="0" collapsed="false">
      <c r="A5017" s="1" t="s">
        <v>990</v>
      </c>
      <c r="B5017" s="1" t="n">
        <v>283.05</v>
      </c>
      <c r="C5017" s="1" t="n">
        <f aca="false">1/B5017</f>
        <v>0.0035329447094153</v>
      </c>
      <c r="D5017" s="1" t="n">
        <v>0.471</v>
      </c>
      <c r="E5017" s="1" t="n">
        <f aca="false">LN(D5017)</f>
        <v>-0.752897184965719</v>
      </c>
    </row>
    <row r="5018" customFormat="false" ht="15.75" hidden="false" customHeight="false" outlineLevel="0" collapsed="false">
      <c r="A5018" s="1" t="s">
        <v>990</v>
      </c>
      <c r="B5018" s="1" t="n">
        <v>299.15</v>
      </c>
      <c r="C5018" s="1" t="n">
        <f aca="false">1/B5018</f>
        <v>0.00334280461307037</v>
      </c>
      <c r="D5018" s="1" t="n">
        <v>0.401</v>
      </c>
      <c r="E5018" s="1" t="n">
        <f aca="false">LN(D5018)</f>
        <v>-0.913793851675568</v>
      </c>
    </row>
    <row r="5019" customFormat="false" ht="15.75" hidden="false" customHeight="false" outlineLevel="0" collapsed="false">
      <c r="A5019" s="1" t="s">
        <v>990</v>
      </c>
      <c r="B5019" s="1" t="n">
        <v>308.15141</v>
      </c>
      <c r="C5019" s="1" t="n">
        <f aca="false">1/B5019</f>
        <v>0.00324515795660322</v>
      </c>
      <c r="D5019" s="1" t="n">
        <v>0.3657</v>
      </c>
      <c r="E5019" s="1" t="n">
        <f aca="false">LN(D5019)</f>
        <v>-1.0059419538268</v>
      </c>
    </row>
    <row r="5020" customFormat="false" ht="15.75" hidden="false" customHeight="false" outlineLevel="0" collapsed="false">
      <c r="A5020" s="1" t="s">
        <v>990</v>
      </c>
      <c r="B5020" s="1" t="n">
        <v>288.154</v>
      </c>
      <c r="C5020" s="1" t="n">
        <f aca="false">1/B5020</f>
        <v>0.00347036654011397</v>
      </c>
      <c r="D5020" s="1" t="n">
        <v>0.423</v>
      </c>
      <c r="E5020" s="1" t="n">
        <f aca="false">LN(D5020)</f>
        <v>-0.860383099935859</v>
      </c>
    </row>
    <row r="5021" customFormat="false" ht="15.75" hidden="false" customHeight="false" outlineLevel="0" collapsed="false">
      <c r="A5021" s="1" t="s">
        <v>990</v>
      </c>
      <c r="B5021" s="1" t="n">
        <v>303.15</v>
      </c>
      <c r="C5021" s="1" t="n">
        <f aca="false">1/B5021</f>
        <v>0.0032986970146792</v>
      </c>
      <c r="D5021" s="1" t="n">
        <v>0.365</v>
      </c>
      <c r="E5021" s="1" t="n">
        <f aca="false">LN(D5021)</f>
        <v>-1.00785792539965</v>
      </c>
    </row>
    <row r="5022" customFormat="false" ht="15.75" hidden="false" customHeight="false" outlineLevel="0" collapsed="false">
      <c r="A5022" s="1" t="s">
        <v>990</v>
      </c>
      <c r="B5022" s="1" t="n">
        <v>273.474</v>
      </c>
      <c r="C5022" s="1" t="n">
        <f aca="false">1/B5022</f>
        <v>0.0036566547459722</v>
      </c>
      <c r="D5022" s="1" t="n">
        <v>0.5361</v>
      </c>
      <c r="E5022" s="1" t="n">
        <f aca="false">LN(D5022)</f>
        <v>-0.623434568148645</v>
      </c>
    </row>
    <row r="5023" customFormat="false" ht="15.75" hidden="false" customHeight="false" outlineLevel="0" collapsed="false">
      <c r="A5023" s="1" t="s">
        <v>990</v>
      </c>
      <c r="B5023" s="1" t="n">
        <v>280.19</v>
      </c>
      <c r="C5023" s="1" t="n">
        <f aca="false">1/B5023</f>
        <v>0.00356900674542275</v>
      </c>
      <c r="D5023" s="1" t="n">
        <v>0.4923</v>
      </c>
      <c r="E5023" s="1" t="n">
        <f aca="false">LN(D5023)</f>
        <v>-0.708666992217982</v>
      </c>
    </row>
    <row r="5024" customFormat="false" ht="15.75" hidden="false" customHeight="false" outlineLevel="0" collapsed="false">
      <c r="A5024" s="1" t="s">
        <v>990</v>
      </c>
      <c r="B5024" s="1" t="n">
        <v>287.25</v>
      </c>
      <c r="C5024" s="1" t="n">
        <f aca="false">1/B5024</f>
        <v>0.00348128807658834</v>
      </c>
      <c r="D5024" s="1" t="n">
        <v>0.4522</v>
      </c>
      <c r="E5024" s="1" t="n">
        <f aca="false">LN(D5024)</f>
        <v>-0.793630719138268</v>
      </c>
    </row>
    <row r="5025" customFormat="false" ht="15.75" hidden="false" customHeight="false" outlineLevel="0" collapsed="false">
      <c r="A5025" s="1" t="s">
        <v>990</v>
      </c>
      <c r="B5025" s="1" t="n">
        <v>294.46</v>
      </c>
      <c r="C5025" s="1" t="n">
        <f aca="false">1/B5025</f>
        <v>0.0033960470012905</v>
      </c>
      <c r="D5025" s="1" t="n">
        <v>0.417</v>
      </c>
      <c r="E5025" s="1" t="n">
        <f aca="false">LN(D5025)</f>
        <v>-0.874669057183336</v>
      </c>
    </row>
    <row r="5026" customFormat="false" ht="15.75" hidden="false" customHeight="false" outlineLevel="0" collapsed="false">
      <c r="A5026" s="1" t="s">
        <v>990</v>
      </c>
      <c r="B5026" s="1" t="n">
        <v>301.51</v>
      </c>
      <c r="C5026" s="1" t="n">
        <f aca="false">1/B5026</f>
        <v>0.00331663958077676</v>
      </c>
      <c r="D5026" s="1" t="n">
        <v>0.3861</v>
      </c>
      <c r="E5026" s="1" t="n">
        <f aca="false">LN(D5026)</f>
        <v>-0.951658875711946</v>
      </c>
    </row>
    <row r="5027" customFormat="false" ht="15.75" hidden="false" customHeight="false" outlineLevel="0" collapsed="false">
      <c r="A5027" s="1" t="s">
        <v>990</v>
      </c>
      <c r="B5027" s="1" t="n">
        <v>308.57</v>
      </c>
      <c r="C5027" s="1" t="n">
        <f aca="false">1/B5027</f>
        <v>0.00324075574423956</v>
      </c>
      <c r="D5027" s="1" t="n">
        <v>0.3586</v>
      </c>
      <c r="E5027" s="1" t="n">
        <f aca="false">LN(D5027)</f>
        <v>-1.0255477178111</v>
      </c>
    </row>
    <row r="5028" customFormat="false" ht="15.75" hidden="false" customHeight="false" outlineLevel="0" collapsed="false">
      <c r="A5028" s="1" t="s">
        <v>990</v>
      </c>
      <c r="B5028" s="1" t="n">
        <v>315.64</v>
      </c>
      <c r="C5028" s="1" t="n">
        <f aca="false">1/B5028</f>
        <v>0.00316816626536561</v>
      </c>
      <c r="D5028" s="1" t="n">
        <v>0.3342</v>
      </c>
      <c r="E5028" s="1" t="n">
        <f aca="false">LN(D5028)</f>
        <v>-1.09601566282084</v>
      </c>
    </row>
    <row r="5029" customFormat="false" ht="15.75" hidden="false" customHeight="false" outlineLevel="0" collapsed="false">
      <c r="A5029" s="1" t="s">
        <v>990</v>
      </c>
      <c r="B5029" s="1" t="n">
        <v>321.87</v>
      </c>
      <c r="C5029" s="1" t="n">
        <f aca="false">1/B5029</f>
        <v>0.0031068443781651</v>
      </c>
      <c r="D5029" s="1" t="n">
        <v>0.3149</v>
      </c>
      <c r="E5029" s="1" t="n">
        <f aca="false">LN(D5029)</f>
        <v>-1.15550015087516</v>
      </c>
    </row>
    <row r="5030" customFormat="false" ht="15.75" hidden="false" customHeight="false" outlineLevel="0" collapsed="false">
      <c r="A5030" s="1" t="s">
        <v>990</v>
      </c>
      <c r="B5030" s="1" t="n">
        <v>329.07</v>
      </c>
      <c r="C5030" s="1" t="n">
        <f aca="false">1/B5030</f>
        <v>0.00303886711034126</v>
      </c>
      <c r="D5030" s="1" t="n">
        <v>0.2944</v>
      </c>
      <c r="E5030" s="1" t="n">
        <f aca="false">LN(D5030)</f>
        <v>-1.22281589212742</v>
      </c>
    </row>
    <row r="5031" customFormat="false" ht="15.75" hidden="false" customHeight="false" outlineLevel="0" collapsed="false">
      <c r="A5031" s="1" t="s">
        <v>990</v>
      </c>
      <c r="B5031" s="1" t="n">
        <v>336.89</v>
      </c>
      <c r="C5031" s="1" t="n">
        <f aca="false">1/B5031</f>
        <v>0.00296832794087091</v>
      </c>
      <c r="D5031" s="1" t="n">
        <v>0.275</v>
      </c>
      <c r="E5031" s="1" t="n">
        <f aca="false">LN(D5031)</f>
        <v>-1.29098418131557</v>
      </c>
    </row>
    <row r="5032" customFormat="false" ht="15.75" hidden="false" customHeight="false" outlineLevel="0" collapsed="false">
      <c r="A5032" s="1" t="s">
        <v>990</v>
      </c>
      <c r="B5032" s="1" t="n">
        <v>343.41</v>
      </c>
      <c r="C5032" s="1" t="n">
        <f aca="false">1/B5032</f>
        <v>0.00291197111324656</v>
      </c>
      <c r="D5032" s="1" t="n">
        <v>0.2595</v>
      </c>
      <c r="E5032" s="1" t="n">
        <f aca="false">LN(D5032)</f>
        <v>-1.34899857637619</v>
      </c>
    </row>
    <row r="5033" customFormat="false" ht="15.75" hidden="false" customHeight="false" outlineLevel="0" collapsed="false">
      <c r="A5033" s="1" t="s">
        <v>990</v>
      </c>
      <c r="B5033" s="1" t="n">
        <v>349.4</v>
      </c>
      <c r="C5033" s="1" t="n">
        <f aca="false">1/B5033</f>
        <v>0.00286204922724671</v>
      </c>
      <c r="D5033" s="1" t="n">
        <v>0.2465</v>
      </c>
      <c r="E5033" s="1" t="n">
        <f aca="false">LN(D5033)</f>
        <v>-1.40039328549939</v>
      </c>
    </row>
    <row r="5034" customFormat="false" ht="15.75" hidden="false" customHeight="false" outlineLevel="0" collapsed="false">
      <c r="A5034" s="1" t="s">
        <v>992</v>
      </c>
      <c r="B5034" s="1" t="n">
        <v>273.7328</v>
      </c>
      <c r="C5034" s="1" t="n">
        <f aca="false">1/B5034</f>
        <v>0.00365319757076974</v>
      </c>
      <c r="D5034" s="1" t="n">
        <v>0.4263</v>
      </c>
      <c r="E5034" s="1" t="n">
        <f aca="false">LN(D5034)</f>
        <v>-0.852611955210972</v>
      </c>
    </row>
    <row r="5035" customFormat="false" ht="15.75" hidden="false" customHeight="false" outlineLevel="0" collapsed="false">
      <c r="A5035" s="1" t="s">
        <v>992</v>
      </c>
      <c r="B5035" s="1" t="n">
        <v>279.54</v>
      </c>
      <c r="C5035" s="1" t="n">
        <f aca="false">1/B5035</f>
        <v>0.00357730557344208</v>
      </c>
      <c r="D5035" s="1" t="n">
        <v>0.3999</v>
      </c>
      <c r="E5035" s="1" t="n">
        <f aca="false">LN(D5035)</f>
        <v>-0.916540763129364</v>
      </c>
    </row>
    <row r="5036" customFormat="false" ht="15.75" hidden="false" customHeight="false" outlineLevel="0" collapsed="false">
      <c r="A5036" s="1" t="s">
        <v>992</v>
      </c>
      <c r="B5036" s="1" t="n">
        <v>284.03</v>
      </c>
      <c r="C5036" s="1" t="n">
        <f aca="false">1/B5036</f>
        <v>0.00352075484983981</v>
      </c>
      <c r="D5036" s="1" t="n">
        <v>0.381</v>
      </c>
      <c r="E5036" s="1" t="n">
        <f aca="false">LN(D5036)</f>
        <v>-0.964955903855436</v>
      </c>
    </row>
    <row r="5037" customFormat="false" ht="15.75" hidden="false" customHeight="false" outlineLevel="0" collapsed="false">
      <c r="A5037" s="1" t="s">
        <v>992</v>
      </c>
      <c r="B5037" s="1" t="n">
        <v>288.79</v>
      </c>
      <c r="C5037" s="1" t="n">
        <f aca="false">1/B5037</f>
        <v>0.00346272377852419</v>
      </c>
      <c r="D5037" s="1" t="n">
        <v>0.3626</v>
      </c>
      <c r="E5037" s="1" t="n">
        <f aca="false">LN(D5037)</f>
        <v>-1.01445498066139</v>
      </c>
    </row>
    <row r="5038" customFormat="false" ht="15.75" hidden="false" customHeight="false" outlineLevel="0" collapsed="false">
      <c r="A5038" s="1" t="s">
        <v>992</v>
      </c>
      <c r="B5038" s="1" t="n">
        <v>293.3</v>
      </c>
      <c r="C5038" s="1" t="n">
        <f aca="false">1/B5038</f>
        <v>0.00340947834981248</v>
      </c>
      <c r="D5038" s="1" t="n">
        <v>0.3467</v>
      </c>
      <c r="E5038" s="1" t="n">
        <f aca="false">LN(D5038)</f>
        <v>-1.05929542629116</v>
      </c>
    </row>
    <row r="5039" customFormat="false" ht="15.75" hidden="false" customHeight="false" outlineLevel="0" collapsed="false">
      <c r="A5039" s="1" t="s">
        <v>992</v>
      </c>
      <c r="B5039" s="1" t="n">
        <v>298.67</v>
      </c>
      <c r="C5039" s="1" t="n">
        <f aca="false">1/B5039</f>
        <v>0.00334817691766833</v>
      </c>
      <c r="D5039" s="1" t="n">
        <v>0.3298</v>
      </c>
      <c r="E5039" s="1" t="n">
        <f aca="false">LN(D5039)</f>
        <v>-1.10926886885664</v>
      </c>
    </row>
    <row r="5040" customFormat="false" ht="15.75" hidden="false" customHeight="false" outlineLevel="0" collapsed="false">
      <c r="A5040" s="1" t="s">
        <v>992</v>
      </c>
      <c r="B5040" s="1" t="n">
        <v>302.41</v>
      </c>
      <c r="C5040" s="1" t="n">
        <f aca="false">1/B5040</f>
        <v>0.00330676895605304</v>
      </c>
      <c r="D5040" s="1" t="n">
        <v>0.319</v>
      </c>
      <c r="E5040" s="1" t="n">
        <f aca="false">LN(D5040)</f>
        <v>-1.14256417619729</v>
      </c>
    </row>
    <row r="5041" customFormat="false" ht="15.75" hidden="false" customHeight="false" outlineLevel="0" collapsed="false">
      <c r="A5041" s="1" t="s">
        <v>992</v>
      </c>
      <c r="B5041" s="1" t="n">
        <v>288.1522</v>
      </c>
      <c r="C5041" s="1" t="n">
        <f aca="false">1/B5041</f>
        <v>0.00347038821844844</v>
      </c>
      <c r="D5041" s="1" t="n">
        <v>0.36</v>
      </c>
      <c r="E5041" s="1" t="n">
        <f aca="false">LN(D5041)</f>
        <v>-1.02165124753198</v>
      </c>
    </row>
    <row r="5042" customFormat="false" ht="15.75" hidden="false" customHeight="false" outlineLevel="0" collapsed="false">
      <c r="A5042" s="1" t="s">
        <v>992</v>
      </c>
      <c r="B5042" s="1" t="n">
        <v>298.15</v>
      </c>
      <c r="C5042" s="1" t="n">
        <f aca="false">1/B5042</f>
        <v>0.00335401643468053</v>
      </c>
      <c r="D5042" s="1" t="n">
        <v>0.328</v>
      </c>
      <c r="E5042" s="1" t="n">
        <f aca="false">LN(D5042)</f>
        <v>-1.11474167059799</v>
      </c>
    </row>
    <row r="5043" customFormat="false" ht="15.75" hidden="false" customHeight="false" outlineLevel="0" collapsed="false">
      <c r="A5043" s="1" t="s">
        <v>994</v>
      </c>
      <c r="B5043" s="1" t="n">
        <v>273.44</v>
      </c>
      <c r="C5043" s="1" t="n">
        <f aca="false">1/B5043</f>
        <v>0.00365710942071387</v>
      </c>
      <c r="D5043" s="1" t="n">
        <v>0.6689</v>
      </c>
      <c r="E5043" s="1" t="n">
        <f aca="false">LN(D5043)</f>
        <v>-0.402120706857775</v>
      </c>
    </row>
    <row r="5044" customFormat="false" ht="15.75" hidden="false" customHeight="false" outlineLevel="0" collapsed="false">
      <c r="A5044" s="1" t="s">
        <v>994</v>
      </c>
      <c r="B5044" s="1" t="n">
        <v>282.55</v>
      </c>
      <c r="C5044" s="1" t="n">
        <f aca="false">1/B5044</f>
        <v>0.00353919660237126</v>
      </c>
      <c r="D5044" s="1" t="n">
        <v>0.5916</v>
      </c>
      <c r="E5044" s="1" t="n">
        <f aca="false">LN(D5044)</f>
        <v>-0.524924548145492</v>
      </c>
    </row>
    <row r="5045" customFormat="false" ht="15.75" hidden="false" customHeight="false" outlineLevel="0" collapsed="false">
      <c r="A5045" s="1" t="s">
        <v>994</v>
      </c>
      <c r="B5045" s="1" t="n">
        <v>291.27</v>
      </c>
      <c r="C5045" s="1" t="n">
        <f aca="false">1/B5045</f>
        <v>0.00343324063583617</v>
      </c>
      <c r="D5045" s="1" t="n">
        <v>0.5299</v>
      </c>
      <c r="E5045" s="1" t="n">
        <f aca="false">LN(D5045)</f>
        <v>-0.635066969483421</v>
      </c>
    </row>
    <row r="5046" customFormat="false" ht="15.75" hidden="false" customHeight="false" outlineLevel="0" collapsed="false">
      <c r="A5046" s="1" t="s">
        <v>994</v>
      </c>
      <c r="B5046" s="1" t="n">
        <v>302.13</v>
      </c>
      <c r="C5046" s="1" t="n">
        <f aca="false">1/B5046</f>
        <v>0.00330983351537418</v>
      </c>
      <c r="D5046" s="1" t="n">
        <v>0.466</v>
      </c>
      <c r="E5046" s="1" t="n">
        <f aca="false">LN(D5046)</f>
        <v>-0.763569644856491</v>
      </c>
    </row>
    <row r="5047" customFormat="false" ht="15.75" hidden="false" customHeight="false" outlineLevel="0" collapsed="false">
      <c r="A5047" s="1" t="s">
        <v>994</v>
      </c>
      <c r="B5047" s="1" t="n">
        <v>308.96</v>
      </c>
      <c r="C5047" s="1" t="n">
        <f aca="false">1/B5047</f>
        <v>0.00323666494044537</v>
      </c>
      <c r="D5047" s="1" t="n">
        <v>0.4317</v>
      </c>
      <c r="E5047" s="1" t="n">
        <f aca="false">LN(D5047)</f>
        <v>-0.840024376420705</v>
      </c>
    </row>
    <row r="5048" customFormat="false" ht="15.75" hidden="false" customHeight="false" outlineLevel="0" collapsed="false">
      <c r="A5048" s="1" t="s">
        <v>994</v>
      </c>
      <c r="B5048" s="1" t="n">
        <v>317.82</v>
      </c>
      <c r="C5048" s="1" t="n">
        <f aca="false">1/B5048</f>
        <v>0.00314643508904411</v>
      </c>
      <c r="D5048" s="1" t="n">
        <v>0.3933</v>
      </c>
      <c r="E5048" s="1" t="n">
        <f aca="false">LN(D5048)</f>
        <v>-0.933182599544373</v>
      </c>
    </row>
    <row r="5049" customFormat="false" ht="15.75" hidden="false" customHeight="false" outlineLevel="0" collapsed="false">
      <c r="A5049" s="1" t="s">
        <v>994</v>
      </c>
      <c r="B5049" s="1" t="n">
        <v>325.7</v>
      </c>
      <c r="C5049" s="1" t="n">
        <f aca="false">1/B5049</f>
        <v>0.00307031010132023</v>
      </c>
      <c r="D5049" s="1" t="n">
        <v>0.3631</v>
      </c>
      <c r="E5049" s="1" t="n">
        <f aca="false">LN(D5049)</f>
        <v>-1.01307700056185</v>
      </c>
    </row>
    <row r="5050" customFormat="false" ht="15.75" hidden="false" customHeight="false" outlineLevel="0" collapsed="false">
      <c r="A5050" s="1" t="s">
        <v>994</v>
      </c>
      <c r="B5050" s="1" t="n">
        <v>335.88</v>
      </c>
      <c r="C5050" s="1" t="n">
        <f aca="false">1/B5050</f>
        <v>0.0029772537811123</v>
      </c>
      <c r="D5050" s="1" t="n">
        <v>0.3289</v>
      </c>
      <c r="E5050" s="1" t="n">
        <f aca="false">LN(D5050)</f>
        <v>-1.11200152578713</v>
      </c>
    </row>
    <row r="5051" customFormat="false" ht="15.75" hidden="false" customHeight="false" outlineLevel="0" collapsed="false">
      <c r="A5051" s="1" t="s">
        <v>994</v>
      </c>
      <c r="B5051" s="1" t="n">
        <v>349.37</v>
      </c>
      <c r="C5051" s="1" t="n">
        <f aca="false">1/B5051</f>
        <v>0.00286229498812148</v>
      </c>
      <c r="D5051" s="1" t="n">
        <v>0.3037</v>
      </c>
      <c r="E5051" s="1" t="n">
        <f aca="false">LN(D5051)</f>
        <v>-1.19171490693043</v>
      </c>
    </row>
    <row r="5052" customFormat="false" ht="15.75" hidden="false" customHeight="false" outlineLevel="0" collapsed="false">
      <c r="A5052" s="1" t="s">
        <v>994</v>
      </c>
      <c r="B5052" s="1" t="n">
        <v>352.92</v>
      </c>
      <c r="C5052" s="1" t="n">
        <f aca="false">1/B5052</f>
        <v>0.00283350334353395</v>
      </c>
      <c r="D5052" s="1" t="n">
        <v>0.2813</v>
      </c>
      <c r="E5052" s="1" t="n">
        <f aca="false">LN(D5052)</f>
        <v>-1.26833356348633</v>
      </c>
    </row>
    <row r="5053" customFormat="false" ht="15.75" hidden="false" customHeight="false" outlineLevel="0" collapsed="false">
      <c r="A5053" s="1" t="s">
        <v>994</v>
      </c>
      <c r="B5053" s="1" t="n">
        <v>362</v>
      </c>
      <c r="C5053" s="1" t="n">
        <f aca="false">1/B5053</f>
        <v>0.00276243093922652</v>
      </c>
      <c r="D5053" s="1" t="n">
        <v>0.2589</v>
      </c>
      <c r="E5053" s="1" t="n">
        <f aca="false">LN(D5053)</f>
        <v>-1.35131339222465</v>
      </c>
    </row>
    <row r="5054" customFormat="false" ht="15.75" hidden="false" customHeight="false" outlineLevel="0" collapsed="false">
      <c r="A5054" s="1" t="s">
        <v>996</v>
      </c>
      <c r="B5054" s="1" t="n">
        <v>273.5328</v>
      </c>
      <c r="C5054" s="1" t="n">
        <f aca="false">1/B5054</f>
        <v>0.00365586869289533</v>
      </c>
      <c r="D5054" s="1" t="n">
        <v>0.5788</v>
      </c>
      <c r="E5054" s="1" t="n">
        <f aca="false">LN(D5054)</f>
        <v>-0.546798284224808</v>
      </c>
    </row>
    <row r="5055" customFormat="false" ht="15.75" hidden="false" customHeight="false" outlineLevel="0" collapsed="false">
      <c r="A5055" s="1" t="s">
        <v>996</v>
      </c>
      <c r="B5055" s="1" t="n">
        <v>282.88</v>
      </c>
      <c r="C5055" s="1" t="n">
        <f aca="false">1/B5055</f>
        <v>0.00353506787330317</v>
      </c>
      <c r="D5055" s="1" t="n">
        <v>0.5142</v>
      </c>
      <c r="E5055" s="1" t="n">
        <f aca="false">LN(D5055)</f>
        <v>-0.665142984150348</v>
      </c>
    </row>
    <row r="5056" customFormat="false" ht="15.75" hidden="false" customHeight="false" outlineLevel="0" collapsed="false">
      <c r="A5056" s="1" t="s">
        <v>996</v>
      </c>
      <c r="B5056" s="1" t="n">
        <v>289.94</v>
      </c>
      <c r="C5056" s="1" t="n">
        <f aca="false">1/B5056</f>
        <v>0.00344898944609229</v>
      </c>
      <c r="D5056" s="1" t="n">
        <v>0.4725</v>
      </c>
      <c r="E5056" s="1" t="n">
        <f aca="false">LN(D5056)</f>
        <v>-0.74971753204834</v>
      </c>
    </row>
    <row r="5057" customFormat="false" ht="15.75" hidden="false" customHeight="false" outlineLevel="0" collapsed="false">
      <c r="A5057" s="1" t="s">
        <v>996</v>
      </c>
      <c r="B5057" s="1" t="n">
        <v>296.6</v>
      </c>
      <c r="C5057" s="1" t="n">
        <f aca="false">1/B5057</f>
        <v>0.00337154416722859</v>
      </c>
      <c r="D5057" s="1" t="n">
        <v>0.4368</v>
      </c>
      <c r="E5057" s="1" t="n">
        <f aca="false">LN(D5057)</f>
        <v>-0.828279854551442</v>
      </c>
    </row>
    <row r="5058" customFormat="false" ht="15.75" hidden="false" customHeight="false" outlineLevel="0" collapsed="false">
      <c r="A5058" s="1" t="s">
        <v>996</v>
      </c>
      <c r="B5058" s="1" t="n">
        <v>311.81</v>
      </c>
      <c r="C5058" s="1" t="n">
        <f aca="false">1/B5058</f>
        <v>0.00320708123536769</v>
      </c>
      <c r="D5058" s="1" t="n">
        <v>0.3746</v>
      </c>
      <c r="E5058" s="1" t="n">
        <f aca="false">LN(D5058)</f>
        <v>-0.981896488972149</v>
      </c>
    </row>
    <row r="5059" customFormat="false" ht="15.75" hidden="false" customHeight="false" outlineLevel="0" collapsed="false">
      <c r="A5059" s="1" t="s">
        <v>996</v>
      </c>
      <c r="B5059" s="1" t="n">
        <v>318.74</v>
      </c>
      <c r="C5059" s="1" t="n">
        <f aca="false">1/B5059</f>
        <v>0.00313735332873188</v>
      </c>
      <c r="D5059" s="1" t="n">
        <v>0.3477</v>
      </c>
      <c r="E5059" s="1" t="n">
        <f aca="false">LN(D5059)</f>
        <v>-1.05641523996832</v>
      </c>
    </row>
    <row r="5060" customFormat="false" ht="15.75" hidden="false" customHeight="false" outlineLevel="0" collapsed="false">
      <c r="A5060" s="1" t="s">
        <v>996</v>
      </c>
      <c r="B5060" s="1" t="n">
        <v>325.81</v>
      </c>
      <c r="C5060" s="1" t="n">
        <f aca="false">1/B5060</f>
        <v>0.00306927350296185</v>
      </c>
      <c r="D5060" s="1" t="n">
        <v>0.3255</v>
      </c>
      <c r="E5060" s="1" t="n">
        <f aca="false">LN(D5060)</f>
        <v>-1.12239281733351</v>
      </c>
    </row>
    <row r="5061" customFormat="false" ht="15.75" hidden="false" customHeight="false" outlineLevel="0" collapsed="false">
      <c r="A5061" s="1" t="s">
        <v>996</v>
      </c>
      <c r="B5061" s="1" t="n">
        <v>333.53</v>
      </c>
      <c r="C5061" s="1" t="n">
        <f aca="false">1/B5061</f>
        <v>0.00299823104368423</v>
      </c>
      <c r="D5061" s="1" t="n">
        <v>0.3028</v>
      </c>
      <c r="E5061" s="1" t="n">
        <f aca="false">LN(D5061)</f>
        <v>-1.19468275741884</v>
      </c>
    </row>
    <row r="5062" customFormat="false" ht="15.75" hidden="false" customHeight="false" outlineLevel="0" collapsed="false">
      <c r="A5062" s="1" t="s">
        <v>996</v>
      </c>
      <c r="B5062" s="1" t="n">
        <v>341.62</v>
      </c>
      <c r="C5062" s="1" t="n">
        <f aca="false">1/B5062</f>
        <v>0.00292722908494819</v>
      </c>
      <c r="D5062" s="1" t="n">
        <v>0.2811</v>
      </c>
      <c r="E5062" s="1" t="n">
        <f aca="false">LN(D5062)</f>
        <v>-1.26904480106965</v>
      </c>
    </row>
    <row r="5063" customFormat="false" ht="15.75" hidden="false" customHeight="false" outlineLevel="0" collapsed="false">
      <c r="A5063" s="1" t="s">
        <v>996</v>
      </c>
      <c r="B5063" s="1" t="n">
        <v>349</v>
      </c>
      <c r="C5063" s="1" t="n">
        <f aca="false">1/B5063</f>
        <v>0.00286532951289398</v>
      </c>
      <c r="D5063" s="1" t="n">
        <v>0.2637</v>
      </c>
      <c r="E5063" s="1" t="n">
        <f aca="false">LN(D5063)</f>
        <v>-1.3329431856229</v>
      </c>
    </row>
    <row r="5064" customFormat="false" ht="15.75" hidden="false" customHeight="false" outlineLevel="0" collapsed="false">
      <c r="A5064" s="1" t="s">
        <v>996</v>
      </c>
      <c r="B5064" s="1" t="n">
        <v>308.15192</v>
      </c>
      <c r="C5064" s="1" t="n">
        <f aca="false">1/B5064</f>
        <v>0.00324515258577652</v>
      </c>
      <c r="D5064" s="1" t="n">
        <v>0.437</v>
      </c>
      <c r="E5064" s="1" t="n">
        <f aca="false">LN(D5064)</f>
        <v>-0.827822083886547</v>
      </c>
    </row>
    <row r="5065" customFormat="false" ht="15.75" hidden="false" customHeight="false" outlineLevel="0" collapsed="false">
      <c r="A5065" s="1" t="s">
        <v>996</v>
      </c>
      <c r="B5065" s="1" t="n">
        <v>318.15</v>
      </c>
      <c r="C5065" s="1" t="n">
        <f aca="false">1/B5065</f>
        <v>0.00314317146000314</v>
      </c>
      <c r="D5065" s="1" t="n">
        <v>0.416</v>
      </c>
      <c r="E5065" s="1" t="n">
        <f aca="false">LN(D5065)</f>
        <v>-0.877070018720874</v>
      </c>
    </row>
    <row r="5066" customFormat="false" ht="15.75" hidden="false" customHeight="false" outlineLevel="0" collapsed="false">
      <c r="A5066" s="1" t="s">
        <v>996</v>
      </c>
      <c r="B5066" s="1" t="n">
        <v>302.77</v>
      </c>
      <c r="C5066" s="1" t="n">
        <f aca="false">1/B5066</f>
        <v>0.00330283713710077</v>
      </c>
      <c r="D5066" s="1" t="n">
        <v>0.4098</v>
      </c>
      <c r="E5066" s="1" t="n">
        <f aca="false">LN(D5066)</f>
        <v>-0.892086043177338</v>
      </c>
    </row>
    <row r="5067" customFormat="false" ht="15.75" hidden="false" customHeight="false" outlineLevel="0" collapsed="false">
      <c r="A5067" s="1" t="s">
        <v>998</v>
      </c>
      <c r="B5067" s="1" t="n">
        <v>353.65</v>
      </c>
      <c r="C5067" s="1" t="n">
        <f aca="false">1/B5067</f>
        <v>0.00282765446062491</v>
      </c>
      <c r="D5067" s="1" t="n">
        <v>1.033</v>
      </c>
      <c r="E5067" s="1" t="n">
        <f aca="false">LN(D5067)</f>
        <v>0.0324671901375014</v>
      </c>
    </row>
    <row r="5068" customFormat="false" ht="15.75" hidden="false" customHeight="false" outlineLevel="0" collapsed="false">
      <c r="A5068" s="1" t="s">
        <v>998</v>
      </c>
      <c r="B5068" s="1" t="n">
        <v>383.05</v>
      </c>
      <c r="C5068" s="1" t="n">
        <f aca="false">1/B5068</f>
        <v>0.00261062524474612</v>
      </c>
      <c r="D5068" s="1" t="n">
        <v>0.731</v>
      </c>
      <c r="E5068" s="1" t="n">
        <f aca="false">LN(D5068)</f>
        <v>-0.313341819232359</v>
      </c>
    </row>
    <row r="5069" customFormat="false" ht="15.75" hidden="false" customHeight="false" outlineLevel="0" collapsed="false">
      <c r="A5069" s="1" t="s">
        <v>998</v>
      </c>
      <c r="B5069" s="1" t="n">
        <v>398.25</v>
      </c>
      <c r="C5069" s="1" t="n">
        <f aca="false">1/B5069</f>
        <v>0.00251098556183302</v>
      </c>
      <c r="D5069" s="1" t="n">
        <v>0.6252</v>
      </c>
      <c r="E5069" s="1" t="n">
        <f aca="false">LN(D5069)</f>
        <v>-0.469683680434816</v>
      </c>
    </row>
    <row r="5070" customFormat="false" ht="15.75" hidden="false" customHeight="false" outlineLevel="0" collapsed="false">
      <c r="A5070" s="1" t="s">
        <v>998</v>
      </c>
      <c r="B5070" s="1" t="n">
        <v>412</v>
      </c>
      <c r="C5070" s="1" t="n">
        <f aca="false">1/B5070</f>
        <v>0.00242718446601942</v>
      </c>
      <c r="D5070" s="1" t="n">
        <v>0.5531</v>
      </c>
      <c r="E5070" s="1" t="n">
        <f aca="false">LN(D5070)</f>
        <v>-0.592216461981505</v>
      </c>
    </row>
    <row r="5071" customFormat="false" ht="15.75" hidden="false" customHeight="false" outlineLevel="0" collapsed="false">
      <c r="A5071" s="1" t="s">
        <v>998</v>
      </c>
      <c r="B5071" s="1" t="n">
        <v>423.15</v>
      </c>
      <c r="C5071" s="1" t="n">
        <f aca="false">1/B5071</f>
        <v>0.00236322816967978</v>
      </c>
      <c r="D5071" s="1" t="n">
        <v>0.502</v>
      </c>
      <c r="E5071" s="1" t="n">
        <f aca="false">LN(D5071)</f>
        <v>-0.689155159290408</v>
      </c>
    </row>
    <row r="5072" customFormat="false" ht="15.75" hidden="false" customHeight="false" outlineLevel="0" collapsed="false">
      <c r="A5072" s="1" t="s">
        <v>998</v>
      </c>
      <c r="B5072" s="1" t="n">
        <v>443.05</v>
      </c>
      <c r="C5072" s="1" t="n">
        <f aca="false">1/B5072</f>
        <v>0.0022570815934996</v>
      </c>
      <c r="D5072" s="1" t="n">
        <v>0.4295</v>
      </c>
      <c r="E5072" s="1" t="n">
        <f aca="false">LN(D5072)</f>
        <v>-0.845133537557827</v>
      </c>
    </row>
    <row r="5073" customFormat="false" ht="15.75" hidden="false" customHeight="false" outlineLevel="0" collapsed="false">
      <c r="A5073" s="1" t="s">
        <v>998</v>
      </c>
      <c r="B5073" s="1" t="n">
        <v>459.85</v>
      </c>
      <c r="C5073" s="1" t="n">
        <f aca="false">1/B5073</f>
        <v>0.0021746221593998</v>
      </c>
      <c r="D5073" s="1" t="n">
        <v>0.38</v>
      </c>
      <c r="E5073" s="1" t="n">
        <f aca="false">LN(D5073)</f>
        <v>-0.967584026261706</v>
      </c>
    </row>
    <row r="5074" customFormat="false" ht="15.75" hidden="false" customHeight="false" outlineLevel="0" collapsed="false">
      <c r="A5074" s="1" t="s">
        <v>998</v>
      </c>
      <c r="B5074" s="1" t="n">
        <v>472.85</v>
      </c>
      <c r="C5074" s="1" t="n">
        <f aca="false">1/B5074</f>
        <v>0.00211483557153431</v>
      </c>
      <c r="D5074" s="1" t="n">
        <v>0.3475</v>
      </c>
      <c r="E5074" s="1" t="n">
        <f aca="false">LN(D5074)</f>
        <v>-1.05699061397729</v>
      </c>
    </row>
    <row r="5075" customFormat="false" ht="15.75" hidden="false" customHeight="false" outlineLevel="0" collapsed="false">
      <c r="A5075" s="1" t="s">
        <v>998</v>
      </c>
      <c r="B5075" s="1" t="n">
        <v>491.65</v>
      </c>
      <c r="C5075" s="1" t="n">
        <f aca="false">1/B5075</f>
        <v>0.00203396725312722</v>
      </c>
      <c r="D5075" s="1" t="n">
        <v>0.2991</v>
      </c>
      <c r="E5075" s="1" t="n">
        <f aca="false">LN(D5075)</f>
        <v>-1.20697731334623</v>
      </c>
    </row>
    <row r="5076" customFormat="false" ht="15.75" hidden="false" customHeight="false" outlineLevel="0" collapsed="false">
      <c r="A5076" s="1" t="s">
        <v>998</v>
      </c>
      <c r="B5076" s="1" t="n">
        <v>393.15</v>
      </c>
      <c r="C5076" s="1" t="n">
        <f aca="false">1/B5076</f>
        <v>0.00254355843825512</v>
      </c>
      <c r="D5076" s="1" t="n">
        <v>0.656</v>
      </c>
      <c r="E5076" s="1" t="n">
        <f aca="false">LN(D5076)</f>
        <v>-0.421594490038048</v>
      </c>
    </row>
    <row r="5077" customFormat="false" ht="15.75" hidden="false" customHeight="false" outlineLevel="0" collapsed="false">
      <c r="A5077" s="1" t="s">
        <v>998</v>
      </c>
      <c r="B5077" s="1" t="n">
        <v>427.75</v>
      </c>
      <c r="C5077" s="1" t="n">
        <f aca="false">1/B5077</f>
        <v>0.00233781414377557</v>
      </c>
      <c r="D5077" s="1" t="n">
        <v>0.4844</v>
      </c>
      <c r="E5077" s="1" t="n">
        <f aca="false">LN(D5077)</f>
        <v>-0.7248442673032</v>
      </c>
    </row>
    <row r="5078" customFormat="false" ht="15.75" hidden="false" customHeight="false" outlineLevel="0" collapsed="false">
      <c r="A5078" s="1" t="s">
        <v>998</v>
      </c>
      <c r="B5078" s="1" t="n">
        <v>487.75</v>
      </c>
      <c r="C5078" s="1" t="n">
        <f aca="false">1/B5078</f>
        <v>0.00205023065094823</v>
      </c>
      <c r="D5078" s="1" t="n">
        <v>0.3159</v>
      </c>
      <c r="E5078" s="1" t="n">
        <f aca="false">LN(D5078)</f>
        <v>-1.1523295711741</v>
      </c>
    </row>
    <row r="5079" customFormat="false" ht="15.75" hidden="false" customHeight="false" outlineLevel="0" collapsed="false">
      <c r="A5079" s="1" t="s">
        <v>1000</v>
      </c>
      <c r="B5079" s="1" t="n">
        <v>273.42</v>
      </c>
      <c r="C5079" s="1" t="n">
        <f aca="false">1/B5079</f>
        <v>0.00365737692926633</v>
      </c>
      <c r="D5079" s="1" t="n">
        <v>0.3529</v>
      </c>
      <c r="E5079" s="1" t="n">
        <f aca="false">LN(D5079)</f>
        <v>-1.04157054830091</v>
      </c>
    </row>
    <row r="5080" customFormat="false" ht="15.75" hidden="false" customHeight="false" outlineLevel="0" collapsed="false">
      <c r="A5080" s="1" t="s">
        <v>1000</v>
      </c>
      <c r="B5080" s="1" t="n">
        <v>278.71</v>
      </c>
      <c r="C5080" s="1" t="n">
        <f aca="false">1/B5080</f>
        <v>0.00358795881023286</v>
      </c>
      <c r="D5080" s="1" t="n">
        <v>0.3351</v>
      </c>
      <c r="E5080" s="1" t="n">
        <f aca="false">LN(D5080)</f>
        <v>-1.09332628423887</v>
      </c>
    </row>
    <row r="5081" customFormat="false" ht="15.75" hidden="false" customHeight="false" outlineLevel="0" collapsed="false">
      <c r="A5081" s="1" t="s">
        <v>1000</v>
      </c>
      <c r="B5081" s="1" t="n">
        <v>283.2</v>
      </c>
      <c r="C5081" s="1" t="n">
        <f aca="false">1/B5081</f>
        <v>0.00353107344632768</v>
      </c>
      <c r="D5081" s="1" t="n">
        <v>0.3209</v>
      </c>
      <c r="E5081" s="1" t="n">
        <f aca="false">LN(D5081)</f>
        <v>-1.13662573086633</v>
      </c>
    </row>
    <row r="5082" customFormat="false" ht="15.75" hidden="false" customHeight="false" outlineLevel="0" collapsed="false">
      <c r="A5082" s="1" t="s">
        <v>1000</v>
      </c>
      <c r="B5082" s="1" t="n">
        <v>287.9</v>
      </c>
      <c r="C5082" s="1" t="n">
        <f aca="false">1/B5082</f>
        <v>0.00347342827370615</v>
      </c>
      <c r="D5082" s="1" t="n">
        <v>0.3075</v>
      </c>
      <c r="E5082" s="1" t="n">
        <f aca="false">LN(D5082)</f>
        <v>-1.17928019173556</v>
      </c>
    </row>
    <row r="5083" customFormat="false" ht="15.75" hidden="false" customHeight="false" outlineLevel="0" collapsed="false">
      <c r="A5083" s="1" t="s">
        <v>1000</v>
      </c>
      <c r="B5083" s="1" t="n">
        <v>293.34</v>
      </c>
      <c r="C5083" s="1" t="n">
        <f aca="false">1/B5083</f>
        <v>0.00340901343151292</v>
      </c>
      <c r="D5083" s="1" t="n">
        <v>0.2927</v>
      </c>
      <c r="E5083" s="1" t="n">
        <f aca="false">LN(D5083)</f>
        <v>-1.2286070852843</v>
      </c>
    </row>
    <row r="5084" customFormat="false" ht="15.75" hidden="false" customHeight="false" outlineLevel="0" collapsed="false">
      <c r="A5084" s="1" t="s">
        <v>1000</v>
      </c>
      <c r="B5084" s="1" t="n">
        <v>299.29</v>
      </c>
      <c r="C5084" s="1" t="n">
        <f aca="false">1/B5084</f>
        <v>0.00334124093688396</v>
      </c>
      <c r="D5084" s="1" t="n">
        <v>0.2776</v>
      </c>
      <c r="E5084" s="1" t="n">
        <f aca="false">LN(D5084)</f>
        <v>-1.28157405034949</v>
      </c>
    </row>
    <row r="5085" customFormat="false" ht="15.75" hidden="false" customHeight="false" outlineLevel="0" collapsed="false">
      <c r="A5085" s="1" t="s">
        <v>1000</v>
      </c>
      <c r="B5085" s="1" t="n">
        <v>304.5</v>
      </c>
      <c r="C5085" s="1" t="n">
        <f aca="false">1/B5085</f>
        <v>0.00328407224958949</v>
      </c>
      <c r="D5085" s="1" t="n">
        <v>0.2655</v>
      </c>
      <c r="E5085" s="1" t="n">
        <f aca="false">LN(D5085)</f>
        <v>-1.32614043830014</v>
      </c>
    </row>
    <row r="5086" customFormat="false" ht="15.75" hidden="false" customHeight="false" outlineLevel="0" collapsed="false">
      <c r="A5086" s="1" t="s">
        <v>1000</v>
      </c>
      <c r="B5086" s="1" t="n">
        <v>308.96</v>
      </c>
      <c r="C5086" s="1" t="n">
        <f aca="false">1/B5086</f>
        <v>0.00323666494044537</v>
      </c>
      <c r="D5086" s="1" t="n">
        <v>0.2559</v>
      </c>
      <c r="E5086" s="1" t="n">
        <f aca="false">LN(D5086)</f>
        <v>-1.36296853581639</v>
      </c>
    </row>
    <row r="5087" customFormat="false" ht="15.75" hidden="false" customHeight="false" outlineLevel="0" collapsed="false">
      <c r="A5087" s="1" t="s">
        <v>242</v>
      </c>
      <c r="B5087" s="1" t="n">
        <v>288.15</v>
      </c>
      <c r="C5087" s="1" t="n">
        <f aca="false">1/B5087</f>
        <v>0.00347041471455839</v>
      </c>
      <c r="D5087" s="1" t="n">
        <v>0.4008</v>
      </c>
      <c r="E5087" s="1" t="n">
        <f aca="false">LN(D5087)</f>
        <v>-0.914292729211482</v>
      </c>
    </row>
    <row r="5088" customFormat="false" ht="15.75" hidden="false" customHeight="false" outlineLevel="0" collapsed="false">
      <c r="A5088" s="1" t="s">
        <v>242</v>
      </c>
      <c r="B5088" s="1" t="n">
        <v>293.15</v>
      </c>
      <c r="C5088" s="1" t="n">
        <f aca="false">1/B5088</f>
        <v>0.00341122292341805</v>
      </c>
      <c r="D5088" s="1" t="n">
        <v>0.3861</v>
      </c>
      <c r="E5088" s="1" t="n">
        <f aca="false">LN(D5088)</f>
        <v>-0.951658875711946</v>
      </c>
    </row>
    <row r="5089" customFormat="false" ht="15.75" hidden="false" customHeight="false" outlineLevel="0" collapsed="false">
      <c r="A5089" s="1" t="s">
        <v>242</v>
      </c>
      <c r="B5089" s="1" t="n">
        <v>298.15</v>
      </c>
      <c r="C5089" s="1" t="n">
        <f aca="false">1/B5089</f>
        <v>0.00335401643468053</v>
      </c>
      <c r="D5089" s="1" t="n">
        <v>0.3687</v>
      </c>
      <c r="E5089" s="1" t="n">
        <f aca="false">LN(D5089)</f>
        <v>-0.997771973742038</v>
      </c>
    </row>
    <row r="5090" customFormat="false" ht="15.75" hidden="false" customHeight="false" outlineLevel="0" collapsed="false">
      <c r="A5090" s="1" t="s">
        <v>1002</v>
      </c>
      <c r="B5090" s="1" t="n">
        <v>273.15</v>
      </c>
      <c r="C5090" s="1" t="n">
        <f aca="false">1/B5090</f>
        <v>0.00366099212886692</v>
      </c>
      <c r="D5090" s="1" t="n">
        <v>1.0505</v>
      </c>
      <c r="E5090" s="1" t="n">
        <f aca="false">LN(D5090)</f>
        <v>0.049266241302918</v>
      </c>
    </row>
    <row r="5091" customFormat="false" ht="15.75" hidden="false" customHeight="false" outlineLevel="0" collapsed="false">
      <c r="A5091" s="1" t="s">
        <v>1002</v>
      </c>
      <c r="B5091" s="1" t="n">
        <v>283.2</v>
      </c>
      <c r="C5091" s="1" t="n">
        <f aca="false">1/B5091</f>
        <v>0.00353107344632768</v>
      </c>
      <c r="D5091" s="1" t="n">
        <v>0.9058</v>
      </c>
      <c r="E5091" s="1" t="n">
        <f aca="false">LN(D5091)</f>
        <v>-0.0989367478600235</v>
      </c>
    </row>
    <row r="5092" customFormat="false" ht="15.75" hidden="false" customHeight="false" outlineLevel="0" collapsed="false">
      <c r="A5092" s="1" t="s">
        <v>1002</v>
      </c>
      <c r="B5092" s="1" t="n">
        <v>293.34</v>
      </c>
      <c r="C5092" s="1" t="n">
        <f aca="false">1/B5092</f>
        <v>0.00340901343151292</v>
      </c>
      <c r="D5092" s="1" t="n">
        <v>0.7915</v>
      </c>
      <c r="E5092" s="1" t="n">
        <f aca="false">LN(D5092)</f>
        <v>-0.23382539966107</v>
      </c>
    </row>
    <row r="5093" customFormat="false" ht="15.75" hidden="false" customHeight="false" outlineLevel="0" collapsed="false">
      <c r="A5093" s="1" t="s">
        <v>1002</v>
      </c>
      <c r="B5093" s="1" t="n">
        <v>303.15</v>
      </c>
      <c r="C5093" s="1" t="n">
        <f aca="false">1/B5093</f>
        <v>0.0032986970146792</v>
      </c>
      <c r="D5093" s="1" t="n">
        <v>0.7023</v>
      </c>
      <c r="E5093" s="1" t="n">
        <f aca="false">LN(D5093)</f>
        <v>-0.353394615817162</v>
      </c>
    </row>
    <row r="5094" customFormat="false" ht="15.75" hidden="false" customHeight="false" outlineLevel="0" collapsed="false">
      <c r="A5094" s="1" t="s">
        <v>1002</v>
      </c>
      <c r="B5094" s="1" t="n">
        <v>313.15</v>
      </c>
      <c r="C5094" s="1" t="n">
        <f aca="false">1/B5094</f>
        <v>0.00319335781574325</v>
      </c>
      <c r="D5094" s="1" t="n">
        <v>0.6238</v>
      </c>
      <c r="E5094" s="1" t="n">
        <f aca="false">LN(D5094)</f>
        <v>-0.471925474808434</v>
      </c>
    </row>
    <row r="5095" customFormat="false" ht="15.75" hidden="false" customHeight="false" outlineLevel="0" collapsed="false">
      <c r="A5095" s="1" t="s">
        <v>1002</v>
      </c>
      <c r="B5095" s="1" t="n">
        <v>333.15</v>
      </c>
      <c r="C5095" s="1" t="n">
        <f aca="false">1/B5095</f>
        <v>0.0030016509079994</v>
      </c>
      <c r="D5095" s="1" t="n">
        <v>0.5086</v>
      </c>
      <c r="E5095" s="1" t="n">
        <f aca="false">LN(D5095)</f>
        <v>-0.676093425994118</v>
      </c>
    </row>
    <row r="5096" customFormat="false" ht="15.75" hidden="false" customHeight="false" outlineLevel="0" collapsed="false">
      <c r="A5096" s="1" t="s">
        <v>1002</v>
      </c>
      <c r="B5096" s="1" t="n">
        <v>353.15</v>
      </c>
      <c r="C5096" s="1" t="n">
        <f aca="false">1/B5096</f>
        <v>0.00283165793572137</v>
      </c>
      <c r="D5096" s="1" t="n">
        <v>0.4235</v>
      </c>
      <c r="E5096" s="1" t="n">
        <f aca="false">LN(D5096)</f>
        <v>-0.859201764890028</v>
      </c>
    </row>
    <row r="5097" customFormat="false" ht="15.75" hidden="false" customHeight="false" outlineLevel="0" collapsed="false">
      <c r="A5097" s="1" t="s">
        <v>1002</v>
      </c>
      <c r="B5097" s="1" t="n">
        <v>373.15</v>
      </c>
      <c r="C5097" s="1" t="n">
        <f aca="false">1/B5097</f>
        <v>0.00267988744472732</v>
      </c>
      <c r="D5097" s="1" t="n">
        <v>0.3629</v>
      </c>
      <c r="E5097" s="1" t="n">
        <f aca="false">LN(D5097)</f>
        <v>-1.01362796476311</v>
      </c>
    </row>
    <row r="5098" customFormat="false" ht="15.75" hidden="false" customHeight="false" outlineLevel="0" collapsed="false">
      <c r="A5098" s="1" t="s">
        <v>1463</v>
      </c>
      <c r="B5098" s="1" t="n">
        <v>293.16</v>
      </c>
      <c r="C5098" s="1" t="n">
        <f aca="false">1/B5098</f>
        <v>0.00341110656296903</v>
      </c>
      <c r="D5098" s="1" t="n">
        <v>0.626</v>
      </c>
      <c r="E5098" s="1" t="n">
        <f aca="false">LN(D5098)</f>
        <v>-0.468404907882039</v>
      </c>
    </row>
    <row r="5099" customFormat="false" ht="15.75" hidden="false" customHeight="false" outlineLevel="0" collapsed="false">
      <c r="A5099" s="1" t="s">
        <v>1464</v>
      </c>
      <c r="B5099" s="1" t="n">
        <v>303.15</v>
      </c>
      <c r="C5099" s="1" t="n">
        <f aca="false">1/B5099</f>
        <v>0.0032986970146792</v>
      </c>
      <c r="D5099" s="1" t="n">
        <v>15.1088</v>
      </c>
      <c r="E5099" s="1" t="n">
        <f aca="false">LN(D5099)</f>
        <v>2.71527735552667</v>
      </c>
    </row>
    <row r="5100" customFormat="false" ht="15.75" hidden="false" customHeight="false" outlineLevel="0" collapsed="false">
      <c r="A5100" s="1" t="s">
        <v>1464</v>
      </c>
      <c r="B5100" s="1" t="n">
        <v>313.15</v>
      </c>
      <c r="C5100" s="1" t="n">
        <f aca="false">1/B5100</f>
        <v>0.00319335781574325</v>
      </c>
      <c r="D5100" s="1" t="n">
        <v>10.0209</v>
      </c>
      <c r="E5100" s="1" t="n">
        <f aca="false">LN(D5100)</f>
        <v>2.30467291198239</v>
      </c>
    </row>
    <row r="5101" customFormat="false" ht="15.75" hidden="false" customHeight="false" outlineLevel="0" collapsed="false">
      <c r="A5101" s="1" t="s">
        <v>1464</v>
      </c>
      <c r="B5101" s="1" t="n">
        <v>323.15</v>
      </c>
      <c r="C5101" s="1" t="n">
        <f aca="false">1/B5101</f>
        <v>0.00309453814018258</v>
      </c>
      <c r="D5101" s="1" t="n">
        <v>6.9715</v>
      </c>
      <c r="E5101" s="1" t="n">
        <f aca="false">LN(D5101)</f>
        <v>1.94183040965294</v>
      </c>
    </row>
    <row r="5102" customFormat="false" ht="15.75" hidden="false" customHeight="false" outlineLevel="0" collapsed="false">
      <c r="A5102" s="1" t="s">
        <v>1464</v>
      </c>
      <c r="B5102" s="1" t="n">
        <v>333.15</v>
      </c>
      <c r="C5102" s="1" t="n">
        <f aca="false">1/B5102</f>
        <v>0.0030016509079994</v>
      </c>
      <c r="D5102" s="1" t="n">
        <v>5.0473</v>
      </c>
      <c r="E5102" s="1" t="n">
        <f aca="false">LN(D5102)</f>
        <v>1.61885344684379</v>
      </c>
    </row>
    <row r="5103" customFormat="false" ht="15.75" hidden="false" customHeight="false" outlineLevel="0" collapsed="false">
      <c r="A5103" s="1" t="s">
        <v>1464</v>
      </c>
      <c r="B5103" s="1" t="n">
        <v>343.15</v>
      </c>
      <c r="C5103" s="1" t="n">
        <f aca="false">1/B5103</f>
        <v>0.00291417747340813</v>
      </c>
      <c r="D5103" s="1" t="n">
        <v>3.7793</v>
      </c>
      <c r="E5103" s="1" t="n">
        <f aca="false">LN(D5103)</f>
        <v>1.32953880729742</v>
      </c>
    </row>
    <row r="5104" customFormat="false" ht="15.75" hidden="false" customHeight="false" outlineLevel="0" collapsed="false">
      <c r="A5104" s="1" t="s">
        <v>1464</v>
      </c>
      <c r="B5104" s="1" t="n">
        <v>353.15</v>
      </c>
      <c r="C5104" s="1" t="n">
        <f aca="false">1/B5104</f>
        <v>0.00283165793572137</v>
      </c>
      <c r="D5104" s="1" t="n">
        <v>2.912</v>
      </c>
      <c r="E5104" s="1" t="n">
        <f aca="false">LN(D5104)</f>
        <v>1.06884013033444</v>
      </c>
    </row>
    <row r="5105" customFormat="false" ht="15.75" hidden="false" customHeight="false" outlineLevel="0" collapsed="false">
      <c r="A5105" s="1" t="s">
        <v>1004</v>
      </c>
      <c r="B5105" s="1" t="n">
        <v>273.15</v>
      </c>
      <c r="C5105" s="1" t="n">
        <f aca="false">1/B5105</f>
        <v>0.00366099212886692</v>
      </c>
      <c r="D5105" s="1" t="n">
        <v>0.8</v>
      </c>
      <c r="E5105" s="1" t="n">
        <f aca="false">LN(D5105)</f>
        <v>-0.22314355131421</v>
      </c>
    </row>
    <row r="5106" customFormat="false" ht="15.75" hidden="false" customHeight="false" outlineLevel="0" collapsed="false">
      <c r="A5106" s="1" t="s">
        <v>1004</v>
      </c>
      <c r="B5106" s="1" t="n">
        <v>283.15</v>
      </c>
      <c r="C5106" s="1" t="n">
        <f aca="false">1/B5106</f>
        <v>0.00353169698039908</v>
      </c>
      <c r="D5106" s="1" t="n">
        <v>0.6975</v>
      </c>
      <c r="E5106" s="1" t="n">
        <f aca="false">LN(D5106)</f>
        <v>-0.360252765286616</v>
      </c>
    </row>
    <row r="5107" customFormat="false" ht="15.75" hidden="false" customHeight="false" outlineLevel="0" collapsed="false">
      <c r="A5107" s="1" t="s">
        <v>1004</v>
      </c>
      <c r="B5107" s="1" t="n">
        <v>293.15</v>
      </c>
      <c r="C5107" s="1" t="n">
        <f aca="false">1/B5107</f>
        <v>0.00341122292341805</v>
      </c>
      <c r="D5107" s="1" t="n">
        <v>0.615</v>
      </c>
      <c r="E5107" s="1" t="n">
        <f aca="false">LN(D5107)</f>
        <v>-0.486133011175619</v>
      </c>
    </row>
    <row r="5108" customFormat="false" ht="15.75" hidden="false" customHeight="false" outlineLevel="0" collapsed="false">
      <c r="A5108" s="1" t="s">
        <v>1004</v>
      </c>
      <c r="B5108" s="1" t="n">
        <v>303.15</v>
      </c>
      <c r="C5108" s="1" t="n">
        <f aca="false">1/B5108</f>
        <v>0.0032986970146792</v>
      </c>
      <c r="D5108" s="1" t="n">
        <v>0.547</v>
      </c>
      <c r="E5108" s="1" t="n">
        <f aca="false">LN(D5108)</f>
        <v>-0.603306476560156</v>
      </c>
    </row>
    <row r="5109" customFormat="false" ht="15.75" hidden="false" customHeight="false" outlineLevel="0" collapsed="false">
      <c r="A5109" s="1" t="s">
        <v>1004</v>
      </c>
      <c r="B5109" s="1" t="n">
        <v>323.15</v>
      </c>
      <c r="C5109" s="1" t="n">
        <f aca="false">1/B5109</f>
        <v>0.00309453814018258</v>
      </c>
      <c r="D5109" s="1" t="n">
        <v>0.4445</v>
      </c>
      <c r="E5109" s="1" t="n">
        <f aca="false">LN(D5109)</f>
        <v>-0.810805224028178</v>
      </c>
    </row>
    <row r="5110" customFormat="false" ht="15.75" hidden="false" customHeight="false" outlineLevel="0" collapsed="false">
      <c r="A5110" s="1" t="s">
        <v>1004</v>
      </c>
      <c r="B5110" s="1" t="n">
        <v>333.15</v>
      </c>
      <c r="C5110" s="1" t="n">
        <f aca="false">1/B5110</f>
        <v>0.0030016509079994</v>
      </c>
      <c r="D5110" s="1" t="n">
        <v>0.404</v>
      </c>
      <c r="E5110" s="1" t="n">
        <f aca="false">LN(D5110)</f>
        <v>-0.906340401020987</v>
      </c>
    </row>
    <row r="5111" customFormat="false" ht="15.75" hidden="false" customHeight="false" outlineLevel="0" collapsed="false">
      <c r="A5111" s="1" t="s">
        <v>1004</v>
      </c>
      <c r="B5111" s="1" t="n">
        <v>343.15</v>
      </c>
      <c r="C5111" s="1" t="n">
        <f aca="false">1/B5111</f>
        <v>0.00291417747340813</v>
      </c>
      <c r="D5111" s="1" t="n">
        <v>0.369</v>
      </c>
      <c r="E5111" s="1" t="n">
        <f aca="false">LN(D5111)</f>
        <v>-0.99695863494161</v>
      </c>
    </row>
    <row r="5112" customFormat="false" ht="15.75" hidden="false" customHeight="false" outlineLevel="0" collapsed="false">
      <c r="A5112" s="1" t="s">
        <v>1004</v>
      </c>
      <c r="B5112" s="1" t="n">
        <v>353.15</v>
      </c>
      <c r="C5112" s="1" t="n">
        <f aca="false">1/B5112</f>
        <v>0.00283165793572137</v>
      </c>
      <c r="D5112" s="1" t="n">
        <v>0.3391</v>
      </c>
      <c r="E5112" s="1" t="n">
        <f aca="false">LN(D5112)</f>
        <v>-1.08146022985054</v>
      </c>
    </row>
    <row r="5113" customFormat="false" ht="15.75" hidden="false" customHeight="false" outlineLevel="0" collapsed="false">
      <c r="A5113" s="1" t="s">
        <v>1004</v>
      </c>
      <c r="B5113" s="1" t="n">
        <v>373.15</v>
      </c>
      <c r="C5113" s="1" t="n">
        <f aca="false">1/B5113</f>
        <v>0.00267988744472732</v>
      </c>
      <c r="D5113" s="1" t="n">
        <v>0.289</v>
      </c>
      <c r="E5113" s="1" t="n">
        <f aca="false">LN(D5113)</f>
        <v>-1.24132859086971</v>
      </c>
    </row>
    <row r="5114" customFormat="false" ht="15.75" hidden="false" customHeight="false" outlineLevel="0" collapsed="false">
      <c r="A5114" s="1" t="s">
        <v>1004</v>
      </c>
      <c r="B5114" s="1" t="n">
        <v>383.15</v>
      </c>
      <c r="C5114" s="1" t="n">
        <f aca="false">1/B5114</f>
        <v>0.00260994388620645</v>
      </c>
      <c r="D5114" s="1" t="n">
        <v>0.269</v>
      </c>
      <c r="E5114" s="1" t="n">
        <f aca="false">LN(D5114)</f>
        <v>-1.3130438993803</v>
      </c>
    </row>
    <row r="5115" customFormat="false" ht="15.75" hidden="false" customHeight="false" outlineLevel="0" collapsed="false">
      <c r="A5115" s="1" t="s">
        <v>1004</v>
      </c>
      <c r="B5115" s="1" t="n">
        <v>393.15</v>
      </c>
      <c r="C5115" s="1" t="n">
        <f aca="false">1/B5115</f>
        <v>0.00254355843825512</v>
      </c>
      <c r="D5115" s="1" t="n">
        <v>0.25</v>
      </c>
      <c r="E5115" s="1" t="n">
        <f aca="false">LN(D5115)</f>
        <v>-1.38629436111989</v>
      </c>
    </row>
    <row r="5116" customFormat="false" ht="15.75" hidden="false" customHeight="false" outlineLevel="0" collapsed="false">
      <c r="A5116" s="1" t="s">
        <v>1004</v>
      </c>
      <c r="B5116" s="1" t="n">
        <v>403.15</v>
      </c>
      <c r="C5116" s="1" t="n">
        <f aca="false">1/B5116</f>
        <v>0.0024804663276696</v>
      </c>
      <c r="D5116" s="1" t="n">
        <v>0.233</v>
      </c>
      <c r="E5116" s="1" t="n">
        <f aca="false">LN(D5116)</f>
        <v>-1.45671682541644</v>
      </c>
    </row>
    <row r="5117" customFormat="false" ht="15.75" hidden="false" customHeight="false" outlineLevel="0" collapsed="false">
      <c r="A5117" s="1" t="s">
        <v>1004</v>
      </c>
      <c r="B5117" s="1" t="n">
        <v>313.15</v>
      </c>
      <c r="C5117" s="1" t="n">
        <f aca="false">1/B5117</f>
        <v>0.00319335781574325</v>
      </c>
      <c r="D5117" s="1" t="n">
        <v>0.491</v>
      </c>
      <c r="E5117" s="1" t="n">
        <f aca="false">LN(D5117)</f>
        <v>-0.711311151187616</v>
      </c>
    </row>
    <row r="5118" customFormat="false" ht="15.75" hidden="false" customHeight="false" outlineLevel="0" collapsed="false">
      <c r="A5118" s="1" t="s">
        <v>1004</v>
      </c>
      <c r="B5118" s="1" t="n">
        <v>363.15</v>
      </c>
      <c r="C5118" s="1" t="n">
        <f aca="false">1/B5118</f>
        <v>0.00275368305108082</v>
      </c>
      <c r="D5118" s="1" t="n">
        <v>0.313</v>
      </c>
      <c r="E5118" s="1" t="n">
        <f aca="false">LN(D5118)</f>
        <v>-1.16155208844198</v>
      </c>
    </row>
    <row r="5119" customFormat="false" ht="15.75" hidden="false" customHeight="false" outlineLevel="0" collapsed="false">
      <c r="A5119" s="1" t="s">
        <v>1006</v>
      </c>
      <c r="B5119" s="1" t="n">
        <v>289.0565</v>
      </c>
      <c r="C5119" s="1" t="n">
        <f aca="false">1/B5119</f>
        <v>0.00345953126810848</v>
      </c>
      <c r="D5119" s="1" t="n">
        <v>2.474</v>
      </c>
      <c r="E5119" s="1" t="n">
        <f aca="false">LN(D5119)</f>
        <v>0.905836273970296</v>
      </c>
    </row>
    <row r="5120" customFormat="false" ht="15.75" hidden="false" customHeight="false" outlineLevel="0" collapsed="false">
      <c r="A5120" s="1" t="s">
        <v>1006</v>
      </c>
      <c r="B5120" s="1" t="n">
        <v>373.45</v>
      </c>
      <c r="C5120" s="1" t="n">
        <f aca="false">1/B5120</f>
        <v>0.00267773463649752</v>
      </c>
      <c r="D5120" s="1" t="n">
        <v>0.621</v>
      </c>
      <c r="E5120" s="1" t="n">
        <f aca="false">LN(D5120)</f>
        <v>-0.476424197048658</v>
      </c>
    </row>
    <row r="5121" customFormat="false" ht="15.75" hidden="false" customHeight="false" outlineLevel="0" collapsed="false">
      <c r="A5121" s="1" t="s">
        <v>1006</v>
      </c>
      <c r="B5121" s="1" t="n">
        <v>413.15</v>
      </c>
      <c r="C5121" s="1" t="n">
        <f aca="false">1/B5121</f>
        <v>0.0024204284158296</v>
      </c>
      <c r="D5121" s="1" t="n">
        <v>0.4394</v>
      </c>
      <c r="E5121" s="1" t="n">
        <f aca="false">LN(D5121)</f>
        <v>-0.822345119031627</v>
      </c>
    </row>
    <row r="5122" customFormat="false" ht="15.75" hidden="false" customHeight="false" outlineLevel="0" collapsed="false">
      <c r="A5122" s="1" t="s">
        <v>1006</v>
      </c>
      <c r="B5122" s="1" t="n">
        <v>435.15</v>
      </c>
      <c r="C5122" s="1" t="n">
        <f aca="false">1/B5122</f>
        <v>0.00229805814087096</v>
      </c>
      <c r="D5122" s="1" t="n">
        <v>0.3676</v>
      </c>
      <c r="E5122" s="1" t="n">
        <f aca="false">LN(D5122)</f>
        <v>-1.00075988850061</v>
      </c>
    </row>
    <row r="5123" customFormat="false" ht="15.75" hidden="false" customHeight="false" outlineLevel="0" collapsed="false">
      <c r="A5123" s="1" t="s">
        <v>1006</v>
      </c>
      <c r="B5123" s="1" t="n">
        <v>461.15</v>
      </c>
      <c r="C5123" s="1" t="n">
        <f aca="false">1/B5123</f>
        <v>0.0021684918139434</v>
      </c>
      <c r="D5123" s="1" t="n">
        <v>0.3132</v>
      </c>
      <c r="E5123" s="1" t="n">
        <f aca="false">LN(D5123)</f>
        <v>-1.16091331486549</v>
      </c>
    </row>
    <row r="5124" customFormat="false" ht="15.75" hidden="false" customHeight="false" outlineLevel="0" collapsed="false">
      <c r="A5124" s="1" t="s">
        <v>1006</v>
      </c>
      <c r="B5124" s="1" t="n">
        <v>489.45</v>
      </c>
      <c r="C5124" s="1" t="n">
        <f aca="false">1/B5124</f>
        <v>0.00204310961283073</v>
      </c>
      <c r="D5124" s="1" t="n">
        <v>0.265</v>
      </c>
      <c r="E5124" s="1" t="n">
        <f aca="false">LN(D5124)</f>
        <v>-1.32802545299591</v>
      </c>
    </row>
    <row r="5125" customFormat="false" ht="15.75" hidden="false" customHeight="false" outlineLevel="0" collapsed="false">
      <c r="A5125" s="1" t="s">
        <v>1006</v>
      </c>
      <c r="B5125" s="1" t="n">
        <v>273.1596</v>
      </c>
      <c r="C5125" s="1" t="n">
        <f aca="false">1/B5125</f>
        <v>0.00366086346590052</v>
      </c>
      <c r="D5125" s="1" t="n">
        <v>3.838</v>
      </c>
      <c r="E5125" s="1" t="n">
        <f aca="false">LN(D5125)</f>
        <v>1.34495139758551</v>
      </c>
    </row>
    <row r="5126" customFormat="false" ht="15.75" hidden="false" customHeight="false" outlineLevel="0" collapsed="false">
      <c r="A5126" s="1" t="s">
        <v>1006</v>
      </c>
      <c r="B5126" s="1" t="n">
        <v>349.65</v>
      </c>
      <c r="C5126" s="1" t="n">
        <f aca="false">1/B5126</f>
        <v>0.00286000286000286</v>
      </c>
      <c r="D5126" s="1" t="n">
        <v>0.783</v>
      </c>
      <c r="E5126" s="1" t="n">
        <f aca="false">LN(D5126)</f>
        <v>-0.244622582991334</v>
      </c>
    </row>
    <row r="5127" customFormat="false" ht="15.75" hidden="false" customHeight="false" outlineLevel="0" collapsed="false">
      <c r="A5127" s="1" t="s">
        <v>1006</v>
      </c>
      <c r="B5127" s="1" t="n">
        <v>273.6548</v>
      </c>
      <c r="C5127" s="1" t="n">
        <f aca="false">1/B5127</f>
        <v>0.00365423884397423</v>
      </c>
      <c r="D5127" s="1" t="n">
        <v>3.8403</v>
      </c>
      <c r="E5127" s="1" t="n">
        <f aca="false">LN(D5127)</f>
        <v>1.34555048854804</v>
      </c>
    </row>
    <row r="5128" customFormat="false" ht="15.75" hidden="false" customHeight="false" outlineLevel="0" collapsed="false">
      <c r="A5128" s="1" t="s">
        <v>1006</v>
      </c>
      <c r="B5128" s="1" t="n">
        <v>283.15</v>
      </c>
      <c r="C5128" s="1" t="n">
        <f aca="false">1/B5128</f>
        <v>0.00353169698039908</v>
      </c>
      <c r="D5128" s="1" t="n">
        <v>2.8498</v>
      </c>
      <c r="E5128" s="1" t="n">
        <f aca="false">LN(D5128)</f>
        <v>1.04724881637955</v>
      </c>
    </row>
    <row r="5129" customFormat="false" ht="15.75" hidden="false" customHeight="false" outlineLevel="0" collapsed="false">
      <c r="A5129" s="1" t="s">
        <v>1006</v>
      </c>
      <c r="B5129" s="1" t="n">
        <v>293.15</v>
      </c>
      <c r="C5129" s="1" t="n">
        <f aca="false">1/B5129</f>
        <v>0.00341122292341805</v>
      </c>
      <c r="D5129" s="1" t="n">
        <v>2.1844</v>
      </c>
      <c r="E5129" s="1" t="n">
        <f aca="false">LN(D5129)</f>
        <v>0.781341191295862</v>
      </c>
    </row>
    <row r="5130" customFormat="false" ht="15.75" hidden="false" customHeight="false" outlineLevel="0" collapsed="false">
      <c r="A5130" s="1" t="s">
        <v>1006</v>
      </c>
      <c r="B5130" s="1" t="n">
        <v>313.15</v>
      </c>
      <c r="C5130" s="1" t="n">
        <f aca="false">1/B5130</f>
        <v>0.00319335781574325</v>
      </c>
      <c r="D5130" s="1" t="n">
        <v>1.4249</v>
      </c>
      <c r="E5130" s="1" t="n">
        <f aca="false">LN(D5130)</f>
        <v>0.354101635819606</v>
      </c>
    </row>
    <row r="5131" customFormat="false" ht="15.75" hidden="false" customHeight="false" outlineLevel="0" collapsed="false">
      <c r="A5131" s="1" t="s">
        <v>1006</v>
      </c>
      <c r="B5131" s="1" t="n">
        <v>333.15</v>
      </c>
      <c r="C5131" s="1" t="n">
        <f aca="false">1/B5131</f>
        <v>0.0030016509079994</v>
      </c>
      <c r="D5131" s="1" t="n">
        <v>1.0211</v>
      </c>
      <c r="E5131" s="1" t="n">
        <f aca="false">LN(D5131)</f>
        <v>0.0208804775793551</v>
      </c>
    </row>
    <row r="5132" customFormat="false" ht="15.75" hidden="false" customHeight="false" outlineLevel="0" collapsed="false">
      <c r="A5132" s="1" t="s">
        <v>1006</v>
      </c>
      <c r="B5132" s="1" t="n">
        <v>353.15</v>
      </c>
      <c r="C5132" s="1" t="n">
        <f aca="false">1/B5132</f>
        <v>0.00283165793572137</v>
      </c>
      <c r="D5132" s="1" t="n">
        <v>0.7768</v>
      </c>
      <c r="E5132" s="1" t="n">
        <f aca="false">LN(D5132)</f>
        <v>-0.252572362005022</v>
      </c>
    </row>
    <row r="5133" customFormat="false" ht="15.75" hidden="false" customHeight="false" outlineLevel="0" collapsed="false">
      <c r="A5133" s="1" t="s">
        <v>1006</v>
      </c>
      <c r="B5133" s="1" t="n">
        <v>371.15</v>
      </c>
      <c r="C5133" s="1" t="n">
        <f aca="false">1/B5133</f>
        <v>0.00269432843863667</v>
      </c>
      <c r="D5133" s="1" t="n">
        <v>0.6306</v>
      </c>
      <c r="E5133" s="1" t="n">
        <f aca="false">LN(D5133)</f>
        <v>-0.461083531871177</v>
      </c>
    </row>
    <row r="5134" customFormat="false" ht="15.75" hidden="false" customHeight="false" outlineLevel="0" collapsed="false">
      <c r="A5134" s="1" t="s">
        <v>1008</v>
      </c>
      <c r="B5134" s="1" t="n">
        <v>387.85</v>
      </c>
      <c r="C5134" s="1" t="n">
        <f aca="false">1/B5134</f>
        <v>0.0025783163594173</v>
      </c>
      <c r="D5134" s="1" t="n">
        <v>0.5947</v>
      </c>
      <c r="E5134" s="1" t="n">
        <f aca="false">LN(D5134)</f>
        <v>-0.519698202269589</v>
      </c>
    </row>
    <row r="5135" customFormat="false" ht="15.75" hidden="false" customHeight="false" outlineLevel="0" collapsed="false">
      <c r="A5135" s="1" t="s">
        <v>1008</v>
      </c>
      <c r="B5135" s="1" t="n">
        <v>408.15</v>
      </c>
      <c r="C5135" s="1" t="n">
        <f aca="false">1/B5135</f>
        <v>0.0024500796275879</v>
      </c>
      <c r="D5135" s="1" t="n">
        <v>0.4904</v>
      </c>
      <c r="E5135" s="1" t="n">
        <f aca="false">LN(D5135)</f>
        <v>-0.712533894360135</v>
      </c>
    </row>
    <row r="5136" customFormat="false" ht="15.75" hidden="false" customHeight="false" outlineLevel="0" collapsed="false">
      <c r="A5136" s="1" t="s">
        <v>1008</v>
      </c>
      <c r="B5136" s="1" t="n">
        <v>438.55</v>
      </c>
      <c r="C5136" s="1" t="n">
        <f aca="false">1/B5136</f>
        <v>0.0022802417056208</v>
      </c>
      <c r="D5136" s="1" t="n">
        <v>0.3773</v>
      </c>
      <c r="E5136" s="1" t="n">
        <f aca="false">LN(D5136)</f>
        <v>-0.974714652011872</v>
      </c>
    </row>
    <row r="5137" customFormat="false" ht="15.75" hidden="false" customHeight="false" outlineLevel="0" collapsed="false">
      <c r="A5137" s="1" t="s">
        <v>1008</v>
      </c>
      <c r="B5137" s="1" t="n">
        <v>449.15</v>
      </c>
      <c r="C5137" s="1" t="n">
        <f aca="false">1/B5137</f>
        <v>0.00222642769676055</v>
      </c>
      <c r="D5137" s="1" t="n">
        <v>0.3467</v>
      </c>
      <c r="E5137" s="1" t="n">
        <f aca="false">LN(D5137)</f>
        <v>-1.05929542629116</v>
      </c>
    </row>
    <row r="5138" customFormat="false" ht="15.75" hidden="false" customHeight="false" outlineLevel="0" collapsed="false">
      <c r="A5138" s="1" t="s">
        <v>1008</v>
      </c>
      <c r="B5138" s="1" t="n">
        <v>458.45</v>
      </c>
      <c r="C5138" s="1" t="n">
        <f aca="false">1/B5138</f>
        <v>0.00218126295124877</v>
      </c>
      <c r="D5138" s="1" t="n">
        <v>0.3237</v>
      </c>
      <c r="E5138" s="1" t="n">
        <f aca="false">LN(D5138)</f>
        <v>-1.12793811804994</v>
      </c>
    </row>
    <row r="5139" customFormat="false" ht="15.75" hidden="false" customHeight="false" outlineLevel="0" collapsed="false">
      <c r="A5139" s="1" t="s">
        <v>1008</v>
      </c>
      <c r="B5139" s="1" t="n">
        <v>479.35</v>
      </c>
      <c r="C5139" s="1" t="n">
        <f aca="false">1/B5139</f>
        <v>0.00208615833941796</v>
      </c>
      <c r="D5139" s="1" t="n">
        <v>0.2796</v>
      </c>
      <c r="E5139" s="1" t="n">
        <f aca="false">LN(D5139)</f>
        <v>-1.27439526862248</v>
      </c>
    </row>
    <row r="5140" customFormat="false" ht="15.75" hidden="false" customHeight="false" outlineLevel="0" collapsed="false">
      <c r="A5140" s="1" t="s">
        <v>1008</v>
      </c>
      <c r="B5140" s="1" t="n">
        <v>491.15</v>
      </c>
      <c r="C5140" s="1" t="n">
        <f aca="false">1/B5140</f>
        <v>0.00203603787030439</v>
      </c>
      <c r="D5140" s="1" t="n">
        <v>0.2591</v>
      </c>
      <c r="E5140" s="1" t="n">
        <f aca="false">LN(D5140)</f>
        <v>-1.35054119141407</v>
      </c>
    </row>
    <row r="5141" customFormat="false" ht="15.75" hidden="false" customHeight="false" outlineLevel="0" collapsed="false">
      <c r="A5141" s="1" t="s">
        <v>1008</v>
      </c>
      <c r="B5141" s="1" t="n">
        <v>428.65</v>
      </c>
      <c r="C5141" s="1" t="n">
        <f aca="false">1/B5141</f>
        <v>0.00233290563396711</v>
      </c>
      <c r="D5141" s="1" t="n">
        <v>0.4095</v>
      </c>
      <c r="E5141" s="1" t="n">
        <f aca="false">LN(D5141)</f>
        <v>-0.892818375689013</v>
      </c>
    </row>
    <row r="5142" customFormat="false" ht="15.75" hidden="false" customHeight="false" outlineLevel="0" collapsed="false">
      <c r="A5142" s="1" t="s">
        <v>1008</v>
      </c>
      <c r="B5142" s="1" t="n">
        <v>467.85</v>
      </c>
      <c r="C5142" s="1" t="n">
        <f aca="false">1/B5142</f>
        <v>0.00213743721278187</v>
      </c>
      <c r="D5142" s="1" t="n">
        <v>0.303</v>
      </c>
      <c r="E5142" s="1" t="n">
        <f aca="false">LN(D5142)</f>
        <v>-1.19402247347277</v>
      </c>
    </row>
    <row r="5143" customFormat="false" ht="15.75" hidden="false" customHeight="false" outlineLevel="0" collapsed="false">
      <c r="A5143" s="1" t="s">
        <v>1008</v>
      </c>
      <c r="B5143" s="1" t="n">
        <v>503.15</v>
      </c>
      <c r="C5143" s="1" t="n">
        <f aca="false">1/B5143</f>
        <v>0.00198747888303687</v>
      </c>
      <c r="D5143" s="1" t="n">
        <v>0.2406</v>
      </c>
      <c r="E5143" s="1" t="n">
        <f aca="false">LN(D5143)</f>
        <v>-1.42461947544156</v>
      </c>
    </row>
    <row r="5144" customFormat="false" ht="15.75" hidden="false" customHeight="false" outlineLevel="0" collapsed="false">
      <c r="A5144" s="1" t="s">
        <v>1010</v>
      </c>
      <c r="B5144" s="1" t="n">
        <v>293.55</v>
      </c>
      <c r="C5144" s="1" t="n">
        <f aca="false">1/B5144</f>
        <v>0.00340657468915006</v>
      </c>
      <c r="D5144" s="1" t="n">
        <v>2.141</v>
      </c>
      <c r="E5144" s="1" t="n">
        <f aca="false">LN(D5144)</f>
        <v>0.761273009607546</v>
      </c>
    </row>
    <row r="5145" customFormat="false" ht="15.75" hidden="false" customHeight="false" outlineLevel="0" collapsed="false">
      <c r="A5145" s="1" t="s">
        <v>1010</v>
      </c>
      <c r="B5145" s="1" t="n">
        <v>325.55</v>
      </c>
      <c r="C5145" s="1" t="n">
        <f aca="false">1/B5145</f>
        <v>0.0030717247734603</v>
      </c>
      <c r="D5145" s="1" t="n">
        <v>1.225</v>
      </c>
      <c r="E5145" s="1" t="n">
        <f aca="false">LN(D5145)</f>
        <v>0.20294084399669</v>
      </c>
    </row>
    <row r="5146" customFormat="false" ht="15.75" hidden="false" customHeight="false" outlineLevel="0" collapsed="false">
      <c r="A5146" s="1" t="s">
        <v>1010</v>
      </c>
      <c r="B5146" s="1" t="n">
        <v>345.95</v>
      </c>
      <c r="C5146" s="1" t="n">
        <f aca="false">1/B5146</f>
        <v>0.00289059112588524</v>
      </c>
      <c r="D5146" s="1" t="n">
        <v>0.9207</v>
      </c>
      <c r="E5146" s="1" t="n">
        <f aca="false">LN(D5146)</f>
        <v>-0.0826210286883369</v>
      </c>
    </row>
    <row r="5147" customFormat="false" ht="15.75" hidden="false" customHeight="false" outlineLevel="0" collapsed="false">
      <c r="A5147" s="1" t="s">
        <v>1010</v>
      </c>
      <c r="B5147" s="1" t="n">
        <v>365.35</v>
      </c>
      <c r="C5147" s="1" t="n">
        <f aca="false">1/B5147</f>
        <v>0.00273710140960723</v>
      </c>
      <c r="D5147" s="1" t="n">
        <v>0.7244</v>
      </c>
      <c r="E5147" s="1" t="n">
        <f aca="false">LN(D5147)</f>
        <v>-0.322411552972879</v>
      </c>
    </row>
    <row r="5148" customFormat="false" ht="15.75" hidden="false" customHeight="false" outlineLevel="0" collapsed="false">
      <c r="A5148" s="1" t="s">
        <v>1010</v>
      </c>
      <c r="B5148" s="1" t="n">
        <v>384.25</v>
      </c>
      <c r="C5148" s="1" t="n">
        <f aca="false">1/B5148</f>
        <v>0.00260247234873129</v>
      </c>
      <c r="D5148" s="1" t="n">
        <v>0.5883</v>
      </c>
      <c r="E5148" s="1" t="n">
        <f aca="false">LN(D5148)</f>
        <v>-0.530518257111727</v>
      </c>
    </row>
    <row r="5149" customFormat="false" ht="15.75" hidden="false" customHeight="false" outlineLevel="0" collapsed="false">
      <c r="A5149" s="1" t="s">
        <v>1010</v>
      </c>
      <c r="B5149" s="1" t="n">
        <v>405.75</v>
      </c>
      <c r="C5149" s="1" t="n">
        <f aca="false">1/B5149</f>
        <v>0.00246457178065311</v>
      </c>
      <c r="D5149" s="1" t="n">
        <v>0.4751</v>
      </c>
      <c r="E5149" s="1" t="n">
        <f aca="false">LN(D5149)</f>
        <v>-0.744229970789261</v>
      </c>
    </row>
    <row r="5150" customFormat="false" ht="15.75" hidden="false" customHeight="false" outlineLevel="0" collapsed="false">
      <c r="A5150" s="1" t="s">
        <v>1010</v>
      </c>
      <c r="B5150" s="1" t="n">
        <v>423.85</v>
      </c>
      <c r="C5150" s="1" t="n">
        <f aca="false">1/B5150</f>
        <v>0.00235932523298337</v>
      </c>
      <c r="D5150" s="1" t="n">
        <v>0.4032</v>
      </c>
      <c r="E5150" s="1" t="n">
        <f aca="false">LN(D5150)</f>
        <v>-0.908322562224978</v>
      </c>
    </row>
    <row r="5151" customFormat="false" ht="15.75" hidden="false" customHeight="false" outlineLevel="0" collapsed="false">
      <c r="A5151" s="1" t="s">
        <v>1010</v>
      </c>
      <c r="B5151" s="1" t="n">
        <v>433.15</v>
      </c>
      <c r="C5151" s="1" t="n">
        <f aca="false">1/B5151</f>
        <v>0.00230866905229135</v>
      </c>
      <c r="D5151" s="1" t="n">
        <v>0.3724</v>
      </c>
      <c r="E5151" s="1" t="n">
        <f aca="false">LN(D5151)</f>
        <v>-0.987786733579225</v>
      </c>
    </row>
    <row r="5152" customFormat="false" ht="15.75" hidden="false" customHeight="false" outlineLevel="0" collapsed="false">
      <c r="A5152" s="1" t="s">
        <v>1010</v>
      </c>
      <c r="B5152" s="1" t="n">
        <v>441.45</v>
      </c>
      <c r="C5152" s="1" t="n">
        <f aca="false">1/B5152</f>
        <v>0.00226526220410012</v>
      </c>
      <c r="D5152" s="1" t="n">
        <v>0.35</v>
      </c>
      <c r="E5152" s="1" t="n">
        <f aca="false">LN(D5152)</f>
        <v>-1.04982212449868</v>
      </c>
    </row>
    <row r="5153" customFormat="false" ht="15.75" hidden="false" customHeight="false" outlineLevel="0" collapsed="false">
      <c r="A5153" s="1" t="s">
        <v>1012</v>
      </c>
      <c r="B5153" s="1" t="n">
        <v>283.1548</v>
      </c>
      <c r="C5153" s="1" t="n">
        <f aca="false">1/B5153</f>
        <v>0.00353163711157289</v>
      </c>
      <c r="D5153" s="1" t="n">
        <v>1.6875</v>
      </c>
      <c r="E5153" s="1" t="n">
        <f aca="false">LN(D5153)</f>
        <v>0.523248143764548</v>
      </c>
    </row>
    <row r="5154" customFormat="false" ht="15.75" hidden="false" customHeight="false" outlineLevel="0" collapsed="false">
      <c r="A5154" s="1" t="s">
        <v>1012</v>
      </c>
      <c r="B5154" s="1" t="n">
        <v>293.15</v>
      </c>
      <c r="C5154" s="1" t="n">
        <f aca="false">1/B5154</f>
        <v>0.00341122292341805</v>
      </c>
      <c r="D5154" s="1" t="n">
        <v>1.4125</v>
      </c>
      <c r="E5154" s="1" t="n">
        <f aca="false">LN(D5154)</f>
        <v>0.345361184038459</v>
      </c>
    </row>
    <row r="5155" customFormat="false" ht="15.75" hidden="false" customHeight="false" outlineLevel="0" collapsed="false">
      <c r="A5155" s="1" t="s">
        <v>1012</v>
      </c>
      <c r="B5155" s="1" t="n">
        <v>303.15</v>
      </c>
      <c r="C5155" s="1" t="n">
        <f aca="false">1/B5155</f>
        <v>0.0032986970146792</v>
      </c>
      <c r="D5155" s="1" t="n">
        <v>1.2019</v>
      </c>
      <c r="E5155" s="1" t="n">
        <f aca="false">LN(D5155)</f>
        <v>0.183903637976606</v>
      </c>
    </row>
    <row r="5156" customFormat="false" ht="15.75" hidden="false" customHeight="false" outlineLevel="0" collapsed="false">
      <c r="A5156" s="1" t="s">
        <v>1012</v>
      </c>
      <c r="B5156" s="1" t="n">
        <v>313.15</v>
      </c>
      <c r="C5156" s="1" t="n">
        <f aca="false">1/B5156</f>
        <v>0.00319335781574325</v>
      </c>
      <c r="D5156" s="1" t="n">
        <v>1.0359</v>
      </c>
      <c r="E5156" s="1" t="n">
        <f aca="false">LN(D5156)</f>
        <v>0.0352706140819193</v>
      </c>
    </row>
    <row r="5157" customFormat="false" ht="15.75" hidden="false" customHeight="false" outlineLevel="0" collapsed="false">
      <c r="A5157" s="1" t="s">
        <v>1012</v>
      </c>
      <c r="B5157" s="1" t="n">
        <v>333.15</v>
      </c>
      <c r="C5157" s="1" t="n">
        <f aca="false">1/B5157</f>
        <v>0.0030016509079994</v>
      </c>
      <c r="D5157" s="1" t="n">
        <v>0.8003</v>
      </c>
      <c r="E5157" s="1" t="n">
        <f aca="false">LN(D5157)</f>
        <v>-0.222768621609137</v>
      </c>
    </row>
    <row r="5158" customFormat="false" ht="15.75" hidden="false" customHeight="false" outlineLevel="0" collapsed="false">
      <c r="A5158" s="1" t="s">
        <v>1012</v>
      </c>
      <c r="B5158" s="1" t="n">
        <v>343.15</v>
      </c>
      <c r="C5158" s="1" t="n">
        <f aca="false">1/B5158</f>
        <v>0.00291417747340813</v>
      </c>
      <c r="D5158" s="1" t="n">
        <v>0.7143</v>
      </c>
      <c r="E5158" s="1" t="n">
        <f aca="false">LN(D5158)</f>
        <v>-0.33645223682121</v>
      </c>
    </row>
    <row r="5159" customFormat="false" ht="15.75" hidden="false" customHeight="false" outlineLevel="0" collapsed="false">
      <c r="A5159" s="1" t="s">
        <v>1012</v>
      </c>
      <c r="B5159" s="1" t="n">
        <v>363.15</v>
      </c>
      <c r="C5159" s="1" t="n">
        <f aca="false">1/B5159</f>
        <v>0.00275368305108082</v>
      </c>
      <c r="D5159" s="1" t="n">
        <v>0.5784</v>
      </c>
      <c r="E5159" s="1" t="n">
        <f aca="false">LN(D5159)</f>
        <v>-0.547489608137582</v>
      </c>
    </row>
    <row r="5160" customFormat="false" ht="15.75" hidden="false" customHeight="false" outlineLevel="0" collapsed="false">
      <c r="A5160" s="1" t="s">
        <v>1012</v>
      </c>
      <c r="B5160" s="1" t="n">
        <v>273.1543</v>
      </c>
      <c r="C5160" s="1" t="n">
        <f aca="false">1/B5160</f>
        <v>0.00366093449746169</v>
      </c>
      <c r="D5160" s="1" t="n">
        <v>2.0251</v>
      </c>
      <c r="E5160" s="1" t="n">
        <f aca="false">LN(D5160)</f>
        <v>0.705619082055266</v>
      </c>
    </row>
    <row r="5161" customFormat="false" ht="15.75" hidden="false" customHeight="false" outlineLevel="0" collapsed="false">
      <c r="A5161" s="1" t="s">
        <v>1012</v>
      </c>
      <c r="B5161" s="1" t="n">
        <v>283.15</v>
      </c>
      <c r="C5161" s="1" t="n">
        <f aca="false">1/B5161</f>
        <v>0.00353169698039908</v>
      </c>
      <c r="D5161" s="1" t="n">
        <v>1.6551</v>
      </c>
      <c r="E5161" s="1" t="n">
        <f aca="false">LN(D5161)</f>
        <v>0.503861429964358</v>
      </c>
    </row>
    <row r="5162" customFormat="false" ht="15.75" hidden="false" customHeight="false" outlineLevel="0" collapsed="false">
      <c r="A5162" s="1" t="s">
        <v>1012</v>
      </c>
      <c r="B5162" s="1" t="n">
        <v>293.15</v>
      </c>
      <c r="C5162" s="1" t="n">
        <f aca="false">1/B5162</f>
        <v>0.00341122292341805</v>
      </c>
      <c r="D5162" s="1" t="n">
        <v>1.385</v>
      </c>
      <c r="E5162" s="1" t="n">
        <f aca="false">LN(D5162)</f>
        <v>0.325700139639302</v>
      </c>
    </row>
    <row r="5163" customFormat="false" ht="15.75" hidden="false" customHeight="false" outlineLevel="0" collapsed="false">
      <c r="A5163" s="1" t="s">
        <v>1012</v>
      </c>
      <c r="B5163" s="1" t="n">
        <v>303.15</v>
      </c>
      <c r="C5163" s="1" t="n">
        <f aca="false">1/B5163</f>
        <v>0.0032986970146792</v>
      </c>
      <c r="D5163" s="1" t="n">
        <v>1.1755</v>
      </c>
      <c r="E5163" s="1" t="n">
        <f aca="false">LN(D5163)</f>
        <v>0.161693588997987</v>
      </c>
    </row>
    <row r="5164" customFormat="false" ht="15.75" hidden="false" customHeight="false" outlineLevel="0" collapsed="false">
      <c r="A5164" s="1" t="s">
        <v>1012</v>
      </c>
      <c r="B5164" s="1" t="n">
        <v>333.15</v>
      </c>
      <c r="C5164" s="1" t="n">
        <f aca="false">1/B5164</f>
        <v>0.0030016509079994</v>
      </c>
      <c r="D5164" s="1" t="n">
        <v>0.798</v>
      </c>
      <c r="E5164" s="1" t="n">
        <f aca="false">LN(D5164)</f>
        <v>-0.225646681532328</v>
      </c>
    </row>
    <row r="5165" customFormat="false" ht="15.75" hidden="false" customHeight="false" outlineLevel="0" collapsed="false">
      <c r="A5165" s="1" t="s">
        <v>1012</v>
      </c>
      <c r="B5165" s="1" t="n">
        <v>353.15</v>
      </c>
      <c r="C5165" s="1" t="n">
        <f aca="false">1/B5165</f>
        <v>0.00283165793572137</v>
      </c>
      <c r="D5165" s="1" t="n">
        <v>0.6588</v>
      </c>
      <c r="E5165" s="1" t="n">
        <f aca="false">LN(D5165)</f>
        <v>-0.417335280678652</v>
      </c>
    </row>
    <row r="5166" customFormat="false" ht="15.75" hidden="false" customHeight="false" outlineLevel="0" collapsed="false">
      <c r="A5166" s="1" t="s">
        <v>1012</v>
      </c>
      <c r="B5166" s="1" t="n">
        <v>313.15</v>
      </c>
      <c r="C5166" s="1" t="n">
        <f aca="false">1/B5166</f>
        <v>0.00319335781574325</v>
      </c>
      <c r="D5166" s="1" t="n">
        <v>1.159</v>
      </c>
      <c r="E5166" s="1" t="n">
        <f aca="false">LN(D5166)</f>
        <v>0.147557564357615</v>
      </c>
    </row>
    <row r="5167" customFormat="false" ht="15.75" hidden="false" customHeight="false" outlineLevel="0" collapsed="false">
      <c r="A5167" s="1" t="s">
        <v>1012</v>
      </c>
      <c r="B5167" s="1" t="n">
        <v>395.05</v>
      </c>
      <c r="C5167" s="1" t="n">
        <f aca="false">1/B5167</f>
        <v>0.00253132514871535</v>
      </c>
      <c r="D5167" s="1" t="n">
        <v>0.4354</v>
      </c>
      <c r="E5167" s="1" t="n">
        <f aca="false">LN(D5167)</f>
        <v>-0.83149013018169</v>
      </c>
    </row>
    <row r="5168" customFormat="false" ht="15.75" hidden="false" customHeight="false" outlineLevel="0" collapsed="false">
      <c r="A5168" s="1" t="s">
        <v>1012</v>
      </c>
      <c r="B5168" s="1" t="n">
        <v>408.15</v>
      </c>
      <c r="C5168" s="1" t="n">
        <f aca="false">1/B5168</f>
        <v>0.0024500796275879</v>
      </c>
      <c r="D5168" s="1" t="n">
        <v>0.3923</v>
      </c>
      <c r="E5168" s="1" t="n">
        <f aca="false">LN(D5168)</f>
        <v>-0.93572842576663</v>
      </c>
    </row>
    <row r="5169" customFormat="false" ht="15.75" hidden="false" customHeight="false" outlineLevel="0" collapsed="false">
      <c r="A5169" s="1" t="s">
        <v>1012</v>
      </c>
      <c r="B5169" s="1" t="n">
        <v>423.95</v>
      </c>
      <c r="C5169" s="1" t="n">
        <f aca="false">1/B5169</f>
        <v>0.00235876872272674</v>
      </c>
      <c r="D5169" s="1" t="n">
        <v>0.3477</v>
      </c>
      <c r="E5169" s="1" t="n">
        <f aca="false">LN(D5169)</f>
        <v>-1.05641523996832</v>
      </c>
    </row>
    <row r="5170" customFormat="false" ht="15.75" hidden="false" customHeight="false" outlineLevel="0" collapsed="false">
      <c r="A5170" s="1" t="s">
        <v>1012</v>
      </c>
      <c r="B5170" s="1" t="n">
        <v>439.35</v>
      </c>
      <c r="C5170" s="1" t="n">
        <f aca="false">1/B5170</f>
        <v>0.00227608967793331</v>
      </c>
      <c r="D5170" s="1" t="n">
        <v>0.3111</v>
      </c>
      <c r="E5170" s="1" t="n">
        <f aca="false">LN(D5170)</f>
        <v>-1.16764087507855</v>
      </c>
    </row>
    <row r="5171" customFormat="false" ht="15.75" hidden="false" customHeight="false" outlineLevel="0" collapsed="false">
      <c r="A5171" s="1" t="s">
        <v>1012</v>
      </c>
      <c r="B5171" s="1" t="n">
        <v>462.35</v>
      </c>
      <c r="C5171" s="1" t="n">
        <f aca="false">1/B5171</f>
        <v>0.00216286363144804</v>
      </c>
      <c r="D5171" s="1" t="n">
        <v>0.2667</v>
      </c>
      <c r="E5171" s="1" t="n">
        <f aca="false">LN(D5171)</f>
        <v>-1.32163084779417</v>
      </c>
    </row>
    <row r="5172" customFormat="false" ht="15.75" hidden="false" customHeight="false" outlineLevel="0" collapsed="false">
      <c r="A5172" s="1" t="s">
        <v>1012</v>
      </c>
      <c r="B5172" s="1" t="n">
        <v>466.15</v>
      </c>
      <c r="C5172" s="1" t="n">
        <f aca="false">1/B5172</f>
        <v>0.00214523222138797</v>
      </c>
      <c r="D5172" s="1" t="n">
        <v>0.2603</v>
      </c>
      <c r="E5172" s="1" t="n">
        <f aca="false">LN(D5172)</f>
        <v>-1.34592046698162</v>
      </c>
    </row>
    <row r="5173" customFormat="false" ht="15.75" hidden="false" customHeight="false" outlineLevel="0" collapsed="false">
      <c r="A5173" s="1" t="s">
        <v>1012</v>
      </c>
      <c r="B5173" s="1" t="n">
        <v>371.15</v>
      </c>
      <c r="C5173" s="1" t="n">
        <f aca="false">1/B5173</f>
        <v>0.00269432843863667</v>
      </c>
      <c r="D5173" s="1" t="n">
        <v>0.5368</v>
      </c>
      <c r="E5173" s="1" t="n">
        <f aca="false">LN(D5173)</f>
        <v>-0.622129693324665</v>
      </c>
    </row>
    <row r="5174" customFormat="false" ht="15.75" hidden="false" customHeight="false" outlineLevel="0" collapsed="false">
      <c r="A5174" s="1" t="s">
        <v>1012</v>
      </c>
      <c r="B5174" s="1" t="n">
        <v>323.15</v>
      </c>
      <c r="C5174" s="1" t="n">
        <f aca="false">1/B5174</f>
        <v>0.00309453814018258</v>
      </c>
      <c r="D5174" s="1" t="n">
        <v>0.9054</v>
      </c>
      <c r="E5174" s="1" t="n">
        <f aca="false">LN(D5174)</f>
        <v>-0.0993784439802788</v>
      </c>
    </row>
    <row r="5175" customFormat="false" ht="15.75" hidden="false" customHeight="false" outlineLevel="0" collapsed="false">
      <c r="A5175" s="1" t="s">
        <v>1012</v>
      </c>
      <c r="B5175" s="1" t="n">
        <v>353.15</v>
      </c>
      <c r="C5175" s="1" t="n">
        <f aca="false">1/B5175</f>
        <v>0.00283165793572137</v>
      </c>
      <c r="D5175" s="1" t="n">
        <v>0.6423</v>
      </c>
      <c r="E5175" s="1" t="n">
        <f aca="false">LN(D5175)</f>
        <v>-0.44269979471839</v>
      </c>
    </row>
    <row r="5176" customFormat="false" ht="15.75" hidden="false" customHeight="false" outlineLevel="0" collapsed="false">
      <c r="A5176" s="1" t="s">
        <v>1012</v>
      </c>
      <c r="B5176" s="1" t="n">
        <v>360.05</v>
      </c>
      <c r="C5176" s="1" t="n">
        <f aca="false">1/B5176</f>
        <v>0.00277739202888488</v>
      </c>
      <c r="D5176" s="1" t="n">
        <v>0.5953</v>
      </c>
      <c r="E5176" s="1" t="n">
        <f aca="false">LN(D5176)</f>
        <v>-0.518689798822793</v>
      </c>
    </row>
    <row r="5177" customFormat="false" ht="15.75" hidden="false" customHeight="false" outlineLevel="0" collapsed="false">
      <c r="A5177" s="1" t="s">
        <v>1012</v>
      </c>
      <c r="B5177" s="1" t="n">
        <v>313.15</v>
      </c>
      <c r="C5177" s="1" t="n">
        <f aca="false">1/B5177</f>
        <v>0.00319335781574325</v>
      </c>
      <c r="D5177" s="1" t="n">
        <v>1.024</v>
      </c>
      <c r="E5177" s="1" t="n">
        <f aca="false">LN(D5177)</f>
        <v>0.0237165266173161</v>
      </c>
    </row>
    <row r="5178" customFormat="false" ht="15.75" hidden="false" customHeight="false" outlineLevel="0" collapsed="false">
      <c r="A5178" s="1" t="s">
        <v>1012</v>
      </c>
      <c r="B5178" s="1" t="n">
        <v>453.25</v>
      </c>
      <c r="C5178" s="1" t="n">
        <f aca="false">1/B5178</f>
        <v>0.00220628792057364</v>
      </c>
      <c r="D5178" s="1" t="n">
        <v>0.2824</v>
      </c>
      <c r="E5178" s="1" t="n">
        <f aca="false">LN(D5178)</f>
        <v>-1.26443077336305</v>
      </c>
    </row>
    <row r="5179" customFormat="false" ht="15.75" hidden="false" customHeight="false" outlineLevel="0" collapsed="false">
      <c r="A5179" s="1" t="s">
        <v>1465</v>
      </c>
      <c r="B5179" s="1" t="n">
        <v>298.15</v>
      </c>
      <c r="C5179" s="1" t="n">
        <f aca="false">1/B5179</f>
        <v>0.00335401643468053</v>
      </c>
      <c r="D5179" s="1" t="n">
        <v>1.944</v>
      </c>
      <c r="E5179" s="1" t="n">
        <f aca="false">LN(D5179)</f>
        <v>0.664747706038247</v>
      </c>
    </row>
    <row r="5180" customFormat="false" ht="15.75" hidden="false" customHeight="false" outlineLevel="0" collapsed="false">
      <c r="A5180" s="1" t="s">
        <v>1465</v>
      </c>
      <c r="B5180" s="1" t="n">
        <v>308.15</v>
      </c>
      <c r="C5180" s="1" t="n">
        <f aca="false">1/B5180</f>
        <v>0.00324517280545189</v>
      </c>
      <c r="D5180" s="1" t="n">
        <v>1.633</v>
      </c>
      <c r="E5180" s="1" t="n">
        <f aca="false">LN(D5180)</f>
        <v>0.490418813988328</v>
      </c>
    </row>
    <row r="5181" customFormat="false" ht="15.75" hidden="false" customHeight="false" outlineLevel="0" collapsed="false">
      <c r="A5181" s="1" t="s">
        <v>1465</v>
      </c>
      <c r="B5181" s="1" t="n">
        <v>318.15</v>
      </c>
      <c r="C5181" s="1" t="n">
        <f aca="false">1/B5181</f>
        <v>0.00314317146000314</v>
      </c>
      <c r="D5181" s="1" t="n">
        <v>1.393</v>
      </c>
      <c r="E5181" s="1" t="n">
        <f aca="false">LN(D5181)</f>
        <v>0.331459694797669</v>
      </c>
    </row>
    <row r="5182" customFormat="false" ht="15.75" hidden="false" customHeight="false" outlineLevel="0" collapsed="false">
      <c r="A5182" s="1" t="s">
        <v>1465</v>
      </c>
      <c r="B5182" s="1" t="n">
        <v>328.15</v>
      </c>
      <c r="C5182" s="1" t="n">
        <f aca="false">1/B5182</f>
        <v>0.00304738686576261</v>
      </c>
      <c r="D5182" s="1" t="n">
        <v>1.204</v>
      </c>
      <c r="E5182" s="1" t="n">
        <f aca="false">LN(D5182)</f>
        <v>0.185649346886629</v>
      </c>
    </row>
    <row r="5183" customFormat="false" ht="15.75" hidden="false" customHeight="false" outlineLevel="0" collapsed="false">
      <c r="A5183" s="1" t="s">
        <v>1465</v>
      </c>
      <c r="B5183" s="1" t="n">
        <v>348.15</v>
      </c>
      <c r="C5183" s="1" t="n">
        <f aca="false">1/B5183</f>
        <v>0.00287232514720666</v>
      </c>
      <c r="D5183" s="1" t="n">
        <v>0.938</v>
      </c>
      <c r="E5183" s="1" t="n">
        <f aca="false">LN(D5183)</f>
        <v>-0.0640053299759124</v>
      </c>
    </row>
    <row r="5184" customFormat="false" ht="15.75" hidden="false" customHeight="false" outlineLevel="0" collapsed="false">
      <c r="A5184" s="1" t="s">
        <v>1465</v>
      </c>
      <c r="B5184" s="1" t="n">
        <v>373.15</v>
      </c>
      <c r="C5184" s="1" t="n">
        <f aca="false">1/B5184</f>
        <v>0.00267988744472732</v>
      </c>
      <c r="D5184" s="1" t="n">
        <v>0.72</v>
      </c>
      <c r="E5184" s="1" t="n">
        <f aca="false">LN(D5184)</f>
        <v>-0.328504066972036</v>
      </c>
    </row>
    <row r="5185" customFormat="false" ht="15.75" hidden="false" customHeight="false" outlineLevel="0" collapsed="false">
      <c r="A5185" s="1" t="s">
        <v>1014</v>
      </c>
      <c r="B5185" s="1" t="n">
        <v>278.15</v>
      </c>
      <c r="C5185" s="1" t="n">
        <f aca="false">1/B5185</f>
        <v>0.00359518245550962</v>
      </c>
      <c r="D5185" s="1" t="n">
        <v>1.0673</v>
      </c>
      <c r="E5185" s="1" t="n">
        <f aca="false">LN(D5185)</f>
        <v>0.0651320949377821</v>
      </c>
    </row>
    <row r="5186" customFormat="false" ht="15.75" hidden="false" customHeight="false" outlineLevel="0" collapsed="false">
      <c r="A5186" s="1" t="s">
        <v>1014</v>
      </c>
      <c r="B5186" s="1" t="n">
        <v>288.15</v>
      </c>
      <c r="C5186" s="1" t="n">
        <f aca="false">1/B5186</f>
        <v>0.00347041471455839</v>
      </c>
      <c r="D5186" s="1" t="n">
        <v>0.9055</v>
      </c>
      <c r="E5186" s="1" t="n">
        <f aca="false">LN(D5186)</f>
        <v>-0.099268001658669</v>
      </c>
    </row>
    <row r="5187" customFormat="false" ht="15.75" hidden="false" customHeight="false" outlineLevel="0" collapsed="false">
      <c r="A5187" s="1" t="s">
        <v>1014</v>
      </c>
      <c r="B5187" s="1" t="n">
        <v>298.15</v>
      </c>
      <c r="C5187" s="1" t="n">
        <f aca="false">1/B5187</f>
        <v>0.00335401643468053</v>
      </c>
      <c r="D5187" s="1" t="n">
        <v>0.7912</v>
      </c>
      <c r="E5187" s="1" t="n">
        <f aca="false">LN(D5187)</f>
        <v>-0.234204498673635</v>
      </c>
    </row>
    <row r="5188" customFormat="false" ht="15.75" hidden="false" customHeight="false" outlineLevel="0" collapsed="false">
      <c r="A5188" s="1" t="s">
        <v>1014</v>
      </c>
      <c r="B5188" s="1" t="n">
        <v>308.15</v>
      </c>
      <c r="C5188" s="1" t="n">
        <f aca="false">1/B5188</f>
        <v>0.00324517280545189</v>
      </c>
      <c r="D5188" s="1" t="n">
        <v>0.7166</v>
      </c>
      <c r="E5188" s="1" t="n">
        <f aca="false">LN(D5188)</f>
        <v>-0.333237474111284</v>
      </c>
    </row>
    <row r="5189" customFormat="false" ht="15.75" hidden="false" customHeight="false" outlineLevel="0" collapsed="false">
      <c r="A5189" s="1" t="s">
        <v>1014</v>
      </c>
      <c r="B5189" s="1" t="n">
        <v>318.15</v>
      </c>
      <c r="C5189" s="1" t="n">
        <f aca="false">1/B5189</f>
        <v>0.00314317146000314</v>
      </c>
      <c r="D5189" s="1" t="n">
        <v>0.6474</v>
      </c>
      <c r="E5189" s="1" t="n">
        <f aca="false">LN(D5189)</f>
        <v>-0.434790937489993</v>
      </c>
    </row>
    <row r="5190" customFormat="false" ht="15.75" hidden="false" customHeight="false" outlineLevel="0" collapsed="false">
      <c r="A5190" s="1" t="s">
        <v>1016</v>
      </c>
      <c r="B5190" s="1" t="n">
        <v>345.45</v>
      </c>
      <c r="C5190" s="1" t="n">
        <f aca="false">1/B5190</f>
        <v>0.0028947749312491</v>
      </c>
      <c r="D5190" s="1" t="n">
        <v>0.705</v>
      </c>
      <c r="E5190" s="1" t="n">
        <f aca="false">LN(D5190)</f>
        <v>-0.349557476169868</v>
      </c>
    </row>
    <row r="5191" customFormat="false" ht="15.75" hidden="false" customHeight="false" outlineLevel="0" collapsed="false">
      <c r="A5191" s="1" t="s">
        <v>1016</v>
      </c>
      <c r="B5191" s="1" t="n">
        <v>365.95</v>
      </c>
      <c r="C5191" s="1" t="n">
        <f aca="false">1/B5191</f>
        <v>0.00273261374504714</v>
      </c>
      <c r="D5191" s="1" t="n">
        <v>0.558</v>
      </c>
      <c r="E5191" s="1" t="n">
        <f aca="false">LN(D5191)</f>
        <v>-0.583396316600826</v>
      </c>
    </row>
    <row r="5192" customFormat="false" ht="15.75" hidden="false" customHeight="false" outlineLevel="0" collapsed="false">
      <c r="A5192" s="1" t="s">
        <v>1016</v>
      </c>
      <c r="B5192" s="1" t="n">
        <v>383.15</v>
      </c>
      <c r="C5192" s="1" t="n">
        <f aca="false">1/B5192</f>
        <v>0.00260994388620645</v>
      </c>
      <c r="D5192" s="1" t="n">
        <v>0.4689</v>
      </c>
      <c r="E5192" s="1" t="n">
        <f aca="false">LN(D5192)</f>
        <v>-0.757365752886596</v>
      </c>
    </row>
    <row r="5193" customFormat="false" ht="15.75" hidden="false" customHeight="false" outlineLevel="0" collapsed="false">
      <c r="A5193" s="1" t="s">
        <v>1016</v>
      </c>
      <c r="B5193" s="1" t="n">
        <v>399.75</v>
      </c>
      <c r="C5193" s="1" t="n">
        <f aca="false">1/B5193</f>
        <v>0.00250156347717323</v>
      </c>
      <c r="D5193" s="1" t="n">
        <v>0.4073</v>
      </c>
      <c r="E5193" s="1" t="n">
        <f aca="false">LN(D5193)</f>
        <v>-0.89820526432777</v>
      </c>
    </row>
    <row r="5194" customFormat="false" ht="15.75" hidden="false" customHeight="false" outlineLevel="0" collapsed="false">
      <c r="A5194" s="1" t="s">
        <v>1016</v>
      </c>
      <c r="B5194" s="1" t="n">
        <v>415.35</v>
      </c>
      <c r="C5194" s="1" t="n">
        <f aca="false">1/B5194</f>
        <v>0.00240760804141086</v>
      </c>
      <c r="D5194" s="1" t="n">
        <v>0.3574</v>
      </c>
      <c r="E5194" s="1" t="n">
        <f aca="false">LN(D5194)</f>
        <v>-1.02889967625681</v>
      </c>
    </row>
    <row r="5195" customFormat="false" ht="15.75" hidden="false" customHeight="false" outlineLevel="0" collapsed="false">
      <c r="A5195" s="1" t="s">
        <v>1016</v>
      </c>
      <c r="B5195" s="1" t="n">
        <v>428.15</v>
      </c>
      <c r="C5195" s="1" t="n">
        <f aca="false">1/B5195</f>
        <v>0.00233563003620227</v>
      </c>
      <c r="D5195" s="1" t="n">
        <v>0.3231</v>
      </c>
      <c r="E5195" s="1" t="n">
        <f aca="false">LN(D5195)</f>
        <v>-1.12979340615168</v>
      </c>
    </row>
    <row r="5196" customFormat="false" ht="15.75" hidden="false" customHeight="false" outlineLevel="0" collapsed="false">
      <c r="A5196" s="1" t="s">
        <v>1016</v>
      </c>
      <c r="B5196" s="1" t="n">
        <v>443.15</v>
      </c>
      <c r="C5196" s="1" t="n">
        <f aca="false">1/B5196</f>
        <v>0.00225657226672684</v>
      </c>
      <c r="D5196" s="1" t="n">
        <v>0.2885</v>
      </c>
      <c r="E5196" s="1" t="n">
        <f aca="false">LN(D5196)</f>
        <v>-1.24306019303398</v>
      </c>
    </row>
    <row r="5197" customFormat="false" ht="15.75" hidden="false" customHeight="false" outlineLevel="0" collapsed="false">
      <c r="A5197" s="1" t="s">
        <v>1016</v>
      </c>
      <c r="B5197" s="1" t="n">
        <v>454.65</v>
      </c>
      <c r="C5197" s="1" t="n">
        <f aca="false">1/B5197</f>
        <v>0.00219949411635324</v>
      </c>
      <c r="D5197" s="1" t="n">
        <v>0.2659</v>
      </c>
      <c r="E5197" s="1" t="n">
        <f aca="false">LN(D5197)</f>
        <v>-1.32463498073316</v>
      </c>
    </row>
    <row r="5198" customFormat="false" ht="15.75" hidden="false" customHeight="false" outlineLevel="0" collapsed="false">
      <c r="A5198" s="1" t="s">
        <v>1016</v>
      </c>
      <c r="B5198" s="1" t="n">
        <v>458.15</v>
      </c>
      <c r="C5198" s="1" t="n">
        <f aca="false">1/B5198</f>
        <v>0.00218269125832151</v>
      </c>
      <c r="D5198" s="1" t="n">
        <v>0.2596</v>
      </c>
      <c r="E5198" s="1" t="n">
        <f aca="false">LN(D5198)</f>
        <v>-1.3486132941522</v>
      </c>
    </row>
    <row r="5199" customFormat="false" ht="15.75" hidden="false" customHeight="false" outlineLevel="0" collapsed="false">
      <c r="A5199" s="1" t="s">
        <v>1018</v>
      </c>
      <c r="B5199" s="1" t="n">
        <v>374.15</v>
      </c>
      <c r="C5199" s="1" t="n">
        <f aca="false">1/B5199</f>
        <v>0.00267272484297742</v>
      </c>
      <c r="D5199" s="1" t="n">
        <v>0.5215</v>
      </c>
      <c r="E5199" s="1" t="n">
        <f aca="false">LN(D5199)</f>
        <v>-0.65104600454131</v>
      </c>
    </row>
    <row r="5200" customFormat="false" ht="15.75" hidden="false" customHeight="false" outlineLevel="0" collapsed="false">
      <c r="A5200" s="1" t="s">
        <v>1018</v>
      </c>
      <c r="B5200" s="1" t="n">
        <v>387.95</v>
      </c>
      <c r="C5200" s="1" t="n">
        <f aca="false">1/B5200</f>
        <v>0.00257765175924733</v>
      </c>
      <c r="D5200" s="1" t="n">
        <v>0.4608</v>
      </c>
      <c r="E5200" s="1" t="n">
        <f aca="false">LN(D5200)</f>
        <v>-0.774791169600456</v>
      </c>
    </row>
    <row r="5201" customFormat="false" ht="15.75" hidden="false" customHeight="false" outlineLevel="0" collapsed="false">
      <c r="A5201" s="1" t="s">
        <v>1018</v>
      </c>
      <c r="B5201" s="1" t="n">
        <v>418.25</v>
      </c>
      <c r="C5201" s="1" t="n">
        <f aca="false">1/B5201</f>
        <v>0.00239091452480574</v>
      </c>
      <c r="D5201" s="1" t="n">
        <v>0.3601</v>
      </c>
      <c r="E5201" s="1" t="n">
        <f aca="false">LN(D5201)</f>
        <v>-1.02137350832731</v>
      </c>
    </row>
    <row r="5202" customFormat="false" ht="15.75" hidden="false" customHeight="false" outlineLevel="0" collapsed="false">
      <c r="A5202" s="1" t="s">
        <v>1018</v>
      </c>
      <c r="B5202" s="1" t="n">
        <v>433.65</v>
      </c>
      <c r="C5202" s="1" t="n">
        <f aca="false">1/B5202</f>
        <v>0.00230600714862216</v>
      </c>
      <c r="D5202" s="1" t="n">
        <v>0.3217</v>
      </c>
      <c r="E5202" s="1" t="n">
        <f aca="false">LN(D5202)</f>
        <v>-1.13413584473716</v>
      </c>
    </row>
    <row r="5203" customFormat="false" ht="15.75" hidden="false" customHeight="false" outlineLevel="0" collapsed="false">
      <c r="A5203" s="1" t="s">
        <v>1018</v>
      </c>
      <c r="B5203" s="1" t="n">
        <v>463.15</v>
      </c>
      <c r="C5203" s="1" t="n">
        <f aca="false">1/B5203</f>
        <v>0.00215912771240419</v>
      </c>
      <c r="D5203" s="1" t="n">
        <v>0.2646</v>
      </c>
      <c r="E5203" s="1" t="n">
        <f aca="false">LN(D5203)</f>
        <v>-1.32953602730128</v>
      </c>
    </row>
    <row r="5204" customFormat="false" ht="15.75" hidden="false" customHeight="false" outlineLevel="0" collapsed="false">
      <c r="A5204" s="1" t="s">
        <v>1018</v>
      </c>
      <c r="B5204" s="1" t="n">
        <v>477.35</v>
      </c>
      <c r="C5204" s="1" t="n">
        <f aca="false">1/B5204</f>
        <v>0.00209489892112706</v>
      </c>
      <c r="D5204" s="1" t="n">
        <v>0.2423</v>
      </c>
      <c r="E5204" s="1" t="n">
        <f aca="false">LN(D5204)</f>
        <v>-1.41757865115966</v>
      </c>
    </row>
    <row r="5205" customFormat="false" ht="15.75" hidden="false" customHeight="false" outlineLevel="0" collapsed="false">
      <c r="A5205" s="1" t="s">
        <v>1018</v>
      </c>
      <c r="B5205" s="1" t="n">
        <v>404.25</v>
      </c>
      <c r="C5205" s="1" t="n">
        <f aca="false">1/B5205</f>
        <v>0.00247371675943105</v>
      </c>
      <c r="D5205" s="1" t="n">
        <v>0.4027</v>
      </c>
      <c r="E5205" s="1" t="n">
        <f aca="false">LN(D5205)</f>
        <v>-0.909563411124729</v>
      </c>
    </row>
    <row r="5206" customFormat="false" ht="15.75" hidden="false" customHeight="false" outlineLevel="0" collapsed="false">
      <c r="A5206" s="1" t="s">
        <v>1018</v>
      </c>
      <c r="B5206" s="1" t="n">
        <v>448.15</v>
      </c>
      <c r="C5206" s="1" t="n">
        <f aca="false">1/B5206</f>
        <v>0.00223139573803414</v>
      </c>
      <c r="D5206" s="1" t="n">
        <v>0.291</v>
      </c>
      <c r="E5206" s="1" t="n">
        <f aca="false">LN(D5206)</f>
        <v>-1.23443201181064</v>
      </c>
    </row>
    <row r="5207" customFormat="false" ht="15.75" hidden="false" customHeight="false" outlineLevel="0" collapsed="false">
      <c r="A5207" s="1" t="s">
        <v>1018</v>
      </c>
      <c r="B5207" s="1" t="n">
        <v>483.65</v>
      </c>
      <c r="C5207" s="1" t="n">
        <f aca="false">1/B5207</f>
        <v>0.00206761087563321</v>
      </c>
      <c r="D5207" s="1" t="n">
        <v>0.2341</v>
      </c>
      <c r="E5207" s="1" t="n">
        <f aca="false">LN(D5207)</f>
        <v>-1.45200690448527</v>
      </c>
    </row>
    <row r="5208" customFormat="false" ht="15.75" hidden="false" customHeight="false" outlineLevel="0" collapsed="false">
      <c r="A5208" s="1" t="s">
        <v>1466</v>
      </c>
      <c r="B5208" s="1" t="n">
        <v>298.15</v>
      </c>
      <c r="C5208" s="1" t="n">
        <f aca="false">1/B5208</f>
        <v>0.00335401643468053</v>
      </c>
      <c r="D5208" s="1" t="n">
        <v>10.84</v>
      </c>
      <c r="E5208" s="1" t="n">
        <f aca="false">LN(D5208)</f>
        <v>2.3832429960115</v>
      </c>
    </row>
    <row r="5209" customFormat="false" ht="15.75" hidden="false" customHeight="false" outlineLevel="0" collapsed="false">
      <c r="A5209" s="1" t="s">
        <v>1466</v>
      </c>
      <c r="B5209" s="1" t="n">
        <v>308.15</v>
      </c>
      <c r="C5209" s="1" t="n">
        <f aca="false">1/B5209</f>
        <v>0.00324517280545189</v>
      </c>
      <c r="D5209" s="1" t="n">
        <v>7.515</v>
      </c>
      <c r="E5209" s="1" t="n">
        <f aca="false">LN(D5209)</f>
        <v>2.01690102320494</v>
      </c>
    </row>
    <row r="5210" customFormat="false" ht="15.75" hidden="false" customHeight="false" outlineLevel="0" collapsed="false">
      <c r="A5210" s="1" t="s">
        <v>1466</v>
      </c>
      <c r="B5210" s="1" t="n">
        <v>318.15</v>
      </c>
      <c r="C5210" s="1" t="n">
        <f aca="false">1/B5210</f>
        <v>0.00314317146000314</v>
      </c>
      <c r="D5210" s="1" t="n">
        <v>5.437</v>
      </c>
      <c r="E5210" s="1" t="n">
        <f aca="false">LN(D5210)</f>
        <v>1.69322743816378</v>
      </c>
    </row>
    <row r="5211" customFormat="false" ht="15.75" hidden="false" customHeight="false" outlineLevel="0" collapsed="false">
      <c r="A5211" s="1" t="s">
        <v>1466</v>
      </c>
      <c r="B5211" s="1" t="n">
        <v>328.15</v>
      </c>
      <c r="C5211" s="1" t="n">
        <f aca="false">1/B5211</f>
        <v>0.00304738686576261</v>
      </c>
      <c r="D5211" s="1" t="n">
        <v>4.096</v>
      </c>
      <c r="E5211" s="1" t="n">
        <f aca="false">LN(D5211)</f>
        <v>1.41001088773721</v>
      </c>
    </row>
    <row r="5212" customFormat="false" ht="15.75" hidden="false" customHeight="false" outlineLevel="0" collapsed="false">
      <c r="A5212" s="1" t="s">
        <v>1466</v>
      </c>
      <c r="B5212" s="1" t="n">
        <v>338.15</v>
      </c>
      <c r="C5212" s="1" t="n">
        <f aca="false">1/B5212</f>
        <v>0.002957267484844</v>
      </c>
      <c r="D5212" s="1" t="n">
        <v>3.178</v>
      </c>
      <c r="E5212" s="1" t="n">
        <f aca="false">LN(D5212)</f>
        <v>1.15625206811452</v>
      </c>
    </row>
    <row r="5213" customFormat="false" ht="15.75" hidden="false" customHeight="false" outlineLevel="0" collapsed="false">
      <c r="A5213" s="1" t="s">
        <v>1466</v>
      </c>
      <c r="B5213" s="1" t="n">
        <v>348.15</v>
      </c>
      <c r="C5213" s="1" t="n">
        <f aca="false">1/B5213</f>
        <v>0.00287232514720666</v>
      </c>
      <c r="D5213" s="1" t="n">
        <v>2.542</v>
      </c>
      <c r="E5213" s="1" t="n">
        <f aca="false">LN(D5213)</f>
        <v>0.932951172767262</v>
      </c>
    </row>
    <row r="5214" customFormat="false" ht="15.75" hidden="false" customHeight="false" outlineLevel="0" collapsed="false">
      <c r="A5214" s="1" t="s">
        <v>1020</v>
      </c>
      <c r="B5214" s="1" t="n">
        <v>372.05</v>
      </c>
      <c r="C5214" s="1" t="n">
        <f aca="false">1/B5214</f>
        <v>0.00268781077812122</v>
      </c>
      <c r="D5214" s="1" t="n">
        <v>0.76</v>
      </c>
      <c r="E5214" s="1" t="n">
        <f aca="false">LN(D5214)</f>
        <v>-0.27443684570176</v>
      </c>
    </row>
    <row r="5215" customFormat="false" ht="15.75" hidden="false" customHeight="false" outlineLevel="0" collapsed="false">
      <c r="A5215" s="1" t="s">
        <v>1020</v>
      </c>
      <c r="B5215" s="1" t="n">
        <v>404.05</v>
      </c>
      <c r="C5215" s="1" t="n">
        <f aca="false">1/B5215</f>
        <v>0.00247494122014602</v>
      </c>
      <c r="D5215" s="1" t="n">
        <v>0.544</v>
      </c>
      <c r="E5215" s="1" t="n">
        <f aca="false">LN(D5215)</f>
        <v>-0.608806032126194</v>
      </c>
    </row>
    <row r="5216" customFormat="false" ht="15.75" hidden="false" customHeight="false" outlineLevel="0" collapsed="false">
      <c r="A5216" s="1" t="s">
        <v>1020</v>
      </c>
      <c r="B5216" s="1" t="n">
        <v>417.35</v>
      </c>
      <c r="C5216" s="1" t="n">
        <f aca="false">1/B5216</f>
        <v>0.00239607044447107</v>
      </c>
      <c r="D5216" s="1" t="n">
        <v>0.4783</v>
      </c>
      <c r="E5216" s="1" t="n">
        <f aca="false">LN(D5216)</f>
        <v>-0.737517128295886</v>
      </c>
    </row>
    <row r="5217" customFormat="false" ht="15.75" hidden="false" customHeight="false" outlineLevel="0" collapsed="false">
      <c r="A5217" s="1" t="s">
        <v>1020</v>
      </c>
      <c r="B5217" s="1" t="n">
        <v>433.45</v>
      </c>
      <c r="C5217" s="1" t="n">
        <f aca="false">1/B5217</f>
        <v>0.00230707117314569</v>
      </c>
      <c r="D5217" s="1" t="n">
        <v>0.4163</v>
      </c>
      <c r="E5217" s="1" t="n">
        <f aca="false">LN(D5217)</f>
        <v>-0.876349124781207</v>
      </c>
    </row>
    <row r="5218" customFormat="false" ht="15.75" hidden="false" customHeight="false" outlineLevel="0" collapsed="false">
      <c r="A5218" s="1" t="s">
        <v>1020</v>
      </c>
      <c r="B5218" s="1" t="n">
        <v>447.75</v>
      </c>
      <c r="C5218" s="1" t="n">
        <f aca="false">1/B5218</f>
        <v>0.00223338916806253</v>
      </c>
      <c r="D5218" s="1" t="n">
        <v>0.3712</v>
      </c>
      <c r="E5218" s="1" t="n">
        <f aca="false">LN(D5218)</f>
        <v>-0.991014278070092</v>
      </c>
    </row>
    <row r="5219" customFormat="false" ht="15.75" hidden="false" customHeight="false" outlineLevel="0" collapsed="false">
      <c r="A5219" s="1" t="s">
        <v>1020</v>
      </c>
      <c r="B5219" s="1" t="n">
        <v>466.25</v>
      </c>
      <c r="C5219" s="1" t="n">
        <f aca="false">1/B5219</f>
        <v>0.00214477211796247</v>
      </c>
      <c r="D5219" s="1" t="n">
        <v>0.3226</v>
      </c>
      <c r="E5219" s="1" t="n">
        <f aca="false">LN(D5219)</f>
        <v>-1.13134211329103</v>
      </c>
    </row>
    <row r="5220" customFormat="false" ht="15.75" hidden="false" customHeight="false" outlineLevel="0" collapsed="false">
      <c r="A5220" s="1" t="s">
        <v>1020</v>
      </c>
      <c r="B5220" s="1" t="n">
        <v>480.35</v>
      </c>
      <c r="C5220" s="1" t="n">
        <f aca="false">1/B5220</f>
        <v>0.00208181534297908</v>
      </c>
      <c r="D5220" s="1" t="n">
        <v>0.2917</v>
      </c>
      <c r="E5220" s="1" t="n">
        <f aca="false">LN(D5220)</f>
        <v>-1.23202940210846</v>
      </c>
    </row>
    <row r="5221" customFormat="false" ht="15.75" hidden="false" customHeight="false" outlineLevel="0" collapsed="false">
      <c r="A5221" s="1" t="s">
        <v>1020</v>
      </c>
      <c r="B5221" s="1" t="n">
        <v>493.75</v>
      </c>
      <c r="C5221" s="1" t="n">
        <f aca="false">1/B5221</f>
        <v>0.0020253164556962</v>
      </c>
      <c r="D5221" s="1" t="n">
        <v>0.2673</v>
      </c>
      <c r="E5221" s="1" t="n">
        <f aca="false">LN(D5221)</f>
        <v>-1.31938365583726</v>
      </c>
    </row>
    <row r="5222" customFormat="false" ht="15.75" hidden="false" customHeight="false" outlineLevel="0" collapsed="false">
      <c r="A5222" s="1" t="s">
        <v>1020</v>
      </c>
      <c r="B5222" s="1" t="n">
        <v>512.65</v>
      </c>
      <c r="C5222" s="1" t="n">
        <f aca="false">1/B5222</f>
        <v>0.00195064859065639</v>
      </c>
      <c r="D5222" s="1" t="n">
        <v>0.2375</v>
      </c>
      <c r="E5222" s="1" t="n">
        <f aca="false">LN(D5222)</f>
        <v>-1.43758765550744</v>
      </c>
    </row>
    <row r="5223" customFormat="false" ht="15.75" hidden="false" customHeight="false" outlineLevel="0" collapsed="false">
      <c r="A5223" s="1" t="s">
        <v>244</v>
      </c>
      <c r="B5223" s="1" t="n">
        <v>373.11</v>
      </c>
      <c r="C5223" s="1" t="n">
        <f aca="false">1/B5223</f>
        <v>0.00268017474739353</v>
      </c>
      <c r="D5223" s="1" t="n">
        <v>3.305</v>
      </c>
      <c r="E5223" s="1" t="n">
        <f aca="false">LN(D5223)</f>
        <v>1.19543647330365</v>
      </c>
    </row>
    <row r="5224" customFormat="false" ht="15.75" hidden="false" customHeight="false" outlineLevel="0" collapsed="false">
      <c r="A5224" s="1" t="s">
        <v>244</v>
      </c>
      <c r="B5224" s="1" t="n">
        <v>458.23</v>
      </c>
      <c r="C5224" s="1" t="n">
        <f aca="false">1/B5224</f>
        <v>0.00218231019357091</v>
      </c>
      <c r="D5224" s="1" t="n">
        <v>1.252</v>
      </c>
      <c r="E5224" s="1" t="n">
        <f aca="false">LN(D5224)</f>
        <v>0.224742272677907</v>
      </c>
    </row>
    <row r="5225" customFormat="false" ht="15.75" hidden="false" customHeight="false" outlineLevel="0" collapsed="false">
      <c r="A5225" s="1" t="s">
        <v>1022</v>
      </c>
      <c r="B5225" s="1" t="n">
        <v>298.15</v>
      </c>
      <c r="C5225" s="1" t="n">
        <f aca="false">1/B5225</f>
        <v>0.00335401643468053</v>
      </c>
      <c r="D5225" s="1" t="n">
        <v>2.21</v>
      </c>
      <c r="E5225" s="1" t="n">
        <f aca="false">LN(D5225)</f>
        <v>0.792992515529661</v>
      </c>
    </row>
    <row r="5226" customFormat="false" ht="15.75" hidden="false" customHeight="false" outlineLevel="0" collapsed="false">
      <c r="A5226" s="1" t="s">
        <v>1022</v>
      </c>
      <c r="B5226" s="1" t="n">
        <v>308.15</v>
      </c>
      <c r="C5226" s="1" t="n">
        <f aca="false">1/B5226</f>
        <v>0.00324517280545189</v>
      </c>
      <c r="D5226" s="1" t="n">
        <v>1.84</v>
      </c>
      <c r="E5226" s="1" t="n">
        <f aca="false">LN(D5226)</f>
        <v>0.609765571620894</v>
      </c>
    </row>
    <row r="5227" customFormat="false" ht="15.75" hidden="false" customHeight="false" outlineLevel="0" collapsed="false">
      <c r="A5227" s="1" t="s">
        <v>1022</v>
      </c>
      <c r="B5227" s="1" t="n">
        <v>318.15</v>
      </c>
      <c r="C5227" s="1" t="n">
        <f aca="false">1/B5227</f>
        <v>0.00314317146000314</v>
      </c>
      <c r="D5227" s="1" t="n">
        <v>1.55</v>
      </c>
      <c r="E5227" s="1" t="n">
        <f aca="false">LN(D5227)</f>
        <v>0.438254930931155</v>
      </c>
    </row>
    <row r="5228" customFormat="false" ht="15.75" hidden="false" customHeight="false" outlineLevel="0" collapsed="false">
      <c r="A5228" s="1" t="s">
        <v>1022</v>
      </c>
      <c r="B5228" s="1" t="n">
        <v>328.15</v>
      </c>
      <c r="C5228" s="1" t="n">
        <f aca="false">1/B5228</f>
        <v>0.00304738686576261</v>
      </c>
      <c r="D5228" s="1" t="n">
        <v>1.33</v>
      </c>
      <c r="E5228" s="1" t="n">
        <f aca="false">LN(D5228)</f>
        <v>0.285178942233662</v>
      </c>
    </row>
    <row r="5229" customFormat="false" ht="15.75" hidden="false" customHeight="false" outlineLevel="0" collapsed="false">
      <c r="A5229" s="1" t="s">
        <v>1022</v>
      </c>
      <c r="B5229" s="1" t="n">
        <v>338.15</v>
      </c>
      <c r="C5229" s="1" t="n">
        <f aca="false">1/B5229</f>
        <v>0.002957267484844</v>
      </c>
      <c r="D5229" s="1" t="n">
        <v>1.15</v>
      </c>
      <c r="E5229" s="1" t="n">
        <f aca="false">LN(D5229)</f>
        <v>0.139761942375159</v>
      </c>
    </row>
    <row r="5230" customFormat="false" ht="15.75" hidden="false" customHeight="false" outlineLevel="0" collapsed="false">
      <c r="A5230" s="1" t="s">
        <v>1022</v>
      </c>
      <c r="B5230" s="1" t="n">
        <v>348.15</v>
      </c>
      <c r="C5230" s="1" t="n">
        <f aca="false">1/B5230</f>
        <v>0.00287232514720666</v>
      </c>
      <c r="D5230" s="1" t="n">
        <v>1.01</v>
      </c>
      <c r="E5230" s="1" t="n">
        <f aca="false">LN(D5230)</f>
        <v>0.00995033085316809</v>
      </c>
    </row>
    <row r="5231" customFormat="false" ht="15.75" hidden="false" customHeight="false" outlineLevel="0" collapsed="false">
      <c r="A5231" s="1" t="s">
        <v>1024</v>
      </c>
      <c r="B5231" s="1" t="n">
        <v>372.6565</v>
      </c>
      <c r="C5231" s="1" t="n">
        <f aca="false">1/B5231</f>
        <v>0.00268343635492739</v>
      </c>
      <c r="D5231" s="1" t="n">
        <v>0.5981</v>
      </c>
      <c r="E5231" s="1" t="n">
        <f aca="false">LN(D5231)</f>
        <v>-0.513997314931626</v>
      </c>
    </row>
    <row r="5232" customFormat="false" ht="15.75" hidden="false" customHeight="false" outlineLevel="0" collapsed="false">
      <c r="A5232" s="1" t="s">
        <v>1024</v>
      </c>
      <c r="B5232" s="1" t="n">
        <v>382.65</v>
      </c>
      <c r="C5232" s="1" t="n">
        <f aca="false">1/B5232</f>
        <v>0.00261335424016726</v>
      </c>
      <c r="D5232" s="1" t="n">
        <v>0.5401</v>
      </c>
      <c r="E5232" s="1" t="n">
        <f aca="false">LN(D5232)</f>
        <v>-0.616000971383292</v>
      </c>
    </row>
    <row r="5233" customFormat="false" ht="15.75" hidden="false" customHeight="false" outlineLevel="0" collapsed="false">
      <c r="A5233" s="1" t="s">
        <v>1024</v>
      </c>
      <c r="B5233" s="1" t="n">
        <v>394.55</v>
      </c>
      <c r="C5233" s="1" t="n">
        <f aca="false">1/B5233</f>
        <v>0.00253453301229248</v>
      </c>
      <c r="D5233" s="1" t="n">
        <v>0.4792</v>
      </c>
      <c r="E5233" s="1" t="n">
        <f aca="false">LN(D5233)</f>
        <v>-0.735637232180897</v>
      </c>
    </row>
    <row r="5234" customFormat="false" ht="15.75" hidden="false" customHeight="false" outlineLevel="0" collapsed="false">
      <c r="A5234" s="1" t="s">
        <v>1024</v>
      </c>
      <c r="B5234" s="1" t="n">
        <v>407.55</v>
      </c>
      <c r="C5234" s="1" t="n">
        <f aca="false">1/B5234</f>
        <v>0.00245368666421298</v>
      </c>
      <c r="D5234" s="1" t="n">
        <v>0.424</v>
      </c>
      <c r="E5234" s="1" t="n">
        <f aca="false">LN(D5234)</f>
        <v>-0.858021823750179</v>
      </c>
    </row>
    <row r="5235" customFormat="false" ht="15.75" hidden="false" customHeight="false" outlineLevel="0" collapsed="false">
      <c r="A5235" s="1" t="s">
        <v>1024</v>
      </c>
      <c r="B5235" s="1" t="n">
        <v>430.45</v>
      </c>
      <c r="C5235" s="1" t="n">
        <f aca="false">1/B5235</f>
        <v>0.00232315019165989</v>
      </c>
      <c r="D5235" s="1" t="n">
        <v>0.3466</v>
      </c>
      <c r="E5235" s="1" t="n">
        <f aca="false">LN(D5235)</f>
        <v>-1.05958390170063</v>
      </c>
    </row>
    <row r="5236" customFormat="false" ht="15.75" hidden="false" customHeight="false" outlineLevel="0" collapsed="false">
      <c r="A5236" s="1" t="s">
        <v>1024</v>
      </c>
      <c r="B5236" s="1" t="n">
        <v>443.35</v>
      </c>
      <c r="C5236" s="1" t="n">
        <f aca="false">1/B5236</f>
        <v>0.00225555430246983</v>
      </c>
      <c r="D5236" s="1" t="n">
        <v>0.3127</v>
      </c>
      <c r="E5236" s="1" t="n">
        <f aca="false">LN(D5236)</f>
        <v>-1.16251101451834</v>
      </c>
    </row>
    <row r="5237" customFormat="false" ht="15.75" hidden="false" customHeight="false" outlineLevel="0" collapsed="false">
      <c r="A5237" s="1" t="s">
        <v>1024</v>
      </c>
      <c r="B5237" s="1" t="n">
        <v>458.15</v>
      </c>
      <c r="C5237" s="1" t="n">
        <f aca="false">1/B5237</f>
        <v>0.00218269125832151</v>
      </c>
      <c r="D5237" s="1" t="n">
        <v>0.2801</v>
      </c>
      <c r="E5237" s="1" t="n">
        <f aca="false">LN(D5237)</f>
        <v>-1.27260859671607</v>
      </c>
    </row>
    <row r="5238" customFormat="false" ht="15.75" hidden="false" customHeight="false" outlineLevel="0" collapsed="false">
      <c r="A5238" s="1" t="s">
        <v>1024</v>
      </c>
      <c r="B5238" s="1" t="n">
        <v>469.45</v>
      </c>
      <c r="C5238" s="1" t="n">
        <f aca="false">1/B5238</f>
        <v>0.00213015230588987</v>
      </c>
      <c r="D5238" s="1" t="n">
        <v>0.2585</v>
      </c>
      <c r="E5238" s="1" t="n">
        <f aca="false">LN(D5238)</f>
        <v>-1.35285958503365</v>
      </c>
    </row>
    <row r="5239" customFormat="false" ht="15.75" hidden="false" customHeight="false" outlineLevel="0" collapsed="false">
      <c r="A5239" s="1" t="s">
        <v>1024</v>
      </c>
      <c r="B5239" s="1" t="n">
        <v>478.15</v>
      </c>
      <c r="C5239" s="1" t="n">
        <f aca="false">1/B5239</f>
        <v>0.00209139391404371</v>
      </c>
      <c r="D5239" s="1" t="n">
        <v>0.2436</v>
      </c>
      <c r="E5239" s="1" t="n">
        <f aca="false">LN(D5239)</f>
        <v>-1.4122277431464</v>
      </c>
    </row>
    <row r="5240" customFormat="false" ht="15.75" hidden="false" customHeight="false" outlineLevel="0" collapsed="false">
      <c r="A5240" s="1" t="s">
        <v>1024</v>
      </c>
      <c r="B5240" s="1" t="n">
        <v>283.15</v>
      </c>
      <c r="C5240" s="1" t="n">
        <f aca="false">1/B5240</f>
        <v>0.00353169698039908</v>
      </c>
      <c r="D5240" s="1" t="n">
        <v>2.979</v>
      </c>
      <c r="E5240" s="1" t="n">
        <f aca="false">LN(D5240)</f>
        <v>1.09158767373115</v>
      </c>
    </row>
    <row r="5241" customFormat="false" ht="15.75" hidden="false" customHeight="false" outlineLevel="0" collapsed="false">
      <c r="A5241" s="1" t="s">
        <v>1024</v>
      </c>
      <c r="B5241" s="1" t="n">
        <v>293.15</v>
      </c>
      <c r="C5241" s="1" t="n">
        <f aca="false">1/B5241</f>
        <v>0.00341122292341805</v>
      </c>
      <c r="D5241" s="1" t="n">
        <v>2.251</v>
      </c>
      <c r="E5241" s="1" t="n">
        <f aca="false">LN(D5241)</f>
        <v>0.811374561924595</v>
      </c>
    </row>
    <row r="5242" customFormat="false" ht="15.75" hidden="false" customHeight="false" outlineLevel="0" collapsed="false">
      <c r="A5242" s="1" t="s">
        <v>1024</v>
      </c>
      <c r="B5242" s="1" t="n">
        <v>313.15</v>
      </c>
      <c r="C5242" s="1" t="n">
        <f aca="false">1/B5242</f>
        <v>0.00319335781574325</v>
      </c>
      <c r="D5242" s="1" t="n">
        <v>1.434</v>
      </c>
      <c r="E5242" s="1" t="n">
        <f aca="false">LN(D5242)</f>
        <v>0.360467742177429</v>
      </c>
    </row>
    <row r="5243" customFormat="false" ht="15.75" hidden="false" customHeight="false" outlineLevel="0" collapsed="false">
      <c r="A5243" s="1" t="s">
        <v>1024</v>
      </c>
      <c r="B5243" s="1" t="n">
        <v>333.15</v>
      </c>
      <c r="C5243" s="1" t="n">
        <f aca="false">1/B5243</f>
        <v>0.0030016509079994</v>
      </c>
      <c r="D5243" s="1" t="n">
        <v>1.013</v>
      </c>
      <c r="E5243" s="1" t="n">
        <f aca="false">LN(D5243)</f>
        <v>0.0129162252665462</v>
      </c>
    </row>
    <row r="5244" customFormat="false" ht="15.75" hidden="false" customHeight="false" outlineLevel="0" collapsed="false">
      <c r="A5244" s="1" t="s">
        <v>1024</v>
      </c>
      <c r="B5244" s="1" t="n">
        <v>353.15</v>
      </c>
      <c r="C5244" s="1" t="n">
        <f aca="false">1/B5244</f>
        <v>0.00283165793572137</v>
      </c>
      <c r="D5244" s="1" t="n">
        <v>0.7645</v>
      </c>
      <c r="E5244" s="1" t="n">
        <f aca="false">LN(D5244)</f>
        <v>-0.26853325361302</v>
      </c>
    </row>
    <row r="5245" customFormat="false" ht="15.75" hidden="false" customHeight="false" outlineLevel="0" collapsed="false">
      <c r="A5245" s="1" t="s">
        <v>1024</v>
      </c>
      <c r="B5245" s="1" t="n">
        <v>373.15</v>
      </c>
      <c r="C5245" s="1" t="n">
        <f aca="false">1/B5245</f>
        <v>0.00267988744472732</v>
      </c>
      <c r="D5245" s="1" t="n">
        <v>0.6037</v>
      </c>
      <c r="E5245" s="1" t="n">
        <f aca="false">LN(D5245)</f>
        <v>-0.504677893179757</v>
      </c>
    </row>
    <row r="5246" customFormat="false" ht="15.75" hidden="false" customHeight="false" outlineLevel="0" collapsed="false">
      <c r="A5246" s="1" t="s">
        <v>1024</v>
      </c>
      <c r="B5246" s="1" t="n">
        <v>419.25</v>
      </c>
      <c r="C5246" s="1" t="n">
        <f aca="false">1/B5246</f>
        <v>0.00238521168753727</v>
      </c>
      <c r="D5246" s="1" t="n">
        <v>0.3816</v>
      </c>
      <c r="E5246" s="1" t="n">
        <f aca="false">LN(D5246)</f>
        <v>-0.963382339408006</v>
      </c>
    </row>
    <row r="5247" customFormat="false" ht="15.75" hidden="false" customHeight="false" outlineLevel="0" collapsed="false">
      <c r="A5247" s="1" t="s">
        <v>1026</v>
      </c>
      <c r="B5247" s="1" t="n">
        <v>382.45</v>
      </c>
      <c r="C5247" s="1" t="n">
        <f aca="false">1/B5247</f>
        <v>0.00261472087854622</v>
      </c>
      <c r="D5247" s="1" t="n">
        <v>0.5142</v>
      </c>
      <c r="E5247" s="1" t="n">
        <f aca="false">LN(D5247)</f>
        <v>-0.665142984150348</v>
      </c>
    </row>
    <row r="5248" customFormat="false" ht="15.75" hidden="false" customHeight="false" outlineLevel="0" collapsed="false">
      <c r="A5248" s="1" t="s">
        <v>1026</v>
      </c>
      <c r="B5248" s="1" t="n">
        <v>395.55</v>
      </c>
      <c r="C5248" s="1" t="n">
        <f aca="false">1/B5248</f>
        <v>0.00252812539501959</v>
      </c>
      <c r="D5248" s="1" t="n">
        <v>0.4593</v>
      </c>
      <c r="E5248" s="1" t="n">
        <f aca="false">LN(D5248)</f>
        <v>-0.778051687650389</v>
      </c>
    </row>
    <row r="5249" customFormat="false" ht="15.75" hidden="false" customHeight="false" outlineLevel="0" collapsed="false">
      <c r="A5249" s="1" t="s">
        <v>1026</v>
      </c>
      <c r="B5249" s="1" t="n">
        <v>407.95</v>
      </c>
      <c r="C5249" s="1" t="n">
        <f aca="false">1/B5249</f>
        <v>0.00245128079421498</v>
      </c>
      <c r="D5249" s="1" t="n">
        <v>0.4119</v>
      </c>
      <c r="E5249" s="1" t="n">
        <f aca="false">LN(D5249)</f>
        <v>-0.886974677540102</v>
      </c>
    </row>
    <row r="5250" customFormat="false" ht="15.75" hidden="false" customHeight="false" outlineLevel="0" collapsed="false">
      <c r="A5250" s="1" t="s">
        <v>1026</v>
      </c>
      <c r="B5250" s="1" t="n">
        <v>420.65</v>
      </c>
      <c r="C5250" s="1" t="n">
        <f aca="false">1/B5250</f>
        <v>0.00237727326756211</v>
      </c>
      <c r="D5250" s="1" t="n">
        <v>0.3696</v>
      </c>
      <c r="E5250" s="1" t="n">
        <f aca="false">LN(D5250)</f>
        <v>-0.995333939214608</v>
      </c>
    </row>
    <row r="5251" customFormat="false" ht="15.75" hidden="false" customHeight="false" outlineLevel="0" collapsed="false">
      <c r="A5251" s="1" t="s">
        <v>1026</v>
      </c>
      <c r="B5251" s="1" t="n">
        <v>433.15</v>
      </c>
      <c r="C5251" s="1" t="n">
        <f aca="false">1/B5251</f>
        <v>0.00230866905229135</v>
      </c>
      <c r="D5251" s="1" t="n">
        <v>0.3343</v>
      </c>
      <c r="E5251" s="1" t="n">
        <f aca="false">LN(D5251)</f>
        <v>-1.09571648555608</v>
      </c>
    </row>
    <row r="5252" customFormat="false" ht="15.75" hidden="false" customHeight="false" outlineLevel="0" collapsed="false">
      <c r="A5252" s="1" t="s">
        <v>1026</v>
      </c>
      <c r="B5252" s="1" t="n">
        <v>445.15</v>
      </c>
      <c r="C5252" s="1" t="n">
        <f aca="false">1/B5252</f>
        <v>0.00224643378636415</v>
      </c>
      <c r="D5252" s="1" t="n">
        <v>0.3054</v>
      </c>
      <c r="E5252" s="1" t="n">
        <f aca="false">LN(D5252)</f>
        <v>-1.18613288619761</v>
      </c>
    </row>
    <row r="5253" customFormat="false" ht="15.75" hidden="false" customHeight="false" outlineLevel="0" collapsed="false">
      <c r="A5253" s="1" t="s">
        <v>1026</v>
      </c>
      <c r="B5253" s="1" t="n">
        <v>458.85</v>
      </c>
      <c r="C5253" s="1" t="n">
        <f aca="false">1/B5253</f>
        <v>0.002179361447096</v>
      </c>
      <c r="D5253" s="1" t="n">
        <v>0.2764</v>
      </c>
      <c r="E5253" s="1" t="n">
        <f aca="false">LN(D5253)</f>
        <v>-1.28590618708862</v>
      </c>
    </row>
    <row r="5254" customFormat="false" ht="15.75" hidden="false" customHeight="false" outlineLevel="0" collapsed="false">
      <c r="A5254" s="1" t="s">
        <v>1026</v>
      </c>
      <c r="B5254" s="1" t="n">
        <v>468.15</v>
      </c>
      <c r="C5254" s="1" t="n">
        <f aca="false">1/B5254</f>
        <v>0.00213606749973299</v>
      </c>
      <c r="D5254" s="1" t="n">
        <v>0.2595</v>
      </c>
      <c r="E5254" s="1" t="n">
        <f aca="false">LN(D5254)</f>
        <v>-1.34899857637619</v>
      </c>
    </row>
    <row r="5255" customFormat="false" ht="15.75" hidden="false" customHeight="false" outlineLevel="0" collapsed="false">
      <c r="A5255" s="1" t="s">
        <v>1026</v>
      </c>
      <c r="B5255" s="1" t="n">
        <v>477.85</v>
      </c>
      <c r="C5255" s="1" t="n">
        <f aca="false">1/B5255</f>
        <v>0.00209270691639636</v>
      </c>
      <c r="D5255" s="1" t="n">
        <v>0.2437</v>
      </c>
      <c r="E5255" s="1" t="n">
        <f aca="false">LN(D5255)</f>
        <v>-1.41181731835098</v>
      </c>
    </row>
    <row r="5256" customFormat="false" ht="15.75" hidden="false" customHeight="false" outlineLevel="0" collapsed="false">
      <c r="A5256" s="1" t="s">
        <v>246</v>
      </c>
      <c r="B5256" s="1" t="n">
        <v>407.9</v>
      </c>
      <c r="C5256" s="1" t="n">
        <f aca="false">1/B5256</f>
        <v>0.0024515812699191</v>
      </c>
      <c r="D5256" s="1" t="n">
        <v>7.305</v>
      </c>
      <c r="E5256" s="1" t="n">
        <f aca="false">LN(D5256)</f>
        <v>1.98855904520266</v>
      </c>
    </row>
    <row r="5257" customFormat="false" ht="15.75" hidden="false" customHeight="false" outlineLevel="0" collapsed="false">
      <c r="A5257" s="1" t="s">
        <v>246</v>
      </c>
      <c r="B5257" s="1" t="n">
        <v>465.53</v>
      </c>
      <c r="C5257" s="1" t="n">
        <f aca="false">1/B5257</f>
        <v>0.00214808927459025</v>
      </c>
      <c r="D5257" s="1" t="n">
        <v>3.379</v>
      </c>
      <c r="E5257" s="1" t="n">
        <f aca="false">LN(D5257)</f>
        <v>1.21757980773215</v>
      </c>
    </row>
    <row r="5258" customFormat="false" ht="15.75" hidden="false" customHeight="false" outlineLevel="0" collapsed="false">
      <c r="A5258" s="1" t="s">
        <v>1028</v>
      </c>
      <c r="B5258" s="1" t="n">
        <v>278.15</v>
      </c>
      <c r="C5258" s="1" t="n">
        <f aca="false">1/B5258</f>
        <v>0.00359518245550962</v>
      </c>
      <c r="D5258" s="1" t="n">
        <v>1.24</v>
      </c>
      <c r="E5258" s="1" t="n">
        <f aca="false">LN(D5258)</f>
        <v>0.215111379616945</v>
      </c>
    </row>
    <row r="5259" customFormat="false" ht="15.75" hidden="false" customHeight="false" outlineLevel="0" collapsed="false">
      <c r="A5259" s="1" t="s">
        <v>1028</v>
      </c>
      <c r="B5259" s="1" t="n">
        <v>288.15</v>
      </c>
      <c r="C5259" s="1" t="n">
        <f aca="false">1/B5259</f>
        <v>0.00347041471455839</v>
      </c>
      <c r="D5259" s="1" t="n">
        <v>1.056</v>
      </c>
      <c r="E5259" s="1" t="n">
        <f aca="false">LN(D5259)</f>
        <v>0.0544881852840698</v>
      </c>
    </row>
    <row r="5260" customFormat="false" ht="15.75" hidden="false" customHeight="false" outlineLevel="0" collapsed="false">
      <c r="A5260" s="1" t="s">
        <v>1028</v>
      </c>
      <c r="B5260" s="1" t="n">
        <v>308.15</v>
      </c>
      <c r="C5260" s="1" t="n">
        <f aca="false">1/B5260</f>
        <v>0.00324517280545189</v>
      </c>
      <c r="D5260" s="1" t="n">
        <v>0.805</v>
      </c>
      <c r="E5260" s="1" t="n">
        <f aca="false">LN(D5260)</f>
        <v>-0.216913001563574</v>
      </c>
    </row>
    <row r="5261" customFormat="false" ht="15.75" hidden="false" customHeight="false" outlineLevel="0" collapsed="false">
      <c r="A5261" s="1" t="s">
        <v>1028</v>
      </c>
      <c r="B5261" s="1" t="n">
        <v>318.15</v>
      </c>
      <c r="C5261" s="1" t="n">
        <f aca="false">1/B5261</f>
        <v>0.00314317146000314</v>
      </c>
      <c r="D5261" s="1" t="n">
        <v>0.691</v>
      </c>
      <c r="E5261" s="1" t="n">
        <f aca="false">LN(D5261)</f>
        <v>-0.369615455214467</v>
      </c>
    </row>
    <row r="5262" customFormat="false" ht="15.75" hidden="false" customHeight="false" outlineLevel="0" collapsed="false">
      <c r="A5262" s="1" t="s">
        <v>1028</v>
      </c>
      <c r="B5262" s="1" t="n">
        <v>328.15</v>
      </c>
      <c r="C5262" s="1" t="n">
        <f aca="false">1/B5262</f>
        <v>0.00304738686576261</v>
      </c>
      <c r="D5262" s="1" t="n">
        <v>0.6</v>
      </c>
      <c r="E5262" s="1" t="n">
        <f aca="false">LN(D5262)</f>
        <v>-0.510825623765991</v>
      </c>
    </row>
    <row r="5263" customFormat="false" ht="15.75" hidden="false" customHeight="false" outlineLevel="0" collapsed="false">
      <c r="A5263" s="1" t="s">
        <v>1028</v>
      </c>
      <c r="B5263" s="1" t="n">
        <v>348.15</v>
      </c>
      <c r="C5263" s="1" t="n">
        <f aca="false">1/B5263</f>
        <v>0.00287232514720666</v>
      </c>
      <c r="D5263" s="1" t="n">
        <v>0.456</v>
      </c>
      <c r="E5263" s="1" t="n">
        <f aca="false">LN(D5263)</f>
        <v>-0.785262469467751</v>
      </c>
    </row>
    <row r="5264" customFormat="false" ht="15.75" hidden="false" customHeight="false" outlineLevel="0" collapsed="false">
      <c r="A5264" s="1" t="s">
        <v>1028</v>
      </c>
      <c r="B5264" s="1" t="n">
        <v>358.15</v>
      </c>
      <c r="C5264" s="1" t="n">
        <f aca="false">1/B5264</f>
        <v>0.00279212620410443</v>
      </c>
      <c r="D5264" s="1" t="n">
        <v>0.38</v>
      </c>
      <c r="E5264" s="1" t="n">
        <f aca="false">LN(D5264)</f>
        <v>-0.967584026261706</v>
      </c>
    </row>
    <row r="5265" customFormat="false" ht="15.75" hidden="false" customHeight="false" outlineLevel="0" collapsed="false">
      <c r="A5265" s="1" t="s">
        <v>1028</v>
      </c>
      <c r="B5265" s="1" t="n">
        <v>298.15</v>
      </c>
      <c r="C5265" s="1" t="n">
        <f aca="false">1/B5265</f>
        <v>0.00335401643468053</v>
      </c>
      <c r="D5265" s="1" t="n">
        <v>0.905</v>
      </c>
      <c r="E5265" s="1" t="n">
        <f aca="false">LN(D5265)</f>
        <v>-0.0998203352822109</v>
      </c>
    </row>
    <row r="5266" customFormat="false" ht="15.75" hidden="false" customHeight="false" outlineLevel="0" collapsed="false">
      <c r="A5266" s="1" t="s">
        <v>1028</v>
      </c>
      <c r="B5266" s="1" t="n">
        <v>338.15</v>
      </c>
      <c r="C5266" s="1" t="n">
        <f aca="false">1/B5266</f>
        <v>0.002957267484844</v>
      </c>
      <c r="D5266" s="1" t="n">
        <v>0.519</v>
      </c>
      <c r="E5266" s="1" t="n">
        <f aca="false">LN(D5266)</f>
        <v>-0.655851395816248</v>
      </c>
    </row>
    <row r="5267" customFormat="false" ht="15.75" hidden="false" customHeight="false" outlineLevel="0" collapsed="false">
      <c r="A5267" s="1" t="s">
        <v>1028</v>
      </c>
      <c r="B5267" s="1" t="n">
        <v>373.15</v>
      </c>
      <c r="C5267" s="1" t="n">
        <f aca="false">1/B5267</f>
        <v>0.00267988744472732</v>
      </c>
      <c r="D5267" s="1" t="n">
        <v>0.326</v>
      </c>
      <c r="E5267" s="1" t="n">
        <f aca="false">LN(D5267)</f>
        <v>-1.12085789761543</v>
      </c>
    </row>
    <row r="5268" customFormat="false" ht="15.75" hidden="false" customHeight="false" outlineLevel="0" collapsed="false">
      <c r="A5268" s="1" t="s">
        <v>1030</v>
      </c>
      <c r="B5268" s="1" t="n">
        <v>369.55</v>
      </c>
      <c r="C5268" s="1" t="n">
        <f aca="false">1/B5268</f>
        <v>0.00270599377621431</v>
      </c>
      <c r="D5268" s="1" t="n">
        <v>0.7447</v>
      </c>
      <c r="E5268" s="1" t="n">
        <f aca="false">LN(D5268)</f>
        <v>-0.294773826265537</v>
      </c>
    </row>
    <row r="5269" customFormat="false" ht="15.75" hidden="false" customHeight="false" outlineLevel="0" collapsed="false">
      <c r="A5269" s="1" t="s">
        <v>1030</v>
      </c>
      <c r="B5269" s="1" t="n">
        <v>412.65</v>
      </c>
      <c r="C5269" s="1" t="n">
        <f aca="false">1/B5269</f>
        <v>0.00242336120198716</v>
      </c>
      <c r="D5269" s="1" t="n">
        <v>0.5084</v>
      </c>
      <c r="E5269" s="1" t="n">
        <f aca="false">LN(D5269)</f>
        <v>-0.676486739666838</v>
      </c>
    </row>
    <row r="5270" customFormat="false" ht="15.75" hidden="false" customHeight="false" outlineLevel="0" collapsed="false">
      <c r="A5270" s="1" t="s">
        <v>1030</v>
      </c>
      <c r="B5270" s="1" t="n">
        <v>434.05</v>
      </c>
      <c r="C5270" s="1" t="n">
        <f aca="false">1/B5270</f>
        <v>0.00230388204123949</v>
      </c>
      <c r="D5270" s="1" t="n">
        <v>0.4351</v>
      </c>
      <c r="E5270" s="1" t="n">
        <f aca="false">LN(D5270)</f>
        <v>-0.832179389255503</v>
      </c>
    </row>
    <row r="5271" customFormat="false" ht="15.75" hidden="false" customHeight="false" outlineLevel="0" collapsed="false">
      <c r="A5271" s="1" t="s">
        <v>1030</v>
      </c>
      <c r="B5271" s="1" t="n">
        <v>472.65</v>
      </c>
      <c r="C5271" s="1" t="n">
        <f aca="false">1/B5271</f>
        <v>0.00211573045593991</v>
      </c>
      <c r="D5271" s="1" t="n">
        <v>0.3394</v>
      </c>
      <c r="E5271" s="1" t="n">
        <f aca="false">LN(D5271)</f>
        <v>-1.08057592618201</v>
      </c>
    </row>
    <row r="5272" customFormat="false" ht="15.75" hidden="false" customHeight="false" outlineLevel="0" collapsed="false">
      <c r="A5272" s="1" t="s">
        <v>1030</v>
      </c>
      <c r="B5272" s="1" t="n">
        <v>273.45</v>
      </c>
      <c r="C5272" s="1" t="n">
        <f aca="false">1/B5272</f>
        <v>0.00365697568111172</v>
      </c>
      <c r="D5272" s="1" t="n">
        <v>3.083</v>
      </c>
      <c r="E5272" s="1" t="n">
        <f aca="false">LN(D5272)</f>
        <v>1.12590314890401</v>
      </c>
    </row>
    <row r="5273" customFormat="false" ht="15.75" hidden="false" customHeight="false" outlineLevel="0" collapsed="false">
      <c r="A5273" s="1" t="s">
        <v>1030</v>
      </c>
      <c r="B5273" s="1" t="n">
        <v>283.15</v>
      </c>
      <c r="C5273" s="1" t="n">
        <f aca="false">1/B5273</f>
        <v>0.00353169698039908</v>
      </c>
      <c r="D5273" s="1" t="n">
        <v>2.509</v>
      </c>
      <c r="E5273" s="1" t="n">
        <f aca="false">LN(D5273)</f>
        <v>0.919884267384285</v>
      </c>
    </row>
    <row r="5274" customFormat="false" ht="15.75" hidden="false" customHeight="false" outlineLevel="0" collapsed="false">
      <c r="A5274" s="1" t="s">
        <v>1030</v>
      </c>
      <c r="B5274" s="1" t="n">
        <v>293.15</v>
      </c>
      <c r="C5274" s="1" t="n">
        <f aca="false">1/B5274</f>
        <v>0.00341122292341805</v>
      </c>
      <c r="D5274" s="1" t="n">
        <v>2.014</v>
      </c>
      <c r="E5274" s="1" t="n">
        <f aca="false">LN(D5274)</f>
        <v>0.70012279429637</v>
      </c>
    </row>
    <row r="5275" customFormat="false" ht="15.75" hidden="false" customHeight="false" outlineLevel="0" collapsed="false">
      <c r="A5275" s="1" t="s">
        <v>1030</v>
      </c>
      <c r="B5275" s="1" t="n">
        <v>303.15</v>
      </c>
      <c r="C5275" s="1" t="n">
        <f aca="false">1/B5275</f>
        <v>0.0032986970146792</v>
      </c>
      <c r="D5275" s="1" t="n">
        <v>1.683</v>
      </c>
      <c r="E5275" s="1" t="n">
        <f aca="false">LN(D5275)</f>
        <v>0.520577915208669</v>
      </c>
    </row>
    <row r="5276" customFormat="false" ht="15.75" hidden="false" customHeight="false" outlineLevel="0" collapsed="false">
      <c r="A5276" s="1" t="s">
        <v>1030</v>
      </c>
      <c r="B5276" s="1" t="n">
        <v>313.15</v>
      </c>
      <c r="C5276" s="1" t="n">
        <f aca="false">1/B5276</f>
        <v>0.00319335781574325</v>
      </c>
      <c r="D5276" s="1" t="n">
        <v>1.438</v>
      </c>
      <c r="E5276" s="1" t="n">
        <f aca="false">LN(D5276)</f>
        <v>0.363253259298855</v>
      </c>
    </row>
    <row r="5277" customFormat="false" ht="15.75" hidden="false" customHeight="false" outlineLevel="0" collapsed="false">
      <c r="A5277" s="1" t="s">
        <v>1030</v>
      </c>
      <c r="B5277" s="1" t="n">
        <v>333.15</v>
      </c>
      <c r="C5277" s="1" t="n">
        <f aca="false">1/B5277</f>
        <v>0.0030016509079994</v>
      </c>
      <c r="D5277" s="1" t="n">
        <v>1.094</v>
      </c>
      <c r="E5277" s="1" t="n">
        <f aca="false">LN(D5277)</f>
        <v>0.0898407039997895</v>
      </c>
    </row>
    <row r="5278" customFormat="false" ht="15.75" hidden="false" customHeight="false" outlineLevel="0" collapsed="false">
      <c r="A5278" s="1" t="s">
        <v>1030</v>
      </c>
      <c r="B5278" s="1" t="n">
        <v>363.15</v>
      </c>
      <c r="C5278" s="1" t="n">
        <f aca="false">1/B5278</f>
        <v>0.00275368305108082</v>
      </c>
      <c r="D5278" s="1" t="n">
        <v>0.7793</v>
      </c>
      <c r="E5278" s="1" t="n">
        <f aca="false">LN(D5278)</f>
        <v>-0.249359198132622</v>
      </c>
    </row>
    <row r="5279" customFormat="false" ht="15.75" hidden="false" customHeight="false" outlineLevel="0" collapsed="false">
      <c r="A5279" s="1" t="s">
        <v>1030</v>
      </c>
      <c r="B5279" s="1" t="n">
        <v>373.15</v>
      </c>
      <c r="C5279" s="1" t="n">
        <f aca="false">1/B5279</f>
        <v>0.00267988744472732</v>
      </c>
      <c r="D5279" s="1" t="n">
        <v>0.7045</v>
      </c>
      <c r="E5279" s="1" t="n">
        <f aca="false">LN(D5279)</f>
        <v>-0.350266947643402</v>
      </c>
    </row>
    <row r="5280" customFormat="false" ht="15.75" hidden="false" customHeight="false" outlineLevel="0" collapsed="false">
      <c r="A5280" s="1" t="s">
        <v>1030</v>
      </c>
      <c r="B5280" s="1" t="n">
        <v>288.15177</v>
      </c>
      <c r="C5280" s="1" t="n">
        <f aca="false">1/B5280</f>
        <v>0.00347039339720176</v>
      </c>
      <c r="D5280" s="1" t="n">
        <v>2.1873</v>
      </c>
      <c r="E5280" s="1" t="n">
        <f aca="false">LN(D5280)</f>
        <v>0.782667906498357</v>
      </c>
    </row>
    <row r="5281" customFormat="false" ht="15.75" hidden="false" customHeight="false" outlineLevel="0" collapsed="false">
      <c r="A5281" s="1" t="s">
        <v>1030</v>
      </c>
      <c r="B5281" s="1" t="n">
        <v>293.15</v>
      </c>
      <c r="C5281" s="1" t="n">
        <f aca="false">1/B5281</f>
        <v>0.00341122292341805</v>
      </c>
      <c r="D5281" s="1" t="n">
        <v>2.079</v>
      </c>
      <c r="E5281" s="1" t="n">
        <f aca="false">LN(D5281)</f>
        <v>0.731887008875876</v>
      </c>
    </row>
    <row r="5282" customFormat="false" ht="15.75" hidden="false" customHeight="false" outlineLevel="0" collapsed="false">
      <c r="A5282" s="1" t="s">
        <v>1030</v>
      </c>
      <c r="B5282" s="1" t="n">
        <v>298.15</v>
      </c>
      <c r="C5282" s="1" t="n">
        <f aca="false">1/B5282</f>
        <v>0.00335401643468053</v>
      </c>
      <c r="D5282" s="1" t="n">
        <v>1.8733</v>
      </c>
      <c r="E5282" s="1" t="n">
        <f aca="false">LN(D5282)</f>
        <v>0.627701581484876</v>
      </c>
    </row>
    <row r="5283" customFormat="false" ht="15.75" hidden="false" customHeight="false" outlineLevel="0" collapsed="false">
      <c r="A5283" s="1" t="s">
        <v>1030</v>
      </c>
      <c r="B5283" s="1" t="n">
        <v>313.15</v>
      </c>
      <c r="C5283" s="1" t="n">
        <f aca="false">1/B5283</f>
        <v>0.00319335781574325</v>
      </c>
      <c r="D5283" s="1" t="n">
        <v>1.18367</v>
      </c>
      <c r="E5283" s="1" t="n">
        <f aca="false">LN(D5283)</f>
        <v>0.168619781397014</v>
      </c>
    </row>
    <row r="5284" customFormat="false" ht="15.75" hidden="false" customHeight="false" outlineLevel="0" collapsed="false">
      <c r="A5284" s="1" t="s">
        <v>1030</v>
      </c>
      <c r="B5284" s="1" t="n">
        <v>308.15</v>
      </c>
      <c r="C5284" s="1" t="n">
        <f aca="false">1/B5284</f>
        <v>0.00324517280545189</v>
      </c>
      <c r="D5284" s="1" t="n">
        <v>1.4573</v>
      </c>
      <c r="E5284" s="1" t="n">
        <f aca="false">LN(D5284)</f>
        <v>0.376585408557514</v>
      </c>
    </row>
    <row r="5285" customFormat="false" ht="15.75" hidden="false" customHeight="false" outlineLevel="0" collapsed="false">
      <c r="A5285" s="1" t="s">
        <v>1030</v>
      </c>
      <c r="B5285" s="1" t="n">
        <v>318.15</v>
      </c>
      <c r="C5285" s="1" t="n">
        <f aca="false">1/B5285</f>
        <v>0.00314317146000314</v>
      </c>
      <c r="D5285" s="1" t="n">
        <v>1.1032</v>
      </c>
      <c r="E5285" s="1" t="n">
        <f aca="false">LN(D5285)</f>
        <v>0.098215047496955</v>
      </c>
    </row>
    <row r="5286" customFormat="false" ht="15.75" hidden="false" customHeight="false" outlineLevel="0" collapsed="false">
      <c r="A5286" s="1" t="s">
        <v>1030</v>
      </c>
      <c r="B5286" s="1" t="n">
        <v>453.15</v>
      </c>
      <c r="C5286" s="1" t="n">
        <f aca="false">1/B5286</f>
        <v>0.0022067747986318</v>
      </c>
      <c r="D5286" s="1" t="n">
        <v>0.3837</v>
      </c>
      <c r="E5286" s="1" t="n">
        <f aca="false">LN(D5286)</f>
        <v>-0.95789428172923</v>
      </c>
    </row>
    <row r="5287" customFormat="false" ht="15.75" hidden="false" customHeight="false" outlineLevel="0" collapsed="false">
      <c r="A5287" s="1" t="s">
        <v>1030</v>
      </c>
      <c r="B5287" s="1" t="n">
        <v>480.75</v>
      </c>
      <c r="C5287" s="1" t="n">
        <f aca="false">1/B5287</f>
        <v>0.00208008320332813</v>
      </c>
      <c r="D5287" s="1" t="n">
        <v>0.324</v>
      </c>
      <c r="E5287" s="1" t="n">
        <f aca="false">LN(D5287)</f>
        <v>-1.12701176318981</v>
      </c>
    </row>
    <row r="5288" customFormat="false" ht="15.75" hidden="false" customHeight="false" outlineLevel="0" collapsed="false">
      <c r="A5288" s="1" t="s">
        <v>1030</v>
      </c>
      <c r="B5288" s="1" t="n">
        <v>323.15</v>
      </c>
      <c r="C5288" s="1" t="n">
        <f aca="false">1/B5288</f>
        <v>0.00309453814018258</v>
      </c>
      <c r="D5288" s="1" t="n">
        <v>1.251</v>
      </c>
      <c r="E5288" s="1" t="n">
        <f aca="false">LN(D5288)</f>
        <v>0.223943231484774</v>
      </c>
    </row>
    <row r="5289" customFormat="false" ht="15.75" hidden="false" customHeight="false" outlineLevel="0" collapsed="false">
      <c r="A5289" s="1" t="s">
        <v>1030</v>
      </c>
      <c r="B5289" s="1" t="n">
        <v>343.15</v>
      </c>
      <c r="C5289" s="1" t="n">
        <f aca="false">1/B5289</f>
        <v>0.00291417747340813</v>
      </c>
      <c r="D5289" s="1" t="n">
        <v>0.9668</v>
      </c>
      <c r="E5289" s="1" t="n">
        <f aca="false">LN(D5289)</f>
        <v>-0.0337636301528091</v>
      </c>
    </row>
    <row r="5290" customFormat="false" ht="15.75" hidden="false" customHeight="false" outlineLevel="0" collapsed="false">
      <c r="A5290" s="1" t="s">
        <v>1032</v>
      </c>
      <c r="B5290" s="1" t="n">
        <v>253.15144</v>
      </c>
      <c r="C5290" s="1" t="n">
        <f aca="false">1/B5290</f>
        <v>0.00395020466800426</v>
      </c>
      <c r="D5290" s="1" t="n">
        <v>0.687</v>
      </c>
      <c r="E5290" s="1" t="n">
        <f aca="false">LN(D5290)</f>
        <v>-0.375420986759788</v>
      </c>
    </row>
    <row r="5291" customFormat="false" ht="15.75" hidden="false" customHeight="false" outlineLevel="0" collapsed="false">
      <c r="A5291" s="1" t="s">
        <v>1032</v>
      </c>
      <c r="B5291" s="1" t="n">
        <v>254.75</v>
      </c>
      <c r="C5291" s="1" t="n">
        <f aca="false">1/B5291</f>
        <v>0.00392541707556428</v>
      </c>
      <c r="D5291" s="1" t="n">
        <v>0.663</v>
      </c>
      <c r="E5291" s="1" t="n">
        <f aca="false">LN(D5291)</f>
        <v>-0.410980288796275</v>
      </c>
    </row>
    <row r="5292" customFormat="false" ht="15.75" hidden="false" customHeight="false" outlineLevel="0" collapsed="false">
      <c r="A5292" s="1" t="s">
        <v>1032</v>
      </c>
      <c r="B5292" s="1" t="n">
        <v>258.15</v>
      </c>
      <c r="C5292" s="1" t="n">
        <f aca="false">1/B5292</f>
        <v>0.00387371683129963</v>
      </c>
      <c r="D5292" s="1" t="n">
        <v>0.641</v>
      </c>
      <c r="E5292" s="1" t="n">
        <f aca="false">LN(D5292)</f>
        <v>-0.444725822061467</v>
      </c>
    </row>
    <row r="5293" customFormat="false" ht="15.75" hidden="false" customHeight="false" outlineLevel="0" collapsed="false">
      <c r="A5293" s="1" t="s">
        <v>1032</v>
      </c>
      <c r="B5293" s="1" t="n">
        <v>258.75</v>
      </c>
      <c r="C5293" s="1" t="n">
        <f aca="false">1/B5293</f>
        <v>0.00386473429951691</v>
      </c>
      <c r="D5293" s="1" t="n">
        <v>0.615</v>
      </c>
      <c r="E5293" s="1" t="n">
        <f aca="false">LN(D5293)</f>
        <v>-0.486133011175619</v>
      </c>
    </row>
    <row r="5294" customFormat="false" ht="15.75" hidden="false" customHeight="false" outlineLevel="0" collapsed="false">
      <c r="A5294" s="1" t="s">
        <v>1032</v>
      </c>
      <c r="B5294" s="1" t="n">
        <v>267.15</v>
      </c>
      <c r="C5294" s="1" t="n">
        <f aca="false">1/B5294</f>
        <v>0.00374321542204754</v>
      </c>
      <c r="D5294" s="1" t="n">
        <v>0.565</v>
      </c>
      <c r="E5294" s="1" t="n">
        <f aca="false">LN(D5294)</f>
        <v>-0.570929547835696</v>
      </c>
    </row>
    <row r="5295" customFormat="false" ht="15.75" hidden="false" customHeight="false" outlineLevel="0" collapsed="false">
      <c r="A5295" s="1" t="s">
        <v>1032</v>
      </c>
      <c r="B5295" s="1" t="n">
        <v>273.15</v>
      </c>
      <c r="C5295" s="1" t="n">
        <f aca="false">1/B5295</f>
        <v>0.00366099212886692</v>
      </c>
      <c r="D5295" s="1" t="n">
        <v>0.527</v>
      </c>
      <c r="E5295" s="1" t="n">
        <f aca="false">LN(D5295)</f>
        <v>-0.640554730440775</v>
      </c>
    </row>
    <row r="5296" customFormat="false" ht="15.75" hidden="false" customHeight="false" outlineLevel="0" collapsed="false">
      <c r="A5296" s="1" t="s">
        <v>1032</v>
      </c>
      <c r="B5296" s="1" t="n">
        <v>274.75</v>
      </c>
      <c r="C5296" s="1" t="n">
        <f aca="false">1/B5296</f>
        <v>0.00363967242948135</v>
      </c>
      <c r="D5296" s="1" t="n">
        <v>0.512</v>
      </c>
      <c r="E5296" s="1" t="n">
        <f aca="false">LN(D5296)</f>
        <v>-0.669430653942629</v>
      </c>
    </row>
    <row r="5297" customFormat="false" ht="15.75" hidden="false" customHeight="false" outlineLevel="0" collapsed="false">
      <c r="A5297" s="1" t="s">
        <v>1032</v>
      </c>
      <c r="B5297" s="1" t="n">
        <v>285.95</v>
      </c>
      <c r="C5297" s="1" t="n">
        <f aca="false">1/B5297</f>
        <v>0.00349711488022382</v>
      </c>
      <c r="D5297" s="1" t="n">
        <v>0.468</v>
      </c>
      <c r="E5297" s="1" t="n">
        <f aca="false">LN(D5297)</f>
        <v>-0.75928698306449</v>
      </c>
    </row>
    <row r="5298" customFormat="false" ht="15.75" hidden="false" customHeight="false" outlineLevel="0" collapsed="false">
      <c r="A5298" s="1" t="s">
        <v>1032</v>
      </c>
      <c r="B5298" s="1" t="n">
        <v>289.95</v>
      </c>
      <c r="C5298" s="1" t="n">
        <f aca="false">1/B5298</f>
        <v>0.00344887049491292</v>
      </c>
      <c r="D5298" s="1" t="n">
        <v>0.435</v>
      </c>
      <c r="E5298" s="1" t="n">
        <f aca="false">LN(D5298)</f>
        <v>-0.832409247893453</v>
      </c>
    </row>
    <row r="5299" customFormat="false" ht="15.75" hidden="false" customHeight="false" outlineLevel="0" collapsed="false">
      <c r="A5299" s="1" t="s">
        <v>1032</v>
      </c>
      <c r="B5299" s="1" t="n">
        <v>293.15</v>
      </c>
      <c r="C5299" s="1" t="n">
        <f aca="false">1/B5299</f>
        <v>0.00341122292341805</v>
      </c>
      <c r="D5299" s="1" t="n">
        <v>0.42</v>
      </c>
      <c r="E5299" s="1" t="n">
        <f aca="false">LN(D5299)</f>
        <v>-0.867500567704723</v>
      </c>
    </row>
    <row r="5300" customFormat="false" ht="15.75" hidden="false" customHeight="false" outlineLevel="0" collapsed="false">
      <c r="A5300" s="1" t="s">
        <v>1032</v>
      </c>
      <c r="B5300" s="1" t="n">
        <v>273.884</v>
      </c>
      <c r="C5300" s="1" t="n">
        <f aca="false">1/B5300</f>
        <v>0.00365118079186809</v>
      </c>
      <c r="D5300" s="1" t="n">
        <v>0.5221</v>
      </c>
      <c r="E5300" s="1" t="n">
        <f aca="false">LN(D5300)</f>
        <v>-0.64989613856563</v>
      </c>
    </row>
    <row r="5301" customFormat="false" ht="15.75" hidden="false" customHeight="false" outlineLevel="0" collapsed="false">
      <c r="A5301" s="1" t="s">
        <v>1032</v>
      </c>
      <c r="B5301" s="1" t="n">
        <v>278.24</v>
      </c>
      <c r="C5301" s="1" t="n">
        <f aca="false">1/B5301</f>
        <v>0.00359401955146636</v>
      </c>
      <c r="D5301" s="1" t="n">
        <v>0.4954</v>
      </c>
      <c r="E5301" s="1" t="n">
        <f aca="false">LN(D5301)</f>
        <v>-0.702389761926878</v>
      </c>
    </row>
    <row r="5302" customFormat="false" ht="15.75" hidden="false" customHeight="false" outlineLevel="0" collapsed="false">
      <c r="A5302" s="1" t="s">
        <v>1032</v>
      </c>
      <c r="B5302" s="1" t="n">
        <v>282.3</v>
      </c>
      <c r="C5302" s="1" t="n">
        <f aca="false">1/B5302</f>
        <v>0.00354233085370174</v>
      </c>
      <c r="D5302" s="1" t="n">
        <v>0.472</v>
      </c>
      <c r="E5302" s="1" t="n">
        <f aca="false">LN(D5302)</f>
        <v>-0.750776293396582</v>
      </c>
    </row>
    <row r="5303" customFormat="false" ht="15.75" hidden="false" customHeight="false" outlineLevel="0" collapsed="false">
      <c r="A5303" s="1" t="s">
        <v>1032</v>
      </c>
      <c r="B5303" s="1" t="n">
        <v>285.02</v>
      </c>
      <c r="C5303" s="1" t="n">
        <f aca="false">1/B5303</f>
        <v>0.00350852571749351</v>
      </c>
      <c r="D5303" s="1" t="n">
        <v>0.4578</v>
      </c>
      <c r="E5303" s="1" t="n">
        <f aca="false">LN(D5303)</f>
        <v>-0.781322871463671</v>
      </c>
    </row>
    <row r="5304" customFormat="false" ht="15.75" hidden="false" customHeight="false" outlineLevel="0" collapsed="false">
      <c r="A5304" s="1" t="s">
        <v>1032</v>
      </c>
      <c r="B5304" s="1" t="n">
        <v>263.15</v>
      </c>
      <c r="C5304" s="1" t="n">
        <f aca="false">1/B5304</f>
        <v>0.0038001140034201</v>
      </c>
      <c r="D5304" s="1" t="n">
        <v>0.599</v>
      </c>
      <c r="E5304" s="1" t="n">
        <f aca="false">LN(D5304)</f>
        <v>-0.512493680866688</v>
      </c>
    </row>
    <row r="5305" customFormat="false" ht="15.75" hidden="false" customHeight="false" outlineLevel="0" collapsed="false">
      <c r="A5305" s="1" t="s">
        <v>1032</v>
      </c>
      <c r="B5305" s="1" t="n">
        <v>291.25</v>
      </c>
      <c r="C5305" s="1" t="n">
        <f aca="false">1/B5305</f>
        <v>0.00343347639484978</v>
      </c>
      <c r="D5305" s="1" t="n">
        <v>0.426</v>
      </c>
      <c r="E5305" s="1" t="n">
        <f aca="false">LN(D5305)</f>
        <v>-0.853315932712767</v>
      </c>
    </row>
    <row r="5306" customFormat="false" ht="15.75" hidden="false" customHeight="false" outlineLevel="0" collapsed="false">
      <c r="A5306" s="1" t="s">
        <v>1032</v>
      </c>
      <c r="B5306" s="1" t="n">
        <v>288.51</v>
      </c>
      <c r="C5306" s="1" t="n">
        <f aca="false">1/B5306</f>
        <v>0.00346608436449343</v>
      </c>
      <c r="D5306" s="1" t="n">
        <v>0.4402</v>
      </c>
      <c r="E5306" s="1" t="n">
        <f aca="false">LN(D5306)</f>
        <v>-0.820526109889776</v>
      </c>
    </row>
    <row r="5307" customFormat="false" ht="15.75" hidden="false" customHeight="false" outlineLevel="0" collapsed="false">
      <c r="A5307" s="1" t="s">
        <v>1467</v>
      </c>
      <c r="B5307" s="1" t="n">
        <v>273.16</v>
      </c>
      <c r="C5307" s="1" t="n">
        <f aca="false">1/B5307</f>
        <v>0.00366085810513984</v>
      </c>
      <c r="D5307" s="1" t="n">
        <v>0.843</v>
      </c>
      <c r="E5307" s="1" t="n">
        <f aca="false">LN(D5307)</f>
        <v>-0.170788320980282</v>
      </c>
    </row>
    <row r="5308" customFormat="false" ht="15.75" hidden="false" customHeight="false" outlineLevel="0" collapsed="false">
      <c r="A5308" s="1" t="s">
        <v>1467</v>
      </c>
      <c r="B5308" s="1" t="n">
        <v>313.16</v>
      </c>
      <c r="C5308" s="1" t="n">
        <f aca="false">1/B5308</f>
        <v>0.00319325584365819</v>
      </c>
      <c r="D5308" s="1" t="n">
        <v>0.526</v>
      </c>
      <c r="E5308" s="1" t="n">
        <f aca="false">LN(D5308)</f>
        <v>-0.642454066244427</v>
      </c>
    </row>
    <row r="5309" customFormat="false" ht="15.75" hidden="false" customHeight="false" outlineLevel="0" collapsed="false">
      <c r="A5309" s="1" t="s">
        <v>1467</v>
      </c>
      <c r="B5309" s="1" t="n">
        <v>358.16</v>
      </c>
      <c r="C5309" s="1" t="n">
        <f aca="false">1/B5309</f>
        <v>0.0027920482465937</v>
      </c>
      <c r="D5309" s="1" t="n">
        <v>0.342</v>
      </c>
      <c r="E5309" s="1" t="n">
        <f aca="false">LN(D5309)</f>
        <v>-1.07294454191953</v>
      </c>
    </row>
    <row r="5310" customFormat="false" ht="15.75" hidden="false" customHeight="false" outlineLevel="0" collapsed="false">
      <c r="A5310" s="1" t="s">
        <v>1468</v>
      </c>
      <c r="B5310" s="1" t="n">
        <v>154.65</v>
      </c>
      <c r="C5310" s="1" t="n">
        <f aca="false">1/B5310</f>
        <v>0.00646621403168445</v>
      </c>
      <c r="D5310" s="1" t="n">
        <v>0.707</v>
      </c>
      <c r="E5310" s="1" t="n">
        <f aca="false">LN(D5310)</f>
        <v>-0.346724613085564</v>
      </c>
    </row>
    <row r="5311" customFormat="false" ht="15.75" hidden="false" customHeight="false" outlineLevel="0" collapsed="false">
      <c r="A5311" s="1" t="s">
        <v>1468</v>
      </c>
      <c r="B5311" s="1" t="n">
        <v>161.65</v>
      </c>
      <c r="C5311" s="1" t="n">
        <f aca="false">1/B5311</f>
        <v>0.00618620476337767</v>
      </c>
      <c r="D5311" s="1" t="n">
        <v>0.653</v>
      </c>
      <c r="E5311" s="1" t="n">
        <f aca="false">LN(D5311)</f>
        <v>-0.426178149705706</v>
      </c>
    </row>
    <row r="5312" customFormat="false" ht="15.75" hidden="false" customHeight="false" outlineLevel="0" collapsed="false">
      <c r="A5312" s="1" t="s">
        <v>1468</v>
      </c>
      <c r="B5312" s="1" t="n">
        <v>166.15</v>
      </c>
      <c r="C5312" s="1" t="n">
        <f aca="false">1/B5312</f>
        <v>0.00601865783930184</v>
      </c>
      <c r="D5312" s="1" t="n">
        <v>0.621</v>
      </c>
      <c r="E5312" s="1" t="n">
        <f aca="false">LN(D5312)</f>
        <v>-0.476424197048658</v>
      </c>
    </row>
    <row r="5313" customFormat="false" ht="15.75" hidden="false" customHeight="false" outlineLevel="0" collapsed="false">
      <c r="A5313" s="1" t="s">
        <v>1468</v>
      </c>
      <c r="B5313" s="1" t="n">
        <v>168.65</v>
      </c>
      <c r="C5313" s="1" t="n">
        <f aca="false">1/B5313</f>
        <v>0.00592943966795138</v>
      </c>
      <c r="D5313" s="1" t="n">
        <v>0.591</v>
      </c>
      <c r="E5313" s="1" t="n">
        <f aca="false">LN(D5313)</f>
        <v>-0.525939261576039</v>
      </c>
    </row>
    <row r="5314" customFormat="false" ht="15.75" hidden="false" customHeight="false" outlineLevel="0" collapsed="false">
      <c r="A5314" s="1" t="s">
        <v>1468</v>
      </c>
      <c r="B5314" s="1" t="n">
        <v>176.95</v>
      </c>
      <c r="C5314" s="1" t="n">
        <f aca="false">1/B5314</f>
        <v>0.00565131393048884</v>
      </c>
      <c r="D5314" s="1" t="n">
        <v>0.547</v>
      </c>
      <c r="E5314" s="1" t="n">
        <f aca="false">LN(D5314)</f>
        <v>-0.603306476560156</v>
      </c>
    </row>
    <row r="5315" customFormat="false" ht="15.75" hidden="false" customHeight="false" outlineLevel="0" collapsed="false">
      <c r="A5315" s="1" t="s">
        <v>1468</v>
      </c>
      <c r="B5315" s="1" t="n">
        <v>178.9</v>
      </c>
      <c r="C5315" s="1" t="n">
        <f aca="false">1/B5315</f>
        <v>0.00558971492453885</v>
      </c>
      <c r="D5315" s="1" t="n">
        <v>0.541</v>
      </c>
      <c r="E5315" s="1" t="n">
        <f aca="false">LN(D5315)</f>
        <v>-0.614336000135655</v>
      </c>
    </row>
    <row r="5316" customFormat="false" ht="15.75" hidden="false" customHeight="false" outlineLevel="0" collapsed="false">
      <c r="A5316" s="1" t="s">
        <v>1468</v>
      </c>
      <c r="B5316" s="1" t="n">
        <v>182.35</v>
      </c>
      <c r="C5316" s="1" t="n">
        <f aca="false">1/B5316</f>
        <v>0.0054839594187003</v>
      </c>
      <c r="D5316" s="1" t="n">
        <v>0.521</v>
      </c>
      <c r="E5316" s="1" t="n">
        <f aca="false">LN(D5316)</f>
        <v>-0.65200523722877</v>
      </c>
    </row>
    <row r="5317" customFormat="false" ht="15.75" hidden="false" customHeight="false" outlineLevel="0" collapsed="false">
      <c r="A5317" s="1" t="s">
        <v>1468</v>
      </c>
      <c r="B5317" s="1" t="n">
        <v>188.95</v>
      </c>
      <c r="C5317" s="1" t="n">
        <f aca="false">1/B5317</f>
        <v>0.00529240539825351</v>
      </c>
      <c r="D5317" s="1" t="n">
        <v>0.502</v>
      </c>
      <c r="E5317" s="1" t="n">
        <f aca="false">LN(D5317)</f>
        <v>-0.689155159290408</v>
      </c>
    </row>
    <row r="5318" customFormat="false" ht="15.75" hidden="false" customHeight="false" outlineLevel="0" collapsed="false">
      <c r="A5318" s="1" t="s">
        <v>1468</v>
      </c>
      <c r="B5318" s="1" t="n">
        <v>157.15</v>
      </c>
      <c r="C5318" s="1" t="n">
        <f aca="false">1/B5318</f>
        <v>0.00636334712058543</v>
      </c>
      <c r="D5318" s="1" t="n">
        <v>0.687</v>
      </c>
      <c r="E5318" s="1" t="n">
        <f aca="false">LN(D5318)</f>
        <v>-0.375420986759788</v>
      </c>
    </row>
    <row r="5319" customFormat="false" ht="15.75" hidden="false" customHeight="false" outlineLevel="0" collapsed="false">
      <c r="A5319" s="1" t="s">
        <v>1468</v>
      </c>
      <c r="B5319" s="1" t="n">
        <v>170.7</v>
      </c>
      <c r="C5319" s="1" t="n">
        <f aca="false">1/B5319</f>
        <v>0.00585823081429408</v>
      </c>
      <c r="D5319" s="1" t="n">
        <v>0.562</v>
      </c>
      <c r="E5319" s="1" t="n">
        <f aca="false">LN(D5319)</f>
        <v>-0.576253429088446</v>
      </c>
    </row>
    <row r="5320" customFormat="false" ht="15.75" hidden="false" customHeight="false" outlineLevel="0" collapsed="false">
      <c r="A5320" s="1" t="s">
        <v>1468</v>
      </c>
      <c r="B5320" s="1" t="n">
        <v>184.85</v>
      </c>
      <c r="C5320" s="1" t="n">
        <f aca="false">1/B5320</f>
        <v>0.00540979172301866</v>
      </c>
      <c r="D5320" s="1" t="n">
        <v>0.516</v>
      </c>
      <c r="E5320" s="1" t="n">
        <f aca="false">LN(D5320)</f>
        <v>-0.661648513500574</v>
      </c>
    </row>
    <row r="5321" customFormat="false" ht="15.75" hidden="false" customHeight="false" outlineLevel="0" collapsed="false">
      <c r="A5321" s="1" t="s">
        <v>1468</v>
      </c>
      <c r="B5321" s="1" t="n">
        <v>159.75</v>
      </c>
      <c r="C5321" s="1" t="n">
        <f aca="false">1/B5321</f>
        <v>0.00625978090766823</v>
      </c>
      <c r="D5321" s="1" t="n">
        <v>0.669</v>
      </c>
      <c r="E5321" s="1" t="n">
        <f aca="false">LN(D5321)</f>
        <v>-0.401971218853909</v>
      </c>
    </row>
    <row r="5322" customFormat="false" ht="15.75" hidden="false" customHeight="false" outlineLevel="0" collapsed="false">
      <c r="A5322" s="1" t="s">
        <v>1468</v>
      </c>
      <c r="B5322" s="1" t="n">
        <v>174.95</v>
      </c>
      <c r="C5322" s="1" t="n">
        <f aca="false">1/B5322</f>
        <v>0.00571591883395256</v>
      </c>
      <c r="D5322" s="1" t="n">
        <v>0.555</v>
      </c>
      <c r="E5322" s="1" t="n">
        <f aca="false">LN(D5322)</f>
        <v>-0.588787165235702</v>
      </c>
    </row>
    <row r="5323" customFormat="false" ht="15.75" hidden="false" customHeight="false" outlineLevel="0" collapsed="false">
      <c r="A5323" s="1" t="s">
        <v>1468</v>
      </c>
      <c r="B5323" s="1" t="n">
        <v>185.65</v>
      </c>
      <c r="C5323" s="1" t="n">
        <f aca="false">1/B5323</f>
        <v>0.00538647993536224</v>
      </c>
      <c r="D5323" s="1" t="n">
        <v>0.501</v>
      </c>
      <c r="E5323" s="1" t="n">
        <f aca="false">LN(D5323)</f>
        <v>-0.691149177897272</v>
      </c>
    </row>
    <row r="5324" customFormat="false" ht="15.75" hidden="false" customHeight="false" outlineLevel="0" collapsed="false">
      <c r="A5324" s="1" t="s">
        <v>1034</v>
      </c>
      <c r="B5324" s="1" t="n">
        <v>273.4548</v>
      </c>
      <c r="C5324" s="1" t="n">
        <f aca="false">1/B5324</f>
        <v>0.00365691148957707</v>
      </c>
      <c r="D5324" s="1" t="n">
        <v>4.2689</v>
      </c>
      <c r="E5324" s="1" t="n">
        <f aca="false">LN(D5324)</f>
        <v>1.45135618281184</v>
      </c>
    </row>
    <row r="5325" customFormat="false" ht="15.75" hidden="false" customHeight="false" outlineLevel="0" collapsed="false">
      <c r="A5325" s="1" t="s">
        <v>1034</v>
      </c>
      <c r="B5325" s="1" t="n">
        <v>283.15</v>
      </c>
      <c r="C5325" s="1" t="n">
        <f aca="false">1/B5325</f>
        <v>0.00353169698039908</v>
      </c>
      <c r="D5325" s="1" t="n">
        <v>3.0651</v>
      </c>
      <c r="E5325" s="1" t="n">
        <f aca="false">LN(D5325)</f>
        <v>1.12008019528335</v>
      </c>
    </row>
    <row r="5326" customFormat="false" ht="15.75" hidden="false" customHeight="false" outlineLevel="0" collapsed="false">
      <c r="A5326" s="1" t="s">
        <v>1034</v>
      </c>
      <c r="B5326" s="1" t="n">
        <v>293.15</v>
      </c>
      <c r="C5326" s="1" t="n">
        <f aca="false">1/B5326</f>
        <v>0.00341122292341805</v>
      </c>
      <c r="D5326" s="1" t="n">
        <v>2.302</v>
      </c>
      <c r="E5326" s="1" t="n">
        <f aca="false">LN(D5326)</f>
        <v>0.833778310299691</v>
      </c>
    </row>
    <row r="5327" customFormat="false" ht="15.75" hidden="false" customHeight="false" outlineLevel="0" collapsed="false">
      <c r="A5327" s="1" t="s">
        <v>1034</v>
      </c>
      <c r="B5327" s="1" t="n">
        <v>303.15</v>
      </c>
      <c r="C5327" s="1" t="n">
        <f aca="false">1/B5327</f>
        <v>0.0032986970146792</v>
      </c>
      <c r="D5327" s="1" t="n">
        <v>1.8109</v>
      </c>
      <c r="E5327" s="1" t="n">
        <f aca="false">LN(D5327)</f>
        <v>0.59382395926516</v>
      </c>
    </row>
    <row r="5328" customFormat="false" ht="15.75" hidden="false" customHeight="false" outlineLevel="0" collapsed="false">
      <c r="A5328" s="1" t="s">
        <v>1034</v>
      </c>
      <c r="B5328" s="1" t="n">
        <v>313.15</v>
      </c>
      <c r="C5328" s="1" t="n">
        <f aca="false">1/B5328</f>
        <v>0.00319335781574325</v>
      </c>
      <c r="D5328" s="1" t="n">
        <v>1.4654</v>
      </c>
      <c r="E5328" s="1" t="n">
        <f aca="false">LN(D5328)</f>
        <v>0.382128242743726</v>
      </c>
    </row>
    <row r="5329" customFormat="false" ht="15.75" hidden="false" customHeight="false" outlineLevel="0" collapsed="false">
      <c r="A5329" s="1" t="s">
        <v>1034</v>
      </c>
      <c r="B5329" s="1" t="n">
        <v>323.15</v>
      </c>
      <c r="C5329" s="1" t="n">
        <f aca="false">1/B5329</f>
        <v>0.00309453814018258</v>
      </c>
      <c r="D5329" s="1" t="n">
        <v>1.2168</v>
      </c>
      <c r="E5329" s="1" t="n">
        <f aca="false">LN(D5329)</f>
        <v>0.196224461962946</v>
      </c>
    </row>
    <row r="5330" customFormat="false" ht="15.75" hidden="false" customHeight="false" outlineLevel="0" collapsed="false">
      <c r="A5330" s="1" t="s">
        <v>1034</v>
      </c>
      <c r="B5330" s="1" t="n">
        <v>343.15</v>
      </c>
      <c r="C5330" s="1" t="n">
        <f aca="false">1/B5330</f>
        <v>0.00291417747340813</v>
      </c>
      <c r="D5330" s="1" t="n">
        <v>0.8876</v>
      </c>
      <c r="E5330" s="1" t="n">
        <f aca="false">LN(D5330)</f>
        <v>-0.119234087923698</v>
      </c>
    </row>
    <row r="5331" customFormat="false" ht="15.75" hidden="false" customHeight="false" outlineLevel="0" collapsed="false">
      <c r="A5331" s="1" t="s">
        <v>1034</v>
      </c>
      <c r="B5331" s="1" t="n">
        <v>288.1583</v>
      </c>
      <c r="C5331" s="1" t="n">
        <f aca="false">1/B5331</f>
        <v>0.00347031475407788</v>
      </c>
      <c r="D5331" s="1" t="n">
        <v>2.568</v>
      </c>
      <c r="E5331" s="1" t="n">
        <f aca="false">LN(D5331)</f>
        <v>0.943127385827715</v>
      </c>
    </row>
    <row r="5332" customFormat="false" ht="15.75" hidden="false" customHeight="false" outlineLevel="0" collapsed="false">
      <c r="A5332" s="1" t="s">
        <v>1034</v>
      </c>
      <c r="B5332" s="1" t="n">
        <v>303.15</v>
      </c>
      <c r="C5332" s="1" t="n">
        <f aca="false">1/B5332</f>
        <v>0.0032986970146792</v>
      </c>
      <c r="D5332" s="1" t="n">
        <v>1.766</v>
      </c>
      <c r="E5332" s="1" t="n">
        <f aca="false">LN(D5332)</f>
        <v>0.568717102181768</v>
      </c>
    </row>
    <row r="5333" customFormat="false" ht="15.75" hidden="false" customHeight="false" outlineLevel="0" collapsed="false">
      <c r="A5333" s="1" t="s">
        <v>1034</v>
      </c>
      <c r="B5333" s="1" t="n">
        <v>368.6565</v>
      </c>
      <c r="C5333" s="1" t="n">
        <f aca="false">1/B5333</f>
        <v>0.00271255219967639</v>
      </c>
      <c r="D5333" s="1" t="n">
        <v>0.6585</v>
      </c>
      <c r="E5333" s="1" t="n">
        <f aca="false">LN(D5333)</f>
        <v>-0.417790757798801</v>
      </c>
    </row>
    <row r="5334" customFormat="false" ht="15.75" hidden="false" customHeight="false" outlineLevel="0" collapsed="false">
      <c r="A5334" s="1" t="s">
        <v>1034</v>
      </c>
      <c r="B5334" s="1" t="n">
        <v>395.95</v>
      </c>
      <c r="C5334" s="1" t="n">
        <f aca="false">1/B5334</f>
        <v>0.00252557141053163</v>
      </c>
      <c r="D5334" s="1" t="n">
        <v>0.495</v>
      </c>
      <c r="E5334" s="1" t="n">
        <f aca="false">LN(D5334)</f>
        <v>-0.703197516413447</v>
      </c>
    </row>
    <row r="5335" customFormat="false" ht="15.75" hidden="false" customHeight="false" outlineLevel="0" collapsed="false">
      <c r="A5335" s="1" t="s">
        <v>1034</v>
      </c>
      <c r="B5335" s="1" t="n">
        <v>423.15</v>
      </c>
      <c r="C5335" s="1" t="n">
        <f aca="false">1/B5335</f>
        <v>0.00236322816967978</v>
      </c>
      <c r="D5335" s="1" t="n">
        <v>0.3913</v>
      </c>
      <c r="E5335" s="1" t="n">
        <f aca="false">LN(D5335)</f>
        <v>-0.93828074976577</v>
      </c>
    </row>
    <row r="5336" customFormat="false" ht="15.75" hidden="false" customHeight="false" outlineLevel="0" collapsed="false">
      <c r="A5336" s="1" t="s">
        <v>1034</v>
      </c>
      <c r="B5336" s="1" t="n">
        <v>453.65</v>
      </c>
      <c r="C5336" s="1" t="n">
        <f aca="false">1/B5336</f>
        <v>0.00220434255483302</v>
      </c>
      <c r="D5336" s="1" t="n">
        <v>0.318</v>
      </c>
      <c r="E5336" s="1" t="n">
        <f aca="false">LN(D5336)</f>
        <v>-1.14570389620196</v>
      </c>
    </row>
    <row r="5337" customFormat="false" ht="15.75" hidden="false" customHeight="false" outlineLevel="0" collapsed="false">
      <c r="A5337" s="1" t="s">
        <v>1034</v>
      </c>
      <c r="B5337" s="1" t="n">
        <v>469.15</v>
      </c>
      <c r="C5337" s="1" t="n">
        <f aca="false">1/B5337</f>
        <v>0.00213151444101034</v>
      </c>
      <c r="D5337" s="1" t="n">
        <v>0.278</v>
      </c>
      <c r="E5337" s="1" t="n">
        <f aca="false">LN(D5337)</f>
        <v>-1.2801341652915</v>
      </c>
    </row>
    <row r="5338" customFormat="false" ht="15.75" hidden="false" customHeight="false" outlineLevel="0" collapsed="false">
      <c r="A5338" s="1" t="s">
        <v>1469</v>
      </c>
      <c r="B5338" s="1" t="n">
        <v>323.15</v>
      </c>
      <c r="C5338" s="1" t="n">
        <f aca="false">1/B5338</f>
        <v>0.00309453814018258</v>
      </c>
      <c r="D5338" s="1" t="n">
        <v>3.824</v>
      </c>
      <c r="E5338" s="1" t="n">
        <f aca="false">LN(D5338)</f>
        <v>1.34129699518916</v>
      </c>
    </row>
    <row r="5339" customFormat="false" ht="15.75" hidden="false" customHeight="false" outlineLevel="0" collapsed="false">
      <c r="A5339" s="1" t="s">
        <v>1469</v>
      </c>
      <c r="B5339" s="1" t="n">
        <v>328.15</v>
      </c>
      <c r="C5339" s="1" t="n">
        <f aca="false">1/B5339</f>
        <v>0.00304738686576261</v>
      </c>
      <c r="D5339" s="1" t="n">
        <v>3.398</v>
      </c>
      <c r="E5339" s="1" t="n">
        <f aca="false">LN(D5339)</f>
        <v>1.22318702324974</v>
      </c>
    </row>
    <row r="5340" customFormat="false" ht="15.75" hidden="false" customHeight="false" outlineLevel="0" collapsed="false">
      <c r="A5340" s="1" t="s">
        <v>1469</v>
      </c>
      <c r="B5340" s="1" t="n">
        <v>338.15</v>
      </c>
      <c r="C5340" s="1" t="n">
        <f aca="false">1/B5340</f>
        <v>0.002957267484844</v>
      </c>
      <c r="D5340" s="1" t="n">
        <v>2.687</v>
      </c>
      <c r="E5340" s="1" t="n">
        <f aca="false">LN(D5340)</f>
        <v>0.988425329633354</v>
      </c>
    </row>
    <row r="5341" customFormat="false" ht="15.75" hidden="false" customHeight="false" outlineLevel="0" collapsed="false">
      <c r="A5341" s="1" t="s">
        <v>1469</v>
      </c>
      <c r="B5341" s="1" t="n">
        <v>348.15</v>
      </c>
      <c r="C5341" s="1" t="n">
        <f aca="false">1/B5341</f>
        <v>0.00287232514720666</v>
      </c>
      <c r="D5341" s="1" t="n">
        <v>2.186</v>
      </c>
      <c r="E5341" s="1" t="n">
        <f aca="false">LN(D5341)</f>
        <v>0.782073389754347</v>
      </c>
    </row>
    <row r="5342" customFormat="false" ht="15.75" hidden="false" customHeight="false" outlineLevel="0" collapsed="false">
      <c r="A5342" s="1" t="s">
        <v>1470</v>
      </c>
      <c r="B5342" s="1" t="n">
        <v>303.15</v>
      </c>
      <c r="C5342" s="1" t="n">
        <f aca="false">1/B5342</f>
        <v>0.0032986970146792</v>
      </c>
      <c r="D5342" s="1" t="n">
        <v>57.8599</v>
      </c>
      <c r="E5342" s="1" t="n">
        <f aca="false">LN(D5342)</f>
        <v>4.05802457123678</v>
      </c>
    </row>
    <row r="5343" customFormat="false" ht="15.75" hidden="false" customHeight="false" outlineLevel="0" collapsed="false">
      <c r="A5343" s="1" t="s">
        <v>1470</v>
      </c>
      <c r="B5343" s="1" t="n">
        <v>313.15</v>
      </c>
      <c r="C5343" s="1" t="n">
        <f aca="false">1/B5343</f>
        <v>0.00319335781574325</v>
      </c>
      <c r="D5343" s="1" t="n">
        <v>34.3085</v>
      </c>
      <c r="E5343" s="1" t="n">
        <f aca="false">LN(D5343)</f>
        <v>3.5353931368823</v>
      </c>
    </row>
    <row r="5344" customFormat="false" ht="15.75" hidden="false" customHeight="false" outlineLevel="0" collapsed="false">
      <c r="A5344" s="1" t="s">
        <v>1470</v>
      </c>
      <c r="B5344" s="1" t="n">
        <v>323.15</v>
      </c>
      <c r="C5344" s="1" t="n">
        <f aca="false">1/B5344</f>
        <v>0.00309453814018258</v>
      </c>
      <c r="D5344" s="1" t="n">
        <v>21.6716</v>
      </c>
      <c r="E5344" s="1" t="n">
        <f aca="false">LN(D5344)</f>
        <v>3.07600264761726</v>
      </c>
    </row>
    <row r="5345" customFormat="false" ht="15.75" hidden="false" customHeight="false" outlineLevel="0" collapsed="false">
      <c r="A5345" s="1" t="s">
        <v>1470</v>
      </c>
      <c r="B5345" s="1" t="n">
        <v>333.15</v>
      </c>
      <c r="C5345" s="1" t="n">
        <f aca="false">1/B5345</f>
        <v>0.0030016509079994</v>
      </c>
      <c r="D5345" s="1" t="n">
        <v>14.3856</v>
      </c>
      <c r="E5345" s="1" t="n">
        <f aca="false">LN(D5345)</f>
        <v>2.66622770624837</v>
      </c>
    </row>
    <row r="5346" customFormat="false" ht="15.75" hidden="false" customHeight="false" outlineLevel="0" collapsed="false">
      <c r="A5346" s="1" t="s">
        <v>1470</v>
      </c>
      <c r="B5346" s="1" t="n">
        <v>343.15</v>
      </c>
      <c r="C5346" s="1" t="n">
        <f aca="false">1/B5346</f>
        <v>0.00291417747340813</v>
      </c>
      <c r="D5346" s="1" t="n">
        <v>9.9789</v>
      </c>
      <c r="E5346" s="1" t="n">
        <f aca="false">LN(D5346)</f>
        <v>2.30047286380777</v>
      </c>
    </row>
    <row r="5347" customFormat="false" ht="15.75" hidden="false" customHeight="false" outlineLevel="0" collapsed="false">
      <c r="A5347" s="1" t="s">
        <v>1470</v>
      </c>
      <c r="B5347" s="1" t="n">
        <v>353.15</v>
      </c>
      <c r="C5347" s="1" t="n">
        <f aca="false">1/B5347</f>
        <v>0.00283165793572137</v>
      </c>
      <c r="D5347" s="1" t="n">
        <v>7.0875</v>
      </c>
      <c r="E5347" s="1" t="n">
        <f aca="false">LN(D5347)</f>
        <v>1.95833266905387</v>
      </c>
    </row>
    <row r="5348" customFormat="false" ht="15.75" hidden="false" customHeight="false" outlineLevel="0" collapsed="false">
      <c r="A5348" s="1" t="s">
        <v>1036</v>
      </c>
      <c r="B5348" s="1" t="n">
        <v>308.15</v>
      </c>
      <c r="C5348" s="1" t="n">
        <f aca="false">1/B5348</f>
        <v>0.00324517280545189</v>
      </c>
      <c r="D5348" s="1" t="n">
        <v>3.91</v>
      </c>
      <c r="E5348" s="1" t="n">
        <f aca="false">LN(D5348)</f>
        <v>1.36353737399727</v>
      </c>
    </row>
    <row r="5349" customFormat="false" ht="15.75" hidden="false" customHeight="false" outlineLevel="0" collapsed="false">
      <c r="A5349" s="1" t="s">
        <v>1036</v>
      </c>
      <c r="B5349" s="1" t="n">
        <v>313.15</v>
      </c>
      <c r="C5349" s="1" t="n">
        <f aca="false">1/B5349</f>
        <v>0.00319335781574325</v>
      </c>
      <c r="D5349" s="1" t="n">
        <v>3.49</v>
      </c>
      <c r="E5349" s="1" t="n">
        <f aca="false">LN(D5349)</f>
        <v>1.24990173621434</v>
      </c>
    </row>
    <row r="5350" customFormat="false" ht="15.75" hidden="false" customHeight="false" outlineLevel="0" collapsed="false">
      <c r="A5350" s="1" t="s">
        <v>1036</v>
      </c>
      <c r="B5350" s="1" t="n">
        <v>323.15</v>
      </c>
      <c r="C5350" s="1" t="n">
        <f aca="false">1/B5350</f>
        <v>0.00309453814018258</v>
      </c>
      <c r="D5350" s="1" t="n">
        <v>2.97</v>
      </c>
      <c r="E5350" s="1" t="n">
        <f aca="false">LN(D5350)</f>
        <v>1.08856195281461</v>
      </c>
    </row>
    <row r="5351" customFormat="false" ht="15.75" hidden="false" customHeight="false" outlineLevel="0" collapsed="false">
      <c r="A5351" s="1" t="s">
        <v>1036</v>
      </c>
      <c r="B5351" s="1" t="n">
        <v>328.15</v>
      </c>
      <c r="C5351" s="1" t="n">
        <f aca="false">1/B5351</f>
        <v>0.00304738686576261</v>
      </c>
      <c r="D5351" s="1" t="n">
        <v>2.51</v>
      </c>
      <c r="E5351" s="1" t="n">
        <f aca="false">LN(D5351)</f>
        <v>0.920282753143692</v>
      </c>
    </row>
    <row r="5352" customFormat="false" ht="15.75" hidden="false" customHeight="false" outlineLevel="0" collapsed="false">
      <c r="A5352" s="1" t="s">
        <v>1036</v>
      </c>
      <c r="B5352" s="1" t="n">
        <v>338.15</v>
      </c>
      <c r="C5352" s="1" t="n">
        <f aca="false">1/B5352</f>
        <v>0.002957267484844</v>
      </c>
      <c r="D5352" s="1" t="n">
        <v>2.05</v>
      </c>
      <c r="E5352" s="1" t="n">
        <f aca="false">LN(D5352)</f>
        <v>0.717839793150317</v>
      </c>
    </row>
    <row r="5353" customFormat="false" ht="15.75" hidden="false" customHeight="false" outlineLevel="0" collapsed="false">
      <c r="A5353" s="1" t="s">
        <v>1036</v>
      </c>
      <c r="B5353" s="1" t="n">
        <v>343.15</v>
      </c>
      <c r="C5353" s="1" t="n">
        <f aca="false">1/B5353</f>
        <v>0.00291417747340813</v>
      </c>
      <c r="D5353" s="1" t="n">
        <v>1.86</v>
      </c>
      <c r="E5353" s="1" t="n">
        <f aca="false">LN(D5353)</f>
        <v>0.62057648772511</v>
      </c>
    </row>
    <row r="5354" customFormat="false" ht="15.75" hidden="false" customHeight="false" outlineLevel="0" collapsed="false">
      <c r="A5354" s="1" t="s">
        <v>1036</v>
      </c>
      <c r="B5354" s="1" t="n">
        <v>318.15</v>
      </c>
      <c r="C5354" s="1" t="n">
        <f aca="false">1/B5354</f>
        <v>0.00314317146000314</v>
      </c>
      <c r="D5354" s="1" t="n">
        <v>3.11</v>
      </c>
      <c r="E5354" s="1" t="n">
        <f aca="false">LN(D5354)</f>
        <v>1.13462272619114</v>
      </c>
    </row>
    <row r="5355" customFormat="false" ht="15.75" hidden="false" customHeight="false" outlineLevel="0" collapsed="false">
      <c r="A5355" s="1" t="s">
        <v>1036</v>
      </c>
      <c r="B5355" s="1" t="n">
        <v>333.15</v>
      </c>
      <c r="C5355" s="1" t="n">
        <f aca="false">1/B5355</f>
        <v>0.0030016509079994</v>
      </c>
      <c r="D5355" s="1" t="n">
        <v>2.26</v>
      </c>
      <c r="E5355" s="1" t="n">
        <f aca="false">LN(D5355)</f>
        <v>0.815364813284194</v>
      </c>
    </row>
    <row r="5356" customFormat="false" ht="15.75" hidden="false" customHeight="false" outlineLevel="0" collapsed="false">
      <c r="A5356" s="1" t="s">
        <v>1038</v>
      </c>
      <c r="B5356" s="1" t="n">
        <v>308.15</v>
      </c>
      <c r="C5356" s="1" t="n">
        <f aca="false">1/B5356</f>
        <v>0.00324517280545189</v>
      </c>
      <c r="D5356" s="1" t="n">
        <v>9.56</v>
      </c>
      <c r="E5356" s="1" t="n">
        <f aca="false">LN(D5356)</f>
        <v>2.25758772706331</v>
      </c>
    </row>
    <row r="5357" customFormat="false" ht="15.75" hidden="false" customHeight="false" outlineLevel="0" collapsed="false">
      <c r="A5357" s="1" t="s">
        <v>1038</v>
      </c>
      <c r="B5357" s="1" t="n">
        <v>313.15</v>
      </c>
      <c r="C5357" s="1" t="n">
        <f aca="false">1/B5357</f>
        <v>0.00319335781574325</v>
      </c>
      <c r="D5357" s="1" t="n">
        <v>8.33</v>
      </c>
      <c r="E5357" s="1" t="n">
        <f aca="false">LN(D5357)</f>
        <v>2.11986345617875</v>
      </c>
    </row>
    <row r="5358" customFormat="false" ht="15.75" hidden="false" customHeight="false" outlineLevel="0" collapsed="false">
      <c r="A5358" s="1" t="s">
        <v>1038</v>
      </c>
      <c r="B5358" s="1" t="n">
        <v>318.15</v>
      </c>
      <c r="C5358" s="1" t="n">
        <f aca="false">1/B5358</f>
        <v>0.00314317146000314</v>
      </c>
      <c r="D5358" s="1" t="n">
        <v>7.27</v>
      </c>
      <c r="E5358" s="1" t="n">
        <f aca="false">LN(D5358)</f>
        <v>1.98375629154543</v>
      </c>
    </row>
    <row r="5359" customFormat="false" ht="15.75" hidden="false" customHeight="false" outlineLevel="0" collapsed="false">
      <c r="A5359" s="1" t="s">
        <v>1038</v>
      </c>
      <c r="B5359" s="1" t="n">
        <v>323.15</v>
      </c>
      <c r="C5359" s="1" t="n">
        <f aca="false">1/B5359</f>
        <v>0.00309453814018258</v>
      </c>
      <c r="D5359" s="1" t="n">
        <v>6.39</v>
      </c>
      <c r="E5359" s="1" t="n">
        <f aca="false">LN(D5359)</f>
        <v>1.85473426838944</v>
      </c>
    </row>
    <row r="5360" customFormat="false" ht="15.75" hidden="false" customHeight="false" outlineLevel="0" collapsed="false">
      <c r="A5360" s="1" t="s">
        <v>1038</v>
      </c>
      <c r="B5360" s="1" t="n">
        <v>328.15</v>
      </c>
      <c r="C5360" s="1" t="n">
        <f aca="false">1/B5360</f>
        <v>0.00304738686576261</v>
      </c>
      <c r="D5360" s="1" t="n">
        <v>5.62</v>
      </c>
      <c r="E5360" s="1" t="n">
        <f aca="false">LN(D5360)</f>
        <v>1.7263316639056</v>
      </c>
    </row>
    <row r="5361" customFormat="false" ht="15.75" hidden="false" customHeight="false" outlineLevel="0" collapsed="false">
      <c r="A5361" s="1" t="s">
        <v>1038</v>
      </c>
      <c r="B5361" s="1" t="n">
        <v>333.15</v>
      </c>
      <c r="C5361" s="1" t="n">
        <f aca="false">1/B5361</f>
        <v>0.0030016509079994</v>
      </c>
      <c r="D5361" s="1" t="n">
        <v>4.98</v>
      </c>
      <c r="E5361" s="1" t="n">
        <f aca="false">LN(D5361)</f>
        <v>1.60542989103656</v>
      </c>
    </row>
    <row r="5362" customFormat="false" ht="15.75" hidden="false" customHeight="false" outlineLevel="0" collapsed="false">
      <c r="A5362" s="1" t="s">
        <v>1038</v>
      </c>
      <c r="B5362" s="1" t="n">
        <v>338.15</v>
      </c>
      <c r="C5362" s="1" t="n">
        <f aca="false">1/B5362</f>
        <v>0.002957267484844</v>
      </c>
      <c r="D5362" s="1" t="n">
        <v>4.42</v>
      </c>
      <c r="E5362" s="1" t="n">
        <f aca="false">LN(D5362)</f>
        <v>1.48613969608961</v>
      </c>
    </row>
    <row r="5363" customFormat="false" ht="15.75" hidden="false" customHeight="false" outlineLevel="0" collapsed="false">
      <c r="A5363" s="1" t="s">
        <v>1038</v>
      </c>
      <c r="B5363" s="1" t="n">
        <v>343.15</v>
      </c>
      <c r="C5363" s="1" t="n">
        <f aca="false">1/B5363</f>
        <v>0.00291417747340813</v>
      </c>
      <c r="D5363" s="1" t="n">
        <v>3.94</v>
      </c>
      <c r="E5363" s="1" t="n">
        <f aca="false">LN(D5363)</f>
        <v>1.37118072330984</v>
      </c>
    </row>
    <row r="5364" customFormat="false" ht="15.75" hidden="false" customHeight="false" outlineLevel="0" collapsed="false">
      <c r="A5364" s="1" t="s">
        <v>1040</v>
      </c>
      <c r="B5364" s="1" t="n">
        <v>219.7</v>
      </c>
      <c r="C5364" s="1" t="n">
        <f aca="false">1/B5364</f>
        <v>0.00455166135639508</v>
      </c>
      <c r="D5364" s="1" t="n">
        <v>4.0464</v>
      </c>
      <c r="E5364" s="1" t="n">
        <f aca="false">LN(D5364)</f>
        <v>1.39782759693356</v>
      </c>
    </row>
    <row r="5365" customFormat="false" ht="15.75" hidden="false" customHeight="false" outlineLevel="0" collapsed="false">
      <c r="A5365" s="1" t="s">
        <v>1040</v>
      </c>
      <c r="B5365" s="1" t="n">
        <v>220.33</v>
      </c>
      <c r="C5365" s="1" t="n">
        <f aca="false">1/B5365</f>
        <v>0.00453864657559116</v>
      </c>
      <c r="D5365" s="1" t="n">
        <v>3.9231</v>
      </c>
      <c r="E5365" s="1" t="n">
        <f aca="false">LN(D5365)</f>
        <v>1.36688215759843</v>
      </c>
    </row>
    <row r="5366" customFormat="false" ht="15.75" hidden="false" customHeight="false" outlineLevel="0" collapsed="false">
      <c r="A5366" s="1" t="s">
        <v>1040</v>
      </c>
      <c r="B5366" s="1" t="n">
        <v>220.97</v>
      </c>
      <c r="C5366" s="1" t="n">
        <f aca="false">1/B5366</f>
        <v>0.00452550119925782</v>
      </c>
      <c r="D5366" s="1" t="n">
        <v>3.8063</v>
      </c>
      <c r="E5366" s="1" t="n">
        <f aca="false">LN(D5366)</f>
        <v>1.33665758867879</v>
      </c>
    </row>
    <row r="5367" customFormat="false" ht="15.75" hidden="false" customHeight="false" outlineLevel="0" collapsed="false">
      <c r="A5367" s="1" t="s">
        <v>1040</v>
      </c>
      <c r="B5367" s="1" t="n">
        <v>221.6</v>
      </c>
      <c r="C5367" s="1" t="n">
        <f aca="false">1/B5367</f>
        <v>0.00451263537906137</v>
      </c>
      <c r="D5367" s="1" t="n">
        <v>3.6955</v>
      </c>
      <c r="E5367" s="1" t="n">
        <f aca="false">LN(D5367)</f>
        <v>1.3071158632428</v>
      </c>
    </row>
    <row r="5368" customFormat="false" ht="15.75" hidden="false" customHeight="false" outlineLevel="0" collapsed="false">
      <c r="A5368" s="1" t="s">
        <v>1040</v>
      </c>
      <c r="B5368" s="1" t="n">
        <v>222.24</v>
      </c>
      <c r="C5368" s="1" t="n">
        <f aca="false">1/B5368</f>
        <v>0.0044996400287977</v>
      </c>
      <c r="D5368" s="1" t="n">
        <v>3.5903</v>
      </c>
      <c r="E5368" s="1" t="n">
        <f aca="false">LN(D5368)</f>
        <v>1.2782357644684</v>
      </c>
    </row>
    <row r="5369" customFormat="false" ht="15.75" hidden="false" customHeight="false" outlineLevel="0" collapsed="false">
      <c r="A5369" s="1" t="s">
        <v>1040</v>
      </c>
      <c r="B5369" s="1" t="n">
        <v>222.87</v>
      </c>
      <c r="C5369" s="1" t="n">
        <f aca="false">1/B5369</f>
        <v>0.00448692062637412</v>
      </c>
      <c r="D5369" s="1" t="n">
        <v>3.4902</v>
      </c>
      <c r="E5369" s="1" t="n">
        <f aca="false">LN(D5369)</f>
        <v>1.24995904116263</v>
      </c>
    </row>
    <row r="5370" customFormat="false" ht="15.75" hidden="false" customHeight="false" outlineLevel="0" collapsed="false">
      <c r="A5370" s="1" t="s">
        <v>1040</v>
      </c>
      <c r="B5370" s="1" t="n">
        <v>223.5</v>
      </c>
      <c r="C5370" s="1" t="n">
        <f aca="false">1/B5370</f>
        <v>0.00447427293064877</v>
      </c>
      <c r="D5370" s="1" t="n">
        <v>3.3949</v>
      </c>
      <c r="E5370" s="1" t="n">
        <f aca="false">LN(D5370)</f>
        <v>1.22227430549585</v>
      </c>
    </row>
    <row r="5371" customFormat="false" ht="15.75" hidden="false" customHeight="false" outlineLevel="0" collapsed="false">
      <c r="A5371" s="1" t="s">
        <v>1040</v>
      </c>
      <c r="B5371" s="1" t="n">
        <v>224.14</v>
      </c>
      <c r="C5371" s="1" t="n">
        <f aca="false">1/B5371</f>
        <v>0.00446149727848666</v>
      </c>
      <c r="D5371" s="1" t="n">
        <v>3.3041</v>
      </c>
      <c r="E5371" s="1" t="n">
        <f aca="false">LN(D5371)</f>
        <v>1.19516412154454</v>
      </c>
    </row>
    <row r="5372" customFormat="false" ht="15.75" hidden="false" customHeight="false" outlineLevel="0" collapsed="false">
      <c r="A5372" s="1" t="s">
        <v>1040</v>
      </c>
      <c r="B5372" s="1" t="n">
        <v>224.77</v>
      </c>
      <c r="C5372" s="1" t="n">
        <f aca="false">1/B5372</f>
        <v>0.00444899230324332</v>
      </c>
      <c r="D5372" s="1" t="n">
        <v>3.2174</v>
      </c>
      <c r="E5372" s="1" t="n">
        <f aca="false">LN(D5372)</f>
        <v>1.16857357997407</v>
      </c>
    </row>
    <row r="5373" customFormat="false" ht="15.75" hidden="false" customHeight="false" outlineLevel="0" collapsed="false">
      <c r="A5373" s="1" t="s">
        <v>1040</v>
      </c>
      <c r="B5373" s="1" t="n">
        <v>225.4</v>
      </c>
      <c r="C5373" s="1" t="n">
        <f aca="false">1/B5373</f>
        <v>0.00443655723158829</v>
      </c>
      <c r="D5373" s="1" t="n">
        <v>3.1347</v>
      </c>
      <c r="E5373" s="1" t="n">
        <f aca="false">LN(D5373)</f>
        <v>1.14253347572604</v>
      </c>
    </row>
    <row r="5374" customFormat="false" ht="15.75" hidden="false" customHeight="false" outlineLevel="0" collapsed="false">
      <c r="A5374" s="1" t="s">
        <v>1040</v>
      </c>
      <c r="B5374" s="1" t="n">
        <v>226.04</v>
      </c>
      <c r="C5374" s="1" t="n">
        <f aca="false">1/B5374</f>
        <v>0.00442399575296408</v>
      </c>
      <c r="D5374" s="1" t="n">
        <v>3.0556</v>
      </c>
      <c r="E5374" s="1" t="n">
        <f aca="false">LN(D5374)</f>
        <v>1.11697597268507</v>
      </c>
    </row>
    <row r="5375" customFormat="false" ht="15.75" hidden="false" customHeight="false" outlineLevel="0" collapsed="false">
      <c r="A5375" s="1" t="s">
        <v>1040</v>
      </c>
      <c r="B5375" s="1" t="n">
        <v>226.67</v>
      </c>
      <c r="C5375" s="1" t="n">
        <f aca="false">1/B5375</f>
        <v>0.00441169982794371</v>
      </c>
      <c r="D5375" s="1" t="n">
        <v>2.98</v>
      </c>
      <c r="E5375" s="1" t="n">
        <f aca="false">LN(D5375)</f>
        <v>1.09192330051731</v>
      </c>
    </row>
    <row r="5376" customFormat="false" ht="15.75" hidden="false" customHeight="false" outlineLevel="0" collapsed="false">
      <c r="A5376" s="1" t="s">
        <v>1040</v>
      </c>
      <c r="B5376" s="1" t="n">
        <v>227.31</v>
      </c>
      <c r="C5376" s="1" t="n">
        <f aca="false">1/B5376</f>
        <v>0.004399278518323</v>
      </c>
      <c r="D5376" s="1" t="n">
        <v>2.9075</v>
      </c>
      <c r="E5376" s="1" t="n">
        <f aca="false">LN(D5376)</f>
        <v>1.06729360541068</v>
      </c>
    </row>
    <row r="5377" customFormat="false" ht="15.75" hidden="false" customHeight="false" outlineLevel="0" collapsed="false">
      <c r="A5377" s="1" t="s">
        <v>1040</v>
      </c>
      <c r="B5377" s="1" t="n">
        <v>227.94</v>
      </c>
      <c r="C5377" s="1" t="n">
        <f aca="false">1/B5377</f>
        <v>0.00438711941739054</v>
      </c>
      <c r="D5377" s="1" t="n">
        <v>2.8381</v>
      </c>
      <c r="E5377" s="1" t="n">
        <f aca="false">LN(D5377)</f>
        <v>1.04313481419882</v>
      </c>
    </row>
    <row r="5378" customFormat="false" ht="15.75" hidden="false" customHeight="false" outlineLevel="0" collapsed="false">
      <c r="A5378" s="1" t="s">
        <v>1040</v>
      </c>
      <c r="B5378" s="1" t="n">
        <v>228.57</v>
      </c>
      <c r="C5378" s="1" t="n">
        <f aca="false">1/B5378</f>
        <v>0.0043750273439209</v>
      </c>
      <c r="D5378" s="1" t="n">
        <v>2.7716</v>
      </c>
      <c r="E5378" s="1" t="n">
        <f aca="false">LN(D5378)</f>
        <v>1.01942477077109</v>
      </c>
    </row>
    <row r="5379" customFormat="false" ht="15.75" hidden="false" customHeight="false" outlineLevel="0" collapsed="false">
      <c r="A5379" s="1" t="s">
        <v>1040</v>
      </c>
      <c r="B5379" s="1" t="n">
        <v>229.21</v>
      </c>
      <c r="C5379" s="1" t="n">
        <f aca="false">1/B5379</f>
        <v>0.00436281139566337</v>
      </c>
      <c r="D5379" s="1" t="n">
        <v>2.7077</v>
      </c>
      <c r="E5379" s="1" t="n">
        <f aca="false">LN(D5379)</f>
        <v>0.99609956604757</v>
      </c>
    </row>
    <row r="5380" customFormat="false" ht="15.75" hidden="false" customHeight="false" outlineLevel="0" collapsed="false">
      <c r="A5380" s="1" t="s">
        <v>1040</v>
      </c>
      <c r="B5380" s="1" t="n">
        <v>229.84</v>
      </c>
      <c r="C5380" s="1" t="n">
        <f aca="false">1/B5380</f>
        <v>0.00435085276714236</v>
      </c>
      <c r="D5380" s="1" t="n">
        <v>2.6463</v>
      </c>
      <c r="E5380" s="1" t="n">
        <f aca="false">LN(D5380)</f>
        <v>0.973162437950694</v>
      </c>
    </row>
    <row r="5381" customFormat="false" ht="15.75" hidden="false" customHeight="false" outlineLevel="0" collapsed="false">
      <c r="A5381" s="1" t="s">
        <v>1040</v>
      </c>
      <c r="B5381" s="1" t="n">
        <v>230.48</v>
      </c>
      <c r="C5381" s="1" t="n">
        <f aca="false">1/B5381</f>
        <v>0.00433877125997917</v>
      </c>
      <c r="D5381" s="1" t="n">
        <v>2.5873</v>
      </c>
      <c r="E5381" s="1" t="n">
        <f aca="false">LN(D5381)</f>
        <v>0.950614860918109</v>
      </c>
    </row>
    <row r="5382" customFormat="false" ht="15.75" hidden="false" customHeight="false" outlineLevel="0" collapsed="false">
      <c r="A5382" s="1" t="s">
        <v>1040</v>
      </c>
      <c r="B5382" s="1" t="n">
        <v>231.11</v>
      </c>
      <c r="C5382" s="1" t="n">
        <f aca="false">1/B5382</f>
        <v>0.00432694387953788</v>
      </c>
      <c r="D5382" s="1" t="n">
        <v>2.5306</v>
      </c>
      <c r="E5382" s="1" t="n">
        <f aca="false">LN(D5382)</f>
        <v>0.928456428773026</v>
      </c>
    </row>
    <row r="5383" customFormat="false" ht="15.75" hidden="false" customHeight="false" outlineLevel="0" collapsed="false">
      <c r="A5383" s="1" t="s">
        <v>1040</v>
      </c>
      <c r="B5383" s="1" t="n">
        <v>231.74</v>
      </c>
      <c r="C5383" s="1" t="n">
        <f aca="false">1/B5383</f>
        <v>0.00431518080607578</v>
      </c>
      <c r="D5383" s="1" t="n">
        <v>2.476</v>
      </c>
      <c r="E5383" s="1" t="n">
        <f aca="false">LN(D5383)</f>
        <v>0.90664435482235</v>
      </c>
    </row>
    <row r="5384" customFormat="false" ht="15.75" hidden="false" customHeight="false" outlineLevel="0" collapsed="false">
      <c r="A5384" s="1" t="s">
        <v>1040</v>
      </c>
      <c r="B5384" s="1" t="n">
        <v>232.38</v>
      </c>
      <c r="C5384" s="1" t="n">
        <f aca="false">1/B5384</f>
        <v>0.00430329632498494</v>
      </c>
      <c r="D5384" s="1" t="n">
        <v>2.4235</v>
      </c>
      <c r="E5384" s="1" t="n">
        <f aca="false">LN(D5384)</f>
        <v>0.885212776303294</v>
      </c>
    </row>
    <row r="5385" customFormat="false" ht="15.75" hidden="false" customHeight="false" outlineLevel="0" collapsed="false">
      <c r="A5385" s="1" t="s">
        <v>1040</v>
      </c>
      <c r="B5385" s="1" t="n">
        <v>233.01</v>
      </c>
      <c r="C5385" s="1" t="n">
        <f aca="false">1/B5385</f>
        <v>0.00429166130209004</v>
      </c>
      <c r="D5385" s="1" t="n">
        <v>2.3728</v>
      </c>
      <c r="E5385" s="1" t="n">
        <f aca="false">LN(D5385)</f>
        <v>0.864070692401531</v>
      </c>
    </row>
    <row r="5386" customFormat="false" ht="15.75" hidden="false" customHeight="false" outlineLevel="0" collapsed="false">
      <c r="A5386" s="1" t="s">
        <v>1040</v>
      </c>
      <c r="B5386" s="1" t="n">
        <v>233.64</v>
      </c>
      <c r="C5386" s="1" t="n">
        <f aca="false">1/B5386</f>
        <v>0.00428008902585174</v>
      </c>
      <c r="D5386" s="1" t="n">
        <v>2.324</v>
      </c>
      <c r="E5386" s="1" t="n">
        <f aca="false">LN(D5386)</f>
        <v>0.843289838989665</v>
      </c>
    </row>
    <row r="5387" customFormat="false" ht="15.75" hidden="false" customHeight="false" outlineLevel="0" collapsed="false">
      <c r="A5387" s="1" t="s">
        <v>1040</v>
      </c>
      <c r="B5387" s="1" t="n">
        <v>234.28</v>
      </c>
      <c r="C5387" s="1" t="n">
        <f aca="false">1/B5387</f>
        <v>0.00426839679016561</v>
      </c>
      <c r="D5387" s="1" t="n">
        <v>2.2769</v>
      </c>
      <c r="E5387" s="1" t="n">
        <f aca="false">LN(D5387)</f>
        <v>0.822814868681982</v>
      </c>
    </row>
    <row r="5388" customFormat="false" ht="15.75" hidden="false" customHeight="false" outlineLevel="0" collapsed="false">
      <c r="A5388" s="1" t="s">
        <v>1040</v>
      </c>
      <c r="B5388" s="1" t="n">
        <v>234.91</v>
      </c>
      <c r="C5388" s="1" t="n">
        <f aca="false">1/B5388</f>
        <v>0.00425694947000979</v>
      </c>
      <c r="D5388" s="1" t="n">
        <v>2.2314</v>
      </c>
      <c r="E5388" s="1" t="n">
        <f aca="false">LN(D5388)</f>
        <v>0.802629191176942</v>
      </c>
    </row>
    <row r="5389" customFormat="false" ht="15.75" hidden="false" customHeight="false" outlineLevel="0" collapsed="false">
      <c r="A5389" s="1" t="s">
        <v>1040</v>
      </c>
      <c r="B5389" s="1" t="n">
        <v>235.55</v>
      </c>
      <c r="C5389" s="1" t="n">
        <f aca="false">1/B5389</f>
        <v>0.00424538314582891</v>
      </c>
      <c r="D5389" s="1" t="n">
        <v>2.1875</v>
      </c>
      <c r="E5389" s="1" t="n">
        <f aca="false">LN(D5389)</f>
        <v>0.782759339249632</v>
      </c>
    </row>
    <row r="5390" customFormat="false" ht="15.75" hidden="false" customHeight="false" outlineLevel="0" collapsed="false">
      <c r="A5390" s="1" t="s">
        <v>1040</v>
      </c>
      <c r="B5390" s="1" t="n">
        <v>236.18</v>
      </c>
      <c r="C5390" s="1" t="n">
        <f aca="false">1/B5390</f>
        <v>0.00423405876873571</v>
      </c>
      <c r="D5390" s="1" t="n">
        <v>2.1451</v>
      </c>
      <c r="E5390" s="1" t="n">
        <f aca="false">LN(D5390)</f>
        <v>0.76318617133992</v>
      </c>
    </row>
    <row r="5391" customFormat="false" ht="15.75" hidden="false" customHeight="false" outlineLevel="0" collapsed="false">
      <c r="A5391" s="1" t="s">
        <v>1040</v>
      </c>
      <c r="B5391" s="1" t="n">
        <v>236.81</v>
      </c>
      <c r="C5391" s="1" t="n">
        <f aca="false">1/B5391</f>
        <v>0.00422279464549639</v>
      </c>
      <c r="D5391" s="1" t="n">
        <v>2.104</v>
      </c>
      <c r="E5391" s="1" t="n">
        <f aca="false">LN(D5391)</f>
        <v>0.743840294875463</v>
      </c>
    </row>
    <row r="5392" customFormat="false" ht="15.75" hidden="false" customHeight="false" outlineLevel="0" collapsed="false">
      <c r="A5392" s="1" t="s">
        <v>1040</v>
      </c>
      <c r="B5392" s="1" t="n">
        <v>237.45</v>
      </c>
      <c r="C5392" s="1" t="n">
        <f aca="false">1/B5392</f>
        <v>0.00421141292903769</v>
      </c>
      <c r="D5392" s="1" t="n">
        <v>2.0644</v>
      </c>
      <c r="E5392" s="1" t="n">
        <f aca="false">LN(D5392)</f>
        <v>0.724839627292435</v>
      </c>
    </row>
    <row r="5393" customFormat="false" ht="15.75" hidden="false" customHeight="false" outlineLevel="0" collapsed="false">
      <c r="A5393" s="1" t="s">
        <v>1040</v>
      </c>
      <c r="B5393" s="1" t="n">
        <v>238.08</v>
      </c>
      <c r="C5393" s="1" t="n">
        <f aca="false">1/B5393</f>
        <v>0.0042002688172043</v>
      </c>
      <c r="D5393" s="1" t="n">
        <v>2.026</v>
      </c>
      <c r="E5393" s="1" t="n">
        <f aca="false">LN(D5393)</f>
        <v>0.706063405826492</v>
      </c>
    </row>
    <row r="5394" customFormat="false" ht="15.75" hidden="false" customHeight="false" outlineLevel="0" collapsed="false">
      <c r="A5394" s="1" t="s">
        <v>1040</v>
      </c>
      <c r="B5394" s="1" t="n">
        <v>238.72</v>
      </c>
      <c r="C5394" s="1" t="n">
        <f aca="false">1/B5394</f>
        <v>0.00418900804289544</v>
      </c>
      <c r="D5394" s="1" t="n">
        <v>1.9888</v>
      </c>
      <c r="E5394" s="1" t="n">
        <f aca="false">LN(D5394)</f>
        <v>0.68753144177431</v>
      </c>
    </row>
    <row r="5395" customFormat="false" ht="15.75" hidden="false" customHeight="false" outlineLevel="0" collapsed="false">
      <c r="A5395" s="1" t="s">
        <v>1040</v>
      </c>
      <c r="B5395" s="1" t="n">
        <v>239.35</v>
      </c>
      <c r="C5395" s="1" t="n">
        <f aca="false">1/B5395</f>
        <v>0.00417798203467725</v>
      </c>
      <c r="D5395" s="1" t="n">
        <v>1.9528</v>
      </c>
      <c r="E5395" s="1" t="n">
        <f aca="false">LN(D5395)</f>
        <v>0.669264240096613</v>
      </c>
    </row>
    <row r="5396" customFormat="false" ht="15.75" hidden="false" customHeight="false" outlineLevel="0" collapsed="false">
      <c r="A5396" s="1" t="s">
        <v>1040</v>
      </c>
      <c r="B5396" s="1" t="n">
        <v>239.98</v>
      </c>
      <c r="C5396" s="1" t="n">
        <f aca="false">1/B5396</f>
        <v>0.00416701391782649</v>
      </c>
      <c r="D5396" s="1" t="n">
        <v>1.9179</v>
      </c>
      <c r="E5396" s="1" t="n">
        <f aca="false">LN(D5396)</f>
        <v>0.651230837458654</v>
      </c>
    </row>
    <row r="5397" customFormat="false" ht="15.75" hidden="false" customHeight="false" outlineLevel="0" collapsed="false">
      <c r="A5397" s="1" t="s">
        <v>1040</v>
      </c>
      <c r="B5397" s="1" t="n">
        <v>240.62</v>
      </c>
      <c r="C5397" s="1" t="n">
        <f aca="false">1/B5397</f>
        <v>0.00415593051284183</v>
      </c>
      <c r="D5397" s="1" t="n">
        <v>1.8841</v>
      </c>
      <c r="E5397" s="1" t="n">
        <f aca="false">LN(D5397)</f>
        <v>0.633450253301818</v>
      </c>
    </row>
    <row r="5398" customFormat="false" ht="15.75" hidden="false" customHeight="false" outlineLevel="0" collapsed="false">
      <c r="A5398" s="1" t="s">
        <v>1040</v>
      </c>
      <c r="B5398" s="1" t="n">
        <v>241.25</v>
      </c>
      <c r="C5398" s="1" t="n">
        <f aca="false">1/B5398</f>
        <v>0.00414507772020725</v>
      </c>
      <c r="D5398" s="1" t="n">
        <v>1.8513</v>
      </c>
      <c r="E5398" s="1" t="n">
        <f aca="false">LN(D5398)</f>
        <v>0.615888095012994</v>
      </c>
    </row>
    <row r="5399" customFormat="false" ht="15.75" hidden="false" customHeight="false" outlineLevel="0" collapsed="false">
      <c r="A5399" s="1" t="s">
        <v>1040</v>
      </c>
      <c r="B5399" s="1" t="n">
        <v>241.88</v>
      </c>
      <c r="C5399" s="1" t="n">
        <f aca="false">1/B5399</f>
        <v>0.00413428146188193</v>
      </c>
      <c r="D5399" s="1" t="n">
        <v>1.8195</v>
      </c>
      <c r="E5399" s="1" t="n">
        <f aca="false">LN(D5399)</f>
        <v>0.598561738070077</v>
      </c>
    </row>
    <row r="5400" customFormat="false" ht="15.75" hidden="false" customHeight="false" outlineLevel="0" collapsed="false">
      <c r="A5400" s="1" t="s">
        <v>1040</v>
      </c>
      <c r="B5400" s="1" t="n">
        <v>242.52</v>
      </c>
      <c r="C5400" s="1" t="n">
        <f aca="false">1/B5400</f>
        <v>0.004123371268349</v>
      </c>
      <c r="D5400" s="1" t="n">
        <v>1.7886</v>
      </c>
      <c r="E5400" s="1" t="n">
        <f aca="false">LN(D5400)</f>
        <v>0.581433190929944</v>
      </c>
    </row>
    <row r="5401" customFormat="false" ht="15.75" hidden="false" customHeight="false" outlineLevel="0" collapsed="false">
      <c r="A5401" s="1" t="s">
        <v>1040</v>
      </c>
      <c r="B5401" s="1" t="n">
        <v>243.15</v>
      </c>
      <c r="C5401" s="1" t="n">
        <f aca="false">1/B5401</f>
        <v>0.00411268764137364</v>
      </c>
      <c r="D5401" s="1" t="n">
        <v>1.7587</v>
      </c>
      <c r="E5401" s="1" t="n">
        <f aca="false">LN(D5401)</f>
        <v>0.564574899760181</v>
      </c>
    </row>
    <row r="5402" customFormat="false" ht="15.75" hidden="false" customHeight="false" outlineLevel="0" collapsed="false">
      <c r="A5402" s="1" t="s">
        <v>1040</v>
      </c>
      <c r="B5402" s="1" t="n">
        <v>243.79</v>
      </c>
      <c r="C5402" s="1" t="n">
        <f aca="false">1/B5402</f>
        <v>0.00410189097173797</v>
      </c>
      <c r="D5402" s="1" t="n">
        <v>1.7296</v>
      </c>
      <c r="E5402" s="1" t="n">
        <f aca="false">LN(D5402)</f>
        <v>0.547890167902807</v>
      </c>
    </row>
    <row r="5403" customFormat="false" ht="15.75" hidden="false" customHeight="false" outlineLevel="0" collapsed="false">
      <c r="A5403" s="1" t="s">
        <v>1040</v>
      </c>
      <c r="B5403" s="1" t="n">
        <v>244.42</v>
      </c>
      <c r="C5403" s="1" t="n">
        <f aca="false">1/B5403</f>
        <v>0.00409131822273136</v>
      </c>
      <c r="D5403" s="1" t="n">
        <v>1.7013</v>
      </c>
      <c r="E5403" s="1" t="n">
        <f aca="false">LN(D5403)</f>
        <v>0.531392664705955</v>
      </c>
    </row>
    <row r="5404" customFormat="false" ht="15.75" hidden="false" customHeight="false" outlineLevel="0" collapsed="false">
      <c r="A5404" s="1" t="s">
        <v>1040</v>
      </c>
      <c r="B5404" s="1" t="n">
        <v>245.05</v>
      </c>
      <c r="C5404" s="1" t="n">
        <f aca="false">1/B5404</f>
        <v>0.00408079983676801</v>
      </c>
      <c r="D5404" s="1" t="n">
        <v>1.6738</v>
      </c>
      <c r="E5404" s="1" t="n">
        <f aca="false">LN(D5404)</f>
        <v>0.515096490616637</v>
      </c>
    </row>
    <row r="5405" customFormat="false" ht="15.75" hidden="false" customHeight="false" outlineLevel="0" collapsed="false">
      <c r="A5405" s="1" t="s">
        <v>1040</v>
      </c>
      <c r="B5405" s="1" t="n">
        <v>245.69</v>
      </c>
      <c r="C5405" s="1" t="n">
        <f aca="false">1/B5405</f>
        <v>0.00407016972607758</v>
      </c>
      <c r="D5405" s="1" t="n">
        <v>1.6471</v>
      </c>
      <c r="E5405" s="1" t="n">
        <f aca="false">LN(D5405)</f>
        <v>0.499016165806493</v>
      </c>
    </row>
    <row r="5406" customFormat="false" ht="15.75" hidden="false" customHeight="false" outlineLevel="0" collapsed="false">
      <c r="A5406" s="1" t="s">
        <v>1040</v>
      </c>
      <c r="B5406" s="1" t="n">
        <v>246.32</v>
      </c>
      <c r="C5406" s="1" t="n">
        <f aca="false">1/B5406</f>
        <v>0.004059759662228</v>
      </c>
      <c r="D5406" s="1" t="n">
        <v>1.6211</v>
      </c>
      <c r="E5406" s="1" t="n">
        <f aca="false">LN(D5406)</f>
        <v>0.48310493116539</v>
      </c>
    </row>
    <row r="5407" customFormat="false" ht="15.75" hidden="false" customHeight="false" outlineLevel="0" collapsed="false">
      <c r="A5407" s="1" t="s">
        <v>1040</v>
      </c>
      <c r="B5407" s="1" t="n">
        <v>246.95</v>
      </c>
      <c r="C5407" s="1" t="n">
        <f aca="false">1/B5407</f>
        <v>0.00404940271309982</v>
      </c>
      <c r="D5407" s="1" t="n">
        <v>1.5958</v>
      </c>
      <c r="E5407" s="1" t="n">
        <f aca="false">LN(D5407)</f>
        <v>0.467375177892044</v>
      </c>
    </row>
    <row r="5408" customFormat="false" ht="15.75" hidden="false" customHeight="false" outlineLevel="0" collapsed="false">
      <c r="A5408" s="1" t="s">
        <v>1040</v>
      </c>
      <c r="B5408" s="1" t="n">
        <v>247.59</v>
      </c>
      <c r="C5408" s="1" t="n">
        <f aca="false">1/B5408</f>
        <v>0.00403893533664526</v>
      </c>
      <c r="D5408" s="1" t="n">
        <v>1.5712</v>
      </c>
      <c r="E5408" s="1" t="n">
        <f aca="false">LN(D5408)</f>
        <v>0.451839658618064</v>
      </c>
    </row>
    <row r="5409" customFormat="false" ht="15.75" hidden="false" customHeight="false" outlineLevel="0" collapsed="false">
      <c r="A5409" s="1" t="s">
        <v>1040</v>
      </c>
      <c r="B5409" s="1" t="n">
        <v>248.22</v>
      </c>
      <c r="C5409" s="1" t="n">
        <f aca="false">1/B5409</f>
        <v>0.00402868423172992</v>
      </c>
      <c r="D5409" s="1" t="n">
        <v>1.5473</v>
      </c>
      <c r="E5409" s="1" t="n">
        <f aca="false">LN(D5409)</f>
        <v>0.43651147651349</v>
      </c>
    </row>
    <row r="5410" customFormat="false" ht="15.75" hidden="false" customHeight="false" outlineLevel="0" collapsed="false">
      <c r="A5410" s="1" t="s">
        <v>1040</v>
      </c>
      <c r="B5410" s="1" t="n">
        <v>248.86</v>
      </c>
      <c r="C5410" s="1" t="n">
        <f aca="false">1/B5410</f>
        <v>0.00401832355541268</v>
      </c>
      <c r="D5410" s="1" t="n">
        <v>1.5239</v>
      </c>
      <c r="E5410" s="1" t="n">
        <f aca="false">LN(D5410)</f>
        <v>0.421272838313678</v>
      </c>
    </row>
    <row r="5411" customFormat="false" ht="15.75" hidden="false" customHeight="false" outlineLevel="0" collapsed="false">
      <c r="A5411" s="1" t="s">
        <v>1040</v>
      </c>
      <c r="B5411" s="1" t="n">
        <v>249.49</v>
      </c>
      <c r="C5411" s="1" t="n">
        <f aca="false">1/B5411</f>
        <v>0.00400817668042807</v>
      </c>
      <c r="D5411" s="1" t="n">
        <v>1.5012</v>
      </c>
      <c r="E5411" s="1" t="n">
        <f aca="false">LN(D5411)</f>
        <v>0.406264788278729</v>
      </c>
    </row>
    <row r="5412" customFormat="false" ht="15.75" hidden="false" customHeight="false" outlineLevel="0" collapsed="false">
      <c r="A5412" s="1" t="s">
        <v>1040</v>
      </c>
      <c r="B5412" s="1" t="n">
        <v>250.12</v>
      </c>
      <c r="C5412" s="1" t="n">
        <f aca="false">1/B5412</f>
        <v>0.00399808092115784</v>
      </c>
      <c r="D5412" s="1" t="n">
        <v>1.4791</v>
      </c>
      <c r="E5412" s="1" t="n">
        <f aca="false">LN(D5412)</f>
        <v>0.391433794695187</v>
      </c>
    </row>
    <row r="5413" customFormat="false" ht="15.75" hidden="false" customHeight="false" outlineLevel="0" collapsed="false">
      <c r="A5413" s="1" t="s">
        <v>1040</v>
      </c>
      <c r="B5413" s="1" t="n">
        <v>250.76</v>
      </c>
      <c r="C5413" s="1" t="n">
        <f aca="false">1/B5413</f>
        <v>0.00398787685436274</v>
      </c>
      <c r="D5413" s="1" t="n">
        <v>1.4575</v>
      </c>
      <c r="E5413" s="1" t="n">
        <f aca="false">LN(D5413)</f>
        <v>0.37672263924251</v>
      </c>
    </row>
    <row r="5414" customFormat="false" ht="15.75" hidden="false" customHeight="false" outlineLevel="0" collapsed="false">
      <c r="A5414" s="1" t="s">
        <v>1040</v>
      </c>
      <c r="B5414" s="1" t="n">
        <v>251.39</v>
      </c>
      <c r="C5414" s="1" t="n">
        <f aca="false">1/B5414</f>
        <v>0.003977882970683</v>
      </c>
      <c r="D5414" s="1" t="n">
        <v>1.4365</v>
      </c>
      <c r="E5414" s="1" t="n">
        <f aca="false">LN(D5414)</f>
        <v>0.362209599437207</v>
      </c>
    </row>
    <row r="5415" customFormat="false" ht="15.75" hidden="false" customHeight="false" outlineLevel="0" collapsed="false">
      <c r="A5415" s="1" t="s">
        <v>1040</v>
      </c>
      <c r="B5415" s="1" t="n">
        <v>252.03</v>
      </c>
      <c r="C5415" s="1" t="n">
        <f aca="false">1/B5415</f>
        <v>0.0039677816133</v>
      </c>
      <c r="D5415" s="1" t="n">
        <v>1.4159</v>
      </c>
      <c r="E5415" s="1" t="n">
        <f aca="false">LN(D5415)</f>
        <v>0.347765371308788</v>
      </c>
    </row>
    <row r="5416" customFormat="false" ht="15.75" hidden="false" customHeight="false" outlineLevel="0" collapsed="false">
      <c r="A5416" s="1" t="s">
        <v>1040</v>
      </c>
      <c r="B5416" s="1" t="n">
        <v>252.66</v>
      </c>
      <c r="C5416" s="1" t="n">
        <f aca="false">1/B5416</f>
        <v>0.00395788807092535</v>
      </c>
      <c r="D5416" s="1" t="n">
        <v>1.3959</v>
      </c>
      <c r="E5416" s="1" t="n">
        <f aca="false">LN(D5416)</f>
        <v>0.333539368536575</v>
      </c>
    </row>
    <row r="5417" customFormat="false" ht="15.75" hidden="false" customHeight="false" outlineLevel="0" collapsed="false">
      <c r="A5417" s="1" t="s">
        <v>1040</v>
      </c>
      <c r="B5417" s="1" t="n">
        <v>253.29</v>
      </c>
      <c r="C5417" s="1" t="n">
        <f aca="false">1/B5417</f>
        <v>0.00394804374432469</v>
      </c>
      <c r="D5417" s="1" t="n">
        <v>1.3764</v>
      </c>
      <c r="E5417" s="1" t="n">
        <f aca="false">LN(D5417)</f>
        <v>0.319471394941188</v>
      </c>
    </row>
    <row r="5418" customFormat="false" ht="15.75" hidden="false" customHeight="false" outlineLevel="0" collapsed="false">
      <c r="A5418" s="1" t="s">
        <v>1040</v>
      </c>
      <c r="B5418" s="1" t="n">
        <v>253.93</v>
      </c>
      <c r="C5418" s="1" t="n">
        <f aca="false">1/B5418</f>
        <v>0.00393809317528453</v>
      </c>
      <c r="D5418" s="1" t="n">
        <v>1.3574</v>
      </c>
      <c r="E5418" s="1" t="n">
        <f aca="false">LN(D5418)</f>
        <v>0.305571105287521</v>
      </c>
    </row>
    <row r="5419" customFormat="false" ht="15.75" hidden="false" customHeight="false" outlineLevel="0" collapsed="false">
      <c r="A5419" s="1" t="s">
        <v>1040</v>
      </c>
      <c r="B5419" s="1" t="n">
        <v>254.56</v>
      </c>
      <c r="C5419" s="1" t="n">
        <f aca="false">1/B5419</f>
        <v>0.00392834695160277</v>
      </c>
      <c r="D5419" s="1" t="n">
        <v>1.3388</v>
      </c>
      <c r="E5419" s="1" t="n">
        <f aca="false">LN(D5419)</f>
        <v>0.291773690355034</v>
      </c>
    </row>
    <row r="5420" customFormat="false" ht="15.75" hidden="false" customHeight="false" outlineLevel="0" collapsed="false">
      <c r="A5420" s="1" t="s">
        <v>1040</v>
      </c>
      <c r="B5420" s="1" t="n">
        <v>255.19</v>
      </c>
      <c r="C5420" s="1" t="n">
        <f aca="false">1/B5420</f>
        <v>0.00391864884987656</v>
      </c>
      <c r="D5420" s="1" t="n">
        <v>1.3206</v>
      </c>
      <c r="E5420" s="1" t="n">
        <f aca="false">LN(D5420)</f>
        <v>0.278086178778334</v>
      </c>
    </row>
    <row r="5421" customFormat="false" ht="15.75" hidden="false" customHeight="false" outlineLevel="0" collapsed="false">
      <c r="A5421" s="1" t="s">
        <v>1040</v>
      </c>
      <c r="B5421" s="1" t="n">
        <v>255.83</v>
      </c>
      <c r="C5421" s="1" t="n">
        <f aca="false">1/B5421</f>
        <v>0.00390884571785952</v>
      </c>
      <c r="D5421" s="1" t="n">
        <v>1.3029</v>
      </c>
      <c r="E5421" s="1" t="n">
        <f aca="false">LN(D5421)</f>
        <v>0.264592549226749</v>
      </c>
    </row>
    <row r="5422" customFormat="false" ht="15.75" hidden="false" customHeight="false" outlineLevel="0" collapsed="false">
      <c r="A5422" s="1" t="s">
        <v>1040</v>
      </c>
      <c r="B5422" s="1" t="n">
        <v>256.46</v>
      </c>
      <c r="C5422" s="1" t="n">
        <f aca="false">1/B5422</f>
        <v>0.00389924354675193</v>
      </c>
      <c r="D5422" s="1" t="n">
        <v>1.2856</v>
      </c>
      <c r="E5422" s="1" t="n">
        <f aca="false">LN(D5422)</f>
        <v>0.251225535441166</v>
      </c>
    </row>
    <row r="5423" customFormat="false" ht="15.75" hidden="false" customHeight="false" outlineLevel="0" collapsed="false">
      <c r="A5423" s="1" t="s">
        <v>1040</v>
      </c>
      <c r="B5423" s="1" t="n">
        <v>257.1</v>
      </c>
      <c r="C5423" s="1" t="n">
        <f aca="false">1/B5423</f>
        <v>0.00388953714507974</v>
      </c>
      <c r="D5423" s="1" t="n">
        <v>1.2686</v>
      </c>
      <c r="E5423" s="1" t="n">
        <f aca="false">LN(D5423)</f>
        <v>0.23791393021766</v>
      </c>
    </row>
    <row r="5424" customFormat="false" ht="15.75" hidden="false" customHeight="false" outlineLevel="0" collapsed="false">
      <c r="A5424" s="1" t="s">
        <v>1040</v>
      </c>
      <c r="B5424" s="1" t="n">
        <v>257.73</v>
      </c>
      <c r="C5424" s="1" t="n">
        <f aca="false">1/B5424</f>
        <v>0.00388002948822411</v>
      </c>
      <c r="D5424" s="1" t="n">
        <v>1.2521</v>
      </c>
      <c r="E5424" s="1" t="n">
        <f aca="false">LN(D5424)</f>
        <v>0.224822141692765</v>
      </c>
    </row>
    <row r="5425" customFormat="false" ht="15.75" hidden="false" customHeight="false" outlineLevel="0" collapsed="false">
      <c r="A5425" s="1" t="s">
        <v>1040</v>
      </c>
      <c r="B5425" s="1" t="n">
        <v>258.36</v>
      </c>
      <c r="C5425" s="1" t="n">
        <f aca="false">1/B5425</f>
        <v>0.00387056819941167</v>
      </c>
      <c r="D5425" s="1" t="n">
        <v>1.2359</v>
      </c>
      <c r="E5425" s="1" t="n">
        <f aca="false">LN(D5425)</f>
        <v>0.211799449613553</v>
      </c>
    </row>
    <row r="5426" customFormat="false" ht="15.75" hidden="false" customHeight="false" outlineLevel="0" collapsed="false">
      <c r="A5426" s="1" t="s">
        <v>1040</v>
      </c>
      <c r="B5426" s="1" t="n">
        <v>259</v>
      </c>
      <c r="C5426" s="1" t="n">
        <f aca="false">1/B5426</f>
        <v>0.00386100386100386</v>
      </c>
      <c r="D5426" s="1" t="n">
        <v>1.2201</v>
      </c>
      <c r="E5426" s="1" t="n">
        <f aca="false">LN(D5426)</f>
        <v>0.198932822599151</v>
      </c>
    </row>
    <row r="5427" customFormat="false" ht="15.75" hidden="false" customHeight="false" outlineLevel="0" collapsed="false">
      <c r="A5427" s="1" t="s">
        <v>1040</v>
      </c>
      <c r="B5427" s="1" t="n">
        <v>259.63</v>
      </c>
      <c r="C5427" s="1" t="n">
        <f aca="false">1/B5427</f>
        <v>0.00385163501906559</v>
      </c>
      <c r="D5427" s="1" t="n">
        <v>1.2046</v>
      </c>
      <c r="E5427" s="1" t="n">
        <f aca="false">LN(D5427)</f>
        <v>0.186147561627484</v>
      </c>
    </row>
    <row r="5428" customFormat="false" ht="15.75" hidden="false" customHeight="false" outlineLevel="0" collapsed="false">
      <c r="A5428" s="1" t="s">
        <v>1040</v>
      </c>
      <c r="B5428" s="1" t="n">
        <v>260.27</v>
      </c>
      <c r="C5428" s="1" t="n">
        <f aca="false">1/B5428</f>
        <v>0.00384216390671226</v>
      </c>
      <c r="D5428" s="1" t="n">
        <v>1.1895</v>
      </c>
      <c r="E5428" s="1" t="n">
        <f aca="false">LN(D5428)</f>
        <v>0.173533050760875</v>
      </c>
    </row>
    <row r="5429" customFormat="false" ht="15.75" hidden="false" customHeight="false" outlineLevel="0" collapsed="false">
      <c r="A5429" s="1" t="s">
        <v>1040</v>
      </c>
      <c r="B5429" s="1" t="n">
        <v>260.9</v>
      </c>
      <c r="C5429" s="1" t="n">
        <f aca="false">1/B5429</f>
        <v>0.00383288616328095</v>
      </c>
      <c r="D5429" s="1" t="n">
        <v>1.1747</v>
      </c>
      <c r="E5429" s="1" t="n">
        <f aca="false">LN(D5429)</f>
        <v>0.161012795847703</v>
      </c>
    </row>
    <row r="5430" customFormat="false" ht="15.75" hidden="false" customHeight="false" outlineLevel="0" collapsed="false">
      <c r="A5430" s="1" t="s">
        <v>1040</v>
      </c>
      <c r="B5430" s="1" t="n">
        <v>261.53</v>
      </c>
      <c r="C5430" s="1" t="n">
        <f aca="false">1/B5430</f>
        <v>0.00382365311818912</v>
      </c>
      <c r="D5430" s="1" t="n">
        <v>1.1602</v>
      </c>
      <c r="E5430" s="1" t="n">
        <f aca="false">LN(D5430)</f>
        <v>0.148592404049827</v>
      </c>
    </row>
    <row r="5431" customFormat="false" ht="15.75" hidden="false" customHeight="false" outlineLevel="0" collapsed="false">
      <c r="A5431" s="1" t="s">
        <v>1040</v>
      </c>
      <c r="B5431" s="1" t="n">
        <v>262.17</v>
      </c>
      <c r="C5431" s="1" t="n">
        <f aca="false">1/B5431</f>
        <v>0.00381431895335088</v>
      </c>
      <c r="D5431" s="1" t="n">
        <v>1.1461</v>
      </c>
      <c r="E5431" s="1" t="n">
        <f aca="false">LN(D5431)</f>
        <v>0.136364874520516</v>
      </c>
    </row>
    <row r="5432" customFormat="false" ht="15.75" hidden="false" customHeight="false" outlineLevel="0" collapsed="false">
      <c r="A5432" s="1" t="s">
        <v>1040</v>
      </c>
      <c r="B5432" s="1" t="n">
        <v>262.8</v>
      </c>
      <c r="C5432" s="1" t="n">
        <f aca="false">1/B5432</f>
        <v>0.00380517503805175</v>
      </c>
      <c r="D5432" s="1" t="n">
        <v>1.1322</v>
      </c>
      <c r="E5432" s="1" t="n">
        <f aca="false">LN(D5432)</f>
        <v>0.124162642620423</v>
      </c>
    </row>
    <row r="5433" customFormat="false" ht="15.75" hidden="false" customHeight="false" outlineLevel="0" collapsed="false">
      <c r="A5433" s="1" t="s">
        <v>1040</v>
      </c>
      <c r="B5433" s="1" t="n">
        <v>263.43</v>
      </c>
      <c r="C5433" s="1" t="n">
        <f aca="false">1/B5433</f>
        <v>0.00379607485859621</v>
      </c>
      <c r="D5433" s="1" t="n">
        <v>1.1186</v>
      </c>
      <c r="E5433" s="1" t="n">
        <f aca="false">LN(D5433)</f>
        <v>0.112077903405351</v>
      </c>
    </row>
    <row r="5434" customFormat="false" ht="15.75" hidden="false" customHeight="false" outlineLevel="0" collapsed="false">
      <c r="A5434" s="1" t="s">
        <v>1040</v>
      </c>
      <c r="B5434" s="1" t="n">
        <v>264.07</v>
      </c>
      <c r="C5434" s="1" t="n">
        <f aca="false">1/B5434</f>
        <v>0.00378687469231643</v>
      </c>
      <c r="D5434" s="1" t="n">
        <v>1.1053</v>
      </c>
      <c r="E5434" s="1" t="n">
        <f aca="false">LN(D5434)</f>
        <v>0.100116791334773</v>
      </c>
    </row>
    <row r="5435" customFormat="false" ht="15.75" hidden="false" customHeight="false" outlineLevel="0" collapsed="false">
      <c r="A5435" s="1" t="s">
        <v>1040</v>
      </c>
      <c r="B5435" s="1" t="n">
        <v>264.7</v>
      </c>
      <c r="C5435" s="1" t="n">
        <f aca="false">1/B5435</f>
        <v>0.00377786173026067</v>
      </c>
      <c r="D5435" s="1" t="n">
        <v>1.0923</v>
      </c>
      <c r="E5435" s="1" t="n">
        <f aca="false">LN(D5435)</f>
        <v>0.0882855648673604</v>
      </c>
    </row>
    <row r="5436" customFormat="false" ht="15.75" hidden="false" customHeight="false" outlineLevel="0" collapsed="false">
      <c r="A5436" s="1" t="s">
        <v>1040</v>
      </c>
      <c r="B5436" s="1" t="n">
        <v>265.34</v>
      </c>
      <c r="C5436" s="1" t="n">
        <f aca="false">1/B5436</f>
        <v>0.00376874952890631</v>
      </c>
      <c r="D5436" s="1" t="n">
        <v>1.0795</v>
      </c>
      <c r="E5436" s="1" t="n">
        <f aca="false">LN(D5436)</f>
        <v>0.0764979709727249</v>
      </c>
    </row>
    <row r="5437" customFormat="false" ht="15.75" hidden="false" customHeight="false" outlineLevel="0" collapsed="false">
      <c r="A5437" s="1" t="s">
        <v>1040</v>
      </c>
      <c r="B5437" s="1" t="n">
        <v>265.97</v>
      </c>
      <c r="C5437" s="1" t="n">
        <f aca="false">1/B5437</f>
        <v>0.00375982253637628</v>
      </c>
      <c r="D5437" s="1" t="n">
        <v>1.067</v>
      </c>
      <c r="E5437" s="1" t="n">
        <f aca="false">LN(D5437)</f>
        <v>0.0648509723196163</v>
      </c>
    </row>
    <row r="5438" customFormat="false" ht="15.75" hidden="false" customHeight="false" outlineLevel="0" collapsed="false">
      <c r="A5438" s="1" t="s">
        <v>1040</v>
      </c>
      <c r="B5438" s="1" t="n">
        <v>266.6</v>
      </c>
      <c r="C5438" s="1" t="n">
        <f aca="false">1/B5438</f>
        <v>0.00375093773443361</v>
      </c>
      <c r="D5438" s="1" t="n">
        <v>1.0548</v>
      </c>
      <c r="E5438" s="1" t="n">
        <f aca="false">LN(D5438)</f>
        <v>0.0533511754969945</v>
      </c>
    </row>
    <row r="5439" customFormat="false" ht="15.75" hidden="false" customHeight="false" outlineLevel="0" collapsed="false">
      <c r="A5439" s="1" t="s">
        <v>1040</v>
      </c>
      <c r="B5439" s="1" t="n">
        <v>267.24</v>
      </c>
      <c r="C5439" s="1" t="n">
        <f aca="false">1/B5439</f>
        <v>0.00374195479718605</v>
      </c>
      <c r="D5439" s="1" t="n">
        <v>1.0428</v>
      </c>
      <c r="E5439" s="1" t="n">
        <f aca="false">LN(D5439)</f>
        <v>0.0419094030772096</v>
      </c>
    </row>
    <row r="5440" customFormat="false" ht="15.75" hidden="false" customHeight="false" outlineLevel="0" collapsed="false">
      <c r="A5440" s="1" t="s">
        <v>1040</v>
      </c>
      <c r="B5440" s="1" t="n">
        <v>267.87</v>
      </c>
      <c r="C5440" s="1" t="n">
        <f aca="false">1/B5440</f>
        <v>0.00373315414193452</v>
      </c>
      <c r="D5440" s="1" t="n">
        <v>1.031</v>
      </c>
      <c r="E5440" s="1" t="n">
        <f aca="false">LN(D5440)</f>
        <v>0.0305292050348228</v>
      </c>
    </row>
    <row r="5441" customFormat="false" ht="15.75" hidden="false" customHeight="false" outlineLevel="0" collapsed="false">
      <c r="A5441" s="1" t="s">
        <v>1040</v>
      </c>
      <c r="B5441" s="1" t="n">
        <v>268.51</v>
      </c>
      <c r="C5441" s="1" t="n">
        <f aca="false">1/B5441</f>
        <v>0.00372425607984805</v>
      </c>
      <c r="D5441" s="1" t="n">
        <v>1.0194</v>
      </c>
      <c r="E5441" s="1" t="n">
        <f aca="false">LN(D5441)</f>
        <v>0.0192142189238044</v>
      </c>
    </row>
    <row r="5442" customFormat="false" ht="15.75" hidden="false" customHeight="false" outlineLevel="0" collapsed="false">
      <c r="A5442" s="1" t="s">
        <v>1040</v>
      </c>
      <c r="B5442" s="1" t="n">
        <v>269.14</v>
      </c>
      <c r="C5442" s="1" t="n">
        <f aca="false">1/B5442</f>
        <v>0.00371553838151148</v>
      </c>
      <c r="D5442" s="1" t="n">
        <v>1.0081</v>
      </c>
      <c r="E5442" s="1" t="n">
        <f aca="false">LN(D5442)</f>
        <v>0.00806737107775879</v>
      </c>
    </row>
    <row r="5443" customFormat="false" ht="15.75" hidden="false" customHeight="false" outlineLevel="0" collapsed="false">
      <c r="A5443" s="1" t="s">
        <v>1040</v>
      </c>
      <c r="B5443" s="1" t="n">
        <v>269.77</v>
      </c>
      <c r="C5443" s="1" t="n">
        <f aca="false">1/B5443</f>
        <v>0.00370686140045224</v>
      </c>
      <c r="D5443" s="1" t="n">
        <v>0.99699</v>
      </c>
      <c r="E5443" s="1" t="n">
        <f aca="false">LN(D5443)</f>
        <v>-0.00301453916087118</v>
      </c>
    </row>
    <row r="5444" customFormat="false" ht="15.75" hidden="false" customHeight="false" outlineLevel="0" collapsed="false">
      <c r="A5444" s="1" t="s">
        <v>1040</v>
      </c>
      <c r="B5444" s="1" t="n">
        <v>270.41</v>
      </c>
      <c r="C5444" s="1" t="n">
        <f aca="false">1/B5444</f>
        <v>0.00369808808845827</v>
      </c>
      <c r="D5444" s="1" t="n">
        <v>0.9861</v>
      </c>
      <c r="E5444" s="1" t="n">
        <f aca="false">LN(D5444)</f>
        <v>-0.0139975096438537</v>
      </c>
    </row>
    <row r="5445" customFormat="false" ht="15.75" hidden="false" customHeight="false" outlineLevel="0" collapsed="false">
      <c r="A5445" s="1" t="s">
        <v>1040</v>
      </c>
      <c r="B5445" s="1" t="n">
        <v>271.04</v>
      </c>
      <c r="C5445" s="1" t="n">
        <f aca="false">1/B5445</f>
        <v>0.00368949232585596</v>
      </c>
      <c r="D5445" s="1" t="n">
        <v>0.9754</v>
      </c>
      <c r="E5445" s="1" t="n">
        <f aca="false">LN(D5445)</f>
        <v>-0.0249076357061848</v>
      </c>
    </row>
    <row r="5446" customFormat="false" ht="15.75" hidden="false" customHeight="false" outlineLevel="0" collapsed="false">
      <c r="A5446" s="1" t="s">
        <v>1040</v>
      </c>
      <c r="B5446" s="1" t="n">
        <v>271.67</v>
      </c>
      <c r="C5446" s="1" t="n">
        <f aca="false">1/B5446</f>
        <v>0.00368093643022785</v>
      </c>
      <c r="D5446" s="1" t="n">
        <v>0.96491</v>
      </c>
      <c r="E5446" s="1" t="n">
        <f aca="false">LN(D5446)</f>
        <v>-0.0357204462412362</v>
      </c>
    </row>
    <row r="5447" customFormat="false" ht="15.75" hidden="false" customHeight="false" outlineLevel="0" collapsed="false">
      <c r="A5447" s="1" t="s">
        <v>1040</v>
      </c>
      <c r="B5447" s="1" t="n">
        <v>272.31</v>
      </c>
      <c r="C5447" s="1" t="n">
        <f aca="false">1/B5447</f>
        <v>0.00367228526311924</v>
      </c>
      <c r="D5447" s="1" t="n">
        <v>0.95462</v>
      </c>
      <c r="E5447" s="1" t="n">
        <f aca="false">LN(D5447)</f>
        <v>-0.0464419234460719</v>
      </c>
    </row>
    <row r="5448" customFormat="false" ht="15.75" hidden="false" customHeight="false" outlineLevel="0" collapsed="false">
      <c r="A5448" s="1" t="s">
        <v>1040</v>
      </c>
      <c r="B5448" s="1" t="n">
        <v>272.94</v>
      </c>
      <c r="C5448" s="1" t="n">
        <f aca="false">1/B5448</f>
        <v>0.003663808895728</v>
      </c>
      <c r="D5448" s="1" t="n">
        <v>0.94451</v>
      </c>
      <c r="E5448" s="1" t="n">
        <f aca="false">LN(D5448)</f>
        <v>-0.0570890044841278</v>
      </c>
    </row>
    <row r="5449" customFormat="false" ht="15.75" hidden="false" customHeight="false" outlineLevel="0" collapsed="false">
      <c r="A5449" s="1" t="s">
        <v>1040</v>
      </c>
      <c r="B5449" s="1" t="n">
        <v>273.58</v>
      </c>
      <c r="C5449" s="1" t="n">
        <f aca="false">1/B5449</f>
        <v>0.00365523795599094</v>
      </c>
      <c r="D5449" s="1" t="n">
        <v>0.93459</v>
      </c>
      <c r="E5449" s="1" t="n">
        <f aca="false">LN(D5449)</f>
        <v>-0.0676473485376593</v>
      </c>
    </row>
    <row r="5450" customFormat="false" ht="15.75" hidden="false" customHeight="false" outlineLevel="0" collapsed="false">
      <c r="A5450" s="1" t="s">
        <v>1040</v>
      </c>
      <c r="B5450" s="1" t="n">
        <v>274.21</v>
      </c>
      <c r="C5450" s="1" t="n">
        <f aca="false">1/B5450</f>
        <v>0.00364684001312862</v>
      </c>
      <c r="D5450" s="1" t="n">
        <v>0.92484</v>
      </c>
      <c r="E5450" s="1" t="n">
        <f aca="false">LN(D5450)</f>
        <v>-0.0781345294042349</v>
      </c>
    </row>
    <row r="5451" customFormat="false" ht="15.75" hidden="false" customHeight="false" outlineLevel="0" collapsed="false">
      <c r="A5451" s="1" t="s">
        <v>1040</v>
      </c>
      <c r="B5451" s="1" t="n">
        <v>274.84</v>
      </c>
      <c r="C5451" s="1" t="n">
        <f aca="false">1/B5451</f>
        <v>0.00363848057051375</v>
      </c>
      <c r="D5451" s="1" t="n">
        <v>0.91528</v>
      </c>
      <c r="E5451" s="1" t="n">
        <f aca="false">LN(D5451)</f>
        <v>-0.0885252495894486</v>
      </c>
    </row>
    <row r="5452" customFormat="false" ht="15.75" hidden="false" customHeight="false" outlineLevel="0" collapsed="false">
      <c r="A5452" s="1" t="s">
        <v>1040</v>
      </c>
      <c r="B5452" s="1" t="n">
        <v>275.48</v>
      </c>
      <c r="C5452" s="1" t="n">
        <f aca="false">1/B5452</f>
        <v>0.00363002758820967</v>
      </c>
      <c r="D5452" s="1" t="n">
        <v>0.90588</v>
      </c>
      <c r="E5452" s="1" t="n">
        <f aca="false">LN(D5452)</f>
        <v>-0.0988484320426032</v>
      </c>
    </row>
    <row r="5453" customFormat="false" ht="15.75" hidden="false" customHeight="false" outlineLevel="0" collapsed="false">
      <c r="A5453" s="1" t="s">
        <v>1040</v>
      </c>
      <c r="B5453" s="1" t="n">
        <v>276.11</v>
      </c>
      <c r="C5453" s="1" t="n">
        <f aca="false">1/B5453</f>
        <v>0.00362174495672015</v>
      </c>
      <c r="D5453" s="1" t="n">
        <v>0.89665</v>
      </c>
      <c r="E5453" s="1" t="n">
        <f aca="false">LN(D5453)</f>
        <v>-0.109089682587704</v>
      </c>
    </row>
    <row r="5454" customFormat="false" ht="15.75" hidden="false" customHeight="false" outlineLevel="0" collapsed="false">
      <c r="A5454" s="1" t="s">
        <v>1040</v>
      </c>
      <c r="B5454" s="1" t="n">
        <v>276.74</v>
      </c>
      <c r="C5454" s="1" t="n">
        <f aca="false">1/B5454</f>
        <v>0.003613500036135</v>
      </c>
      <c r="D5454" s="1" t="n">
        <v>0.88758</v>
      </c>
      <c r="E5454" s="1" t="n">
        <f aca="false">LN(D5454)</f>
        <v>-0.119256620849938</v>
      </c>
    </row>
    <row r="5455" customFormat="false" ht="15.75" hidden="false" customHeight="false" outlineLevel="0" collapsed="false">
      <c r="A5455" s="1" t="s">
        <v>1040</v>
      </c>
      <c r="B5455" s="1" t="n">
        <v>277.38</v>
      </c>
      <c r="C5455" s="1" t="n">
        <f aca="false">1/B5455</f>
        <v>0.00360516259283294</v>
      </c>
      <c r="D5455" s="1" t="n">
        <v>0.87867</v>
      </c>
      <c r="E5455" s="1" t="n">
        <f aca="false">LN(D5455)</f>
        <v>-0.129345878408338</v>
      </c>
    </row>
    <row r="5456" customFormat="false" ht="15.75" hidden="false" customHeight="false" outlineLevel="0" collapsed="false">
      <c r="A5456" s="1" t="s">
        <v>1040</v>
      </c>
      <c r="B5456" s="1" t="n">
        <v>278.01</v>
      </c>
      <c r="C5456" s="1" t="n">
        <f aca="false">1/B5456</f>
        <v>0.00359699291392396</v>
      </c>
      <c r="D5456" s="1" t="n">
        <v>0.86991</v>
      </c>
      <c r="E5456" s="1" t="n">
        <f aca="false">LN(D5456)</f>
        <v>-0.139365520960512</v>
      </c>
    </row>
    <row r="5457" customFormat="false" ht="15.75" hidden="false" customHeight="false" outlineLevel="0" collapsed="false">
      <c r="A5457" s="1" t="s">
        <v>1040</v>
      </c>
      <c r="B5457" s="1" t="n">
        <v>278.65</v>
      </c>
      <c r="C5457" s="1" t="n">
        <f aca="false">1/B5457</f>
        <v>0.00358873138345595</v>
      </c>
      <c r="D5457" s="1" t="n">
        <v>0.86131</v>
      </c>
      <c r="E5457" s="1" t="n">
        <f aca="false">LN(D5457)</f>
        <v>-0.149300792897971</v>
      </c>
    </row>
    <row r="5458" customFormat="false" ht="15.75" hidden="false" customHeight="false" outlineLevel="0" collapsed="false">
      <c r="A5458" s="1" t="s">
        <v>1040</v>
      </c>
      <c r="B5458" s="1" t="n">
        <v>279.28</v>
      </c>
      <c r="C5458" s="1" t="n">
        <f aca="false">1/B5458</f>
        <v>0.00358063592093956</v>
      </c>
      <c r="D5458" s="1" t="n">
        <v>0.85285</v>
      </c>
      <c r="E5458" s="1" t="n">
        <f aca="false">LN(D5458)</f>
        <v>-0.159171596895255</v>
      </c>
    </row>
    <row r="5459" customFormat="false" ht="15.75" hidden="false" customHeight="false" outlineLevel="0" collapsed="false">
      <c r="A5459" s="1" t="s">
        <v>1040</v>
      </c>
      <c r="B5459" s="1" t="n">
        <v>279.91</v>
      </c>
      <c r="C5459" s="1" t="n">
        <f aca="false">1/B5459</f>
        <v>0.00357257689971777</v>
      </c>
      <c r="D5459" s="1" t="n">
        <v>0.84453</v>
      </c>
      <c r="E5459" s="1" t="n">
        <f aca="false">LN(D5459)</f>
        <v>-0.168975019386558</v>
      </c>
    </row>
    <row r="5460" customFormat="false" ht="15.75" hidden="false" customHeight="false" outlineLevel="0" collapsed="false">
      <c r="A5460" s="1" t="s">
        <v>1040</v>
      </c>
      <c r="B5460" s="1" t="n">
        <v>280.55</v>
      </c>
      <c r="C5460" s="1" t="n">
        <f aca="false">1/B5460</f>
        <v>0.0035644270183568</v>
      </c>
      <c r="D5460" s="1" t="n">
        <v>0.83635</v>
      </c>
      <c r="E5460" s="1" t="n">
        <f aca="false">LN(D5460)</f>
        <v>-0.178708093224119</v>
      </c>
    </row>
    <row r="5461" customFormat="false" ht="15.75" hidden="false" customHeight="false" outlineLevel="0" collapsed="false">
      <c r="A5461" s="1" t="s">
        <v>1040</v>
      </c>
      <c r="B5461" s="1" t="n">
        <v>281.18</v>
      </c>
      <c r="C5461" s="1" t="n">
        <f aca="false">1/B5461</f>
        <v>0.00355644071413329</v>
      </c>
      <c r="D5461" s="1" t="n">
        <v>0.82831</v>
      </c>
      <c r="E5461" s="1" t="n">
        <f aca="false">LN(D5461)</f>
        <v>-0.188367798530356</v>
      </c>
    </row>
    <row r="5462" customFormat="false" ht="15.75" hidden="false" customHeight="false" outlineLevel="0" collapsed="false">
      <c r="A5462" s="1" t="s">
        <v>1040</v>
      </c>
      <c r="B5462" s="1" t="n">
        <v>281.82</v>
      </c>
      <c r="C5462" s="1" t="n">
        <f aca="false">1/B5462</f>
        <v>0.00354836420410191</v>
      </c>
      <c r="D5462" s="1" t="n">
        <v>0.8204</v>
      </c>
      <c r="E5462" s="1" t="n">
        <f aca="false">LN(D5462)</f>
        <v>-0.197963252783912</v>
      </c>
    </row>
    <row r="5463" customFormat="false" ht="15.75" hidden="false" customHeight="false" outlineLevel="0" collapsed="false">
      <c r="A5463" s="1" t="s">
        <v>1040</v>
      </c>
      <c r="B5463" s="1" t="n">
        <v>282.45</v>
      </c>
      <c r="C5463" s="1" t="n">
        <f aca="false">1/B5463</f>
        <v>0.00354044963710391</v>
      </c>
      <c r="D5463" s="1" t="n">
        <v>0.81262</v>
      </c>
      <c r="E5463" s="1" t="n">
        <f aca="false">LN(D5463)</f>
        <v>-0.207491683375987</v>
      </c>
    </row>
    <row r="5464" customFormat="false" ht="15.75" hidden="false" customHeight="false" outlineLevel="0" collapsed="false">
      <c r="A5464" s="1" t="s">
        <v>1040</v>
      </c>
      <c r="B5464" s="1" t="n">
        <v>283.08</v>
      </c>
      <c r="C5464" s="1" t="n">
        <f aca="false">1/B5464</f>
        <v>0.00353257029814893</v>
      </c>
      <c r="D5464" s="1" t="n">
        <v>0.80497</v>
      </c>
      <c r="E5464" s="1" t="n">
        <f aca="false">LN(D5464)</f>
        <v>-0.216950269338754</v>
      </c>
    </row>
    <row r="5465" customFormat="false" ht="15.75" hidden="false" customHeight="false" outlineLevel="0" collapsed="false">
      <c r="A5465" s="1" t="s">
        <v>1040</v>
      </c>
      <c r="B5465" s="1" t="n">
        <v>283.72</v>
      </c>
      <c r="C5465" s="1" t="n">
        <f aca="false">1/B5465</f>
        <v>0.00352460172000564</v>
      </c>
      <c r="D5465" s="1" t="n">
        <v>0.79745</v>
      </c>
      <c r="E5465" s="1" t="n">
        <f aca="false">LN(D5465)</f>
        <v>-0.226336142213374</v>
      </c>
    </row>
    <row r="5466" customFormat="false" ht="15.75" hidden="false" customHeight="false" outlineLevel="0" collapsed="false">
      <c r="A5466" s="1" t="s">
        <v>1040</v>
      </c>
      <c r="B5466" s="1" t="n">
        <v>284.35</v>
      </c>
      <c r="C5466" s="1" t="n">
        <f aca="false">1/B5466</f>
        <v>0.00351679268507121</v>
      </c>
      <c r="D5466" s="1" t="n">
        <v>0.79004</v>
      </c>
      <c r="E5466" s="1" t="n">
        <f aca="false">LN(D5466)</f>
        <v>-0.23567170189148</v>
      </c>
    </row>
    <row r="5467" customFormat="false" ht="15.75" hidden="false" customHeight="false" outlineLevel="0" collapsed="false">
      <c r="A5467" s="1" t="s">
        <v>1040</v>
      </c>
      <c r="B5467" s="1" t="n">
        <v>284.98</v>
      </c>
      <c r="C5467" s="1" t="n">
        <f aca="false">1/B5467</f>
        <v>0.00350901817671415</v>
      </c>
      <c r="D5467" s="1" t="n">
        <v>0.78275</v>
      </c>
      <c r="E5467" s="1" t="n">
        <f aca="false">LN(D5467)</f>
        <v>-0.244941918775622</v>
      </c>
    </row>
    <row r="5468" customFormat="false" ht="15.75" hidden="false" customHeight="false" outlineLevel="0" collapsed="false">
      <c r="A5468" s="1" t="s">
        <v>1040</v>
      </c>
      <c r="B5468" s="1" t="n">
        <v>285.62</v>
      </c>
      <c r="C5468" s="1" t="n">
        <f aca="false">1/B5468</f>
        <v>0.00350115538127582</v>
      </c>
      <c r="D5468" s="1" t="n">
        <v>0.77558</v>
      </c>
      <c r="E5468" s="1" t="n">
        <f aca="false">LN(D5468)</f>
        <v>-0.254144142433998</v>
      </c>
    </row>
    <row r="5469" customFormat="false" ht="15.75" hidden="false" customHeight="false" outlineLevel="0" collapsed="false">
      <c r="A5469" s="1" t="s">
        <v>1040</v>
      </c>
      <c r="B5469" s="1" t="n">
        <v>286.25</v>
      </c>
      <c r="C5469" s="1" t="n">
        <f aca="false">1/B5469</f>
        <v>0.00349344978165939</v>
      </c>
      <c r="D5469" s="1" t="n">
        <v>0.76852</v>
      </c>
      <c r="E5469" s="1" t="n">
        <f aca="false">LN(D5469)</f>
        <v>-0.263288691618636</v>
      </c>
    </row>
    <row r="5470" customFormat="false" ht="15.75" hidden="false" customHeight="false" outlineLevel="0" collapsed="false">
      <c r="A5470" s="1" t="s">
        <v>1040</v>
      </c>
      <c r="B5470" s="1" t="n">
        <v>286.89</v>
      </c>
      <c r="C5470" s="1" t="n">
        <f aca="false">1/B5470</f>
        <v>0.00348565652340618</v>
      </c>
      <c r="D5470" s="1" t="n">
        <v>0.76157</v>
      </c>
      <c r="E5470" s="1" t="n">
        <f aca="false">LN(D5470)</f>
        <v>-0.27237318703712</v>
      </c>
    </row>
    <row r="5471" customFormat="false" ht="15.75" hidden="false" customHeight="false" outlineLevel="0" collapsed="false">
      <c r="A5471" s="1" t="s">
        <v>1040</v>
      </c>
      <c r="B5471" s="1" t="n">
        <v>287.52</v>
      </c>
      <c r="C5471" s="1" t="n">
        <f aca="false">1/B5471</f>
        <v>0.00347801892042293</v>
      </c>
      <c r="D5471" s="1" t="n">
        <v>0.75472</v>
      </c>
      <c r="E5471" s="1" t="n">
        <f aca="false">LN(D5471)</f>
        <v>-0.281408459446186</v>
      </c>
    </row>
    <row r="5472" customFormat="false" ht="15.75" hidden="false" customHeight="false" outlineLevel="0" collapsed="false">
      <c r="A5472" s="1" t="s">
        <v>1040</v>
      </c>
      <c r="B5472" s="1" t="n">
        <v>288.15</v>
      </c>
      <c r="C5472" s="1" t="n">
        <f aca="false">1/B5472</f>
        <v>0.00347041471455839</v>
      </c>
      <c r="D5472" s="1" t="n">
        <v>0.74799</v>
      </c>
      <c r="E5472" s="1" t="n">
        <f aca="false">LN(D5472)</f>
        <v>-0.290365670080983</v>
      </c>
    </row>
    <row r="5473" customFormat="false" ht="15.75" hidden="false" customHeight="false" outlineLevel="0" collapsed="false">
      <c r="A5473" s="1" t="s">
        <v>1040</v>
      </c>
      <c r="B5473" s="1" t="n">
        <v>288.79</v>
      </c>
      <c r="C5473" s="1" t="n">
        <f aca="false">1/B5473</f>
        <v>0.00346272377852419</v>
      </c>
      <c r="D5473" s="1" t="n">
        <v>0.74135</v>
      </c>
      <c r="E5473" s="1" t="n">
        <f aca="false">LN(D5473)</f>
        <v>-0.299282430518102</v>
      </c>
    </row>
    <row r="5474" customFormat="false" ht="15.75" hidden="false" customHeight="false" outlineLevel="0" collapsed="false">
      <c r="A5474" s="1" t="s">
        <v>1040</v>
      </c>
      <c r="B5474" s="1" t="n">
        <v>289.42</v>
      </c>
      <c r="C5474" s="1" t="n">
        <f aca="false">1/B5474</f>
        <v>0.00345518623453804</v>
      </c>
      <c r="D5474" s="1" t="n">
        <v>0.73482</v>
      </c>
      <c r="E5474" s="1" t="n">
        <f aca="false">LN(D5474)</f>
        <v>-0.308129707720886</v>
      </c>
    </row>
    <row r="5475" customFormat="false" ht="15.75" hidden="false" customHeight="false" outlineLevel="0" collapsed="false">
      <c r="A5475" s="1" t="s">
        <v>1040</v>
      </c>
      <c r="B5475" s="1" t="n">
        <v>290.06</v>
      </c>
      <c r="C5475" s="1" t="n">
        <f aca="false">1/B5475</f>
        <v>0.0034475625732607</v>
      </c>
      <c r="D5475" s="1" t="n">
        <v>0.72838</v>
      </c>
      <c r="E5475" s="1" t="n">
        <f aca="false">LN(D5475)</f>
        <v>-0.316932388946613</v>
      </c>
    </row>
    <row r="5476" customFormat="false" ht="15.75" hidden="false" customHeight="false" outlineLevel="0" collapsed="false">
      <c r="A5476" s="1" t="s">
        <v>1040</v>
      </c>
      <c r="B5476" s="1" t="n">
        <v>290.69</v>
      </c>
      <c r="C5476" s="1" t="n">
        <f aca="false">1/B5476</f>
        <v>0.00344009081839761</v>
      </c>
      <c r="D5476" s="1" t="n">
        <v>0.72205</v>
      </c>
      <c r="E5476" s="1" t="n">
        <f aca="false">LN(D5476)</f>
        <v>-0.325660890409563</v>
      </c>
    </row>
    <row r="5477" customFormat="false" ht="15.75" hidden="false" customHeight="false" outlineLevel="0" collapsed="false">
      <c r="A5477" s="1" t="s">
        <v>1040</v>
      </c>
      <c r="B5477" s="1" t="n">
        <v>291.32</v>
      </c>
      <c r="C5477" s="1" t="n">
        <f aca="false">1/B5477</f>
        <v>0.00343265137992585</v>
      </c>
      <c r="D5477" s="1" t="n">
        <v>0.7158</v>
      </c>
      <c r="E5477" s="1" t="n">
        <f aca="false">LN(D5477)</f>
        <v>-0.334354480650212</v>
      </c>
    </row>
    <row r="5478" customFormat="false" ht="15.75" hidden="false" customHeight="false" outlineLevel="0" collapsed="false">
      <c r="A5478" s="1" t="s">
        <v>1040</v>
      </c>
      <c r="B5478" s="1" t="n">
        <v>291.96</v>
      </c>
      <c r="C5478" s="1" t="n">
        <f aca="false">1/B5478</f>
        <v>0.003425126729689</v>
      </c>
      <c r="D5478" s="1" t="n">
        <v>0.70965</v>
      </c>
      <c r="E5478" s="1" t="n">
        <f aca="false">LN(D5478)</f>
        <v>-0.34298338823687</v>
      </c>
    </row>
    <row r="5479" customFormat="false" ht="15.75" hidden="false" customHeight="false" outlineLevel="0" collapsed="false">
      <c r="A5479" s="1" t="s">
        <v>1040</v>
      </c>
      <c r="B5479" s="1" t="n">
        <v>292.59</v>
      </c>
      <c r="C5479" s="1" t="n">
        <f aca="false">1/B5479</f>
        <v>0.00341775180286408</v>
      </c>
      <c r="D5479" s="1" t="n">
        <v>0.70359</v>
      </c>
      <c r="E5479" s="1" t="n">
        <f aca="false">LN(D5479)</f>
        <v>-0.351559478840541</v>
      </c>
    </row>
    <row r="5480" customFormat="false" ht="15.75" hidden="false" customHeight="false" outlineLevel="0" collapsed="false">
      <c r="A5480" s="1" t="s">
        <v>1040</v>
      </c>
      <c r="B5480" s="1" t="n">
        <v>293.22</v>
      </c>
      <c r="C5480" s="1" t="n">
        <f aca="false">1/B5480</f>
        <v>0.00341040856694632</v>
      </c>
      <c r="D5480" s="1" t="n">
        <v>0.69762</v>
      </c>
      <c r="E5480" s="1" t="n">
        <f aca="false">LN(D5480)</f>
        <v>-0.360080737073565</v>
      </c>
    </row>
    <row r="5481" customFormat="false" ht="15.75" hidden="false" customHeight="false" outlineLevel="0" collapsed="false">
      <c r="A5481" s="1" t="s">
        <v>1040</v>
      </c>
      <c r="B5481" s="1" t="n">
        <v>293.86</v>
      </c>
      <c r="C5481" s="1" t="n">
        <f aca="false">1/B5481</f>
        <v>0.00340298101136596</v>
      </c>
      <c r="D5481" s="1" t="n">
        <v>0.69173</v>
      </c>
      <c r="E5481" s="1" t="n">
        <f aca="false">LN(D5481)</f>
        <v>-0.368559572912322</v>
      </c>
    </row>
    <row r="5482" customFormat="false" ht="15.75" hidden="false" customHeight="false" outlineLevel="0" collapsed="false">
      <c r="A5482" s="1" t="s">
        <v>1040</v>
      </c>
      <c r="B5482" s="1" t="n">
        <v>294.49</v>
      </c>
      <c r="C5482" s="1" t="n">
        <f aca="false">1/B5482</f>
        <v>0.00339570104248022</v>
      </c>
      <c r="D5482" s="1" t="n">
        <v>0.68593</v>
      </c>
      <c r="E5482" s="1" t="n">
        <f aca="false">LN(D5482)</f>
        <v>-0.376979697279097</v>
      </c>
    </row>
    <row r="5483" customFormat="false" ht="15.75" hidden="false" customHeight="false" outlineLevel="0" collapsed="false">
      <c r="A5483" s="1" t="s">
        <v>1040</v>
      </c>
      <c r="B5483" s="1" t="n">
        <v>295.13</v>
      </c>
      <c r="C5483" s="1" t="n">
        <f aca="false">1/B5483</f>
        <v>0.00338833734286586</v>
      </c>
      <c r="D5483" s="1" t="n">
        <v>0.68021</v>
      </c>
      <c r="E5483" s="1" t="n">
        <f aca="false">LN(D5483)</f>
        <v>-0.385353704958744</v>
      </c>
    </row>
    <row r="5484" customFormat="false" ht="15.75" hidden="false" customHeight="false" outlineLevel="0" collapsed="false">
      <c r="A5484" s="1" t="s">
        <v>1040</v>
      </c>
      <c r="B5484" s="1" t="n">
        <v>295.76</v>
      </c>
      <c r="C5484" s="1" t="n">
        <f aca="false">1/B5484</f>
        <v>0.00338111982688666</v>
      </c>
      <c r="D5484" s="1" t="n">
        <v>0.67457</v>
      </c>
      <c r="E5484" s="1" t="n">
        <f aca="false">LN(D5484)</f>
        <v>-0.393679828140952</v>
      </c>
    </row>
    <row r="5485" customFormat="false" ht="15.75" hidden="false" customHeight="false" outlineLevel="0" collapsed="false">
      <c r="A5485" s="1" t="s">
        <v>1040</v>
      </c>
      <c r="B5485" s="1" t="n">
        <v>296.39</v>
      </c>
      <c r="C5485" s="1" t="n">
        <f aca="false">1/B5485</f>
        <v>0.00337393299369075</v>
      </c>
      <c r="D5485" s="1" t="n">
        <v>0.66901</v>
      </c>
      <c r="E5485" s="1" t="n">
        <f aca="false">LN(D5485)</f>
        <v>-0.401956271282515</v>
      </c>
    </row>
    <row r="5486" customFormat="false" ht="15.75" hidden="false" customHeight="false" outlineLevel="0" collapsed="false">
      <c r="A5486" s="1" t="s">
        <v>1040</v>
      </c>
      <c r="B5486" s="1" t="n">
        <v>297.03</v>
      </c>
      <c r="C5486" s="1" t="n">
        <f aca="false">1/B5486</f>
        <v>0.00336666330000337</v>
      </c>
      <c r="D5486" s="1" t="n">
        <v>0.66353</v>
      </c>
      <c r="E5486" s="1" t="n">
        <f aca="false">LN(D5486)</f>
        <v>-0.410181211461874</v>
      </c>
    </row>
    <row r="5487" customFormat="false" ht="15.75" hidden="false" customHeight="false" outlineLevel="0" collapsed="false">
      <c r="A5487" s="1" t="s">
        <v>1040</v>
      </c>
      <c r="B5487" s="1" t="n">
        <v>297.66</v>
      </c>
      <c r="C5487" s="1" t="n">
        <f aca="false">1/B5487</f>
        <v>0.00335953772760868</v>
      </c>
      <c r="D5487" s="1" t="n">
        <v>0.65813</v>
      </c>
      <c r="E5487" s="1" t="n">
        <f aca="false">LN(D5487)</f>
        <v>-0.418352798781826</v>
      </c>
    </row>
    <row r="5488" customFormat="false" ht="15.75" hidden="false" customHeight="false" outlineLevel="0" collapsed="false">
      <c r="A5488" s="1" t="s">
        <v>1040</v>
      </c>
      <c r="B5488" s="1" t="n">
        <v>298.3</v>
      </c>
      <c r="C5488" s="1" t="n">
        <f aca="false">1/B5488</f>
        <v>0.00335232986925913</v>
      </c>
      <c r="D5488" s="1" t="n">
        <v>0.6528</v>
      </c>
      <c r="E5488" s="1" t="n">
        <f aca="false">LN(D5488)</f>
        <v>-0.42648447533224</v>
      </c>
    </row>
    <row r="5489" customFormat="false" ht="15.75" hidden="false" customHeight="false" outlineLevel="0" collapsed="false">
      <c r="A5489" s="1" t="s">
        <v>1040</v>
      </c>
      <c r="B5489" s="1" t="n">
        <v>298.93</v>
      </c>
      <c r="C5489" s="1" t="n">
        <f aca="false">1/B5489</f>
        <v>0.00334526477770716</v>
      </c>
      <c r="D5489" s="1" t="n">
        <v>0.64754</v>
      </c>
      <c r="E5489" s="1" t="n">
        <f aca="false">LN(D5489)</f>
        <v>-0.434574711254731</v>
      </c>
    </row>
    <row r="5490" customFormat="false" ht="15.75" hidden="false" customHeight="false" outlineLevel="0" collapsed="false">
      <c r="A5490" s="1" t="s">
        <v>1040</v>
      </c>
      <c r="B5490" s="1" t="n">
        <v>299.56</v>
      </c>
      <c r="C5490" s="1" t="n">
        <f aca="false">1/B5490</f>
        <v>0.00333822940312458</v>
      </c>
      <c r="D5490" s="1" t="n">
        <v>0.64236</v>
      </c>
      <c r="E5490" s="1" t="n">
        <f aca="false">LN(D5490)</f>
        <v>-0.442606384788847</v>
      </c>
    </row>
    <row r="5491" customFormat="false" ht="15.75" hidden="false" customHeight="false" outlineLevel="0" collapsed="false">
      <c r="A5491" s="1" t="s">
        <v>1040</v>
      </c>
      <c r="B5491" s="1" t="n">
        <v>300.2</v>
      </c>
      <c r="C5491" s="1" t="n">
        <f aca="false">1/B5491</f>
        <v>0.0033311125916056</v>
      </c>
      <c r="D5491" s="1" t="n">
        <v>0.63724</v>
      </c>
      <c r="E5491" s="1" t="n">
        <f aca="false">LN(D5491)</f>
        <v>-0.450608928277443</v>
      </c>
    </row>
    <row r="5492" customFormat="false" ht="15.75" hidden="false" customHeight="false" outlineLevel="0" collapsed="false">
      <c r="A5492" s="1" t="s">
        <v>1040</v>
      </c>
      <c r="B5492" s="1" t="n">
        <v>300.83</v>
      </c>
      <c r="C5492" s="1" t="n">
        <f aca="false">1/B5492</f>
        <v>0.0033241365555297</v>
      </c>
      <c r="D5492" s="1" t="n">
        <v>0.6322</v>
      </c>
      <c r="E5492" s="1" t="n">
        <f aca="false">LN(D5492)</f>
        <v>-0.45854947920062</v>
      </c>
    </row>
    <row r="5493" customFormat="false" ht="15.75" hidden="false" customHeight="false" outlineLevel="0" collapsed="false">
      <c r="A5493" s="1" t="s">
        <v>1040</v>
      </c>
      <c r="B5493" s="1" t="n">
        <v>301.46</v>
      </c>
      <c r="C5493" s="1" t="n">
        <f aca="false">1/B5493</f>
        <v>0.00331718967690573</v>
      </c>
      <c r="D5493" s="1" t="n">
        <v>0.62722</v>
      </c>
      <c r="E5493" s="1" t="n">
        <f aca="false">LN(D5493)</f>
        <v>-0.466457922699241</v>
      </c>
    </row>
    <row r="5494" customFormat="false" ht="15.75" hidden="false" customHeight="false" outlineLevel="0" collapsed="false">
      <c r="A5494" s="1" t="s">
        <v>1040</v>
      </c>
      <c r="B5494" s="1" t="n">
        <v>302.1</v>
      </c>
      <c r="C5494" s="1" t="n">
        <f aca="false">1/B5494</f>
        <v>0.0033101621979477</v>
      </c>
      <c r="D5494" s="1" t="n">
        <v>0.62231</v>
      </c>
      <c r="E5494" s="1" t="n">
        <f aca="false">LN(D5494)</f>
        <v>-0.474316918116183</v>
      </c>
    </row>
    <row r="5495" customFormat="false" ht="15.75" hidden="false" customHeight="false" outlineLevel="0" collapsed="false">
      <c r="A5495" s="1" t="s">
        <v>1040</v>
      </c>
      <c r="B5495" s="1" t="n">
        <v>302.73</v>
      </c>
      <c r="C5495" s="1" t="n">
        <f aca="false">1/B5495</f>
        <v>0.00330327354408219</v>
      </c>
      <c r="D5495" s="1" t="n">
        <v>0.61746</v>
      </c>
      <c r="E5495" s="1" t="n">
        <f aca="false">LN(D5495)</f>
        <v>-0.482140989906082</v>
      </c>
    </row>
    <row r="5496" customFormat="false" ht="15.75" hidden="false" customHeight="false" outlineLevel="0" collapsed="false">
      <c r="A5496" s="1" t="s">
        <v>1040</v>
      </c>
      <c r="B5496" s="1" t="n">
        <v>303.37</v>
      </c>
      <c r="C5496" s="1" t="n">
        <f aca="false">1/B5496</f>
        <v>0.00329630484227181</v>
      </c>
      <c r="D5496" s="1" t="n">
        <v>0.61268</v>
      </c>
      <c r="E5496" s="1" t="n">
        <f aca="false">LN(D5496)</f>
        <v>-0.489912502185784</v>
      </c>
    </row>
    <row r="5497" customFormat="false" ht="15.75" hidden="false" customHeight="false" outlineLevel="0" collapsed="false">
      <c r="A5497" s="1" t="s">
        <v>1040</v>
      </c>
      <c r="B5497" s="1" t="n">
        <v>304</v>
      </c>
      <c r="C5497" s="1" t="n">
        <f aca="false">1/B5497</f>
        <v>0.00328947368421053</v>
      </c>
      <c r="D5497" s="1" t="n">
        <v>0.60796</v>
      </c>
      <c r="E5497" s="1" t="n">
        <f aca="false">LN(D5497)</f>
        <v>-0.497646188653877</v>
      </c>
    </row>
    <row r="5498" customFormat="false" ht="15.75" hidden="false" customHeight="false" outlineLevel="0" collapsed="false">
      <c r="A5498" s="1" t="s">
        <v>1040</v>
      </c>
      <c r="B5498" s="1" t="n">
        <v>304.63</v>
      </c>
      <c r="C5498" s="1" t="n">
        <f aca="false">1/B5498</f>
        <v>0.00328267078094738</v>
      </c>
      <c r="D5498" s="1" t="n">
        <v>0.6033</v>
      </c>
      <c r="E5498" s="1" t="n">
        <f aca="false">LN(D5498)</f>
        <v>-0.505340693535421</v>
      </c>
    </row>
    <row r="5499" customFormat="false" ht="15.75" hidden="false" customHeight="false" outlineLevel="0" collapsed="false">
      <c r="A5499" s="1" t="s">
        <v>1040</v>
      </c>
      <c r="B5499" s="1" t="n">
        <v>305.27</v>
      </c>
      <c r="C5499" s="1" t="n">
        <f aca="false">1/B5499</f>
        <v>0.00327578864611655</v>
      </c>
      <c r="D5499" s="1" t="n">
        <v>0.5987</v>
      </c>
      <c r="E5499" s="1" t="n">
        <f aca="false">LN(D5499)</f>
        <v>-0.512994641050831</v>
      </c>
    </row>
    <row r="5500" customFormat="false" ht="15.75" hidden="false" customHeight="false" outlineLevel="0" collapsed="false">
      <c r="A5500" s="1" t="s">
        <v>1040</v>
      </c>
      <c r="B5500" s="1" t="n">
        <v>305.9</v>
      </c>
      <c r="C5500" s="1" t="n">
        <f aca="false">1/B5500</f>
        <v>0.003269042170644</v>
      </c>
      <c r="D5500" s="1" t="n">
        <v>0.59416</v>
      </c>
      <c r="E5500" s="1" t="n">
        <f aca="false">LN(D5500)</f>
        <v>-0.520606635621096</v>
      </c>
    </row>
    <row r="5501" customFormat="false" ht="15.75" hidden="false" customHeight="false" outlineLevel="0" collapsed="false">
      <c r="A5501" s="1" t="s">
        <v>1040</v>
      </c>
      <c r="B5501" s="1" t="n">
        <v>306.54</v>
      </c>
      <c r="C5501" s="1" t="n">
        <f aca="false">1/B5501</f>
        <v>0.00326221700267502</v>
      </c>
      <c r="D5501" s="1" t="n">
        <v>0.58968</v>
      </c>
      <c r="E5501" s="1" t="n">
        <f aca="false">LN(D5501)</f>
        <v>-0.528175262101104</v>
      </c>
    </row>
    <row r="5502" customFormat="false" ht="15.75" hidden="false" customHeight="false" outlineLevel="0" collapsed="false">
      <c r="A5502" s="1" t="s">
        <v>1040</v>
      </c>
      <c r="B5502" s="1" t="n">
        <v>307.17</v>
      </c>
      <c r="C5502" s="1" t="n">
        <f aca="false">1/B5502</f>
        <v>0.00325552625581925</v>
      </c>
      <c r="D5502" s="1" t="n">
        <v>0.58525</v>
      </c>
      <c r="E5502" s="1" t="n">
        <f aca="false">LN(D5502)</f>
        <v>-0.535716172611117</v>
      </c>
    </row>
    <row r="5503" customFormat="false" ht="15.75" hidden="false" customHeight="false" outlineLevel="0" collapsed="false">
      <c r="A5503" s="1" t="s">
        <v>1040</v>
      </c>
      <c r="B5503" s="1" t="n">
        <v>307.8</v>
      </c>
      <c r="C5503" s="1" t="n">
        <f aca="false">1/B5503</f>
        <v>0.0032488628979857</v>
      </c>
      <c r="D5503" s="1" t="n">
        <v>0.58088</v>
      </c>
      <c r="E5503" s="1" t="n">
        <f aca="false">LN(D5503)</f>
        <v>-0.543211083910146</v>
      </c>
    </row>
    <row r="5504" customFormat="false" ht="15.75" hidden="false" customHeight="false" outlineLevel="0" collapsed="false">
      <c r="A5504" s="1" t="s">
        <v>1040</v>
      </c>
      <c r="B5504" s="1" t="n">
        <v>308.44</v>
      </c>
      <c r="C5504" s="1" t="n">
        <f aca="false">1/B5504</f>
        <v>0.0032421216444041</v>
      </c>
      <c r="D5504" s="1" t="n">
        <v>0.57657</v>
      </c>
      <c r="E5504" s="1" t="n">
        <f aca="false">LN(D5504)</f>
        <v>-0.550658524267714</v>
      </c>
    </row>
    <row r="5505" customFormat="false" ht="15.75" hidden="false" customHeight="false" outlineLevel="0" collapsed="false">
      <c r="A5505" s="1" t="s">
        <v>1040</v>
      </c>
      <c r="B5505" s="1" t="n">
        <v>309.07</v>
      </c>
      <c r="C5505" s="1" t="n">
        <f aca="false">1/B5505</f>
        <v>0.00323551299058466</v>
      </c>
      <c r="D5505" s="1" t="n">
        <v>0.57231</v>
      </c>
      <c r="E5505" s="1" t="n">
        <f aca="false">LN(D5505)</f>
        <v>-0.558074476366601</v>
      </c>
    </row>
    <row r="5506" customFormat="false" ht="15.75" hidden="false" customHeight="false" outlineLevel="0" collapsed="false">
      <c r="A5506" s="1" t="s">
        <v>1040</v>
      </c>
      <c r="B5506" s="1" t="n">
        <v>309.7</v>
      </c>
      <c r="C5506" s="1" t="n">
        <f aca="false">1/B5506</f>
        <v>0.00322893122376493</v>
      </c>
      <c r="D5506" s="1" t="n">
        <v>0.5681</v>
      </c>
      <c r="E5506" s="1" t="n">
        <f aca="false">LN(D5506)</f>
        <v>-0.565457819419056</v>
      </c>
    </row>
    <row r="5507" customFormat="false" ht="15.75" hidden="false" customHeight="false" outlineLevel="0" collapsed="false">
      <c r="A5507" s="1" t="s">
        <v>1040</v>
      </c>
      <c r="B5507" s="1" t="n">
        <v>310.34</v>
      </c>
      <c r="C5507" s="1" t="n">
        <f aca="false">1/B5507</f>
        <v>0.00322227234645872</v>
      </c>
      <c r="D5507" s="1" t="n">
        <v>0.56394</v>
      </c>
      <c r="E5507" s="1" t="n">
        <f aca="false">LN(D5507)</f>
        <v>-0.572807416121872</v>
      </c>
    </row>
    <row r="5508" customFormat="false" ht="15.75" hidden="false" customHeight="false" outlineLevel="0" collapsed="false">
      <c r="A5508" s="1" t="s">
        <v>1040</v>
      </c>
      <c r="B5508" s="1" t="n">
        <v>310.97</v>
      </c>
      <c r="C5508" s="1" t="n">
        <f aca="false">1/B5508</f>
        <v>0.00321574428401453</v>
      </c>
      <c r="D5508" s="1" t="n">
        <v>0.55984</v>
      </c>
      <c r="E5508" s="1" t="n">
        <f aca="false">LN(D5508)</f>
        <v>-0.580104250362759</v>
      </c>
    </row>
    <row r="5509" customFormat="false" ht="15.75" hidden="false" customHeight="false" outlineLevel="0" collapsed="false">
      <c r="A5509" s="1" t="s">
        <v>1040</v>
      </c>
      <c r="B5509" s="1" t="n">
        <v>311.61</v>
      </c>
      <c r="C5509" s="1" t="n">
        <f aca="false">1/B5509</f>
        <v>0.00320913962966529</v>
      </c>
      <c r="D5509" s="1" t="n">
        <v>0.55578</v>
      </c>
      <c r="E5509" s="1" t="n">
        <f aca="false">LN(D5509)</f>
        <v>-0.587382746488146</v>
      </c>
    </row>
    <row r="5510" customFormat="false" ht="15.75" hidden="false" customHeight="false" outlineLevel="0" collapsed="false">
      <c r="A5510" s="1" t="s">
        <v>1040</v>
      </c>
      <c r="B5510" s="1" t="n">
        <v>312.24</v>
      </c>
      <c r="C5510" s="1" t="n">
        <f aca="false">1/B5510</f>
        <v>0.00320266461696131</v>
      </c>
      <c r="D5510" s="1" t="n">
        <v>0.55177</v>
      </c>
      <c r="E5510" s="1" t="n">
        <f aca="false">LN(D5510)</f>
        <v>-0.594623986201384</v>
      </c>
    </row>
    <row r="5511" customFormat="false" ht="15.75" hidden="false" customHeight="false" outlineLevel="0" collapsed="false">
      <c r="A5511" s="1" t="s">
        <v>1040</v>
      </c>
      <c r="B5511" s="1" t="n">
        <v>312.87</v>
      </c>
      <c r="C5511" s="1" t="n">
        <f aca="false">1/B5511</f>
        <v>0.00319621568063413</v>
      </c>
      <c r="D5511" s="1" t="n">
        <v>0.54782</v>
      </c>
      <c r="E5511" s="1" t="n">
        <f aca="false">LN(D5511)</f>
        <v>-0.601808513144557</v>
      </c>
    </row>
    <row r="5512" customFormat="false" ht="15.75" hidden="false" customHeight="false" outlineLevel="0" collapsed="false">
      <c r="A5512" s="1" t="s">
        <v>1040</v>
      </c>
      <c r="B5512" s="1" t="n">
        <v>313.51</v>
      </c>
      <c r="C5512" s="1" t="n">
        <f aca="false">1/B5512</f>
        <v>0.00318969091894995</v>
      </c>
      <c r="D5512" s="1" t="n">
        <v>0.5439</v>
      </c>
      <c r="E5512" s="1" t="n">
        <f aca="false">LN(D5512)</f>
        <v>-0.608989872553222</v>
      </c>
    </row>
    <row r="5513" customFormat="false" ht="15.75" hidden="false" customHeight="false" outlineLevel="0" collapsed="false">
      <c r="A5513" s="1" t="s">
        <v>1040</v>
      </c>
      <c r="B5513" s="1" t="n">
        <v>314.14</v>
      </c>
      <c r="C5513" s="1" t="n">
        <f aca="false">1/B5513</f>
        <v>0.00318329407270644</v>
      </c>
      <c r="D5513" s="1" t="n">
        <v>0.54004</v>
      </c>
      <c r="E5513" s="1" t="n">
        <f aca="false">LN(D5513)</f>
        <v>-0.616112068093092</v>
      </c>
    </row>
    <row r="5514" customFormat="false" ht="15.75" hidden="false" customHeight="false" outlineLevel="0" collapsed="false">
      <c r="A5514" s="1" t="s">
        <v>1040</v>
      </c>
      <c r="B5514" s="1" t="n">
        <v>314.77</v>
      </c>
      <c r="C5514" s="1" t="n">
        <f aca="false">1/B5514</f>
        <v>0.0031769228325444</v>
      </c>
      <c r="D5514" s="1" t="n">
        <v>0.53622</v>
      </c>
      <c r="E5514" s="1" t="n">
        <f aca="false">LN(D5514)</f>
        <v>-0.623210754360781</v>
      </c>
    </row>
    <row r="5515" customFormat="false" ht="15.75" hidden="false" customHeight="false" outlineLevel="0" collapsed="false">
      <c r="A5515" s="1" t="s">
        <v>1040</v>
      </c>
      <c r="B5515" s="1" t="n">
        <v>315.41</v>
      </c>
      <c r="C5515" s="1" t="n">
        <f aca="false">1/B5515</f>
        <v>0.00317047652262135</v>
      </c>
      <c r="D5515" s="1" t="n">
        <v>0.53244</v>
      </c>
      <c r="E5515" s="1" t="n">
        <f aca="false">LN(D5515)</f>
        <v>-0.630285063803319</v>
      </c>
    </row>
    <row r="5516" customFormat="false" ht="15.75" hidden="false" customHeight="false" outlineLevel="0" collapsed="false">
      <c r="A5516" s="1" t="s">
        <v>1040</v>
      </c>
      <c r="B5516" s="1" t="n">
        <v>316.04</v>
      </c>
      <c r="C5516" s="1" t="n">
        <f aca="false">1/B5516</f>
        <v>0.00316415643589419</v>
      </c>
      <c r="D5516" s="1" t="n">
        <v>0.52871</v>
      </c>
      <c r="E5516" s="1" t="n">
        <f aca="false">LN(D5516)</f>
        <v>-0.637315201601467</v>
      </c>
    </row>
    <row r="5517" customFormat="false" ht="15.75" hidden="false" customHeight="false" outlineLevel="0" collapsed="false">
      <c r="A5517" s="1" t="s">
        <v>1040</v>
      </c>
      <c r="B5517" s="1" t="n">
        <v>316.68</v>
      </c>
      <c r="C5517" s="1" t="n">
        <f aca="false">1/B5517</f>
        <v>0.00315776177845143</v>
      </c>
      <c r="D5517" s="1" t="n">
        <v>0.52502</v>
      </c>
      <c r="E5517" s="1" t="n">
        <f aca="false">LN(D5517)</f>
        <v>-0.644318921878023</v>
      </c>
    </row>
    <row r="5518" customFormat="false" ht="15.75" hidden="false" customHeight="false" outlineLevel="0" collapsed="false">
      <c r="A5518" s="1" t="s">
        <v>1040</v>
      </c>
      <c r="B5518" s="1" t="n">
        <v>317.31</v>
      </c>
      <c r="C5518" s="1" t="n">
        <f aca="false">1/B5518</f>
        <v>0.00315149223157165</v>
      </c>
      <c r="D5518" s="1" t="n">
        <v>0.52138</v>
      </c>
      <c r="E5518" s="1" t="n">
        <f aca="false">LN(D5518)</f>
        <v>-0.651276136484639</v>
      </c>
    </row>
    <row r="5519" customFormat="false" ht="15.75" hidden="false" customHeight="false" outlineLevel="0" collapsed="false">
      <c r="A5519" s="1" t="s">
        <v>1040</v>
      </c>
      <c r="B5519" s="1" t="n">
        <v>317.94</v>
      </c>
      <c r="C5519" s="1" t="n">
        <f aca="false">1/B5519</f>
        <v>0.00314524753098069</v>
      </c>
      <c r="D5519" s="1" t="n">
        <v>0.51778</v>
      </c>
      <c r="E5519" s="1" t="n">
        <f aca="false">LN(D5519)</f>
        <v>-0.658204837362381</v>
      </c>
    </row>
    <row r="5520" customFormat="false" ht="15.75" hidden="false" customHeight="false" outlineLevel="0" collapsed="false">
      <c r="A5520" s="1" t="s">
        <v>1040</v>
      </c>
      <c r="B5520" s="1" t="n">
        <v>318.58</v>
      </c>
      <c r="C5520" s="1" t="n">
        <f aca="false">1/B5520</f>
        <v>0.00313892899742608</v>
      </c>
      <c r="D5520" s="1" t="n">
        <v>0.51421</v>
      </c>
      <c r="E5520" s="1" t="n">
        <f aca="false">LN(D5520)</f>
        <v>-0.665123536653726</v>
      </c>
    </row>
    <row r="5521" customFormat="false" ht="15.75" hidden="false" customHeight="false" outlineLevel="0" collapsed="false">
      <c r="A5521" s="1" t="s">
        <v>1040</v>
      </c>
      <c r="B5521" s="1" t="n">
        <v>319.21</v>
      </c>
      <c r="C5521" s="1" t="n">
        <f aca="false">1/B5521</f>
        <v>0.00313273393690674</v>
      </c>
      <c r="D5521" s="1" t="n">
        <v>0.51069</v>
      </c>
      <c r="E5521" s="1" t="n">
        <f aca="false">LN(D5521)</f>
        <v>-0.671992526487548</v>
      </c>
    </row>
    <row r="5522" customFormat="false" ht="15.75" hidden="false" customHeight="false" outlineLevel="0" collapsed="false">
      <c r="A5522" s="1" t="s">
        <v>1040</v>
      </c>
      <c r="B5522" s="1" t="n">
        <v>319.85</v>
      </c>
      <c r="C5522" s="1" t="n">
        <f aca="false">1/B5522</f>
        <v>0.00312646553071752</v>
      </c>
      <c r="D5522" s="1" t="n">
        <v>0.50721</v>
      </c>
      <c r="E5522" s="1" t="n">
        <f aca="false">LN(D5522)</f>
        <v>-0.678830159965152</v>
      </c>
    </row>
    <row r="5523" customFormat="false" ht="15.75" hidden="false" customHeight="false" outlineLevel="0" collapsed="false">
      <c r="A5523" s="1" t="s">
        <v>1040</v>
      </c>
      <c r="B5523" s="1" t="n">
        <v>320.48</v>
      </c>
      <c r="C5523" s="1" t="n">
        <f aca="false">1/B5523</f>
        <v>0.00312031952071892</v>
      </c>
      <c r="D5523" s="1" t="n">
        <v>0.50377</v>
      </c>
      <c r="E5523" s="1" t="n">
        <f aca="false">LN(D5523)</f>
        <v>-0.685635464276106</v>
      </c>
    </row>
    <row r="5524" customFormat="false" ht="15.75" hidden="false" customHeight="false" outlineLevel="0" collapsed="false">
      <c r="A5524" s="1" t="s">
        <v>1040</v>
      </c>
      <c r="B5524" s="1" t="n">
        <v>321.11</v>
      </c>
      <c r="C5524" s="1" t="n">
        <f aca="false">1/B5524</f>
        <v>0.00311419762698141</v>
      </c>
      <c r="D5524" s="1" t="n">
        <v>0.50036</v>
      </c>
      <c r="E5524" s="1" t="n">
        <f aca="false">LN(D5524)</f>
        <v>-0.692427439635596</v>
      </c>
    </row>
    <row r="5525" customFormat="false" ht="15.75" hidden="false" customHeight="false" outlineLevel="0" collapsed="false">
      <c r="A5525" s="1" t="s">
        <v>1040</v>
      </c>
      <c r="B5525" s="1" t="n">
        <v>321.75</v>
      </c>
      <c r="C5525" s="1" t="n">
        <f aca="false">1/B5525</f>
        <v>0.00310800310800311</v>
      </c>
      <c r="D5525" s="1" t="n">
        <v>0.49699</v>
      </c>
      <c r="E5525" s="1" t="n">
        <f aca="false">LN(D5525)</f>
        <v>-0.699185373812279</v>
      </c>
    </row>
    <row r="5526" customFormat="false" ht="15.75" hidden="false" customHeight="false" outlineLevel="0" collapsed="false">
      <c r="A5526" s="1" t="s">
        <v>1040</v>
      </c>
      <c r="B5526" s="1" t="n">
        <v>322.38</v>
      </c>
      <c r="C5526" s="1" t="n">
        <f aca="false">1/B5526</f>
        <v>0.00310192940008685</v>
      </c>
      <c r="D5526" s="1" t="n">
        <v>0.49366</v>
      </c>
      <c r="E5526" s="1" t="n">
        <f aca="false">LN(D5526)</f>
        <v>-0.705908257862559</v>
      </c>
    </row>
    <row r="5527" customFormat="false" ht="15.75" hidden="false" customHeight="false" outlineLevel="0" collapsed="false">
      <c r="A5527" s="1" t="s">
        <v>1040</v>
      </c>
      <c r="B5527" s="1" t="n">
        <v>323.01</v>
      </c>
      <c r="C5527" s="1" t="n">
        <f aca="false">1/B5527</f>
        <v>0.00309587938453918</v>
      </c>
      <c r="D5527" s="1" t="n">
        <v>0.49037</v>
      </c>
      <c r="E5527" s="1" t="n">
        <f aca="false">LN(D5527)</f>
        <v>-0.712595070782761</v>
      </c>
    </row>
    <row r="5528" customFormat="false" ht="15.75" hidden="false" customHeight="false" outlineLevel="0" collapsed="false">
      <c r="A5528" s="1" t="s">
        <v>1040</v>
      </c>
      <c r="B5528" s="1" t="n">
        <v>323.65</v>
      </c>
      <c r="C5528" s="1" t="n">
        <f aca="false">1/B5528</f>
        <v>0.00308975745403986</v>
      </c>
      <c r="D5528" s="1" t="n">
        <v>0.48711</v>
      </c>
      <c r="E5528" s="1" t="n">
        <f aca="false">LN(D5528)</f>
        <v>-0.719265308715004</v>
      </c>
    </row>
    <row r="5529" customFormat="false" ht="15.75" hidden="false" customHeight="false" outlineLevel="0" collapsed="false">
      <c r="A5529" s="1" t="s">
        <v>1040</v>
      </c>
      <c r="B5529" s="1" t="n">
        <v>324.28</v>
      </c>
      <c r="C5529" s="1" t="n">
        <f aca="false">1/B5529</f>
        <v>0.00308375477981991</v>
      </c>
      <c r="D5529" s="1" t="n">
        <v>0.48389</v>
      </c>
      <c r="E5529" s="1" t="n">
        <f aca="false">LN(D5529)</f>
        <v>-0.725897670823138</v>
      </c>
    </row>
    <row r="5530" customFormat="false" ht="15.75" hidden="false" customHeight="false" outlineLevel="0" collapsed="false">
      <c r="A5530" s="1" t="s">
        <v>1040</v>
      </c>
      <c r="B5530" s="1" t="n">
        <v>324.92</v>
      </c>
      <c r="C5530" s="1" t="n">
        <f aca="false">1/B5530</f>
        <v>0.00307768065985473</v>
      </c>
      <c r="D5530" s="1" t="n">
        <v>0.4807</v>
      </c>
      <c r="E5530" s="1" t="n">
        <f aca="false">LN(D5530)</f>
        <v>-0.732511904082222</v>
      </c>
    </row>
    <row r="5531" customFormat="false" ht="15.75" hidden="false" customHeight="false" outlineLevel="0" collapsed="false">
      <c r="A5531" s="1" t="s">
        <v>1040</v>
      </c>
      <c r="B5531" s="1" t="n">
        <v>325.55</v>
      </c>
      <c r="C5531" s="1" t="n">
        <f aca="false">1/B5531</f>
        <v>0.0030717247734603</v>
      </c>
      <c r="D5531" s="1" t="n">
        <v>0.47755</v>
      </c>
      <c r="E5531" s="1" t="n">
        <f aca="false">LN(D5531)</f>
        <v>-0.73908641250139</v>
      </c>
    </row>
    <row r="5532" customFormat="false" ht="15.75" hidden="false" customHeight="false" outlineLevel="0" collapsed="false">
      <c r="A5532" s="1" t="s">
        <v>1040</v>
      </c>
      <c r="B5532" s="1" t="n">
        <v>326.18</v>
      </c>
      <c r="C5532" s="1" t="n">
        <f aca="false">1/B5532</f>
        <v>0.00306579189404623</v>
      </c>
      <c r="D5532" s="1" t="n">
        <v>0.47442</v>
      </c>
      <c r="E5532" s="1" t="n">
        <f aca="false">LN(D5532)</f>
        <v>-0.745662273671246</v>
      </c>
    </row>
    <row r="5533" customFormat="false" ht="15.75" hidden="false" customHeight="false" outlineLevel="0" collapsed="false">
      <c r="A5533" s="1" t="s">
        <v>1040</v>
      </c>
      <c r="B5533" s="1" t="n">
        <v>326.82</v>
      </c>
      <c r="C5533" s="1" t="n">
        <f aca="false">1/B5533</f>
        <v>0.00305978826265222</v>
      </c>
      <c r="D5533" s="1" t="n">
        <v>0.47134</v>
      </c>
      <c r="E5533" s="1" t="n">
        <f aca="false">LN(D5533)</f>
        <v>-0.752175577022188</v>
      </c>
    </row>
    <row r="5534" customFormat="false" ht="15.75" hidden="false" customHeight="false" outlineLevel="0" collapsed="false">
      <c r="A5534" s="1" t="s">
        <v>1040</v>
      </c>
      <c r="B5534" s="1" t="n">
        <v>327.45</v>
      </c>
      <c r="C5534" s="1" t="n">
        <f aca="false">1/B5534</f>
        <v>0.0030539013589861</v>
      </c>
      <c r="D5534" s="1" t="n">
        <v>0.46828</v>
      </c>
      <c r="E5534" s="1" t="n">
        <f aca="false">LN(D5534)</f>
        <v>-0.758688871370665</v>
      </c>
    </row>
    <row r="5535" customFormat="false" ht="15.75" hidden="false" customHeight="false" outlineLevel="0" collapsed="false">
      <c r="A5535" s="1" t="s">
        <v>1040</v>
      </c>
      <c r="B5535" s="1" t="n">
        <v>328.09</v>
      </c>
      <c r="C5535" s="1" t="n">
        <f aca="false">1/B5535</f>
        <v>0.00304794416166296</v>
      </c>
      <c r="D5535" s="1" t="n">
        <v>0.46526</v>
      </c>
      <c r="E5535" s="1" t="n">
        <f aca="false">LN(D5535)</f>
        <v>-0.765158889870239</v>
      </c>
    </row>
    <row r="5536" customFormat="false" ht="15.75" hidden="false" customHeight="false" outlineLevel="0" collapsed="false">
      <c r="A5536" s="1" t="s">
        <v>1040</v>
      </c>
      <c r="B5536" s="1" t="n">
        <v>328.72</v>
      </c>
      <c r="C5536" s="1" t="n">
        <f aca="false">1/B5536</f>
        <v>0.0030421027013872</v>
      </c>
      <c r="D5536" s="1" t="n">
        <v>0.46227</v>
      </c>
      <c r="E5536" s="1" t="n">
        <f aca="false">LN(D5536)</f>
        <v>-0.771606143020265</v>
      </c>
    </row>
    <row r="5537" customFormat="false" ht="15.75" hidden="false" customHeight="false" outlineLevel="0" collapsed="false">
      <c r="A5537" s="1" t="s">
        <v>1040</v>
      </c>
      <c r="B5537" s="1" t="n">
        <v>329.35</v>
      </c>
      <c r="C5537" s="1" t="n">
        <f aca="false">1/B5537</f>
        <v>0.0030362835888872</v>
      </c>
      <c r="D5537" s="1" t="n">
        <v>0.45931</v>
      </c>
      <c r="E5537" s="1" t="n">
        <f aca="false">LN(D5537)</f>
        <v>-0.778029915625263</v>
      </c>
    </row>
    <row r="5538" customFormat="false" ht="15.75" hidden="false" customHeight="false" outlineLevel="0" collapsed="false">
      <c r="A5538" s="1" t="s">
        <v>1040</v>
      </c>
      <c r="B5538" s="1" t="n">
        <v>329.99</v>
      </c>
      <c r="C5538" s="1" t="n">
        <f aca="false">1/B5538</f>
        <v>0.00303039486045032</v>
      </c>
      <c r="D5538" s="1" t="n">
        <v>0.45638</v>
      </c>
      <c r="E5538" s="1" t="n">
        <f aca="false">LN(D5538)</f>
        <v>-0.784429483163859</v>
      </c>
    </row>
    <row r="5539" customFormat="false" ht="15.75" hidden="false" customHeight="false" outlineLevel="0" collapsed="false">
      <c r="A5539" s="1" t="s">
        <v>1040</v>
      </c>
      <c r="B5539" s="1" t="n">
        <v>330.62</v>
      </c>
      <c r="C5539" s="1" t="n">
        <f aca="false">1/B5539</f>
        <v>0.00302462041013853</v>
      </c>
      <c r="D5539" s="1" t="n">
        <v>0.45348</v>
      </c>
      <c r="E5539" s="1" t="n">
        <f aca="false">LN(D5539)</f>
        <v>-0.790804111832739</v>
      </c>
    </row>
    <row r="5540" customFormat="false" ht="15.75" hidden="false" customHeight="false" outlineLevel="0" collapsed="false">
      <c r="A5540" s="1" t="s">
        <v>1040</v>
      </c>
      <c r="B5540" s="1" t="n">
        <v>331.25</v>
      </c>
      <c r="C5540" s="1" t="n">
        <f aca="false">1/B5540</f>
        <v>0.0030188679245283</v>
      </c>
      <c r="D5540" s="1" t="n">
        <v>0.45061</v>
      </c>
      <c r="E5540" s="1" t="n">
        <f aca="false">LN(D5540)</f>
        <v>-0.7971530585982</v>
      </c>
    </row>
    <row r="5541" customFormat="false" ht="15.75" hidden="false" customHeight="false" outlineLevel="0" collapsed="false">
      <c r="A5541" s="1" t="s">
        <v>1040</v>
      </c>
      <c r="B5541" s="1" t="n">
        <v>331.89</v>
      </c>
      <c r="C5541" s="1" t="n">
        <f aca="false">1/B5541</f>
        <v>0.00301304649130736</v>
      </c>
      <c r="D5541" s="1" t="n">
        <v>0.44777</v>
      </c>
      <c r="E5541" s="1" t="n">
        <f aca="false">LN(D5541)</f>
        <v>-0.80347557125553</v>
      </c>
    </row>
    <row r="5542" customFormat="false" ht="15.75" hidden="false" customHeight="false" outlineLevel="0" collapsed="false">
      <c r="A5542" s="1" t="s">
        <v>1040</v>
      </c>
      <c r="B5542" s="1" t="n">
        <v>332.52</v>
      </c>
      <c r="C5542" s="1" t="n">
        <f aca="false">1/B5542</f>
        <v>0.00300733790448695</v>
      </c>
      <c r="D5542" s="1" t="n">
        <v>0.44495</v>
      </c>
      <c r="E5542" s="1" t="n">
        <f aca="false">LN(D5542)</f>
        <v>-0.809793362679266</v>
      </c>
    </row>
    <row r="5543" customFormat="false" ht="15.75" hidden="false" customHeight="false" outlineLevel="0" collapsed="false">
      <c r="A5543" s="1" t="s">
        <v>1040</v>
      </c>
      <c r="B5543" s="1" t="n">
        <v>333.16</v>
      </c>
      <c r="C5543" s="1" t="n">
        <f aca="false">1/B5543</f>
        <v>0.00300156081162204</v>
      </c>
      <c r="D5543" s="1" t="n">
        <v>0.44217</v>
      </c>
      <c r="E5543" s="1" t="n">
        <f aca="false">LN(D5543)</f>
        <v>-0.816060855465361</v>
      </c>
    </row>
    <row r="5544" customFormat="false" ht="15.75" hidden="false" customHeight="false" outlineLevel="0" collapsed="false">
      <c r="A5544" s="1" t="s">
        <v>1040</v>
      </c>
      <c r="B5544" s="1" t="n">
        <v>333.79</v>
      </c>
      <c r="C5544" s="1" t="n">
        <f aca="false">1/B5544</f>
        <v>0.00299589562299649</v>
      </c>
      <c r="D5544" s="1" t="n">
        <v>0.43941</v>
      </c>
      <c r="E5544" s="1" t="n">
        <f aca="false">LN(D5544)</f>
        <v>-0.822322360983812</v>
      </c>
    </row>
    <row r="5545" customFormat="false" ht="15.75" hidden="false" customHeight="false" outlineLevel="0" collapsed="false">
      <c r="A5545" s="1" t="s">
        <v>1040</v>
      </c>
      <c r="B5545" s="1" t="n">
        <v>334.42</v>
      </c>
      <c r="C5545" s="1" t="n">
        <f aca="false">1/B5545</f>
        <v>0.00299025177919981</v>
      </c>
      <c r="D5545" s="1" t="n">
        <v>0.43668</v>
      </c>
      <c r="E5545" s="1" t="n">
        <f aca="false">LN(D5545)</f>
        <v>-0.828554617570068</v>
      </c>
    </row>
    <row r="5546" customFormat="false" ht="15.75" hidden="false" customHeight="false" outlineLevel="0" collapsed="false">
      <c r="A5546" s="1" t="s">
        <v>1040</v>
      </c>
      <c r="B5546" s="1" t="n">
        <v>335.06</v>
      </c>
      <c r="C5546" s="1" t="n">
        <f aca="false">1/B5546</f>
        <v>0.00298454008237331</v>
      </c>
      <c r="D5546" s="1" t="n">
        <v>0.43398</v>
      </c>
      <c r="E5546" s="1" t="n">
        <f aca="false">LN(D5546)</f>
        <v>-0.834756828892893</v>
      </c>
    </row>
    <row r="5547" customFormat="false" ht="15.75" hidden="false" customHeight="false" outlineLevel="0" collapsed="false">
      <c r="A5547" s="1" t="s">
        <v>1040</v>
      </c>
      <c r="B5547" s="1" t="n">
        <v>335.69</v>
      </c>
      <c r="C5547" s="1" t="n">
        <f aca="false">1/B5547</f>
        <v>0.00297893890196312</v>
      </c>
      <c r="D5547" s="1" t="n">
        <v>0.43131</v>
      </c>
      <c r="E5547" s="1" t="n">
        <f aca="false">LN(D5547)</f>
        <v>-0.840928189879526</v>
      </c>
    </row>
    <row r="5548" customFormat="false" ht="15.75" hidden="false" customHeight="false" outlineLevel="0" collapsed="false">
      <c r="A5548" s="1" t="s">
        <v>1040</v>
      </c>
      <c r="B5548" s="1" t="n">
        <v>336.33</v>
      </c>
      <c r="C5548" s="1" t="n">
        <f aca="false">1/B5548</f>
        <v>0.00297327030000297</v>
      </c>
      <c r="D5548" s="1" t="n">
        <v>0.42866</v>
      </c>
      <c r="E5548" s="1" t="n">
        <f aca="false">LN(D5548)</f>
        <v>-0.847091215073151</v>
      </c>
    </row>
    <row r="5549" customFormat="false" ht="15.75" hidden="false" customHeight="false" outlineLevel="0" collapsed="false">
      <c r="A5549" s="1" t="s">
        <v>1040</v>
      </c>
      <c r="B5549" s="1" t="n">
        <v>336.96</v>
      </c>
      <c r="C5549" s="1" t="n">
        <f aca="false">1/B5549</f>
        <v>0.00296771130104463</v>
      </c>
      <c r="D5549" s="1" t="n">
        <v>0.42603</v>
      </c>
      <c r="E5549" s="1" t="n">
        <f aca="false">LN(D5549)</f>
        <v>-0.853245512657106</v>
      </c>
    </row>
    <row r="5550" customFormat="false" ht="15.75" hidden="false" customHeight="false" outlineLevel="0" collapsed="false">
      <c r="A5550" s="1" t="s">
        <v>1040</v>
      </c>
      <c r="B5550" s="1" t="n">
        <v>337.59</v>
      </c>
      <c r="C5550" s="1" t="n">
        <f aca="false">1/B5550</f>
        <v>0.00296217305014959</v>
      </c>
      <c r="D5550" s="1" t="n">
        <v>0.42344</v>
      </c>
      <c r="E5550" s="1" t="n">
        <f aca="false">LN(D5550)</f>
        <v>-0.859343451432405</v>
      </c>
    </row>
    <row r="5551" customFormat="false" ht="15.75" hidden="false" customHeight="false" outlineLevel="0" collapsed="false">
      <c r="A5551" s="1" t="s">
        <v>1040</v>
      </c>
      <c r="B5551" s="1" t="n">
        <v>338.23</v>
      </c>
      <c r="C5551" s="1" t="n">
        <f aca="false">1/B5551</f>
        <v>0.0029565680158472</v>
      </c>
      <c r="D5551" s="1" t="n">
        <v>0.42086</v>
      </c>
      <c r="E5551" s="1" t="n">
        <f aca="false">LN(D5551)</f>
        <v>-0.86545504217166</v>
      </c>
    </row>
    <row r="5552" customFormat="false" ht="15.75" hidden="false" customHeight="false" outlineLevel="0" collapsed="false">
      <c r="A5552" s="1" t="s">
        <v>1040</v>
      </c>
      <c r="B5552" s="1" t="n">
        <v>338.86</v>
      </c>
      <c r="C5552" s="1" t="n">
        <f aca="false">1/B5552</f>
        <v>0.00295107123885971</v>
      </c>
      <c r="D5552" s="1" t="n">
        <v>0.41831</v>
      </c>
      <c r="E5552" s="1" t="n">
        <f aca="false">LN(D5552)</f>
        <v>-0.871532494532381</v>
      </c>
    </row>
    <row r="5553" customFormat="false" ht="15.75" hidden="false" customHeight="false" outlineLevel="0" collapsed="false">
      <c r="A5553" s="1" t="s">
        <v>1040</v>
      </c>
      <c r="B5553" s="1" t="n">
        <v>339.49</v>
      </c>
      <c r="C5553" s="1" t="n">
        <f aca="false">1/B5553</f>
        <v>0.00294559486288256</v>
      </c>
      <c r="D5553" s="1" t="n">
        <v>0.41579</v>
      </c>
      <c r="E5553" s="1" t="n">
        <f aca="false">LN(D5553)</f>
        <v>-0.877574953871481</v>
      </c>
    </row>
    <row r="5554" customFormat="false" ht="15.75" hidden="false" customHeight="false" outlineLevel="0" collapsed="false">
      <c r="A5554" s="1" t="s">
        <v>1040</v>
      </c>
      <c r="B5554" s="1" t="n">
        <v>340.13</v>
      </c>
      <c r="C5554" s="1" t="n">
        <f aca="false">1/B5554</f>
        <v>0.00294005233293153</v>
      </c>
      <c r="D5554" s="1" t="n">
        <v>0.41329</v>
      </c>
      <c r="E5554" s="1" t="n">
        <f aca="false">LN(D5554)</f>
        <v>-0.883605753256803</v>
      </c>
    </row>
    <row r="5555" customFormat="false" ht="15.75" hidden="false" customHeight="false" outlineLevel="0" collapsed="false">
      <c r="A5555" s="1" t="s">
        <v>1040</v>
      </c>
      <c r="B5555" s="1" t="n">
        <v>340.76</v>
      </c>
      <c r="C5555" s="1" t="n">
        <f aca="false">1/B5555</f>
        <v>0.00293461673905388</v>
      </c>
      <c r="D5555" s="1" t="n">
        <v>0.41081</v>
      </c>
      <c r="E5555" s="1" t="n">
        <f aca="false">LN(D5555)</f>
        <v>-0.889624458478152</v>
      </c>
    </row>
    <row r="5556" customFormat="false" ht="15.75" hidden="false" customHeight="false" outlineLevel="0" collapsed="false">
      <c r="A5556" s="1" t="s">
        <v>1040</v>
      </c>
      <c r="B5556" s="1" t="n">
        <v>341.4</v>
      </c>
      <c r="C5556" s="1" t="n">
        <f aca="false">1/B5556</f>
        <v>0.00292911540714704</v>
      </c>
      <c r="D5556" s="1" t="n">
        <v>0.40836</v>
      </c>
      <c r="E5556" s="1" t="n">
        <f aca="false">LN(D5556)</f>
        <v>-0.895606140681322</v>
      </c>
    </row>
    <row r="5557" customFormat="false" ht="15.75" hidden="false" customHeight="false" outlineLevel="0" collapsed="false">
      <c r="A5557" s="1" t="s">
        <v>1040</v>
      </c>
      <c r="B5557" s="1" t="n">
        <v>342.03</v>
      </c>
      <c r="C5557" s="1" t="n">
        <f aca="false">1/B5557</f>
        <v>0.00292372014150805</v>
      </c>
      <c r="D5557" s="1" t="n">
        <v>0.40593</v>
      </c>
      <c r="E5557" s="1" t="n">
        <f aca="false">LN(D5557)</f>
        <v>-0.901574548038474</v>
      </c>
    </row>
    <row r="5558" customFormat="false" ht="15.75" hidden="false" customHeight="false" outlineLevel="0" collapsed="false">
      <c r="A5558" s="1" t="s">
        <v>1040</v>
      </c>
      <c r="B5558" s="1" t="n">
        <v>342.66</v>
      </c>
      <c r="C5558" s="1" t="n">
        <f aca="false">1/B5558</f>
        <v>0.00291834471487772</v>
      </c>
      <c r="D5558" s="1" t="n">
        <v>0.40352</v>
      </c>
      <c r="E5558" s="1" t="n">
        <f aca="false">LN(D5558)</f>
        <v>-0.907529226205582</v>
      </c>
    </row>
    <row r="5559" customFormat="false" ht="15.75" hidden="false" customHeight="false" outlineLevel="0" collapsed="false">
      <c r="A5559" s="1" t="s">
        <v>1040</v>
      </c>
      <c r="B5559" s="1" t="n">
        <v>343.3</v>
      </c>
      <c r="C5559" s="1" t="n">
        <f aca="false">1/B5559</f>
        <v>0.00291290416545296</v>
      </c>
      <c r="D5559" s="1" t="n">
        <v>0.40113</v>
      </c>
      <c r="E5559" s="1" t="n">
        <f aca="false">LN(D5559)</f>
        <v>-0.913469714687453</v>
      </c>
    </row>
    <row r="5560" customFormat="false" ht="15.75" hidden="false" customHeight="false" outlineLevel="0" collapsed="false">
      <c r="A5560" s="1" t="s">
        <v>1040</v>
      </c>
      <c r="B5560" s="1" t="n">
        <v>343.93</v>
      </c>
      <c r="C5560" s="1" t="n">
        <f aca="false">1/B5560</f>
        <v>0.00290756840054662</v>
      </c>
      <c r="D5560" s="1" t="n">
        <v>0.39877</v>
      </c>
      <c r="E5560" s="1" t="n">
        <f aca="false">LN(D5560)</f>
        <v>-0.919370469401078</v>
      </c>
    </row>
    <row r="5561" customFormat="false" ht="15.75" hidden="false" customHeight="false" outlineLevel="0" collapsed="false">
      <c r="A5561" s="1" t="s">
        <v>1040</v>
      </c>
      <c r="B5561" s="1" t="n">
        <v>344.57</v>
      </c>
      <c r="C5561" s="1" t="n">
        <f aca="false">1/B5561</f>
        <v>0.00290216791943582</v>
      </c>
      <c r="D5561" s="1" t="n">
        <v>0.39642</v>
      </c>
      <c r="E5561" s="1" t="n">
        <f aca="false">LN(D5561)</f>
        <v>-0.925281023712288</v>
      </c>
    </row>
    <row r="5562" customFormat="false" ht="15.75" hidden="false" customHeight="false" outlineLevel="0" collapsed="false">
      <c r="A5562" s="1" t="s">
        <v>1040</v>
      </c>
      <c r="B5562" s="1" t="n">
        <v>345.2</v>
      </c>
      <c r="C5562" s="1" t="n">
        <f aca="false">1/B5562</f>
        <v>0.00289687137891078</v>
      </c>
      <c r="D5562" s="1" t="n">
        <v>0.3941</v>
      </c>
      <c r="E5562" s="1" t="n">
        <f aca="false">LN(D5562)</f>
        <v>-0.931150594781179</v>
      </c>
    </row>
    <row r="5563" customFormat="false" ht="15.75" hidden="false" customHeight="false" outlineLevel="0" collapsed="false">
      <c r="A5563" s="1" t="s">
        <v>1040</v>
      </c>
      <c r="B5563" s="1" t="n">
        <v>345.83</v>
      </c>
      <c r="C5563" s="1" t="n">
        <f aca="false">1/B5563</f>
        <v>0.00289159413584709</v>
      </c>
      <c r="D5563" s="1" t="n">
        <v>0.3918</v>
      </c>
      <c r="E5563" s="1" t="n">
        <f aca="false">LN(D5563)</f>
        <v>-0.937003773471697</v>
      </c>
    </row>
    <row r="5564" customFormat="false" ht="15.75" hidden="false" customHeight="false" outlineLevel="0" collapsed="false">
      <c r="A5564" s="1" t="s">
        <v>1040</v>
      </c>
      <c r="B5564" s="1" t="n">
        <v>346.47</v>
      </c>
      <c r="C5564" s="1" t="n">
        <f aca="false">1/B5564</f>
        <v>0.0028862527780183</v>
      </c>
      <c r="D5564" s="1" t="n">
        <v>0.38952</v>
      </c>
      <c r="E5564" s="1" t="n">
        <f aca="false">LN(D5564)</f>
        <v>-0.942840067107692</v>
      </c>
    </row>
    <row r="5565" customFormat="false" ht="15.75" hidden="false" customHeight="false" outlineLevel="0" collapsed="false">
      <c r="A5565" s="1" t="s">
        <v>1040</v>
      </c>
      <c r="B5565" s="1" t="n">
        <v>347.1</v>
      </c>
      <c r="C5565" s="1" t="n">
        <f aca="false">1/B5565</f>
        <v>0.00288101411696917</v>
      </c>
      <c r="D5565" s="1" t="n">
        <v>0.38726</v>
      </c>
      <c r="E5565" s="1" t="n">
        <f aca="false">LN(D5565)</f>
        <v>-0.948658976906885</v>
      </c>
    </row>
    <row r="5566" customFormat="false" ht="15.75" hidden="false" customHeight="false" outlineLevel="0" collapsed="false">
      <c r="A5566" s="1" t="s">
        <v>1040</v>
      </c>
      <c r="B5566" s="1" t="n">
        <v>347.73</v>
      </c>
      <c r="C5566" s="1" t="n">
        <f aca="false">1/B5566</f>
        <v>0.00287579443821356</v>
      </c>
      <c r="D5566" s="1" t="n">
        <v>0.38502</v>
      </c>
      <c r="E5566" s="1" t="n">
        <f aca="false">LN(D5566)</f>
        <v>-0.954459997991658</v>
      </c>
    </row>
    <row r="5567" customFormat="false" ht="15.75" hidden="false" customHeight="false" outlineLevel="0" collapsed="false">
      <c r="A5567" s="1" t="s">
        <v>1040</v>
      </c>
      <c r="B5567" s="1" t="n">
        <v>348.37</v>
      </c>
      <c r="C5567" s="1" t="n">
        <f aca="false">1/B5567</f>
        <v>0.0028705112380515</v>
      </c>
      <c r="D5567" s="1" t="n">
        <v>0.38281</v>
      </c>
      <c r="E5567" s="1" t="n">
        <f aca="false">LN(D5567)</f>
        <v>-0.96021649644256</v>
      </c>
    </row>
    <row r="5568" customFormat="false" ht="15.75" hidden="false" customHeight="false" outlineLevel="0" collapsed="false">
      <c r="A5568" s="1" t="s">
        <v>1040</v>
      </c>
      <c r="B5568" s="1" t="n">
        <v>349</v>
      </c>
      <c r="C5568" s="1" t="n">
        <f aca="false">1/B5568</f>
        <v>0.00286532951289398</v>
      </c>
      <c r="D5568" s="1" t="n">
        <v>0.38061</v>
      </c>
      <c r="E5568" s="1" t="n">
        <f aca="false">LN(D5568)</f>
        <v>-0.96598005016152</v>
      </c>
    </row>
    <row r="5569" customFormat="false" ht="15.75" hidden="false" customHeight="false" outlineLevel="0" collapsed="false">
      <c r="A5569" s="1" t="s">
        <v>1040</v>
      </c>
      <c r="B5569" s="1" t="n">
        <v>349.64</v>
      </c>
      <c r="C5569" s="1" t="n">
        <f aca="false">1/B5569</f>
        <v>0.00286008465850589</v>
      </c>
      <c r="D5569" s="1" t="n">
        <v>0.37843</v>
      </c>
      <c r="E5569" s="1" t="n">
        <f aca="false">LN(D5569)</f>
        <v>-0.971724163763068</v>
      </c>
    </row>
    <row r="5570" customFormat="false" ht="15.75" hidden="false" customHeight="false" outlineLevel="0" collapsed="false">
      <c r="A5570" s="1" t="s">
        <v>1040</v>
      </c>
      <c r="B5570" s="1" t="n">
        <v>350.27</v>
      </c>
      <c r="C5570" s="1" t="n">
        <f aca="false">1/B5570</f>
        <v>0.00285494047449111</v>
      </c>
      <c r="D5570" s="1" t="n">
        <v>0.37626</v>
      </c>
      <c r="E5570" s="1" t="n">
        <f aca="false">LN(D5570)</f>
        <v>-0.977474885199153</v>
      </c>
    </row>
    <row r="5571" customFormat="false" ht="15.75" hidden="false" customHeight="false" outlineLevel="0" collapsed="false">
      <c r="A5571" s="1" t="s">
        <v>1040</v>
      </c>
      <c r="B5571" s="1" t="n">
        <v>350.9</v>
      </c>
      <c r="C5571" s="1" t="n">
        <f aca="false">1/B5571</f>
        <v>0.00284981476204047</v>
      </c>
      <c r="D5571" s="1" t="n">
        <v>0.37412</v>
      </c>
      <c r="E5571" s="1" t="n">
        <f aca="false">LN(D5571)</f>
        <v>-0.983178677415787</v>
      </c>
    </row>
    <row r="5572" customFormat="false" ht="15.75" hidden="false" customHeight="false" outlineLevel="0" collapsed="false">
      <c r="A5572" s="1" t="s">
        <v>1040</v>
      </c>
      <c r="B5572" s="1" t="n">
        <v>351.54</v>
      </c>
      <c r="C5572" s="1" t="n">
        <f aca="false">1/B5572</f>
        <v>0.00284462650054048</v>
      </c>
      <c r="D5572" s="1" t="n">
        <v>0.372</v>
      </c>
      <c r="E5572" s="1" t="n">
        <f aca="false">LN(D5572)</f>
        <v>-0.98886142470899</v>
      </c>
    </row>
    <row r="5573" customFormat="false" ht="15.75" hidden="false" customHeight="false" outlineLevel="0" collapsed="false">
      <c r="A5573" s="1" t="s">
        <v>1040</v>
      </c>
      <c r="B5573" s="1" t="n">
        <v>352.17</v>
      </c>
      <c r="C5573" s="1" t="n">
        <f aca="false">1/B5573</f>
        <v>0.00283953772325865</v>
      </c>
      <c r="D5573" s="1" t="n">
        <v>0.36989</v>
      </c>
      <c r="E5573" s="1" t="n">
        <f aca="false">LN(D5573)</f>
        <v>-0.994549614842767</v>
      </c>
    </row>
    <row r="5574" customFormat="false" ht="15.75" hidden="false" customHeight="false" outlineLevel="0" collapsed="false">
      <c r="A5574" s="1" t="s">
        <v>1040</v>
      </c>
      <c r="B5574" s="1" t="n">
        <v>352.8</v>
      </c>
      <c r="C5574" s="1" t="n">
        <f aca="false">1/B5574</f>
        <v>0.00283446712018141</v>
      </c>
      <c r="D5574" s="1" t="n">
        <v>0.3678</v>
      </c>
      <c r="E5574" s="1" t="n">
        <f aca="false">LN(D5574)</f>
        <v>-1.00021596681192</v>
      </c>
    </row>
    <row r="5575" customFormat="false" ht="15.75" hidden="false" customHeight="false" outlineLevel="0" collapsed="false">
      <c r="A5575" s="1" t="s">
        <v>1040</v>
      </c>
      <c r="B5575" s="1" t="n">
        <v>353.44</v>
      </c>
      <c r="C5575" s="1" t="n">
        <f aca="false">1/B5575</f>
        <v>0.00282933454051607</v>
      </c>
      <c r="D5575" s="1" t="n">
        <v>0.36573</v>
      </c>
      <c r="E5575" s="1" t="n">
        <f aca="false">LN(D5575)</f>
        <v>-1.00585992273697</v>
      </c>
    </row>
    <row r="5576" customFormat="false" ht="15.75" hidden="false" customHeight="false" outlineLevel="0" collapsed="false">
      <c r="A5576" s="1" t="s">
        <v>1040</v>
      </c>
      <c r="B5576" s="1" t="n">
        <v>354.07</v>
      </c>
      <c r="C5576" s="1" t="n">
        <f aca="false">1/B5576</f>
        <v>0.00282430027960573</v>
      </c>
      <c r="D5576" s="1" t="n">
        <v>0.36368</v>
      </c>
      <c r="E5576" s="1" t="n">
        <f aca="false">LN(D5576)</f>
        <v>-1.0114809188779</v>
      </c>
    </row>
    <row r="5577" customFormat="false" ht="15.75" hidden="false" customHeight="false" outlineLevel="0" collapsed="false">
      <c r="A5577" s="1" t="s">
        <v>1040</v>
      </c>
      <c r="B5577" s="1" t="n">
        <v>354.71</v>
      </c>
      <c r="C5577" s="1" t="n">
        <f aca="false">1/B5577</f>
        <v>0.00281920442051253</v>
      </c>
      <c r="D5577" s="1" t="n">
        <v>0.36165</v>
      </c>
      <c r="E5577" s="1" t="n">
        <f aca="false">LN(D5577)</f>
        <v>-1.01707838568685</v>
      </c>
    </row>
    <row r="5578" customFormat="false" ht="15.75" hidden="false" customHeight="false" outlineLevel="0" collapsed="false">
      <c r="A5578" s="1" t="s">
        <v>1040</v>
      </c>
      <c r="B5578" s="1" t="n">
        <v>355.34</v>
      </c>
      <c r="C5578" s="1" t="n">
        <f aca="false">1/B5578</f>
        <v>0.00281420611245568</v>
      </c>
      <c r="D5578" s="1" t="n">
        <v>0.35963</v>
      </c>
      <c r="E5578" s="1" t="n">
        <f aca="false">LN(D5578)</f>
        <v>-1.02267955383551</v>
      </c>
    </row>
    <row r="5579" customFormat="false" ht="15.75" hidden="false" customHeight="false" outlineLevel="0" collapsed="false">
      <c r="A5579" s="1" t="s">
        <v>1040</v>
      </c>
      <c r="B5579" s="1" t="n">
        <v>355.97</v>
      </c>
      <c r="C5579" s="1" t="n">
        <f aca="false">1/B5579</f>
        <v>0.00280922549653061</v>
      </c>
      <c r="D5579" s="1" t="n">
        <v>0.35763</v>
      </c>
      <c r="E5579" s="1" t="n">
        <f aca="false">LN(D5579)</f>
        <v>-1.02825634658412</v>
      </c>
    </row>
    <row r="5580" customFormat="false" ht="15.75" hidden="false" customHeight="false" outlineLevel="0" collapsed="false">
      <c r="A5580" s="1" t="s">
        <v>1040</v>
      </c>
      <c r="B5580" s="1" t="n">
        <v>356.61</v>
      </c>
      <c r="C5580" s="1" t="n">
        <f aca="false">1/B5580</f>
        <v>0.0028041838422927</v>
      </c>
      <c r="D5580" s="1" t="n">
        <v>0.35564</v>
      </c>
      <c r="E5580" s="1" t="n">
        <f aca="false">LN(D5580)</f>
        <v>-1.0338362957292</v>
      </c>
    </row>
    <row r="5581" customFormat="false" ht="15.75" hidden="false" customHeight="false" outlineLevel="0" collapsed="false">
      <c r="A5581" s="1" t="s">
        <v>1040</v>
      </c>
      <c r="B5581" s="1" t="n">
        <v>357.24</v>
      </c>
      <c r="C5581" s="1" t="n">
        <f aca="false">1/B5581</f>
        <v>0.00279923860709887</v>
      </c>
      <c r="D5581" s="1" t="n">
        <v>0.35367</v>
      </c>
      <c r="E5581" s="1" t="n">
        <f aca="false">LN(D5581)</f>
        <v>-1.03939100400999</v>
      </c>
    </row>
    <row r="5582" customFormat="false" ht="15.75" hidden="false" customHeight="false" outlineLevel="0" collapsed="false">
      <c r="A5582" s="1" t="s">
        <v>1040</v>
      </c>
      <c r="B5582" s="1" t="n">
        <v>357.88</v>
      </c>
      <c r="C5582" s="1" t="n">
        <f aca="false">1/B5582</f>
        <v>0.00279423270369956</v>
      </c>
      <c r="D5582" s="1" t="n">
        <v>0.35172</v>
      </c>
      <c r="E5582" s="1" t="n">
        <f aca="false">LN(D5582)</f>
        <v>-1.04491987447134</v>
      </c>
    </row>
    <row r="5583" customFormat="false" ht="15.75" hidden="false" customHeight="false" outlineLevel="0" collapsed="false">
      <c r="A5583" s="1" t="s">
        <v>1040</v>
      </c>
      <c r="B5583" s="1" t="n">
        <v>358.51</v>
      </c>
      <c r="C5583" s="1" t="n">
        <f aca="false">1/B5583</f>
        <v>0.00278932247357117</v>
      </c>
      <c r="D5583" s="1" t="n">
        <v>0.34979</v>
      </c>
      <c r="E5583" s="1" t="n">
        <f aca="false">LN(D5583)</f>
        <v>-1.05042230457071</v>
      </c>
    </row>
    <row r="5584" customFormat="false" ht="15.75" hidden="false" customHeight="false" outlineLevel="0" collapsed="false">
      <c r="A5584" s="1" t="s">
        <v>1040</v>
      </c>
      <c r="B5584" s="1" t="n">
        <v>359.14</v>
      </c>
      <c r="C5584" s="1" t="n">
        <f aca="false">1/B5584</f>
        <v>0.00278442947040151</v>
      </c>
      <c r="D5584" s="1" t="n">
        <v>0.34787</v>
      </c>
      <c r="E5584" s="1" t="n">
        <f aca="false">LN(D5584)</f>
        <v>-1.05592643221817</v>
      </c>
    </row>
    <row r="5585" customFormat="false" ht="15.75" hidden="false" customHeight="false" outlineLevel="0" collapsed="false">
      <c r="A5585" s="1" t="s">
        <v>1040</v>
      </c>
      <c r="B5585" s="1" t="n">
        <v>359.78</v>
      </c>
      <c r="C5585" s="1" t="n">
        <f aca="false">1/B5585</f>
        <v>0.00277947634665629</v>
      </c>
      <c r="D5585" s="1" t="n">
        <v>0.34596</v>
      </c>
      <c r="E5585" s="1" t="n">
        <f aca="false">LN(D5585)</f>
        <v>-1.06143211754383</v>
      </c>
    </row>
    <row r="5586" customFormat="false" ht="15.75" hidden="false" customHeight="false" outlineLevel="0" collapsed="false">
      <c r="A5586" s="1" t="s">
        <v>1040</v>
      </c>
      <c r="B5586" s="1" t="n">
        <v>360.41</v>
      </c>
      <c r="C5586" s="1" t="n">
        <f aca="false">1/B5586</f>
        <v>0.00277461779639855</v>
      </c>
      <c r="D5586" s="1" t="n">
        <v>0.34407</v>
      </c>
      <c r="E5586" s="1" t="n">
        <f aca="false">LN(D5586)</f>
        <v>-1.0669101539376</v>
      </c>
    </row>
    <row r="5587" customFormat="false" ht="15.75" hidden="false" customHeight="false" outlineLevel="0" collapsed="false">
      <c r="A5587" s="1" t="s">
        <v>1040</v>
      </c>
      <c r="B5587" s="1" t="n">
        <v>361.04</v>
      </c>
      <c r="C5587" s="1" t="n">
        <f aca="false">1/B5587</f>
        <v>0.00276977620208287</v>
      </c>
      <c r="D5587" s="1" t="n">
        <v>0.3422</v>
      </c>
      <c r="E5587" s="1" t="n">
        <f aca="false">LN(D5587)</f>
        <v>-1.07235991752404</v>
      </c>
    </row>
    <row r="5588" customFormat="false" ht="15.75" hidden="false" customHeight="false" outlineLevel="0" collapsed="false">
      <c r="A5588" s="1" t="s">
        <v>1040</v>
      </c>
      <c r="B5588" s="1" t="n">
        <v>361.68</v>
      </c>
      <c r="C5588" s="1" t="n">
        <f aca="false">1/B5588</f>
        <v>0.00276487502764875</v>
      </c>
      <c r="D5588" s="1" t="n">
        <v>0.34034</v>
      </c>
      <c r="E5588" s="1" t="n">
        <f aca="false">LN(D5588)</f>
        <v>-1.07781016103885</v>
      </c>
    </row>
    <row r="5589" customFormat="false" ht="15.75" hidden="false" customHeight="false" outlineLevel="0" collapsed="false">
      <c r="A5589" s="1" t="s">
        <v>1040</v>
      </c>
      <c r="B5589" s="1" t="n">
        <v>362.31</v>
      </c>
      <c r="C5589" s="1" t="n">
        <f aca="false">1/B5589</f>
        <v>0.00276006734564323</v>
      </c>
      <c r="D5589" s="1" t="n">
        <v>0.3385</v>
      </c>
      <c r="E5589" s="1" t="n">
        <f aca="false">LN(D5589)</f>
        <v>-1.08323118662981</v>
      </c>
    </row>
    <row r="5590" customFormat="false" ht="15.75" hidden="false" customHeight="false" outlineLevel="0" collapsed="false">
      <c r="A5590" s="1" t="s">
        <v>1040</v>
      </c>
      <c r="B5590" s="1" t="n">
        <v>362.95</v>
      </c>
      <c r="C5590" s="1" t="n">
        <f aca="false">1/B5590</f>
        <v>0.00275520044083207</v>
      </c>
      <c r="D5590" s="1" t="n">
        <v>0.33667</v>
      </c>
      <c r="E5590" s="1" t="n">
        <f aca="false">LN(D5590)</f>
        <v>-1.08865205687386</v>
      </c>
    </row>
    <row r="5591" customFormat="false" ht="15.75" hidden="false" customHeight="false" outlineLevel="0" collapsed="false">
      <c r="A5591" s="1" t="s">
        <v>1040</v>
      </c>
      <c r="B5591" s="1" t="n">
        <v>363.58</v>
      </c>
      <c r="C5591" s="1" t="n">
        <f aca="false">1/B5591</f>
        <v>0.00275042631607899</v>
      </c>
      <c r="D5591" s="1" t="n">
        <v>0.33485</v>
      </c>
      <c r="E5591" s="1" t="n">
        <f aca="false">LN(D5591)</f>
        <v>-1.09407260862608</v>
      </c>
    </row>
    <row r="5592" customFormat="false" ht="15.75" hidden="false" customHeight="false" outlineLevel="0" collapsed="false">
      <c r="A5592" s="1" t="s">
        <v>1040</v>
      </c>
      <c r="B5592" s="1" t="n">
        <v>364.21</v>
      </c>
      <c r="C5592" s="1" t="n">
        <f aca="false">1/B5592</f>
        <v>0.00274566870761374</v>
      </c>
      <c r="D5592" s="1" t="n">
        <v>0.33305</v>
      </c>
      <c r="E5592" s="1" t="n">
        <f aca="false">LN(D5592)</f>
        <v>-1.09946265012295</v>
      </c>
    </row>
    <row r="5593" customFormat="false" ht="15.75" hidden="false" customHeight="false" outlineLevel="0" collapsed="false">
      <c r="A5593" s="1" t="s">
        <v>1040</v>
      </c>
      <c r="B5593" s="1" t="n">
        <v>364.85</v>
      </c>
      <c r="C5593" s="1" t="n">
        <f aca="false">1/B5593</f>
        <v>0.00274085240509799</v>
      </c>
      <c r="D5593" s="1" t="n">
        <v>0.33127</v>
      </c>
      <c r="E5593" s="1" t="n">
        <f aca="false">LN(D5593)</f>
        <v>-1.10482152614585</v>
      </c>
    </row>
    <row r="5594" customFormat="false" ht="15.75" hidden="false" customHeight="false" outlineLevel="0" collapsed="false">
      <c r="A5594" s="1" t="s">
        <v>1040</v>
      </c>
      <c r="B5594" s="1" t="n">
        <v>365.48</v>
      </c>
      <c r="C5594" s="1" t="n">
        <f aca="false">1/B5594</f>
        <v>0.00273612783189231</v>
      </c>
      <c r="D5594" s="1" t="n">
        <v>0.32949</v>
      </c>
      <c r="E5594" s="1" t="n">
        <f aca="false">LN(D5594)</f>
        <v>-1.11020927451377</v>
      </c>
    </row>
    <row r="5595" customFormat="false" ht="15.75" hidden="false" customHeight="false" outlineLevel="0" collapsed="false">
      <c r="A5595" s="1" t="s">
        <v>1040</v>
      </c>
      <c r="B5595" s="1" t="n">
        <v>366.12</v>
      </c>
      <c r="C5595" s="1" t="n">
        <f aca="false">1/B5595</f>
        <v>0.00273134491423577</v>
      </c>
      <c r="D5595" s="1" t="n">
        <v>0.32773</v>
      </c>
      <c r="E5595" s="1" t="n">
        <f aca="false">LN(D5595)</f>
        <v>-1.11556518032077</v>
      </c>
    </row>
    <row r="5596" customFormat="false" ht="15.75" hidden="false" customHeight="false" outlineLevel="0" collapsed="false">
      <c r="A5596" s="1" t="s">
        <v>1040</v>
      </c>
      <c r="B5596" s="1" t="n">
        <v>366.75</v>
      </c>
      <c r="C5596" s="1" t="n">
        <f aca="false">1/B5596</f>
        <v>0.0027266530334015</v>
      </c>
      <c r="D5596" s="1" t="n">
        <v>0.32599</v>
      </c>
      <c r="E5596" s="1" t="n">
        <f aca="false">LN(D5596)</f>
        <v>-1.12088857293254</v>
      </c>
    </row>
    <row r="5597" customFormat="false" ht="15.75" hidden="false" customHeight="false" outlineLevel="0" collapsed="false">
      <c r="A5597" s="1" t="s">
        <v>1040</v>
      </c>
      <c r="B5597" s="1" t="n">
        <v>367.38</v>
      </c>
      <c r="C5597" s="1" t="n">
        <f aca="false">1/B5597</f>
        <v>0.00272197724427024</v>
      </c>
      <c r="D5597" s="1" t="n">
        <v>0.32426</v>
      </c>
      <c r="E5597" s="1" t="n">
        <f aca="false">LN(D5597)</f>
        <v>-1.12620961586021</v>
      </c>
    </row>
    <row r="5598" customFormat="false" ht="15.75" hidden="false" customHeight="false" outlineLevel="0" collapsed="false">
      <c r="A5598" s="1" t="s">
        <v>1040</v>
      </c>
      <c r="B5598" s="1" t="n">
        <v>368.02</v>
      </c>
      <c r="C5598" s="1" t="n">
        <f aca="false">1/B5598</f>
        <v>0.00271724362806369</v>
      </c>
      <c r="D5598" s="1" t="n">
        <v>0.32254</v>
      </c>
      <c r="E5598" s="1" t="n">
        <f aca="false">LN(D5598)</f>
        <v>-1.13152811942977</v>
      </c>
    </row>
    <row r="5599" customFormat="false" ht="15.75" hidden="false" customHeight="false" outlineLevel="0" collapsed="false">
      <c r="A5599" s="1" t="s">
        <v>1040</v>
      </c>
      <c r="B5599" s="1" t="n">
        <v>368.65</v>
      </c>
      <c r="C5599" s="1" t="n">
        <f aca="false">1/B5599</f>
        <v>0.002712600027126</v>
      </c>
      <c r="D5599" s="1" t="n">
        <v>0.32083</v>
      </c>
      <c r="E5599" s="1" t="n">
        <f aca="false">LN(D5599)</f>
        <v>-1.13684389115267</v>
      </c>
    </row>
    <row r="5600" customFormat="false" ht="15.75" hidden="false" customHeight="false" outlineLevel="0" collapsed="false">
      <c r="A5600" s="1" t="s">
        <v>1040</v>
      </c>
      <c r="B5600" s="1" t="n">
        <v>369.28</v>
      </c>
      <c r="C5600" s="1" t="n">
        <f aca="false">1/B5600</f>
        <v>0.00270797227036395</v>
      </c>
      <c r="D5600" s="1" t="n">
        <v>0.31914</v>
      </c>
      <c r="E5600" s="1" t="n">
        <f aca="false">LN(D5600)</f>
        <v>-1.14212540099986</v>
      </c>
    </row>
    <row r="5601" customFormat="false" ht="15.75" hidden="false" customHeight="false" outlineLevel="0" collapsed="false">
      <c r="A5601" s="1" t="s">
        <v>1040</v>
      </c>
      <c r="B5601" s="1" t="n">
        <v>369.92</v>
      </c>
      <c r="C5601" s="1" t="n">
        <f aca="false">1/B5601</f>
        <v>0.00270328719723183</v>
      </c>
      <c r="D5601" s="1" t="n">
        <v>0.31746</v>
      </c>
      <c r="E5601" s="1" t="n">
        <f aca="false">LN(D5601)</f>
        <v>-1.14740345283804</v>
      </c>
    </row>
    <row r="5602" customFormat="false" ht="15.75" hidden="false" customHeight="false" outlineLevel="0" collapsed="false">
      <c r="A5602" s="1" t="s">
        <v>1040</v>
      </c>
      <c r="B5602" s="1" t="n">
        <v>370.55</v>
      </c>
      <c r="C5602" s="1" t="n">
        <f aca="false">1/B5602</f>
        <v>0.00269869113479962</v>
      </c>
      <c r="D5602" s="1" t="n">
        <v>0.31579</v>
      </c>
      <c r="E5602" s="1" t="n">
        <f aca="false">LN(D5602)</f>
        <v>-1.15267784327311</v>
      </c>
    </row>
    <row r="5603" customFormat="false" ht="15.75" hidden="false" customHeight="false" outlineLevel="0" collapsed="false">
      <c r="A5603" s="1" t="s">
        <v>1040</v>
      </c>
      <c r="B5603" s="1" t="n">
        <v>371.19</v>
      </c>
      <c r="C5603" s="1" t="n">
        <f aca="false">1/B5603</f>
        <v>0.00269403809369864</v>
      </c>
      <c r="D5603" s="1" t="n">
        <v>0.31414</v>
      </c>
      <c r="E5603" s="1" t="n">
        <f aca="false">LN(D5603)</f>
        <v>-1.15791653256725</v>
      </c>
    </row>
    <row r="5604" customFormat="false" ht="15.75" hidden="false" customHeight="false" outlineLevel="0" collapsed="false">
      <c r="A5604" s="1" t="s">
        <v>1040</v>
      </c>
      <c r="B5604" s="1" t="n">
        <v>371.82</v>
      </c>
      <c r="C5604" s="1" t="n">
        <f aca="false">1/B5604</f>
        <v>0.00268947340110806</v>
      </c>
      <c r="D5604" s="1" t="n">
        <v>0.31249</v>
      </c>
      <c r="E5604" s="1" t="n">
        <f aca="false">LN(D5604)</f>
        <v>-1.16318281031769</v>
      </c>
    </row>
    <row r="5605" customFormat="false" ht="15.75" hidden="false" customHeight="false" outlineLevel="0" collapsed="false">
      <c r="A5605" s="1" t="s">
        <v>1040</v>
      </c>
      <c r="B5605" s="1" t="n">
        <v>372.45</v>
      </c>
      <c r="C5605" s="1" t="n">
        <f aca="false">1/B5605</f>
        <v>0.00268492415089274</v>
      </c>
      <c r="D5605" s="1" t="n">
        <v>0.31086</v>
      </c>
      <c r="E5605" s="1" t="n">
        <f aca="false">LN(D5605)</f>
        <v>-1.16841262892739</v>
      </c>
    </row>
    <row r="5606" customFormat="false" ht="15.75" hidden="false" customHeight="false" outlineLevel="0" collapsed="false">
      <c r="A5606" s="1" t="s">
        <v>1040</v>
      </c>
      <c r="B5606" s="1" t="n">
        <v>373.09</v>
      </c>
      <c r="C5606" s="1" t="n">
        <f aca="false">1/B5606</f>
        <v>0.00268031842182851</v>
      </c>
      <c r="D5606" s="1" t="n">
        <v>0.30924</v>
      </c>
      <c r="E5606" s="1" t="n">
        <f aca="false">LN(D5606)</f>
        <v>-1.17363760452986</v>
      </c>
    </row>
    <row r="5607" customFormat="false" ht="15.75" hidden="false" customHeight="false" outlineLevel="0" collapsed="false">
      <c r="A5607" s="1" t="s">
        <v>1040</v>
      </c>
      <c r="B5607" s="1" t="n">
        <v>373.72</v>
      </c>
      <c r="C5607" s="1" t="n">
        <f aca="false">1/B5607</f>
        <v>0.0026758000642192</v>
      </c>
      <c r="D5607" s="1" t="n">
        <v>0.30764</v>
      </c>
      <c r="E5607" s="1" t="n">
        <f aca="false">LN(D5607)</f>
        <v>-1.17882501079328</v>
      </c>
    </row>
    <row r="5608" customFormat="false" ht="15.75" hidden="false" customHeight="false" outlineLevel="0" collapsed="false">
      <c r="A5608" s="1" t="s">
        <v>1040</v>
      </c>
      <c r="B5608" s="1" t="n">
        <v>374.36</v>
      </c>
      <c r="C5608" s="1" t="n">
        <f aca="false">1/B5608</f>
        <v>0.00267122555828614</v>
      </c>
      <c r="D5608" s="1" t="n">
        <v>0.30604</v>
      </c>
      <c r="E5608" s="1" t="n">
        <f aca="false">LN(D5608)</f>
        <v>-1.18403946661849</v>
      </c>
    </row>
    <row r="5609" customFormat="false" ht="15.75" hidden="false" customHeight="false" outlineLevel="0" collapsed="false">
      <c r="A5609" s="1" t="s">
        <v>1040</v>
      </c>
      <c r="B5609" s="1" t="n">
        <v>374.99</v>
      </c>
      <c r="C5609" s="1" t="n">
        <f aca="false">1/B5609</f>
        <v>0.00266673777967412</v>
      </c>
      <c r="D5609" s="1" t="n">
        <v>0.30446</v>
      </c>
      <c r="E5609" s="1" t="n">
        <f aca="false">LN(D5609)</f>
        <v>-1.18921556335103</v>
      </c>
    </row>
    <row r="5610" customFormat="false" ht="15.75" hidden="false" customHeight="false" outlineLevel="0" collapsed="false">
      <c r="A5610" s="1" t="s">
        <v>1040</v>
      </c>
      <c r="B5610" s="1" t="n">
        <v>375.62</v>
      </c>
      <c r="C5610" s="1" t="n">
        <f aca="false">1/B5610</f>
        <v>0.00266226505510889</v>
      </c>
      <c r="D5610" s="1" t="n">
        <v>0.30289</v>
      </c>
      <c r="E5610" s="1" t="n">
        <f aca="false">LN(D5610)</f>
        <v>-1.19438557569003</v>
      </c>
    </row>
    <row r="5611" customFormat="false" ht="15.75" hidden="false" customHeight="false" outlineLevel="0" collapsed="false">
      <c r="A5611" s="1" t="s">
        <v>1040</v>
      </c>
      <c r="B5611" s="1" t="n">
        <v>376.26</v>
      </c>
      <c r="C5611" s="1" t="n">
        <f aca="false">1/B5611</f>
        <v>0.00265773667145059</v>
      </c>
      <c r="D5611" s="1" t="n">
        <v>0.30133</v>
      </c>
      <c r="E5611" s="1" t="n">
        <f aca="false">LN(D5611)</f>
        <v>-1.19954926926616</v>
      </c>
    </row>
    <row r="5612" customFormat="false" ht="15.75" hidden="false" customHeight="false" outlineLevel="0" collapsed="false">
      <c r="A5612" s="1" t="s">
        <v>1040</v>
      </c>
      <c r="B5612" s="1" t="n">
        <v>376.89</v>
      </c>
      <c r="C5612" s="1" t="n">
        <f aca="false">1/B5612</f>
        <v>0.00265329406458118</v>
      </c>
      <c r="D5612" s="1" t="n">
        <v>0.29978</v>
      </c>
      <c r="E5612" s="1" t="n">
        <f aca="false">LN(D5612)</f>
        <v>-1.20470640667969</v>
      </c>
    </row>
    <row r="5613" customFormat="false" ht="15.75" hidden="false" customHeight="false" outlineLevel="0" collapsed="false">
      <c r="A5613" s="1" t="s">
        <v>1040</v>
      </c>
      <c r="B5613" s="1" t="n">
        <v>377.52</v>
      </c>
      <c r="C5613" s="1" t="n">
        <f aca="false">1/B5613</f>
        <v>0.00264886628522992</v>
      </c>
      <c r="D5613" s="1" t="n">
        <v>0.29824</v>
      </c>
      <c r="E5613" s="1" t="n">
        <f aca="false">LN(D5613)</f>
        <v>-1.20985674748491</v>
      </c>
    </row>
    <row r="5614" customFormat="false" ht="15.75" hidden="false" customHeight="false" outlineLevel="0" collapsed="false">
      <c r="A5614" s="1" t="s">
        <v>1040</v>
      </c>
      <c r="B5614" s="1" t="n">
        <v>378.16</v>
      </c>
      <c r="C5614" s="1" t="n">
        <f aca="false">1/B5614</f>
        <v>0.00264438332980749</v>
      </c>
      <c r="D5614" s="1" t="n">
        <v>0.29671</v>
      </c>
      <c r="E5614" s="1" t="n">
        <f aca="false">LN(D5614)</f>
        <v>-1.21500004817514</v>
      </c>
    </row>
    <row r="5615" customFormat="false" ht="15.75" hidden="false" customHeight="false" outlineLevel="0" collapsed="false">
      <c r="A5615" s="1" t="s">
        <v>1040</v>
      </c>
      <c r="B5615" s="1" t="n">
        <v>378.79</v>
      </c>
      <c r="C5615" s="1" t="n">
        <f aca="false">1/B5615</f>
        <v>0.00263998521608279</v>
      </c>
      <c r="D5615" s="1" t="n">
        <v>0.29519</v>
      </c>
      <c r="E5615" s="1" t="n">
        <f aca="false">LN(D5615)</f>
        <v>-1.22013606216836</v>
      </c>
    </row>
    <row r="5616" customFormat="false" ht="15.75" hidden="false" customHeight="false" outlineLevel="0" collapsed="false">
      <c r="A5616" s="1" t="s">
        <v>1040</v>
      </c>
      <c r="B5616" s="1" t="n">
        <v>379.43</v>
      </c>
      <c r="C5616" s="1" t="n">
        <f aca="false">1/B5616</f>
        <v>0.00263553224573703</v>
      </c>
      <c r="D5616" s="1" t="n">
        <v>0.29369</v>
      </c>
      <c r="E5616" s="1" t="n">
        <f aca="false">LN(D5616)</f>
        <v>-1.22523048970588</v>
      </c>
    </row>
    <row r="5617" customFormat="false" ht="15.75" hidden="false" customHeight="false" outlineLevel="0" collapsed="false">
      <c r="A5617" s="1" t="s">
        <v>1040</v>
      </c>
      <c r="B5617" s="1" t="n">
        <v>380.06</v>
      </c>
      <c r="C5617" s="1" t="n">
        <f aca="false">1/B5617</f>
        <v>0.00263116350049992</v>
      </c>
      <c r="D5617" s="1" t="n">
        <v>0.29219</v>
      </c>
      <c r="E5617" s="1" t="n">
        <f aca="false">LN(D5617)</f>
        <v>-1.230351003386</v>
      </c>
    </row>
    <row r="5618" customFormat="false" ht="15.75" hidden="false" customHeight="false" outlineLevel="0" collapsed="false">
      <c r="A5618" s="1" t="s">
        <v>1040</v>
      </c>
      <c r="B5618" s="1" t="n">
        <v>380.69</v>
      </c>
      <c r="C5618" s="1" t="n">
        <f aca="false">1/B5618</f>
        <v>0.00262680921484673</v>
      </c>
      <c r="D5618" s="1" t="n">
        <v>0.29071</v>
      </c>
      <c r="E5618" s="1" t="n">
        <f aca="false">LN(D5618)</f>
        <v>-1.23542907228416</v>
      </c>
    </row>
    <row r="5619" customFormat="false" ht="15.75" hidden="false" customHeight="false" outlineLevel="0" collapsed="false">
      <c r="A5619" s="1" t="s">
        <v>1040</v>
      </c>
      <c r="B5619" s="1" t="n">
        <v>381.33</v>
      </c>
      <c r="C5619" s="1" t="n">
        <f aca="false">1/B5619</f>
        <v>0.00262240054545931</v>
      </c>
      <c r="D5619" s="1" t="n">
        <v>0.28923</v>
      </c>
      <c r="E5619" s="1" t="n">
        <f aca="false">LN(D5619)</f>
        <v>-1.24053305963774</v>
      </c>
    </row>
    <row r="5620" customFormat="false" ht="15.75" hidden="false" customHeight="false" outlineLevel="0" collapsed="false">
      <c r="A5620" s="1" t="s">
        <v>1040</v>
      </c>
      <c r="B5620" s="1" t="n">
        <v>381.96</v>
      </c>
      <c r="C5620" s="1" t="n">
        <f aca="false">1/B5620</f>
        <v>0.00261807519111949</v>
      </c>
      <c r="D5620" s="1" t="n">
        <v>0.28777</v>
      </c>
      <c r="E5620" s="1" t="n">
        <f aca="false">LN(D5620)</f>
        <v>-1.24559372901704</v>
      </c>
    </row>
    <row r="5621" customFormat="false" ht="15.75" hidden="false" customHeight="false" outlineLevel="0" collapsed="false">
      <c r="A5621" s="1" t="s">
        <v>1040</v>
      </c>
      <c r="B5621" s="1" t="n">
        <v>382.6</v>
      </c>
      <c r="C5621" s="1" t="n">
        <f aca="false">1/B5621</f>
        <v>0.00261369576581286</v>
      </c>
      <c r="D5621" s="1" t="n">
        <v>0.28631</v>
      </c>
      <c r="E5621" s="1" t="n">
        <f aca="false">LN(D5621)</f>
        <v>-1.25068013909126</v>
      </c>
    </row>
    <row r="5622" customFormat="false" ht="15.75" hidden="false" customHeight="false" outlineLevel="0" collapsed="false">
      <c r="A5622" s="1" t="s">
        <v>1040</v>
      </c>
      <c r="B5622" s="1" t="n">
        <v>383.23</v>
      </c>
      <c r="C5622" s="1" t="n">
        <f aca="false">1/B5622</f>
        <v>0.00260939905539754</v>
      </c>
      <c r="D5622" s="1" t="n">
        <v>0.28487</v>
      </c>
      <c r="E5622" s="1" t="n">
        <f aca="false">LN(D5622)</f>
        <v>-1.25572234312802</v>
      </c>
    </row>
    <row r="5623" customFormat="false" ht="15.75" hidden="false" customHeight="false" outlineLevel="0" collapsed="false">
      <c r="A5623" s="1" t="s">
        <v>1040</v>
      </c>
      <c r="B5623" s="1" t="n">
        <v>383.86</v>
      </c>
      <c r="C5623" s="1" t="n">
        <f aca="false">1/B5623</f>
        <v>0.00260511644870526</v>
      </c>
      <c r="D5623" s="1" t="n">
        <v>0.28343</v>
      </c>
      <c r="E5623" s="1" t="n">
        <f aca="false">LN(D5623)</f>
        <v>-1.26079009988275</v>
      </c>
    </row>
    <row r="5624" customFormat="false" ht="15.75" hidden="false" customHeight="false" outlineLevel="0" collapsed="false">
      <c r="A5624" s="1" t="s">
        <v>1040</v>
      </c>
      <c r="B5624" s="1" t="n">
        <v>384.5</v>
      </c>
      <c r="C5624" s="1" t="n">
        <f aca="false">1/B5624</f>
        <v>0.00260078023407022</v>
      </c>
      <c r="D5624" s="1" t="n">
        <v>0.28201</v>
      </c>
      <c r="E5624" s="1" t="n">
        <f aca="false">LN(D5624)</f>
        <v>-1.26581274767984</v>
      </c>
    </row>
    <row r="5625" customFormat="false" ht="15.75" hidden="false" customHeight="false" outlineLevel="0" collapsed="false">
      <c r="A5625" s="1" t="s">
        <v>1040</v>
      </c>
      <c r="B5625" s="1" t="n">
        <v>385.13</v>
      </c>
      <c r="C5625" s="1" t="n">
        <f aca="false">1/B5625</f>
        <v>0.00259652584841482</v>
      </c>
      <c r="D5625" s="1" t="n">
        <v>0.28059</v>
      </c>
      <c r="E5625" s="1" t="n">
        <f aca="false">LN(D5625)</f>
        <v>-1.27086074986757</v>
      </c>
    </row>
    <row r="5626" customFormat="false" ht="15.75" hidden="false" customHeight="false" outlineLevel="0" collapsed="false">
      <c r="A5626" s="1" t="s">
        <v>1040</v>
      </c>
      <c r="B5626" s="1" t="n">
        <v>385.76</v>
      </c>
      <c r="C5626" s="1" t="n">
        <f aca="false">1/B5626</f>
        <v>0.00259228535877229</v>
      </c>
      <c r="D5626" s="1" t="n">
        <v>0.27919</v>
      </c>
      <c r="E5626" s="1" t="n">
        <f aca="false">LN(D5626)</f>
        <v>-1.27586272535426</v>
      </c>
    </row>
    <row r="5627" customFormat="false" ht="15.75" hidden="false" customHeight="false" outlineLevel="0" collapsed="false">
      <c r="A5627" s="1" t="s">
        <v>1040</v>
      </c>
      <c r="B5627" s="1" t="n">
        <v>386.4</v>
      </c>
      <c r="C5627" s="1" t="n">
        <f aca="false">1/B5627</f>
        <v>0.0025879917184265</v>
      </c>
      <c r="D5627" s="1" t="n">
        <v>0.27779</v>
      </c>
      <c r="E5627" s="1" t="n">
        <f aca="false">LN(D5627)</f>
        <v>-1.28088984643004</v>
      </c>
    </row>
    <row r="5628" customFormat="false" ht="15.75" hidden="false" customHeight="false" outlineLevel="0" collapsed="false">
      <c r="A5628" s="1" t="s">
        <v>1040</v>
      </c>
      <c r="B5628" s="1" t="n">
        <v>387.03</v>
      </c>
      <c r="C5628" s="1" t="n">
        <f aca="false">1/B5628</f>
        <v>0.00258377903521691</v>
      </c>
      <c r="D5628" s="1" t="n">
        <v>0.27641</v>
      </c>
      <c r="E5628" s="1" t="n">
        <f aca="false">LN(D5628)</f>
        <v>-1.28587000829301</v>
      </c>
    </row>
    <row r="5629" customFormat="false" ht="15.75" hidden="false" customHeight="false" outlineLevel="0" collapsed="false">
      <c r="A5629" s="1" t="s">
        <v>1040</v>
      </c>
      <c r="B5629" s="1" t="n">
        <v>387.67</v>
      </c>
      <c r="C5629" s="1" t="n">
        <f aca="false">1/B5629</f>
        <v>0.00257951350375319</v>
      </c>
      <c r="D5629" s="1" t="n">
        <v>0.27503</v>
      </c>
      <c r="E5629" s="1" t="n">
        <f aca="false">LN(D5629)</f>
        <v>-1.29087509635646</v>
      </c>
    </row>
    <row r="5630" customFormat="false" ht="15.75" hidden="false" customHeight="false" outlineLevel="0" collapsed="false">
      <c r="A5630" s="1" t="s">
        <v>1040</v>
      </c>
      <c r="B5630" s="1" t="n">
        <v>388.3</v>
      </c>
      <c r="C5630" s="1" t="n">
        <f aca="false">1/B5630</f>
        <v>0.00257532835436518</v>
      </c>
      <c r="D5630" s="1" t="n">
        <v>0.27366</v>
      </c>
      <c r="E5630" s="1" t="n">
        <f aca="false">LN(D5630)</f>
        <v>-1.29586881903047</v>
      </c>
    </row>
    <row r="5631" customFormat="false" ht="15.75" hidden="false" customHeight="false" outlineLevel="0" collapsed="false">
      <c r="A5631" s="1" t="s">
        <v>1040</v>
      </c>
      <c r="B5631" s="1" t="n">
        <v>388.93</v>
      </c>
      <c r="C5631" s="1" t="n">
        <f aca="false">1/B5631</f>
        <v>0.00257115676342787</v>
      </c>
      <c r="D5631" s="1" t="n">
        <v>0.2723</v>
      </c>
      <c r="E5631" s="1" t="n">
        <f aca="false">LN(D5631)</f>
        <v>-1.30085087930242</v>
      </c>
    </row>
    <row r="5632" customFormat="false" ht="15.75" hidden="false" customHeight="false" outlineLevel="0" collapsed="false">
      <c r="A5632" s="1" t="s">
        <v>1040</v>
      </c>
      <c r="B5632" s="1" t="n">
        <v>389.57</v>
      </c>
      <c r="C5632" s="1" t="n">
        <f aca="false">1/B5632</f>
        <v>0.0025669327720307</v>
      </c>
      <c r="D5632" s="1" t="n">
        <v>0.27095</v>
      </c>
      <c r="E5632" s="1" t="n">
        <f aca="false">LN(D5632)</f>
        <v>-1.30582097697001</v>
      </c>
    </row>
    <row r="5633" customFormat="false" ht="15.75" hidden="false" customHeight="false" outlineLevel="0" collapsed="false">
      <c r="A5633" s="1" t="s">
        <v>1040</v>
      </c>
      <c r="B5633" s="1" t="n">
        <v>390.2</v>
      </c>
      <c r="C5633" s="1" t="n">
        <f aca="false">1/B5633</f>
        <v>0.00256278831368529</v>
      </c>
      <c r="D5633" s="1" t="n">
        <v>0.26961</v>
      </c>
      <c r="E5633" s="1" t="n">
        <f aca="false">LN(D5633)</f>
        <v>-1.31077880864375</v>
      </c>
    </row>
    <row r="5634" customFormat="false" ht="15.75" hidden="false" customHeight="false" outlineLevel="0" collapsed="false">
      <c r="A5634" s="1" t="s">
        <v>1040</v>
      </c>
      <c r="B5634" s="1" t="n">
        <v>390.83</v>
      </c>
      <c r="C5634" s="1" t="n">
        <f aca="false">1/B5634</f>
        <v>0.00255865721669268</v>
      </c>
      <c r="D5634" s="1" t="n">
        <v>0.26827</v>
      </c>
      <c r="E5634" s="1" t="n">
        <f aca="false">LN(D5634)</f>
        <v>-1.31576134293465</v>
      </c>
    </row>
    <row r="5635" customFormat="false" ht="15.75" hidden="false" customHeight="false" outlineLevel="0" collapsed="false">
      <c r="A5635" s="1" t="s">
        <v>1040</v>
      </c>
      <c r="B5635" s="1" t="n">
        <v>391.47</v>
      </c>
      <c r="C5635" s="1" t="n">
        <f aca="false">1/B5635</f>
        <v>0.00255447416149386</v>
      </c>
      <c r="D5635" s="1" t="n">
        <v>0.26695</v>
      </c>
      <c r="E5635" s="1" t="n">
        <f aca="false">LN(D5635)</f>
        <v>-1.32069390403594</v>
      </c>
    </row>
    <row r="5636" customFormat="false" ht="15.75" hidden="false" customHeight="false" outlineLevel="0" collapsed="false">
      <c r="A5636" s="1" t="s">
        <v>1040</v>
      </c>
      <c r="B5636" s="1" t="n">
        <v>392.1</v>
      </c>
      <c r="C5636" s="1" t="n">
        <f aca="false">1/B5636</f>
        <v>0.00255036980362152</v>
      </c>
      <c r="D5636" s="1" t="n">
        <v>0.26563</v>
      </c>
      <c r="E5636" s="1" t="n">
        <f aca="false">LN(D5636)</f>
        <v>-1.3256509159512</v>
      </c>
    </row>
    <row r="5637" customFormat="false" ht="15.75" hidden="false" customHeight="false" outlineLevel="0" collapsed="false">
      <c r="A5637" s="1" t="s">
        <v>1040</v>
      </c>
      <c r="B5637" s="1" t="n">
        <v>392.74</v>
      </c>
      <c r="C5637" s="1" t="n">
        <f aca="false">1/B5637</f>
        <v>0.00254621378010898</v>
      </c>
      <c r="D5637" s="1" t="n">
        <v>0.26432</v>
      </c>
      <c r="E5637" s="1" t="n">
        <f aca="false">LN(D5637)</f>
        <v>-1.33059478864952</v>
      </c>
    </row>
    <row r="5638" customFormat="false" ht="15.75" hidden="false" customHeight="false" outlineLevel="0" collapsed="false">
      <c r="A5638" s="1" t="s">
        <v>1040</v>
      </c>
      <c r="B5638" s="1" t="n">
        <v>393.37</v>
      </c>
      <c r="C5638" s="1" t="n">
        <f aca="false">1/B5638</f>
        <v>0.00254213590258535</v>
      </c>
      <c r="D5638" s="1" t="n">
        <v>0.26303</v>
      </c>
      <c r="E5638" s="1" t="n">
        <f aca="false">LN(D5638)</f>
        <v>-1.33548718486862</v>
      </c>
    </row>
    <row r="5639" customFormat="false" ht="15.75" hidden="false" customHeight="false" outlineLevel="0" collapsed="false">
      <c r="A5639" s="1" t="s">
        <v>1040</v>
      </c>
      <c r="B5639" s="1" t="n">
        <v>394</v>
      </c>
      <c r="C5639" s="1" t="n">
        <f aca="false">1/B5639</f>
        <v>0.00253807106598985</v>
      </c>
      <c r="D5639" s="1" t="n">
        <v>0.26173</v>
      </c>
      <c r="E5639" s="1" t="n">
        <f aca="false">LN(D5639)</f>
        <v>-1.3404418409378</v>
      </c>
    </row>
    <row r="5640" customFormat="false" ht="15.75" hidden="false" customHeight="false" outlineLevel="0" collapsed="false">
      <c r="A5640" s="1" t="s">
        <v>1040</v>
      </c>
      <c r="B5640" s="1" t="n">
        <v>394.64</v>
      </c>
      <c r="C5640" s="1" t="n">
        <f aca="false">1/B5640</f>
        <v>0.00253395499695925</v>
      </c>
      <c r="D5640" s="1" t="n">
        <v>0.26045</v>
      </c>
      <c r="E5640" s="1" t="n">
        <f aca="false">LN(D5640)</f>
        <v>-1.34534437479094</v>
      </c>
    </row>
    <row r="5641" customFormat="false" ht="15.75" hidden="false" customHeight="false" outlineLevel="0" collapsed="false">
      <c r="A5641" s="1" t="s">
        <v>1040</v>
      </c>
      <c r="B5641" s="1" t="n">
        <v>395.27</v>
      </c>
      <c r="C5641" s="1" t="n">
        <f aca="false">1/B5641</f>
        <v>0.0025299162597718</v>
      </c>
      <c r="D5641" s="1" t="n">
        <v>0.25918</v>
      </c>
      <c r="E5641" s="1" t="n">
        <f aca="false">LN(D5641)</f>
        <v>-1.35023247797487</v>
      </c>
    </row>
    <row r="5642" customFormat="false" ht="15.75" hidden="false" customHeight="false" outlineLevel="0" collapsed="false">
      <c r="A5642" s="1" t="s">
        <v>1040</v>
      </c>
      <c r="B5642" s="1" t="n">
        <v>395.91</v>
      </c>
      <c r="C5642" s="1" t="n">
        <f aca="false">1/B5642</f>
        <v>0.00252582657674724</v>
      </c>
      <c r="D5642" s="1" t="n">
        <v>0.25791</v>
      </c>
      <c r="E5642" s="1" t="n">
        <f aca="false">LN(D5642)</f>
        <v>-1.35514459212767</v>
      </c>
    </row>
    <row r="5643" customFormat="false" ht="15.75" hidden="false" customHeight="false" outlineLevel="0" collapsed="false">
      <c r="A5643" s="1" t="s">
        <v>1040</v>
      </c>
      <c r="B5643" s="1" t="n">
        <v>396.54</v>
      </c>
      <c r="C5643" s="1" t="n">
        <f aca="false">1/B5643</f>
        <v>0.0025218136884047</v>
      </c>
      <c r="D5643" s="1" t="n">
        <v>0.25665</v>
      </c>
      <c r="E5643" s="1" t="n">
        <f aca="false">LN(D5643)</f>
        <v>-1.36004198997583</v>
      </c>
    </row>
    <row r="5644" customFormat="false" ht="15.75" hidden="false" customHeight="false" outlineLevel="0" collapsed="false">
      <c r="A5644" s="1" t="s">
        <v>1040</v>
      </c>
      <c r="B5644" s="1" t="n">
        <v>397.17</v>
      </c>
      <c r="C5644" s="1" t="n">
        <f aca="false">1/B5644</f>
        <v>0.00251781353072991</v>
      </c>
      <c r="D5644" s="1" t="n">
        <v>0.2554</v>
      </c>
      <c r="E5644" s="1" t="n">
        <f aca="false">LN(D5644)</f>
        <v>-1.3649243353837</v>
      </c>
    </row>
    <row r="5645" customFormat="false" ht="15.75" hidden="false" customHeight="false" outlineLevel="0" collapsed="false">
      <c r="A5645" s="1" t="s">
        <v>1040</v>
      </c>
      <c r="B5645" s="1" t="n">
        <v>397.81</v>
      </c>
      <c r="C5645" s="1" t="n">
        <f aca="false">1/B5645</f>
        <v>0.00251376285161258</v>
      </c>
      <c r="D5645" s="1" t="n">
        <v>0.25416</v>
      </c>
      <c r="E5645" s="1" t="n">
        <f aca="false">LN(D5645)</f>
        <v>-1.36979128902088</v>
      </c>
    </row>
    <row r="5646" customFormat="false" ht="15.75" hidden="false" customHeight="false" outlineLevel="0" collapsed="false">
      <c r="A5646" s="1" t="s">
        <v>1040</v>
      </c>
      <c r="B5646" s="1" t="n">
        <v>398.44</v>
      </c>
      <c r="C5646" s="1" t="n">
        <f aca="false">1/B5646</f>
        <v>0.00250978817387812</v>
      </c>
      <c r="D5646" s="1" t="n">
        <v>0.25292</v>
      </c>
      <c r="E5646" s="1" t="n">
        <f aca="false">LN(D5646)</f>
        <v>-1.37468204579172</v>
      </c>
    </row>
    <row r="5647" customFormat="false" ht="15.75" hidden="false" customHeight="false" outlineLevel="0" collapsed="false">
      <c r="A5647" s="1" t="s">
        <v>1040</v>
      </c>
      <c r="B5647" s="1" t="n">
        <v>399.07</v>
      </c>
      <c r="C5647" s="1" t="n">
        <f aca="false">1/B5647</f>
        <v>0.00250582604555592</v>
      </c>
      <c r="D5647" s="1" t="n">
        <v>0.25169</v>
      </c>
      <c r="E5647" s="1" t="n">
        <f aca="false">LN(D5647)</f>
        <v>-1.37955710746723</v>
      </c>
    </row>
    <row r="5648" customFormat="false" ht="15.75" hidden="false" customHeight="false" outlineLevel="0" collapsed="false">
      <c r="A5648" s="1" t="s">
        <v>1040</v>
      </c>
      <c r="B5648" s="1" t="n">
        <v>399.71</v>
      </c>
      <c r="C5648" s="1" t="n">
        <f aca="false">1/B5648</f>
        <v>0.00250181381501589</v>
      </c>
      <c r="D5648" s="1" t="n">
        <v>0.25047</v>
      </c>
      <c r="E5648" s="1" t="n">
        <f aca="false">LN(D5648)</f>
        <v>-1.38441612610812</v>
      </c>
    </row>
    <row r="5649" customFormat="false" ht="15.75" hidden="false" customHeight="false" outlineLevel="0" collapsed="false">
      <c r="A5649" s="1" t="s">
        <v>1040</v>
      </c>
      <c r="B5649" s="1" t="n">
        <v>400.34</v>
      </c>
      <c r="C5649" s="1" t="n">
        <f aca="false">1/B5649</f>
        <v>0.00249787680471599</v>
      </c>
      <c r="D5649" s="1" t="n">
        <v>0.24926</v>
      </c>
      <c r="E5649" s="1" t="n">
        <f aca="false">LN(D5649)</f>
        <v>-1.38925875058391</v>
      </c>
    </row>
    <row r="5650" customFormat="false" ht="15.75" hidden="false" customHeight="false" outlineLevel="0" collapsed="false">
      <c r="A5650" s="1" t="s">
        <v>1040</v>
      </c>
      <c r="B5650" s="1" t="n">
        <v>400.98</v>
      </c>
      <c r="C5650" s="1" t="n">
        <f aca="false">1/B5650</f>
        <v>0.00249388996957454</v>
      </c>
      <c r="D5650" s="1" t="n">
        <v>0.24805</v>
      </c>
      <c r="E5650" s="1" t="n">
        <f aca="false">LN(D5650)</f>
        <v>-1.39412494023508</v>
      </c>
    </row>
    <row r="5651" customFormat="false" ht="15.75" hidden="false" customHeight="false" outlineLevel="0" collapsed="false">
      <c r="A5651" s="1" t="s">
        <v>1040</v>
      </c>
      <c r="B5651" s="1" t="n">
        <v>401.61</v>
      </c>
      <c r="C5651" s="1" t="n">
        <f aca="false">1/B5651</f>
        <v>0.00248997783919723</v>
      </c>
      <c r="D5651" s="1" t="n">
        <v>0.24686</v>
      </c>
      <c r="E5651" s="1" t="n">
        <f aca="false">LN(D5651)</f>
        <v>-1.39893390466635</v>
      </c>
    </row>
    <row r="5652" customFormat="false" ht="15.75" hidden="false" customHeight="false" outlineLevel="0" collapsed="false">
      <c r="A5652" s="1" t="s">
        <v>1040</v>
      </c>
      <c r="B5652" s="1" t="n">
        <v>402.24</v>
      </c>
      <c r="C5652" s="1" t="n">
        <f aca="false">1/B5652</f>
        <v>0.00248607796340493</v>
      </c>
      <c r="D5652" s="1" t="n">
        <v>0.24566</v>
      </c>
      <c r="E5652" s="1" t="n">
        <f aca="false">LN(D5652)</f>
        <v>-1.40380681287119</v>
      </c>
    </row>
    <row r="5653" customFormat="false" ht="15.75" hidden="false" customHeight="false" outlineLevel="0" collapsed="false">
      <c r="A5653" s="1" t="s">
        <v>1040</v>
      </c>
      <c r="B5653" s="1" t="n">
        <v>402.88</v>
      </c>
      <c r="C5653" s="1" t="n">
        <f aca="false">1/B5653</f>
        <v>0.00248212867355044</v>
      </c>
      <c r="D5653" s="1" t="n">
        <v>0.24448</v>
      </c>
      <c r="E5653" s="1" t="n">
        <f aca="false">LN(D5653)</f>
        <v>-1.40862177300398</v>
      </c>
    </row>
    <row r="5654" customFormat="false" ht="15.75" hidden="false" customHeight="false" outlineLevel="0" collapsed="false">
      <c r="A5654" s="1" t="s">
        <v>1040</v>
      </c>
      <c r="B5654" s="1" t="n">
        <v>403.51</v>
      </c>
      <c r="C5654" s="1" t="n">
        <f aca="false">1/B5654</f>
        <v>0.00247825332705509</v>
      </c>
      <c r="D5654" s="1" t="n">
        <v>0.2433</v>
      </c>
      <c r="E5654" s="1" t="n">
        <f aca="false">LN(D5654)</f>
        <v>-1.41346002919266</v>
      </c>
    </row>
    <row r="5655" customFormat="false" ht="15.75" hidden="false" customHeight="false" outlineLevel="0" collapsed="false">
      <c r="A5655" s="1" t="s">
        <v>1040</v>
      </c>
      <c r="B5655" s="1" t="n">
        <v>404.15</v>
      </c>
      <c r="C5655" s="1" t="n">
        <f aca="false">1/B5655</f>
        <v>0.00247432883830261</v>
      </c>
      <c r="D5655" s="1" t="n">
        <v>0.24213</v>
      </c>
      <c r="E5655" s="1" t="n">
        <f aca="false">LN(D5655)</f>
        <v>-1.41828050697775</v>
      </c>
    </row>
    <row r="5656" customFormat="false" ht="15.75" hidden="false" customHeight="false" outlineLevel="0" collapsed="false">
      <c r="A5656" s="1" t="s">
        <v>1040</v>
      </c>
      <c r="B5656" s="1" t="n">
        <v>404.78</v>
      </c>
      <c r="C5656" s="1" t="n">
        <f aca="false">1/B5656</f>
        <v>0.00247047779040466</v>
      </c>
      <c r="D5656" s="1" t="n">
        <v>0.24097</v>
      </c>
      <c r="E5656" s="1" t="n">
        <f aca="false">LN(D5656)</f>
        <v>-1.42308283456773</v>
      </c>
    </row>
    <row r="5657" customFormat="false" ht="15.75" hidden="false" customHeight="false" outlineLevel="0" collapsed="false">
      <c r="A5657" s="1" t="s">
        <v>1040</v>
      </c>
      <c r="B5657" s="1" t="n">
        <v>405.41</v>
      </c>
      <c r="C5657" s="1" t="n">
        <f aca="false">1/B5657</f>
        <v>0.00246663871142794</v>
      </c>
      <c r="D5657" s="1" t="n">
        <v>0.23981</v>
      </c>
      <c r="E5657" s="1" t="n">
        <f aca="false">LN(D5657)</f>
        <v>-1.42790833584036</v>
      </c>
    </row>
    <row r="5658" customFormat="false" ht="15.75" hidden="false" customHeight="false" outlineLevel="0" collapsed="false">
      <c r="A5658" s="1" t="s">
        <v>1040</v>
      </c>
      <c r="B5658" s="1" t="n">
        <v>406.05</v>
      </c>
      <c r="C5658" s="1" t="n">
        <f aca="false">1/B5658</f>
        <v>0.0024627508927472</v>
      </c>
      <c r="D5658" s="1" t="n">
        <v>0.23866</v>
      </c>
      <c r="E5658" s="1" t="n">
        <f aca="false">LN(D5658)</f>
        <v>-1.43271533404063</v>
      </c>
    </row>
    <row r="5659" customFormat="false" ht="15.75" hidden="false" customHeight="false" outlineLevel="0" collapsed="false">
      <c r="A5659" s="1" t="s">
        <v>1040</v>
      </c>
      <c r="B5659" s="1" t="n">
        <v>406.68</v>
      </c>
      <c r="C5659" s="1" t="n">
        <f aca="false">1/B5659</f>
        <v>0.00245893577259762</v>
      </c>
      <c r="D5659" s="1" t="n">
        <v>0.23752</v>
      </c>
      <c r="E5659" s="1" t="n">
        <f aca="false">LN(D5659)</f>
        <v>-1.43750344852663</v>
      </c>
    </row>
    <row r="5660" customFormat="false" ht="15.75" hidden="false" customHeight="false" outlineLevel="0" collapsed="false">
      <c r="A5660" s="1" t="s">
        <v>1040</v>
      </c>
      <c r="B5660" s="1" t="n">
        <v>407.31</v>
      </c>
      <c r="C5660" s="1" t="n">
        <f aca="false">1/B5660</f>
        <v>0.00245513245439591</v>
      </c>
      <c r="D5660" s="1" t="n">
        <v>0.23639</v>
      </c>
      <c r="E5660" s="1" t="n">
        <f aca="false">LN(D5660)</f>
        <v>-1.44227229552935</v>
      </c>
    </row>
    <row r="5661" customFormat="false" ht="15.75" hidden="false" customHeight="false" outlineLevel="0" collapsed="false">
      <c r="A5661" s="1" t="s">
        <v>1040</v>
      </c>
      <c r="B5661" s="1" t="n">
        <v>407.95</v>
      </c>
      <c r="C5661" s="1" t="n">
        <f aca="false">1/B5661</f>
        <v>0.00245128079421498</v>
      </c>
      <c r="D5661" s="1" t="n">
        <v>0.23526</v>
      </c>
      <c r="E5661" s="1" t="n">
        <f aca="false">LN(D5661)</f>
        <v>-1.44706399344984</v>
      </c>
    </row>
    <row r="5662" customFormat="false" ht="15.75" hidden="false" customHeight="false" outlineLevel="0" collapsed="false">
      <c r="A5662" s="1" t="s">
        <v>1040</v>
      </c>
      <c r="B5662" s="1" t="n">
        <v>408.58</v>
      </c>
      <c r="C5662" s="1" t="n">
        <f aca="false">1/B5662</f>
        <v>0.0024475011013755</v>
      </c>
      <c r="D5662" s="1" t="n">
        <v>0.23413</v>
      </c>
      <c r="E5662" s="1" t="n">
        <f aca="false">LN(D5662)</f>
        <v>-1.45187876233274</v>
      </c>
    </row>
    <row r="5663" customFormat="false" ht="15.75" hidden="false" customHeight="false" outlineLevel="0" collapsed="false">
      <c r="A5663" s="1" t="s">
        <v>1040</v>
      </c>
      <c r="B5663" s="1" t="n">
        <v>409.22</v>
      </c>
      <c r="C5663" s="1" t="n">
        <f aca="false">1/B5663</f>
        <v>0.00244367332974928</v>
      </c>
      <c r="D5663" s="1" t="n">
        <v>0.23302</v>
      </c>
      <c r="E5663" s="1" t="n">
        <f aca="false">LN(D5663)</f>
        <v>-1.45663099219034</v>
      </c>
    </row>
    <row r="5664" customFormat="false" ht="15.75" hidden="false" customHeight="false" outlineLevel="0" collapsed="false">
      <c r="A5664" s="1" t="s">
        <v>1040</v>
      </c>
      <c r="B5664" s="1" t="n">
        <v>409.85</v>
      </c>
      <c r="C5664" s="1" t="n">
        <f aca="false">1/B5664</f>
        <v>0.00243991704282054</v>
      </c>
      <c r="D5664" s="1" t="n">
        <v>0.23191</v>
      </c>
      <c r="E5664" s="1" t="n">
        <f aca="false">LN(D5664)</f>
        <v>-1.46140591361502</v>
      </c>
    </row>
    <row r="5665" customFormat="false" ht="15.75" hidden="false" customHeight="false" outlineLevel="0" collapsed="false">
      <c r="A5665" s="1" t="s">
        <v>1040</v>
      </c>
      <c r="B5665" s="1" t="n">
        <v>410.48</v>
      </c>
      <c r="C5665" s="1" t="n">
        <f aca="false">1/B5665</f>
        <v>0.00243617228610407</v>
      </c>
      <c r="D5665" s="1" t="n">
        <v>0.2308</v>
      </c>
      <c r="E5665" s="1" t="n">
        <f aca="false">LN(D5665)</f>
        <v>-1.46620374434819</v>
      </c>
    </row>
    <row r="5666" customFormat="false" ht="15.75" hidden="false" customHeight="false" outlineLevel="0" collapsed="false">
      <c r="A5666" s="1" t="s">
        <v>1040</v>
      </c>
      <c r="B5666" s="1" t="n">
        <v>411.12</v>
      </c>
      <c r="C5666" s="1" t="n">
        <f aca="false">1/B5666</f>
        <v>0.00243237984043588</v>
      </c>
      <c r="D5666" s="1" t="n">
        <v>0.2297</v>
      </c>
      <c r="E5666" s="1" t="n">
        <f aca="false">LN(D5666)</f>
        <v>-1.47098116928708</v>
      </c>
    </row>
    <row r="5667" customFormat="false" ht="15.75" hidden="false" customHeight="false" outlineLevel="0" collapsed="false">
      <c r="A5667" s="1" t="s">
        <v>1040</v>
      </c>
      <c r="B5667" s="1" t="n">
        <v>411.75</v>
      </c>
      <c r="C5667" s="1" t="n">
        <f aca="false">1/B5667</f>
        <v>0.00242865816636308</v>
      </c>
      <c r="D5667" s="1" t="n">
        <v>0.22861</v>
      </c>
      <c r="E5667" s="1" t="n">
        <f aca="false">LN(D5667)</f>
        <v>-1.47573778404626</v>
      </c>
    </row>
    <row r="5668" customFormat="false" ht="15.75" hidden="false" customHeight="false" outlineLevel="0" collapsed="false">
      <c r="A5668" s="1" t="s">
        <v>1040</v>
      </c>
      <c r="B5668" s="1" t="n">
        <v>412.39</v>
      </c>
      <c r="C5668" s="1" t="n">
        <f aca="false">1/B5668</f>
        <v>0.00242488906132544</v>
      </c>
      <c r="D5668" s="1" t="n">
        <v>0.22753</v>
      </c>
      <c r="E5668" s="1" t="n">
        <f aca="false">LN(D5668)</f>
        <v>-1.4804731811531</v>
      </c>
    </row>
    <row r="5669" customFormat="false" ht="15.75" hidden="false" customHeight="false" outlineLevel="0" collapsed="false">
      <c r="A5669" s="1" t="s">
        <v>1040</v>
      </c>
      <c r="B5669" s="1" t="n">
        <v>413.02</v>
      </c>
      <c r="C5669" s="1" t="n">
        <f aca="false">1/B5669</f>
        <v>0.00242119025713041</v>
      </c>
      <c r="D5669" s="1" t="n">
        <v>0.22645</v>
      </c>
      <c r="E5669" s="1" t="n">
        <f aca="false">LN(D5669)</f>
        <v>-1.48523110897991</v>
      </c>
    </row>
    <row r="5670" customFormat="false" ht="15.75" hidden="false" customHeight="false" outlineLevel="0" collapsed="false">
      <c r="A5670" s="1" t="s">
        <v>1040</v>
      </c>
      <c r="B5670" s="1" t="n">
        <v>413.65</v>
      </c>
      <c r="C5670" s="1" t="n">
        <f aca="false">1/B5670</f>
        <v>0.00241750271969056</v>
      </c>
      <c r="D5670" s="1" t="n">
        <v>0.22537</v>
      </c>
      <c r="E5670" s="1" t="n">
        <f aca="false">LN(D5670)</f>
        <v>-1.49001178295156</v>
      </c>
    </row>
    <row r="5671" customFormat="false" ht="15.75" hidden="false" customHeight="false" outlineLevel="0" collapsed="false">
      <c r="A5671" s="1" t="s">
        <v>1040</v>
      </c>
      <c r="B5671" s="1" t="n">
        <v>414.29</v>
      </c>
      <c r="C5671" s="1" t="n">
        <f aca="false">1/B5671</f>
        <v>0.0024137681334331</v>
      </c>
      <c r="D5671" s="1" t="n">
        <v>0.22431</v>
      </c>
      <c r="E5671" s="1" t="n">
        <f aca="false">LN(D5671)</f>
        <v>-1.4947262553022</v>
      </c>
    </row>
    <row r="5672" customFormat="false" ht="15.75" hidden="false" customHeight="false" outlineLevel="0" collapsed="false">
      <c r="A5672" s="1" t="s">
        <v>1040</v>
      </c>
      <c r="B5672" s="1" t="n">
        <v>414.92</v>
      </c>
      <c r="C5672" s="1" t="n">
        <f aca="false">1/B5672</f>
        <v>0.00241010315241492</v>
      </c>
      <c r="D5672" s="1" t="n">
        <v>0.22325</v>
      </c>
      <c r="E5672" s="1" t="n">
        <f aca="false">LN(D5672)</f>
        <v>-1.49946305922553</v>
      </c>
    </row>
    <row r="5673" customFormat="false" ht="15.75" hidden="false" customHeight="false" outlineLevel="0" collapsed="false">
      <c r="A5673" s="1" t="s">
        <v>1040</v>
      </c>
      <c r="B5673" s="1" t="n">
        <v>415.55</v>
      </c>
      <c r="C5673" s="1" t="n">
        <f aca="false">1/B5673</f>
        <v>0.00240644928408134</v>
      </c>
      <c r="D5673" s="1" t="n">
        <v>0.22219</v>
      </c>
      <c r="E5673" s="1" t="n">
        <f aca="false">LN(D5673)</f>
        <v>-1.50422240728979</v>
      </c>
    </row>
    <row r="5674" customFormat="false" ht="15.75" hidden="false" customHeight="false" outlineLevel="0" collapsed="false">
      <c r="A5674" s="1" t="s">
        <v>1040</v>
      </c>
      <c r="B5674" s="1" t="n">
        <v>416.19</v>
      </c>
      <c r="C5674" s="1" t="n">
        <f aca="false">1/B5674</f>
        <v>0.00240274874456378</v>
      </c>
      <c r="D5674" s="1" t="n">
        <v>0.22114</v>
      </c>
      <c r="E5674" s="1" t="n">
        <f aca="false">LN(D5674)</f>
        <v>-1.50895929386788</v>
      </c>
    </row>
    <row r="5675" customFormat="false" ht="15.75" hidden="false" customHeight="false" outlineLevel="0" collapsed="false">
      <c r="A5675" s="1" t="s">
        <v>1040</v>
      </c>
      <c r="B5675" s="1" t="n">
        <v>416.82</v>
      </c>
      <c r="C5675" s="1" t="n">
        <f aca="false">1/B5675</f>
        <v>0.00239911712489804</v>
      </c>
      <c r="D5675" s="1" t="n">
        <v>0.2201</v>
      </c>
      <c r="E5675" s="1" t="n">
        <f aca="false">LN(D5675)</f>
        <v>-1.51367329044972</v>
      </c>
    </row>
    <row r="5676" customFormat="false" ht="15.75" hidden="false" customHeight="false" outlineLevel="0" collapsed="false">
      <c r="A5676" s="1" t="s">
        <v>1040</v>
      </c>
      <c r="B5676" s="1" t="n">
        <v>417.46</v>
      </c>
      <c r="C5676" s="1" t="n">
        <f aca="false">1/B5676</f>
        <v>0.00239543908398409</v>
      </c>
      <c r="D5676" s="1" t="n">
        <v>0.21906</v>
      </c>
      <c r="E5676" s="1" t="n">
        <f aca="false">LN(D5676)</f>
        <v>-1.51840961408654</v>
      </c>
    </row>
    <row r="5677" customFormat="false" ht="15.75" hidden="false" customHeight="false" outlineLevel="0" collapsed="false">
      <c r="A5677" s="1" t="s">
        <v>1040</v>
      </c>
      <c r="B5677" s="1" t="n">
        <v>418.09</v>
      </c>
      <c r="C5677" s="1" t="n">
        <f aca="false">1/B5677</f>
        <v>0.0023918295103925</v>
      </c>
      <c r="D5677" s="1" t="n">
        <v>0.21803</v>
      </c>
      <c r="E5677" s="1" t="n">
        <f aca="false">LN(D5677)</f>
        <v>-1.52312261098218</v>
      </c>
    </row>
    <row r="5678" customFormat="false" ht="15.75" hidden="false" customHeight="false" outlineLevel="0" collapsed="false">
      <c r="A5678" s="1" t="s">
        <v>1040</v>
      </c>
      <c r="B5678" s="1" t="n">
        <v>418.72</v>
      </c>
      <c r="C5678" s="1" t="n">
        <f aca="false">1/B5678</f>
        <v>0.00238823079862438</v>
      </c>
      <c r="D5678" s="1" t="n">
        <v>0.217</v>
      </c>
      <c r="E5678" s="1" t="n">
        <f aca="false">LN(D5678)</f>
        <v>-1.52785792544168</v>
      </c>
    </row>
    <row r="5679" customFormat="false" ht="15.75" hidden="false" customHeight="false" outlineLevel="0" collapsed="false">
      <c r="A5679" s="1" t="s">
        <v>1040</v>
      </c>
      <c r="B5679" s="1" t="n">
        <v>419.36</v>
      </c>
      <c r="C5679" s="1" t="n">
        <f aca="false">1/B5679</f>
        <v>0.00238458603586417</v>
      </c>
      <c r="D5679" s="1" t="n">
        <v>0.21598</v>
      </c>
      <c r="E5679" s="1" t="n">
        <f aca="false">LN(D5679)</f>
        <v>-1.53256946817752</v>
      </c>
    </row>
    <row r="5680" customFormat="false" ht="15.75" hidden="false" customHeight="false" outlineLevel="0" collapsed="false">
      <c r="A5680" s="1" t="s">
        <v>1040</v>
      </c>
      <c r="B5680" s="1" t="n">
        <v>419.99</v>
      </c>
      <c r="C5680" s="1" t="n">
        <f aca="false">1/B5680</f>
        <v>0.00238100907164456</v>
      </c>
      <c r="D5680" s="1" t="n">
        <v>0.21496</v>
      </c>
      <c r="E5680" s="1" t="n">
        <f aca="false">LN(D5680)</f>
        <v>-1.5373033146749</v>
      </c>
    </row>
    <row r="5681" customFormat="false" ht="15.75" hidden="false" customHeight="false" outlineLevel="0" collapsed="false">
      <c r="A5681" s="1" t="s">
        <v>1040</v>
      </c>
      <c r="B5681" s="1" t="n">
        <v>420.63</v>
      </c>
      <c r="C5681" s="1" t="n">
        <f aca="false">1/B5681</f>
        <v>0.00237738630150013</v>
      </c>
      <c r="D5681" s="1" t="n">
        <v>0.21395</v>
      </c>
      <c r="E5681" s="1" t="n">
        <f aca="false">LN(D5681)</f>
        <v>-1.54201293611931</v>
      </c>
    </row>
    <row r="5682" customFormat="false" ht="15.75" hidden="false" customHeight="false" outlineLevel="0" collapsed="false">
      <c r="A5682" s="1" t="s">
        <v>1040</v>
      </c>
      <c r="B5682" s="1" t="n">
        <v>421.26</v>
      </c>
      <c r="C5682" s="1" t="n">
        <f aca="false">1/B5682</f>
        <v>0.00237383088828752</v>
      </c>
      <c r="D5682" s="1" t="n">
        <v>0.21294</v>
      </c>
      <c r="E5682" s="1" t="n">
        <f aca="false">LN(D5682)</f>
        <v>-1.54674484309568</v>
      </c>
    </row>
    <row r="5683" customFormat="false" ht="15.75" hidden="false" customHeight="false" outlineLevel="0" collapsed="false">
      <c r="A5683" s="1" t="s">
        <v>1040</v>
      </c>
      <c r="B5683" s="1" t="n">
        <v>421.89</v>
      </c>
      <c r="C5683" s="1" t="n">
        <f aca="false">1/B5683</f>
        <v>0.00237028609353149</v>
      </c>
      <c r="D5683" s="1" t="n">
        <v>0.21194</v>
      </c>
      <c r="E5683" s="1" t="n">
        <f aca="false">LN(D5683)</f>
        <v>-1.55145206323545</v>
      </c>
    </row>
    <row r="5684" customFormat="false" ht="15.75" hidden="false" customHeight="false" outlineLevel="0" collapsed="false">
      <c r="A5684" s="1" t="s">
        <v>1040</v>
      </c>
      <c r="B5684" s="1" t="n">
        <v>422.53</v>
      </c>
      <c r="C5684" s="1" t="n">
        <f aca="false">1/B5684</f>
        <v>0.00236669585591556</v>
      </c>
      <c r="D5684" s="1" t="n">
        <v>0.21095</v>
      </c>
      <c r="E5684" s="1" t="n">
        <f aca="false">LN(D5684)</f>
        <v>-1.55613414041179</v>
      </c>
    </row>
    <row r="5685" customFormat="false" ht="15.75" hidden="false" customHeight="false" outlineLevel="0" collapsed="false">
      <c r="A5685" s="1" t="s">
        <v>1040</v>
      </c>
      <c r="B5685" s="1" t="n">
        <v>423.16</v>
      </c>
      <c r="C5685" s="1" t="n">
        <f aca="false">1/B5685</f>
        <v>0.00236317232252576</v>
      </c>
      <c r="D5685" s="1" t="n">
        <v>0.20996</v>
      </c>
      <c r="E5685" s="1" t="n">
        <f aca="false">LN(D5685)</f>
        <v>-1.56083824259804</v>
      </c>
    </row>
    <row r="5686" customFormat="false" ht="15.75" hidden="false" customHeight="false" outlineLevel="0" collapsed="false">
      <c r="A5686" s="1" t="s">
        <v>1040</v>
      </c>
      <c r="B5686" s="1" t="n">
        <v>423.42</v>
      </c>
      <c r="C5686" s="1" t="n">
        <f aca="false">1/B5686</f>
        <v>0.0023617212224269</v>
      </c>
      <c r="D5686" s="1" t="n">
        <v>0.20956</v>
      </c>
      <c r="E5686" s="1" t="n">
        <f aca="false">LN(D5686)</f>
        <v>-1.56274518444212</v>
      </c>
    </row>
    <row r="5687" customFormat="false" ht="15.75" hidden="false" customHeight="false" outlineLevel="0" collapsed="false">
      <c r="A5687" s="1" t="s">
        <v>1042</v>
      </c>
      <c r="B5687" s="1" t="n">
        <v>293.15</v>
      </c>
      <c r="C5687" s="1" t="n">
        <f aca="false">1/B5687</f>
        <v>0.00341122292341805</v>
      </c>
      <c r="D5687" s="1" t="n">
        <v>8.0775</v>
      </c>
      <c r="E5687" s="1" t="n">
        <f aca="false">LN(D5687)</f>
        <v>2.08908241871652</v>
      </c>
    </row>
    <row r="5688" customFormat="false" ht="15.75" hidden="false" customHeight="false" outlineLevel="0" collapsed="false">
      <c r="A5688" s="1" t="s">
        <v>1042</v>
      </c>
      <c r="B5688" s="1" t="n">
        <v>298.15</v>
      </c>
      <c r="C5688" s="1" t="n">
        <f aca="false">1/B5688</f>
        <v>0.00335401643468053</v>
      </c>
      <c r="D5688" s="1" t="n">
        <v>6.9979</v>
      </c>
      <c r="E5688" s="1" t="n">
        <f aca="false">LN(D5688)</f>
        <v>1.94561010404631</v>
      </c>
    </row>
    <row r="5689" customFormat="false" ht="15.75" hidden="false" customHeight="false" outlineLevel="0" collapsed="false">
      <c r="A5689" s="1" t="s">
        <v>1042</v>
      </c>
      <c r="B5689" s="1" t="n">
        <v>323.15</v>
      </c>
      <c r="C5689" s="1" t="n">
        <f aca="false">1/B5689</f>
        <v>0.00309453814018258</v>
      </c>
      <c r="D5689" s="1" t="n">
        <v>3.7907</v>
      </c>
      <c r="E5689" s="1" t="n">
        <f aca="false">LN(D5689)</f>
        <v>1.33255069860994</v>
      </c>
    </row>
    <row r="5690" customFormat="false" ht="15.75" hidden="false" customHeight="false" outlineLevel="0" collapsed="false">
      <c r="A5690" s="1" t="s">
        <v>1042</v>
      </c>
      <c r="B5690" s="1" t="n">
        <v>343.15</v>
      </c>
      <c r="C5690" s="1" t="n">
        <f aca="false">1/B5690</f>
        <v>0.00291417747340813</v>
      </c>
      <c r="D5690" s="1" t="n">
        <v>2.4096</v>
      </c>
      <c r="E5690" s="1" t="n">
        <f aca="false">LN(D5690)</f>
        <v>0.879460758623437</v>
      </c>
    </row>
    <row r="5691" customFormat="false" ht="15.75" hidden="false" customHeight="false" outlineLevel="0" collapsed="false">
      <c r="A5691" s="1" t="s">
        <v>1042</v>
      </c>
      <c r="B5691" s="1" t="n">
        <v>363.15</v>
      </c>
      <c r="C5691" s="1" t="n">
        <f aca="false">1/B5691</f>
        <v>0.00275368305108082</v>
      </c>
      <c r="D5691" s="1" t="n">
        <v>1.7322</v>
      </c>
      <c r="E5691" s="1" t="n">
        <f aca="false">LN(D5691)</f>
        <v>0.549392276914807</v>
      </c>
    </row>
    <row r="5692" customFormat="false" ht="15.75" hidden="false" customHeight="false" outlineLevel="0" collapsed="false">
      <c r="A5692" s="1" t="s">
        <v>1471</v>
      </c>
      <c r="B5692" s="1" t="n">
        <v>333.15</v>
      </c>
      <c r="C5692" s="1" t="n">
        <f aca="false">1/B5692</f>
        <v>0.0030016509079994</v>
      </c>
      <c r="D5692" s="1" t="n">
        <v>6.849</v>
      </c>
      <c r="E5692" s="1" t="n">
        <f aca="false">LN(D5692)</f>
        <v>1.92410265621577</v>
      </c>
    </row>
    <row r="5693" customFormat="false" ht="15.75" hidden="false" customHeight="false" outlineLevel="0" collapsed="false">
      <c r="A5693" s="1" t="s">
        <v>1471</v>
      </c>
      <c r="B5693" s="1" t="n">
        <v>348.15</v>
      </c>
      <c r="C5693" s="1" t="n">
        <f aca="false">1/B5693</f>
        <v>0.00287232514720666</v>
      </c>
      <c r="D5693" s="1" t="n">
        <v>5.063</v>
      </c>
      <c r="E5693" s="1" t="n">
        <f aca="false">LN(D5693)</f>
        <v>1.62195919298777</v>
      </c>
    </row>
    <row r="5694" customFormat="false" ht="15.75" hidden="false" customHeight="false" outlineLevel="0" collapsed="false">
      <c r="A5694" s="1" t="s">
        <v>1471</v>
      </c>
      <c r="B5694" s="1" t="n">
        <v>363.15</v>
      </c>
      <c r="C5694" s="1" t="n">
        <f aca="false">1/B5694</f>
        <v>0.00275368305108082</v>
      </c>
      <c r="D5694" s="1" t="n">
        <v>3.917</v>
      </c>
      <c r="E5694" s="1" t="n">
        <f aca="false">LN(D5694)</f>
        <v>1.36532605468369</v>
      </c>
    </row>
    <row r="5695" customFormat="false" ht="15.75" hidden="false" customHeight="false" outlineLevel="0" collapsed="false">
      <c r="A5695" s="1" t="s">
        <v>248</v>
      </c>
      <c r="B5695" s="1" t="n">
        <v>369.38</v>
      </c>
      <c r="C5695" s="1" t="n">
        <f aca="false">1/B5695</f>
        <v>0.00270723915750717</v>
      </c>
      <c r="D5695" s="1" t="n">
        <v>8.338</v>
      </c>
      <c r="E5695" s="1" t="n">
        <f aca="false">LN(D5695)</f>
        <v>2.1208233794586</v>
      </c>
    </row>
    <row r="5696" customFormat="false" ht="15.75" hidden="false" customHeight="false" outlineLevel="0" collapsed="false">
      <c r="A5696" s="1" t="s">
        <v>248</v>
      </c>
      <c r="B5696" s="1" t="n">
        <v>474.11</v>
      </c>
      <c r="C5696" s="1" t="n">
        <f aca="false">1/B5696</f>
        <v>0.00210921516103858</v>
      </c>
      <c r="D5696" s="1" t="n">
        <v>1.865</v>
      </c>
      <c r="E5696" s="1" t="n">
        <f aca="false">LN(D5696)</f>
        <v>0.623261053095779</v>
      </c>
    </row>
    <row r="5697" customFormat="false" ht="15.75" hidden="false" customHeight="false" outlineLevel="0" collapsed="false">
      <c r="A5697" s="1" t="s">
        <v>1044</v>
      </c>
      <c r="B5697" s="1" t="n">
        <v>329.55</v>
      </c>
      <c r="C5697" s="1" t="n">
        <f aca="false">1/B5697</f>
        <v>0.00303444090426339</v>
      </c>
      <c r="D5697" s="1" t="n">
        <v>1.685</v>
      </c>
      <c r="E5697" s="1" t="n">
        <f aca="false">LN(D5697)</f>
        <v>0.521765563804325</v>
      </c>
    </row>
    <row r="5698" customFormat="false" ht="15.75" hidden="false" customHeight="false" outlineLevel="0" collapsed="false">
      <c r="A5698" s="1" t="s">
        <v>1044</v>
      </c>
      <c r="B5698" s="1" t="n">
        <v>359.15</v>
      </c>
      <c r="C5698" s="1" t="n">
        <f aca="false">1/B5698</f>
        <v>0.00278435194208548</v>
      </c>
      <c r="D5698" s="1" t="n">
        <v>1.072</v>
      </c>
      <c r="E5698" s="1" t="n">
        <f aca="false">LN(D5698)</f>
        <v>0.0695260626486103</v>
      </c>
    </row>
    <row r="5699" customFormat="false" ht="15.75" hidden="false" customHeight="false" outlineLevel="0" collapsed="false">
      <c r="A5699" s="1" t="s">
        <v>1044</v>
      </c>
      <c r="B5699" s="1" t="n">
        <v>387.95</v>
      </c>
      <c r="C5699" s="1" t="n">
        <f aca="false">1/B5699</f>
        <v>0.00257765175924733</v>
      </c>
      <c r="D5699" s="1" t="n">
        <v>0.758</v>
      </c>
      <c r="E5699" s="1" t="n">
        <f aca="false">LN(D5699)</f>
        <v>-0.277071893339765</v>
      </c>
    </row>
    <row r="5700" customFormat="false" ht="15.75" hidden="false" customHeight="false" outlineLevel="0" collapsed="false">
      <c r="A5700" s="1" t="s">
        <v>1044</v>
      </c>
      <c r="B5700" s="1" t="n">
        <v>416.85</v>
      </c>
      <c r="C5700" s="1" t="n">
        <f aca="false">1/B5700</f>
        <v>0.00239894446443565</v>
      </c>
      <c r="D5700" s="1" t="n">
        <v>0.573</v>
      </c>
      <c r="E5700" s="1" t="n">
        <f aca="false">LN(D5700)</f>
        <v>-0.556869562267398</v>
      </c>
    </row>
    <row r="5701" customFormat="false" ht="15.75" hidden="false" customHeight="false" outlineLevel="0" collapsed="false">
      <c r="A5701" s="1" t="s">
        <v>1044</v>
      </c>
      <c r="B5701" s="1" t="n">
        <v>423.15</v>
      </c>
      <c r="C5701" s="1" t="n">
        <f aca="false">1/B5701</f>
        <v>0.00236322816967978</v>
      </c>
      <c r="D5701" s="1" t="n">
        <v>0.542</v>
      </c>
      <c r="E5701" s="1" t="n">
        <f aca="false">LN(D5701)</f>
        <v>-0.612489277542491</v>
      </c>
    </row>
    <row r="5702" customFormat="false" ht="15.75" hidden="false" customHeight="false" outlineLevel="0" collapsed="false">
      <c r="A5702" s="1" t="s">
        <v>1044</v>
      </c>
      <c r="B5702" s="1" t="n">
        <v>432.25</v>
      </c>
      <c r="C5702" s="1" t="n">
        <f aca="false">1/B5702</f>
        <v>0.00231347599768652</v>
      </c>
      <c r="D5702" s="1" t="n">
        <v>0.5026</v>
      </c>
      <c r="E5702" s="1" t="n">
        <f aca="false">LN(D5702)</f>
        <v>-0.687960653872645</v>
      </c>
    </row>
    <row r="5703" customFormat="false" ht="15.75" hidden="false" customHeight="false" outlineLevel="0" collapsed="false">
      <c r="A5703" s="1" t="s">
        <v>1044</v>
      </c>
      <c r="B5703" s="1" t="n">
        <v>463.15</v>
      </c>
      <c r="C5703" s="1" t="n">
        <f aca="false">1/B5703</f>
        <v>0.00215912771240419</v>
      </c>
      <c r="D5703" s="1" t="n">
        <v>0.3951</v>
      </c>
      <c r="E5703" s="1" t="n">
        <f aca="false">LN(D5703)</f>
        <v>-0.928616381564792</v>
      </c>
    </row>
    <row r="5704" customFormat="false" ht="15.75" hidden="false" customHeight="false" outlineLevel="0" collapsed="false">
      <c r="A5704" s="1" t="s">
        <v>1044</v>
      </c>
      <c r="B5704" s="1" t="n">
        <v>486.15</v>
      </c>
      <c r="C5704" s="1" t="n">
        <f aca="false">1/B5704</f>
        <v>0.00205697829887895</v>
      </c>
      <c r="D5704" s="1" t="n">
        <v>0.3378</v>
      </c>
      <c r="E5704" s="1" t="n">
        <f aca="false">LN(D5704)</f>
        <v>-1.08530127460844</v>
      </c>
    </row>
    <row r="5705" customFormat="false" ht="15.75" hidden="false" customHeight="false" outlineLevel="0" collapsed="false">
      <c r="A5705" s="1" t="s">
        <v>1044</v>
      </c>
      <c r="B5705" s="1" t="n">
        <v>513.15</v>
      </c>
      <c r="C5705" s="1" t="n">
        <f aca="false">1/B5705</f>
        <v>0.00194874792945532</v>
      </c>
      <c r="D5705" s="1" t="n">
        <v>0.2852</v>
      </c>
      <c r="E5705" s="1" t="n">
        <f aca="false">LN(D5705)</f>
        <v>-1.254564590442</v>
      </c>
    </row>
    <row r="5706" customFormat="false" ht="15.75" hidden="false" customHeight="false" outlineLevel="0" collapsed="false">
      <c r="A5706" s="1" t="s">
        <v>1044</v>
      </c>
      <c r="B5706" s="1" t="n">
        <v>402.05</v>
      </c>
      <c r="C5706" s="1" t="n">
        <f aca="false">1/B5706</f>
        <v>0.00248725282925009</v>
      </c>
      <c r="D5706" s="1" t="n">
        <v>0.657</v>
      </c>
      <c r="E5706" s="1" t="n">
        <f aca="false">LN(D5706)</f>
        <v>-0.420071260497527</v>
      </c>
    </row>
    <row r="5707" customFormat="false" ht="15.75" hidden="false" customHeight="false" outlineLevel="0" collapsed="false">
      <c r="A5707" s="1" t="s">
        <v>1044</v>
      </c>
      <c r="B5707" s="1" t="n">
        <v>448.35</v>
      </c>
      <c r="C5707" s="1" t="n">
        <f aca="false">1/B5707</f>
        <v>0.00223040035686406</v>
      </c>
      <c r="D5707" s="1" t="n">
        <v>0.441</v>
      </c>
      <c r="E5707" s="1" t="n">
        <f aca="false">LN(D5707)</f>
        <v>-0.818710403535291</v>
      </c>
    </row>
    <row r="5708" customFormat="false" ht="15.75" hidden="false" customHeight="false" outlineLevel="0" collapsed="false">
      <c r="A5708" s="1" t="s">
        <v>1046</v>
      </c>
      <c r="B5708" s="1" t="n">
        <v>371.85</v>
      </c>
      <c r="C5708" s="1" t="n">
        <f aca="false">1/B5708</f>
        <v>0.0026892564205997</v>
      </c>
      <c r="D5708" s="1" t="n">
        <v>1.051</v>
      </c>
      <c r="E5708" s="1" t="n">
        <f aca="false">LN(D5708)</f>
        <v>0.049742091894814</v>
      </c>
    </row>
    <row r="5709" customFormat="false" ht="15.75" hidden="false" customHeight="false" outlineLevel="0" collapsed="false">
      <c r="A5709" s="1" t="s">
        <v>1046</v>
      </c>
      <c r="B5709" s="1" t="n">
        <v>397.45</v>
      </c>
      <c r="C5709" s="1" t="n">
        <f aca="false">1/B5709</f>
        <v>0.0025160397534281</v>
      </c>
      <c r="D5709" s="1" t="n">
        <v>0.767</v>
      </c>
      <c r="E5709" s="1" t="n">
        <f aca="false">LN(D5709)</f>
        <v>-0.265268477614881</v>
      </c>
    </row>
    <row r="5710" customFormat="false" ht="15.75" hidden="false" customHeight="false" outlineLevel="0" collapsed="false">
      <c r="A5710" s="1" t="s">
        <v>1046</v>
      </c>
      <c r="B5710" s="1" t="n">
        <v>410.85</v>
      </c>
      <c r="C5710" s="1" t="n">
        <f aca="false">1/B5710</f>
        <v>0.0024339783375928</v>
      </c>
      <c r="D5710" s="1" t="n">
        <v>0.6608</v>
      </c>
      <c r="E5710" s="1" t="n">
        <f aca="false">LN(D5710)</f>
        <v>-0.414304056775369</v>
      </c>
    </row>
    <row r="5711" customFormat="false" ht="15.75" hidden="false" customHeight="false" outlineLevel="0" collapsed="false">
      <c r="A5711" s="1" t="s">
        <v>1046</v>
      </c>
      <c r="B5711" s="1" t="n">
        <v>436.35</v>
      </c>
      <c r="C5711" s="1" t="n">
        <f aca="false">1/B5711</f>
        <v>0.00229173828348802</v>
      </c>
      <c r="D5711" s="1" t="n">
        <v>0.5104</v>
      </c>
      <c r="E5711" s="1" t="n">
        <f aca="false">LN(D5711)</f>
        <v>-0.672560546951557</v>
      </c>
    </row>
    <row r="5712" customFormat="false" ht="15.75" hidden="false" customHeight="false" outlineLevel="0" collapsed="false">
      <c r="A5712" s="1" t="s">
        <v>1046</v>
      </c>
      <c r="B5712" s="1" t="n">
        <v>448.65</v>
      </c>
      <c r="C5712" s="1" t="n">
        <f aca="false">1/B5712</f>
        <v>0.00222890894906943</v>
      </c>
      <c r="D5712" s="1" t="n">
        <v>0.4554</v>
      </c>
      <c r="E5712" s="1" t="n">
        <f aca="false">LN(D5712)</f>
        <v>-0.786579125352498</v>
      </c>
    </row>
    <row r="5713" customFormat="false" ht="15.75" hidden="false" customHeight="false" outlineLevel="0" collapsed="false">
      <c r="A5713" s="1" t="s">
        <v>1046</v>
      </c>
      <c r="B5713" s="1" t="n">
        <v>460.85</v>
      </c>
      <c r="C5713" s="1" t="n">
        <f aca="false">1/B5713</f>
        <v>0.00216990343929695</v>
      </c>
      <c r="D5713" s="1" t="n">
        <v>0.4094</v>
      </c>
      <c r="E5713" s="1" t="n">
        <f aca="false">LN(D5713)</f>
        <v>-0.893062605754948</v>
      </c>
    </row>
    <row r="5714" customFormat="false" ht="15.75" hidden="false" customHeight="false" outlineLevel="0" collapsed="false">
      <c r="A5714" s="1" t="s">
        <v>1046</v>
      </c>
      <c r="B5714" s="1" t="n">
        <v>473.15</v>
      </c>
      <c r="C5714" s="1" t="n">
        <f aca="false">1/B5714</f>
        <v>0.00211349466342597</v>
      </c>
      <c r="D5714" s="1" t="n">
        <v>0.3698</v>
      </c>
      <c r="E5714" s="1" t="n">
        <f aca="false">LN(D5714)</f>
        <v>-0.994792960029113</v>
      </c>
    </row>
    <row r="5715" customFormat="false" ht="15.75" hidden="false" customHeight="false" outlineLevel="0" collapsed="false">
      <c r="A5715" s="1" t="s">
        <v>1046</v>
      </c>
      <c r="B5715" s="1" t="n">
        <v>483.15</v>
      </c>
      <c r="C5715" s="1" t="n">
        <f aca="false">1/B5715</f>
        <v>0.0020697505950533</v>
      </c>
      <c r="D5715" s="1" t="n">
        <v>0.3413</v>
      </c>
      <c r="E5715" s="1" t="n">
        <f aca="false">LN(D5715)</f>
        <v>-1.07499342306948</v>
      </c>
    </row>
    <row r="5716" customFormat="false" ht="15.75" hidden="false" customHeight="false" outlineLevel="0" collapsed="false">
      <c r="A5716" s="1" t="s">
        <v>1046</v>
      </c>
      <c r="B5716" s="1" t="n">
        <v>490.95</v>
      </c>
      <c r="C5716" s="1" t="n">
        <f aca="false">1/B5716</f>
        <v>0.00203686729809553</v>
      </c>
      <c r="D5716" s="1" t="n">
        <v>0.328</v>
      </c>
      <c r="E5716" s="1" t="n">
        <f aca="false">LN(D5716)</f>
        <v>-1.11474167059799</v>
      </c>
    </row>
    <row r="5717" customFormat="false" ht="15.75" hidden="false" customHeight="false" outlineLevel="0" collapsed="false">
      <c r="A5717" s="1" t="s">
        <v>1046</v>
      </c>
      <c r="B5717" s="1" t="n">
        <v>423.35</v>
      </c>
      <c r="C5717" s="1" t="n">
        <f aca="false">1/B5717</f>
        <v>0.00236211172788473</v>
      </c>
      <c r="D5717" s="1" t="n">
        <v>0.5791</v>
      </c>
      <c r="E5717" s="1" t="n">
        <f aca="false">LN(D5717)</f>
        <v>-0.546280104750393</v>
      </c>
    </row>
    <row r="5718" customFormat="false" ht="15.75" hidden="false" customHeight="false" outlineLevel="0" collapsed="false">
      <c r="A5718" s="1" t="s">
        <v>1048</v>
      </c>
      <c r="B5718" s="1" t="n">
        <v>326.551</v>
      </c>
      <c r="C5718" s="1" t="n">
        <f aca="false">1/B5718</f>
        <v>0.00306230879709448</v>
      </c>
      <c r="D5718" s="1" t="n">
        <v>2.705</v>
      </c>
      <c r="E5718" s="1" t="n">
        <f aca="false">LN(D5718)</f>
        <v>0.995101912298445</v>
      </c>
    </row>
    <row r="5719" customFormat="false" ht="15.75" hidden="false" customHeight="false" outlineLevel="0" collapsed="false">
      <c r="A5719" s="1" t="s">
        <v>1048</v>
      </c>
      <c r="B5719" s="1" t="n">
        <v>345.65</v>
      </c>
      <c r="C5719" s="1" t="n">
        <f aca="false">1/B5719</f>
        <v>0.0028930999566035</v>
      </c>
      <c r="D5719" s="1" t="n">
        <v>1.661</v>
      </c>
      <c r="E5719" s="1" t="n">
        <f aca="false">LN(D5719)</f>
        <v>0.507419830631158</v>
      </c>
    </row>
    <row r="5720" customFormat="false" ht="15.75" hidden="false" customHeight="false" outlineLevel="0" collapsed="false">
      <c r="A5720" s="1" t="s">
        <v>1048</v>
      </c>
      <c r="B5720" s="1" t="n">
        <v>364.75</v>
      </c>
      <c r="C5720" s="1" t="n">
        <f aca="false">1/B5720</f>
        <v>0.00274160383824537</v>
      </c>
      <c r="D5720" s="1" t="n">
        <v>1.134</v>
      </c>
      <c r="E5720" s="1" t="n">
        <f aca="false">LN(D5720)</f>
        <v>0.12575120530556</v>
      </c>
    </row>
    <row r="5721" customFormat="false" ht="15.75" hidden="false" customHeight="false" outlineLevel="0" collapsed="false">
      <c r="A5721" s="1" t="s">
        <v>1048</v>
      </c>
      <c r="B5721" s="1" t="n">
        <v>379.25</v>
      </c>
      <c r="C5721" s="1" t="n">
        <f aca="false">1/B5721</f>
        <v>0.002636783124588</v>
      </c>
      <c r="D5721" s="1" t="n">
        <v>0.889</v>
      </c>
      <c r="E5721" s="1" t="n">
        <f aca="false">LN(D5721)</f>
        <v>-0.117658043468232</v>
      </c>
    </row>
    <row r="5722" customFormat="false" ht="15.75" hidden="false" customHeight="false" outlineLevel="0" collapsed="false">
      <c r="A5722" s="1" t="s">
        <v>1048</v>
      </c>
      <c r="B5722" s="1" t="n">
        <v>393.15</v>
      </c>
      <c r="C5722" s="1" t="n">
        <f aca="false">1/B5722</f>
        <v>0.00254355843825512</v>
      </c>
      <c r="D5722" s="1" t="n">
        <v>0.737</v>
      </c>
      <c r="E5722" s="1" t="n">
        <f aca="false">LN(D5722)</f>
        <v>-0.3051673867928</v>
      </c>
    </row>
    <row r="5723" customFormat="false" ht="15.75" hidden="false" customHeight="false" outlineLevel="0" collapsed="false">
      <c r="A5723" s="1" t="s">
        <v>1048</v>
      </c>
      <c r="B5723" s="1" t="n">
        <v>423.15</v>
      </c>
      <c r="C5723" s="1" t="n">
        <f aca="false">1/B5723</f>
        <v>0.00236322816967978</v>
      </c>
      <c r="D5723" s="1" t="n">
        <v>0.507</v>
      </c>
      <c r="E5723" s="1" t="n">
        <f aca="false">LN(D5723)</f>
        <v>-0.679244275390954</v>
      </c>
    </row>
    <row r="5724" customFormat="false" ht="15.75" hidden="false" customHeight="false" outlineLevel="0" collapsed="false">
      <c r="A5724" s="1" t="s">
        <v>1048</v>
      </c>
      <c r="B5724" s="1" t="n">
        <v>425.95</v>
      </c>
      <c r="C5724" s="1" t="n">
        <f aca="false">1/B5724</f>
        <v>0.0023476933912431</v>
      </c>
      <c r="D5724" s="1" t="n">
        <v>0.4943</v>
      </c>
      <c r="E5724" s="1" t="n">
        <f aca="false">LN(D5724)</f>
        <v>-0.704612658669223</v>
      </c>
    </row>
    <row r="5725" customFormat="false" ht="15.75" hidden="false" customHeight="false" outlineLevel="0" collapsed="false">
      <c r="A5725" s="1" t="s">
        <v>1048</v>
      </c>
      <c r="B5725" s="1" t="n">
        <v>439.95</v>
      </c>
      <c r="C5725" s="1" t="n">
        <f aca="false">1/B5725</f>
        <v>0.00227298556654165</v>
      </c>
      <c r="D5725" s="1" t="n">
        <v>0.4238</v>
      </c>
      <c r="E5725" s="1" t="n">
        <f aca="false">LN(D5725)</f>
        <v>-0.858493633147938</v>
      </c>
    </row>
    <row r="5726" customFormat="false" ht="15.75" hidden="false" customHeight="false" outlineLevel="0" collapsed="false">
      <c r="A5726" s="1" t="s">
        <v>1048</v>
      </c>
      <c r="B5726" s="1" t="n">
        <v>450.65</v>
      </c>
      <c r="C5726" s="1" t="n">
        <f aca="false">1/B5726</f>
        <v>0.00221901697547986</v>
      </c>
      <c r="D5726" s="1" t="n">
        <v>0.3802</v>
      </c>
      <c r="E5726" s="1" t="n">
        <f aca="false">LN(D5726)</f>
        <v>-0.967057848927808</v>
      </c>
    </row>
    <row r="5727" customFormat="false" ht="15.75" hidden="false" customHeight="false" outlineLevel="0" collapsed="false">
      <c r="A5727" s="1" t="s">
        <v>1048</v>
      </c>
      <c r="B5727" s="1" t="n">
        <v>458.15</v>
      </c>
      <c r="C5727" s="1" t="n">
        <f aca="false">1/B5727</f>
        <v>0.00218269125832151</v>
      </c>
      <c r="D5727" s="1" t="n">
        <v>0.3528</v>
      </c>
      <c r="E5727" s="1" t="n">
        <f aca="false">LN(D5727)</f>
        <v>-1.0418539548495</v>
      </c>
    </row>
    <row r="5728" customFormat="false" ht="15.75" hidden="false" customHeight="false" outlineLevel="0" collapsed="false">
      <c r="A5728" s="1" t="s">
        <v>1048</v>
      </c>
      <c r="B5728" s="1" t="n">
        <v>463.15</v>
      </c>
      <c r="C5728" s="1" t="n">
        <f aca="false">1/B5728</f>
        <v>0.00215912771240419</v>
      </c>
      <c r="D5728" s="1" t="n">
        <v>0.3366</v>
      </c>
      <c r="E5728" s="1" t="n">
        <f aca="false">LN(D5728)</f>
        <v>-1.08885999722543</v>
      </c>
    </row>
    <row r="5729" customFormat="false" ht="15.75" hidden="false" customHeight="false" outlineLevel="0" collapsed="false">
      <c r="A5729" s="1" t="s">
        <v>1048</v>
      </c>
      <c r="B5729" s="1" t="n">
        <v>283.15</v>
      </c>
      <c r="C5729" s="1" t="n">
        <f aca="false">1/B5729</f>
        <v>0.00353169698039908</v>
      </c>
      <c r="D5729" s="1" t="n">
        <v>17.9</v>
      </c>
      <c r="E5729" s="1" t="n">
        <f aca="false">LN(D5729)</f>
        <v>2.88480071284671</v>
      </c>
    </row>
    <row r="5730" customFormat="false" ht="15.75" hidden="false" customHeight="false" outlineLevel="0" collapsed="false">
      <c r="A5730" s="1" t="s">
        <v>1048</v>
      </c>
      <c r="B5730" s="1" t="n">
        <v>293.15</v>
      </c>
      <c r="C5730" s="1" t="n">
        <f aca="false">1/B5730</f>
        <v>0.00341122292341805</v>
      </c>
      <c r="D5730" s="1" t="n">
        <v>9.56</v>
      </c>
      <c r="E5730" s="1" t="n">
        <f aca="false">LN(D5730)</f>
        <v>2.25758772706331</v>
      </c>
    </row>
    <row r="5731" customFormat="false" ht="15.75" hidden="false" customHeight="false" outlineLevel="0" collapsed="false">
      <c r="A5731" s="1" t="s">
        <v>1048</v>
      </c>
      <c r="B5731" s="1" t="n">
        <v>303.15</v>
      </c>
      <c r="C5731" s="1" t="n">
        <f aca="false">1/B5731</f>
        <v>0.0032986970146792</v>
      </c>
      <c r="D5731" s="1" t="n">
        <v>6.125</v>
      </c>
      <c r="E5731" s="1" t="n">
        <f aca="false">LN(D5731)</f>
        <v>1.81237875643079</v>
      </c>
    </row>
    <row r="5732" customFormat="false" ht="15.75" hidden="false" customHeight="false" outlineLevel="0" collapsed="false">
      <c r="A5732" s="1" t="s">
        <v>1048</v>
      </c>
      <c r="B5732" s="1" t="n">
        <v>313.15</v>
      </c>
      <c r="C5732" s="1" t="n">
        <f aca="false">1/B5732</f>
        <v>0.00319335781574325</v>
      </c>
      <c r="D5732" s="1" t="n">
        <v>4.1</v>
      </c>
      <c r="E5732" s="1" t="n">
        <f aca="false">LN(D5732)</f>
        <v>1.41098697371026</v>
      </c>
    </row>
    <row r="5733" customFormat="false" ht="15.75" hidden="false" customHeight="false" outlineLevel="0" collapsed="false">
      <c r="A5733" s="1" t="s">
        <v>1048</v>
      </c>
      <c r="B5733" s="1" t="n">
        <v>333.15</v>
      </c>
      <c r="C5733" s="1" t="n">
        <f aca="false">1/B5733</f>
        <v>0.0030016509079994</v>
      </c>
      <c r="D5733" s="1" t="n">
        <v>2.24</v>
      </c>
      <c r="E5733" s="1" t="n">
        <f aca="false">LN(D5733)</f>
        <v>0.806475865866948</v>
      </c>
    </row>
    <row r="5734" customFormat="false" ht="15.75" hidden="false" customHeight="false" outlineLevel="0" collapsed="false">
      <c r="A5734" s="1" t="s">
        <v>1048</v>
      </c>
      <c r="B5734" s="1" t="n">
        <v>353.15</v>
      </c>
      <c r="C5734" s="1" t="n">
        <f aca="false">1/B5734</f>
        <v>0.00283165793572137</v>
      </c>
      <c r="D5734" s="1" t="n">
        <v>1.431</v>
      </c>
      <c r="E5734" s="1" t="n">
        <f aca="false">LN(D5734)</f>
        <v>0.358373500574314</v>
      </c>
    </row>
    <row r="5735" customFormat="false" ht="15.75" hidden="false" customHeight="false" outlineLevel="0" collapsed="false">
      <c r="A5735" s="1" t="s">
        <v>1048</v>
      </c>
      <c r="B5735" s="1" t="n">
        <v>408.95</v>
      </c>
      <c r="C5735" s="1" t="n">
        <f aca="false">1/B5735</f>
        <v>0.00244528670986673</v>
      </c>
      <c r="D5735" s="1" t="n">
        <v>0.6005</v>
      </c>
      <c r="E5735" s="1" t="n">
        <f aca="false">LN(D5735)</f>
        <v>-0.509992637462099</v>
      </c>
    </row>
    <row r="5736" customFormat="false" ht="15.75" hidden="false" customHeight="false" outlineLevel="0" collapsed="false">
      <c r="A5736" s="1" t="s">
        <v>1050</v>
      </c>
      <c r="B5736" s="1" t="n">
        <v>303.15</v>
      </c>
      <c r="C5736" s="1" t="n">
        <f aca="false">1/B5736</f>
        <v>0.0032986970146792</v>
      </c>
      <c r="D5736" s="1" t="n">
        <v>3.813</v>
      </c>
      <c r="E5736" s="1" t="n">
        <f aca="false">LN(D5736)</f>
        <v>1.33841628087543</v>
      </c>
    </row>
    <row r="5737" customFormat="false" ht="15.75" hidden="false" customHeight="false" outlineLevel="0" collapsed="false">
      <c r="A5737" s="1" t="s">
        <v>1050</v>
      </c>
      <c r="B5737" s="1" t="n">
        <v>313.15</v>
      </c>
      <c r="C5737" s="1" t="n">
        <f aca="false">1/B5737</f>
        <v>0.00319335781574325</v>
      </c>
      <c r="D5737" s="1" t="n">
        <v>3.06</v>
      </c>
      <c r="E5737" s="1" t="n">
        <f aca="false">LN(D5737)</f>
        <v>1.11841491596429</v>
      </c>
    </row>
    <row r="5738" customFormat="false" ht="15.75" hidden="false" customHeight="false" outlineLevel="0" collapsed="false">
      <c r="A5738" s="1" t="s">
        <v>1050</v>
      </c>
      <c r="B5738" s="1" t="n">
        <v>323.15</v>
      </c>
      <c r="C5738" s="1" t="n">
        <f aca="false">1/B5738</f>
        <v>0.00309453814018258</v>
      </c>
      <c r="D5738" s="1" t="n">
        <v>2.491</v>
      </c>
      <c r="E5738" s="1" t="n">
        <f aca="false">LN(D5738)</f>
        <v>0.912684236280043</v>
      </c>
    </row>
    <row r="5739" customFormat="false" ht="15.75" hidden="false" customHeight="false" outlineLevel="0" collapsed="false">
      <c r="A5739" s="1" t="s">
        <v>1050</v>
      </c>
      <c r="B5739" s="1" t="n">
        <v>333.15</v>
      </c>
      <c r="C5739" s="1" t="n">
        <f aca="false">1/B5739</f>
        <v>0.0030016509079994</v>
      </c>
      <c r="D5739" s="1" t="n">
        <v>2.06</v>
      </c>
      <c r="E5739" s="1" t="n">
        <f aca="false">LN(D5739)</f>
        <v>0.72270598280149</v>
      </c>
    </row>
    <row r="5740" customFormat="false" ht="15.75" hidden="false" customHeight="false" outlineLevel="0" collapsed="false">
      <c r="A5740" s="1" t="s">
        <v>1050</v>
      </c>
      <c r="B5740" s="1" t="n">
        <v>343.15</v>
      </c>
      <c r="C5740" s="1" t="n">
        <f aca="false">1/B5740</f>
        <v>0.00291417747340813</v>
      </c>
      <c r="D5740" s="1" t="n">
        <v>1.748</v>
      </c>
      <c r="E5740" s="1" t="n">
        <f aca="false">LN(D5740)</f>
        <v>0.558472277233344</v>
      </c>
    </row>
    <row r="5741" customFormat="false" ht="15.75" hidden="false" customHeight="false" outlineLevel="0" collapsed="false">
      <c r="A5741" s="1" t="s">
        <v>1050</v>
      </c>
      <c r="B5741" s="1" t="n">
        <v>353.15</v>
      </c>
      <c r="C5741" s="1" t="n">
        <f aca="false">1/B5741</f>
        <v>0.00283165793572137</v>
      </c>
      <c r="D5741" s="1" t="n">
        <v>1.484</v>
      </c>
      <c r="E5741" s="1" t="n">
        <f aca="false">LN(D5741)</f>
        <v>0.394741144745189</v>
      </c>
    </row>
    <row r="5742" customFormat="false" ht="15.75" hidden="false" customHeight="false" outlineLevel="0" collapsed="false">
      <c r="A5742" s="1" t="s">
        <v>1050</v>
      </c>
      <c r="B5742" s="1" t="n">
        <v>363.15</v>
      </c>
      <c r="C5742" s="1" t="n">
        <f aca="false">1/B5742</f>
        <v>0.00275368305108082</v>
      </c>
      <c r="D5742" s="1" t="n">
        <v>1.297</v>
      </c>
      <c r="E5742" s="1" t="n">
        <f aca="false">LN(D5742)</f>
        <v>0.260053905334307</v>
      </c>
    </row>
    <row r="5743" customFormat="false" ht="15.75" hidden="false" customHeight="false" outlineLevel="0" collapsed="false">
      <c r="A5743" s="1" t="s">
        <v>1050</v>
      </c>
      <c r="B5743" s="1" t="n">
        <v>373.15</v>
      </c>
      <c r="C5743" s="1" t="n">
        <f aca="false">1/B5743</f>
        <v>0.00267988744472732</v>
      </c>
      <c r="D5743" s="1" t="n">
        <v>1.131</v>
      </c>
      <c r="E5743" s="1" t="n">
        <f aca="false">LN(D5743)</f>
        <v>0.123102197133983</v>
      </c>
    </row>
    <row r="5744" customFormat="false" ht="15.75" hidden="false" customHeight="false" outlineLevel="0" collapsed="false">
      <c r="A5744" s="1" t="s">
        <v>250</v>
      </c>
      <c r="B5744" s="1" t="n">
        <v>333.15</v>
      </c>
      <c r="C5744" s="1" t="n">
        <f aca="false">1/B5744</f>
        <v>0.0030016509079994</v>
      </c>
      <c r="D5744" s="1" t="n">
        <v>11.94</v>
      </c>
      <c r="E5744" s="1" t="n">
        <f aca="false">LN(D5744)</f>
        <v>2.47989410796446</v>
      </c>
    </row>
    <row r="5745" customFormat="false" ht="15.75" hidden="false" customHeight="false" outlineLevel="0" collapsed="false">
      <c r="A5745" s="1" t="s">
        <v>250</v>
      </c>
      <c r="B5745" s="1" t="n">
        <v>348.15</v>
      </c>
      <c r="C5745" s="1" t="n">
        <f aca="false">1/B5745</f>
        <v>0.00287232514720666</v>
      </c>
      <c r="D5745" s="1" t="n">
        <v>7.38</v>
      </c>
      <c r="E5745" s="1" t="n">
        <f aca="false">LN(D5745)</f>
        <v>1.99877363861238</v>
      </c>
    </row>
    <row r="5746" customFormat="false" ht="15.75" hidden="false" customHeight="false" outlineLevel="0" collapsed="false">
      <c r="A5746" s="1" t="s">
        <v>250</v>
      </c>
      <c r="B5746" s="1" t="n">
        <v>363.15</v>
      </c>
      <c r="C5746" s="1" t="n">
        <f aca="false">1/B5746</f>
        <v>0.00275368305108082</v>
      </c>
      <c r="D5746" s="1" t="n">
        <v>6.377</v>
      </c>
      <c r="E5746" s="1" t="n">
        <f aca="false">LN(D5746)</f>
        <v>1.85269776733313</v>
      </c>
    </row>
    <row r="5747" customFormat="false" ht="15.75" hidden="false" customHeight="false" outlineLevel="0" collapsed="false">
      <c r="A5747" s="1" t="s">
        <v>1052</v>
      </c>
      <c r="B5747" s="1" t="n">
        <v>216.37</v>
      </c>
      <c r="C5747" s="1" t="n">
        <f aca="false">1/B5747</f>
        <v>0.00462171280676619</v>
      </c>
      <c r="D5747" s="1" t="n">
        <v>2.2547</v>
      </c>
      <c r="E5747" s="1" t="n">
        <f aca="false">LN(D5747)</f>
        <v>0.813016926410329</v>
      </c>
    </row>
    <row r="5748" customFormat="false" ht="15.75" hidden="false" customHeight="false" outlineLevel="0" collapsed="false">
      <c r="A5748" s="1" t="s">
        <v>1052</v>
      </c>
      <c r="B5748" s="1" t="n">
        <v>217.23</v>
      </c>
      <c r="C5748" s="1" t="n">
        <f aca="false">1/B5748</f>
        <v>0.00460341573447498</v>
      </c>
      <c r="D5748" s="1" t="n">
        <v>2.2015</v>
      </c>
      <c r="E5748" s="1" t="n">
        <f aca="false">LN(D5748)</f>
        <v>0.789138946213671</v>
      </c>
    </row>
    <row r="5749" customFormat="false" ht="15.75" hidden="false" customHeight="false" outlineLevel="0" collapsed="false">
      <c r="A5749" s="1" t="s">
        <v>1052</v>
      </c>
      <c r="B5749" s="1" t="n">
        <v>218.08</v>
      </c>
      <c r="C5749" s="1" t="n">
        <f aca="false">1/B5749</f>
        <v>0.00458547322083639</v>
      </c>
      <c r="D5749" s="1" t="n">
        <v>2.1502</v>
      </c>
      <c r="E5749" s="1" t="n">
        <f aca="false">LN(D5749)</f>
        <v>0.765560861068991</v>
      </c>
    </row>
    <row r="5750" customFormat="false" ht="15.75" hidden="false" customHeight="false" outlineLevel="0" collapsed="false">
      <c r="A5750" s="1" t="s">
        <v>1052</v>
      </c>
      <c r="B5750" s="1" t="n">
        <v>218.94</v>
      </c>
      <c r="C5750" s="1" t="n">
        <f aca="false">1/B5750</f>
        <v>0.00456746140495113</v>
      </c>
      <c r="D5750" s="1" t="n">
        <v>2.1008</v>
      </c>
      <c r="E5750" s="1" t="n">
        <f aca="false">LN(D5750)</f>
        <v>0.742318224566395</v>
      </c>
    </row>
    <row r="5751" customFormat="false" ht="15.75" hidden="false" customHeight="false" outlineLevel="0" collapsed="false">
      <c r="A5751" s="1" t="s">
        <v>1052</v>
      </c>
      <c r="B5751" s="1" t="n">
        <v>219.79</v>
      </c>
      <c r="C5751" s="1" t="n">
        <f aca="false">1/B5751</f>
        <v>0.00454979753400974</v>
      </c>
      <c r="D5751" s="1" t="n">
        <v>2.053</v>
      </c>
      <c r="E5751" s="1" t="n">
        <f aca="false">LN(D5751)</f>
        <v>0.719302138036796</v>
      </c>
    </row>
    <row r="5752" customFormat="false" ht="15.75" hidden="false" customHeight="false" outlineLevel="0" collapsed="false">
      <c r="A5752" s="1" t="s">
        <v>1052</v>
      </c>
      <c r="B5752" s="1" t="n">
        <v>220.65</v>
      </c>
      <c r="C5752" s="1" t="n">
        <f aca="false">1/B5752</f>
        <v>0.00453206435531385</v>
      </c>
      <c r="D5752" s="1" t="n">
        <v>2.0069</v>
      </c>
      <c r="E5752" s="1" t="n">
        <f aca="false">LN(D5752)</f>
        <v>0.6965912429625</v>
      </c>
    </row>
    <row r="5753" customFormat="false" ht="15.75" hidden="false" customHeight="false" outlineLevel="0" collapsed="false">
      <c r="A5753" s="1" t="s">
        <v>1052</v>
      </c>
      <c r="B5753" s="1" t="n">
        <v>221.51</v>
      </c>
      <c r="C5753" s="1" t="n">
        <f aca="false">1/B5753</f>
        <v>0.00451446887273712</v>
      </c>
      <c r="D5753" s="1" t="n">
        <v>1.9623</v>
      </c>
      <c r="E5753" s="1" t="n">
        <f aca="false">LN(D5753)</f>
        <v>0.67411725465314</v>
      </c>
    </row>
    <row r="5754" customFormat="false" ht="15.75" hidden="false" customHeight="false" outlineLevel="0" collapsed="false">
      <c r="A5754" s="1" t="s">
        <v>1052</v>
      </c>
      <c r="B5754" s="1" t="n">
        <v>222.36</v>
      </c>
      <c r="C5754" s="1" t="n">
        <f aca="false">1/B5754</f>
        <v>0.00449721172872819</v>
      </c>
      <c r="D5754" s="1" t="n">
        <v>1.9192</v>
      </c>
      <c r="E5754" s="1" t="n">
        <f aca="false">LN(D5754)</f>
        <v>0.651908432543348</v>
      </c>
    </row>
    <row r="5755" customFormat="false" ht="15.75" hidden="false" customHeight="false" outlineLevel="0" collapsed="false">
      <c r="A5755" s="1" t="s">
        <v>1052</v>
      </c>
      <c r="B5755" s="1" t="n">
        <v>223.22</v>
      </c>
      <c r="C5755" s="1" t="n">
        <f aca="false">1/B5755</f>
        <v>0.00447988531493594</v>
      </c>
      <c r="D5755" s="1" t="n">
        <v>1.8776</v>
      </c>
      <c r="E5755" s="1" t="n">
        <f aca="false">LN(D5755)</f>
        <v>0.629994365554677</v>
      </c>
    </row>
    <row r="5756" customFormat="false" ht="15.75" hidden="false" customHeight="false" outlineLevel="0" collapsed="false">
      <c r="A5756" s="1" t="s">
        <v>1052</v>
      </c>
      <c r="B5756" s="1" t="n">
        <v>224.07</v>
      </c>
      <c r="C5756" s="1" t="n">
        <f aca="false">1/B5756</f>
        <v>0.00446289106082921</v>
      </c>
      <c r="D5756" s="1" t="n">
        <v>1.8373</v>
      </c>
      <c r="E5756" s="1" t="n">
        <f aca="false">LN(D5756)</f>
        <v>0.608297102643552</v>
      </c>
    </row>
    <row r="5757" customFormat="false" ht="15.75" hidden="false" customHeight="false" outlineLevel="0" collapsed="false">
      <c r="A5757" s="1" t="s">
        <v>1052</v>
      </c>
      <c r="B5757" s="1" t="n">
        <v>224.93</v>
      </c>
      <c r="C5757" s="1" t="n">
        <f aca="false">1/B5757</f>
        <v>0.00444582759080603</v>
      </c>
      <c r="D5757" s="1" t="n">
        <v>1.7983</v>
      </c>
      <c r="E5757" s="1" t="n">
        <f aca="false">LN(D5757)</f>
        <v>0.586841774189014</v>
      </c>
    </row>
    <row r="5758" customFormat="false" ht="15.75" hidden="false" customHeight="false" outlineLevel="0" collapsed="false">
      <c r="A5758" s="1" t="s">
        <v>1052</v>
      </c>
      <c r="B5758" s="1" t="n">
        <v>225.79</v>
      </c>
      <c r="C5758" s="1" t="n">
        <f aca="false">1/B5758</f>
        <v>0.00442889410514195</v>
      </c>
      <c r="D5758" s="1" t="n">
        <v>1.7606</v>
      </c>
      <c r="E5758" s="1" t="n">
        <f aca="false">LN(D5758)</f>
        <v>0.565654660044669</v>
      </c>
    </row>
    <row r="5759" customFormat="false" ht="15.75" hidden="false" customHeight="false" outlineLevel="0" collapsed="false">
      <c r="A5759" s="1" t="s">
        <v>1052</v>
      </c>
      <c r="B5759" s="1" t="n">
        <v>226.64</v>
      </c>
      <c r="C5759" s="1" t="n">
        <f aca="false">1/B5759</f>
        <v>0.00441228379809389</v>
      </c>
      <c r="D5759" s="1" t="n">
        <v>1.7241</v>
      </c>
      <c r="E5759" s="1" t="n">
        <f aca="false">LN(D5759)</f>
        <v>0.544705175199668</v>
      </c>
    </row>
    <row r="5760" customFormat="false" ht="15.75" hidden="false" customHeight="false" outlineLevel="0" collapsed="false">
      <c r="A5760" s="1" t="s">
        <v>1052</v>
      </c>
      <c r="B5760" s="1" t="n">
        <v>227.5</v>
      </c>
      <c r="C5760" s="1" t="n">
        <f aca="false">1/B5760</f>
        <v>0.0043956043956044</v>
      </c>
      <c r="D5760" s="1" t="n">
        <v>1.6887</v>
      </c>
      <c r="E5760" s="1" t="n">
        <f aca="false">LN(D5760)</f>
        <v>0.523959002155954</v>
      </c>
    </row>
    <row r="5761" customFormat="false" ht="15.75" hidden="false" customHeight="false" outlineLevel="0" collapsed="false">
      <c r="A5761" s="1" t="s">
        <v>1052</v>
      </c>
      <c r="B5761" s="1" t="n">
        <v>228.35</v>
      </c>
      <c r="C5761" s="1" t="n">
        <f aca="false">1/B5761</f>
        <v>0.00437924239106635</v>
      </c>
      <c r="D5761" s="1" t="n">
        <v>1.6544</v>
      </c>
      <c r="E5761" s="1" t="n">
        <f aca="false">LN(D5761)</f>
        <v>0.503438405331973</v>
      </c>
    </row>
    <row r="5762" customFormat="false" ht="15.75" hidden="false" customHeight="false" outlineLevel="0" collapsed="false">
      <c r="A5762" s="1" t="s">
        <v>1052</v>
      </c>
      <c r="B5762" s="1" t="n">
        <v>229.21</v>
      </c>
      <c r="C5762" s="1" t="n">
        <f aca="false">1/B5762</f>
        <v>0.00436281139566337</v>
      </c>
      <c r="D5762" s="1" t="n">
        <v>1.6211</v>
      </c>
      <c r="E5762" s="1" t="n">
        <f aca="false">LN(D5762)</f>
        <v>0.48310493116539</v>
      </c>
    </row>
    <row r="5763" customFormat="false" ht="15.75" hidden="false" customHeight="false" outlineLevel="0" collapsed="false">
      <c r="A5763" s="1" t="s">
        <v>1052</v>
      </c>
      <c r="B5763" s="1" t="n">
        <v>230.07</v>
      </c>
      <c r="C5763" s="1" t="n">
        <f aca="false">1/B5763</f>
        <v>0.00434650323814491</v>
      </c>
      <c r="D5763" s="1" t="n">
        <v>1.5889</v>
      </c>
      <c r="E5763" s="1" t="n">
        <f aca="false">LN(D5763)</f>
        <v>0.463041952912184</v>
      </c>
    </row>
    <row r="5764" customFormat="false" ht="15.75" hidden="false" customHeight="false" outlineLevel="0" collapsed="false">
      <c r="A5764" s="1" t="s">
        <v>1052</v>
      </c>
      <c r="B5764" s="1" t="n">
        <v>230.92</v>
      </c>
      <c r="C5764" s="1" t="n">
        <f aca="false">1/B5764</f>
        <v>0.00433050407067383</v>
      </c>
      <c r="D5764" s="1" t="n">
        <v>1.5577</v>
      </c>
      <c r="E5764" s="1" t="n">
        <f aca="false">LN(D5764)</f>
        <v>0.443210374350423</v>
      </c>
    </row>
    <row r="5765" customFormat="false" ht="15.75" hidden="false" customHeight="false" outlineLevel="0" collapsed="false">
      <c r="A5765" s="1" t="s">
        <v>1052</v>
      </c>
      <c r="B5765" s="1" t="n">
        <v>231.78</v>
      </c>
      <c r="C5765" s="1" t="n">
        <f aca="false">1/B5765</f>
        <v>0.00431443610320131</v>
      </c>
      <c r="D5765" s="1" t="n">
        <v>1.5274</v>
      </c>
      <c r="E5765" s="1" t="n">
        <f aca="false">LN(D5765)</f>
        <v>0.423566943472147</v>
      </c>
    </row>
    <row r="5766" customFormat="false" ht="15.75" hidden="false" customHeight="false" outlineLevel="0" collapsed="false">
      <c r="A5766" s="1" t="s">
        <v>1052</v>
      </c>
      <c r="B5766" s="1" t="n">
        <v>232.63</v>
      </c>
      <c r="C5766" s="1" t="n">
        <f aca="false">1/B5766</f>
        <v>0.00429867171044147</v>
      </c>
      <c r="D5766" s="1" t="n">
        <v>1.4979</v>
      </c>
      <c r="E5766" s="1" t="n">
        <f aca="false">LN(D5766)</f>
        <v>0.404064127192536</v>
      </c>
    </row>
    <row r="5767" customFormat="false" ht="15.75" hidden="false" customHeight="false" outlineLevel="0" collapsed="false">
      <c r="A5767" s="1" t="s">
        <v>1052</v>
      </c>
      <c r="B5767" s="1" t="n">
        <v>233.49</v>
      </c>
      <c r="C5767" s="1" t="n">
        <f aca="false">1/B5767</f>
        <v>0.00428283866546747</v>
      </c>
      <c r="D5767" s="1" t="n">
        <v>1.4694</v>
      </c>
      <c r="E5767" s="1" t="n">
        <f aca="false">LN(D5767)</f>
        <v>0.38485415420404</v>
      </c>
    </row>
    <row r="5768" customFormat="false" ht="15.75" hidden="false" customHeight="false" outlineLevel="0" collapsed="false">
      <c r="A5768" s="1" t="s">
        <v>1052</v>
      </c>
      <c r="B5768" s="1" t="n">
        <v>234.35</v>
      </c>
      <c r="C5768" s="1" t="n">
        <f aca="false">1/B5768</f>
        <v>0.00426712182632814</v>
      </c>
      <c r="D5768" s="1" t="n">
        <v>1.4416</v>
      </c>
      <c r="E5768" s="1" t="n">
        <f aca="false">LN(D5768)</f>
        <v>0.365753607871936</v>
      </c>
    </row>
    <row r="5769" customFormat="false" ht="15.75" hidden="false" customHeight="false" outlineLevel="0" collapsed="false">
      <c r="A5769" s="1" t="s">
        <v>1052</v>
      </c>
      <c r="B5769" s="1" t="n">
        <v>235.2</v>
      </c>
      <c r="C5769" s="1" t="n">
        <f aca="false">1/B5769</f>
        <v>0.00425170068027211</v>
      </c>
      <c r="D5769" s="1" t="n">
        <v>1.4147</v>
      </c>
      <c r="E5769" s="1" t="n">
        <f aca="false">LN(D5769)</f>
        <v>0.346917494482752</v>
      </c>
    </row>
    <row r="5770" customFormat="false" ht="15.75" hidden="false" customHeight="false" outlineLevel="0" collapsed="false">
      <c r="A5770" s="1" t="s">
        <v>1052</v>
      </c>
      <c r="B5770" s="1" t="n">
        <v>236.06</v>
      </c>
      <c r="C5770" s="1" t="n">
        <f aca="false">1/B5770</f>
        <v>0.00423621113276286</v>
      </c>
      <c r="D5770" s="1" t="n">
        <v>1.3886</v>
      </c>
      <c r="E5770" s="1" t="n">
        <f aca="false">LN(D5770)</f>
        <v>0.328296045337036</v>
      </c>
    </row>
    <row r="5771" customFormat="false" ht="15.75" hidden="false" customHeight="false" outlineLevel="0" collapsed="false">
      <c r="A5771" s="1" t="s">
        <v>1052</v>
      </c>
      <c r="B5771" s="1" t="n">
        <v>236.92</v>
      </c>
      <c r="C5771" s="1" t="n">
        <f aca="false">1/B5771</f>
        <v>0.00422083403680567</v>
      </c>
      <c r="D5771" s="1" t="n">
        <v>1.3631</v>
      </c>
      <c r="E5771" s="1" t="n">
        <f aca="false">LN(D5771)</f>
        <v>0.30976151759466</v>
      </c>
    </row>
    <row r="5772" customFormat="false" ht="15.75" hidden="false" customHeight="false" outlineLevel="0" collapsed="false">
      <c r="A5772" s="1" t="s">
        <v>1052</v>
      </c>
      <c r="B5772" s="1" t="n">
        <v>237.77</v>
      </c>
      <c r="C5772" s="1" t="n">
        <f aca="false">1/B5772</f>
        <v>0.00420574504773521</v>
      </c>
      <c r="D5772" s="1" t="n">
        <v>1.3384</v>
      </c>
      <c r="E5772" s="1" t="n">
        <f aca="false">LN(D5772)</f>
        <v>0.291474870690477</v>
      </c>
    </row>
    <row r="5773" customFormat="false" ht="15.75" hidden="false" customHeight="false" outlineLevel="0" collapsed="false">
      <c r="A5773" s="1" t="s">
        <v>1052</v>
      </c>
      <c r="B5773" s="1" t="n">
        <v>238.63</v>
      </c>
      <c r="C5773" s="1" t="n">
        <f aca="false">1/B5773</f>
        <v>0.00419058793948791</v>
      </c>
      <c r="D5773" s="1" t="n">
        <v>1.3144</v>
      </c>
      <c r="E5773" s="1" t="n">
        <f aca="false">LN(D5773)</f>
        <v>0.273380287740921</v>
      </c>
    </row>
    <row r="5774" customFormat="false" ht="15.75" hidden="false" customHeight="false" outlineLevel="0" collapsed="false">
      <c r="A5774" s="1" t="s">
        <v>1052</v>
      </c>
      <c r="B5774" s="1" t="n">
        <v>239.48</v>
      </c>
      <c r="C5774" s="1" t="n">
        <f aca="false">1/B5774</f>
        <v>0.00417571404710206</v>
      </c>
      <c r="D5774" s="1" t="n">
        <v>1.291</v>
      </c>
      <c r="E5774" s="1" t="n">
        <f aca="false">LN(D5774)</f>
        <v>0.255417111864505</v>
      </c>
    </row>
    <row r="5775" customFormat="false" ht="15.75" hidden="false" customHeight="false" outlineLevel="0" collapsed="false">
      <c r="A5775" s="1" t="s">
        <v>1052</v>
      </c>
      <c r="B5775" s="1" t="n">
        <v>240.34</v>
      </c>
      <c r="C5775" s="1" t="n">
        <f aca="false">1/B5775</f>
        <v>0.00416077223932762</v>
      </c>
      <c r="D5775" s="1" t="n">
        <v>1.2683</v>
      </c>
      <c r="E5775" s="1" t="n">
        <f aca="false">LN(D5775)</f>
        <v>0.237677421091247</v>
      </c>
    </row>
    <row r="5776" customFormat="false" ht="15.75" hidden="false" customHeight="false" outlineLevel="0" collapsed="false">
      <c r="A5776" s="1" t="s">
        <v>1052</v>
      </c>
      <c r="B5776" s="1" t="n">
        <v>241.2</v>
      </c>
      <c r="C5776" s="1" t="n">
        <f aca="false">1/B5776</f>
        <v>0.00414593698175788</v>
      </c>
      <c r="D5776" s="1" t="n">
        <v>1.2462</v>
      </c>
      <c r="E5776" s="1" t="n">
        <f aca="false">LN(D5776)</f>
        <v>0.220098921127985</v>
      </c>
    </row>
    <row r="5777" customFormat="false" ht="15.75" hidden="false" customHeight="false" outlineLevel="0" collapsed="false">
      <c r="A5777" s="1" t="s">
        <v>1052</v>
      </c>
      <c r="B5777" s="1" t="n">
        <v>242.05</v>
      </c>
      <c r="C5777" s="1" t="n">
        <f aca="false">1/B5777</f>
        <v>0.00413137781450114</v>
      </c>
      <c r="D5777" s="1" t="n">
        <v>1.2247</v>
      </c>
      <c r="E5777" s="1" t="n">
        <f aca="false">LN(D5777)</f>
        <v>0.202695916045104</v>
      </c>
    </row>
    <row r="5778" customFormat="false" ht="15.75" hidden="false" customHeight="false" outlineLevel="0" collapsed="false">
      <c r="A5778" s="1" t="s">
        <v>1052</v>
      </c>
      <c r="B5778" s="1" t="n">
        <v>242.91</v>
      </c>
      <c r="C5778" s="1" t="n">
        <f aca="false">1/B5778</f>
        <v>0.0041167510600634</v>
      </c>
      <c r="D5778" s="1" t="n">
        <v>1.2037</v>
      </c>
      <c r="E5778" s="1" t="n">
        <f aca="false">LN(D5778)</f>
        <v>0.185400146403552</v>
      </c>
    </row>
    <row r="5779" customFormat="false" ht="15.75" hidden="false" customHeight="false" outlineLevel="0" collapsed="false">
      <c r="A5779" s="1" t="s">
        <v>1052</v>
      </c>
      <c r="B5779" s="1" t="n">
        <v>243.76</v>
      </c>
      <c r="C5779" s="1" t="n">
        <f aca="false">1/B5779</f>
        <v>0.0041023957991467</v>
      </c>
      <c r="D5779" s="1" t="n">
        <v>1.1833</v>
      </c>
      <c r="E5779" s="1" t="n">
        <f aca="false">LN(D5779)</f>
        <v>0.168307145408376</v>
      </c>
    </row>
    <row r="5780" customFormat="false" ht="15.75" hidden="false" customHeight="false" outlineLevel="0" collapsed="false">
      <c r="A5780" s="1" t="s">
        <v>1052</v>
      </c>
      <c r="B5780" s="1" t="n">
        <v>244.62</v>
      </c>
      <c r="C5780" s="1" t="n">
        <f aca="false">1/B5780</f>
        <v>0.00408797318289592</v>
      </c>
      <c r="D5780" s="1" t="n">
        <v>1.1635</v>
      </c>
      <c r="E5780" s="1" t="n">
        <f aca="false">LN(D5780)</f>
        <v>0.151432703760209</v>
      </c>
    </row>
    <row r="5781" customFormat="false" ht="15.75" hidden="false" customHeight="false" outlineLevel="0" collapsed="false">
      <c r="A5781" s="1" t="s">
        <v>1052</v>
      </c>
      <c r="B5781" s="1" t="n">
        <v>245.48</v>
      </c>
      <c r="C5781" s="1" t="n">
        <f aca="false">1/B5781</f>
        <v>0.00407365162131335</v>
      </c>
      <c r="D5781" s="1" t="n">
        <v>1.1441</v>
      </c>
      <c r="E5781" s="1" t="n">
        <f aca="false">LN(D5781)</f>
        <v>0.134618301724761</v>
      </c>
    </row>
    <row r="5782" customFormat="false" ht="15.75" hidden="false" customHeight="false" outlineLevel="0" collapsed="false">
      <c r="A5782" s="1" t="s">
        <v>1052</v>
      </c>
      <c r="B5782" s="1" t="n">
        <v>246.33</v>
      </c>
      <c r="C5782" s="1" t="n">
        <f aca="false">1/B5782</f>
        <v>0.00405959485243373</v>
      </c>
      <c r="D5782" s="1" t="n">
        <v>1.1253</v>
      </c>
      <c r="E5782" s="1" t="n">
        <f aca="false">LN(D5782)</f>
        <v>0.118049666773814</v>
      </c>
    </row>
    <row r="5783" customFormat="false" ht="15.75" hidden="false" customHeight="false" outlineLevel="0" collapsed="false">
      <c r="A5783" s="1" t="s">
        <v>1052</v>
      </c>
      <c r="B5783" s="1" t="n">
        <v>247.19</v>
      </c>
      <c r="C5783" s="1" t="n">
        <f aca="false">1/B5783</f>
        <v>0.00404547109510903</v>
      </c>
      <c r="D5783" s="1" t="n">
        <v>1.1069</v>
      </c>
      <c r="E5783" s="1" t="n">
        <f aca="false">LN(D5783)</f>
        <v>0.101563315409441</v>
      </c>
    </row>
    <row r="5784" customFormat="false" ht="15.75" hidden="false" customHeight="false" outlineLevel="0" collapsed="false">
      <c r="A5784" s="1" t="s">
        <v>1052</v>
      </c>
      <c r="B5784" s="1" t="n">
        <v>248.04</v>
      </c>
      <c r="C5784" s="1" t="n">
        <f aca="false">1/B5784</f>
        <v>0.00403160780519271</v>
      </c>
      <c r="D5784" s="1" t="n">
        <v>1.089</v>
      </c>
      <c r="E5784" s="1" t="n">
        <f aca="false">LN(D5784)</f>
        <v>0.0852598439508234</v>
      </c>
    </row>
    <row r="5785" customFormat="false" ht="15.75" hidden="false" customHeight="false" outlineLevel="0" collapsed="false">
      <c r="A5785" s="1" t="s">
        <v>1052</v>
      </c>
      <c r="B5785" s="1" t="n">
        <v>248.9</v>
      </c>
      <c r="C5785" s="1" t="n">
        <f aca="false">1/B5785</f>
        <v>0.00401767778224186</v>
      </c>
      <c r="D5785" s="1" t="n">
        <v>1.0715</v>
      </c>
      <c r="E5785" s="1" t="n">
        <f aca="false">LN(D5785)</f>
        <v>0.0690595359314946</v>
      </c>
    </row>
    <row r="5786" customFormat="false" ht="15.75" hidden="false" customHeight="false" outlineLevel="0" collapsed="false">
      <c r="A5786" s="1" t="s">
        <v>1052</v>
      </c>
      <c r="B5786" s="1" t="n">
        <v>249.76</v>
      </c>
      <c r="C5786" s="1" t="n">
        <f aca="false">1/B5786</f>
        <v>0.00400384368994235</v>
      </c>
      <c r="D5786" s="1" t="n">
        <v>1.0545</v>
      </c>
      <c r="E5786" s="1" t="n">
        <f aca="false">LN(D5786)</f>
        <v>0.0530667209366922</v>
      </c>
    </row>
    <row r="5787" customFormat="false" ht="15.75" hidden="false" customHeight="false" outlineLevel="0" collapsed="false">
      <c r="A5787" s="1" t="s">
        <v>1052</v>
      </c>
      <c r="B5787" s="1" t="n">
        <v>250.61</v>
      </c>
      <c r="C5787" s="1" t="n">
        <f aca="false">1/B5787</f>
        <v>0.0039902637564343</v>
      </c>
      <c r="D5787" s="1" t="n">
        <v>1.0379</v>
      </c>
      <c r="E5787" s="1" t="n">
        <f aca="false">LN(D5787)</f>
        <v>0.0371994409891063</v>
      </c>
    </row>
    <row r="5788" customFormat="false" ht="15.75" hidden="false" customHeight="false" outlineLevel="0" collapsed="false">
      <c r="A5788" s="1" t="s">
        <v>1052</v>
      </c>
      <c r="B5788" s="1" t="n">
        <v>251.47</v>
      </c>
      <c r="C5788" s="1" t="n">
        <f aca="false">1/B5788</f>
        <v>0.00397661748916372</v>
      </c>
      <c r="D5788" s="1" t="n">
        <v>1.0217</v>
      </c>
      <c r="E5788" s="1" t="n">
        <f aca="false">LN(D5788)</f>
        <v>0.021467906615241</v>
      </c>
    </row>
    <row r="5789" customFormat="false" ht="15.75" hidden="false" customHeight="false" outlineLevel="0" collapsed="false">
      <c r="A5789" s="1" t="s">
        <v>1052</v>
      </c>
      <c r="B5789" s="1" t="n">
        <v>252.32</v>
      </c>
      <c r="C5789" s="1" t="n">
        <f aca="false">1/B5789</f>
        <v>0.00396322130627774</v>
      </c>
      <c r="D5789" s="1" t="n">
        <v>1.0059</v>
      </c>
      <c r="E5789" s="1" t="n">
        <f aca="false">LN(D5789)</f>
        <v>0.00588266315815551</v>
      </c>
    </row>
    <row r="5790" customFormat="false" ht="15.75" hidden="false" customHeight="false" outlineLevel="0" collapsed="false">
      <c r="A5790" s="1" t="s">
        <v>1052</v>
      </c>
      <c r="B5790" s="1" t="n">
        <v>253.18</v>
      </c>
      <c r="C5790" s="1" t="n">
        <f aca="false">1/B5790</f>
        <v>0.00394975906469705</v>
      </c>
      <c r="D5790" s="1" t="n">
        <v>0.99045</v>
      </c>
      <c r="E5790" s="1" t="n">
        <f aca="false">LN(D5790)</f>
        <v>-0.00959589367344694</v>
      </c>
    </row>
    <row r="5791" customFormat="false" ht="15.75" hidden="false" customHeight="false" outlineLevel="0" collapsed="false">
      <c r="A5791" s="1" t="s">
        <v>1052</v>
      </c>
      <c r="B5791" s="1" t="n">
        <v>254.04</v>
      </c>
      <c r="C5791" s="1" t="n">
        <f aca="false">1/B5791</f>
        <v>0.00393638797039836</v>
      </c>
      <c r="D5791" s="1" t="n">
        <v>0.97539</v>
      </c>
      <c r="E5791" s="1" t="n">
        <f aca="false">LN(D5791)</f>
        <v>-0.024917887962963</v>
      </c>
    </row>
    <row r="5792" customFormat="false" ht="15.75" hidden="false" customHeight="false" outlineLevel="0" collapsed="false">
      <c r="A5792" s="1" t="s">
        <v>1052</v>
      </c>
      <c r="B5792" s="1" t="n">
        <v>254.89</v>
      </c>
      <c r="C5792" s="1" t="n">
        <f aca="false">1/B5792</f>
        <v>0.0039232610145553</v>
      </c>
      <c r="D5792" s="1" t="n">
        <v>0.96069</v>
      </c>
      <c r="E5792" s="1" t="n">
        <f aca="false">LN(D5792)</f>
        <v>-0.0401035026973339</v>
      </c>
    </row>
    <row r="5793" customFormat="false" ht="15.75" hidden="false" customHeight="false" outlineLevel="0" collapsed="false">
      <c r="A5793" s="1" t="s">
        <v>1052</v>
      </c>
      <c r="B5793" s="1" t="n">
        <v>255.75</v>
      </c>
      <c r="C5793" s="1" t="n">
        <f aca="false">1/B5793</f>
        <v>0.00391006842619746</v>
      </c>
      <c r="D5793" s="1" t="n">
        <v>0.94633</v>
      </c>
      <c r="E5793" s="1" t="n">
        <f aca="false">LN(D5793)</f>
        <v>-0.0551639335505097</v>
      </c>
    </row>
    <row r="5794" customFormat="false" ht="15.75" hidden="false" customHeight="false" outlineLevel="0" collapsed="false">
      <c r="A5794" s="1" t="s">
        <v>1052</v>
      </c>
      <c r="B5794" s="1" t="n">
        <v>256.6</v>
      </c>
      <c r="C5794" s="1" t="n">
        <f aca="false">1/B5794</f>
        <v>0.00389711613406079</v>
      </c>
      <c r="D5794" s="1" t="n">
        <v>0.93231</v>
      </c>
      <c r="E5794" s="1" t="n">
        <f aca="false">LN(D5794)</f>
        <v>-0.070089901575907</v>
      </c>
    </row>
    <row r="5795" customFormat="false" ht="15.75" hidden="false" customHeight="false" outlineLevel="0" collapsed="false">
      <c r="A5795" s="1" t="s">
        <v>1052</v>
      </c>
      <c r="B5795" s="1" t="n">
        <v>257.46</v>
      </c>
      <c r="C5795" s="1" t="n">
        <f aca="false">1/B5795</f>
        <v>0.00388409850073798</v>
      </c>
      <c r="D5795" s="1" t="n">
        <v>0.91862</v>
      </c>
      <c r="E5795" s="1" t="n">
        <f aca="false">LN(D5795)</f>
        <v>-0.0848827350653182</v>
      </c>
    </row>
    <row r="5796" customFormat="false" ht="15.75" hidden="false" customHeight="false" outlineLevel="0" collapsed="false">
      <c r="A5796" s="1" t="s">
        <v>1052</v>
      </c>
      <c r="B5796" s="1" t="n">
        <v>258.32</v>
      </c>
      <c r="C5796" s="1" t="n">
        <f aca="false">1/B5796</f>
        <v>0.00387116754413131</v>
      </c>
      <c r="D5796" s="1" t="n">
        <v>0.90524</v>
      </c>
      <c r="E5796" s="1" t="n">
        <f aca="false">LN(D5796)</f>
        <v>-0.0995551770695914</v>
      </c>
    </row>
    <row r="5797" customFormat="false" ht="15.75" hidden="false" customHeight="false" outlineLevel="0" collapsed="false">
      <c r="A5797" s="1" t="s">
        <v>1052</v>
      </c>
      <c r="B5797" s="1" t="n">
        <v>259.17</v>
      </c>
      <c r="C5797" s="1" t="n">
        <f aca="false">1/B5797</f>
        <v>0.00385847127368137</v>
      </c>
      <c r="D5797" s="1" t="n">
        <v>0.89216</v>
      </c>
      <c r="E5797" s="1" t="n">
        <f aca="false">LN(D5797)</f>
        <v>-0.114109790290087</v>
      </c>
    </row>
    <row r="5798" customFormat="false" ht="15.75" hidden="false" customHeight="false" outlineLevel="0" collapsed="false">
      <c r="A5798" s="1" t="s">
        <v>1052</v>
      </c>
      <c r="B5798" s="1" t="n">
        <v>260.03</v>
      </c>
      <c r="C5798" s="1" t="n">
        <f aca="false">1/B5798</f>
        <v>0.00384571011037188</v>
      </c>
      <c r="D5798" s="1" t="n">
        <v>0.87939</v>
      </c>
      <c r="E5798" s="1" t="n">
        <f aca="false">LN(D5798)</f>
        <v>-0.128526793689666</v>
      </c>
    </row>
    <row r="5799" customFormat="false" ht="15.75" hidden="false" customHeight="false" outlineLevel="0" collapsed="false">
      <c r="A5799" s="1" t="s">
        <v>1052</v>
      </c>
      <c r="B5799" s="1" t="n">
        <v>260.88</v>
      </c>
      <c r="C5799" s="1" t="n">
        <f aca="false">1/B5799</f>
        <v>0.00383318000613309</v>
      </c>
      <c r="D5799" s="1" t="n">
        <v>0.8669</v>
      </c>
      <c r="E5799" s="1" t="n">
        <f aca="false">LN(D5799)</f>
        <v>-0.142831649107542</v>
      </c>
    </row>
    <row r="5800" customFormat="false" ht="15.75" hidden="false" customHeight="false" outlineLevel="0" collapsed="false">
      <c r="A5800" s="1" t="s">
        <v>1052</v>
      </c>
      <c r="B5800" s="1" t="n">
        <v>261.74</v>
      </c>
      <c r="C5800" s="1" t="n">
        <f aca="false">1/B5800</f>
        <v>0.00382058531367005</v>
      </c>
      <c r="D5800" s="1" t="n">
        <v>0.85468</v>
      </c>
      <c r="E5800" s="1" t="n">
        <f aca="false">LN(D5800)</f>
        <v>-0.15702814910735</v>
      </c>
    </row>
    <row r="5801" customFormat="false" ht="15.75" hidden="false" customHeight="false" outlineLevel="0" collapsed="false">
      <c r="A5801" s="1" t="s">
        <v>1052</v>
      </c>
      <c r="B5801" s="1" t="n">
        <v>262.6</v>
      </c>
      <c r="C5801" s="1" t="n">
        <f aca="false">1/B5801</f>
        <v>0.00380807311500381</v>
      </c>
      <c r="D5801" s="1" t="n">
        <v>0.84274</v>
      </c>
      <c r="E5801" s="1" t="n">
        <f aca="false">LN(D5801)</f>
        <v>-0.171096790853526</v>
      </c>
    </row>
    <row r="5802" customFormat="false" ht="15.75" hidden="false" customHeight="false" outlineLevel="0" collapsed="false">
      <c r="A5802" s="1" t="s">
        <v>1052</v>
      </c>
      <c r="B5802" s="1" t="n">
        <v>263.45</v>
      </c>
      <c r="C5802" s="1" t="n">
        <f aca="false">1/B5802</f>
        <v>0.00379578667678876</v>
      </c>
      <c r="D5802" s="1" t="n">
        <v>0.83106</v>
      </c>
      <c r="E5802" s="1" t="n">
        <f aca="false">LN(D5802)</f>
        <v>-0.185053284567075</v>
      </c>
    </row>
    <row r="5803" customFormat="false" ht="15.75" hidden="false" customHeight="false" outlineLevel="0" collapsed="false">
      <c r="A5803" s="1" t="s">
        <v>1052</v>
      </c>
      <c r="B5803" s="1" t="n">
        <v>264.31</v>
      </c>
      <c r="C5803" s="1" t="n">
        <f aca="false">1/B5803</f>
        <v>0.00378343611668117</v>
      </c>
      <c r="D5803" s="1" t="n">
        <v>0.81964</v>
      </c>
      <c r="E5803" s="1" t="n">
        <f aca="false">LN(D5803)</f>
        <v>-0.198890059513505</v>
      </c>
    </row>
    <row r="5804" customFormat="false" ht="15.75" hidden="false" customHeight="false" outlineLevel="0" collapsed="false">
      <c r="A5804" s="1" t="s">
        <v>1052</v>
      </c>
      <c r="B5804" s="1" t="n">
        <v>265.16</v>
      </c>
      <c r="C5804" s="1" t="n">
        <f aca="false">1/B5804</f>
        <v>0.0037713078895761</v>
      </c>
      <c r="D5804" s="1" t="n">
        <v>0.80846</v>
      </c>
      <c r="E5804" s="1" t="n">
        <f aca="false">LN(D5804)</f>
        <v>-0.212624075524059</v>
      </c>
    </row>
    <row r="5805" customFormat="false" ht="15.75" hidden="false" customHeight="false" outlineLevel="0" collapsed="false">
      <c r="A5805" s="1" t="s">
        <v>1052</v>
      </c>
      <c r="B5805" s="1" t="n">
        <v>266.02</v>
      </c>
      <c r="C5805" s="1" t="n">
        <f aca="false">1/B5805</f>
        <v>0.00375911585595068</v>
      </c>
      <c r="D5805" s="1" t="n">
        <v>0.79752</v>
      </c>
      <c r="E5805" s="1" t="n">
        <f aca="false">LN(D5805)</f>
        <v>-0.226248366267688</v>
      </c>
    </row>
    <row r="5806" customFormat="false" ht="15.75" hidden="false" customHeight="false" outlineLevel="0" collapsed="false">
      <c r="A5806" s="1" t="s">
        <v>1052</v>
      </c>
      <c r="B5806" s="1" t="n">
        <v>266.88</v>
      </c>
      <c r="C5806" s="1" t="n">
        <f aca="false">1/B5806</f>
        <v>0.00374700239808153</v>
      </c>
      <c r="D5806" s="1" t="n">
        <v>0.78682</v>
      </c>
      <c r="E5806" s="1" t="n">
        <f aca="false">LN(D5806)</f>
        <v>-0.239755773369864</v>
      </c>
    </row>
    <row r="5807" customFormat="false" ht="15.75" hidden="false" customHeight="false" outlineLevel="0" collapsed="false">
      <c r="A5807" s="1" t="s">
        <v>1052</v>
      </c>
      <c r="B5807" s="1" t="n">
        <v>267.73</v>
      </c>
      <c r="C5807" s="1" t="n">
        <f aca="false">1/B5807</f>
        <v>0.0037351062637732</v>
      </c>
      <c r="D5807" s="1" t="n">
        <v>0.77634</v>
      </c>
      <c r="E5807" s="1" t="n">
        <f aca="false">LN(D5807)</f>
        <v>-0.253164710426221</v>
      </c>
    </row>
    <row r="5808" customFormat="false" ht="15.75" hidden="false" customHeight="false" outlineLevel="0" collapsed="false">
      <c r="A5808" s="1" t="s">
        <v>1052</v>
      </c>
      <c r="B5808" s="1" t="n">
        <v>268.59</v>
      </c>
      <c r="C5808" s="1" t="n">
        <f aca="false">1/B5808</f>
        <v>0.00372314680367847</v>
      </c>
      <c r="D5808" s="1" t="n">
        <v>0.76609</v>
      </c>
      <c r="E5808" s="1" t="n">
        <f aca="false">LN(D5808)</f>
        <v>-0.266455622670778</v>
      </c>
    </row>
    <row r="5809" customFormat="false" ht="15.75" hidden="false" customHeight="false" outlineLevel="0" collapsed="false">
      <c r="A5809" s="1" t="s">
        <v>1052</v>
      </c>
      <c r="B5809" s="1" t="n">
        <v>269.45</v>
      </c>
      <c r="C5809" s="1" t="n">
        <f aca="false">1/B5809</f>
        <v>0.00371126368528484</v>
      </c>
      <c r="D5809" s="1" t="n">
        <v>0.75605</v>
      </c>
      <c r="E5809" s="1" t="n">
        <f aca="false">LN(D5809)</f>
        <v>-0.279647767423459</v>
      </c>
    </row>
    <row r="5810" customFormat="false" ht="15.75" hidden="false" customHeight="false" outlineLevel="0" collapsed="false">
      <c r="A5810" s="1" t="s">
        <v>1052</v>
      </c>
      <c r="B5810" s="1" t="n">
        <v>270.3</v>
      </c>
      <c r="C5810" s="1" t="n">
        <f aca="false">1/B5810</f>
        <v>0.00369959304476508</v>
      </c>
      <c r="D5810" s="1" t="n">
        <v>0.74622</v>
      </c>
      <c r="E5810" s="1" t="n">
        <f aca="false">LN(D5810)</f>
        <v>-0.292734816088432</v>
      </c>
    </row>
    <row r="5811" customFormat="false" ht="15.75" hidden="false" customHeight="false" outlineLevel="0" collapsed="false">
      <c r="A5811" s="1" t="s">
        <v>1052</v>
      </c>
      <c r="B5811" s="1" t="n">
        <v>271.16</v>
      </c>
      <c r="C5811" s="1" t="n">
        <f aca="false">1/B5811</f>
        <v>0.00368785956630771</v>
      </c>
      <c r="D5811" s="1" t="n">
        <v>0.73659</v>
      </c>
      <c r="E5811" s="1" t="n">
        <f aca="false">LN(D5811)</f>
        <v>-0.305723850952546</v>
      </c>
    </row>
    <row r="5812" customFormat="false" ht="15.75" hidden="false" customHeight="false" outlineLevel="0" collapsed="false">
      <c r="A5812" s="1" t="s">
        <v>1052</v>
      </c>
      <c r="B5812" s="1" t="n">
        <v>272.01</v>
      </c>
      <c r="C5812" s="1" t="n">
        <f aca="false">1/B5812</f>
        <v>0.00367633542884453</v>
      </c>
      <c r="D5812" s="1" t="n">
        <v>0.72715</v>
      </c>
      <c r="E5812" s="1" t="n">
        <f aca="false">LN(D5812)</f>
        <v>-0.318622495358418</v>
      </c>
    </row>
    <row r="5813" customFormat="false" ht="15.75" hidden="false" customHeight="false" outlineLevel="0" collapsed="false">
      <c r="A5813" s="1" t="s">
        <v>1052</v>
      </c>
      <c r="B5813" s="1" t="n">
        <v>272.87</v>
      </c>
      <c r="C5813" s="1" t="n">
        <f aca="false">1/B5813</f>
        <v>0.00366474878147103</v>
      </c>
      <c r="D5813" s="1" t="n">
        <v>0.71791</v>
      </c>
      <c r="E5813" s="1" t="n">
        <f aca="false">LN(D5813)</f>
        <v>-0.331411065980069</v>
      </c>
    </row>
    <row r="5814" customFormat="false" ht="15.75" hidden="false" customHeight="false" outlineLevel="0" collapsed="false">
      <c r="A5814" s="1" t="s">
        <v>1052</v>
      </c>
      <c r="B5814" s="1" t="n">
        <v>273.73</v>
      </c>
      <c r="C5814" s="1" t="n">
        <f aca="false">1/B5814</f>
        <v>0.00365323493953896</v>
      </c>
      <c r="D5814" s="1" t="n">
        <v>0.70886</v>
      </c>
      <c r="E5814" s="1" t="n">
        <f aca="false">LN(D5814)</f>
        <v>-0.344097233161018</v>
      </c>
    </row>
    <row r="5815" customFormat="false" ht="15.75" hidden="false" customHeight="false" outlineLevel="0" collapsed="false">
      <c r="A5815" s="1" t="s">
        <v>1052</v>
      </c>
      <c r="B5815" s="1" t="n">
        <v>274.58</v>
      </c>
      <c r="C5815" s="1" t="n">
        <f aca="false">1/B5815</f>
        <v>0.00364192585038969</v>
      </c>
      <c r="D5815" s="1" t="n">
        <v>0.69998</v>
      </c>
      <c r="E5815" s="1" t="n">
        <f aca="false">LN(D5815)</f>
        <v>-0.356703515775475</v>
      </c>
    </row>
    <row r="5816" customFormat="false" ht="15.75" hidden="false" customHeight="false" outlineLevel="0" collapsed="false">
      <c r="A5816" s="1" t="s">
        <v>1052</v>
      </c>
      <c r="B5816" s="1" t="n">
        <v>275.44</v>
      </c>
      <c r="C5816" s="1" t="n">
        <f aca="false">1/B5816</f>
        <v>0.00363055474876561</v>
      </c>
      <c r="D5816" s="1" t="n">
        <v>0.69129</v>
      </c>
      <c r="E5816" s="1" t="n">
        <f aca="false">LN(D5816)</f>
        <v>-0.369195861635327</v>
      </c>
    </row>
    <row r="5817" customFormat="false" ht="15.75" hidden="false" customHeight="false" outlineLevel="0" collapsed="false">
      <c r="A5817" s="1" t="s">
        <v>1052</v>
      </c>
      <c r="B5817" s="1" t="n">
        <v>276.29</v>
      </c>
      <c r="C5817" s="1" t="n">
        <f aca="false">1/B5817</f>
        <v>0.00361938542835427</v>
      </c>
      <c r="D5817" s="1" t="n">
        <v>0.68276</v>
      </c>
      <c r="E5817" s="1" t="n">
        <f aca="false">LN(D5817)</f>
        <v>-0.381611872086005</v>
      </c>
    </row>
    <row r="5818" customFormat="false" ht="15.75" hidden="false" customHeight="false" outlineLevel="0" collapsed="false">
      <c r="A5818" s="1" t="s">
        <v>1052</v>
      </c>
      <c r="B5818" s="1" t="n">
        <v>277.15</v>
      </c>
      <c r="C5818" s="1" t="n">
        <f aca="false">1/B5818</f>
        <v>0.00360815442900956</v>
      </c>
      <c r="D5818" s="1" t="n">
        <v>0.6744</v>
      </c>
      <c r="E5818" s="1" t="n">
        <f aca="false">LN(D5818)</f>
        <v>-0.393931872294491</v>
      </c>
    </row>
    <row r="5819" customFormat="false" ht="15.75" hidden="false" customHeight="false" outlineLevel="0" collapsed="false">
      <c r="A5819" s="1" t="s">
        <v>1052</v>
      </c>
      <c r="B5819" s="1" t="n">
        <v>278.01</v>
      </c>
      <c r="C5819" s="1" t="n">
        <f aca="false">1/B5819</f>
        <v>0.00359699291392396</v>
      </c>
      <c r="D5819" s="1" t="n">
        <v>0.66621</v>
      </c>
      <c r="E5819" s="1" t="n">
        <f aca="false">LN(D5819)</f>
        <v>-0.406150342827859</v>
      </c>
    </row>
    <row r="5820" customFormat="false" ht="15.75" hidden="false" customHeight="false" outlineLevel="0" collapsed="false">
      <c r="A5820" s="1" t="s">
        <v>1052</v>
      </c>
      <c r="B5820" s="1" t="n">
        <v>278.86</v>
      </c>
      <c r="C5820" s="1" t="n">
        <f aca="false">1/B5820</f>
        <v>0.00358602883167181</v>
      </c>
      <c r="D5820" s="1" t="n">
        <v>0.65817</v>
      </c>
      <c r="E5820" s="1" t="n">
        <f aca="false">LN(D5820)</f>
        <v>-0.418292022363058</v>
      </c>
    </row>
    <row r="5821" customFormat="false" ht="15.75" hidden="false" customHeight="false" outlineLevel="0" collapsed="false">
      <c r="A5821" s="1" t="s">
        <v>1052</v>
      </c>
      <c r="B5821" s="1" t="n">
        <v>279.72</v>
      </c>
      <c r="C5821" s="1" t="n">
        <f aca="false">1/B5821</f>
        <v>0.00357500357500357</v>
      </c>
      <c r="D5821" s="1" t="n">
        <v>0.65029</v>
      </c>
      <c r="E5821" s="1" t="n">
        <f aca="false">LN(D5821)</f>
        <v>-0.430336861743335</v>
      </c>
    </row>
    <row r="5822" customFormat="false" ht="15.75" hidden="false" customHeight="false" outlineLevel="0" collapsed="false">
      <c r="A5822" s="1" t="s">
        <v>1052</v>
      </c>
      <c r="B5822" s="1" t="n">
        <v>280.57</v>
      </c>
      <c r="C5822" s="1" t="n">
        <f aca="false">1/B5822</f>
        <v>0.00356417293367074</v>
      </c>
      <c r="D5822" s="1" t="n">
        <v>0.64256</v>
      </c>
      <c r="E5822" s="1" t="n">
        <f aca="false">LN(D5822)</f>
        <v>-0.442295081358882</v>
      </c>
    </row>
    <row r="5823" customFormat="false" ht="15.75" hidden="false" customHeight="false" outlineLevel="0" collapsed="false">
      <c r="A5823" s="1" t="s">
        <v>1052</v>
      </c>
      <c r="B5823" s="1" t="n">
        <v>281.43</v>
      </c>
      <c r="C5823" s="1" t="n">
        <f aca="false">1/B5823</f>
        <v>0.00355328145542408</v>
      </c>
      <c r="D5823" s="1" t="n">
        <v>0.63498</v>
      </c>
      <c r="E5823" s="1" t="n">
        <f aca="false">LN(D5823)</f>
        <v>-0.454161776648449</v>
      </c>
    </row>
    <row r="5824" customFormat="false" ht="15.75" hidden="false" customHeight="false" outlineLevel="0" collapsed="false">
      <c r="A5824" s="1" t="s">
        <v>1052</v>
      </c>
      <c r="B5824" s="1" t="n">
        <v>282.29</v>
      </c>
      <c r="C5824" s="1" t="n">
        <f aca="false">1/B5824</f>
        <v>0.00354245633922562</v>
      </c>
      <c r="D5824" s="1" t="n">
        <v>0.62753</v>
      </c>
      <c r="E5824" s="1" t="n">
        <f aca="false">LN(D5824)</f>
        <v>-0.46596380035406</v>
      </c>
    </row>
    <row r="5825" customFormat="false" ht="15.75" hidden="false" customHeight="false" outlineLevel="0" collapsed="false">
      <c r="A5825" s="1" t="s">
        <v>1052</v>
      </c>
      <c r="B5825" s="1" t="n">
        <v>283.14</v>
      </c>
      <c r="C5825" s="1" t="n">
        <f aca="false">1/B5825</f>
        <v>0.0035318217136399</v>
      </c>
      <c r="D5825" s="1" t="n">
        <v>0.62023</v>
      </c>
      <c r="E5825" s="1" t="n">
        <f aca="false">LN(D5825)</f>
        <v>-0.477664901992585</v>
      </c>
    </row>
    <row r="5826" customFormat="false" ht="15.75" hidden="false" customHeight="false" outlineLevel="0" collapsed="false">
      <c r="A5826" s="1" t="s">
        <v>1052</v>
      </c>
      <c r="B5826" s="1" t="n">
        <v>284</v>
      </c>
      <c r="C5826" s="1" t="n">
        <f aca="false">1/B5826</f>
        <v>0.00352112676056338</v>
      </c>
      <c r="D5826" s="1" t="n">
        <v>0.61307</v>
      </c>
      <c r="E5826" s="1" t="n">
        <f aca="false">LN(D5826)</f>
        <v>-0.489276157069471</v>
      </c>
    </row>
    <row r="5827" customFormat="false" ht="15.75" hidden="false" customHeight="false" outlineLevel="0" collapsed="false">
      <c r="A5827" s="1" t="s">
        <v>1052</v>
      </c>
      <c r="B5827" s="1" t="n">
        <v>284.85</v>
      </c>
      <c r="C5827" s="1" t="n">
        <f aca="false">1/B5827</f>
        <v>0.0035106196243637</v>
      </c>
      <c r="D5827" s="1" t="n">
        <v>0.60603</v>
      </c>
      <c r="E5827" s="1" t="n">
        <f aca="false">LN(D5827)</f>
        <v>-0.500825789187657</v>
      </c>
    </row>
    <row r="5828" customFormat="false" ht="15.75" hidden="false" customHeight="false" outlineLevel="0" collapsed="false">
      <c r="A5828" s="1" t="s">
        <v>1052</v>
      </c>
      <c r="B5828" s="1" t="n">
        <v>285.71</v>
      </c>
      <c r="C5828" s="1" t="n">
        <f aca="false">1/B5828</f>
        <v>0.00350005250078751</v>
      </c>
      <c r="D5828" s="1" t="n">
        <v>0.59913</v>
      </c>
      <c r="E5828" s="1" t="n">
        <f aca="false">LN(D5828)</f>
        <v>-0.512276676033305</v>
      </c>
    </row>
    <row r="5829" customFormat="false" ht="15.75" hidden="false" customHeight="false" outlineLevel="0" collapsed="false">
      <c r="A5829" s="1" t="s">
        <v>1052</v>
      </c>
      <c r="B5829" s="1" t="n">
        <v>286.57</v>
      </c>
      <c r="C5829" s="1" t="n">
        <f aca="false">1/B5829</f>
        <v>0.00348954880133999</v>
      </c>
      <c r="D5829" s="1" t="n">
        <v>0.59235</v>
      </c>
      <c r="E5829" s="1" t="n">
        <f aca="false">LN(D5829)</f>
        <v>-0.523657602581369</v>
      </c>
    </row>
    <row r="5830" customFormat="false" ht="15.75" hidden="false" customHeight="false" outlineLevel="0" collapsed="false">
      <c r="A5830" s="1" t="s">
        <v>1052</v>
      </c>
      <c r="B5830" s="1" t="n">
        <v>287.42</v>
      </c>
      <c r="C5830" s="1" t="n">
        <f aca="false">1/B5830</f>
        <v>0.00347922900285297</v>
      </c>
      <c r="D5830" s="1" t="n">
        <v>0.58569</v>
      </c>
      <c r="E5830" s="1" t="n">
        <f aca="false">LN(D5830)</f>
        <v>-0.534964639619316</v>
      </c>
    </row>
    <row r="5831" customFormat="false" ht="15.75" hidden="false" customHeight="false" outlineLevel="0" collapsed="false">
      <c r="A5831" s="1" t="s">
        <v>1052</v>
      </c>
      <c r="B5831" s="1" t="n">
        <v>288.28</v>
      </c>
      <c r="C5831" s="1" t="n">
        <f aca="false">1/B5831</f>
        <v>0.00346884972942972</v>
      </c>
      <c r="D5831" s="1" t="n">
        <v>0.57915</v>
      </c>
      <c r="E5831" s="1" t="n">
        <f aca="false">LN(D5831)</f>
        <v>-0.546193767603782</v>
      </c>
    </row>
    <row r="5832" customFormat="false" ht="15.75" hidden="false" customHeight="false" outlineLevel="0" collapsed="false">
      <c r="A5832" s="1" t="s">
        <v>1052</v>
      </c>
      <c r="B5832" s="1" t="n">
        <v>289.13</v>
      </c>
      <c r="C5832" s="1" t="n">
        <f aca="false">1/B5832</f>
        <v>0.00345865181752153</v>
      </c>
      <c r="D5832" s="1" t="n">
        <v>0.57273</v>
      </c>
      <c r="E5832" s="1" t="n">
        <f aca="false">LN(D5832)</f>
        <v>-0.55734087750746</v>
      </c>
    </row>
    <row r="5833" customFormat="false" ht="15.75" hidden="false" customHeight="false" outlineLevel="0" collapsed="false">
      <c r="A5833" s="1" t="s">
        <v>1052</v>
      </c>
      <c r="B5833" s="1" t="n">
        <v>289.99</v>
      </c>
      <c r="C5833" s="1" t="n">
        <f aca="false">1/B5833</f>
        <v>0.00344839477223352</v>
      </c>
      <c r="D5833" s="1" t="n">
        <v>0.56642</v>
      </c>
      <c r="E5833" s="1" t="n">
        <f aca="false">LN(D5833)</f>
        <v>-0.568419426491573</v>
      </c>
    </row>
    <row r="5834" customFormat="false" ht="15.75" hidden="false" customHeight="false" outlineLevel="0" collapsed="false">
      <c r="A5834" s="1" t="s">
        <v>1052</v>
      </c>
      <c r="B5834" s="1" t="n">
        <v>290.85</v>
      </c>
      <c r="C5834" s="1" t="n">
        <f aca="false">1/B5834</f>
        <v>0.00343819838404676</v>
      </c>
      <c r="D5834" s="1" t="n">
        <v>0.56023</v>
      </c>
      <c r="E5834" s="1" t="n">
        <f aca="false">LN(D5834)</f>
        <v>-0.579407865287253</v>
      </c>
    </row>
    <row r="5835" customFormat="false" ht="15.75" hidden="false" customHeight="false" outlineLevel="0" collapsed="false">
      <c r="A5835" s="1" t="s">
        <v>1052</v>
      </c>
      <c r="B5835" s="1" t="n">
        <v>291.7</v>
      </c>
      <c r="C5835" s="1" t="n">
        <f aca="false">1/B5835</f>
        <v>0.00342817963661296</v>
      </c>
      <c r="D5835" s="1" t="n">
        <v>0.55414</v>
      </c>
      <c r="E5835" s="1" t="n">
        <f aca="false">LN(D5835)</f>
        <v>-0.590337916578808</v>
      </c>
    </row>
    <row r="5836" customFormat="false" ht="15.75" hidden="false" customHeight="false" outlineLevel="0" collapsed="false">
      <c r="A5836" s="1" t="s">
        <v>1052</v>
      </c>
      <c r="B5836" s="1" t="n">
        <v>292.56</v>
      </c>
      <c r="C5836" s="1" t="n">
        <f aca="false">1/B5836</f>
        <v>0.00341810226961991</v>
      </c>
      <c r="D5836" s="1" t="n">
        <v>0.54816</v>
      </c>
      <c r="E5836" s="1" t="n">
        <f aca="false">LN(D5836)</f>
        <v>-0.601188063846382</v>
      </c>
    </row>
    <row r="5837" customFormat="false" ht="15.75" hidden="false" customHeight="false" outlineLevel="0" collapsed="false">
      <c r="A5837" s="1" t="s">
        <v>1052</v>
      </c>
      <c r="B5837" s="1" t="n">
        <v>293.41</v>
      </c>
      <c r="C5837" s="1" t="n">
        <f aca="false">1/B5837</f>
        <v>0.0034082001295116</v>
      </c>
      <c r="D5837" s="1" t="n">
        <v>0.54228</v>
      </c>
      <c r="E5837" s="1" t="n">
        <f aca="false">LN(D5837)</f>
        <v>-0.611972805770948</v>
      </c>
    </row>
    <row r="5838" customFormat="false" ht="15.75" hidden="false" customHeight="false" outlineLevel="0" collapsed="false">
      <c r="A5838" s="1" t="s">
        <v>1052</v>
      </c>
      <c r="B5838" s="1" t="n">
        <v>294.27</v>
      </c>
      <c r="C5838" s="1" t="n">
        <f aca="false">1/B5838</f>
        <v>0.00339823971182927</v>
      </c>
      <c r="D5838" s="1" t="n">
        <v>0.5365</v>
      </c>
      <c r="E5838" s="1" t="n">
        <f aca="false">LN(D5838)</f>
        <v>-0.622688716911384</v>
      </c>
    </row>
    <row r="5839" customFormat="false" ht="15.75" hidden="false" customHeight="false" outlineLevel="0" collapsed="false">
      <c r="A5839" s="1" t="s">
        <v>1052</v>
      </c>
      <c r="B5839" s="1" t="n">
        <v>295.13</v>
      </c>
      <c r="C5839" s="1" t="n">
        <f aca="false">1/B5839</f>
        <v>0.00338833734286586</v>
      </c>
      <c r="D5839" s="1" t="n">
        <v>0.53083</v>
      </c>
      <c r="E5839" s="1" t="n">
        <f aca="false">LN(D5839)</f>
        <v>-0.633313459658495</v>
      </c>
    </row>
    <row r="5840" customFormat="false" ht="15.75" hidden="false" customHeight="false" outlineLevel="0" collapsed="false">
      <c r="A5840" s="1" t="s">
        <v>1052</v>
      </c>
      <c r="B5840" s="1" t="n">
        <v>295.98</v>
      </c>
      <c r="C5840" s="1" t="n">
        <f aca="false">1/B5840</f>
        <v>0.00337860666261234</v>
      </c>
      <c r="D5840" s="1" t="n">
        <v>0.52524</v>
      </c>
      <c r="E5840" s="1" t="n">
        <f aca="false">LN(D5840)</f>
        <v>-0.643899977991333</v>
      </c>
    </row>
    <row r="5841" customFormat="false" ht="15.75" hidden="false" customHeight="false" outlineLevel="0" collapsed="false">
      <c r="A5841" s="1" t="s">
        <v>1052</v>
      </c>
      <c r="B5841" s="1" t="n">
        <v>296.84</v>
      </c>
      <c r="C5841" s="1" t="n">
        <f aca="false">1/B5841</f>
        <v>0.00336881821856893</v>
      </c>
      <c r="D5841" s="1" t="n">
        <v>0.51975</v>
      </c>
      <c r="E5841" s="1" t="n">
        <f aca="false">LN(D5841)</f>
        <v>-0.654407352244015</v>
      </c>
    </row>
    <row r="5842" customFormat="false" ht="15.75" hidden="false" customHeight="false" outlineLevel="0" collapsed="false">
      <c r="A5842" s="1" t="s">
        <v>1052</v>
      </c>
      <c r="B5842" s="1" t="n">
        <v>297.69</v>
      </c>
      <c r="C5842" s="1" t="n">
        <f aca="false">1/B5842</f>
        <v>0.00335919916691861</v>
      </c>
      <c r="D5842" s="1" t="n">
        <v>0.51436</v>
      </c>
      <c r="E5842" s="1" t="n">
        <f aca="false">LN(D5842)</f>
        <v>-0.664831869579899</v>
      </c>
    </row>
    <row r="5843" customFormat="false" ht="15.75" hidden="false" customHeight="false" outlineLevel="0" collapsed="false">
      <c r="A5843" s="1" t="s">
        <v>1052</v>
      </c>
      <c r="B5843" s="1" t="n">
        <v>298.55</v>
      </c>
      <c r="C5843" s="1" t="n">
        <f aca="false">1/B5843</f>
        <v>0.00334952269301625</v>
      </c>
      <c r="D5843" s="1" t="n">
        <v>0.50905</v>
      </c>
      <c r="E5843" s="1" t="n">
        <f aca="false">LN(D5843)</f>
        <v>-0.675209035428932</v>
      </c>
    </row>
    <row r="5844" customFormat="false" ht="15.75" hidden="false" customHeight="false" outlineLevel="0" collapsed="false">
      <c r="A5844" s="1" t="s">
        <v>1052</v>
      </c>
      <c r="B5844" s="1" t="n">
        <v>299.41</v>
      </c>
      <c r="C5844" s="1" t="n">
        <f aca="false">1/B5844</f>
        <v>0.00333990180688688</v>
      </c>
      <c r="D5844" s="1" t="n">
        <v>0.50383</v>
      </c>
      <c r="E5844" s="1" t="n">
        <f aca="false">LN(D5844)</f>
        <v>-0.685516369397045</v>
      </c>
    </row>
    <row r="5845" customFormat="false" ht="15.75" hidden="false" customHeight="false" outlineLevel="0" collapsed="false">
      <c r="A5845" s="1" t="s">
        <v>1052</v>
      </c>
      <c r="B5845" s="1" t="n">
        <v>300.26</v>
      </c>
      <c r="C5845" s="1" t="n">
        <f aca="false">1/B5845</f>
        <v>0.00333044694598015</v>
      </c>
      <c r="D5845" s="1" t="n">
        <v>0.4987</v>
      </c>
      <c r="E5845" s="1" t="n">
        <f aca="false">LN(D5845)</f>
        <v>-0.69575056643006</v>
      </c>
    </row>
    <row r="5846" customFormat="false" ht="15.75" hidden="false" customHeight="false" outlineLevel="0" collapsed="false">
      <c r="A5846" s="1" t="s">
        <v>1052</v>
      </c>
      <c r="B5846" s="1" t="n">
        <v>301.12</v>
      </c>
      <c r="C5846" s="1" t="n">
        <f aca="false">1/B5846</f>
        <v>0.00332093517534538</v>
      </c>
      <c r="D5846" s="1" t="n">
        <v>0.49365</v>
      </c>
      <c r="E5846" s="1" t="n">
        <f aca="false">LN(D5846)</f>
        <v>-0.705928514924678</v>
      </c>
    </row>
    <row r="5847" customFormat="false" ht="15.75" hidden="false" customHeight="false" outlineLevel="0" collapsed="false">
      <c r="A5847" s="1" t="s">
        <v>1052</v>
      </c>
      <c r="B5847" s="1" t="n">
        <v>301.97</v>
      </c>
      <c r="C5847" s="1" t="n">
        <f aca="false">1/B5847</f>
        <v>0.00331158724376594</v>
      </c>
      <c r="D5847" s="1" t="n">
        <v>0.48868</v>
      </c>
      <c r="E5847" s="1" t="n">
        <f aca="false">LN(D5847)</f>
        <v>-0.716047400446278</v>
      </c>
    </row>
    <row r="5848" customFormat="false" ht="15.75" hidden="false" customHeight="false" outlineLevel="0" collapsed="false">
      <c r="A5848" s="1" t="s">
        <v>1052</v>
      </c>
      <c r="B5848" s="1" t="n">
        <v>302.83</v>
      </c>
      <c r="C5848" s="1" t="n">
        <f aca="false">1/B5848</f>
        <v>0.00330218274279299</v>
      </c>
      <c r="D5848" s="1" t="n">
        <v>0.48379</v>
      </c>
      <c r="E5848" s="1" t="n">
        <f aca="false">LN(D5848)</f>
        <v>-0.726104350718054</v>
      </c>
    </row>
    <row r="5849" customFormat="false" ht="15.75" hidden="false" customHeight="false" outlineLevel="0" collapsed="false">
      <c r="A5849" s="1" t="s">
        <v>1052</v>
      </c>
      <c r="B5849" s="1" t="n">
        <v>303.69</v>
      </c>
      <c r="C5849" s="1" t="n">
        <f aca="false">1/B5849</f>
        <v>0.00329283150581185</v>
      </c>
      <c r="D5849" s="1" t="n">
        <v>0.47898</v>
      </c>
      <c r="E5849" s="1" t="n">
        <f aca="false">LN(D5849)</f>
        <v>-0.736096436096375</v>
      </c>
    </row>
    <row r="5850" customFormat="false" ht="15.75" hidden="false" customHeight="false" outlineLevel="0" collapsed="false">
      <c r="A5850" s="1" t="s">
        <v>1052</v>
      </c>
      <c r="B5850" s="1" t="n">
        <v>304.54</v>
      </c>
      <c r="C5850" s="1" t="n">
        <f aca="false">1/B5850</f>
        <v>0.00328364090103106</v>
      </c>
      <c r="D5850" s="1" t="n">
        <v>0.47424</v>
      </c>
      <c r="E5850" s="1" t="n">
        <f aca="false">LN(D5850)</f>
        <v>-0.74604175631447</v>
      </c>
    </row>
    <row r="5851" customFormat="false" ht="15.75" hidden="false" customHeight="false" outlineLevel="0" collapsed="false">
      <c r="A5851" s="1" t="s">
        <v>1052</v>
      </c>
      <c r="B5851" s="1" t="n">
        <v>305.4</v>
      </c>
      <c r="C5851" s="1" t="n">
        <f aca="false">1/B5851</f>
        <v>0.00327439423706614</v>
      </c>
      <c r="D5851" s="1" t="n">
        <v>0.46958</v>
      </c>
      <c r="E5851" s="1" t="n">
        <f aca="false">LN(D5851)</f>
        <v>-0.755916600813026</v>
      </c>
    </row>
    <row r="5852" customFormat="false" ht="15.75" hidden="false" customHeight="false" outlineLevel="0" collapsed="false">
      <c r="A5852" s="1" t="s">
        <v>1052</v>
      </c>
      <c r="B5852" s="1" t="n">
        <v>306.26</v>
      </c>
      <c r="C5852" s="1" t="n">
        <f aca="false">1/B5852</f>
        <v>0.00326519950368968</v>
      </c>
      <c r="D5852" s="1" t="n">
        <v>0.465</v>
      </c>
      <c r="E5852" s="1" t="n">
        <f aca="false">LN(D5852)</f>
        <v>-0.765717873394781</v>
      </c>
    </row>
    <row r="5853" customFormat="false" ht="15.75" hidden="false" customHeight="false" outlineLevel="0" collapsed="false">
      <c r="A5853" s="1" t="s">
        <v>1052</v>
      </c>
      <c r="B5853" s="1" t="n">
        <v>307.11</v>
      </c>
      <c r="C5853" s="1" t="n">
        <f aca="false">1/B5853</f>
        <v>0.00325616228712839</v>
      </c>
      <c r="D5853" s="1" t="n">
        <v>0.46048</v>
      </c>
      <c r="E5853" s="1" t="n">
        <f aca="false">LN(D5853)</f>
        <v>-0.775485855283134</v>
      </c>
    </row>
    <row r="5854" customFormat="false" ht="15.75" hidden="false" customHeight="false" outlineLevel="0" collapsed="false">
      <c r="A5854" s="1" t="s">
        <v>1052</v>
      </c>
      <c r="B5854" s="1" t="n">
        <v>307.97</v>
      </c>
      <c r="C5854" s="1" t="n">
        <f aca="false">1/B5854</f>
        <v>0.00324706951975842</v>
      </c>
      <c r="D5854" s="1" t="n">
        <v>0.45604</v>
      </c>
      <c r="E5854" s="1" t="n">
        <f aca="false">LN(D5854)</f>
        <v>-0.785174754016618</v>
      </c>
    </row>
    <row r="5855" customFormat="false" ht="15.75" hidden="false" customHeight="false" outlineLevel="0" collapsed="false">
      <c r="A5855" s="1" t="s">
        <v>1052</v>
      </c>
      <c r="B5855" s="1" t="n">
        <v>308.82</v>
      </c>
      <c r="C5855" s="1" t="n">
        <f aca="false">1/B5855</f>
        <v>0.0032381322453209</v>
      </c>
      <c r="D5855" s="1" t="n">
        <v>0.45166</v>
      </c>
      <c r="E5855" s="1" t="n">
        <f aca="false">LN(D5855)</f>
        <v>-0.794825594592979</v>
      </c>
    </row>
    <row r="5856" customFormat="false" ht="15.75" hidden="false" customHeight="false" outlineLevel="0" collapsed="false">
      <c r="A5856" s="1" t="s">
        <v>1052</v>
      </c>
      <c r="B5856" s="1" t="n">
        <v>309.68</v>
      </c>
      <c r="C5856" s="1" t="n">
        <f aca="false">1/B5856</f>
        <v>0.00322913975716869</v>
      </c>
      <c r="D5856" s="1" t="n">
        <v>0.44735</v>
      </c>
      <c r="E5856" s="1" t="n">
        <f aca="false">LN(D5856)</f>
        <v>-0.804413992988532</v>
      </c>
    </row>
    <row r="5857" customFormat="false" ht="15.75" hidden="false" customHeight="false" outlineLevel="0" collapsed="false">
      <c r="A5857" s="1" t="s">
        <v>1052</v>
      </c>
      <c r="B5857" s="1" t="n">
        <v>310.54</v>
      </c>
      <c r="C5857" s="1" t="n">
        <f aca="false">1/B5857</f>
        <v>0.00322019707606105</v>
      </c>
      <c r="D5857" s="1" t="n">
        <v>0.44311</v>
      </c>
      <c r="E5857" s="1" t="n">
        <f aca="false">LN(D5857)</f>
        <v>-0.813937232762339</v>
      </c>
    </row>
    <row r="5858" customFormat="false" ht="15.75" hidden="false" customHeight="false" outlineLevel="0" collapsed="false">
      <c r="A5858" s="1" t="s">
        <v>1052</v>
      </c>
      <c r="B5858" s="1" t="n">
        <v>311.39</v>
      </c>
      <c r="C5858" s="1" t="n">
        <f aca="false">1/B5858</f>
        <v>0.0032114069173705</v>
      </c>
      <c r="D5858" s="1" t="n">
        <v>0.43892</v>
      </c>
      <c r="E5858" s="1" t="n">
        <f aca="false">LN(D5858)</f>
        <v>-0.823438114859539</v>
      </c>
    </row>
    <row r="5859" customFormat="false" ht="15.75" hidden="false" customHeight="false" outlineLevel="0" collapsed="false">
      <c r="A5859" s="1" t="s">
        <v>1052</v>
      </c>
      <c r="B5859" s="1" t="n">
        <v>312.25</v>
      </c>
      <c r="C5859" s="1" t="n">
        <f aca="false">1/B5859</f>
        <v>0.00320256204963971</v>
      </c>
      <c r="D5859" s="1" t="n">
        <v>0.43481</v>
      </c>
      <c r="E5859" s="1" t="n">
        <f aca="false">LN(D5859)</f>
        <v>-0.832846124919521</v>
      </c>
    </row>
    <row r="5860" customFormat="false" ht="15.75" hidden="false" customHeight="false" outlineLevel="0" collapsed="false">
      <c r="A5860" s="1" t="s">
        <v>1052</v>
      </c>
      <c r="B5860" s="1" t="n">
        <v>313.1</v>
      </c>
      <c r="C5860" s="1" t="n">
        <f aca="false">1/B5860</f>
        <v>0.00319386777387416</v>
      </c>
      <c r="D5860" s="1" t="n">
        <v>0.43075</v>
      </c>
      <c r="E5860" s="1" t="n">
        <f aca="false">LN(D5860)</f>
        <v>-0.842227403574098</v>
      </c>
    </row>
    <row r="5861" customFormat="false" ht="15.75" hidden="false" customHeight="false" outlineLevel="0" collapsed="false">
      <c r="A5861" s="1" t="s">
        <v>1052</v>
      </c>
      <c r="B5861" s="1" t="n">
        <v>313.96</v>
      </c>
      <c r="C5861" s="1" t="n">
        <f aca="false">1/B5861</f>
        <v>0.00318511912345522</v>
      </c>
      <c r="D5861" s="1" t="n">
        <v>0.42675</v>
      </c>
      <c r="E5861" s="1" t="n">
        <f aca="false">LN(D5861)</f>
        <v>-0.851556917307587</v>
      </c>
    </row>
    <row r="5862" customFormat="false" ht="15.75" hidden="false" customHeight="false" outlineLevel="0" collapsed="false">
      <c r="A5862" s="1" t="s">
        <v>1052</v>
      </c>
      <c r="B5862" s="1" t="n">
        <v>314.82</v>
      </c>
      <c r="C5862" s="1" t="n">
        <f aca="false">1/B5862</f>
        <v>0.00317641827075789</v>
      </c>
      <c r="D5862" s="1" t="n">
        <v>0.42282</v>
      </c>
      <c r="E5862" s="1" t="n">
        <f aca="false">LN(D5862)</f>
        <v>-0.860808722415151</v>
      </c>
    </row>
    <row r="5863" customFormat="false" ht="15.75" hidden="false" customHeight="false" outlineLevel="0" collapsed="false">
      <c r="A5863" s="1" t="s">
        <v>1052</v>
      </c>
      <c r="B5863" s="1" t="n">
        <v>315.67</v>
      </c>
      <c r="C5863" s="1" t="n">
        <f aca="false">1/B5863</f>
        <v>0.00316786517565812</v>
      </c>
      <c r="D5863" s="1" t="n">
        <v>0.41894</v>
      </c>
      <c r="E5863" s="1" t="n">
        <f aca="false">LN(D5863)</f>
        <v>-0.870027567404517</v>
      </c>
    </row>
    <row r="5864" customFormat="false" ht="15.75" hidden="false" customHeight="false" outlineLevel="0" collapsed="false">
      <c r="A5864" s="1" t="s">
        <v>1052</v>
      </c>
      <c r="B5864" s="1" t="n">
        <v>316.53</v>
      </c>
      <c r="C5864" s="1" t="n">
        <f aca="false">1/B5864</f>
        <v>0.00315925820617319</v>
      </c>
      <c r="D5864" s="1" t="n">
        <v>0.41511</v>
      </c>
      <c r="E5864" s="1" t="n">
        <f aca="false">LN(D5864)</f>
        <v>-0.879211733632734</v>
      </c>
    </row>
    <row r="5865" customFormat="false" ht="15.75" hidden="false" customHeight="false" outlineLevel="0" collapsed="false">
      <c r="A5865" s="1" t="s">
        <v>1052</v>
      </c>
      <c r="B5865" s="1" t="n">
        <v>317.38</v>
      </c>
      <c r="C5865" s="1" t="n">
        <f aca="false">1/B5865</f>
        <v>0.00315079715167938</v>
      </c>
      <c r="D5865" s="1" t="n">
        <v>0.41134</v>
      </c>
      <c r="E5865" s="1" t="n">
        <f aca="false">LN(D5865)</f>
        <v>-0.888335155860823</v>
      </c>
    </row>
    <row r="5866" customFormat="false" ht="15.75" hidden="false" customHeight="false" outlineLevel="0" collapsed="false">
      <c r="A5866" s="1" t="s">
        <v>1052</v>
      </c>
      <c r="B5866" s="1" t="n">
        <v>318.24</v>
      </c>
      <c r="C5866" s="1" t="n">
        <f aca="false">1/B5866</f>
        <v>0.00314228255404726</v>
      </c>
      <c r="D5866" s="1" t="n">
        <v>0.40763</v>
      </c>
      <c r="E5866" s="1" t="n">
        <f aca="false">LN(D5866)</f>
        <v>-0.897395378771863</v>
      </c>
    </row>
    <row r="5867" customFormat="false" ht="15.75" hidden="false" customHeight="false" outlineLevel="0" collapsed="false">
      <c r="A5867" s="1" t="s">
        <v>1052</v>
      </c>
      <c r="B5867" s="1" t="n">
        <v>319.1</v>
      </c>
      <c r="C5867" s="1" t="n">
        <f aca="false">1/B5867</f>
        <v>0.00313381385145722</v>
      </c>
      <c r="D5867" s="1" t="n">
        <v>0.40397</v>
      </c>
      <c r="E5867" s="1" t="n">
        <f aca="false">LN(D5867)</f>
        <v>-0.906414661203949</v>
      </c>
    </row>
    <row r="5868" customFormat="false" ht="15.75" hidden="false" customHeight="false" outlineLevel="0" collapsed="false">
      <c r="A5868" s="1" t="s">
        <v>1052</v>
      </c>
      <c r="B5868" s="1" t="n">
        <v>319.95</v>
      </c>
      <c r="C5868" s="1" t="n">
        <f aca="false">1/B5868</f>
        <v>0.00312548835755587</v>
      </c>
      <c r="D5868" s="1" t="n">
        <v>0.40036</v>
      </c>
      <c r="E5868" s="1" t="n">
        <f aca="false">LN(D5868)</f>
        <v>-0.915391136631319</v>
      </c>
    </row>
    <row r="5869" customFormat="false" ht="15.75" hidden="false" customHeight="false" outlineLevel="0" collapsed="false">
      <c r="A5869" s="1" t="s">
        <v>1052</v>
      </c>
      <c r="B5869" s="1" t="n">
        <v>320.81</v>
      </c>
      <c r="C5869" s="1" t="n">
        <f aca="false">1/B5869</f>
        <v>0.00311710981577881</v>
      </c>
      <c r="D5869" s="1" t="n">
        <v>0.3968</v>
      </c>
      <c r="E5869" s="1" t="n">
        <f aca="false">LN(D5869)</f>
        <v>-0.924322903571419</v>
      </c>
    </row>
    <row r="5870" customFormat="false" ht="15.75" hidden="false" customHeight="false" outlineLevel="0" collapsed="false">
      <c r="A5870" s="1" t="s">
        <v>1052</v>
      </c>
      <c r="B5870" s="1" t="n">
        <v>321.66</v>
      </c>
      <c r="C5870" s="1" t="n">
        <f aca="false">1/B5870</f>
        <v>0.00310887272275073</v>
      </c>
      <c r="D5870" s="1" t="n">
        <v>0.39329</v>
      </c>
      <c r="E5870" s="1" t="n">
        <f aca="false">LN(D5870)</f>
        <v>-0.933208025751166</v>
      </c>
    </row>
    <row r="5871" customFormat="false" ht="15.75" hidden="false" customHeight="false" outlineLevel="0" collapsed="false">
      <c r="A5871" s="1" t="s">
        <v>1052</v>
      </c>
      <c r="B5871" s="1" t="n">
        <v>322.52</v>
      </c>
      <c r="C5871" s="1" t="n">
        <f aca="false">1/B5871</f>
        <v>0.003100582909587</v>
      </c>
      <c r="D5871" s="1" t="n">
        <v>0.38983</v>
      </c>
      <c r="E5871" s="1" t="n">
        <f aca="false">LN(D5871)</f>
        <v>-0.942044532325246</v>
      </c>
    </row>
    <row r="5872" customFormat="false" ht="15.75" hidden="false" customHeight="false" outlineLevel="0" collapsed="false">
      <c r="A5872" s="1" t="s">
        <v>1052</v>
      </c>
      <c r="B5872" s="1" t="n">
        <v>323.38</v>
      </c>
      <c r="C5872" s="1" t="n">
        <f aca="false">1/B5872</f>
        <v>0.00309233718844703</v>
      </c>
      <c r="D5872" s="1" t="n">
        <v>0.38641</v>
      </c>
      <c r="E5872" s="1" t="n">
        <f aca="false">LN(D5872)</f>
        <v>-0.950856297061469</v>
      </c>
    </row>
    <row r="5873" customFormat="false" ht="15.75" hidden="false" customHeight="false" outlineLevel="0" collapsed="false">
      <c r="A5873" s="1" t="s">
        <v>1052</v>
      </c>
      <c r="B5873" s="1" t="n">
        <v>324.23</v>
      </c>
      <c r="C5873" s="1" t="n">
        <f aca="false">1/B5873</f>
        <v>0.00308423033032107</v>
      </c>
      <c r="D5873" s="1" t="n">
        <v>0.38305</v>
      </c>
      <c r="E5873" s="1" t="n">
        <f aca="false">LN(D5873)</f>
        <v>-0.959589750019307</v>
      </c>
    </row>
    <row r="5874" customFormat="false" ht="15.75" hidden="false" customHeight="false" outlineLevel="0" collapsed="false">
      <c r="A5874" s="1" t="s">
        <v>1052</v>
      </c>
      <c r="B5874" s="1" t="n">
        <v>325.09</v>
      </c>
      <c r="C5874" s="1" t="n">
        <f aca="false">1/B5874</f>
        <v>0.00307607124180996</v>
      </c>
      <c r="D5874" s="1" t="n">
        <v>0.37973</v>
      </c>
      <c r="E5874" s="1" t="n">
        <f aca="false">LN(D5874)</f>
        <v>-0.968294805120951</v>
      </c>
    </row>
    <row r="5875" customFormat="false" ht="15.75" hidden="false" customHeight="false" outlineLevel="0" collapsed="false">
      <c r="A5875" s="1" t="s">
        <v>1052</v>
      </c>
      <c r="B5875" s="1" t="n">
        <v>325.94</v>
      </c>
      <c r="C5875" s="1" t="n">
        <f aca="false">1/B5875</f>
        <v>0.00306804933423329</v>
      </c>
      <c r="D5875" s="1" t="n">
        <v>0.37645</v>
      </c>
      <c r="E5875" s="1" t="n">
        <f aca="false">LN(D5875)</f>
        <v>-0.976970042686006</v>
      </c>
    </row>
    <row r="5876" customFormat="false" ht="15.75" hidden="false" customHeight="false" outlineLevel="0" collapsed="false">
      <c r="A5876" s="1" t="s">
        <v>1052</v>
      </c>
      <c r="B5876" s="1" t="n">
        <v>326.8</v>
      </c>
      <c r="C5876" s="1" t="n">
        <f aca="false">1/B5876</f>
        <v>0.00305997552019584</v>
      </c>
      <c r="D5876" s="1" t="n">
        <v>0.37322</v>
      </c>
      <c r="E5876" s="1" t="n">
        <f aca="false">LN(D5876)</f>
        <v>-0.985587220876811</v>
      </c>
    </row>
    <row r="5877" customFormat="false" ht="15.75" hidden="false" customHeight="false" outlineLevel="0" collapsed="false">
      <c r="A5877" s="1" t="s">
        <v>1052</v>
      </c>
      <c r="B5877" s="1" t="n">
        <v>327.66</v>
      </c>
      <c r="C5877" s="1" t="n">
        <f aca="false">1/B5877</f>
        <v>0.0030519440883843</v>
      </c>
      <c r="D5877" s="1" t="n">
        <v>0.37003</v>
      </c>
      <c r="E5877" s="1" t="n">
        <f aca="false">LN(D5877)</f>
        <v>-0.994171195549679</v>
      </c>
    </row>
    <row r="5878" customFormat="false" ht="15.75" hidden="false" customHeight="false" outlineLevel="0" collapsed="false">
      <c r="A5878" s="1" t="s">
        <v>1052</v>
      </c>
      <c r="B5878" s="1" t="n">
        <v>328.51</v>
      </c>
      <c r="C5878" s="1" t="n">
        <f aca="false">1/B5878</f>
        <v>0.00304404736537701</v>
      </c>
      <c r="D5878" s="1" t="n">
        <v>0.36689</v>
      </c>
      <c r="E5878" s="1" t="n">
        <f aca="false">LN(D5878)</f>
        <v>-1.00269320337527</v>
      </c>
    </row>
    <row r="5879" customFormat="false" ht="15.75" hidden="false" customHeight="false" outlineLevel="0" collapsed="false">
      <c r="A5879" s="1" t="s">
        <v>1052</v>
      </c>
      <c r="B5879" s="1" t="n">
        <v>329.37</v>
      </c>
      <c r="C5879" s="1" t="n">
        <f aca="false">1/B5879</f>
        <v>0.0030360992197225</v>
      </c>
      <c r="D5879" s="1" t="n">
        <v>0.36378</v>
      </c>
      <c r="E5879" s="1" t="n">
        <f aca="false">LN(D5879)</f>
        <v>-1.01120598967044</v>
      </c>
    </row>
    <row r="5880" customFormat="false" ht="15.75" hidden="false" customHeight="false" outlineLevel="0" collapsed="false">
      <c r="A5880" s="1" t="s">
        <v>1052</v>
      </c>
      <c r="B5880" s="1" t="n">
        <v>330.22</v>
      </c>
      <c r="C5880" s="1" t="n">
        <f aca="false">1/B5880</f>
        <v>0.0030282841741869</v>
      </c>
      <c r="D5880" s="1" t="n">
        <v>0.36072</v>
      </c>
      <c r="E5880" s="1" t="n">
        <f aca="false">LN(D5880)</f>
        <v>-1.01965324486931</v>
      </c>
    </row>
    <row r="5881" customFormat="false" ht="15.75" hidden="false" customHeight="false" outlineLevel="0" collapsed="false">
      <c r="A5881" s="1" t="s">
        <v>1052</v>
      </c>
      <c r="B5881" s="1" t="n">
        <v>331.08</v>
      </c>
      <c r="C5881" s="1" t="n">
        <f aca="false">1/B5881</f>
        <v>0.00302041802585478</v>
      </c>
      <c r="D5881" s="1" t="n">
        <v>0.3577</v>
      </c>
      <c r="E5881" s="1" t="n">
        <f aca="false">LN(D5881)</f>
        <v>-1.02806063271716</v>
      </c>
    </row>
    <row r="5882" customFormat="false" ht="15.75" hidden="false" customHeight="false" outlineLevel="0" collapsed="false">
      <c r="A5882" s="1" t="s">
        <v>1052</v>
      </c>
      <c r="B5882" s="1" t="n">
        <v>331.94</v>
      </c>
      <c r="C5882" s="1" t="n">
        <f aca="false">1/B5882</f>
        <v>0.00301259263722359</v>
      </c>
      <c r="D5882" s="1" t="n">
        <v>0.35472</v>
      </c>
      <c r="E5882" s="1" t="n">
        <f aca="false">LN(D5882)</f>
        <v>-1.03642653311414</v>
      </c>
    </row>
    <row r="5883" customFormat="false" ht="15.75" hidden="false" customHeight="false" outlineLevel="0" collapsed="false">
      <c r="A5883" s="1" t="s">
        <v>1052</v>
      </c>
      <c r="B5883" s="1" t="n">
        <v>332.79</v>
      </c>
      <c r="C5883" s="1" t="n">
        <f aca="false">1/B5883</f>
        <v>0.00300489798371345</v>
      </c>
      <c r="D5883" s="1" t="n">
        <v>0.35177</v>
      </c>
      <c r="E5883" s="1" t="n">
        <f aca="false">LN(D5883)</f>
        <v>-1.0447777260397</v>
      </c>
    </row>
    <row r="5884" customFormat="false" ht="15.75" hidden="false" customHeight="false" outlineLevel="0" collapsed="false">
      <c r="A5884" s="1" t="s">
        <v>1052</v>
      </c>
      <c r="B5884" s="1" t="n">
        <v>333.65</v>
      </c>
      <c r="C5884" s="1" t="n">
        <f aca="false">1/B5884</f>
        <v>0.00299715270493032</v>
      </c>
      <c r="D5884" s="1" t="n">
        <v>0.34886</v>
      </c>
      <c r="E5884" s="1" t="n">
        <f aca="false">LN(D5884)</f>
        <v>-1.05308458339215</v>
      </c>
    </row>
    <row r="5885" customFormat="false" ht="15.75" hidden="false" customHeight="false" outlineLevel="0" collapsed="false">
      <c r="A5885" s="1" t="s">
        <v>1052</v>
      </c>
      <c r="B5885" s="1" t="n">
        <v>334.5</v>
      </c>
      <c r="C5885" s="1" t="n">
        <f aca="false">1/B5885</f>
        <v>0.00298953662182362</v>
      </c>
      <c r="D5885" s="1" t="n">
        <v>0.34599</v>
      </c>
      <c r="E5885" s="1" t="n">
        <f aca="false">LN(D5885)</f>
        <v>-1.06134540607618</v>
      </c>
    </row>
    <row r="5886" customFormat="false" ht="15.75" hidden="false" customHeight="false" outlineLevel="0" collapsed="false">
      <c r="A5886" s="1" t="s">
        <v>1052</v>
      </c>
      <c r="B5886" s="1" t="n">
        <v>335.36</v>
      </c>
      <c r="C5886" s="1" t="n">
        <f aca="false">1/B5886</f>
        <v>0.00298187022900763</v>
      </c>
      <c r="D5886" s="1" t="n">
        <v>0.34316</v>
      </c>
      <c r="E5886" s="1" t="n">
        <f aca="false">LN(D5886)</f>
        <v>-1.06955846827737</v>
      </c>
    </row>
    <row r="5887" customFormat="false" ht="15.75" hidden="false" customHeight="false" outlineLevel="0" collapsed="false">
      <c r="A5887" s="1" t="s">
        <v>1052</v>
      </c>
      <c r="B5887" s="1" t="n">
        <v>336.22</v>
      </c>
      <c r="C5887" s="1" t="n">
        <f aca="false">1/B5887</f>
        <v>0.00297424305514247</v>
      </c>
      <c r="D5887" s="1" t="n">
        <v>0.34036</v>
      </c>
      <c r="E5887" s="1" t="n">
        <f aca="false">LN(D5887)</f>
        <v>-1.07775139800078</v>
      </c>
    </row>
    <row r="5888" customFormat="false" ht="15.75" hidden="false" customHeight="false" outlineLevel="0" collapsed="false">
      <c r="A5888" s="1" t="s">
        <v>1052</v>
      </c>
      <c r="B5888" s="1" t="n">
        <v>337.07</v>
      </c>
      <c r="C5888" s="1" t="n">
        <f aca="false">1/B5888</f>
        <v>0.00296674281306554</v>
      </c>
      <c r="D5888" s="1" t="n">
        <v>0.3376</v>
      </c>
      <c r="E5888" s="1" t="n">
        <f aca="false">LN(D5888)</f>
        <v>-1.08589351626034</v>
      </c>
    </row>
    <row r="5889" customFormat="false" ht="15.75" hidden="false" customHeight="false" outlineLevel="0" collapsed="false">
      <c r="A5889" s="1" t="s">
        <v>1052</v>
      </c>
      <c r="B5889" s="1" t="n">
        <v>337.93</v>
      </c>
      <c r="C5889" s="1" t="n">
        <f aca="false">1/B5889</f>
        <v>0.00295919273222265</v>
      </c>
      <c r="D5889" s="1" t="n">
        <v>0.33487</v>
      </c>
      <c r="E5889" s="1" t="n">
        <f aca="false">LN(D5889)</f>
        <v>-1.09401288217321</v>
      </c>
    </row>
    <row r="5890" customFormat="false" ht="15.75" hidden="false" customHeight="false" outlineLevel="0" collapsed="false">
      <c r="A5890" s="1" t="s">
        <v>1052</v>
      </c>
      <c r="B5890" s="1" t="n">
        <v>338.79</v>
      </c>
      <c r="C5890" s="1" t="n">
        <f aca="false">1/B5890</f>
        <v>0.00295168098231943</v>
      </c>
      <c r="D5890" s="1" t="n">
        <v>0.33217</v>
      </c>
      <c r="E5890" s="1" t="n">
        <f aca="false">LN(D5890)</f>
        <v>-1.10210839292482</v>
      </c>
    </row>
    <row r="5891" customFormat="false" ht="15.75" hidden="false" customHeight="false" outlineLevel="0" collapsed="false">
      <c r="A5891" s="1" t="s">
        <v>1052</v>
      </c>
      <c r="B5891" s="1" t="n">
        <v>339.64</v>
      </c>
      <c r="C5891" s="1" t="n">
        <f aca="false">1/B5891</f>
        <v>0.0029442939583088</v>
      </c>
      <c r="D5891" s="1" t="n">
        <v>0.32951</v>
      </c>
      <c r="E5891" s="1" t="n">
        <f aca="false">LN(D5891)</f>
        <v>-1.11014857648644</v>
      </c>
    </row>
    <row r="5892" customFormat="false" ht="15.75" hidden="false" customHeight="false" outlineLevel="0" collapsed="false">
      <c r="A5892" s="1" t="s">
        <v>1052</v>
      </c>
      <c r="B5892" s="1" t="n">
        <v>340.5</v>
      </c>
      <c r="C5892" s="1" t="n">
        <f aca="false">1/B5892</f>
        <v>0.00293685756240822</v>
      </c>
      <c r="D5892" s="1" t="n">
        <v>0.32688</v>
      </c>
      <c r="E5892" s="1" t="n">
        <f aca="false">LN(D5892)</f>
        <v>-1.11816214791283</v>
      </c>
    </row>
    <row r="5893" customFormat="false" ht="15.75" hidden="false" customHeight="false" outlineLevel="0" collapsed="false">
      <c r="A5893" s="1" t="s">
        <v>1052</v>
      </c>
      <c r="B5893" s="1" t="n">
        <v>341.35</v>
      </c>
      <c r="C5893" s="1" t="n">
        <f aca="false">1/B5893</f>
        <v>0.00292954445583712</v>
      </c>
      <c r="D5893" s="1" t="n">
        <v>0.32428</v>
      </c>
      <c r="E5893" s="1" t="n">
        <f aca="false">LN(D5893)</f>
        <v>-1.12614793886263</v>
      </c>
    </row>
    <row r="5894" customFormat="false" ht="15.75" hidden="false" customHeight="false" outlineLevel="0" collapsed="false">
      <c r="A5894" s="1" t="s">
        <v>1052</v>
      </c>
      <c r="B5894" s="1" t="n">
        <v>342.21</v>
      </c>
      <c r="C5894" s="1" t="n">
        <f aca="false">1/B5894</f>
        <v>0.00292218228573098</v>
      </c>
      <c r="D5894" s="1" t="n">
        <v>0.32171</v>
      </c>
      <c r="E5894" s="1" t="n">
        <f aca="false">LN(D5894)</f>
        <v>-1.13410476035861</v>
      </c>
    </row>
    <row r="5895" customFormat="false" ht="15.75" hidden="false" customHeight="false" outlineLevel="0" collapsed="false">
      <c r="A5895" s="1" t="s">
        <v>1052</v>
      </c>
      <c r="B5895" s="1" t="n">
        <v>343.07</v>
      </c>
      <c r="C5895" s="1" t="n">
        <f aca="false">1/B5895</f>
        <v>0.00291485702626286</v>
      </c>
      <c r="D5895" s="1" t="n">
        <v>0.31918</v>
      </c>
      <c r="E5895" s="1" t="n">
        <f aca="false">LN(D5895)</f>
        <v>-1.1420000720111</v>
      </c>
    </row>
    <row r="5896" customFormat="false" ht="15.75" hidden="false" customHeight="false" outlineLevel="0" collapsed="false">
      <c r="A5896" s="1" t="s">
        <v>1052</v>
      </c>
      <c r="B5896" s="1" t="n">
        <v>343.92</v>
      </c>
      <c r="C5896" s="1" t="n">
        <f aca="false">1/B5896</f>
        <v>0.00290765294254478</v>
      </c>
      <c r="D5896" s="1" t="n">
        <v>0.31667</v>
      </c>
      <c r="E5896" s="1" t="n">
        <f aca="false">LN(D5896)</f>
        <v>-1.14989505679527</v>
      </c>
    </row>
    <row r="5897" customFormat="false" ht="15.75" hidden="false" customHeight="false" outlineLevel="0" collapsed="false">
      <c r="A5897" s="1" t="s">
        <v>1052</v>
      </c>
      <c r="B5897" s="1" t="n">
        <v>344.78</v>
      </c>
      <c r="C5897" s="1" t="n">
        <f aca="false">1/B5897</f>
        <v>0.00290040025523522</v>
      </c>
      <c r="D5897" s="1" t="n">
        <v>0.31419</v>
      </c>
      <c r="E5897" s="1" t="n">
        <f aca="false">LN(D5897)</f>
        <v>-1.15775738052897</v>
      </c>
    </row>
    <row r="5898" customFormat="false" ht="15.75" hidden="false" customHeight="false" outlineLevel="0" collapsed="false">
      <c r="A5898" s="1" t="s">
        <v>1052</v>
      </c>
      <c r="B5898" s="1" t="n">
        <v>345.63</v>
      </c>
      <c r="C5898" s="1" t="n">
        <f aca="false">1/B5898</f>
        <v>0.00289326736683737</v>
      </c>
      <c r="D5898" s="1" t="n">
        <v>0.31175</v>
      </c>
      <c r="E5898" s="1" t="n">
        <f aca="false">LN(D5898)</f>
        <v>-1.16555369442199</v>
      </c>
    </row>
    <row r="5899" customFormat="false" ht="15.75" hidden="false" customHeight="false" outlineLevel="0" collapsed="false">
      <c r="A5899" s="1" t="s">
        <v>1052</v>
      </c>
      <c r="B5899" s="1" t="n">
        <v>346.49</v>
      </c>
      <c r="C5899" s="1" t="n">
        <f aca="false">1/B5899</f>
        <v>0.00288608617853329</v>
      </c>
      <c r="D5899" s="1" t="n">
        <v>0.30933</v>
      </c>
      <c r="E5899" s="1" t="n">
        <f aca="false">LN(D5899)</f>
        <v>-1.17334661078418</v>
      </c>
    </row>
    <row r="5900" customFormat="false" ht="15.75" hidden="false" customHeight="false" outlineLevel="0" collapsed="false">
      <c r="A5900" s="1" t="s">
        <v>1052</v>
      </c>
      <c r="B5900" s="1" t="n">
        <v>347.35</v>
      </c>
      <c r="C5900" s="1" t="n">
        <f aca="false">1/B5900</f>
        <v>0.00287894054987764</v>
      </c>
      <c r="D5900" s="1" t="n">
        <v>0.30694</v>
      </c>
      <c r="E5900" s="1" t="n">
        <f aca="false">LN(D5900)</f>
        <v>-1.18110299023519</v>
      </c>
    </row>
    <row r="5901" customFormat="false" ht="15.75" hidden="false" customHeight="false" outlineLevel="0" collapsed="false">
      <c r="A5901" s="1" t="s">
        <v>1052</v>
      </c>
      <c r="B5901" s="1" t="n">
        <v>348.2</v>
      </c>
      <c r="C5901" s="1" t="n">
        <f aca="false">1/B5901</f>
        <v>0.00287191269385411</v>
      </c>
      <c r="D5901" s="1" t="n">
        <v>0.30457</v>
      </c>
      <c r="E5901" s="1" t="n">
        <f aca="false">LN(D5901)</f>
        <v>-1.18885433319424</v>
      </c>
    </row>
    <row r="5902" customFormat="false" ht="15.75" hidden="false" customHeight="false" outlineLevel="0" collapsed="false">
      <c r="A5902" s="1" t="s">
        <v>1052</v>
      </c>
      <c r="B5902" s="1" t="n">
        <v>349.06</v>
      </c>
      <c r="C5902" s="1" t="n">
        <f aca="false">1/B5902</f>
        <v>0.00286483699077522</v>
      </c>
      <c r="D5902" s="1" t="n">
        <v>0.30224</v>
      </c>
      <c r="E5902" s="1" t="n">
        <f aca="false">LN(D5902)</f>
        <v>-1.19653387522894</v>
      </c>
    </row>
    <row r="5903" customFormat="false" ht="15.75" hidden="false" customHeight="false" outlineLevel="0" collapsed="false">
      <c r="A5903" s="1" t="s">
        <v>1052</v>
      </c>
      <c r="B5903" s="1" t="n">
        <v>349.91</v>
      </c>
      <c r="C5903" s="1" t="n">
        <f aca="false">1/B5903</f>
        <v>0.00285787773999028</v>
      </c>
      <c r="D5903" s="1" t="n">
        <v>0.29993</v>
      </c>
      <c r="E5903" s="1" t="n">
        <f aca="false">LN(D5903)</f>
        <v>-1.20420616488573</v>
      </c>
    </row>
    <row r="5904" customFormat="false" ht="15.75" hidden="false" customHeight="false" outlineLevel="0" collapsed="false">
      <c r="A5904" s="1" t="s">
        <v>1052</v>
      </c>
      <c r="B5904" s="1" t="n">
        <v>350.77</v>
      </c>
      <c r="C5904" s="1" t="n">
        <f aca="false">1/B5904</f>
        <v>0.0028508709410725</v>
      </c>
      <c r="D5904" s="1" t="n">
        <v>0.29765</v>
      </c>
      <c r="E5904" s="1" t="n">
        <f aca="false">LN(D5904)</f>
        <v>-1.21183697938274</v>
      </c>
    </row>
    <row r="5905" customFormat="false" ht="15.75" hidden="false" customHeight="false" outlineLevel="0" collapsed="false">
      <c r="A5905" s="1" t="s">
        <v>1052</v>
      </c>
      <c r="B5905" s="1" t="n">
        <v>351.63</v>
      </c>
      <c r="C5905" s="1" t="n">
        <f aca="false">1/B5905</f>
        <v>0.00284389841594858</v>
      </c>
      <c r="D5905" s="1" t="n">
        <v>0.29539</v>
      </c>
      <c r="E5905" s="1" t="n">
        <f aca="false">LN(D5905)</f>
        <v>-1.21945876186138</v>
      </c>
    </row>
    <row r="5906" customFormat="false" ht="15.75" hidden="false" customHeight="false" outlineLevel="0" collapsed="false">
      <c r="A5906" s="1" t="s">
        <v>1052</v>
      </c>
      <c r="B5906" s="1" t="n">
        <v>352.48</v>
      </c>
      <c r="C5906" s="1" t="n">
        <f aca="false">1/B5906</f>
        <v>0.00283704039945529</v>
      </c>
      <c r="D5906" s="1" t="n">
        <v>0.29316</v>
      </c>
      <c r="E5906" s="1" t="n">
        <f aca="false">LN(D5906)</f>
        <v>-1.22703674392449</v>
      </c>
    </row>
    <row r="5907" customFormat="false" ht="15.75" hidden="false" customHeight="false" outlineLevel="0" collapsed="false">
      <c r="A5907" s="1" t="s">
        <v>1052</v>
      </c>
      <c r="B5907" s="1" t="n">
        <v>353.34</v>
      </c>
      <c r="C5907" s="1" t="n">
        <f aca="false">1/B5907</f>
        <v>0.00283013528046641</v>
      </c>
      <c r="D5907" s="1" t="n">
        <v>0.29095</v>
      </c>
      <c r="E5907" s="1" t="n">
        <f aca="false">LN(D5907)</f>
        <v>-1.23460384787946</v>
      </c>
    </row>
    <row r="5908" customFormat="false" ht="15.75" hidden="false" customHeight="false" outlineLevel="0" collapsed="false">
      <c r="A5908" s="1" t="s">
        <v>1052</v>
      </c>
      <c r="B5908" s="1" t="n">
        <v>354.19</v>
      </c>
      <c r="C5908" s="1" t="n">
        <f aca="false">1/B5908</f>
        <v>0.00282334340325814</v>
      </c>
      <c r="D5908" s="1" t="n">
        <v>0.28877</v>
      </c>
      <c r="E5908" s="1" t="n">
        <f aca="false">LN(D5908)</f>
        <v>-1.24212475547551</v>
      </c>
    </row>
    <row r="5909" customFormat="false" ht="15.75" hidden="false" customHeight="false" outlineLevel="0" collapsed="false">
      <c r="A5909" s="1" t="s">
        <v>1052</v>
      </c>
      <c r="B5909" s="1" t="n">
        <v>355.05</v>
      </c>
      <c r="C5909" s="1" t="n">
        <f aca="false">1/B5909</f>
        <v>0.0028165047176454</v>
      </c>
      <c r="D5909" s="1" t="n">
        <v>0.28661</v>
      </c>
      <c r="E5909" s="1" t="n">
        <f aca="false">LN(D5909)</f>
        <v>-1.24963287236146</v>
      </c>
    </row>
    <row r="5910" customFormat="false" ht="15.75" hidden="false" customHeight="false" outlineLevel="0" collapsed="false">
      <c r="A5910" s="1" t="s">
        <v>1052</v>
      </c>
      <c r="B5910" s="1" t="n">
        <v>355.91</v>
      </c>
      <c r="C5910" s="1" t="n">
        <f aca="false">1/B5910</f>
        <v>0.0028096990812284</v>
      </c>
      <c r="D5910" s="1" t="n">
        <v>0.28447</v>
      </c>
      <c r="E5910" s="1" t="n">
        <f aca="false">LN(D5910)</f>
        <v>-1.25712747913046</v>
      </c>
    </row>
    <row r="5911" customFormat="false" ht="15.75" hidden="false" customHeight="false" outlineLevel="0" collapsed="false">
      <c r="A5911" s="1" t="s">
        <v>1052</v>
      </c>
      <c r="B5911" s="1" t="n">
        <v>356.76</v>
      </c>
      <c r="C5911" s="1" t="n">
        <f aca="false">1/B5911</f>
        <v>0.00280300482116829</v>
      </c>
      <c r="D5911" s="1" t="n">
        <v>0.28236</v>
      </c>
      <c r="E5911" s="1" t="n">
        <f aca="false">LN(D5911)</f>
        <v>-1.26457242645487</v>
      </c>
    </row>
    <row r="5912" customFormat="false" ht="15.75" hidden="false" customHeight="false" outlineLevel="0" collapsed="false">
      <c r="A5912" s="1" t="s">
        <v>1052</v>
      </c>
      <c r="B5912" s="1" t="n">
        <v>357.62</v>
      </c>
      <c r="C5912" s="1" t="n">
        <f aca="false">1/B5912</f>
        <v>0.00279626419104077</v>
      </c>
      <c r="D5912" s="1" t="n">
        <v>0.28027</v>
      </c>
      <c r="E5912" s="1" t="n">
        <f aca="false">LN(D5912)</f>
        <v>-1.27200185472341</v>
      </c>
    </row>
    <row r="5913" customFormat="false" ht="15.75" hidden="false" customHeight="false" outlineLevel="0" collapsed="false">
      <c r="A5913" s="1" t="s">
        <v>1052</v>
      </c>
      <c r="B5913" s="1" t="n">
        <v>358.47</v>
      </c>
      <c r="C5913" s="1" t="n">
        <f aca="false">1/B5913</f>
        <v>0.00278963372109242</v>
      </c>
      <c r="D5913" s="1" t="n">
        <v>0.2782</v>
      </c>
      <c r="E5913" s="1" t="n">
        <f aca="false">LN(D5913)</f>
        <v>-1.27941499949279</v>
      </c>
    </row>
    <row r="5914" customFormat="false" ht="15.75" hidden="false" customHeight="false" outlineLevel="0" collapsed="false">
      <c r="A5914" s="1" t="s">
        <v>1052</v>
      </c>
      <c r="B5914" s="1" t="n">
        <v>359.33</v>
      </c>
      <c r="C5914" s="1" t="n">
        <f aca="false">1/B5914</f>
        <v>0.00278295717028915</v>
      </c>
      <c r="D5914" s="1" t="n">
        <v>0.27616</v>
      </c>
      <c r="E5914" s="1" t="n">
        <f aca="false">LN(D5914)</f>
        <v>-1.28677487108707</v>
      </c>
    </row>
    <row r="5915" customFormat="false" ht="15.75" hidden="false" customHeight="false" outlineLevel="0" collapsed="false">
      <c r="A5915" s="1" t="s">
        <v>1052</v>
      </c>
      <c r="B5915" s="1" t="n">
        <v>360.19</v>
      </c>
      <c r="C5915" s="1" t="n">
        <f aca="false">1/B5915</f>
        <v>0.0027763125017352</v>
      </c>
      <c r="D5915" s="1" t="n">
        <v>0.27413</v>
      </c>
      <c r="E5915" s="1" t="n">
        <f aca="false">LN(D5915)</f>
        <v>-1.29415283255635</v>
      </c>
    </row>
    <row r="5916" customFormat="false" ht="15.75" hidden="false" customHeight="false" outlineLevel="0" collapsed="false">
      <c r="A5916" s="1" t="s">
        <v>1052</v>
      </c>
      <c r="B5916" s="1" t="n">
        <v>361.04</v>
      </c>
      <c r="C5916" s="1" t="n">
        <f aca="false">1/B5916</f>
        <v>0.00276977620208287</v>
      </c>
      <c r="D5916" s="1" t="n">
        <v>0.27213</v>
      </c>
      <c r="E5916" s="1" t="n">
        <f aca="false">LN(D5916)</f>
        <v>-1.30147538568717</v>
      </c>
    </row>
    <row r="5917" customFormat="false" ht="15.75" hidden="false" customHeight="false" outlineLevel="0" collapsed="false">
      <c r="A5917" s="1" t="s">
        <v>1052</v>
      </c>
      <c r="B5917" s="1" t="n">
        <v>361.9</v>
      </c>
      <c r="C5917" s="1" t="n">
        <f aca="false">1/B5917</f>
        <v>0.00276319425255595</v>
      </c>
      <c r="D5917" s="1" t="n">
        <v>0.27015</v>
      </c>
      <c r="E5917" s="1" t="n">
        <f aca="false">LN(D5917)</f>
        <v>-1.30877791869206</v>
      </c>
    </row>
    <row r="5918" customFormat="false" ht="15.75" hidden="false" customHeight="false" outlineLevel="0" collapsed="false">
      <c r="A5918" s="1" t="s">
        <v>1052</v>
      </c>
      <c r="B5918" s="1" t="n">
        <v>362.75</v>
      </c>
      <c r="C5918" s="1" t="n">
        <f aca="false">1/B5918</f>
        <v>0.00275671950379049</v>
      </c>
      <c r="D5918" s="1" t="n">
        <v>0.26819</v>
      </c>
      <c r="E5918" s="1" t="n">
        <f aca="false">LN(D5918)</f>
        <v>-1.31605959443744</v>
      </c>
    </row>
    <row r="5919" customFormat="false" ht="15.75" hidden="false" customHeight="false" outlineLevel="0" collapsed="false">
      <c r="A5919" s="1" t="s">
        <v>1052</v>
      </c>
      <c r="B5919" s="1" t="n">
        <v>363.61</v>
      </c>
      <c r="C5919" s="1" t="n">
        <f aca="false">1/B5919</f>
        <v>0.00275019938945574</v>
      </c>
      <c r="D5919" s="1" t="n">
        <v>0.26625</v>
      </c>
      <c r="E5919" s="1" t="n">
        <f aca="false">LN(D5919)</f>
        <v>-1.3233195619585</v>
      </c>
    </row>
    <row r="5920" customFormat="false" ht="15.75" hidden="false" customHeight="false" outlineLevel="0" collapsed="false">
      <c r="A5920" s="1" t="s">
        <v>1052</v>
      </c>
      <c r="B5920" s="1" t="n">
        <v>364.47</v>
      </c>
      <c r="C5920" s="1" t="n">
        <f aca="false">1/B5920</f>
        <v>0.00274371004472247</v>
      </c>
      <c r="D5920" s="1" t="n">
        <v>0.26433</v>
      </c>
      <c r="E5920" s="1" t="n">
        <f aca="false">LN(D5920)</f>
        <v>-1.33055695643539</v>
      </c>
    </row>
    <row r="5921" customFormat="false" ht="15.75" hidden="false" customHeight="false" outlineLevel="0" collapsed="false">
      <c r="A5921" s="1" t="s">
        <v>1052</v>
      </c>
      <c r="B5921" s="1" t="n">
        <v>365.32</v>
      </c>
      <c r="C5921" s="1" t="n">
        <f aca="false">1/B5921</f>
        <v>0.00273732617978758</v>
      </c>
      <c r="D5921" s="1" t="n">
        <v>0.26243</v>
      </c>
      <c r="E5921" s="1" t="n">
        <f aca="false">LN(D5921)</f>
        <v>-1.337770899179</v>
      </c>
    </row>
    <row r="5922" customFormat="false" ht="15.75" hidden="false" customHeight="false" outlineLevel="0" collapsed="false">
      <c r="A5922" s="1" t="s">
        <v>1052</v>
      </c>
      <c r="B5922" s="1" t="n">
        <v>366.18</v>
      </c>
      <c r="C5922" s="1" t="n">
        <f aca="false">1/B5922</f>
        <v>0.00273089737287673</v>
      </c>
      <c r="D5922" s="1" t="n">
        <v>0.26055</v>
      </c>
      <c r="E5922" s="1" t="n">
        <f aca="false">LN(D5922)</f>
        <v>-1.34496049762691</v>
      </c>
    </row>
    <row r="5923" customFormat="false" ht="15.75" hidden="false" customHeight="false" outlineLevel="0" collapsed="false">
      <c r="A5923" s="1" t="s">
        <v>1052</v>
      </c>
      <c r="B5923" s="1" t="n">
        <v>367.03</v>
      </c>
      <c r="C5923" s="1" t="n">
        <f aca="false">1/B5923</f>
        <v>0.00272457292319429</v>
      </c>
      <c r="D5923" s="1" t="n">
        <v>0.25868</v>
      </c>
      <c r="E5923" s="1" t="n">
        <f aca="false">LN(D5923)</f>
        <v>-1.35216350240374</v>
      </c>
    </row>
    <row r="5924" customFormat="false" ht="15.75" hidden="false" customHeight="false" outlineLevel="0" collapsed="false">
      <c r="A5924" s="1" t="s">
        <v>1052</v>
      </c>
      <c r="B5924" s="1" t="n">
        <v>367.89</v>
      </c>
      <c r="C5924" s="1" t="n">
        <f aca="false">1/B5924</f>
        <v>0.00271820381092174</v>
      </c>
      <c r="D5924" s="1" t="n">
        <v>0.25684</v>
      </c>
      <c r="E5924" s="1" t="n">
        <f aca="false">LN(D5924)</f>
        <v>-1.35930195605629</v>
      </c>
    </row>
    <row r="5925" customFormat="false" ht="15.75" hidden="false" customHeight="false" outlineLevel="0" collapsed="false">
      <c r="A5925" s="1" t="s">
        <v>1052</v>
      </c>
      <c r="B5925" s="1" t="n">
        <v>368.75</v>
      </c>
      <c r="C5925" s="1" t="n">
        <f aca="false">1/B5925</f>
        <v>0.00271186440677966</v>
      </c>
      <c r="D5925" s="1" t="n">
        <v>0.25501</v>
      </c>
      <c r="E5925" s="1" t="n">
        <f aca="false">LN(D5925)</f>
        <v>-1.36645251890635</v>
      </c>
    </row>
    <row r="5926" customFormat="false" ht="15.75" hidden="false" customHeight="false" outlineLevel="0" collapsed="false">
      <c r="A5926" s="1" t="s">
        <v>1052</v>
      </c>
      <c r="B5926" s="1" t="n">
        <v>369.6</v>
      </c>
      <c r="C5926" s="1" t="n">
        <f aca="false">1/B5926</f>
        <v>0.00270562770562771</v>
      </c>
      <c r="D5926" s="1" t="n">
        <v>0.25321</v>
      </c>
      <c r="E5926" s="1" t="n">
        <f aca="false">LN(D5926)</f>
        <v>-1.37353609502123</v>
      </c>
    </row>
    <row r="5927" customFormat="false" ht="15.75" hidden="false" customHeight="false" outlineLevel="0" collapsed="false">
      <c r="A5927" s="1" t="s">
        <v>1052</v>
      </c>
      <c r="B5927" s="1" t="n">
        <v>370.46</v>
      </c>
      <c r="C5927" s="1" t="n">
        <f aca="false">1/B5927</f>
        <v>0.00269934675808454</v>
      </c>
      <c r="D5927" s="1" t="n">
        <v>0.25142</v>
      </c>
      <c r="E5927" s="1" t="n">
        <f aca="false">LN(D5927)</f>
        <v>-1.38063043149545</v>
      </c>
    </row>
    <row r="5928" customFormat="false" ht="15.75" hidden="false" customHeight="false" outlineLevel="0" collapsed="false">
      <c r="A5928" s="1" t="s">
        <v>1052</v>
      </c>
      <c r="B5928" s="1" t="n">
        <v>371.32</v>
      </c>
      <c r="C5928" s="1" t="n">
        <f aca="false">1/B5928</f>
        <v>0.00269309490466444</v>
      </c>
      <c r="D5928" s="1" t="n">
        <v>0.24964</v>
      </c>
      <c r="E5928" s="1" t="n">
        <f aca="false">LN(D5928)</f>
        <v>-1.38773539891629</v>
      </c>
    </row>
    <row r="5929" customFormat="false" ht="15.75" hidden="false" customHeight="false" outlineLevel="0" collapsed="false">
      <c r="A5929" s="1" t="s">
        <v>1052</v>
      </c>
      <c r="B5929" s="1" t="n">
        <v>372.17</v>
      </c>
      <c r="C5929" s="1" t="n">
        <f aca="false">1/B5929</f>
        <v>0.00268694413843136</v>
      </c>
      <c r="D5929" s="1" t="n">
        <v>0.24789</v>
      </c>
      <c r="E5929" s="1" t="n">
        <f aca="false">LN(D5929)</f>
        <v>-1.39477017960093</v>
      </c>
    </row>
    <row r="5930" customFormat="false" ht="15.75" hidden="false" customHeight="false" outlineLevel="0" collapsed="false">
      <c r="A5930" s="1" t="s">
        <v>1052</v>
      </c>
      <c r="B5930" s="1" t="n">
        <v>373.03</v>
      </c>
      <c r="C5930" s="1" t="n">
        <f aca="false">1/B5930</f>
        <v>0.0026807495375707</v>
      </c>
      <c r="D5930" s="1" t="n">
        <v>0.24615</v>
      </c>
      <c r="E5930" s="1" t="n">
        <f aca="false">LN(D5930)</f>
        <v>-1.40181417277793</v>
      </c>
    </row>
    <row r="5931" customFormat="false" ht="15.75" hidden="false" customHeight="false" outlineLevel="0" collapsed="false">
      <c r="A5931" s="1" t="s">
        <v>1052</v>
      </c>
      <c r="B5931" s="1" t="n">
        <v>373.88</v>
      </c>
      <c r="C5931" s="1" t="n">
        <f aca="false">1/B5931</f>
        <v>0.00267465496950893</v>
      </c>
      <c r="D5931" s="1" t="n">
        <v>0.24443</v>
      </c>
      <c r="E5931" s="1" t="n">
        <f aca="false">LN(D5931)</f>
        <v>-1.40882630962698</v>
      </c>
    </row>
    <row r="5932" customFormat="false" ht="15.75" hidden="false" customHeight="false" outlineLevel="0" collapsed="false">
      <c r="A5932" s="1" t="s">
        <v>1052</v>
      </c>
      <c r="B5932" s="1" t="n">
        <v>374.74</v>
      </c>
      <c r="C5932" s="1" t="n">
        <f aca="false">1/B5932</f>
        <v>0.00266851683834125</v>
      </c>
      <c r="D5932" s="1" t="n">
        <v>0.24272</v>
      </c>
      <c r="E5932" s="1" t="n">
        <f aca="false">LN(D5932)</f>
        <v>-1.41584676338192</v>
      </c>
    </row>
    <row r="5933" customFormat="false" ht="15.75" hidden="false" customHeight="false" outlineLevel="0" collapsed="false">
      <c r="A5933" s="1" t="s">
        <v>1052</v>
      </c>
      <c r="B5933" s="1" t="n">
        <v>375.6</v>
      </c>
      <c r="C5933" s="1" t="n">
        <f aca="false">1/B5933</f>
        <v>0.00266240681576145</v>
      </c>
      <c r="D5933" s="1" t="n">
        <v>0.24104</v>
      </c>
      <c r="E5933" s="1" t="n">
        <f aca="false">LN(D5933)</f>
        <v>-1.42279238416009</v>
      </c>
    </row>
    <row r="5934" customFormat="false" ht="15.75" hidden="false" customHeight="false" outlineLevel="0" collapsed="false">
      <c r="A5934" s="1" t="s">
        <v>1052</v>
      </c>
      <c r="B5934" s="1" t="n">
        <v>376.45</v>
      </c>
      <c r="C5934" s="1" t="n">
        <f aca="false">1/B5934</f>
        <v>0.00265639527161642</v>
      </c>
      <c r="D5934" s="1" t="n">
        <v>0.23936</v>
      </c>
      <c r="E5934" s="1" t="n">
        <f aca="false">LN(D5934)</f>
        <v>-1.42978658419602</v>
      </c>
    </row>
    <row r="5935" customFormat="false" ht="15.75" hidden="false" customHeight="false" outlineLevel="0" collapsed="false">
      <c r="A5935" s="1" t="s">
        <v>1052</v>
      </c>
      <c r="B5935" s="1" t="n">
        <v>377.31</v>
      </c>
      <c r="C5935" s="1" t="n">
        <f aca="false">1/B5935</f>
        <v>0.00265034056876309</v>
      </c>
      <c r="D5935" s="1" t="n">
        <v>0.23771</v>
      </c>
      <c r="E5935" s="1" t="n">
        <f aca="false">LN(D5935)</f>
        <v>-1.43670383566497</v>
      </c>
    </row>
    <row r="5936" customFormat="false" ht="15.75" hidden="false" customHeight="false" outlineLevel="0" collapsed="false">
      <c r="A5936" s="1" t="s">
        <v>1052</v>
      </c>
      <c r="B5936" s="1" t="n">
        <v>378.16</v>
      </c>
      <c r="C5936" s="1" t="n">
        <f aca="false">1/B5936</f>
        <v>0.00264438332980749</v>
      </c>
      <c r="D5936" s="1" t="n">
        <v>0.23606</v>
      </c>
      <c r="E5936" s="1" t="n">
        <f aca="false">LN(D5936)</f>
        <v>-1.44366926898121</v>
      </c>
    </row>
    <row r="5937" customFormat="false" ht="15.75" hidden="false" customHeight="false" outlineLevel="0" collapsed="false">
      <c r="A5937" s="1" t="s">
        <v>1052</v>
      </c>
      <c r="B5937" s="1" t="n">
        <v>379.02</v>
      </c>
      <c r="C5937" s="1" t="n">
        <f aca="false">1/B5937</f>
        <v>0.00263838319877579</v>
      </c>
      <c r="D5937" s="1" t="n">
        <v>0.23444</v>
      </c>
      <c r="E5937" s="1" t="n">
        <f aca="false">LN(D5937)</f>
        <v>-1.45055558737391</v>
      </c>
    </row>
    <row r="5938" customFormat="false" ht="15.75" hidden="false" customHeight="false" outlineLevel="0" collapsed="false">
      <c r="A5938" s="1" t="s">
        <v>1052</v>
      </c>
      <c r="B5938" s="1" t="n">
        <v>379.88</v>
      </c>
      <c r="C5938" s="1" t="n">
        <f aca="false">1/B5938</f>
        <v>0.00263241023481099</v>
      </c>
      <c r="D5938" s="1" t="n">
        <v>0.23283</v>
      </c>
      <c r="E5938" s="1" t="n">
        <f aca="false">LN(D5938)</f>
        <v>-1.45744670544798</v>
      </c>
    </row>
    <row r="5939" customFormat="false" ht="15.75" hidden="false" customHeight="false" outlineLevel="0" collapsed="false">
      <c r="A5939" s="1" t="s">
        <v>1052</v>
      </c>
      <c r="B5939" s="1" t="n">
        <v>380.73</v>
      </c>
      <c r="C5939" s="1" t="n">
        <f aca="false">1/B5939</f>
        <v>0.00262653323877814</v>
      </c>
      <c r="D5939" s="1" t="n">
        <v>0.23123</v>
      </c>
      <c r="E5939" s="1" t="n">
        <f aca="false">LN(D5939)</f>
        <v>-1.46434239281626</v>
      </c>
    </row>
    <row r="5940" customFormat="false" ht="15.75" hidden="false" customHeight="false" outlineLevel="0" collapsed="false">
      <c r="A5940" s="1" t="s">
        <v>1052</v>
      </c>
      <c r="B5940" s="1" t="n">
        <v>381.59</v>
      </c>
      <c r="C5940" s="1" t="n">
        <f aca="false">1/B5940</f>
        <v>0.00262061374773972</v>
      </c>
      <c r="D5940" s="1" t="n">
        <v>0.22965</v>
      </c>
      <c r="E5940" s="1" t="n">
        <f aca="false">LN(D5940)</f>
        <v>-1.47119886821033</v>
      </c>
    </row>
    <row r="5941" customFormat="false" ht="15.75" hidden="false" customHeight="false" outlineLevel="0" collapsed="false">
      <c r="A5941" s="1" t="s">
        <v>1052</v>
      </c>
      <c r="B5941" s="1" t="n">
        <v>382.44</v>
      </c>
      <c r="C5941" s="1" t="n">
        <f aca="false">1/B5941</f>
        <v>0.00261478924798661</v>
      </c>
      <c r="D5941" s="1" t="n">
        <v>0.22808</v>
      </c>
      <c r="E5941" s="1" t="n">
        <f aca="false">LN(D5941)</f>
        <v>-1.47805883437772</v>
      </c>
    </row>
    <row r="5942" customFormat="false" ht="15.75" hidden="false" customHeight="false" outlineLevel="0" collapsed="false">
      <c r="A5942" s="1" t="s">
        <v>1052</v>
      </c>
      <c r="B5942" s="1" t="n">
        <v>383.3</v>
      </c>
      <c r="C5942" s="1" t="n">
        <f aca="false">1/B5942</f>
        <v>0.0026089225150013</v>
      </c>
      <c r="D5942" s="1" t="n">
        <v>0.22652</v>
      </c>
      <c r="E5942" s="1" t="n">
        <f aca="false">LN(D5942)</f>
        <v>-1.48492203773653</v>
      </c>
    </row>
    <row r="5943" customFormat="false" ht="15.75" hidden="false" customHeight="false" outlineLevel="0" collapsed="false">
      <c r="A5943" s="1" t="s">
        <v>1052</v>
      </c>
      <c r="B5943" s="1" t="n">
        <v>384.16</v>
      </c>
      <c r="C5943" s="1" t="n">
        <f aca="false">1/B5943</f>
        <v>0.00260308204914619</v>
      </c>
      <c r="D5943" s="1" t="n">
        <v>0.22498</v>
      </c>
      <c r="E5943" s="1" t="n">
        <f aca="false">LN(D5943)</f>
        <v>-1.49174376961746</v>
      </c>
    </row>
    <row r="5944" customFormat="false" ht="15.75" hidden="false" customHeight="false" outlineLevel="0" collapsed="false">
      <c r="A5944" s="1" t="s">
        <v>1052</v>
      </c>
      <c r="B5944" s="1" t="n">
        <v>385.01</v>
      </c>
      <c r="C5944" s="1" t="n">
        <f aca="false">1/B5944</f>
        <v>0.00259733513415236</v>
      </c>
      <c r="D5944" s="1" t="n">
        <v>0.22346</v>
      </c>
      <c r="E5944" s="1" t="n">
        <f aca="false">LN(D5944)</f>
        <v>-1.49852285186295</v>
      </c>
    </row>
    <row r="5945" customFormat="false" ht="15.75" hidden="false" customHeight="false" outlineLevel="0" collapsed="false">
      <c r="A5945" s="1" t="s">
        <v>1052</v>
      </c>
      <c r="B5945" s="1" t="n">
        <v>385.87</v>
      </c>
      <c r="C5945" s="1" t="n">
        <f aca="false">1/B5945</f>
        <v>0.00259154637572239</v>
      </c>
      <c r="D5945" s="1" t="n">
        <v>0.22194</v>
      </c>
      <c r="E5945" s="1" t="n">
        <f aca="false">LN(D5945)</f>
        <v>-1.50534820390972</v>
      </c>
    </row>
    <row r="5946" customFormat="false" ht="15.75" hidden="false" customHeight="false" outlineLevel="0" collapsed="false">
      <c r="A5946" s="1" t="s">
        <v>1052</v>
      </c>
      <c r="B5946" s="1" t="n">
        <v>386.72</v>
      </c>
      <c r="C5946" s="1" t="n">
        <f aca="false">1/B5946</f>
        <v>0.00258585022755482</v>
      </c>
      <c r="D5946" s="1" t="n">
        <v>0.22044</v>
      </c>
      <c r="E5946" s="1" t="n">
        <f aca="false">LN(D5946)</f>
        <v>-1.5121297299671</v>
      </c>
    </row>
    <row r="5947" customFormat="false" ht="15.75" hidden="false" customHeight="false" outlineLevel="0" collapsed="false">
      <c r="A5947" s="1" t="s">
        <v>1052</v>
      </c>
      <c r="B5947" s="1" t="n">
        <v>387.58</v>
      </c>
      <c r="C5947" s="1" t="n">
        <f aca="false">1/B5947</f>
        <v>0.00258011249290469</v>
      </c>
      <c r="D5947" s="1" t="n">
        <v>0.21896</v>
      </c>
      <c r="E5947" s="1" t="n">
        <f aca="false">LN(D5947)</f>
        <v>-1.51886621424971</v>
      </c>
    </row>
    <row r="5948" customFormat="false" ht="15.75" hidden="false" customHeight="false" outlineLevel="0" collapsed="false">
      <c r="A5948" s="1" t="s">
        <v>1052</v>
      </c>
      <c r="B5948" s="1" t="n">
        <v>388.44</v>
      </c>
      <c r="C5948" s="1" t="n">
        <f aca="false">1/B5948</f>
        <v>0.00257440016476161</v>
      </c>
      <c r="D5948" s="1" t="n">
        <v>0.21748</v>
      </c>
      <c r="E5948" s="1" t="n">
        <f aca="false">LN(D5948)</f>
        <v>-1.52564838670442</v>
      </c>
    </row>
    <row r="5949" customFormat="false" ht="15.75" hidden="false" customHeight="false" outlineLevel="0" collapsed="false">
      <c r="A5949" s="1" t="s">
        <v>1052</v>
      </c>
      <c r="B5949" s="1" t="n">
        <v>389.29</v>
      </c>
      <c r="C5949" s="1" t="n">
        <f aca="false">1/B5949</f>
        <v>0.00256877905931311</v>
      </c>
      <c r="D5949" s="1" t="n">
        <v>0.21602</v>
      </c>
      <c r="E5949" s="1" t="n">
        <f aca="false">LN(D5949)</f>
        <v>-1.53238428299181</v>
      </c>
    </row>
    <row r="5950" customFormat="false" ht="15.75" hidden="false" customHeight="false" outlineLevel="0" collapsed="false">
      <c r="A5950" s="1" t="s">
        <v>1052</v>
      </c>
      <c r="B5950" s="1" t="n">
        <v>390.15</v>
      </c>
      <c r="C5950" s="1" t="n">
        <f aca="false">1/B5950</f>
        <v>0.00256311674996796</v>
      </c>
      <c r="D5950" s="1" t="n">
        <v>0.21457</v>
      </c>
      <c r="E5950" s="1" t="n">
        <f aca="false">LN(D5950)</f>
        <v>-1.53911925352515</v>
      </c>
    </row>
    <row r="5951" customFormat="false" ht="15.75" hidden="false" customHeight="false" outlineLevel="0" collapsed="false">
      <c r="A5951" s="1" t="s">
        <v>1052</v>
      </c>
      <c r="B5951" s="1" t="n">
        <v>391</v>
      </c>
      <c r="C5951" s="1" t="n">
        <f aca="false">1/B5951</f>
        <v>0.00255754475703325</v>
      </c>
      <c r="D5951" s="1" t="n">
        <v>0.21314</v>
      </c>
      <c r="E5951" s="1" t="n">
        <f aca="false">LN(D5951)</f>
        <v>-1.54580605218933</v>
      </c>
    </row>
    <row r="5952" customFormat="false" ht="15.75" hidden="false" customHeight="false" outlineLevel="0" collapsed="false">
      <c r="A5952" s="1" t="s">
        <v>1052</v>
      </c>
      <c r="B5952" s="1" t="n">
        <v>391.86</v>
      </c>
      <c r="C5952" s="1" t="n">
        <f aca="false">1/B5952</f>
        <v>0.00255193181238197</v>
      </c>
      <c r="D5952" s="1" t="n">
        <v>0.21171</v>
      </c>
      <c r="E5952" s="1" t="n">
        <f aca="false">LN(D5952)</f>
        <v>-1.55253786530129</v>
      </c>
    </row>
    <row r="5953" customFormat="false" ht="15.75" hidden="false" customHeight="false" outlineLevel="0" collapsed="false">
      <c r="A5953" s="1" t="s">
        <v>1052</v>
      </c>
      <c r="B5953" s="1" t="n">
        <v>392.72</v>
      </c>
      <c r="C5953" s="1" t="n">
        <f aca="false">1/B5953</f>
        <v>0.00254634345080464</v>
      </c>
      <c r="D5953" s="1" t="n">
        <v>0.2103</v>
      </c>
      <c r="E5953" s="1" t="n">
        <f aca="false">LN(D5953)</f>
        <v>-1.55922019627348</v>
      </c>
    </row>
    <row r="5954" customFormat="false" ht="15.75" hidden="false" customHeight="false" outlineLevel="0" collapsed="false">
      <c r="A5954" s="1" t="s">
        <v>1052</v>
      </c>
      <c r="B5954" s="1" t="n">
        <v>393.57</v>
      </c>
      <c r="C5954" s="1" t="n">
        <f aca="false">1/B5954</f>
        <v>0.00254084406839952</v>
      </c>
      <c r="D5954" s="1" t="n">
        <v>0.2089</v>
      </c>
      <c r="E5954" s="1" t="n">
        <f aca="false">LN(D5954)</f>
        <v>-1.56589961041962</v>
      </c>
    </row>
    <row r="5955" customFormat="false" ht="15.75" hidden="false" customHeight="false" outlineLevel="0" collapsed="false">
      <c r="A5955" s="1" t="s">
        <v>1052</v>
      </c>
      <c r="B5955" s="1" t="n">
        <v>394.43</v>
      </c>
      <c r="C5955" s="1" t="n">
        <f aca="false">1/B5955</f>
        <v>0.00253530410972796</v>
      </c>
      <c r="D5955" s="1" t="n">
        <v>0.20751</v>
      </c>
      <c r="E5955" s="1" t="n">
        <f aca="false">LN(D5955)</f>
        <v>-1.57257574770153</v>
      </c>
    </row>
    <row r="5956" customFormat="false" ht="15.75" hidden="false" customHeight="false" outlineLevel="0" collapsed="false">
      <c r="A5956" s="1" t="s">
        <v>1052</v>
      </c>
      <c r="B5956" s="1" t="n">
        <v>395.28</v>
      </c>
      <c r="C5956" s="1" t="n">
        <f aca="false">1/B5956</f>
        <v>0.00252985225662821</v>
      </c>
      <c r="D5956" s="1" t="n">
        <v>0.20613</v>
      </c>
      <c r="E5956" s="1" t="n">
        <f aca="false">LN(D5956)</f>
        <v>-1.57924824127104</v>
      </c>
    </row>
    <row r="5957" customFormat="false" ht="15.75" hidden="false" customHeight="false" outlineLevel="0" collapsed="false">
      <c r="A5957" s="1" t="s">
        <v>1052</v>
      </c>
      <c r="B5957" s="1" t="n">
        <v>396.14</v>
      </c>
      <c r="C5957" s="1" t="n">
        <f aca="false">1/B5957</f>
        <v>0.00252436007472106</v>
      </c>
      <c r="D5957" s="1" t="n">
        <v>0.20477</v>
      </c>
      <c r="E5957" s="1" t="n">
        <f aca="false">LN(D5957)</f>
        <v>-1.58586788092167</v>
      </c>
    </row>
    <row r="5958" customFormat="false" ht="15.75" hidden="false" customHeight="false" outlineLevel="0" collapsed="false">
      <c r="A5958" s="1" t="s">
        <v>1052</v>
      </c>
      <c r="B5958" s="1" t="n">
        <v>397</v>
      </c>
      <c r="C5958" s="1" t="n">
        <f aca="false">1/B5958</f>
        <v>0.00251889168765743</v>
      </c>
      <c r="D5958" s="1" t="n">
        <v>0.20341</v>
      </c>
      <c r="E5958" s="1" t="n">
        <f aca="false">LN(D5958)</f>
        <v>-1.59253163236774</v>
      </c>
    </row>
    <row r="5959" customFormat="false" ht="15.75" hidden="false" customHeight="false" outlineLevel="0" collapsed="false">
      <c r="A5959" s="1" t="s">
        <v>1052</v>
      </c>
      <c r="B5959" s="1" t="n">
        <v>397.85</v>
      </c>
      <c r="C5959" s="1" t="n">
        <f aca="false">1/B5959</f>
        <v>0.00251351011687822</v>
      </c>
      <c r="D5959" s="1" t="n">
        <v>0.20207</v>
      </c>
      <c r="E5959" s="1" t="n">
        <f aca="false">LN(D5959)</f>
        <v>-1.59914110695673</v>
      </c>
    </row>
    <row r="5960" customFormat="false" ht="15.75" hidden="false" customHeight="false" outlineLevel="0" collapsed="false">
      <c r="A5960" s="1" t="s">
        <v>1052</v>
      </c>
      <c r="B5960" s="1" t="n">
        <v>398.32</v>
      </c>
      <c r="C5960" s="1" t="n">
        <f aca="false">1/B5960</f>
        <v>0.0025105442860012</v>
      </c>
      <c r="D5960" s="1" t="n">
        <v>0.20134</v>
      </c>
      <c r="E5960" s="1" t="n">
        <f aca="false">LN(D5960)</f>
        <v>-1.60276025768086</v>
      </c>
    </row>
    <row r="5961" customFormat="false" ht="15.75" hidden="false" customHeight="false" outlineLevel="0" collapsed="false">
      <c r="A5961" s="1" t="s">
        <v>128</v>
      </c>
      <c r="B5961" s="1" t="n">
        <v>323.15112</v>
      </c>
      <c r="C5961" s="1" t="n">
        <f aca="false">1/B5961</f>
        <v>0.00309452741491349</v>
      </c>
      <c r="D5961" s="1" t="n">
        <v>2.62</v>
      </c>
      <c r="E5961" s="1" t="n">
        <f aca="false">LN(D5961)</f>
        <v>0.963174317773006</v>
      </c>
    </row>
    <row r="5962" customFormat="false" ht="15.75" hidden="false" customHeight="false" outlineLevel="0" collapsed="false">
      <c r="A5962" s="1" t="s">
        <v>128</v>
      </c>
      <c r="B5962" s="1" t="n">
        <v>343.15</v>
      </c>
      <c r="C5962" s="1" t="n">
        <f aca="false">1/B5962</f>
        <v>0.00291417747340813</v>
      </c>
      <c r="D5962" s="1" t="n">
        <v>1.845</v>
      </c>
      <c r="E5962" s="1" t="n">
        <f aca="false">LN(D5962)</f>
        <v>0.612479277492491</v>
      </c>
    </row>
    <row r="5963" customFormat="false" ht="15.75" hidden="false" customHeight="false" outlineLevel="0" collapsed="false">
      <c r="A5963" s="1" t="s">
        <v>128</v>
      </c>
      <c r="B5963" s="1" t="n">
        <v>363.15</v>
      </c>
      <c r="C5963" s="1" t="n">
        <f aca="false">1/B5963</f>
        <v>0.00275368305108082</v>
      </c>
      <c r="D5963" s="1" t="n">
        <v>1.3</v>
      </c>
      <c r="E5963" s="1" t="n">
        <f aca="false">LN(D5963)</f>
        <v>0.262364264467491</v>
      </c>
    </row>
    <row r="5964" customFormat="false" ht="15.75" hidden="false" customHeight="false" outlineLevel="0" collapsed="false">
      <c r="A5964" s="1" t="s">
        <v>128</v>
      </c>
      <c r="B5964" s="1" t="n">
        <v>293.15119</v>
      </c>
      <c r="C5964" s="1" t="n">
        <f aca="false">1/B5964</f>
        <v>0.00341120907610847</v>
      </c>
      <c r="D5964" s="1" t="n">
        <v>5.86</v>
      </c>
      <c r="E5964" s="1" t="n">
        <f aca="false">LN(D5964)</f>
        <v>1.76814960358892</v>
      </c>
    </row>
    <row r="5965" customFormat="false" ht="15.75" hidden="false" customHeight="false" outlineLevel="0" collapsed="false">
      <c r="A5965" s="1" t="s">
        <v>1472</v>
      </c>
      <c r="B5965" s="1" t="n">
        <v>318.15</v>
      </c>
      <c r="C5965" s="1" t="n">
        <f aca="false">1/B5965</f>
        <v>0.00314317146000314</v>
      </c>
      <c r="D5965" s="1" t="n">
        <v>7.205</v>
      </c>
      <c r="E5965" s="1" t="n">
        <f aca="false">LN(D5965)</f>
        <v>1.97477522945149</v>
      </c>
    </row>
    <row r="5966" customFormat="false" ht="15.75" hidden="false" customHeight="false" outlineLevel="0" collapsed="false">
      <c r="A5966" s="1" t="s">
        <v>1472</v>
      </c>
      <c r="B5966" s="1" t="n">
        <v>333.15</v>
      </c>
      <c r="C5966" s="1" t="n">
        <f aca="false">1/B5966</f>
        <v>0.0030016509079994</v>
      </c>
      <c r="D5966" s="1" t="n">
        <v>5.193</v>
      </c>
      <c r="E5966" s="1" t="n">
        <f aca="false">LN(D5966)</f>
        <v>1.64731156486218</v>
      </c>
    </row>
    <row r="5967" customFormat="false" ht="15.75" hidden="false" customHeight="false" outlineLevel="0" collapsed="false">
      <c r="A5967" s="1" t="s">
        <v>1472</v>
      </c>
      <c r="B5967" s="1" t="n">
        <v>348.15</v>
      </c>
      <c r="C5967" s="1" t="n">
        <f aca="false">1/B5967</f>
        <v>0.00287232514720666</v>
      </c>
      <c r="D5967" s="1" t="n">
        <v>3.915</v>
      </c>
      <c r="E5967" s="1" t="n">
        <f aca="false">LN(D5967)</f>
        <v>1.36481532944277</v>
      </c>
    </row>
    <row r="5968" customFormat="false" ht="15.75" hidden="false" customHeight="false" outlineLevel="0" collapsed="false">
      <c r="A5968" s="1" t="s">
        <v>1472</v>
      </c>
      <c r="B5968" s="1" t="n">
        <v>363.15</v>
      </c>
      <c r="C5968" s="1" t="n">
        <f aca="false">1/B5968</f>
        <v>0.00275368305108082</v>
      </c>
      <c r="D5968" s="1" t="n">
        <v>3.076</v>
      </c>
      <c r="E5968" s="1" t="n">
        <f aca="false">LN(D5968)</f>
        <v>1.1236300516434</v>
      </c>
    </row>
    <row r="5969" customFormat="false" ht="15.75" hidden="false" customHeight="false" outlineLevel="0" collapsed="false">
      <c r="A5969" s="1" t="s">
        <v>1054</v>
      </c>
      <c r="B5969" s="1" t="n">
        <v>278.15</v>
      </c>
      <c r="C5969" s="1" t="n">
        <f aca="false">1/B5969</f>
        <v>0.00359518245550962</v>
      </c>
      <c r="D5969" s="1" t="n">
        <v>2.313</v>
      </c>
      <c r="E5969" s="1" t="n">
        <f aca="false">LN(D5969)</f>
        <v>0.838545383249302</v>
      </c>
    </row>
    <row r="5970" customFormat="false" ht="15.75" hidden="false" customHeight="false" outlineLevel="0" collapsed="false">
      <c r="A5970" s="1" t="s">
        <v>1054</v>
      </c>
      <c r="B5970" s="1" t="n">
        <v>288.15</v>
      </c>
      <c r="C5970" s="1" t="n">
        <f aca="false">1/B5970</f>
        <v>0.00347041471455839</v>
      </c>
      <c r="D5970" s="1" t="n">
        <v>1.802</v>
      </c>
      <c r="E5970" s="1" t="n">
        <f aca="false">LN(D5970)</f>
        <v>0.588897159186146</v>
      </c>
    </row>
    <row r="5971" customFormat="false" ht="15.75" hidden="false" customHeight="false" outlineLevel="0" collapsed="false">
      <c r="A5971" s="1" t="s">
        <v>1054</v>
      </c>
      <c r="B5971" s="1" t="n">
        <v>298.15</v>
      </c>
      <c r="C5971" s="1" t="n">
        <f aca="false">1/B5971</f>
        <v>0.00335401643468053</v>
      </c>
      <c r="D5971" s="1" t="n">
        <v>1.474</v>
      </c>
      <c r="E5971" s="1" t="n">
        <f aca="false">LN(D5971)</f>
        <v>0.387979793767145</v>
      </c>
    </row>
    <row r="5972" customFormat="false" ht="15.75" hidden="false" customHeight="false" outlineLevel="0" collapsed="false">
      <c r="A5972" s="1" t="s">
        <v>1054</v>
      </c>
      <c r="B5972" s="1" t="n">
        <v>308.15</v>
      </c>
      <c r="C5972" s="1" t="n">
        <f aca="false">1/B5972</f>
        <v>0.00324517280545189</v>
      </c>
      <c r="D5972" s="1" t="n">
        <v>1.232</v>
      </c>
      <c r="E5972" s="1" t="n">
        <f aca="false">LN(D5972)</f>
        <v>0.208638865111328</v>
      </c>
    </row>
    <row r="5973" customFormat="false" ht="15.75" hidden="false" customHeight="false" outlineLevel="0" collapsed="false">
      <c r="A5973" s="1" t="s">
        <v>1054</v>
      </c>
      <c r="B5973" s="1" t="n">
        <v>318.15</v>
      </c>
      <c r="C5973" s="1" t="n">
        <f aca="false">1/B5973</f>
        <v>0.00314317146000314</v>
      </c>
      <c r="D5973" s="1" t="n">
        <v>1.036</v>
      </c>
      <c r="E5973" s="1" t="n">
        <f aca="false">LN(D5973)</f>
        <v>0.0353671438372913</v>
      </c>
    </row>
    <row r="5974" customFormat="false" ht="15.75" hidden="false" customHeight="false" outlineLevel="0" collapsed="false">
      <c r="A5974" s="1" t="s">
        <v>1054</v>
      </c>
      <c r="B5974" s="1" t="n">
        <v>328.15</v>
      </c>
      <c r="C5974" s="1" t="n">
        <f aca="false">1/B5974</f>
        <v>0.00304738686576261</v>
      </c>
      <c r="D5974" s="1" t="n">
        <v>0.887</v>
      </c>
      <c r="E5974" s="1" t="n">
        <f aca="false">LN(D5974)</f>
        <v>-0.119910296672558</v>
      </c>
    </row>
    <row r="5975" customFormat="false" ht="15.75" hidden="false" customHeight="false" outlineLevel="0" collapsed="false">
      <c r="A5975" s="1" t="s">
        <v>1054</v>
      </c>
      <c r="B5975" s="1" t="n">
        <v>338.15</v>
      </c>
      <c r="C5975" s="1" t="n">
        <f aca="false">1/B5975</f>
        <v>0.002957267484844</v>
      </c>
      <c r="D5975" s="1" t="n">
        <v>0.778</v>
      </c>
      <c r="E5975" s="1" t="n">
        <f aca="false">LN(D5975)</f>
        <v>-0.251028754803745</v>
      </c>
    </row>
    <row r="5976" customFormat="false" ht="15.75" hidden="false" customHeight="false" outlineLevel="0" collapsed="false">
      <c r="A5976" s="1" t="s">
        <v>1054</v>
      </c>
      <c r="B5976" s="1" t="n">
        <v>348.15</v>
      </c>
      <c r="C5976" s="1" t="n">
        <f aca="false">1/B5976</f>
        <v>0.00287232514720666</v>
      </c>
      <c r="D5976" s="1" t="n">
        <v>0.673</v>
      </c>
      <c r="E5976" s="1" t="n">
        <f aca="false">LN(D5976)</f>
        <v>-0.396009949337409</v>
      </c>
    </row>
    <row r="5977" customFormat="false" ht="15.75" hidden="false" customHeight="false" outlineLevel="0" collapsed="false">
      <c r="A5977" s="1" t="s">
        <v>1054</v>
      </c>
      <c r="B5977" s="1" t="n">
        <v>373.15</v>
      </c>
      <c r="C5977" s="1" t="n">
        <f aca="false">1/B5977</f>
        <v>0.00267988744472732</v>
      </c>
      <c r="D5977" s="1" t="n">
        <v>0.459</v>
      </c>
      <c r="E5977" s="1" t="n">
        <f aca="false">LN(D5977)</f>
        <v>-0.778705068921592</v>
      </c>
    </row>
    <row r="5978" customFormat="false" ht="15.75" hidden="false" customHeight="false" outlineLevel="0" collapsed="false">
      <c r="A5978" s="1" t="s">
        <v>1054</v>
      </c>
      <c r="B5978" s="1" t="n">
        <v>398.15</v>
      </c>
      <c r="C5978" s="1" t="n">
        <f aca="false">1/B5978</f>
        <v>0.00251161622504081</v>
      </c>
      <c r="D5978" s="1" t="n">
        <v>0.362</v>
      </c>
      <c r="E5978" s="1" t="n">
        <f aca="false">LN(D5978)</f>
        <v>-1.01611106715637</v>
      </c>
    </row>
    <row r="5979" customFormat="false" ht="15.75" hidden="false" customHeight="false" outlineLevel="0" collapsed="false">
      <c r="A5979" s="1" t="s">
        <v>1054</v>
      </c>
      <c r="B5979" s="1" t="n">
        <v>423.15</v>
      </c>
      <c r="C5979" s="1" t="n">
        <f aca="false">1/B5979</f>
        <v>0.00236322816967978</v>
      </c>
      <c r="D5979" s="1" t="n">
        <v>0.292</v>
      </c>
      <c r="E5979" s="1" t="n">
        <f aca="false">LN(D5979)</f>
        <v>-1.23100147671386</v>
      </c>
    </row>
    <row r="5980" customFormat="false" ht="15.75" hidden="false" customHeight="false" outlineLevel="0" collapsed="false">
      <c r="A5980" s="1" t="s">
        <v>1056</v>
      </c>
      <c r="B5980" s="1" t="n">
        <v>297.15</v>
      </c>
      <c r="C5980" s="1" t="n">
        <f aca="false">1/B5980</f>
        <v>0.00336530371866061</v>
      </c>
      <c r="D5980" s="1" t="n">
        <v>0.824</v>
      </c>
      <c r="E5980" s="1" t="n">
        <f aca="false">LN(D5980)</f>
        <v>-0.193584749072665</v>
      </c>
    </row>
    <row r="5981" customFormat="false" ht="15.75" hidden="false" customHeight="false" outlineLevel="0" collapsed="false">
      <c r="A5981" s="1" t="s">
        <v>1056</v>
      </c>
      <c r="B5981" s="1" t="n">
        <v>298.15</v>
      </c>
      <c r="C5981" s="1" t="n">
        <f aca="false">1/B5981</f>
        <v>0.00335401643468053</v>
      </c>
      <c r="D5981" s="1" t="n">
        <v>0.813</v>
      </c>
      <c r="E5981" s="1" t="n">
        <f aca="false">LN(D5981)</f>
        <v>-0.207024169434327</v>
      </c>
    </row>
    <row r="5982" customFormat="false" ht="15.75" hidden="false" customHeight="false" outlineLevel="0" collapsed="false">
      <c r="A5982" s="1" t="s">
        <v>1056</v>
      </c>
      <c r="B5982" s="1" t="n">
        <v>299.15</v>
      </c>
      <c r="C5982" s="1" t="n">
        <f aca="false">1/B5982</f>
        <v>0.00334280461307037</v>
      </c>
      <c r="D5982" s="1" t="n">
        <v>0.801</v>
      </c>
      <c r="E5982" s="1" t="n">
        <f aca="false">LN(D5982)</f>
        <v>-0.221894331913778</v>
      </c>
    </row>
    <row r="5983" customFormat="false" ht="15.75" hidden="false" customHeight="false" outlineLevel="0" collapsed="false">
      <c r="A5983" s="1" t="s">
        <v>1056</v>
      </c>
      <c r="B5983" s="1" t="n">
        <v>301.15</v>
      </c>
      <c r="C5983" s="1" t="n">
        <f aca="false">1/B5983</f>
        <v>0.0033206043499917</v>
      </c>
      <c r="D5983" s="1" t="n">
        <v>0.779</v>
      </c>
      <c r="E5983" s="1" t="n">
        <f aca="false">LN(D5983)</f>
        <v>-0.249744233111389</v>
      </c>
    </row>
    <row r="5984" customFormat="false" ht="15.75" hidden="false" customHeight="false" outlineLevel="0" collapsed="false">
      <c r="A5984" s="1" t="s">
        <v>1056</v>
      </c>
      <c r="B5984" s="1" t="n">
        <v>305.15</v>
      </c>
      <c r="C5984" s="1" t="n">
        <f aca="false">1/B5984</f>
        <v>0.00327707684745207</v>
      </c>
      <c r="D5984" s="1" t="n">
        <v>0.737</v>
      </c>
      <c r="E5984" s="1" t="n">
        <f aca="false">LN(D5984)</f>
        <v>-0.3051673867928</v>
      </c>
    </row>
    <row r="5985" customFormat="false" ht="15.75" hidden="false" customHeight="false" outlineLevel="0" collapsed="false">
      <c r="A5985" s="1" t="s">
        <v>1056</v>
      </c>
      <c r="B5985" s="1" t="n">
        <v>307.15</v>
      </c>
      <c r="C5985" s="1" t="n">
        <f aca="false">1/B5985</f>
        <v>0.00325573823864561</v>
      </c>
      <c r="D5985" s="1" t="n">
        <v>0.717</v>
      </c>
      <c r="E5985" s="1" t="n">
        <f aca="false">LN(D5985)</f>
        <v>-0.332679438382517</v>
      </c>
    </row>
    <row r="5986" customFormat="false" ht="15.75" hidden="false" customHeight="false" outlineLevel="0" collapsed="false">
      <c r="A5986" s="1" t="s">
        <v>1058</v>
      </c>
      <c r="B5986" s="1" t="n">
        <v>223.25147</v>
      </c>
      <c r="C5986" s="1" t="n">
        <f aca="false">1/B5986</f>
        <v>0.00447925382081471</v>
      </c>
      <c r="D5986" s="1" t="n">
        <v>0.5776</v>
      </c>
      <c r="E5986" s="1" t="n">
        <f aca="false">LN(D5986)</f>
        <v>-0.548873691403521</v>
      </c>
    </row>
    <row r="5987" customFormat="false" ht="15.75" hidden="false" customHeight="false" outlineLevel="0" collapsed="false">
      <c r="A5987" s="1" t="s">
        <v>1058</v>
      </c>
      <c r="B5987" s="1" t="n">
        <v>227.45</v>
      </c>
      <c r="C5987" s="1" t="n">
        <f aca="false">1/B5987</f>
        <v>0.0043965706748736</v>
      </c>
      <c r="D5987" s="1" t="n">
        <v>0.5387</v>
      </c>
      <c r="E5987" s="1" t="n">
        <f aca="false">LN(D5987)</f>
        <v>-0.618596449295649</v>
      </c>
    </row>
    <row r="5988" customFormat="false" ht="15.75" hidden="false" customHeight="false" outlineLevel="0" collapsed="false">
      <c r="A5988" s="1" t="s">
        <v>1058</v>
      </c>
      <c r="B5988" s="1" t="n">
        <v>234.95</v>
      </c>
      <c r="C5988" s="1" t="n">
        <f aca="false">1/B5988</f>
        <v>0.00425622472866567</v>
      </c>
      <c r="D5988" s="1" t="n">
        <v>0.4883</v>
      </c>
      <c r="E5988" s="1" t="n">
        <f aca="false">LN(D5988)</f>
        <v>-0.716825307914522</v>
      </c>
    </row>
    <row r="5989" customFormat="false" ht="15.75" hidden="false" customHeight="false" outlineLevel="0" collapsed="false">
      <c r="A5989" s="1" t="s">
        <v>1058</v>
      </c>
      <c r="B5989" s="1" t="n">
        <v>240.55</v>
      </c>
      <c r="C5989" s="1" t="n">
        <f aca="false">1/B5989</f>
        <v>0.00415713988775722</v>
      </c>
      <c r="D5989" s="1" t="n">
        <v>0.4505</v>
      </c>
      <c r="E5989" s="1" t="n">
        <f aca="false">LN(D5989)</f>
        <v>-0.797397201933744</v>
      </c>
    </row>
    <row r="5990" customFormat="false" ht="15.75" hidden="false" customHeight="false" outlineLevel="0" collapsed="false">
      <c r="A5990" s="1" t="s">
        <v>1058</v>
      </c>
      <c r="B5990" s="1" t="n">
        <v>251.55</v>
      </c>
      <c r="C5990" s="1" t="n">
        <f aca="false">1/B5990</f>
        <v>0.00397535281256211</v>
      </c>
      <c r="D5990" s="1" t="n">
        <v>0.3937</v>
      </c>
      <c r="E5990" s="1" t="n">
        <f aca="false">LN(D5990)</f>
        <v>-0.932166081032445</v>
      </c>
    </row>
    <row r="5991" customFormat="false" ht="15.75" hidden="false" customHeight="false" outlineLevel="0" collapsed="false">
      <c r="A5991" s="1" t="s">
        <v>1058</v>
      </c>
      <c r="B5991" s="1" t="n">
        <v>259.55</v>
      </c>
      <c r="C5991" s="1" t="n">
        <f aca="false">1/B5991</f>
        <v>0.00385282219225583</v>
      </c>
      <c r="D5991" s="1" t="n">
        <v>0.3637</v>
      </c>
      <c r="E5991" s="1" t="n">
        <f aca="false">LN(D5991)</f>
        <v>-1.01142592698919</v>
      </c>
    </row>
    <row r="5992" customFormat="false" ht="15.75" hidden="false" customHeight="false" outlineLevel="0" collapsed="false">
      <c r="A5992" s="1" t="s">
        <v>1058</v>
      </c>
      <c r="B5992" s="1" t="n">
        <v>273.15</v>
      </c>
      <c r="C5992" s="1" t="n">
        <f aca="false">1/B5992</f>
        <v>0.00366099212886692</v>
      </c>
      <c r="D5992" s="1" t="n">
        <v>0.3202</v>
      </c>
      <c r="E5992" s="1" t="n">
        <f aca="false">LN(D5992)</f>
        <v>-1.13880947841952</v>
      </c>
    </row>
    <row r="5993" customFormat="false" ht="15.75" hidden="false" customHeight="false" outlineLevel="0" collapsed="false">
      <c r="A5993" s="1" t="s">
        <v>1058</v>
      </c>
      <c r="B5993" s="1" t="n">
        <v>282.45</v>
      </c>
      <c r="C5993" s="1" t="n">
        <f aca="false">1/B5993</f>
        <v>0.00354044963710391</v>
      </c>
      <c r="D5993" s="1" t="n">
        <v>0.2927</v>
      </c>
      <c r="E5993" s="1" t="n">
        <f aca="false">LN(D5993)</f>
        <v>-1.2286070852843</v>
      </c>
    </row>
    <row r="5994" customFormat="false" ht="15.75" hidden="false" customHeight="false" outlineLevel="0" collapsed="false">
      <c r="A5994" s="1" t="s">
        <v>1058</v>
      </c>
      <c r="B5994" s="1" t="n">
        <v>283.88</v>
      </c>
      <c r="C5994" s="1" t="n">
        <f aca="false">1/B5994</f>
        <v>0.0035226151895167</v>
      </c>
      <c r="D5994" s="1" t="n">
        <v>0.2895</v>
      </c>
      <c r="E5994" s="1" t="n">
        <f aca="false">LN(D5994)</f>
        <v>-1.23959998196909</v>
      </c>
    </row>
    <row r="5995" customFormat="false" ht="15.75" hidden="false" customHeight="false" outlineLevel="0" collapsed="false">
      <c r="A5995" s="1" t="s">
        <v>1058</v>
      </c>
      <c r="B5995" s="1" t="n">
        <v>273.1511</v>
      </c>
      <c r="C5995" s="1" t="n">
        <f aca="false">1/B5995</f>
        <v>0.00366097738577659</v>
      </c>
      <c r="D5995" s="1" t="n">
        <v>0.309</v>
      </c>
      <c r="E5995" s="1" t="n">
        <f aca="false">LN(D5995)</f>
        <v>-1.17441400208439</v>
      </c>
    </row>
    <row r="5996" customFormat="false" ht="15.75" hidden="false" customHeight="false" outlineLevel="0" collapsed="false">
      <c r="A5996" s="1" t="s">
        <v>1058</v>
      </c>
      <c r="B5996" s="1" t="n">
        <v>278.15</v>
      </c>
      <c r="C5996" s="1" t="n">
        <f aca="false">1/B5996</f>
        <v>0.00359518245550962</v>
      </c>
      <c r="D5996" s="1" t="n">
        <v>0.295</v>
      </c>
      <c r="E5996" s="1" t="n">
        <f aca="false">LN(D5996)</f>
        <v>-1.22077992264232</v>
      </c>
    </row>
    <row r="5997" customFormat="false" ht="15.75" hidden="false" customHeight="false" outlineLevel="0" collapsed="false">
      <c r="A5997" s="1" t="s">
        <v>1058</v>
      </c>
      <c r="B5997" s="1" t="n">
        <v>288.15</v>
      </c>
      <c r="C5997" s="1" t="n">
        <f aca="false">1/B5997</f>
        <v>0.00347041471455839</v>
      </c>
      <c r="D5997" s="1" t="n">
        <v>0.283</v>
      </c>
      <c r="E5997" s="1" t="n">
        <f aca="false">LN(D5997)</f>
        <v>-1.2623083813389</v>
      </c>
    </row>
    <row r="5998" customFormat="false" ht="15.75" hidden="false" customHeight="false" outlineLevel="0" collapsed="false">
      <c r="A5998" s="1" t="s">
        <v>1060</v>
      </c>
      <c r="B5998" s="1" t="n">
        <v>273.15</v>
      </c>
      <c r="C5998" s="1" t="n">
        <f aca="false">1/B5998</f>
        <v>0.00366099212886692</v>
      </c>
      <c r="D5998" s="1" t="n">
        <v>1.097</v>
      </c>
      <c r="E5998" s="1" t="n">
        <f aca="false">LN(D5998)</f>
        <v>0.0925791812930932</v>
      </c>
    </row>
    <row r="5999" customFormat="false" ht="15.75" hidden="false" customHeight="false" outlineLevel="0" collapsed="false">
      <c r="A5999" s="1" t="s">
        <v>1060</v>
      </c>
      <c r="B5999" s="1" t="n">
        <v>286.15</v>
      </c>
      <c r="C5999" s="1" t="n">
        <f aca="false">1/B5999</f>
        <v>0.00349467062729338</v>
      </c>
      <c r="D5999" s="1" t="n">
        <v>0.894</v>
      </c>
      <c r="E5999" s="1" t="n">
        <f aca="false">LN(D5999)</f>
        <v>-0.112049503808623</v>
      </c>
    </row>
    <row r="6000" customFormat="false" ht="15.75" hidden="false" customHeight="false" outlineLevel="0" collapsed="false">
      <c r="A6000" s="1" t="s">
        <v>1060</v>
      </c>
      <c r="B6000" s="1" t="n">
        <v>300.03</v>
      </c>
      <c r="C6000" s="1" t="n">
        <f aca="false">1/B6000</f>
        <v>0.00333300003333</v>
      </c>
      <c r="D6000" s="1" t="n">
        <v>0.735</v>
      </c>
      <c r="E6000" s="1" t="n">
        <f aca="false">LN(D6000)</f>
        <v>-0.3078847797693</v>
      </c>
    </row>
    <row r="6001" customFormat="false" ht="15.75" hidden="false" customHeight="false" outlineLevel="0" collapsed="false">
      <c r="A6001" s="1" t="s">
        <v>1060</v>
      </c>
      <c r="B6001" s="1" t="n">
        <v>311.88</v>
      </c>
      <c r="C6001" s="1" t="n">
        <f aca="false">1/B6001</f>
        <v>0.00320636142105938</v>
      </c>
      <c r="D6001" s="1" t="n">
        <v>0.632</v>
      </c>
      <c r="E6001" s="1" t="n">
        <f aca="false">LN(D6001)</f>
        <v>-0.45886588483528</v>
      </c>
    </row>
    <row r="6002" customFormat="false" ht="15.75" hidden="false" customHeight="false" outlineLevel="0" collapsed="false">
      <c r="A6002" s="1" t="s">
        <v>1060</v>
      </c>
      <c r="B6002" s="1" t="n">
        <v>324.3</v>
      </c>
      <c r="C6002" s="1" t="n">
        <f aca="false">1/B6002</f>
        <v>0.00308356460067838</v>
      </c>
      <c r="D6002" s="1" t="n">
        <v>0.549</v>
      </c>
      <c r="E6002" s="1" t="n">
        <f aca="false">LN(D6002)</f>
        <v>-0.599656837472606</v>
      </c>
    </row>
    <row r="6003" customFormat="false" ht="15.75" hidden="false" customHeight="false" outlineLevel="0" collapsed="false">
      <c r="A6003" s="1" t="s">
        <v>1060</v>
      </c>
      <c r="B6003" s="1" t="n">
        <v>339.07</v>
      </c>
      <c r="C6003" s="1" t="n">
        <f aca="false">1/B6003</f>
        <v>0.00294924351903737</v>
      </c>
      <c r="D6003" s="1" t="n">
        <v>0.47</v>
      </c>
      <c r="E6003" s="1" t="n">
        <f aca="false">LN(D6003)</f>
        <v>-0.755022584278033</v>
      </c>
    </row>
    <row r="6004" customFormat="false" ht="15.75" hidden="false" customHeight="false" outlineLevel="0" collapsed="false">
      <c r="A6004" s="1" t="s">
        <v>1060</v>
      </c>
      <c r="B6004" s="1" t="n">
        <v>350.63</v>
      </c>
      <c r="C6004" s="1" t="n">
        <f aca="false">1/B6004</f>
        <v>0.00285200924050994</v>
      </c>
      <c r="D6004" s="1" t="n">
        <v>0.42</v>
      </c>
      <c r="E6004" s="1" t="n">
        <f aca="false">LN(D6004)</f>
        <v>-0.867500567704723</v>
      </c>
    </row>
    <row r="6005" customFormat="false" ht="15.75" hidden="false" customHeight="false" outlineLevel="0" collapsed="false">
      <c r="A6005" s="1" t="s">
        <v>1060</v>
      </c>
      <c r="B6005" s="1" t="n">
        <v>363.52</v>
      </c>
      <c r="C6005" s="1" t="n">
        <f aca="false">1/B6005</f>
        <v>0.00275088028169014</v>
      </c>
      <c r="D6005" s="1" t="n">
        <v>0.374</v>
      </c>
      <c r="E6005" s="1" t="n">
        <f aca="false">LN(D6005)</f>
        <v>-0.983499481567605</v>
      </c>
    </row>
    <row r="6006" customFormat="false" ht="15.75" hidden="false" customHeight="false" outlineLevel="0" collapsed="false">
      <c r="A6006" s="1" t="s">
        <v>1060</v>
      </c>
      <c r="B6006" s="1" t="n">
        <v>373.86</v>
      </c>
      <c r="C6006" s="1" t="n">
        <f aca="false">1/B6006</f>
        <v>0.00267479805274702</v>
      </c>
      <c r="D6006" s="1" t="n">
        <v>0.343</v>
      </c>
      <c r="E6006" s="1" t="n">
        <f aca="false">LN(D6006)</f>
        <v>-1.0700248318162</v>
      </c>
    </row>
    <row r="6007" customFormat="false" ht="15.75" hidden="false" customHeight="false" outlineLevel="0" collapsed="false">
      <c r="A6007" s="1" t="s">
        <v>1060</v>
      </c>
      <c r="B6007" s="1" t="n">
        <v>313.16</v>
      </c>
      <c r="C6007" s="1" t="n">
        <f aca="false">1/B6007</f>
        <v>0.00319325584365819</v>
      </c>
      <c r="D6007" s="1" t="n">
        <v>0.625</v>
      </c>
      <c r="E6007" s="1" t="n">
        <f aca="false">LN(D6007)</f>
        <v>-0.470003629245736</v>
      </c>
    </row>
    <row r="6008" customFormat="false" ht="15.75" hidden="false" customHeight="false" outlineLevel="0" collapsed="false">
      <c r="A6008" s="1" t="s">
        <v>1060</v>
      </c>
      <c r="B6008" s="1" t="n">
        <v>388.8</v>
      </c>
      <c r="C6008" s="1" t="n">
        <f aca="false">1/B6008</f>
        <v>0.00257201646090535</v>
      </c>
      <c r="D6008" s="1" t="n">
        <v>0.303</v>
      </c>
      <c r="E6008" s="1" t="n">
        <f aca="false">LN(D6008)</f>
        <v>-1.19402247347277</v>
      </c>
    </row>
    <row r="6009" customFormat="false" ht="15.75" hidden="false" customHeight="false" outlineLevel="0" collapsed="false">
      <c r="A6009" s="1" t="s">
        <v>1060</v>
      </c>
      <c r="B6009" s="1" t="n">
        <v>401.84</v>
      </c>
      <c r="C6009" s="1" t="n">
        <f aca="false">1/B6009</f>
        <v>0.00248855265777424</v>
      </c>
      <c r="D6009" s="1" t="n">
        <v>0.275</v>
      </c>
      <c r="E6009" s="1" t="n">
        <f aca="false">LN(D6009)</f>
        <v>-1.29098418131557</v>
      </c>
    </row>
    <row r="6010" customFormat="false" ht="15.75" hidden="false" customHeight="false" outlineLevel="0" collapsed="false">
      <c r="A6010" s="1" t="s">
        <v>1060</v>
      </c>
      <c r="B6010" s="1" t="n">
        <v>413.04</v>
      </c>
      <c r="C6010" s="1" t="n">
        <f aca="false">1/B6010</f>
        <v>0.00242107301956227</v>
      </c>
      <c r="D6010" s="1" t="n">
        <v>0.254</v>
      </c>
      <c r="E6010" s="1" t="n">
        <f aca="false">LN(D6010)</f>
        <v>-1.3704210119636</v>
      </c>
    </row>
    <row r="6011" customFormat="false" ht="15.75" hidden="false" customHeight="false" outlineLevel="0" collapsed="false">
      <c r="A6011" s="1" t="s">
        <v>130</v>
      </c>
      <c r="B6011" s="1" t="n">
        <v>343.15</v>
      </c>
      <c r="C6011" s="1" t="n">
        <f aca="false">1/B6011</f>
        <v>0.00291417747340813</v>
      </c>
      <c r="D6011" s="1" t="n">
        <v>7.837</v>
      </c>
      <c r="E6011" s="1" t="n">
        <f aca="false">LN(D6011)</f>
        <v>2.05885610807073</v>
      </c>
    </row>
    <row r="6012" customFormat="false" ht="15.75" hidden="false" customHeight="false" outlineLevel="0" collapsed="false">
      <c r="A6012" s="1" t="s">
        <v>130</v>
      </c>
      <c r="B6012" s="1" t="n">
        <v>353.15</v>
      </c>
      <c r="C6012" s="1" t="n">
        <f aca="false">1/B6012</f>
        <v>0.00283165793572137</v>
      </c>
      <c r="D6012" s="1" t="n">
        <v>6.135</v>
      </c>
      <c r="E6012" s="1" t="n">
        <f aca="false">LN(D6012)</f>
        <v>1.81401007816287</v>
      </c>
    </row>
    <row r="6013" customFormat="false" ht="15.75" hidden="false" customHeight="false" outlineLevel="0" collapsed="false">
      <c r="A6013" s="1" t="s">
        <v>130</v>
      </c>
      <c r="B6013" s="1" t="n">
        <v>363.15</v>
      </c>
      <c r="C6013" s="1" t="n">
        <f aca="false">1/B6013</f>
        <v>0.00275368305108082</v>
      </c>
      <c r="D6013" s="1" t="n">
        <v>5</v>
      </c>
      <c r="E6013" s="1" t="n">
        <f aca="false">LN(D6013)</f>
        <v>1.6094379124341</v>
      </c>
    </row>
    <row r="6014" customFormat="false" ht="15.75" hidden="false" customHeight="false" outlineLevel="0" collapsed="false">
      <c r="A6014" s="1" t="s">
        <v>130</v>
      </c>
      <c r="B6014" s="1" t="n">
        <v>368.15</v>
      </c>
      <c r="C6014" s="1" t="n">
        <f aca="false">1/B6014</f>
        <v>0.0027162841233193</v>
      </c>
      <c r="D6014" s="1" t="n">
        <v>4.4703</v>
      </c>
      <c r="E6014" s="1" t="n">
        <f aca="false">LN(D6014)</f>
        <v>1.49745552046739</v>
      </c>
    </row>
    <row r="6015" customFormat="false" ht="15.75" hidden="false" customHeight="false" outlineLevel="0" collapsed="false">
      <c r="A6015" s="1" t="s">
        <v>1062</v>
      </c>
      <c r="B6015" s="1" t="n">
        <v>288.1565</v>
      </c>
      <c r="C6015" s="1" t="n">
        <f aca="false">1/B6015</f>
        <v>0.00347033643176538</v>
      </c>
      <c r="D6015" s="1" t="n">
        <v>1.324</v>
      </c>
      <c r="E6015" s="1" t="n">
        <f aca="false">LN(D6015)</f>
        <v>0.280657457514816</v>
      </c>
    </row>
    <row r="6016" customFormat="false" ht="15.75" hidden="false" customHeight="false" outlineLevel="0" collapsed="false">
      <c r="A6016" s="1" t="s">
        <v>1062</v>
      </c>
      <c r="B6016" s="1" t="n">
        <v>315.75</v>
      </c>
      <c r="C6016" s="1" t="n">
        <f aca="false">1/B6016</f>
        <v>0.00316706254948535</v>
      </c>
      <c r="D6016" s="1" t="n">
        <v>0.775</v>
      </c>
      <c r="E6016" s="1" t="n">
        <f aca="false">LN(D6016)</f>
        <v>-0.25489224962879</v>
      </c>
    </row>
    <row r="6017" customFormat="false" ht="15.75" hidden="false" customHeight="false" outlineLevel="0" collapsed="false">
      <c r="A6017" s="1" t="s">
        <v>1062</v>
      </c>
      <c r="B6017" s="1" t="n">
        <v>324.45</v>
      </c>
      <c r="C6017" s="1" t="n">
        <f aca="false">1/B6017</f>
        <v>0.0030821390044691</v>
      </c>
      <c r="D6017" s="1" t="n">
        <v>0.6747</v>
      </c>
      <c r="E6017" s="1" t="n">
        <f aca="false">LN(D6017)</f>
        <v>-0.393487131348757</v>
      </c>
    </row>
    <row r="6018" customFormat="false" ht="15.75" hidden="false" customHeight="false" outlineLevel="0" collapsed="false">
      <c r="A6018" s="1" t="s">
        <v>1062</v>
      </c>
      <c r="B6018" s="1" t="n">
        <v>333.25</v>
      </c>
      <c r="C6018" s="1" t="n">
        <f aca="false">1/B6018</f>
        <v>0.00300075018754689</v>
      </c>
      <c r="D6018" s="1" t="n">
        <v>0.5957</v>
      </c>
      <c r="E6018" s="1" t="n">
        <f aca="false">LN(D6018)</f>
        <v>-0.518018094347495</v>
      </c>
    </row>
    <row r="6019" customFormat="false" ht="15.75" hidden="false" customHeight="false" outlineLevel="0" collapsed="false">
      <c r="A6019" s="1" t="s">
        <v>1062</v>
      </c>
      <c r="B6019" s="1" t="n">
        <v>343.15</v>
      </c>
      <c r="C6019" s="1" t="n">
        <f aca="false">1/B6019</f>
        <v>0.00291417747340813</v>
      </c>
      <c r="D6019" s="1" t="n">
        <v>0.5206</v>
      </c>
      <c r="E6019" s="1" t="n">
        <f aca="false">LN(D6019)</f>
        <v>-0.652773286421672</v>
      </c>
    </row>
    <row r="6020" customFormat="false" ht="15.75" hidden="false" customHeight="false" outlineLevel="0" collapsed="false">
      <c r="A6020" s="1" t="s">
        <v>1062</v>
      </c>
      <c r="B6020" s="1" t="n">
        <v>352.35</v>
      </c>
      <c r="C6020" s="1" t="n">
        <f aca="false">1/B6020</f>
        <v>0.00283808712927487</v>
      </c>
      <c r="D6020" s="1" t="n">
        <v>0.4642</v>
      </c>
      <c r="E6020" s="1" t="n">
        <f aca="false">LN(D6020)</f>
        <v>-0.7674397851418</v>
      </c>
    </row>
    <row r="6021" customFormat="false" ht="15.75" hidden="false" customHeight="false" outlineLevel="0" collapsed="false">
      <c r="A6021" s="1" t="s">
        <v>1062</v>
      </c>
      <c r="B6021" s="1" t="n">
        <v>364.35</v>
      </c>
      <c r="C6021" s="1" t="n">
        <f aca="false">1/B6021</f>
        <v>0.00274461369562234</v>
      </c>
      <c r="D6021" s="1" t="n">
        <v>0.4018</v>
      </c>
      <c r="E6021" s="1" t="n">
        <f aca="false">LN(D6021)</f>
        <v>-0.911800826601303</v>
      </c>
    </row>
    <row r="6022" customFormat="false" ht="15.75" hidden="false" customHeight="false" outlineLevel="0" collapsed="false">
      <c r="A6022" s="1" t="s">
        <v>1062</v>
      </c>
      <c r="B6022" s="1" t="n">
        <v>377.05</v>
      </c>
      <c r="C6022" s="1" t="n">
        <f aca="false">1/B6022</f>
        <v>0.00265216814746055</v>
      </c>
      <c r="D6022" s="1" t="n">
        <v>0.3495</v>
      </c>
      <c r="E6022" s="1" t="n">
        <f aca="false">LN(D6022)</f>
        <v>-1.05125171730827</v>
      </c>
    </row>
    <row r="6023" customFormat="false" ht="15.75" hidden="false" customHeight="false" outlineLevel="0" collapsed="false">
      <c r="A6023" s="1" t="s">
        <v>1062</v>
      </c>
      <c r="B6023" s="1" t="n">
        <v>390.35</v>
      </c>
      <c r="C6023" s="1" t="n">
        <f aca="false">1/B6023</f>
        <v>0.00256180350967081</v>
      </c>
      <c r="D6023" s="1" t="n">
        <v>0.3027</v>
      </c>
      <c r="E6023" s="1" t="n">
        <f aca="false">LN(D6023)</f>
        <v>-1.19501306295446</v>
      </c>
    </row>
    <row r="6024" customFormat="false" ht="15.75" hidden="false" customHeight="false" outlineLevel="0" collapsed="false">
      <c r="A6024" s="1" t="s">
        <v>1062</v>
      </c>
      <c r="B6024" s="1" t="n">
        <v>397.25</v>
      </c>
      <c r="C6024" s="1" t="n">
        <f aca="false">1/B6024</f>
        <v>0.00251730648206419</v>
      </c>
      <c r="D6024" s="1" t="n">
        <v>0.2832</v>
      </c>
      <c r="E6024" s="1" t="n">
        <f aca="false">LN(D6024)</f>
        <v>-1.26160191716257</v>
      </c>
    </row>
    <row r="6025" customFormat="false" ht="15.75" hidden="false" customHeight="false" outlineLevel="0" collapsed="false">
      <c r="A6025" s="1" t="s">
        <v>1062</v>
      </c>
      <c r="B6025" s="1" t="n">
        <v>283.1596</v>
      </c>
      <c r="C6025" s="1" t="n">
        <f aca="false">1/B6025</f>
        <v>0.00353157724477644</v>
      </c>
      <c r="D6025" s="1" t="n">
        <v>1.527</v>
      </c>
      <c r="E6025" s="1" t="n">
        <f aca="false">LN(D6025)</f>
        <v>0.423305026236495</v>
      </c>
    </row>
    <row r="6026" customFormat="false" ht="15.75" hidden="false" customHeight="false" outlineLevel="0" collapsed="false">
      <c r="A6026" s="1" t="s">
        <v>1062</v>
      </c>
      <c r="B6026" s="1" t="n">
        <v>349.65</v>
      </c>
      <c r="C6026" s="1" t="n">
        <f aca="false">1/B6026</f>
        <v>0.00286000286000286</v>
      </c>
      <c r="D6026" s="1" t="n">
        <v>0.478</v>
      </c>
      <c r="E6026" s="1" t="n">
        <f aca="false">LN(D6026)</f>
        <v>-0.738144546490681</v>
      </c>
    </row>
    <row r="6027" customFormat="false" ht="15.75" hidden="false" customHeight="false" outlineLevel="0" collapsed="false">
      <c r="A6027" s="1" t="s">
        <v>1064</v>
      </c>
      <c r="B6027" s="1" t="n">
        <v>332.711</v>
      </c>
      <c r="C6027" s="1" t="n">
        <f aca="false">1/B6027</f>
        <v>0.00300561147662686</v>
      </c>
      <c r="D6027" s="1" t="n">
        <v>3.46</v>
      </c>
      <c r="E6027" s="1" t="n">
        <f aca="false">LN(D6027)</f>
        <v>1.24126858906963</v>
      </c>
    </row>
    <row r="6028" customFormat="false" ht="15.75" hidden="false" customHeight="false" outlineLevel="0" collapsed="false">
      <c r="A6028" s="1" t="s">
        <v>1064</v>
      </c>
      <c r="B6028" s="1" t="n">
        <v>353.45</v>
      </c>
      <c r="C6028" s="1" t="n">
        <f aca="false">1/B6028</f>
        <v>0.00282925449144151</v>
      </c>
      <c r="D6028" s="1" t="n">
        <v>1.956</v>
      </c>
      <c r="E6028" s="1" t="n">
        <f aca="false">LN(D6028)</f>
        <v>0.670901571612626</v>
      </c>
    </row>
    <row r="6029" customFormat="false" ht="15.75" hidden="false" customHeight="false" outlineLevel="0" collapsed="false">
      <c r="A6029" s="1" t="s">
        <v>1064</v>
      </c>
      <c r="B6029" s="1" t="n">
        <v>373.79</v>
      </c>
      <c r="C6029" s="1" t="n">
        <f aca="false">1/B6029</f>
        <v>0.0026752989646593</v>
      </c>
      <c r="D6029" s="1" t="n">
        <v>1.271</v>
      </c>
      <c r="E6029" s="1" t="n">
        <f aca="false">LN(D6029)</f>
        <v>0.239803992207317</v>
      </c>
    </row>
    <row r="6030" customFormat="false" ht="15.75" hidden="false" customHeight="false" outlineLevel="0" collapsed="false">
      <c r="A6030" s="1" t="s">
        <v>1064</v>
      </c>
      <c r="B6030" s="1" t="n">
        <v>387.4</v>
      </c>
      <c r="C6030" s="1" t="n">
        <f aca="false">1/B6030</f>
        <v>0.00258131130614352</v>
      </c>
      <c r="D6030" s="1" t="n">
        <v>1.009</v>
      </c>
      <c r="E6030" s="1" t="n">
        <f aca="false">LN(D6030)</f>
        <v>0.0089597413714718</v>
      </c>
    </row>
    <row r="6031" customFormat="false" ht="15.75" hidden="false" customHeight="false" outlineLevel="0" collapsed="false">
      <c r="A6031" s="1" t="s">
        <v>1064</v>
      </c>
      <c r="B6031" s="1" t="n">
        <v>407.45</v>
      </c>
      <c r="C6031" s="1" t="n">
        <f aca="false">1/B6031</f>
        <v>0.00245428886979998</v>
      </c>
      <c r="D6031" s="1" t="n">
        <v>0.6582</v>
      </c>
      <c r="E6031" s="1" t="n">
        <f aca="false">LN(D6031)</f>
        <v>-0.418246442472898</v>
      </c>
    </row>
    <row r="6032" customFormat="false" ht="15.75" hidden="false" customHeight="false" outlineLevel="0" collapsed="false">
      <c r="A6032" s="1" t="s">
        <v>1064</v>
      </c>
      <c r="B6032" s="1" t="n">
        <v>433.15</v>
      </c>
      <c r="C6032" s="1" t="n">
        <f aca="false">1/B6032</f>
        <v>0.00230866905229135</v>
      </c>
      <c r="D6032" s="1" t="n">
        <v>0.547</v>
      </c>
      <c r="E6032" s="1" t="n">
        <f aca="false">LN(D6032)</f>
        <v>-0.603306476560156</v>
      </c>
    </row>
    <row r="6033" customFormat="false" ht="15.75" hidden="false" customHeight="false" outlineLevel="0" collapsed="false">
      <c r="A6033" s="1" t="s">
        <v>1064</v>
      </c>
      <c r="B6033" s="1" t="n">
        <v>447.85</v>
      </c>
      <c r="C6033" s="1" t="n">
        <f aca="false">1/B6033</f>
        <v>0.00223289047672212</v>
      </c>
      <c r="D6033" s="1" t="n">
        <v>0.4661</v>
      </c>
      <c r="E6033" s="1" t="n">
        <f aca="false">LN(D6033)</f>
        <v>-0.763355075603442</v>
      </c>
    </row>
    <row r="6034" customFormat="false" ht="15.75" hidden="false" customHeight="false" outlineLevel="0" collapsed="false">
      <c r="A6034" s="1" t="s">
        <v>1064</v>
      </c>
      <c r="B6034" s="1" t="n">
        <v>463.15</v>
      </c>
      <c r="C6034" s="1" t="n">
        <f aca="false">1/B6034</f>
        <v>0.00215912771240419</v>
      </c>
      <c r="D6034" s="1" t="n">
        <v>0.3971</v>
      </c>
      <c r="E6034" s="1" t="n">
        <f aca="false">LN(D6034)</f>
        <v>-0.923567140844931</v>
      </c>
    </row>
    <row r="6035" customFormat="false" ht="15.75" hidden="false" customHeight="false" outlineLevel="0" collapsed="false">
      <c r="A6035" s="1" t="s">
        <v>1064</v>
      </c>
      <c r="B6035" s="1" t="n">
        <v>472.85</v>
      </c>
      <c r="C6035" s="1" t="n">
        <f aca="false">1/B6035</f>
        <v>0.00211483557153431</v>
      </c>
      <c r="D6035" s="1" t="n">
        <v>0.361</v>
      </c>
      <c r="E6035" s="1" t="n">
        <f aca="false">LN(D6035)</f>
        <v>-1.01887732064926</v>
      </c>
    </row>
    <row r="6036" customFormat="false" ht="15.75" hidden="false" customHeight="false" outlineLevel="0" collapsed="false">
      <c r="A6036" s="1" t="s">
        <v>1064</v>
      </c>
      <c r="B6036" s="1" t="n">
        <v>283.15</v>
      </c>
      <c r="C6036" s="1" t="n">
        <f aca="false">1/B6036</f>
        <v>0.00353169698039908</v>
      </c>
      <c r="D6036" s="1" t="n">
        <v>39.65</v>
      </c>
      <c r="E6036" s="1" t="n">
        <f aca="false">LN(D6036)</f>
        <v>3.68009094808086</v>
      </c>
    </row>
    <row r="6037" customFormat="false" ht="15.75" hidden="false" customHeight="false" outlineLevel="0" collapsed="false">
      <c r="A6037" s="1" t="s">
        <v>1064</v>
      </c>
      <c r="B6037" s="1" t="n">
        <v>293.15</v>
      </c>
      <c r="C6037" s="1" t="n">
        <f aca="false">1/B6037</f>
        <v>0.00341122292341805</v>
      </c>
      <c r="D6037" s="1" t="n">
        <v>18.95</v>
      </c>
      <c r="E6037" s="1" t="n">
        <f aca="false">LN(D6037)</f>
        <v>2.94180393152844</v>
      </c>
    </row>
    <row r="6038" customFormat="false" ht="15.75" hidden="false" customHeight="false" outlineLevel="0" collapsed="false">
      <c r="A6038" s="1" t="s">
        <v>1064</v>
      </c>
      <c r="B6038" s="1" t="n">
        <v>303.15</v>
      </c>
      <c r="C6038" s="1" t="n">
        <f aca="false">1/B6038</f>
        <v>0.0032986970146792</v>
      </c>
      <c r="D6038" s="1" t="n">
        <v>10.54</v>
      </c>
      <c r="E6038" s="1" t="n">
        <f aca="false">LN(D6038)</f>
        <v>2.35517754311322</v>
      </c>
    </row>
    <row r="6039" customFormat="false" ht="15.75" hidden="false" customHeight="false" outlineLevel="0" collapsed="false">
      <c r="A6039" s="1" t="s">
        <v>1064</v>
      </c>
      <c r="B6039" s="1" t="n">
        <v>313.15</v>
      </c>
      <c r="C6039" s="1" t="n">
        <f aca="false">1/B6039</f>
        <v>0.00319335781574325</v>
      </c>
      <c r="D6039" s="1" t="n">
        <v>6.54</v>
      </c>
      <c r="E6039" s="1" t="n">
        <f aca="false">LN(D6039)</f>
        <v>1.87793716546911</v>
      </c>
    </row>
    <row r="6040" customFormat="false" ht="15.75" hidden="false" customHeight="false" outlineLevel="0" collapsed="false">
      <c r="A6040" s="1" t="s">
        <v>1064</v>
      </c>
      <c r="B6040" s="1" t="n">
        <v>333.15</v>
      </c>
      <c r="C6040" s="1" t="n">
        <f aca="false">1/B6040</f>
        <v>0.0030016509079994</v>
      </c>
      <c r="D6040" s="1" t="n">
        <v>3.28</v>
      </c>
      <c r="E6040" s="1" t="n">
        <f aca="false">LN(D6040)</f>
        <v>1.18784342239605</v>
      </c>
    </row>
    <row r="6041" customFormat="false" ht="15.75" hidden="false" customHeight="false" outlineLevel="0" collapsed="false">
      <c r="A6041" s="1" t="s">
        <v>1064</v>
      </c>
      <c r="B6041" s="1" t="n">
        <v>373.15</v>
      </c>
      <c r="C6041" s="1" t="n">
        <f aca="false">1/B6041</f>
        <v>0.00267988744472732</v>
      </c>
      <c r="D6041" s="1" t="n">
        <v>1.081</v>
      </c>
      <c r="E6041" s="1" t="n">
        <f aca="false">LN(D6041)</f>
        <v>0.0778865386570712</v>
      </c>
    </row>
    <row r="6042" customFormat="false" ht="15.75" hidden="false" customHeight="false" outlineLevel="0" collapsed="false">
      <c r="A6042" s="1" t="s">
        <v>1064</v>
      </c>
      <c r="B6042" s="1" t="n">
        <v>403.15</v>
      </c>
      <c r="C6042" s="1" t="n">
        <f aca="false">1/B6042</f>
        <v>0.0024804663276696</v>
      </c>
      <c r="D6042" s="1" t="n">
        <v>0.801</v>
      </c>
      <c r="E6042" s="1" t="n">
        <f aca="false">LN(D6042)</f>
        <v>-0.221894331913778</v>
      </c>
    </row>
    <row r="6043" customFormat="false" ht="15.75" hidden="false" customHeight="false" outlineLevel="0" collapsed="false">
      <c r="A6043" s="1" t="s">
        <v>1064</v>
      </c>
      <c r="B6043" s="1" t="n">
        <v>423.15</v>
      </c>
      <c r="C6043" s="1" t="n">
        <f aca="false">1/B6043</f>
        <v>0.00236322816967978</v>
      </c>
      <c r="D6043" s="1" t="n">
        <v>0.615</v>
      </c>
      <c r="E6043" s="1" t="n">
        <f aca="false">LN(D6043)</f>
        <v>-0.486133011175619</v>
      </c>
    </row>
    <row r="6044" customFormat="false" ht="15.75" hidden="false" customHeight="false" outlineLevel="0" collapsed="false">
      <c r="A6044" s="1" t="s">
        <v>132</v>
      </c>
      <c r="B6044" s="1" t="n">
        <v>298.15</v>
      </c>
      <c r="C6044" s="1" t="n">
        <f aca="false">1/B6044</f>
        <v>0.00335401643468053</v>
      </c>
      <c r="D6044" s="1" t="n">
        <v>0.798</v>
      </c>
      <c r="E6044" s="1" t="n">
        <f aca="false">LN(D6044)</f>
        <v>-0.225646681532328</v>
      </c>
    </row>
    <row r="6045" customFormat="false" ht="15.75" hidden="false" customHeight="false" outlineLevel="0" collapsed="false">
      <c r="A6045" s="1" t="s">
        <v>1066</v>
      </c>
      <c r="B6045" s="1" t="n">
        <v>288.158</v>
      </c>
      <c r="C6045" s="1" t="n">
        <f aca="false">1/B6045</f>
        <v>0.00347031836700699</v>
      </c>
      <c r="D6045" s="1" t="n">
        <v>2.751</v>
      </c>
      <c r="E6045" s="1" t="n">
        <f aca="false">LN(D6045)</f>
        <v>1.01196448194244</v>
      </c>
    </row>
    <row r="6046" customFormat="false" ht="15.75" hidden="false" customHeight="false" outlineLevel="0" collapsed="false">
      <c r="A6046" s="1" t="s">
        <v>1066</v>
      </c>
      <c r="B6046" s="1" t="n">
        <v>303.15</v>
      </c>
      <c r="C6046" s="1" t="n">
        <f aca="false">1/B6046</f>
        <v>0.0032986970146792</v>
      </c>
      <c r="D6046" s="1" t="n">
        <v>2.07</v>
      </c>
      <c r="E6046" s="1" t="n">
        <f aca="false">LN(D6046)</f>
        <v>0.727548607277278</v>
      </c>
    </row>
    <row r="6047" customFormat="false" ht="15.75" hidden="false" customHeight="false" outlineLevel="0" collapsed="false">
      <c r="A6047" s="1" t="s">
        <v>1066</v>
      </c>
      <c r="B6047" s="1" t="n">
        <v>273.15149</v>
      </c>
      <c r="C6047" s="1" t="n">
        <f aca="false">1/B6047</f>
        <v>0.00366097215870944</v>
      </c>
      <c r="D6047" s="1" t="n">
        <v>3.7313</v>
      </c>
      <c r="E6047" s="1" t="n">
        <f aca="false">LN(D6047)</f>
        <v>1.316756698404</v>
      </c>
    </row>
    <row r="6048" customFormat="false" ht="15.75" hidden="false" customHeight="false" outlineLevel="0" collapsed="false">
      <c r="A6048" s="1" t="s">
        <v>1066</v>
      </c>
      <c r="B6048" s="1" t="n">
        <v>283.15</v>
      </c>
      <c r="C6048" s="1" t="n">
        <f aca="false">1/B6048</f>
        <v>0.00353169698039908</v>
      </c>
      <c r="D6048" s="1" t="n">
        <v>3.012</v>
      </c>
      <c r="E6048" s="1" t="n">
        <f aca="false">LN(D6048)</f>
        <v>1.10260430993765</v>
      </c>
    </row>
    <row r="6049" customFormat="false" ht="15.75" hidden="false" customHeight="false" outlineLevel="0" collapsed="false">
      <c r="A6049" s="1" t="s">
        <v>1066</v>
      </c>
      <c r="B6049" s="1" t="n">
        <v>293.15</v>
      </c>
      <c r="C6049" s="1" t="n">
        <f aca="false">1/B6049</f>
        <v>0.00341122292341805</v>
      </c>
      <c r="D6049" s="1" t="n">
        <v>2.5</v>
      </c>
      <c r="E6049" s="1" t="n">
        <f aca="false">LN(D6049)</f>
        <v>0.916290731874155</v>
      </c>
    </row>
    <row r="6050" customFormat="false" ht="15.75" hidden="false" customHeight="false" outlineLevel="0" collapsed="false">
      <c r="A6050" s="1" t="s">
        <v>1066</v>
      </c>
      <c r="B6050" s="1" t="n">
        <v>303.15</v>
      </c>
      <c r="C6050" s="1" t="n">
        <f aca="false">1/B6050</f>
        <v>0.0032986970146792</v>
      </c>
      <c r="D6050" s="1" t="n">
        <v>2.0492</v>
      </c>
      <c r="E6050" s="1" t="n">
        <f aca="false">LN(D6050)</f>
        <v>0.71744947308291</v>
      </c>
    </row>
    <row r="6051" customFormat="false" ht="15.75" hidden="false" customHeight="false" outlineLevel="0" collapsed="false">
      <c r="A6051" s="1" t="s">
        <v>1066</v>
      </c>
      <c r="B6051" s="1" t="n">
        <v>313.15</v>
      </c>
      <c r="C6051" s="1" t="n">
        <f aca="false">1/B6051</f>
        <v>0.00319335781574325</v>
      </c>
      <c r="D6051" s="1" t="n">
        <v>1.7361</v>
      </c>
      <c r="E6051" s="1" t="n">
        <f aca="false">LN(D6051)</f>
        <v>0.551641218265766</v>
      </c>
    </row>
    <row r="6052" customFormat="false" ht="15.75" hidden="false" customHeight="false" outlineLevel="0" collapsed="false">
      <c r="A6052" s="1" t="s">
        <v>1066</v>
      </c>
      <c r="B6052" s="1" t="n">
        <v>333.15</v>
      </c>
      <c r="C6052" s="1" t="n">
        <f aca="false">1/B6052</f>
        <v>0.0030016509079994</v>
      </c>
      <c r="D6052" s="1" t="n">
        <v>1.2853</v>
      </c>
      <c r="E6052" s="1" t="n">
        <f aca="false">LN(D6052)</f>
        <v>0.250992154133949</v>
      </c>
    </row>
    <row r="6053" customFormat="false" ht="15.75" hidden="false" customHeight="false" outlineLevel="0" collapsed="false">
      <c r="A6053" s="1" t="s">
        <v>1066</v>
      </c>
      <c r="B6053" s="1" t="n">
        <v>353.15</v>
      </c>
      <c r="C6053" s="1" t="n">
        <f aca="false">1/B6053</f>
        <v>0.00283165793572137</v>
      </c>
      <c r="D6053" s="1" t="n">
        <v>1</v>
      </c>
      <c r="E6053" s="1" t="n">
        <f aca="false">LN(D6053)</f>
        <v>0</v>
      </c>
    </row>
    <row r="6054" customFormat="false" ht="15.75" hidden="false" customHeight="false" outlineLevel="0" collapsed="false">
      <c r="A6054" s="1" t="s">
        <v>1068</v>
      </c>
      <c r="B6054" s="1" t="n">
        <v>293.1517</v>
      </c>
      <c r="C6054" s="1" t="n">
        <f aca="false">1/B6054</f>
        <v>0.00341120314158164</v>
      </c>
      <c r="D6054" s="1" t="n">
        <v>2.841</v>
      </c>
      <c r="E6054" s="1" t="n">
        <f aca="false">LN(D6054)</f>
        <v>1.04415610287205</v>
      </c>
    </row>
    <row r="6055" customFormat="false" ht="15.75" hidden="false" customHeight="false" outlineLevel="0" collapsed="false">
      <c r="A6055" s="1" t="s">
        <v>1068</v>
      </c>
      <c r="B6055" s="1" t="n">
        <v>303.15</v>
      </c>
      <c r="C6055" s="1" t="n">
        <f aca="false">1/B6055</f>
        <v>0.0032986970146792</v>
      </c>
      <c r="D6055" s="1" t="n">
        <v>2.291</v>
      </c>
      <c r="E6055" s="1" t="n">
        <f aca="false">LN(D6055)</f>
        <v>0.828988403471358</v>
      </c>
    </row>
    <row r="6056" customFormat="false" ht="15.75" hidden="false" customHeight="false" outlineLevel="0" collapsed="false">
      <c r="A6056" s="1" t="s">
        <v>1068</v>
      </c>
      <c r="B6056" s="1" t="n">
        <v>313.15</v>
      </c>
      <c r="C6056" s="1" t="n">
        <f aca="false">1/B6056</f>
        <v>0.00319335781574325</v>
      </c>
      <c r="D6056" s="1" t="n">
        <v>1.873</v>
      </c>
      <c r="E6056" s="1" t="n">
        <f aca="false">LN(D6056)</f>
        <v>0.627541423461951</v>
      </c>
    </row>
    <row r="6057" customFormat="false" ht="15.75" hidden="false" customHeight="false" outlineLevel="0" collapsed="false">
      <c r="A6057" s="1" t="s">
        <v>1068</v>
      </c>
      <c r="B6057" s="1" t="n">
        <v>323.15</v>
      </c>
      <c r="C6057" s="1" t="n">
        <f aca="false">1/B6057</f>
        <v>0.00309453814018258</v>
      </c>
      <c r="D6057" s="1" t="n">
        <v>1.57</v>
      </c>
      <c r="E6057" s="1" t="n">
        <f aca="false">LN(D6057)</f>
        <v>0.451075619360217</v>
      </c>
    </row>
    <row r="6058" customFormat="false" ht="15.75" hidden="false" customHeight="false" outlineLevel="0" collapsed="false">
      <c r="A6058" s="1" t="s">
        <v>1068</v>
      </c>
      <c r="B6058" s="1" t="n">
        <v>333.15</v>
      </c>
      <c r="C6058" s="1" t="n">
        <f aca="false">1/B6058</f>
        <v>0.0030016509079994</v>
      </c>
      <c r="D6058" s="1" t="n">
        <v>1.335</v>
      </c>
      <c r="E6058" s="1" t="n">
        <f aca="false">LN(D6058)</f>
        <v>0.288931291852213</v>
      </c>
    </row>
    <row r="6059" customFormat="false" ht="15.75" hidden="false" customHeight="false" outlineLevel="0" collapsed="false">
      <c r="A6059" s="1" t="s">
        <v>1068</v>
      </c>
      <c r="B6059" s="1" t="n">
        <v>343.15</v>
      </c>
      <c r="C6059" s="1" t="n">
        <f aca="false">1/B6059</f>
        <v>0.00291417747340813</v>
      </c>
      <c r="D6059" s="1" t="n">
        <v>1.155</v>
      </c>
      <c r="E6059" s="1" t="n">
        <f aca="false">LN(D6059)</f>
        <v>0.144100343973757</v>
      </c>
    </row>
    <row r="6060" customFormat="false" ht="15.75" hidden="false" customHeight="false" outlineLevel="0" collapsed="false">
      <c r="A6060" s="1" t="s">
        <v>1068</v>
      </c>
      <c r="B6060" s="1" t="n">
        <v>353.15</v>
      </c>
      <c r="C6060" s="1" t="n">
        <f aca="false">1/B6060</f>
        <v>0.00283165793572137</v>
      </c>
      <c r="D6060" s="1" t="n">
        <v>1.01</v>
      </c>
      <c r="E6060" s="1" t="n">
        <f aca="false">LN(D6060)</f>
        <v>0.00995033085316809</v>
      </c>
    </row>
    <row r="6061" customFormat="false" ht="15.75" hidden="false" customHeight="false" outlineLevel="0" collapsed="false">
      <c r="A6061" s="1" t="s">
        <v>1068</v>
      </c>
      <c r="B6061" s="1" t="n">
        <v>363.15</v>
      </c>
      <c r="C6061" s="1" t="n">
        <f aca="false">1/B6061</f>
        <v>0.00275368305108082</v>
      </c>
      <c r="D6061" s="1" t="n">
        <v>0.888</v>
      </c>
      <c r="E6061" s="1" t="n">
        <f aca="false">LN(D6061)</f>
        <v>-0.118783535989967</v>
      </c>
    </row>
    <row r="6062" customFormat="false" ht="15.75" hidden="false" customHeight="false" outlineLevel="0" collapsed="false">
      <c r="A6062" s="1" t="s">
        <v>1068</v>
      </c>
      <c r="B6062" s="1" t="n">
        <v>373.15</v>
      </c>
      <c r="C6062" s="1" t="n">
        <f aca="false">1/B6062</f>
        <v>0.00267988744472732</v>
      </c>
      <c r="D6062" s="1" t="n">
        <v>0.786</v>
      </c>
      <c r="E6062" s="1" t="n">
        <f aca="false">LN(D6062)</f>
        <v>-0.24079848655293</v>
      </c>
    </row>
    <row r="6063" customFormat="false" ht="15.75" hidden="false" customHeight="false" outlineLevel="0" collapsed="false">
      <c r="A6063" s="1" t="s">
        <v>1068</v>
      </c>
      <c r="B6063" s="1" t="n">
        <v>293.15213</v>
      </c>
      <c r="C6063" s="1" t="n">
        <f aca="false">1/B6063</f>
        <v>0.00341119813797703</v>
      </c>
      <c r="D6063" s="1" t="n">
        <v>2.841</v>
      </c>
      <c r="E6063" s="1" t="n">
        <f aca="false">LN(D6063)</f>
        <v>1.04415610287205</v>
      </c>
    </row>
    <row r="6064" customFormat="false" ht="15.75" hidden="false" customHeight="false" outlineLevel="0" collapsed="false">
      <c r="A6064" s="1" t="s">
        <v>1068</v>
      </c>
      <c r="B6064" s="1" t="n">
        <v>298.15</v>
      </c>
      <c r="C6064" s="1" t="n">
        <f aca="false">1/B6064</f>
        <v>0.00335401643468053</v>
      </c>
      <c r="D6064" s="1" t="n">
        <v>2.534</v>
      </c>
      <c r="E6064" s="1" t="n">
        <f aca="false">LN(D6064)</f>
        <v>0.929799081898947</v>
      </c>
    </row>
    <row r="6065" customFormat="false" ht="15.75" hidden="false" customHeight="false" outlineLevel="0" collapsed="false">
      <c r="A6065" s="1" t="s">
        <v>1068</v>
      </c>
      <c r="B6065" s="1" t="n">
        <v>308.15214</v>
      </c>
      <c r="C6065" s="1" t="n">
        <f aca="false">1/B6065</f>
        <v>0.00324515026895481</v>
      </c>
      <c r="D6065" s="1" t="n">
        <v>2.0559</v>
      </c>
      <c r="E6065" s="1" t="n">
        <f aca="false">LN(D6065)</f>
        <v>0.720713708277751</v>
      </c>
    </row>
    <row r="6066" customFormat="false" ht="15.75" hidden="false" customHeight="false" outlineLevel="0" collapsed="false">
      <c r="A6066" s="1" t="s">
        <v>1068</v>
      </c>
      <c r="B6066" s="1" t="n">
        <v>313.15</v>
      </c>
      <c r="C6066" s="1" t="n">
        <f aca="false">1/B6066</f>
        <v>0.00319335781574325</v>
      </c>
      <c r="D6066" s="1" t="n">
        <v>1.868</v>
      </c>
      <c r="E6066" s="1" t="n">
        <f aca="false">LN(D6066)</f>
        <v>0.624868339806651</v>
      </c>
    </row>
    <row r="6067" customFormat="false" ht="15.75" hidden="false" customHeight="false" outlineLevel="0" collapsed="false">
      <c r="A6067" s="1" t="s">
        <v>1070</v>
      </c>
      <c r="B6067" s="1" t="n">
        <v>273.15</v>
      </c>
      <c r="C6067" s="1" t="n">
        <f aca="false">1/B6067</f>
        <v>0.00366099212886692</v>
      </c>
      <c r="D6067" s="1" t="n">
        <v>1.5813</v>
      </c>
      <c r="E6067" s="1" t="n">
        <f aca="false">LN(D6067)</f>
        <v>0.458247293547134</v>
      </c>
    </row>
    <row r="6068" customFormat="false" ht="15.75" hidden="false" customHeight="false" outlineLevel="0" collapsed="false">
      <c r="A6068" s="1" t="s">
        <v>1070</v>
      </c>
      <c r="B6068" s="1" t="n">
        <v>283.15</v>
      </c>
      <c r="C6068" s="1" t="n">
        <f aca="false">1/B6068</f>
        <v>0.00353169698039908</v>
      </c>
      <c r="D6068" s="1" t="n">
        <v>1.293</v>
      </c>
      <c r="E6068" s="1" t="n">
        <f aca="false">LN(D6068)</f>
        <v>0.25696509978972</v>
      </c>
    </row>
    <row r="6069" customFormat="false" ht="15.75" hidden="false" customHeight="false" outlineLevel="0" collapsed="false">
      <c r="A6069" s="1" t="s">
        <v>1070</v>
      </c>
      <c r="B6069" s="1" t="n">
        <v>293.15</v>
      </c>
      <c r="C6069" s="1" t="n">
        <f aca="false">1/B6069</f>
        <v>0.00341122292341805</v>
      </c>
      <c r="D6069" s="1" t="n">
        <v>1.0823</v>
      </c>
      <c r="E6069" s="1" t="n">
        <f aca="false">LN(D6069)</f>
        <v>0.0790884063189637</v>
      </c>
    </row>
    <row r="6070" customFormat="false" ht="15.75" hidden="false" customHeight="false" outlineLevel="0" collapsed="false">
      <c r="A6070" s="1" t="s">
        <v>1070</v>
      </c>
      <c r="B6070" s="1" t="n">
        <v>303.15</v>
      </c>
      <c r="C6070" s="1" t="n">
        <f aca="false">1/B6070</f>
        <v>0.0032986970146792</v>
      </c>
      <c r="D6070" s="1" t="n">
        <v>0.9243</v>
      </c>
      <c r="E6070" s="1" t="n">
        <f aca="false">LN(D6070)</f>
        <v>-0.0787185847114051</v>
      </c>
    </row>
    <row r="6071" customFormat="false" ht="15.75" hidden="false" customHeight="false" outlineLevel="0" collapsed="false">
      <c r="A6071" s="1" t="s">
        <v>1070</v>
      </c>
      <c r="B6071" s="1" t="n">
        <v>313.15</v>
      </c>
      <c r="C6071" s="1" t="n">
        <f aca="false">1/B6071</f>
        <v>0.00319335781574325</v>
      </c>
      <c r="D6071" s="1" t="n">
        <v>0.7987</v>
      </c>
      <c r="E6071" s="1" t="n">
        <f aca="false">LN(D6071)</f>
        <v>-0.224769873058794</v>
      </c>
    </row>
    <row r="6072" customFormat="false" ht="15.75" hidden="false" customHeight="false" outlineLevel="0" collapsed="false">
      <c r="A6072" s="1" t="s">
        <v>1070</v>
      </c>
      <c r="B6072" s="1" t="n">
        <v>333.15</v>
      </c>
      <c r="C6072" s="1" t="n">
        <f aca="false">1/B6072</f>
        <v>0.0030016509079994</v>
      </c>
      <c r="D6072" s="1" t="n">
        <v>0.6173</v>
      </c>
      <c r="E6072" s="1" t="n">
        <f aca="false">LN(D6072)</f>
        <v>-0.482400149582287</v>
      </c>
    </row>
    <row r="6073" customFormat="false" ht="15.75" hidden="false" customHeight="false" outlineLevel="0" collapsed="false">
      <c r="A6073" s="1" t="s">
        <v>1070</v>
      </c>
      <c r="B6073" s="1" t="n">
        <v>353.15</v>
      </c>
      <c r="C6073" s="1" t="n">
        <f aca="false">1/B6073</f>
        <v>0.00283165793572137</v>
      </c>
      <c r="D6073" s="1" t="n">
        <v>0.4926</v>
      </c>
      <c r="E6073" s="1" t="n">
        <f aca="false">LN(D6073)</f>
        <v>-0.7080577932957</v>
      </c>
    </row>
    <row r="6074" customFormat="false" ht="15.75" hidden="false" customHeight="false" outlineLevel="0" collapsed="false">
      <c r="A6074" s="1" t="s">
        <v>1070</v>
      </c>
      <c r="B6074" s="1" t="n">
        <v>373.15</v>
      </c>
      <c r="C6074" s="1" t="n">
        <f aca="false">1/B6074</f>
        <v>0.00267988744472732</v>
      </c>
      <c r="D6074" s="1" t="n">
        <v>0.4062</v>
      </c>
      <c r="E6074" s="1" t="n">
        <f aca="false">LN(D6074)</f>
        <v>-0.900909629835853</v>
      </c>
    </row>
    <row r="6075" customFormat="false" ht="15.75" hidden="false" customHeight="false" outlineLevel="0" collapsed="false">
      <c r="A6075" s="1" t="s">
        <v>252</v>
      </c>
      <c r="B6075" s="1" t="n">
        <v>298.15</v>
      </c>
      <c r="C6075" s="1" t="n">
        <f aca="false">1/B6075</f>
        <v>0.00335401643468053</v>
      </c>
      <c r="D6075" s="1" t="n">
        <v>2.0579</v>
      </c>
      <c r="E6075" s="1" t="n">
        <f aca="false">LN(D6075)</f>
        <v>0.721686045366366</v>
      </c>
    </row>
    <row r="6076" customFormat="false" ht="15.75" hidden="false" customHeight="false" outlineLevel="0" collapsed="false">
      <c r="A6076" s="1" t="s">
        <v>252</v>
      </c>
      <c r="B6076" s="1" t="n">
        <v>303.15</v>
      </c>
      <c r="C6076" s="1" t="n">
        <f aca="false">1/B6076</f>
        <v>0.0032986970146792</v>
      </c>
      <c r="D6076" s="1" t="n">
        <v>1.8676</v>
      </c>
      <c r="E6076" s="1" t="n">
        <f aca="false">LN(D6076)</f>
        <v>0.624654184114645</v>
      </c>
    </row>
    <row r="6077" customFormat="false" ht="15.75" hidden="false" customHeight="false" outlineLevel="0" collapsed="false">
      <c r="A6077" s="1" t="s">
        <v>252</v>
      </c>
      <c r="B6077" s="1" t="n">
        <v>308.15</v>
      </c>
      <c r="C6077" s="1" t="n">
        <f aca="false">1/B6077</f>
        <v>0.00324517280545189</v>
      </c>
      <c r="D6077" s="1" t="n">
        <v>1.6961</v>
      </c>
      <c r="E6077" s="1" t="n">
        <f aca="false">LN(D6077)</f>
        <v>0.528331497895656</v>
      </c>
    </row>
    <row r="6078" customFormat="false" ht="15.75" hidden="false" customHeight="false" outlineLevel="0" collapsed="false">
      <c r="A6078" s="1" t="s">
        <v>252</v>
      </c>
      <c r="B6078" s="1" t="n">
        <v>313.15</v>
      </c>
      <c r="C6078" s="1" t="n">
        <f aca="false">1/B6078</f>
        <v>0.00319335781574325</v>
      </c>
      <c r="D6078" s="1" t="n">
        <v>1.6045</v>
      </c>
      <c r="E6078" s="1" t="n">
        <f aca="false">LN(D6078)</f>
        <v>0.472812181567775</v>
      </c>
    </row>
    <row r="6079" customFormat="false" ht="15.75" hidden="false" customHeight="false" outlineLevel="0" collapsed="false">
      <c r="A6079" s="1" t="s">
        <v>254</v>
      </c>
      <c r="B6079" s="1" t="n">
        <v>298.15</v>
      </c>
      <c r="C6079" s="1" t="n">
        <f aca="false">1/B6079</f>
        <v>0.00335401643468053</v>
      </c>
      <c r="D6079" s="1" t="n">
        <v>1.5405</v>
      </c>
      <c r="E6079" s="1" t="n">
        <f aca="false">LN(D6079)</f>
        <v>0.432107039054586</v>
      </c>
    </row>
    <row r="6080" customFormat="false" ht="15.75" hidden="false" customHeight="false" outlineLevel="0" collapsed="false">
      <c r="A6080" s="1" t="s">
        <v>254</v>
      </c>
      <c r="B6080" s="1" t="n">
        <v>308.15</v>
      </c>
      <c r="C6080" s="1" t="n">
        <f aca="false">1/B6080</f>
        <v>0.00324517280545189</v>
      </c>
      <c r="D6080" s="1" t="n">
        <v>1.2852</v>
      </c>
      <c r="E6080" s="1" t="n">
        <f aca="false">LN(D6080)</f>
        <v>0.250914348259566</v>
      </c>
    </row>
    <row r="6081" customFormat="false" ht="15.75" hidden="false" customHeight="false" outlineLevel="0" collapsed="false">
      <c r="A6081" s="1" t="s">
        <v>254</v>
      </c>
      <c r="B6081" s="1" t="n">
        <v>303.15</v>
      </c>
      <c r="C6081" s="1" t="n">
        <f aca="false">1/B6081</f>
        <v>0.0032986970146792</v>
      </c>
      <c r="D6081" s="1" t="n">
        <v>1.4118</v>
      </c>
      <c r="E6081" s="1" t="n">
        <f aca="false">LN(D6081)</f>
        <v>0.344865485979235</v>
      </c>
    </row>
    <row r="6082" customFormat="false" ht="15.75" hidden="false" customHeight="false" outlineLevel="0" collapsed="false">
      <c r="A6082" s="1" t="s">
        <v>254</v>
      </c>
      <c r="B6082" s="1" t="n">
        <v>313.15</v>
      </c>
      <c r="C6082" s="1" t="n">
        <f aca="false">1/B6082</f>
        <v>0.00319335781574325</v>
      </c>
      <c r="D6082" s="1" t="n">
        <v>1.179</v>
      </c>
      <c r="E6082" s="1" t="n">
        <f aca="false">LN(D6082)</f>
        <v>0.164666621555234</v>
      </c>
    </row>
    <row r="6083" customFormat="false" ht="15.75" hidden="false" customHeight="false" outlineLevel="0" collapsed="false">
      <c r="A6083" s="1" t="s">
        <v>1072</v>
      </c>
      <c r="B6083" s="1" t="n">
        <v>308.15151</v>
      </c>
      <c r="C6083" s="1" t="n">
        <f aca="false">1/B6083</f>
        <v>0.00324515690349854</v>
      </c>
      <c r="D6083" s="1" t="n">
        <v>6.0241</v>
      </c>
      <c r="E6083" s="1" t="n">
        <f aca="false">LN(D6083)</f>
        <v>1.79576809062541</v>
      </c>
    </row>
    <row r="6084" customFormat="false" ht="15.75" hidden="false" customHeight="false" outlineLevel="0" collapsed="false">
      <c r="A6084" s="1" t="s">
        <v>1072</v>
      </c>
      <c r="B6084" s="1" t="n">
        <v>313.15</v>
      </c>
      <c r="C6084" s="1" t="n">
        <f aca="false">1/B6084</f>
        <v>0.00319335781574325</v>
      </c>
      <c r="D6084" s="1" t="n">
        <v>4.8031</v>
      </c>
      <c r="E6084" s="1" t="n">
        <f aca="false">LN(D6084)</f>
        <v>1.56926154278658</v>
      </c>
    </row>
    <row r="6085" customFormat="false" ht="15.75" hidden="false" customHeight="false" outlineLevel="0" collapsed="false">
      <c r="A6085" s="1" t="s">
        <v>1072</v>
      </c>
      <c r="B6085" s="1" t="n">
        <v>318.15</v>
      </c>
      <c r="C6085" s="1" t="n">
        <f aca="false">1/B6085</f>
        <v>0.00314317146000314</v>
      </c>
      <c r="D6085" s="1" t="n">
        <v>4</v>
      </c>
      <c r="E6085" s="1" t="n">
        <f aca="false">LN(D6085)</f>
        <v>1.38629436111989</v>
      </c>
    </row>
    <row r="6086" customFormat="false" ht="15.75" hidden="false" customHeight="false" outlineLevel="0" collapsed="false">
      <c r="A6086" s="1" t="s">
        <v>1072</v>
      </c>
      <c r="B6086" s="1" t="n">
        <v>323.15</v>
      </c>
      <c r="C6086" s="1" t="n">
        <f aca="false">1/B6086</f>
        <v>0.00309453814018258</v>
      </c>
      <c r="D6086" s="1" t="n">
        <v>3.42</v>
      </c>
      <c r="E6086" s="1" t="n">
        <f aca="false">LN(D6086)</f>
        <v>1.22964055107451</v>
      </c>
    </row>
    <row r="6087" customFormat="false" ht="15.75" hidden="false" customHeight="false" outlineLevel="0" collapsed="false">
      <c r="A6087" s="1" t="s">
        <v>1072</v>
      </c>
      <c r="B6087" s="1" t="n">
        <v>338.15</v>
      </c>
      <c r="C6087" s="1" t="n">
        <f aca="false">1/B6087</f>
        <v>0.002957267484844</v>
      </c>
      <c r="D6087" s="1" t="n">
        <v>2.2492</v>
      </c>
      <c r="E6087" s="1" t="n">
        <f aca="false">LN(D6087)</f>
        <v>0.81057459743591</v>
      </c>
    </row>
    <row r="6088" customFormat="false" ht="15.75" hidden="false" customHeight="false" outlineLevel="0" collapsed="false">
      <c r="A6088" s="1" t="s">
        <v>1072</v>
      </c>
      <c r="B6088" s="1" t="n">
        <v>343.15</v>
      </c>
      <c r="C6088" s="1" t="n">
        <f aca="false">1/B6088</f>
        <v>0.00291417747340813</v>
      </c>
      <c r="D6088" s="1" t="n">
        <v>1.9976</v>
      </c>
      <c r="E6088" s="1" t="n">
        <f aca="false">LN(D6088)</f>
        <v>0.691946459983426</v>
      </c>
    </row>
    <row r="6089" customFormat="false" ht="15.75" hidden="false" customHeight="false" outlineLevel="0" collapsed="false">
      <c r="A6089" s="1" t="s">
        <v>1072</v>
      </c>
      <c r="B6089" s="1" t="n">
        <v>348.15</v>
      </c>
      <c r="C6089" s="1" t="n">
        <f aca="false">1/B6089</f>
        <v>0.00287232514720666</v>
      </c>
      <c r="D6089" s="1" t="n">
        <v>1.78</v>
      </c>
      <c r="E6089" s="1" t="n">
        <f aca="false">LN(D6089)</f>
        <v>0.576613364303994</v>
      </c>
    </row>
    <row r="6090" customFormat="false" ht="15.75" hidden="false" customHeight="false" outlineLevel="0" collapsed="false">
      <c r="A6090" s="1" t="s">
        <v>1072</v>
      </c>
      <c r="B6090" s="1" t="n">
        <v>358.15</v>
      </c>
      <c r="C6090" s="1" t="n">
        <f aca="false">1/B6090</f>
        <v>0.00279212620410443</v>
      </c>
      <c r="D6090" s="1" t="n">
        <v>1.4393</v>
      </c>
      <c r="E6090" s="1" t="n">
        <f aca="false">LN(D6090)</f>
        <v>0.364156884286488</v>
      </c>
    </row>
    <row r="6091" customFormat="false" ht="15.75" hidden="false" customHeight="false" outlineLevel="0" collapsed="false">
      <c r="A6091" s="1" t="s">
        <v>1072</v>
      </c>
      <c r="B6091" s="1" t="n">
        <v>363.15</v>
      </c>
      <c r="C6091" s="1" t="n">
        <f aca="false">1/B6091</f>
        <v>0.00275368305108082</v>
      </c>
      <c r="D6091" s="1" t="n">
        <v>1.3062</v>
      </c>
      <c r="E6091" s="1" t="n">
        <f aca="false">LN(D6091)</f>
        <v>0.26712215848642</v>
      </c>
    </row>
    <row r="6092" customFormat="false" ht="15.75" hidden="false" customHeight="false" outlineLevel="0" collapsed="false">
      <c r="A6092" s="1" t="s">
        <v>1072</v>
      </c>
      <c r="B6092" s="1" t="n">
        <v>340.65152</v>
      </c>
      <c r="C6092" s="1" t="n">
        <f aca="false">1/B6092</f>
        <v>0.00293555126364914</v>
      </c>
      <c r="D6092" s="1" t="n">
        <v>2.1102</v>
      </c>
      <c r="E6092" s="1" t="n">
        <f aca="false">LN(D6092)</f>
        <v>0.746782729725855</v>
      </c>
    </row>
    <row r="6093" customFormat="false" ht="15.75" hidden="false" customHeight="false" outlineLevel="0" collapsed="false">
      <c r="A6093" s="1" t="s">
        <v>1072</v>
      </c>
      <c r="B6093" s="1" t="n">
        <v>343.15</v>
      </c>
      <c r="C6093" s="1" t="n">
        <f aca="false">1/B6093</f>
        <v>0.00291417747340813</v>
      </c>
      <c r="D6093" s="1" t="n">
        <v>1.9861</v>
      </c>
      <c r="E6093" s="1" t="n">
        <f aca="false">LN(D6093)</f>
        <v>0.686172916822609</v>
      </c>
    </row>
    <row r="6094" customFormat="false" ht="15.75" hidden="false" customHeight="false" outlineLevel="0" collapsed="false">
      <c r="A6094" s="1" t="s">
        <v>1072</v>
      </c>
      <c r="B6094" s="1" t="n">
        <v>358.15</v>
      </c>
      <c r="C6094" s="1" t="n">
        <f aca="false">1/B6094</f>
        <v>0.00279212620410443</v>
      </c>
      <c r="D6094" s="1" t="n">
        <v>1.416</v>
      </c>
      <c r="E6094" s="1" t="n">
        <f aca="false">LN(D6094)</f>
        <v>0.347835995271528</v>
      </c>
    </row>
    <row r="6095" customFormat="false" ht="15.75" hidden="false" customHeight="false" outlineLevel="0" collapsed="false">
      <c r="A6095" s="1" t="s">
        <v>1072</v>
      </c>
      <c r="B6095" s="1" t="n">
        <v>336.01</v>
      </c>
      <c r="C6095" s="1" t="n">
        <f aca="false">1/B6095</f>
        <v>0.00297610190172911</v>
      </c>
      <c r="D6095" s="1" t="n">
        <v>2.577</v>
      </c>
      <c r="E6095" s="1" t="n">
        <f aca="false">LN(D6095)</f>
        <v>0.946625931670228</v>
      </c>
    </row>
    <row r="6096" customFormat="false" ht="15.75" hidden="false" customHeight="false" outlineLevel="0" collapsed="false">
      <c r="A6096" s="1" t="s">
        <v>1072</v>
      </c>
      <c r="B6096" s="1" t="n">
        <v>353.35</v>
      </c>
      <c r="C6096" s="1" t="n">
        <f aca="false">1/B6096</f>
        <v>0.00283005518607613</v>
      </c>
      <c r="D6096" s="1" t="n">
        <v>1.608</v>
      </c>
      <c r="E6096" s="1" t="n">
        <f aca="false">LN(D6096)</f>
        <v>0.474991170756775</v>
      </c>
    </row>
    <row r="6097" customFormat="false" ht="15.75" hidden="false" customHeight="false" outlineLevel="0" collapsed="false">
      <c r="A6097" s="1" t="s">
        <v>1072</v>
      </c>
      <c r="B6097" s="1" t="n">
        <v>392.95</v>
      </c>
      <c r="C6097" s="1" t="n">
        <f aca="false">1/B6097</f>
        <v>0.00254485303473724</v>
      </c>
      <c r="D6097" s="1" t="n">
        <v>0.834</v>
      </c>
      <c r="E6097" s="1" t="n">
        <f aca="false">LN(D6097)</f>
        <v>-0.18152187662339</v>
      </c>
    </row>
    <row r="6098" customFormat="false" ht="15.75" hidden="false" customHeight="false" outlineLevel="0" collapsed="false">
      <c r="A6098" s="1" t="s">
        <v>1072</v>
      </c>
      <c r="B6098" s="1" t="n">
        <v>412.95</v>
      </c>
      <c r="C6098" s="1" t="n">
        <f aca="false">1/B6098</f>
        <v>0.00242160067804819</v>
      </c>
      <c r="D6098" s="1" t="n">
        <v>0.6426</v>
      </c>
      <c r="E6098" s="1" t="n">
        <f aca="false">LN(D6098)</f>
        <v>-0.442232832300379</v>
      </c>
    </row>
    <row r="6099" customFormat="false" ht="15.75" hidden="false" customHeight="false" outlineLevel="0" collapsed="false">
      <c r="A6099" s="1" t="s">
        <v>1072</v>
      </c>
      <c r="B6099" s="1" t="n">
        <v>423.15</v>
      </c>
      <c r="C6099" s="1" t="n">
        <f aca="false">1/B6099</f>
        <v>0.00236322816967978</v>
      </c>
      <c r="D6099" s="1" t="n">
        <v>0.5721</v>
      </c>
      <c r="E6099" s="1" t="n">
        <f aca="false">LN(D6099)</f>
        <v>-0.558441477707654</v>
      </c>
    </row>
    <row r="6100" customFormat="false" ht="15.75" hidden="false" customHeight="false" outlineLevel="0" collapsed="false">
      <c r="A6100" s="1" t="s">
        <v>1072</v>
      </c>
      <c r="B6100" s="1" t="n">
        <v>433.95</v>
      </c>
      <c r="C6100" s="1" t="n">
        <f aca="false">1/B6100</f>
        <v>0.00230441295080078</v>
      </c>
      <c r="D6100" s="1" t="n">
        <v>0.5091</v>
      </c>
      <c r="E6100" s="1" t="n">
        <f aca="false">LN(D6100)</f>
        <v>-0.675110818073847</v>
      </c>
    </row>
    <row r="6101" customFormat="false" ht="15.75" hidden="false" customHeight="false" outlineLevel="0" collapsed="false">
      <c r="A6101" s="1" t="s">
        <v>1072</v>
      </c>
      <c r="B6101" s="1" t="n">
        <v>333.15</v>
      </c>
      <c r="C6101" s="1" t="n">
        <f aca="false">1/B6101</f>
        <v>0.0030016509079994</v>
      </c>
      <c r="D6101" s="1" t="n">
        <v>2.578</v>
      </c>
      <c r="E6101" s="1" t="n">
        <f aca="false">LN(D6101)</f>
        <v>0.947013904516996</v>
      </c>
    </row>
    <row r="6102" customFormat="false" ht="15.75" hidden="false" customHeight="false" outlineLevel="0" collapsed="false">
      <c r="A6102" s="1" t="s">
        <v>1072</v>
      </c>
      <c r="B6102" s="1" t="n">
        <v>353.15</v>
      </c>
      <c r="C6102" s="1" t="n">
        <f aca="false">1/B6102</f>
        <v>0.00283165793572137</v>
      </c>
      <c r="D6102" s="1" t="n">
        <v>1.5964</v>
      </c>
      <c r="E6102" s="1" t="n">
        <f aca="false">LN(D6102)</f>
        <v>0.467751094192442</v>
      </c>
    </row>
    <row r="6103" customFormat="false" ht="15.75" hidden="false" customHeight="false" outlineLevel="0" collapsed="false">
      <c r="A6103" s="1" t="s">
        <v>1072</v>
      </c>
      <c r="B6103" s="1" t="n">
        <v>328.15</v>
      </c>
      <c r="C6103" s="1" t="n">
        <f aca="false">1/B6103</f>
        <v>0.00304738686576261</v>
      </c>
      <c r="D6103" s="1" t="n">
        <v>2.9386</v>
      </c>
      <c r="E6103" s="1" t="n">
        <f aca="false">LN(D6103)</f>
        <v>1.07793327745971</v>
      </c>
    </row>
    <row r="6104" customFormat="false" ht="15.75" hidden="false" customHeight="false" outlineLevel="0" collapsed="false">
      <c r="A6104" s="1" t="s">
        <v>1072</v>
      </c>
      <c r="B6104" s="1" t="n">
        <v>348.15</v>
      </c>
      <c r="C6104" s="1" t="n">
        <f aca="false">1/B6104</f>
        <v>0.00287232514720666</v>
      </c>
      <c r="D6104" s="1" t="n">
        <v>1.7721</v>
      </c>
      <c r="E6104" s="1" t="n">
        <f aca="false">LN(D6104)</f>
        <v>0.572165283999162</v>
      </c>
    </row>
    <row r="6105" customFormat="false" ht="15.75" hidden="false" customHeight="false" outlineLevel="0" collapsed="false">
      <c r="A6105" s="1" t="s">
        <v>1072</v>
      </c>
      <c r="B6105" s="1" t="n">
        <v>447.85</v>
      </c>
      <c r="C6105" s="1" t="n">
        <f aca="false">1/B6105</f>
        <v>0.00223289047672212</v>
      </c>
      <c r="D6105" s="1" t="n">
        <v>0.4416</v>
      </c>
      <c r="E6105" s="1" t="n">
        <f aca="false">LN(D6105)</f>
        <v>-0.817350784019252</v>
      </c>
    </row>
    <row r="6106" customFormat="false" ht="15.75" hidden="false" customHeight="false" outlineLevel="0" collapsed="false">
      <c r="A6106" s="1" t="s">
        <v>1072</v>
      </c>
      <c r="B6106" s="1" t="n">
        <v>333.15</v>
      </c>
      <c r="C6106" s="1" t="n">
        <f aca="false">1/B6106</f>
        <v>0.0030016509079994</v>
      </c>
      <c r="D6106" s="1" t="n">
        <v>2.5621</v>
      </c>
      <c r="E6106" s="1" t="n">
        <f aca="false">LN(D6106)</f>
        <v>0.940827234719059</v>
      </c>
    </row>
    <row r="6107" customFormat="false" ht="15.75" hidden="false" customHeight="false" outlineLevel="0" collapsed="false">
      <c r="A6107" s="1" t="s">
        <v>1072</v>
      </c>
      <c r="B6107" s="1" t="n">
        <v>353.15</v>
      </c>
      <c r="C6107" s="1" t="n">
        <f aca="false">1/B6107</f>
        <v>0.00283165793572137</v>
      </c>
      <c r="D6107" s="1" t="n">
        <v>1.5711</v>
      </c>
      <c r="E6107" s="1" t="n">
        <f aca="false">LN(D6107)</f>
        <v>0.451776010971415</v>
      </c>
    </row>
    <row r="6108" customFormat="false" ht="15.75" hidden="false" customHeight="false" outlineLevel="0" collapsed="false">
      <c r="A6108" s="1" t="s">
        <v>1072</v>
      </c>
      <c r="B6108" s="1" t="n">
        <v>456.15</v>
      </c>
      <c r="C6108" s="1" t="n">
        <f aca="false">1/B6108</f>
        <v>0.00219226131754905</v>
      </c>
      <c r="D6108" s="1" t="n">
        <v>0.406</v>
      </c>
      <c r="E6108" s="1" t="n">
        <f aca="false">LN(D6108)</f>
        <v>-0.901402119380404</v>
      </c>
    </row>
    <row r="6109" customFormat="false" ht="15.75" hidden="false" customHeight="false" outlineLevel="0" collapsed="false">
      <c r="A6109" s="1" t="s">
        <v>1072</v>
      </c>
      <c r="B6109" s="1" t="n">
        <v>373.35</v>
      </c>
      <c r="C6109" s="1" t="n">
        <f aca="false">1/B6109</f>
        <v>0.00267845185482791</v>
      </c>
      <c r="D6109" s="1" t="n">
        <v>1.108</v>
      </c>
      <c r="E6109" s="1" t="n">
        <f aca="false">LN(D6109)</f>
        <v>0.102556588325092</v>
      </c>
    </row>
    <row r="6110" customFormat="false" ht="15.75" hidden="false" customHeight="false" outlineLevel="0" collapsed="false">
      <c r="A6110" s="1" t="s">
        <v>1473</v>
      </c>
      <c r="B6110" s="1" t="n">
        <v>350.16</v>
      </c>
      <c r="C6110" s="1" t="n">
        <f aca="false">1/B6110</f>
        <v>0.0028558373315056</v>
      </c>
      <c r="D6110" s="1" t="n">
        <v>3.54</v>
      </c>
      <c r="E6110" s="1" t="n">
        <f aca="false">LN(D6110)</f>
        <v>1.26412672714568</v>
      </c>
    </row>
    <row r="6111" customFormat="false" ht="15.75" hidden="false" customHeight="false" outlineLevel="0" collapsed="false">
      <c r="A6111" s="1" t="s">
        <v>1473</v>
      </c>
      <c r="B6111" s="1" t="n">
        <v>403.16</v>
      </c>
      <c r="C6111" s="1" t="n">
        <f aca="false">1/B6111</f>
        <v>0.0024804048020637</v>
      </c>
      <c r="D6111" s="1" t="n">
        <v>1.4</v>
      </c>
      <c r="E6111" s="1" t="n">
        <f aca="false">LN(D6111)</f>
        <v>0.336472236621213</v>
      </c>
    </row>
    <row r="6112" customFormat="false" ht="15.75" hidden="false" customHeight="false" outlineLevel="0" collapsed="false">
      <c r="A6112" s="1" t="s">
        <v>1074</v>
      </c>
      <c r="B6112" s="1" t="n">
        <v>273.15</v>
      </c>
      <c r="C6112" s="1" t="n">
        <f aca="false">1/B6112</f>
        <v>0.00366099212886692</v>
      </c>
      <c r="D6112" s="1" t="n">
        <v>2.291</v>
      </c>
      <c r="E6112" s="1" t="n">
        <f aca="false">LN(D6112)</f>
        <v>0.828988403471358</v>
      </c>
    </row>
    <row r="6113" customFormat="false" ht="15.75" hidden="false" customHeight="false" outlineLevel="0" collapsed="false">
      <c r="A6113" s="1" t="s">
        <v>1074</v>
      </c>
      <c r="B6113" s="1" t="n">
        <v>283.15</v>
      </c>
      <c r="C6113" s="1" t="n">
        <f aca="false">1/B6113</f>
        <v>0.00353169698039908</v>
      </c>
      <c r="D6113" s="1" t="n">
        <v>1.8549</v>
      </c>
      <c r="E6113" s="1" t="n">
        <f aca="false">LN(D6113)</f>
        <v>0.617830786250496</v>
      </c>
    </row>
    <row r="6114" customFormat="false" ht="15.75" hidden="false" customHeight="false" outlineLevel="0" collapsed="false">
      <c r="A6114" s="1" t="s">
        <v>1074</v>
      </c>
      <c r="B6114" s="1" t="n">
        <v>293.15</v>
      </c>
      <c r="C6114" s="1" t="n">
        <f aca="false">1/B6114</f>
        <v>0.00341122292341805</v>
      </c>
      <c r="D6114" s="1" t="n">
        <v>1.5557</v>
      </c>
      <c r="E6114" s="1" t="n">
        <f aca="false">LN(D6114)</f>
        <v>0.441925605110939</v>
      </c>
    </row>
    <row r="6115" customFormat="false" ht="15.75" hidden="false" customHeight="false" outlineLevel="0" collapsed="false">
      <c r="A6115" s="1" t="s">
        <v>1074</v>
      </c>
      <c r="B6115" s="1" t="n">
        <v>303.15</v>
      </c>
      <c r="C6115" s="1" t="n">
        <f aca="false">1/B6115</f>
        <v>0.0032986970146792</v>
      </c>
      <c r="D6115" s="1" t="n">
        <v>1.3248</v>
      </c>
      <c r="E6115" s="1" t="n">
        <f aca="false">LN(D6115)</f>
        <v>0.281261504648858</v>
      </c>
    </row>
    <row r="6116" customFormat="false" ht="15.75" hidden="false" customHeight="false" outlineLevel="0" collapsed="false">
      <c r="A6116" s="1" t="s">
        <v>1074</v>
      </c>
      <c r="B6116" s="1" t="n">
        <v>313.15</v>
      </c>
      <c r="C6116" s="1" t="n">
        <f aca="false">1/B6116</f>
        <v>0.00319335781574325</v>
      </c>
      <c r="D6116" s="1" t="n">
        <v>1.136</v>
      </c>
      <c r="E6116" s="1" t="n">
        <f aca="false">LN(D6116)</f>
        <v>0.12751332029896</v>
      </c>
    </row>
    <row r="6117" customFormat="false" ht="15.75" hidden="false" customHeight="false" outlineLevel="0" collapsed="false">
      <c r="A6117" s="1" t="s">
        <v>1074</v>
      </c>
      <c r="B6117" s="1" t="n">
        <v>333.15</v>
      </c>
      <c r="C6117" s="1" t="n">
        <f aca="false">1/B6117</f>
        <v>0.0030016509079994</v>
      </c>
      <c r="D6117" s="1" t="n">
        <v>0.879</v>
      </c>
      <c r="E6117" s="1" t="n">
        <f aca="false">LN(D6117)</f>
        <v>-0.12897038129696</v>
      </c>
    </row>
    <row r="6118" customFormat="false" ht="15.75" hidden="false" customHeight="false" outlineLevel="0" collapsed="false">
      <c r="A6118" s="1" t="s">
        <v>1074</v>
      </c>
      <c r="B6118" s="1" t="n">
        <v>353.15</v>
      </c>
      <c r="C6118" s="1" t="n">
        <f aca="false">1/B6118</f>
        <v>0.00283165793572137</v>
      </c>
      <c r="D6118" s="1" t="n">
        <v>0.7133</v>
      </c>
      <c r="E6118" s="1" t="n">
        <f aca="false">LN(D6118)</f>
        <v>-0.337853189698145</v>
      </c>
    </row>
    <row r="6119" customFormat="false" ht="15.75" hidden="false" customHeight="false" outlineLevel="0" collapsed="false">
      <c r="A6119" s="1" t="s">
        <v>1074</v>
      </c>
      <c r="B6119" s="1" t="n">
        <v>373.15</v>
      </c>
      <c r="C6119" s="1" t="n">
        <f aca="false">1/B6119</f>
        <v>0.00267988744472732</v>
      </c>
      <c r="D6119" s="1" t="n">
        <v>0.595</v>
      </c>
      <c r="E6119" s="1" t="n">
        <f aca="false">LN(D6119)</f>
        <v>-0.519193873436507</v>
      </c>
    </row>
    <row r="6120" customFormat="false" ht="15.75" hidden="false" customHeight="false" outlineLevel="0" collapsed="false">
      <c r="A6120" s="1" t="s">
        <v>1076</v>
      </c>
      <c r="B6120" s="1" t="n">
        <v>273.15</v>
      </c>
      <c r="C6120" s="1" t="n">
        <f aca="false">1/B6120</f>
        <v>0.00366099212886692</v>
      </c>
      <c r="D6120" s="1" t="n">
        <v>4.07</v>
      </c>
      <c r="E6120" s="1" t="n">
        <f aca="false">LN(D6120)</f>
        <v>1.4036429994545</v>
      </c>
    </row>
    <row r="6121" customFormat="false" ht="15.75" hidden="false" customHeight="false" outlineLevel="0" collapsed="false">
      <c r="A6121" s="1" t="s">
        <v>1076</v>
      </c>
      <c r="B6121" s="1" t="n">
        <v>283.15</v>
      </c>
      <c r="C6121" s="1" t="n">
        <f aca="false">1/B6121</f>
        <v>0.00353169698039908</v>
      </c>
      <c r="D6121" s="1" t="n">
        <v>3.0331</v>
      </c>
      <c r="E6121" s="1" t="n">
        <f aca="false">LN(D6121)</f>
        <v>1.10958519881904</v>
      </c>
    </row>
    <row r="6122" customFormat="false" ht="15.75" hidden="false" customHeight="false" outlineLevel="0" collapsed="false">
      <c r="A6122" s="1" t="s">
        <v>1076</v>
      </c>
      <c r="B6122" s="1" t="n">
        <v>303.15</v>
      </c>
      <c r="C6122" s="1" t="n">
        <f aca="false">1/B6122</f>
        <v>0.0032986970146792</v>
      </c>
      <c r="D6122" s="1" t="n">
        <v>1.8932</v>
      </c>
      <c r="E6122" s="1" t="n">
        <f aca="false">LN(D6122)</f>
        <v>0.638268519049956</v>
      </c>
    </row>
    <row r="6123" customFormat="false" ht="15.75" hidden="false" customHeight="false" outlineLevel="0" collapsed="false">
      <c r="A6123" s="1" t="s">
        <v>1076</v>
      </c>
      <c r="B6123" s="1" t="n">
        <v>313.15</v>
      </c>
      <c r="C6123" s="1" t="n">
        <f aca="false">1/B6123</f>
        <v>0.00319335781574325</v>
      </c>
      <c r="D6123" s="1" t="n">
        <v>1.5603</v>
      </c>
      <c r="E6123" s="1" t="n">
        <f aca="false">LN(D6123)</f>
        <v>0.444878110464999</v>
      </c>
    </row>
    <row r="6124" customFormat="false" ht="15.75" hidden="false" customHeight="false" outlineLevel="0" collapsed="false">
      <c r="A6124" s="1" t="s">
        <v>1076</v>
      </c>
      <c r="B6124" s="1" t="n">
        <v>353.15</v>
      </c>
      <c r="C6124" s="1" t="n">
        <f aca="false">1/B6124</f>
        <v>0.00283165793572137</v>
      </c>
      <c r="D6124" s="1" t="n">
        <v>0.8648</v>
      </c>
      <c r="E6124" s="1" t="n">
        <f aca="false">LN(D6124)</f>
        <v>-0.145257012657138</v>
      </c>
    </row>
    <row r="6125" customFormat="false" ht="15.75" hidden="false" customHeight="false" outlineLevel="0" collapsed="false">
      <c r="A6125" s="1" t="s">
        <v>1076</v>
      </c>
      <c r="B6125" s="1" t="n">
        <v>373.15</v>
      </c>
      <c r="C6125" s="1" t="n">
        <f aca="false">1/B6125</f>
        <v>0.00267988744472732</v>
      </c>
      <c r="D6125" s="1" t="n">
        <v>0.6927</v>
      </c>
      <c r="E6125" s="1" t="n">
        <f aca="false">LN(D6125)</f>
        <v>-0.367158273953578</v>
      </c>
    </row>
    <row r="6126" customFormat="false" ht="15.75" hidden="false" customHeight="false" outlineLevel="0" collapsed="false">
      <c r="A6126" s="1" t="s">
        <v>1076</v>
      </c>
      <c r="B6126" s="1" t="n">
        <v>293.15</v>
      </c>
      <c r="C6126" s="1" t="n">
        <f aca="false">1/B6126</f>
        <v>0.00341122292341805</v>
      </c>
      <c r="D6126" s="1" t="n">
        <v>2.3624</v>
      </c>
      <c r="E6126" s="1" t="n">
        <f aca="false">LN(D6126)</f>
        <v>0.859678051447576</v>
      </c>
    </row>
    <row r="6127" customFormat="false" ht="15.75" hidden="false" customHeight="false" outlineLevel="0" collapsed="false">
      <c r="A6127" s="1" t="s">
        <v>1076</v>
      </c>
      <c r="B6127" s="1" t="n">
        <v>333.15</v>
      </c>
      <c r="C6127" s="1" t="n">
        <f aca="false">1/B6127</f>
        <v>0.0030016509079994</v>
      </c>
      <c r="D6127" s="1" t="n">
        <v>1.1319</v>
      </c>
      <c r="E6127" s="1" t="n">
        <f aca="false">LN(D6127)</f>
        <v>0.123897636656237</v>
      </c>
    </row>
    <row r="6128" customFormat="false" ht="15.75" hidden="false" customHeight="false" outlineLevel="0" collapsed="false">
      <c r="A6128" s="1" t="s">
        <v>1474</v>
      </c>
      <c r="B6128" s="1" t="n">
        <v>293.16</v>
      </c>
      <c r="C6128" s="1" t="n">
        <f aca="false">1/B6128</f>
        <v>0.00341110656296903</v>
      </c>
      <c r="D6128" s="1" t="n">
        <v>1.588</v>
      </c>
      <c r="E6128" s="1" t="n">
        <f aca="false">LN(D6128)</f>
        <v>0.462475362824944</v>
      </c>
    </row>
    <row r="6129" customFormat="false" ht="15.75" hidden="false" customHeight="false" outlineLevel="0" collapsed="false">
      <c r="A6129" s="1" t="s">
        <v>1078</v>
      </c>
      <c r="B6129" s="1" t="n">
        <v>208.05</v>
      </c>
      <c r="C6129" s="1" t="n">
        <f aca="false">1/B6129</f>
        <v>0.00480653689017063</v>
      </c>
      <c r="D6129" s="1" t="n">
        <v>1.573</v>
      </c>
      <c r="E6129" s="1" t="n">
        <f aca="false">LN(D6129)</f>
        <v>0.452984624076141</v>
      </c>
    </row>
    <row r="6130" customFormat="false" ht="15.75" hidden="false" customHeight="false" outlineLevel="0" collapsed="false">
      <c r="A6130" s="1" t="s">
        <v>1078</v>
      </c>
      <c r="B6130" s="1" t="n">
        <v>227.15</v>
      </c>
      <c r="C6130" s="1" t="n">
        <f aca="false">1/B6130</f>
        <v>0.00440237728373322</v>
      </c>
      <c r="D6130" s="1" t="n">
        <v>1.146</v>
      </c>
      <c r="E6130" s="1" t="n">
        <f aca="false">LN(D6130)</f>
        <v>0.136277618292548</v>
      </c>
    </row>
    <row r="6131" customFormat="false" ht="15.75" hidden="false" customHeight="false" outlineLevel="0" collapsed="false">
      <c r="A6131" s="1" t="s">
        <v>1078</v>
      </c>
      <c r="B6131" s="1" t="n">
        <v>244.95</v>
      </c>
      <c r="C6131" s="1" t="n">
        <f aca="false">1/B6131</f>
        <v>0.00408246580934885</v>
      </c>
      <c r="D6131" s="1" t="n">
        <v>0.902</v>
      </c>
      <c r="E6131" s="1" t="n">
        <f aca="false">LN(D6131)</f>
        <v>-0.103140758919513</v>
      </c>
    </row>
    <row r="6132" customFormat="false" ht="15.75" hidden="false" customHeight="false" outlineLevel="0" collapsed="false">
      <c r="A6132" s="1" t="s">
        <v>1078</v>
      </c>
      <c r="B6132" s="1" t="n">
        <v>269.15</v>
      </c>
      <c r="C6132" s="1" t="n">
        <f aca="false">1/B6132</f>
        <v>0.00371540033438603</v>
      </c>
      <c r="D6132" s="1" t="n">
        <v>0.696</v>
      </c>
      <c r="E6132" s="1" t="n">
        <f aca="false">LN(D6132)</f>
        <v>-0.362405618647717</v>
      </c>
    </row>
    <row r="6133" customFormat="false" ht="15.75" hidden="false" customHeight="false" outlineLevel="0" collapsed="false">
      <c r="A6133" s="1" t="s">
        <v>1078</v>
      </c>
      <c r="B6133" s="1" t="n">
        <v>298.15</v>
      </c>
      <c r="C6133" s="1" t="n">
        <f aca="false">1/B6133</f>
        <v>0.00335401643468053</v>
      </c>
      <c r="D6133" s="1" t="n">
        <v>0.535</v>
      </c>
      <c r="E6133" s="1" t="n">
        <f aca="false">LN(D6133)</f>
        <v>-0.62548853208613</v>
      </c>
    </row>
    <row r="6134" customFormat="false" ht="15.75" hidden="false" customHeight="false" outlineLevel="0" collapsed="false">
      <c r="A6134" s="1" t="s">
        <v>1078</v>
      </c>
      <c r="B6134" s="1" t="n">
        <v>298.75</v>
      </c>
      <c r="C6134" s="1" t="n">
        <f aca="false">1/B6134</f>
        <v>0.00334728033472803</v>
      </c>
      <c r="D6134" s="1" t="n">
        <v>0.519</v>
      </c>
      <c r="E6134" s="1" t="n">
        <f aca="false">LN(D6134)</f>
        <v>-0.655851395816248</v>
      </c>
    </row>
    <row r="6135" customFormat="false" ht="15.75" hidden="false" customHeight="false" outlineLevel="0" collapsed="false">
      <c r="A6135" s="1" t="s">
        <v>1078</v>
      </c>
      <c r="B6135" s="1" t="n">
        <v>308.15</v>
      </c>
      <c r="C6135" s="1" t="n">
        <f aca="false">1/B6135</f>
        <v>0.00324517280545189</v>
      </c>
      <c r="D6135" s="1" t="n">
        <v>0.487</v>
      </c>
      <c r="E6135" s="1" t="n">
        <f aca="false">LN(D6135)</f>
        <v>-0.719491155899547</v>
      </c>
    </row>
    <row r="6136" customFormat="false" ht="15.75" hidden="false" customHeight="false" outlineLevel="0" collapsed="false">
      <c r="A6136" s="1" t="s">
        <v>1078</v>
      </c>
      <c r="B6136" s="1" t="n">
        <v>323.15</v>
      </c>
      <c r="C6136" s="1" t="n">
        <f aca="false">1/B6136</f>
        <v>0.00309453814018258</v>
      </c>
      <c r="D6136" s="1" t="n">
        <v>0.438</v>
      </c>
      <c r="E6136" s="1" t="n">
        <f aca="false">LN(D6136)</f>
        <v>-0.825536368605691</v>
      </c>
    </row>
    <row r="6137" customFormat="false" ht="15.75" hidden="false" customHeight="false" outlineLevel="0" collapsed="false">
      <c r="A6137" s="1" t="s">
        <v>1078</v>
      </c>
      <c r="B6137" s="1" t="n">
        <v>333.25</v>
      </c>
      <c r="C6137" s="1" t="n">
        <f aca="false">1/B6137</f>
        <v>0.00300075018754689</v>
      </c>
      <c r="D6137" s="1" t="n">
        <v>0.411</v>
      </c>
      <c r="E6137" s="1" t="n">
        <f aca="false">LN(D6137)</f>
        <v>-0.889162064485902</v>
      </c>
    </row>
    <row r="6138" customFormat="false" ht="15.75" hidden="false" customHeight="false" outlineLevel="0" collapsed="false">
      <c r="A6138" s="1" t="s">
        <v>1078</v>
      </c>
      <c r="B6138" s="1" t="n">
        <v>256.95</v>
      </c>
      <c r="C6138" s="1" t="n">
        <f aca="false">1/B6138</f>
        <v>0.00389180774469741</v>
      </c>
      <c r="D6138" s="1" t="n">
        <v>0.786</v>
      </c>
      <c r="E6138" s="1" t="n">
        <f aca="false">LN(D6138)</f>
        <v>-0.24079848655293</v>
      </c>
    </row>
    <row r="6139" customFormat="false" ht="15.75" hidden="false" customHeight="false" outlineLevel="0" collapsed="false">
      <c r="A6139" s="1" t="s">
        <v>1080</v>
      </c>
      <c r="B6139" s="1" t="n">
        <v>278.15</v>
      </c>
      <c r="C6139" s="1" t="n">
        <f aca="false">1/B6139</f>
        <v>0.00359518245550962</v>
      </c>
      <c r="D6139" s="1" t="n">
        <v>1.368</v>
      </c>
      <c r="E6139" s="1" t="n">
        <f aca="false">LN(D6139)</f>
        <v>0.313349819200359</v>
      </c>
    </row>
    <row r="6140" customFormat="false" ht="15.75" hidden="false" customHeight="false" outlineLevel="0" collapsed="false">
      <c r="A6140" s="1" t="s">
        <v>1080</v>
      </c>
      <c r="B6140" s="1" t="n">
        <v>288.15</v>
      </c>
      <c r="C6140" s="1" t="n">
        <f aca="false">1/B6140</f>
        <v>0.00347041471455839</v>
      </c>
      <c r="D6140" s="1" t="n">
        <v>1.184</v>
      </c>
      <c r="E6140" s="1" t="n">
        <f aca="false">LN(D6140)</f>
        <v>0.168898536461814</v>
      </c>
    </row>
    <row r="6141" customFormat="false" ht="15.75" hidden="false" customHeight="false" outlineLevel="0" collapsed="false">
      <c r="A6141" s="1" t="s">
        <v>1080</v>
      </c>
      <c r="B6141" s="1" t="n">
        <v>298.15</v>
      </c>
      <c r="C6141" s="1" t="n">
        <f aca="false">1/B6141</f>
        <v>0.00335401643468053</v>
      </c>
      <c r="D6141" s="1" t="n">
        <v>1.018</v>
      </c>
      <c r="E6141" s="1" t="n">
        <f aca="false">LN(D6141)</f>
        <v>0.017839918128331</v>
      </c>
    </row>
    <row r="6142" customFormat="false" ht="15.75" hidden="false" customHeight="false" outlineLevel="0" collapsed="false">
      <c r="A6142" s="1" t="s">
        <v>1080</v>
      </c>
      <c r="B6142" s="1" t="n">
        <v>308.15</v>
      </c>
      <c r="C6142" s="1" t="n">
        <f aca="false">1/B6142</f>
        <v>0.00324517280545189</v>
      </c>
      <c r="D6142" s="1" t="n">
        <v>0.892</v>
      </c>
      <c r="E6142" s="1" t="n">
        <f aca="false">LN(D6142)</f>
        <v>-0.114289146402128</v>
      </c>
    </row>
    <row r="6143" customFormat="false" ht="15.75" hidden="false" customHeight="false" outlineLevel="0" collapsed="false">
      <c r="A6143" s="1" t="s">
        <v>1080</v>
      </c>
      <c r="B6143" s="1" t="n">
        <v>323.15</v>
      </c>
      <c r="C6143" s="1" t="n">
        <f aca="false">1/B6143</f>
        <v>0.00309453814018258</v>
      </c>
      <c r="D6143" s="1" t="n">
        <v>0.75</v>
      </c>
      <c r="E6143" s="1" t="n">
        <f aca="false">LN(D6143)</f>
        <v>-0.287682072451781</v>
      </c>
    </row>
    <row r="6144" customFormat="false" ht="15.75" hidden="false" customHeight="false" outlineLevel="0" collapsed="false">
      <c r="A6144" s="1" t="s">
        <v>1080</v>
      </c>
      <c r="B6144" s="1" t="n">
        <v>333.15</v>
      </c>
      <c r="C6144" s="1" t="n">
        <f aca="false">1/B6144</f>
        <v>0.0030016509079994</v>
      </c>
      <c r="D6144" s="1" t="n">
        <v>0.687</v>
      </c>
      <c r="E6144" s="1" t="n">
        <f aca="false">LN(D6144)</f>
        <v>-0.375420986759788</v>
      </c>
    </row>
    <row r="6145" customFormat="false" ht="15.75" hidden="false" customHeight="false" outlineLevel="0" collapsed="false">
      <c r="A6145" s="1" t="s">
        <v>1080</v>
      </c>
      <c r="B6145" s="1" t="n">
        <v>343.15</v>
      </c>
      <c r="C6145" s="1" t="n">
        <f aca="false">1/B6145</f>
        <v>0.00291417747340813</v>
      </c>
      <c r="D6145" s="1" t="n">
        <v>0.614</v>
      </c>
      <c r="E6145" s="1" t="n">
        <f aca="false">LN(D6145)</f>
        <v>-0.487760350834995</v>
      </c>
    </row>
    <row r="6146" customFormat="false" ht="15.75" hidden="false" customHeight="false" outlineLevel="0" collapsed="false">
      <c r="A6146" s="1" t="s">
        <v>1080</v>
      </c>
      <c r="B6146" s="1" t="n">
        <v>353.15</v>
      </c>
      <c r="C6146" s="1" t="n">
        <f aca="false">1/B6146</f>
        <v>0.00283165793572137</v>
      </c>
      <c r="D6146" s="1" t="n">
        <v>0.564</v>
      </c>
      <c r="E6146" s="1" t="n">
        <f aca="false">LN(D6146)</f>
        <v>-0.572701027484078</v>
      </c>
    </row>
    <row r="6147" customFormat="false" ht="15.75" hidden="false" customHeight="false" outlineLevel="0" collapsed="false">
      <c r="A6147" s="1" t="s">
        <v>1082</v>
      </c>
      <c r="B6147" s="1" t="n">
        <v>293.15</v>
      </c>
      <c r="C6147" s="1" t="n">
        <f aca="false">1/B6147</f>
        <v>0.00341122292341805</v>
      </c>
      <c r="D6147" s="1" t="n">
        <v>0.713</v>
      </c>
      <c r="E6147" s="1" t="n">
        <f aca="false">LN(D6147)</f>
        <v>-0.338273858567841</v>
      </c>
    </row>
    <row r="6148" customFormat="false" ht="15.75" hidden="false" customHeight="false" outlineLevel="0" collapsed="false">
      <c r="A6148" s="1" t="s">
        <v>1082</v>
      </c>
      <c r="B6148" s="1" t="n">
        <v>303.15</v>
      </c>
      <c r="C6148" s="1" t="n">
        <f aca="false">1/B6148</f>
        <v>0.0032986970146792</v>
      </c>
      <c r="D6148" s="1" t="n">
        <v>0.625</v>
      </c>
      <c r="E6148" s="1" t="n">
        <f aca="false">LN(D6148)</f>
        <v>-0.470003629245736</v>
      </c>
    </row>
    <row r="6149" customFormat="false" ht="15.75" hidden="false" customHeight="false" outlineLevel="0" collapsed="false">
      <c r="A6149" s="1" t="s">
        <v>1082</v>
      </c>
      <c r="B6149" s="1" t="n">
        <v>313.15</v>
      </c>
      <c r="C6149" s="1" t="n">
        <f aca="false">1/B6149</f>
        <v>0.00319335781574325</v>
      </c>
      <c r="D6149" s="1" t="n">
        <v>0.552</v>
      </c>
      <c r="E6149" s="1" t="n">
        <f aca="false">LN(D6149)</f>
        <v>-0.594207232705042</v>
      </c>
    </row>
    <row r="6150" customFormat="false" ht="15.75" hidden="false" customHeight="false" outlineLevel="0" collapsed="false">
      <c r="A6150" s="1" t="s">
        <v>1082</v>
      </c>
      <c r="B6150" s="1" t="n">
        <v>323.15</v>
      </c>
      <c r="C6150" s="1" t="n">
        <f aca="false">1/B6150</f>
        <v>0.00309453814018258</v>
      </c>
      <c r="D6150" s="1" t="n">
        <v>0.492</v>
      </c>
      <c r="E6150" s="1" t="n">
        <f aca="false">LN(D6150)</f>
        <v>-0.709276562489829</v>
      </c>
    </row>
    <row r="6151" customFormat="false" ht="15.75" hidden="false" customHeight="false" outlineLevel="0" collapsed="false">
      <c r="A6151" s="1" t="s">
        <v>1082</v>
      </c>
      <c r="B6151" s="1" t="n">
        <v>333.15</v>
      </c>
      <c r="C6151" s="1" t="n">
        <f aca="false">1/B6151</f>
        <v>0.0030016509079994</v>
      </c>
      <c r="D6151" s="1" t="n">
        <v>0.44</v>
      </c>
      <c r="E6151" s="1" t="n">
        <f aca="false">LN(D6151)</f>
        <v>-0.82098055206983</v>
      </c>
    </row>
    <row r="6152" customFormat="false" ht="15.75" hidden="false" customHeight="false" outlineLevel="0" collapsed="false">
      <c r="A6152" s="1" t="s">
        <v>1082</v>
      </c>
      <c r="B6152" s="1" t="n">
        <v>353.15</v>
      </c>
      <c r="C6152" s="1" t="n">
        <f aca="false">1/B6152</f>
        <v>0.00283165793572137</v>
      </c>
      <c r="D6152" s="1" t="n">
        <v>0.36</v>
      </c>
      <c r="E6152" s="1" t="n">
        <f aca="false">LN(D6152)</f>
        <v>-1.02165124753198</v>
      </c>
    </row>
    <row r="6153" customFormat="false" ht="15.75" hidden="false" customHeight="false" outlineLevel="0" collapsed="false">
      <c r="A6153" s="1" t="s">
        <v>1084</v>
      </c>
      <c r="B6153" s="1" t="n">
        <v>293.65</v>
      </c>
      <c r="C6153" s="1" t="n">
        <f aca="false">1/B6153</f>
        <v>0.00340541460922867</v>
      </c>
      <c r="D6153" s="1" t="n">
        <v>0.4729</v>
      </c>
      <c r="E6153" s="1" t="n">
        <f aca="false">LN(D6153)</f>
        <v>-0.748871329332307</v>
      </c>
    </row>
    <row r="6154" customFormat="false" ht="15.75" hidden="false" customHeight="false" outlineLevel="0" collapsed="false">
      <c r="A6154" s="1" t="s">
        <v>1084</v>
      </c>
      <c r="B6154" s="1" t="n">
        <v>309.25</v>
      </c>
      <c r="C6154" s="1" t="n">
        <f aca="false">1/B6154</f>
        <v>0.00323362974939369</v>
      </c>
      <c r="D6154" s="1" t="n">
        <v>0.4019</v>
      </c>
      <c r="E6154" s="1" t="n">
        <f aca="false">LN(D6154)</f>
        <v>-0.911551977526982</v>
      </c>
    </row>
    <row r="6155" customFormat="false" ht="15.75" hidden="false" customHeight="false" outlineLevel="0" collapsed="false">
      <c r="A6155" s="1" t="s">
        <v>1084</v>
      </c>
      <c r="B6155" s="1" t="n">
        <v>330.05</v>
      </c>
      <c r="C6155" s="1" t="n">
        <f aca="false">1/B6155</f>
        <v>0.0030298439630359</v>
      </c>
      <c r="D6155" s="1" t="n">
        <v>0.3314</v>
      </c>
      <c r="E6155" s="1" t="n">
        <f aca="false">LN(D6155)</f>
        <v>-1.10442917398967</v>
      </c>
    </row>
    <row r="6156" customFormat="false" ht="15.75" hidden="false" customHeight="false" outlineLevel="0" collapsed="false">
      <c r="A6156" s="1" t="s">
        <v>1084</v>
      </c>
      <c r="B6156" s="1" t="n">
        <v>337.25</v>
      </c>
      <c r="C6156" s="1" t="n">
        <f aca="false">1/B6156</f>
        <v>0.00296515937731653</v>
      </c>
      <c r="D6156" s="1" t="n">
        <v>0.3112</v>
      </c>
      <c r="E6156" s="1" t="n">
        <f aca="false">LN(D6156)</f>
        <v>-1.1673194866779</v>
      </c>
    </row>
    <row r="6157" customFormat="false" ht="15.75" hidden="false" customHeight="false" outlineLevel="0" collapsed="false">
      <c r="A6157" s="1" t="s">
        <v>1084</v>
      </c>
      <c r="B6157" s="1" t="n">
        <v>352.85</v>
      </c>
      <c r="C6157" s="1" t="n">
        <f aca="false">1/B6157</f>
        <v>0.00283406546691229</v>
      </c>
      <c r="D6157" s="1" t="n">
        <v>0.2749</v>
      </c>
      <c r="E6157" s="1" t="n">
        <f aca="false">LN(D6157)</f>
        <v>-1.29134788381094</v>
      </c>
    </row>
    <row r="6158" customFormat="false" ht="15.75" hidden="false" customHeight="false" outlineLevel="0" collapsed="false">
      <c r="A6158" s="1" t="s">
        <v>1084</v>
      </c>
      <c r="B6158" s="1" t="n">
        <v>320.45</v>
      </c>
      <c r="C6158" s="1" t="n">
        <f aca="false">1/B6158</f>
        <v>0.00312061163988142</v>
      </c>
      <c r="D6158" s="1" t="n">
        <v>0.3614</v>
      </c>
      <c r="E6158" s="1" t="n">
        <f aca="false">LN(D6158)</f>
        <v>-1.01776990082401</v>
      </c>
    </row>
    <row r="6159" customFormat="false" ht="15.75" hidden="false" customHeight="false" outlineLevel="0" collapsed="false">
      <c r="A6159" s="1" t="s">
        <v>1084</v>
      </c>
      <c r="B6159" s="1" t="n">
        <v>344.05</v>
      </c>
      <c r="C6159" s="1" t="n">
        <f aca="false">1/B6159</f>
        <v>0.00290655427990118</v>
      </c>
      <c r="D6159" s="1" t="n">
        <v>0.2946</v>
      </c>
      <c r="E6159" s="1" t="n">
        <f aca="false">LN(D6159)</f>
        <v>-1.22213677495361</v>
      </c>
    </row>
    <row r="6160" customFormat="false" ht="15.75" hidden="false" customHeight="false" outlineLevel="0" collapsed="false">
      <c r="A6160" s="1" t="s">
        <v>1086</v>
      </c>
      <c r="B6160" s="1" t="n">
        <v>338.15</v>
      </c>
      <c r="C6160" s="1" t="n">
        <f aca="false">1/B6160</f>
        <v>0.002957267484844</v>
      </c>
      <c r="D6160" s="1" t="n">
        <v>2.797</v>
      </c>
      <c r="E6160" s="1" t="n">
        <f aca="false">LN(D6160)</f>
        <v>1.02854741421982</v>
      </c>
    </row>
    <row r="6161" customFormat="false" ht="15.75" hidden="false" customHeight="false" outlineLevel="0" collapsed="false">
      <c r="A6161" s="1" t="s">
        <v>1086</v>
      </c>
      <c r="B6161" s="1" t="n">
        <v>348.15</v>
      </c>
      <c r="C6161" s="1" t="n">
        <f aca="false">1/B6161</f>
        <v>0.00287232514720666</v>
      </c>
      <c r="D6161" s="1" t="n">
        <v>2.182</v>
      </c>
      <c r="E6161" s="1" t="n">
        <f aca="false">LN(D6161)</f>
        <v>0.780241887410879</v>
      </c>
    </row>
    <row r="6162" customFormat="false" ht="15.75" hidden="false" customHeight="false" outlineLevel="0" collapsed="false">
      <c r="A6162" s="1" t="s">
        <v>1086</v>
      </c>
      <c r="B6162" s="1" t="n">
        <v>358.15</v>
      </c>
      <c r="C6162" s="1" t="n">
        <f aca="false">1/B6162</f>
        <v>0.00279212620410443</v>
      </c>
      <c r="D6162" s="1" t="n">
        <v>1.747</v>
      </c>
      <c r="E6162" s="1" t="n">
        <f aca="false">LN(D6162)</f>
        <v>0.55790003115192</v>
      </c>
    </row>
    <row r="6163" customFormat="false" ht="15.75" hidden="false" customHeight="false" outlineLevel="0" collapsed="false">
      <c r="A6163" s="1" t="s">
        <v>1086</v>
      </c>
      <c r="B6163" s="1" t="n">
        <v>368.15</v>
      </c>
      <c r="C6163" s="1" t="n">
        <f aca="false">1/B6163</f>
        <v>0.0027162841233193</v>
      </c>
      <c r="D6163" s="1" t="n">
        <v>1.429</v>
      </c>
      <c r="E6163" s="1" t="n">
        <f aca="false">LN(D6163)</f>
        <v>0.35697489894773</v>
      </c>
    </row>
    <row r="6164" customFormat="false" ht="15.75" hidden="false" customHeight="false" outlineLevel="0" collapsed="false">
      <c r="A6164" s="1" t="s">
        <v>1086</v>
      </c>
      <c r="B6164" s="1" t="n">
        <v>378.15</v>
      </c>
      <c r="C6164" s="1" t="n">
        <f aca="false">1/B6164</f>
        <v>0.00264445325928864</v>
      </c>
      <c r="D6164" s="1" t="n">
        <v>1.2</v>
      </c>
      <c r="E6164" s="1" t="n">
        <f aca="false">LN(D6164)</f>
        <v>0.182321556793955</v>
      </c>
    </row>
    <row r="6165" customFormat="false" ht="15.75" hidden="false" customHeight="false" outlineLevel="0" collapsed="false">
      <c r="A6165" s="1" t="s">
        <v>1088</v>
      </c>
      <c r="B6165" s="1" t="n">
        <v>273.7428</v>
      </c>
      <c r="C6165" s="1" t="n">
        <f aca="false">1/B6165</f>
        <v>0.00365306411712016</v>
      </c>
      <c r="D6165" s="1" t="n">
        <v>0.5359</v>
      </c>
      <c r="E6165" s="1" t="n">
        <f aca="false">LN(D6165)</f>
        <v>-0.623807702481332</v>
      </c>
    </row>
    <row r="6166" customFormat="false" ht="15.75" hidden="false" customHeight="false" outlineLevel="0" collapsed="false">
      <c r="A6166" s="1" t="s">
        <v>1088</v>
      </c>
      <c r="B6166" s="1" t="n">
        <v>281.73</v>
      </c>
      <c r="C6166" s="1" t="n">
        <f aca="false">1/B6166</f>
        <v>0.00354949774606893</v>
      </c>
      <c r="D6166" s="1" t="n">
        <v>0.4826</v>
      </c>
      <c r="E6166" s="1" t="n">
        <f aca="false">LN(D6166)</f>
        <v>-0.728567125791206</v>
      </c>
    </row>
    <row r="6167" customFormat="false" ht="15.75" hidden="false" customHeight="false" outlineLevel="0" collapsed="false">
      <c r="A6167" s="1" t="s">
        <v>1088</v>
      </c>
      <c r="B6167" s="1" t="n">
        <v>290.1</v>
      </c>
      <c r="C6167" s="1" t="n">
        <f aca="false">1/B6167</f>
        <v>0.00344708721130645</v>
      </c>
      <c r="D6167" s="1" t="n">
        <v>0.4358</v>
      </c>
      <c r="E6167" s="1" t="n">
        <f aca="false">LN(D6167)</f>
        <v>-0.830571856471618</v>
      </c>
    </row>
    <row r="6168" customFormat="false" ht="15.75" hidden="false" customHeight="false" outlineLevel="0" collapsed="false">
      <c r="A6168" s="1" t="s">
        <v>1088</v>
      </c>
      <c r="B6168" s="1" t="n">
        <v>297.8</v>
      </c>
      <c r="C6168" s="1" t="n">
        <f aca="false">1/B6168</f>
        <v>0.00335795836131632</v>
      </c>
      <c r="D6168" s="1" t="n">
        <v>0.3985</v>
      </c>
      <c r="E6168" s="1" t="n">
        <f aca="false">LN(D6168)</f>
        <v>-0.920047780751867</v>
      </c>
    </row>
    <row r="6169" customFormat="false" ht="15.75" hidden="false" customHeight="false" outlineLevel="0" collapsed="false">
      <c r="A6169" s="1" t="s">
        <v>1088</v>
      </c>
      <c r="B6169" s="1" t="n">
        <v>305.61</v>
      </c>
      <c r="C6169" s="1" t="n">
        <f aca="false">1/B6169</f>
        <v>0.00327214423611793</v>
      </c>
      <c r="D6169" s="1" t="n">
        <v>0.3655</v>
      </c>
      <c r="E6169" s="1" t="n">
        <f aca="false">LN(D6169)</f>
        <v>-1.0064889997923</v>
      </c>
    </row>
    <row r="6170" customFormat="false" ht="15.75" hidden="false" customHeight="false" outlineLevel="0" collapsed="false">
      <c r="A6170" s="1" t="s">
        <v>1088</v>
      </c>
      <c r="B6170" s="1" t="n">
        <v>313.62</v>
      </c>
      <c r="C6170" s="1" t="n">
        <f aca="false">1/B6170</f>
        <v>0.00318857215738792</v>
      </c>
      <c r="D6170" s="1" t="n">
        <v>0.336</v>
      </c>
      <c r="E6170" s="1" t="n">
        <f aca="false">LN(D6170)</f>
        <v>-1.09064411901893</v>
      </c>
    </row>
    <row r="6171" customFormat="false" ht="15.75" hidden="false" customHeight="false" outlineLevel="0" collapsed="false">
      <c r="A6171" s="1" t="s">
        <v>1088</v>
      </c>
      <c r="B6171" s="1" t="n">
        <v>321.21</v>
      </c>
      <c r="C6171" s="1" t="n">
        <f aca="false">1/B6171</f>
        <v>0.00311322810622334</v>
      </c>
      <c r="D6171" s="1" t="n">
        <v>0.3114</v>
      </c>
      <c r="E6171" s="1" t="n">
        <f aca="false">LN(D6171)</f>
        <v>-1.16667701958224</v>
      </c>
    </row>
    <row r="6172" customFormat="false" ht="15.75" hidden="false" customHeight="false" outlineLevel="0" collapsed="false">
      <c r="A6172" s="1" t="s">
        <v>1088</v>
      </c>
      <c r="B6172" s="1" t="n">
        <v>329.3</v>
      </c>
      <c r="C6172" s="1" t="n">
        <f aca="false">1/B6172</f>
        <v>0.00303674460977832</v>
      </c>
      <c r="D6172" s="1" t="n">
        <v>0.2877</v>
      </c>
      <c r="E6172" s="1" t="n">
        <f aca="false">LN(D6172)</f>
        <v>-1.24583700842463</v>
      </c>
    </row>
    <row r="6173" customFormat="false" ht="15.75" hidden="false" customHeight="false" outlineLevel="0" collapsed="false">
      <c r="A6173" s="1" t="s">
        <v>1088</v>
      </c>
      <c r="B6173" s="1" t="n">
        <v>337.31</v>
      </c>
      <c r="C6173" s="1" t="n">
        <f aca="false">1/B6173</f>
        <v>0.00296463194094453</v>
      </c>
      <c r="D6173" s="1" t="n">
        <v>0.2664</v>
      </c>
      <c r="E6173" s="1" t="n">
        <f aca="false">LN(D6173)</f>
        <v>-1.3227563403159</v>
      </c>
    </row>
    <row r="6174" customFormat="false" ht="15.75" hidden="false" customHeight="false" outlineLevel="0" collapsed="false">
      <c r="A6174" s="1" t="s">
        <v>1088</v>
      </c>
      <c r="B6174" s="1" t="n">
        <v>345.74</v>
      </c>
      <c r="C6174" s="1" t="n">
        <f aca="false">1/B6174</f>
        <v>0.00289234685023428</v>
      </c>
      <c r="D6174" s="1" t="n">
        <v>0.2469</v>
      </c>
      <c r="E6174" s="1" t="n">
        <f aca="false">LN(D6174)</f>
        <v>-1.398771882631</v>
      </c>
    </row>
    <row r="6175" customFormat="false" ht="15.75" hidden="false" customHeight="false" outlineLevel="0" collapsed="false">
      <c r="A6175" s="1" t="s">
        <v>1088</v>
      </c>
      <c r="B6175" s="1" t="n">
        <v>354.62</v>
      </c>
      <c r="C6175" s="1" t="n">
        <f aca="false">1/B6175</f>
        <v>0.00281991991427443</v>
      </c>
      <c r="D6175" s="1" t="n">
        <v>0.2284</v>
      </c>
      <c r="E6175" s="1" t="n">
        <f aca="false">LN(D6175)</f>
        <v>-1.47665680120028</v>
      </c>
    </row>
    <row r="6176" customFormat="false" ht="15.75" hidden="false" customHeight="false" outlineLevel="0" collapsed="false">
      <c r="A6176" s="1" t="s">
        <v>1088</v>
      </c>
      <c r="B6176" s="1" t="n">
        <v>361.17</v>
      </c>
      <c r="C6176" s="1" t="n">
        <f aca="false">1/B6176</f>
        <v>0.00276877924523078</v>
      </c>
      <c r="D6176" s="1" t="n">
        <v>0.2154</v>
      </c>
      <c r="E6176" s="1" t="n">
        <f aca="false">LN(D6176)</f>
        <v>-1.53525851425985</v>
      </c>
    </row>
    <row r="6177" customFormat="false" ht="15.75" hidden="false" customHeight="false" outlineLevel="0" collapsed="false">
      <c r="A6177" s="1" t="s">
        <v>1088</v>
      </c>
      <c r="B6177" s="1" t="n">
        <v>288.1522</v>
      </c>
      <c r="C6177" s="1" t="n">
        <f aca="false">1/B6177</f>
        <v>0.00347038821844844</v>
      </c>
      <c r="D6177" s="1" t="n">
        <v>0.448</v>
      </c>
      <c r="E6177" s="1" t="n">
        <f aca="false">LN(D6177)</f>
        <v>-0.802962046567152</v>
      </c>
    </row>
    <row r="6178" customFormat="false" ht="15.75" hidden="false" customHeight="false" outlineLevel="0" collapsed="false">
      <c r="A6178" s="1" t="s">
        <v>1088</v>
      </c>
      <c r="B6178" s="1" t="n">
        <v>303.15</v>
      </c>
      <c r="C6178" s="1" t="n">
        <f aca="false">1/B6178</f>
        <v>0.0032986970146792</v>
      </c>
      <c r="D6178" s="1" t="n">
        <v>0.376</v>
      </c>
      <c r="E6178" s="1" t="n">
        <f aca="false">LN(D6178)</f>
        <v>-0.978166135592243</v>
      </c>
    </row>
    <row r="6179" customFormat="false" ht="15.75" hidden="false" customHeight="false" outlineLevel="0" collapsed="false">
      <c r="A6179" s="1" t="s">
        <v>1090</v>
      </c>
      <c r="B6179" s="1" t="n">
        <v>273.5</v>
      </c>
      <c r="C6179" s="1" t="n">
        <f aca="false">1/B6179</f>
        <v>0.0036563071297989</v>
      </c>
      <c r="D6179" s="1" t="n">
        <v>0.6648</v>
      </c>
      <c r="E6179" s="1" t="n">
        <f aca="false">LN(D6179)</f>
        <v>-0.408269035440899</v>
      </c>
    </row>
    <row r="6180" customFormat="false" ht="15.75" hidden="false" customHeight="false" outlineLevel="0" collapsed="false">
      <c r="A6180" s="1" t="s">
        <v>1090</v>
      </c>
      <c r="B6180" s="1" t="n">
        <v>280.49</v>
      </c>
      <c r="C6180" s="1" t="n">
        <f aca="false">1/B6180</f>
        <v>0.00356518948982138</v>
      </c>
      <c r="D6180" s="1" t="n">
        <v>0.6041</v>
      </c>
      <c r="E6180" s="1" t="n">
        <f aca="false">LN(D6180)</f>
        <v>-0.504015531837442</v>
      </c>
    </row>
    <row r="6181" customFormat="false" ht="15.75" hidden="false" customHeight="false" outlineLevel="0" collapsed="false">
      <c r="A6181" s="1" t="s">
        <v>1090</v>
      </c>
      <c r="B6181" s="1" t="n">
        <v>296.31</v>
      </c>
      <c r="C6181" s="1" t="n">
        <f aca="false">1/B6181</f>
        <v>0.003374843913469</v>
      </c>
      <c r="D6181" s="1" t="n">
        <v>0.4975</v>
      </c>
      <c r="E6181" s="1" t="n">
        <f aca="false">LN(D6181)</f>
        <v>-0.69815972238349</v>
      </c>
    </row>
    <row r="6182" customFormat="false" ht="15.75" hidden="false" customHeight="false" outlineLevel="0" collapsed="false">
      <c r="A6182" s="1" t="s">
        <v>1090</v>
      </c>
      <c r="B6182" s="1" t="n">
        <v>303.92</v>
      </c>
      <c r="C6182" s="1" t="n">
        <f aca="false">1/B6182</f>
        <v>0.00329033956304291</v>
      </c>
      <c r="D6182" s="1" t="n">
        <v>0.4557</v>
      </c>
      <c r="E6182" s="1" t="n">
        <f aca="false">LN(D6182)</f>
        <v>-0.7859205807123</v>
      </c>
    </row>
    <row r="6183" customFormat="false" ht="15.75" hidden="false" customHeight="false" outlineLevel="0" collapsed="false">
      <c r="A6183" s="1" t="s">
        <v>1090</v>
      </c>
      <c r="B6183" s="1" t="n">
        <v>311.69</v>
      </c>
      <c r="C6183" s="1" t="n">
        <f aca="false">1/B6183</f>
        <v>0.00320831595495524</v>
      </c>
      <c r="D6183" s="1" t="n">
        <v>0.4185</v>
      </c>
      <c r="E6183" s="1" t="n">
        <f aca="false">LN(D6183)</f>
        <v>-0.871078389052607</v>
      </c>
    </row>
    <row r="6184" customFormat="false" ht="15.75" hidden="false" customHeight="false" outlineLevel="0" collapsed="false">
      <c r="A6184" s="1" t="s">
        <v>1090</v>
      </c>
      <c r="B6184" s="1" t="n">
        <v>327.3</v>
      </c>
      <c r="C6184" s="1" t="n">
        <f aca="false">1/B6184</f>
        <v>0.00305530094714329</v>
      </c>
      <c r="D6184" s="1" t="n">
        <v>0.3564</v>
      </c>
      <c r="E6184" s="1" t="n">
        <f aca="false">LN(D6184)</f>
        <v>-1.03170158338548</v>
      </c>
    </row>
    <row r="6185" customFormat="false" ht="15.75" hidden="false" customHeight="false" outlineLevel="0" collapsed="false">
      <c r="A6185" s="1" t="s">
        <v>1090</v>
      </c>
      <c r="B6185" s="1" t="n">
        <v>334.71</v>
      </c>
      <c r="C6185" s="1" t="n">
        <f aca="false">1/B6185</f>
        <v>0.00298766096023423</v>
      </c>
      <c r="D6185" s="1" t="n">
        <v>0.3315</v>
      </c>
      <c r="E6185" s="1" t="n">
        <f aca="false">LN(D6185)</f>
        <v>-1.10412746935622</v>
      </c>
    </row>
    <row r="6186" customFormat="false" ht="15.75" hidden="false" customHeight="false" outlineLevel="0" collapsed="false">
      <c r="A6186" s="1" t="s">
        <v>1090</v>
      </c>
      <c r="B6186" s="1" t="n">
        <v>340.28</v>
      </c>
      <c r="C6186" s="1" t="n">
        <f aca="false">1/B6186</f>
        <v>0.00293875631832608</v>
      </c>
      <c r="D6186" s="1" t="n">
        <v>0.3131</v>
      </c>
      <c r="E6186" s="1" t="n">
        <f aca="false">LN(D6186)</f>
        <v>-1.16123265064978</v>
      </c>
    </row>
    <row r="6187" customFormat="false" ht="15.75" hidden="false" customHeight="false" outlineLevel="0" collapsed="false">
      <c r="A6187" s="1" t="s">
        <v>1090</v>
      </c>
      <c r="B6187" s="1" t="n">
        <v>350.7</v>
      </c>
      <c r="C6187" s="1" t="n">
        <f aca="false">1/B6187</f>
        <v>0.00285143997718848</v>
      </c>
      <c r="D6187" s="1" t="n">
        <v>0.2861</v>
      </c>
      <c r="E6187" s="1" t="n">
        <f aca="false">LN(D6187)</f>
        <v>-1.25141387892607</v>
      </c>
    </row>
    <row r="6188" customFormat="false" ht="15.75" hidden="false" customHeight="false" outlineLevel="0" collapsed="false">
      <c r="A6188" s="1" t="s">
        <v>1090</v>
      </c>
      <c r="B6188" s="1" t="n">
        <v>288.69</v>
      </c>
      <c r="C6188" s="1" t="n">
        <f aca="false">1/B6188</f>
        <v>0.00346392323946101</v>
      </c>
      <c r="D6188" s="1" t="n">
        <v>0.5458</v>
      </c>
      <c r="E6188" s="1" t="n">
        <f aca="false">LN(D6188)</f>
        <v>-0.605502670707899</v>
      </c>
    </row>
    <row r="6189" customFormat="false" ht="15.75" hidden="false" customHeight="false" outlineLevel="0" collapsed="false">
      <c r="A6189" s="1" t="s">
        <v>1090</v>
      </c>
      <c r="B6189" s="1" t="n">
        <v>318.88</v>
      </c>
      <c r="C6189" s="1" t="n">
        <f aca="false">1/B6189</f>
        <v>0.00313597591570497</v>
      </c>
      <c r="D6189" s="1" t="n">
        <v>0.3876</v>
      </c>
      <c r="E6189" s="1" t="n">
        <f aca="false">LN(D6189)</f>
        <v>-0.947781398965526</v>
      </c>
    </row>
    <row r="6190" customFormat="false" ht="15.75" hidden="false" customHeight="false" outlineLevel="0" collapsed="false">
      <c r="A6190" s="1" t="s">
        <v>1090</v>
      </c>
      <c r="B6190" s="1" t="n">
        <v>348.14</v>
      </c>
      <c r="C6190" s="1" t="n">
        <f aca="false">1/B6190</f>
        <v>0.00287240765209398</v>
      </c>
      <c r="D6190" s="1" t="n">
        <v>0.2928</v>
      </c>
      <c r="E6190" s="1" t="n">
        <f aca="false">LN(D6190)</f>
        <v>-1.22826549689498</v>
      </c>
    </row>
    <row r="6191" customFormat="false" ht="15.75" hidden="false" customHeight="false" outlineLevel="0" collapsed="false">
      <c r="A6191" s="1" t="s">
        <v>134</v>
      </c>
      <c r="B6191" s="1" t="n">
        <v>303.15</v>
      </c>
      <c r="C6191" s="1" t="n">
        <f aca="false">1/B6191</f>
        <v>0.0032986970146792</v>
      </c>
      <c r="D6191" s="1" t="n">
        <v>5.86</v>
      </c>
      <c r="E6191" s="1" t="n">
        <f aca="false">LN(D6191)</f>
        <v>1.76814960358892</v>
      </c>
    </row>
    <row r="6192" customFormat="false" ht="15.75" hidden="false" customHeight="false" outlineLevel="0" collapsed="false">
      <c r="A6192" s="1" t="s">
        <v>134</v>
      </c>
      <c r="B6192" s="1" t="n">
        <v>333.15</v>
      </c>
      <c r="C6192" s="1" t="n">
        <f aca="false">1/B6192</f>
        <v>0.0030016509079994</v>
      </c>
      <c r="D6192" s="1" t="n">
        <v>3.06</v>
      </c>
      <c r="E6192" s="1" t="n">
        <f aca="false">LN(D6192)</f>
        <v>1.11841491596429</v>
      </c>
    </row>
    <row r="6193" customFormat="false" ht="15.75" hidden="false" customHeight="false" outlineLevel="0" collapsed="false">
      <c r="A6193" s="1" t="s">
        <v>134</v>
      </c>
      <c r="B6193" s="1" t="n">
        <v>363.15</v>
      </c>
      <c r="C6193" s="1" t="n">
        <f aca="false">1/B6193</f>
        <v>0.00275368305108082</v>
      </c>
      <c r="D6193" s="1" t="n">
        <v>1.81</v>
      </c>
      <c r="E6193" s="1" t="n">
        <f aca="false">LN(D6193)</f>
        <v>0.593326845277734</v>
      </c>
    </row>
    <row r="6194" customFormat="false" ht="15.75" hidden="false" customHeight="false" outlineLevel="0" collapsed="false">
      <c r="A6194" s="1" t="s">
        <v>1092</v>
      </c>
      <c r="B6194" s="1" t="n">
        <v>303.15</v>
      </c>
      <c r="C6194" s="1" t="n">
        <f aca="false">1/B6194</f>
        <v>0.0032986970146792</v>
      </c>
      <c r="D6194" s="1" t="n">
        <v>2.526</v>
      </c>
      <c r="E6194" s="1" t="n">
        <f aca="false">LN(D6194)</f>
        <v>0.926637023928299</v>
      </c>
    </row>
    <row r="6195" customFormat="false" ht="15.75" hidden="false" customHeight="false" outlineLevel="0" collapsed="false">
      <c r="A6195" s="1" t="s">
        <v>1092</v>
      </c>
      <c r="B6195" s="1" t="n">
        <v>313.15</v>
      </c>
      <c r="C6195" s="1" t="n">
        <f aca="false">1/B6195</f>
        <v>0.00319335781574325</v>
      </c>
      <c r="D6195" s="1" t="n">
        <v>2.002</v>
      </c>
      <c r="E6195" s="1" t="n">
        <f aca="false">LN(D6195)</f>
        <v>0.694146680893029</v>
      </c>
    </row>
    <row r="6196" customFormat="false" ht="15.75" hidden="false" customHeight="false" outlineLevel="0" collapsed="false">
      <c r="A6196" s="1" t="s">
        <v>1092</v>
      </c>
      <c r="B6196" s="1" t="n">
        <v>323.15</v>
      </c>
      <c r="C6196" s="1" t="n">
        <f aca="false">1/B6196</f>
        <v>0.00309453814018258</v>
      </c>
      <c r="D6196" s="1" t="n">
        <v>1.63</v>
      </c>
      <c r="E6196" s="1" t="n">
        <f aca="false">LN(D6196)</f>
        <v>0.488580014818671</v>
      </c>
    </row>
    <row r="6197" customFormat="false" ht="15.75" hidden="false" customHeight="false" outlineLevel="0" collapsed="false">
      <c r="A6197" s="1" t="s">
        <v>1092</v>
      </c>
      <c r="B6197" s="1" t="n">
        <v>348.15</v>
      </c>
      <c r="C6197" s="1" t="n">
        <f aca="false">1/B6197</f>
        <v>0.00287232514720666</v>
      </c>
      <c r="D6197" s="1" t="n">
        <v>1.076</v>
      </c>
      <c r="E6197" s="1" t="n">
        <f aca="false">LN(D6197)</f>
        <v>0.0732504617395927</v>
      </c>
    </row>
    <row r="6198" customFormat="false" ht="15.75" hidden="false" customHeight="false" outlineLevel="0" collapsed="false">
      <c r="A6198" s="1" t="s">
        <v>1092</v>
      </c>
      <c r="B6198" s="1" t="n">
        <v>373.15</v>
      </c>
      <c r="C6198" s="1" t="n">
        <f aca="false">1/B6198</f>
        <v>0.00267988744472732</v>
      </c>
      <c r="D6198" s="1" t="n">
        <v>0.772</v>
      </c>
      <c r="E6198" s="1" t="n">
        <f aca="false">LN(D6198)</f>
        <v>-0.258770728957361</v>
      </c>
    </row>
    <row r="6199" customFormat="false" ht="15.75" hidden="false" customHeight="false" outlineLevel="0" collapsed="false">
      <c r="A6199" s="1" t="s">
        <v>1094</v>
      </c>
      <c r="B6199" s="1" t="n">
        <v>303.15</v>
      </c>
      <c r="C6199" s="1" t="n">
        <f aca="false">1/B6199</f>
        <v>0.0032986970146792</v>
      </c>
      <c r="D6199" s="1" t="n">
        <v>0.7889</v>
      </c>
      <c r="E6199" s="1" t="n">
        <f aca="false">LN(D6199)</f>
        <v>-0.237115708881093</v>
      </c>
    </row>
    <row r="6200" customFormat="false" ht="15.75" hidden="false" customHeight="false" outlineLevel="0" collapsed="false">
      <c r="A6200" s="1" t="s">
        <v>1094</v>
      </c>
      <c r="B6200" s="1" t="n">
        <v>318.15</v>
      </c>
      <c r="C6200" s="1" t="n">
        <f aca="false">1/B6200</f>
        <v>0.00314317146000314</v>
      </c>
      <c r="D6200" s="1" t="n">
        <v>0.6669</v>
      </c>
      <c r="E6200" s="1" t="n">
        <f aca="false">LN(D6200)</f>
        <v>-0.405115169343876</v>
      </c>
    </row>
    <row r="6201" customFormat="false" ht="15.75" hidden="false" customHeight="false" outlineLevel="0" collapsed="false">
      <c r="A6201" s="1" t="s">
        <v>1094</v>
      </c>
      <c r="B6201" s="1" t="n">
        <v>333.15</v>
      </c>
      <c r="C6201" s="1" t="n">
        <f aca="false">1/B6201</f>
        <v>0.0030016509079994</v>
      </c>
      <c r="D6201" s="1" t="n">
        <v>0.5729</v>
      </c>
      <c r="E6201" s="1" t="n">
        <f aca="false">LN(D6201)</f>
        <v>-0.557044097567605</v>
      </c>
    </row>
    <row r="6202" customFormat="false" ht="15.75" hidden="false" customHeight="false" outlineLevel="0" collapsed="false">
      <c r="A6202" s="1" t="s">
        <v>1094</v>
      </c>
      <c r="B6202" s="1" t="n">
        <v>348.15</v>
      </c>
      <c r="C6202" s="1" t="n">
        <f aca="false">1/B6202</f>
        <v>0.00287232514720666</v>
      </c>
      <c r="D6202" s="1" t="n">
        <v>0.503</v>
      </c>
      <c r="E6202" s="1" t="n">
        <f aca="false">LN(D6202)</f>
        <v>-0.687165108882398</v>
      </c>
    </row>
    <row r="6203" customFormat="false" ht="15.75" hidden="false" customHeight="false" outlineLevel="0" collapsed="false">
      <c r="A6203" s="1" t="s">
        <v>1094</v>
      </c>
      <c r="B6203" s="1" t="n">
        <v>363.15</v>
      </c>
      <c r="C6203" s="1" t="n">
        <f aca="false">1/B6203</f>
        <v>0.00275368305108082</v>
      </c>
      <c r="D6203" s="1" t="n">
        <v>0.4432</v>
      </c>
      <c r="E6203" s="1" t="n">
        <f aca="false">LN(D6203)</f>
        <v>-0.813734143549063</v>
      </c>
    </row>
    <row r="6204" customFormat="false" ht="15.75" hidden="false" customHeight="false" outlineLevel="0" collapsed="false">
      <c r="A6204" s="1" t="s">
        <v>1096</v>
      </c>
      <c r="B6204" s="1" t="n">
        <v>379.65</v>
      </c>
      <c r="C6204" s="1" t="n">
        <f aca="false">1/B6204</f>
        <v>0.00263400500460951</v>
      </c>
      <c r="D6204" s="1" t="n">
        <v>0.6458</v>
      </c>
      <c r="E6204" s="1" t="n">
        <f aca="false">LN(D6204)</f>
        <v>-0.437265420657962</v>
      </c>
    </row>
    <row r="6205" customFormat="false" ht="15.75" hidden="false" customHeight="false" outlineLevel="0" collapsed="false">
      <c r="A6205" s="1" t="s">
        <v>1096</v>
      </c>
      <c r="B6205" s="1" t="n">
        <v>409.15</v>
      </c>
      <c r="C6205" s="1" t="n">
        <f aca="false">1/B6205</f>
        <v>0.0024440914090187</v>
      </c>
      <c r="D6205" s="1" t="n">
        <v>0.4778</v>
      </c>
      <c r="E6205" s="1" t="n">
        <f aca="false">LN(D6205)</f>
        <v>-0.738563044090428</v>
      </c>
    </row>
    <row r="6206" customFormat="false" ht="15.75" hidden="false" customHeight="false" outlineLevel="0" collapsed="false">
      <c r="A6206" s="1" t="s">
        <v>1096</v>
      </c>
      <c r="B6206" s="1" t="n">
        <v>424.05</v>
      </c>
      <c r="C6206" s="1" t="n">
        <f aca="false">1/B6206</f>
        <v>0.00235821247494399</v>
      </c>
      <c r="D6206" s="1" t="n">
        <v>0.4183</v>
      </c>
      <c r="E6206" s="1" t="n">
        <f aca="false">LN(D6206)</f>
        <v>-0.871556400533984</v>
      </c>
    </row>
    <row r="6207" customFormat="false" ht="15.75" hidden="false" customHeight="false" outlineLevel="0" collapsed="false">
      <c r="A6207" s="1" t="s">
        <v>1096</v>
      </c>
      <c r="B6207" s="1" t="n">
        <v>438.85</v>
      </c>
      <c r="C6207" s="1" t="n">
        <f aca="false">1/B6207</f>
        <v>0.00227868292127151</v>
      </c>
      <c r="D6207" s="1" t="n">
        <v>0.3698</v>
      </c>
      <c r="E6207" s="1" t="n">
        <f aca="false">LN(D6207)</f>
        <v>-0.994792960029113</v>
      </c>
    </row>
    <row r="6208" customFormat="false" ht="15.75" hidden="false" customHeight="false" outlineLevel="0" collapsed="false">
      <c r="A6208" s="1" t="s">
        <v>1096</v>
      </c>
      <c r="B6208" s="1" t="n">
        <v>452.85</v>
      </c>
      <c r="C6208" s="1" t="n">
        <f aca="false">1/B6208</f>
        <v>0.0022082367229767</v>
      </c>
      <c r="D6208" s="1" t="n">
        <v>0.332</v>
      </c>
      <c r="E6208" s="1" t="n">
        <f aca="false">LN(D6208)</f>
        <v>-1.10262031006565</v>
      </c>
    </row>
    <row r="6209" customFormat="false" ht="15.75" hidden="false" customHeight="false" outlineLevel="0" collapsed="false">
      <c r="A6209" s="1" t="s">
        <v>1096</v>
      </c>
      <c r="B6209" s="1" t="n">
        <v>467.65</v>
      </c>
      <c r="C6209" s="1" t="n">
        <f aca="false">1/B6209</f>
        <v>0.0021383513311237</v>
      </c>
      <c r="D6209" s="1" t="n">
        <v>0.2978</v>
      </c>
      <c r="E6209" s="1" t="n">
        <f aca="false">LN(D6209)</f>
        <v>-1.21133315873223</v>
      </c>
    </row>
    <row r="6210" customFormat="false" ht="15.75" hidden="false" customHeight="false" outlineLevel="0" collapsed="false">
      <c r="A6210" s="1" t="s">
        <v>1096</v>
      </c>
      <c r="B6210" s="1" t="n">
        <v>483.65</v>
      </c>
      <c r="C6210" s="1" t="n">
        <f aca="false">1/B6210</f>
        <v>0.00206761087563321</v>
      </c>
      <c r="D6210" s="1" t="n">
        <v>0.2667</v>
      </c>
      <c r="E6210" s="1" t="n">
        <f aca="false">LN(D6210)</f>
        <v>-1.32163084779417</v>
      </c>
    </row>
    <row r="6211" customFormat="false" ht="15.75" hidden="false" customHeight="false" outlineLevel="0" collapsed="false">
      <c r="A6211" s="1" t="s">
        <v>1096</v>
      </c>
      <c r="B6211" s="1" t="n">
        <v>495.15</v>
      </c>
      <c r="C6211" s="1" t="n">
        <f aca="false">1/B6211</f>
        <v>0.00201959002322529</v>
      </c>
      <c r="D6211" s="1" t="n">
        <v>0.248</v>
      </c>
      <c r="E6211" s="1" t="n">
        <f aca="false">LN(D6211)</f>
        <v>-1.39432653281715</v>
      </c>
    </row>
    <row r="6212" customFormat="false" ht="15.75" hidden="false" customHeight="false" outlineLevel="0" collapsed="false">
      <c r="A6212" s="1" t="s">
        <v>136</v>
      </c>
      <c r="B6212" s="1" t="n">
        <v>298.15</v>
      </c>
      <c r="C6212" s="1" t="n">
        <f aca="false">1/B6212</f>
        <v>0.00335401643468053</v>
      </c>
      <c r="D6212" s="1" t="n">
        <v>2.493</v>
      </c>
      <c r="E6212" s="1" t="n">
        <f aca="false">LN(D6212)</f>
        <v>0.913486804541421</v>
      </c>
    </row>
    <row r="6213" customFormat="false" ht="15.75" hidden="false" customHeight="false" outlineLevel="0" collapsed="false">
      <c r="A6213" s="1" t="s">
        <v>136</v>
      </c>
      <c r="B6213" s="1" t="n">
        <v>308.15</v>
      </c>
      <c r="C6213" s="1" t="n">
        <f aca="false">1/B6213</f>
        <v>0.00324517280545189</v>
      </c>
      <c r="D6213" s="1" t="n">
        <v>2.041</v>
      </c>
      <c r="E6213" s="1" t="n">
        <f aca="false">LN(D6213)</f>
        <v>0.713439883827708</v>
      </c>
    </row>
    <row r="6214" customFormat="false" ht="15.75" hidden="false" customHeight="false" outlineLevel="0" collapsed="false">
      <c r="A6214" s="1" t="s">
        <v>136</v>
      </c>
      <c r="B6214" s="1" t="n">
        <v>318.15</v>
      </c>
      <c r="C6214" s="1" t="n">
        <f aca="false">1/B6214</f>
        <v>0.00314317146000314</v>
      </c>
      <c r="D6214" s="1" t="n">
        <v>1.718</v>
      </c>
      <c r="E6214" s="1" t="n">
        <f aca="false">LN(D6214)</f>
        <v>0.541160823562064</v>
      </c>
    </row>
    <row r="6215" customFormat="false" ht="15.75" hidden="false" customHeight="false" outlineLevel="0" collapsed="false">
      <c r="A6215" s="1" t="s">
        <v>1098</v>
      </c>
      <c r="B6215" s="1" t="n">
        <v>283.15</v>
      </c>
      <c r="C6215" s="1" t="n">
        <f aca="false">1/B6215</f>
        <v>0.00353169698039908</v>
      </c>
      <c r="D6215" s="1" t="n">
        <v>5.5556</v>
      </c>
      <c r="E6215" s="1" t="n">
        <f aca="false">LN(D6215)</f>
        <v>1.71480642805993</v>
      </c>
    </row>
    <row r="6216" customFormat="false" ht="15.75" hidden="false" customHeight="false" outlineLevel="0" collapsed="false">
      <c r="A6216" s="1" t="s">
        <v>1098</v>
      </c>
      <c r="B6216" s="1" t="n">
        <v>288.15</v>
      </c>
      <c r="C6216" s="1" t="n">
        <f aca="false">1/B6216</f>
        <v>0.00347041471455839</v>
      </c>
      <c r="D6216" s="1" t="n">
        <v>4.7619</v>
      </c>
      <c r="E6216" s="1" t="n">
        <f aca="false">LN(D6216)</f>
        <v>1.56064674826417</v>
      </c>
    </row>
    <row r="6217" customFormat="false" ht="15.75" hidden="false" customHeight="false" outlineLevel="0" collapsed="false">
      <c r="A6217" s="1" t="s">
        <v>1098</v>
      </c>
      <c r="B6217" s="1" t="n">
        <v>293.15</v>
      </c>
      <c r="C6217" s="1" t="n">
        <f aca="false">1/B6217</f>
        <v>0.00341122292341805</v>
      </c>
      <c r="D6217" s="1" t="n">
        <v>4.065</v>
      </c>
      <c r="E6217" s="1" t="n">
        <f aca="false">LN(D6217)</f>
        <v>1.40241374299977</v>
      </c>
    </row>
    <row r="6218" customFormat="false" ht="15.75" hidden="false" customHeight="false" outlineLevel="0" collapsed="false">
      <c r="A6218" s="1" t="s">
        <v>1098</v>
      </c>
      <c r="B6218" s="1" t="n">
        <v>303.15</v>
      </c>
      <c r="C6218" s="1" t="n">
        <f aca="false">1/B6218</f>
        <v>0.0032986970146792</v>
      </c>
      <c r="D6218" s="1" t="n">
        <v>3.1348</v>
      </c>
      <c r="E6218" s="1" t="n">
        <f aca="false">LN(D6218)</f>
        <v>1.14256537619657</v>
      </c>
    </row>
    <row r="6219" customFormat="false" ht="15.75" hidden="false" customHeight="false" outlineLevel="0" collapsed="false">
      <c r="A6219" s="1" t="s">
        <v>1098</v>
      </c>
      <c r="B6219" s="1" t="n">
        <v>308.15</v>
      </c>
      <c r="C6219" s="1" t="n">
        <f aca="false">1/B6219</f>
        <v>0.00324517280545189</v>
      </c>
      <c r="D6219" s="1" t="n">
        <v>2.7778</v>
      </c>
      <c r="E6219" s="1" t="n">
        <f aca="false">LN(D6219)</f>
        <v>1.02165924749998</v>
      </c>
    </row>
    <row r="6220" customFormat="false" ht="15.75" hidden="false" customHeight="false" outlineLevel="0" collapsed="false">
      <c r="A6220" s="1" t="s">
        <v>1098</v>
      </c>
      <c r="B6220" s="1" t="n">
        <v>313.15</v>
      </c>
      <c r="C6220" s="1" t="n">
        <f aca="false">1/B6220</f>
        <v>0.00319335781574325</v>
      </c>
      <c r="D6220" s="1" t="n">
        <v>2.457</v>
      </c>
      <c r="E6220" s="1" t="n">
        <f aca="false">LN(D6220)</f>
        <v>0.898941093539042</v>
      </c>
    </row>
    <row r="6221" customFormat="false" ht="15.75" hidden="false" customHeight="false" outlineLevel="0" collapsed="false">
      <c r="A6221" s="1" t="s">
        <v>1098</v>
      </c>
      <c r="B6221" s="1" t="n">
        <v>323.15</v>
      </c>
      <c r="C6221" s="1" t="n">
        <f aca="false">1/B6221</f>
        <v>0.00309453814018258</v>
      </c>
      <c r="D6221" s="1" t="n">
        <v>2.0284</v>
      </c>
      <c r="E6221" s="1" t="n">
        <f aca="false">LN(D6221)</f>
        <v>0.707247304938727</v>
      </c>
    </row>
    <row r="6222" customFormat="false" ht="15.75" hidden="false" customHeight="false" outlineLevel="0" collapsed="false">
      <c r="A6222" s="1" t="s">
        <v>1098</v>
      </c>
      <c r="B6222" s="1" t="n">
        <v>328.15</v>
      </c>
      <c r="C6222" s="1" t="n">
        <f aca="false">1/B6222</f>
        <v>0.00304738686576261</v>
      </c>
      <c r="D6222" s="1" t="n">
        <v>1.8315</v>
      </c>
      <c r="E6222" s="1" t="n">
        <f aca="false">LN(D6222)</f>
        <v>0.605135303236732</v>
      </c>
    </row>
    <row r="6223" customFormat="false" ht="15.75" hidden="false" customHeight="false" outlineLevel="0" collapsed="false">
      <c r="A6223" s="1" t="s">
        <v>1098</v>
      </c>
      <c r="B6223" s="1" t="n">
        <v>333.15</v>
      </c>
      <c r="C6223" s="1" t="n">
        <f aca="false">1/B6223</f>
        <v>0.0030016509079994</v>
      </c>
      <c r="D6223" s="1" t="n">
        <v>1.7094</v>
      </c>
      <c r="E6223" s="1" t="n">
        <f aca="false">LN(D6223)</f>
        <v>0.536142431749781</v>
      </c>
    </row>
    <row r="6224" customFormat="false" ht="15.75" hidden="false" customHeight="false" outlineLevel="0" collapsed="false">
      <c r="A6224" s="1" t="s">
        <v>1098</v>
      </c>
      <c r="B6224" s="1" t="n">
        <v>298.15</v>
      </c>
      <c r="C6224" s="1" t="n">
        <f aca="false">1/B6224</f>
        <v>0.00335401643468053</v>
      </c>
      <c r="D6224" s="1" t="n">
        <v>3.5461</v>
      </c>
      <c r="E6224" s="1" t="n">
        <f aca="false">LN(D6224)</f>
        <v>1.265848408044</v>
      </c>
    </row>
    <row r="6225" customFormat="false" ht="15.75" hidden="false" customHeight="false" outlineLevel="0" collapsed="false">
      <c r="A6225" s="1" t="s">
        <v>1098</v>
      </c>
      <c r="B6225" s="1" t="n">
        <v>318.15</v>
      </c>
      <c r="C6225" s="1" t="n">
        <f aca="false">1/B6225</f>
        <v>0.00314317146000314</v>
      </c>
      <c r="D6225" s="1" t="n">
        <v>2.2075</v>
      </c>
      <c r="E6225" s="1" t="n">
        <f aca="false">LN(D6225)</f>
        <v>0.791860653495978</v>
      </c>
    </row>
    <row r="6226" customFormat="false" ht="15.75" hidden="false" customHeight="false" outlineLevel="0" collapsed="false">
      <c r="A6226" s="1" t="s">
        <v>1100</v>
      </c>
      <c r="B6226" s="1" t="n">
        <v>281.464</v>
      </c>
      <c r="C6226" s="1" t="n">
        <f aca="false">1/B6226</f>
        <v>0.00355285222977006</v>
      </c>
      <c r="D6226" s="1" t="n">
        <v>0.7513</v>
      </c>
      <c r="E6226" s="1" t="n">
        <f aca="false">LN(D6226)</f>
        <v>-0.285950239607022</v>
      </c>
    </row>
    <row r="6227" customFormat="false" ht="15.75" hidden="false" customHeight="false" outlineLevel="0" collapsed="false">
      <c r="A6227" s="1" t="s">
        <v>1100</v>
      </c>
      <c r="B6227" s="1" t="n">
        <v>293.67</v>
      </c>
      <c r="C6227" s="1" t="n">
        <f aca="false">1/B6227</f>
        <v>0.00340518268805121</v>
      </c>
      <c r="D6227" s="1" t="n">
        <v>0.6387</v>
      </c>
      <c r="E6227" s="1" t="n">
        <f aca="false">LN(D6227)</f>
        <v>-0.448320418414594</v>
      </c>
    </row>
    <row r="6228" customFormat="false" ht="15.75" hidden="false" customHeight="false" outlineLevel="0" collapsed="false">
      <c r="A6228" s="1" t="s">
        <v>1100</v>
      </c>
      <c r="B6228" s="1" t="n">
        <v>304.35</v>
      </c>
      <c r="C6228" s="1" t="n">
        <f aca="false">1/B6228</f>
        <v>0.00328569081649417</v>
      </c>
      <c r="D6228" s="1" t="n">
        <v>0.5611</v>
      </c>
      <c r="E6228" s="1" t="n">
        <f aca="false">LN(D6228)</f>
        <v>-0.577856136225211</v>
      </c>
    </row>
    <row r="6229" customFormat="false" ht="15.75" hidden="false" customHeight="false" outlineLevel="0" collapsed="false">
      <c r="A6229" s="1" t="s">
        <v>1100</v>
      </c>
      <c r="B6229" s="1" t="n">
        <v>315.07</v>
      </c>
      <c r="C6229" s="1" t="n">
        <f aca="false">1/B6229</f>
        <v>0.00317389786396674</v>
      </c>
      <c r="D6229" s="1" t="n">
        <v>0.4875</v>
      </c>
      <c r="E6229" s="1" t="n">
        <f aca="false">LN(D6229)</f>
        <v>-0.718464988544235</v>
      </c>
    </row>
    <row r="6230" customFormat="false" ht="15.75" hidden="false" customHeight="false" outlineLevel="0" collapsed="false">
      <c r="A6230" s="1" t="s">
        <v>1100</v>
      </c>
      <c r="B6230" s="1" t="n">
        <v>326.76</v>
      </c>
      <c r="C6230" s="1" t="n">
        <f aca="false">1/B6230</f>
        <v>0.0030603501040519</v>
      </c>
      <c r="D6230" s="1" t="n">
        <v>0.441</v>
      </c>
      <c r="E6230" s="1" t="n">
        <f aca="false">LN(D6230)</f>
        <v>-0.818710403535291</v>
      </c>
    </row>
    <row r="6231" customFormat="false" ht="15.75" hidden="false" customHeight="false" outlineLevel="0" collapsed="false">
      <c r="A6231" s="1" t="s">
        <v>1100</v>
      </c>
      <c r="B6231" s="1" t="n">
        <v>341.57</v>
      </c>
      <c r="C6231" s="1" t="n">
        <f aca="false">1/B6231</f>
        <v>0.00292765758116931</v>
      </c>
      <c r="D6231" s="1" t="n">
        <v>0.3958</v>
      </c>
      <c r="E6231" s="1" t="n">
        <f aca="false">LN(D6231)</f>
        <v>-0.926846245813672</v>
      </c>
    </row>
    <row r="6232" customFormat="false" ht="15.75" hidden="false" customHeight="false" outlineLevel="0" collapsed="false">
      <c r="A6232" s="1" t="s">
        <v>1100</v>
      </c>
      <c r="B6232" s="1" t="n">
        <v>350.53</v>
      </c>
      <c r="C6232" s="1" t="n">
        <f aca="false">1/B6232</f>
        <v>0.00285282286822811</v>
      </c>
      <c r="D6232" s="1" t="n">
        <v>0.3503</v>
      </c>
      <c r="E6232" s="1" t="n">
        <f aca="false">LN(D6232)</f>
        <v>-1.0489653487787</v>
      </c>
    </row>
    <row r="6233" customFormat="false" ht="15.75" hidden="false" customHeight="false" outlineLevel="0" collapsed="false">
      <c r="A6233" s="1" t="s">
        <v>1100</v>
      </c>
      <c r="B6233" s="1" t="n">
        <v>363.03</v>
      </c>
      <c r="C6233" s="1" t="n">
        <f aca="false">1/B6233</f>
        <v>0.00275459328430157</v>
      </c>
      <c r="D6233" s="1" t="n">
        <v>0.3197</v>
      </c>
      <c r="E6233" s="1" t="n">
        <f aca="false">LN(D6233)</f>
        <v>-1.14037222291634</v>
      </c>
    </row>
    <row r="6234" customFormat="false" ht="15.75" hidden="false" customHeight="false" outlineLevel="0" collapsed="false">
      <c r="A6234" s="1" t="s">
        <v>1100</v>
      </c>
      <c r="B6234" s="1" t="n">
        <v>373.96</v>
      </c>
      <c r="C6234" s="1" t="n">
        <f aca="false">1/B6234</f>
        <v>0.00267408278960317</v>
      </c>
      <c r="D6234" s="1" t="n">
        <v>0.2903</v>
      </c>
      <c r="E6234" s="1" t="n">
        <f aca="false">LN(D6234)</f>
        <v>-1.23684040795155</v>
      </c>
    </row>
    <row r="6235" customFormat="false" ht="15.75" hidden="false" customHeight="false" outlineLevel="0" collapsed="false">
      <c r="A6235" s="1" t="s">
        <v>1100</v>
      </c>
      <c r="B6235" s="1" t="n">
        <v>384.91</v>
      </c>
      <c r="C6235" s="1" t="n">
        <f aca="false">1/B6235</f>
        <v>0.00259800992439791</v>
      </c>
      <c r="D6235" s="1" t="n">
        <v>0.2665</v>
      </c>
      <c r="E6235" s="1" t="n">
        <f aca="false">LN(D6235)</f>
        <v>-1.32238103537624</v>
      </c>
    </row>
    <row r="6236" customFormat="false" ht="15.75" hidden="false" customHeight="false" outlineLevel="0" collapsed="false">
      <c r="A6236" s="1" t="s">
        <v>1100</v>
      </c>
      <c r="B6236" s="1" t="n">
        <v>396.98</v>
      </c>
      <c r="C6236" s="1" t="n">
        <f aca="false">1/B6236</f>
        <v>0.0025190185903572</v>
      </c>
      <c r="D6236" s="1" t="n">
        <v>0.2447</v>
      </c>
      <c r="E6236" s="1" t="n">
        <f aca="false">LN(D6236)</f>
        <v>-1.40772230853351</v>
      </c>
    </row>
    <row r="6237" customFormat="false" ht="15.75" hidden="false" customHeight="false" outlineLevel="0" collapsed="false">
      <c r="A6237" s="1" t="s">
        <v>1100</v>
      </c>
      <c r="B6237" s="1" t="n">
        <v>408.34</v>
      </c>
      <c r="C6237" s="1" t="n">
        <f aca="false">1/B6237</f>
        <v>0.00244893960914924</v>
      </c>
      <c r="D6237" s="1" t="n">
        <v>0.2249</v>
      </c>
      <c r="E6237" s="1" t="n">
        <f aca="false">LN(D6237)</f>
        <v>-1.49209942001687</v>
      </c>
    </row>
    <row r="6238" customFormat="false" ht="15.75" hidden="false" customHeight="false" outlineLevel="0" collapsed="false">
      <c r="A6238" s="1" t="s">
        <v>1100</v>
      </c>
      <c r="B6238" s="1" t="n">
        <v>303.158</v>
      </c>
      <c r="C6238" s="1" t="n">
        <f aca="false">1/B6238</f>
        <v>0.00329860996576043</v>
      </c>
      <c r="D6238" s="1" t="n">
        <v>0.568</v>
      </c>
      <c r="E6238" s="1" t="n">
        <f aca="false">LN(D6238)</f>
        <v>-0.565633860260986</v>
      </c>
    </row>
    <row r="6239" customFormat="false" ht="15.75" hidden="false" customHeight="false" outlineLevel="0" collapsed="false">
      <c r="A6239" s="1" t="s">
        <v>1100</v>
      </c>
      <c r="B6239" s="1" t="n">
        <v>298.15192</v>
      </c>
      <c r="C6239" s="1" t="n">
        <f aca="false">1/B6239</f>
        <v>0.00335399483592123</v>
      </c>
      <c r="D6239" s="1" t="n">
        <v>0.613</v>
      </c>
      <c r="E6239" s="1" t="n">
        <f aca="false">LN(D6239)</f>
        <v>-0.489390343045926</v>
      </c>
    </row>
    <row r="6240" customFormat="false" ht="15.75" hidden="false" customHeight="false" outlineLevel="0" collapsed="false">
      <c r="A6240" s="1" t="s">
        <v>1100</v>
      </c>
      <c r="B6240" s="1" t="n">
        <v>303.15</v>
      </c>
      <c r="C6240" s="1" t="n">
        <f aca="false">1/B6240</f>
        <v>0.0032986970146792</v>
      </c>
      <c r="D6240" s="1" t="n">
        <v>0.574</v>
      </c>
      <c r="E6240" s="1" t="n">
        <f aca="false">LN(D6240)</f>
        <v>-0.555125882662571</v>
      </c>
    </row>
    <row r="6241" customFormat="false" ht="15.75" hidden="false" customHeight="false" outlineLevel="0" collapsed="false">
      <c r="A6241" s="1" t="s">
        <v>1100</v>
      </c>
      <c r="B6241" s="1" t="n">
        <v>308.15</v>
      </c>
      <c r="C6241" s="1" t="n">
        <f aca="false">1/B6241</f>
        <v>0.00324517280545189</v>
      </c>
      <c r="D6241" s="1" t="n">
        <v>0.542</v>
      </c>
      <c r="E6241" s="1" t="n">
        <f aca="false">LN(D6241)</f>
        <v>-0.612489277542491</v>
      </c>
    </row>
    <row r="6242" customFormat="false" ht="15.75" hidden="false" customHeight="false" outlineLevel="0" collapsed="false">
      <c r="A6242" s="1" t="s">
        <v>1102</v>
      </c>
      <c r="B6242" s="1" t="n">
        <v>452.95</v>
      </c>
      <c r="C6242" s="1" t="n">
        <f aca="false">1/B6242</f>
        <v>0.00220774919969091</v>
      </c>
      <c r="D6242" s="1" t="n">
        <v>1.28</v>
      </c>
      <c r="E6242" s="1" t="n">
        <f aca="false">LN(D6242)</f>
        <v>0.246860077931526</v>
      </c>
    </row>
    <row r="6243" customFormat="false" ht="15.75" hidden="false" customHeight="false" outlineLevel="0" collapsed="false">
      <c r="A6243" s="1" t="s">
        <v>1102</v>
      </c>
      <c r="B6243" s="1" t="n">
        <v>463.15</v>
      </c>
      <c r="C6243" s="1" t="n">
        <f aca="false">1/B6243</f>
        <v>0.00215912771240419</v>
      </c>
      <c r="D6243" s="1" t="n">
        <v>1.142</v>
      </c>
      <c r="E6243" s="1" t="n">
        <f aca="false">LN(D6243)</f>
        <v>0.132781111233818</v>
      </c>
    </row>
    <row r="6244" customFormat="false" ht="15.75" hidden="false" customHeight="false" outlineLevel="0" collapsed="false">
      <c r="A6244" s="1" t="s">
        <v>1102</v>
      </c>
      <c r="B6244" s="1" t="n">
        <v>473.25</v>
      </c>
      <c r="C6244" s="1" t="n">
        <f aca="false">1/B6244</f>
        <v>0.00211304807184363</v>
      </c>
      <c r="D6244" s="1" t="n">
        <v>1.029</v>
      </c>
      <c r="E6244" s="1" t="n">
        <f aca="false">LN(D6244)</f>
        <v>0.0285874568519125</v>
      </c>
    </row>
    <row r="6245" customFormat="false" ht="15.75" hidden="false" customHeight="false" outlineLevel="0" collapsed="false">
      <c r="A6245" s="1" t="s">
        <v>1102</v>
      </c>
      <c r="B6245" s="1" t="n">
        <v>483.05</v>
      </c>
      <c r="C6245" s="1" t="n">
        <f aca="false">1/B6245</f>
        <v>0.0020701790704896</v>
      </c>
      <c r="D6245" s="1" t="n">
        <v>0.924</v>
      </c>
      <c r="E6245" s="1" t="n">
        <f aca="false">LN(D6245)</f>
        <v>-0.0790432073404529</v>
      </c>
    </row>
    <row r="6246" customFormat="false" ht="15.75" hidden="false" customHeight="false" outlineLevel="0" collapsed="false">
      <c r="A6246" s="1" t="s">
        <v>1102</v>
      </c>
      <c r="B6246" s="1" t="n">
        <v>493.35</v>
      </c>
      <c r="C6246" s="1" t="n">
        <f aca="false">1/B6246</f>
        <v>0.00202695854869768</v>
      </c>
      <c r="D6246" s="1" t="n">
        <v>0.839</v>
      </c>
      <c r="E6246" s="1" t="n">
        <f aca="false">LN(D6246)</f>
        <v>-0.175544572514931</v>
      </c>
    </row>
    <row r="6247" customFormat="false" ht="15.75" hidden="false" customHeight="false" outlineLevel="0" collapsed="false">
      <c r="A6247" s="1" t="s">
        <v>1102</v>
      </c>
      <c r="B6247" s="1" t="n">
        <v>503.05</v>
      </c>
      <c r="C6247" s="1" t="n">
        <f aca="false">1/B6247</f>
        <v>0.00198787396879038</v>
      </c>
      <c r="D6247" s="1" t="n">
        <v>0.767</v>
      </c>
      <c r="E6247" s="1" t="n">
        <f aca="false">LN(D6247)</f>
        <v>-0.265268477614881</v>
      </c>
    </row>
    <row r="6248" customFormat="false" ht="15.75" hidden="false" customHeight="false" outlineLevel="0" collapsed="false">
      <c r="A6248" s="1" t="s">
        <v>1104</v>
      </c>
      <c r="B6248" s="1" t="n">
        <v>273.1543</v>
      </c>
      <c r="C6248" s="1" t="n">
        <f aca="false">1/B6248</f>
        <v>0.00366093449746169</v>
      </c>
      <c r="D6248" s="1" t="n">
        <v>1.323</v>
      </c>
      <c r="E6248" s="1" t="n">
        <f aca="false">LN(D6248)</f>
        <v>0.279901885132819</v>
      </c>
    </row>
    <row r="6249" customFormat="false" ht="15.75" hidden="false" customHeight="false" outlineLevel="0" collapsed="false">
      <c r="A6249" s="1" t="s">
        <v>1104</v>
      </c>
      <c r="B6249" s="1" t="n">
        <v>283.15</v>
      </c>
      <c r="C6249" s="1" t="n">
        <f aca="false">1/B6249</f>
        <v>0.00353169698039908</v>
      </c>
      <c r="D6249" s="1" t="n">
        <v>1.108</v>
      </c>
      <c r="E6249" s="1" t="n">
        <f aca="false">LN(D6249)</f>
        <v>0.102556588325092</v>
      </c>
    </row>
    <row r="6250" customFormat="false" ht="15.75" hidden="false" customHeight="false" outlineLevel="0" collapsed="false">
      <c r="A6250" s="1" t="s">
        <v>1104</v>
      </c>
      <c r="B6250" s="1" t="n">
        <v>293.15</v>
      </c>
      <c r="C6250" s="1" t="n">
        <f aca="false">1/B6250</f>
        <v>0.00341122292341805</v>
      </c>
      <c r="D6250" s="1" t="n">
        <v>0.941</v>
      </c>
      <c r="E6250" s="1" t="n">
        <f aca="false">LN(D6250)</f>
        <v>-0.0608121393967575</v>
      </c>
    </row>
    <row r="6251" customFormat="false" ht="15.75" hidden="false" customHeight="false" outlineLevel="0" collapsed="false">
      <c r="A6251" s="1" t="s">
        <v>1104</v>
      </c>
      <c r="B6251" s="1" t="n">
        <v>303.15</v>
      </c>
      <c r="C6251" s="1" t="n">
        <f aca="false">1/B6251</f>
        <v>0.0032986970146792</v>
      </c>
      <c r="D6251" s="1" t="n">
        <v>0.821</v>
      </c>
      <c r="E6251" s="1" t="n">
        <f aca="false">LN(D6251)</f>
        <v>-0.197232169529709</v>
      </c>
    </row>
    <row r="6252" customFormat="false" ht="15.75" hidden="false" customHeight="false" outlineLevel="0" collapsed="false">
      <c r="A6252" s="1" t="s">
        <v>1104</v>
      </c>
      <c r="B6252" s="1" t="n">
        <v>333.15</v>
      </c>
      <c r="C6252" s="1" t="n">
        <f aca="false">1/B6252</f>
        <v>0.0030016509079994</v>
      </c>
      <c r="D6252" s="1" t="n">
        <v>0.578</v>
      </c>
      <c r="E6252" s="1" t="n">
        <f aca="false">LN(D6252)</f>
        <v>-0.54818141030976</v>
      </c>
    </row>
    <row r="6253" customFormat="false" ht="15.75" hidden="false" customHeight="false" outlineLevel="0" collapsed="false">
      <c r="A6253" s="1" t="s">
        <v>1104</v>
      </c>
      <c r="B6253" s="1" t="n">
        <v>353.15</v>
      </c>
      <c r="C6253" s="1" t="n">
        <f aca="false">1/B6253</f>
        <v>0.00283165793572137</v>
      </c>
      <c r="D6253" s="1" t="n">
        <v>0.487</v>
      </c>
      <c r="E6253" s="1" t="n">
        <f aca="false">LN(D6253)</f>
        <v>-0.719491155899547</v>
      </c>
    </row>
    <row r="6254" customFormat="false" ht="15.75" hidden="false" customHeight="false" outlineLevel="0" collapsed="false">
      <c r="A6254" s="1" t="s">
        <v>1104</v>
      </c>
      <c r="B6254" s="1" t="n">
        <v>383.15</v>
      </c>
      <c r="C6254" s="1" t="n">
        <f aca="false">1/B6254</f>
        <v>0.00260994388620645</v>
      </c>
      <c r="D6254" s="1" t="n">
        <v>0.385</v>
      </c>
      <c r="E6254" s="1" t="n">
        <f aca="false">LN(D6254)</f>
        <v>-0.954511944694353</v>
      </c>
    </row>
    <row r="6255" customFormat="false" ht="15.75" hidden="false" customHeight="false" outlineLevel="0" collapsed="false">
      <c r="A6255" s="1" t="s">
        <v>1104</v>
      </c>
      <c r="B6255" s="1" t="n">
        <v>288.1511</v>
      </c>
      <c r="C6255" s="1" t="n">
        <f aca="false">1/B6255</f>
        <v>0.00347040146645284</v>
      </c>
      <c r="D6255" s="1" t="n">
        <v>1.038</v>
      </c>
      <c r="E6255" s="1" t="n">
        <f aca="false">LN(D6255)</f>
        <v>0.0372957847436969</v>
      </c>
    </row>
    <row r="6256" customFormat="false" ht="15.75" hidden="false" customHeight="false" outlineLevel="0" collapsed="false">
      <c r="A6256" s="1" t="s">
        <v>1104</v>
      </c>
      <c r="B6256" s="1" t="n">
        <v>303.15</v>
      </c>
      <c r="C6256" s="1" t="n">
        <f aca="false">1/B6256</f>
        <v>0.0032986970146792</v>
      </c>
      <c r="D6256" s="1" t="n">
        <v>0.829</v>
      </c>
      <c r="E6256" s="1" t="n">
        <f aca="false">LN(D6256)</f>
        <v>-0.187535123846842</v>
      </c>
    </row>
    <row r="6257" customFormat="false" ht="15.75" hidden="false" customHeight="false" outlineLevel="0" collapsed="false">
      <c r="A6257" s="1" t="s">
        <v>1104</v>
      </c>
      <c r="B6257" s="1" t="n">
        <v>273.15156</v>
      </c>
      <c r="C6257" s="1" t="n">
        <f aca="false">1/B6257</f>
        <v>0.00366097122051948</v>
      </c>
      <c r="D6257" s="1" t="n">
        <v>1.36</v>
      </c>
      <c r="E6257" s="1" t="n">
        <f aca="false">LN(D6257)</f>
        <v>0.307484699747961</v>
      </c>
    </row>
    <row r="6258" customFormat="false" ht="15.75" hidden="false" customHeight="false" outlineLevel="0" collapsed="false">
      <c r="A6258" s="1" t="s">
        <v>1104</v>
      </c>
      <c r="B6258" s="1" t="n">
        <v>283.15</v>
      </c>
      <c r="C6258" s="1" t="n">
        <f aca="false">1/B6258</f>
        <v>0.00353169698039908</v>
      </c>
      <c r="D6258" s="1" t="n">
        <v>1.13</v>
      </c>
      <c r="E6258" s="1" t="n">
        <f aca="false">LN(D6258)</f>
        <v>0.122217632724249</v>
      </c>
    </row>
    <row r="6259" customFormat="false" ht="15.75" hidden="false" customHeight="false" outlineLevel="0" collapsed="false">
      <c r="A6259" s="1" t="s">
        <v>1104</v>
      </c>
      <c r="B6259" s="1" t="n">
        <v>293.15</v>
      </c>
      <c r="C6259" s="1" t="n">
        <f aca="false">1/B6259</f>
        <v>0.00341122292341805</v>
      </c>
      <c r="D6259" s="1" t="n">
        <v>0.958</v>
      </c>
      <c r="E6259" s="1" t="n">
        <f aca="false">LN(D6259)</f>
        <v>-0.0429075010112766</v>
      </c>
    </row>
    <row r="6260" customFormat="false" ht="15.75" hidden="false" customHeight="false" outlineLevel="0" collapsed="false">
      <c r="A6260" s="1" t="s">
        <v>1104</v>
      </c>
      <c r="B6260" s="1" t="n">
        <v>303.15</v>
      </c>
      <c r="C6260" s="1" t="n">
        <f aca="false">1/B6260</f>
        <v>0.0032986970146792</v>
      </c>
      <c r="D6260" s="1" t="n">
        <v>0.829</v>
      </c>
      <c r="E6260" s="1" t="n">
        <f aca="false">LN(D6260)</f>
        <v>-0.187535123846842</v>
      </c>
    </row>
    <row r="6261" customFormat="false" ht="15.75" hidden="false" customHeight="false" outlineLevel="0" collapsed="false">
      <c r="A6261" s="1" t="s">
        <v>1104</v>
      </c>
      <c r="B6261" s="1" t="n">
        <v>313.15</v>
      </c>
      <c r="C6261" s="1" t="n">
        <f aca="false">1/B6261</f>
        <v>0.00319335781574325</v>
      </c>
      <c r="D6261" s="1" t="n">
        <v>0.724</v>
      </c>
      <c r="E6261" s="1" t="n">
        <f aca="false">LN(D6261)</f>
        <v>-0.322963886596421</v>
      </c>
    </row>
    <row r="6262" customFormat="false" ht="15.75" hidden="false" customHeight="false" outlineLevel="0" collapsed="false">
      <c r="A6262" s="1" t="s">
        <v>1104</v>
      </c>
      <c r="B6262" s="1" t="n">
        <v>323.15</v>
      </c>
      <c r="C6262" s="1" t="n">
        <f aca="false">1/B6262</f>
        <v>0.00309453814018258</v>
      </c>
      <c r="D6262" s="1" t="n">
        <v>0.639</v>
      </c>
      <c r="E6262" s="1" t="n">
        <f aca="false">LN(D6262)</f>
        <v>-0.447850824604602</v>
      </c>
    </row>
    <row r="6263" customFormat="false" ht="15.75" hidden="false" customHeight="false" outlineLevel="0" collapsed="false">
      <c r="A6263" s="1" t="s">
        <v>1104</v>
      </c>
      <c r="B6263" s="1" t="n">
        <v>333.15</v>
      </c>
      <c r="C6263" s="1" t="n">
        <f aca="false">1/B6263</f>
        <v>0.0030016509079994</v>
      </c>
      <c r="D6263" s="1" t="n">
        <v>0.569</v>
      </c>
      <c r="E6263" s="1" t="n">
        <f aca="false">LN(D6263)</f>
        <v>-0.563874844855806</v>
      </c>
    </row>
    <row r="6264" customFormat="false" ht="15.75" hidden="false" customHeight="false" outlineLevel="0" collapsed="false">
      <c r="A6264" s="1" t="s">
        <v>1104</v>
      </c>
      <c r="B6264" s="1" t="n">
        <v>343.15</v>
      </c>
      <c r="C6264" s="1" t="n">
        <f aca="false">1/B6264</f>
        <v>0.00291417747340813</v>
      </c>
      <c r="D6264" s="1" t="n">
        <v>0.508</v>
      </c>
      <c r="E6264" s="1" t="n">
        <f aca="false">LN(D6264)</f>
        <v>-0.677273831403655</v>
      </c>
    </row>
    <row r="6265" customFormat="false" ht="15.75" hidden="false" customHeight="false" outlineLevel="0" collapsed="false">
      <c r="A6265" s="1" t="s">
        <v>1104</v>
      </c>
      <c r="B6265" s="1" t="n">
        <v>353.15</v>
      </c>
      <c r="C6265" s="1" t="n">
        <f aca="false">1/B6265</f>
        <v>0.00283165793572137</v>
      </c>
      <c r="D6265" s="1" t="n">
        <v>0.462</v>
      </c>
      <c r="E6265" s="1" t="n">
        <f aca="false">LN(D6265)</f>
        <v>-0.772190387900398</v>
      </c>
    </row>
    <row r="6266" customFormat="false" ht="15.75" hidden="false" customHeight="false" outlineLevel="0" collapsed="false">
      <c r="A6266" s="1" t="s">
        <v>1106</v>
      </c>
      <c r="B6266" s="1" t="n">
        <v>343.15</v>
      </c>
      <c r="C6266" s="1" t="n">
        <f aca="false">1/B6266</f>
        <v>0.00291417747340813</v>
      </c>
      <c r="D6266" s="1" t="n">
        <v>2.995</v>
      </c>
      <c r="E6266" s="1" t="n">
        <f aca="false">LN(D6266)</f>
        <v>1.09694423156741</v>
      </c>
    </row>
    <row r="6267" customFormat="false" ht="15.75" hidden="false" customHeight="false" outlineLevel="0" collapsed="false">
      <c r="A6267" s="1" t="s">
        <v>1106</v>
      </c>
      <c r="B6267" s="1" t="n">
        <v>348.15</v>
      </c>
      <c r="C6267" s="1" t="n">
        <f aca="false">1/B6267</f>
        <v>0.00287232514720666</v>
      </c>
      <c r="D6267" s="1" t="n">
        <v>2.734</v>
      </c>
      <c r="E6267" s="1" t="n">
        <f aca="false">LN(D6267)</f>
        <v>1.00576573830176</v>
      </c>
    </row>
    <row r="6268" customFormat="false" ht="15.75" hidden="false" customHeight="false" outlineLevel="0" collapsed="false">
      <c r="A6268" s="1" t="s">
        <v>1106</v>
      </c>
      <c r="B6268" s="1" t="n">
        <v>360.65</v>
      </c>
      <c r="C6268" s="1" t="n">
        <f aca="false">1/B6268</f>
        <v>0.00277277138499931</v>
      </c>
      <c r="D6268" s="1" t="n">
        <v>2.206</v>
      </c>
      <c r="E6268" s="1" t="n">
        <f aca="false">LN(D6268)</f>
        <v>0.791180920831311</v>
      </c>
    </row>
    <row r="6269" customFormat="false" ht="15.75" hidden="false" customHeight="false" outlineLevel="0" collapsed="false">
      <c r="A6269" s="1" t="s">
        <v>1106</v>
      </c>
      <c r="B6269" s="1" t="n">
        <v>383.15</v>
      </c>
      <c r="C6269" s="1" t="n">
        <f aca="false">1/B6269</f>
        <v>0.00260994388620645</v>
      </c>
      <c r="D6269" s="1" t="n">
        <v>1.834</v>
      </c>
      <c r="E6269" s="1" t="n">
        <f aca="false">LN(D6269)</f>
        <v>0.606499373834273</v>
      </c>
    </row>
    <row r="6270" customFormat="false" ht="15.75" hidden="false" customHeight="false" outlineLevel="0" collapsed="false">
      <c r="A6270" s="1" t="s">
        <v>1106</v>
      </c>
      <c r="B6270" s="1" t="n">
        <v>385.65</v>
      </c>
      <c r="C6270" s="1" t="n">
        <f aca="false">1/B6270</f>
        <v>0.00259302476338649</v>
      </c>
      <c r="D6270" s="1" t="n">
        <v>1.557</v>
      </c>
      <c r="E6270" s="1" t="n">
        <f aca="false">LN(D6270)</f>
        <v>0.442760892851861</v>
      </c>
    </row>
    <row r="6271" customFormat="false" ht="15.75" hidden="false" customHeight="false" outlineLevel="0" collapsed="false">
      <c r="A6271" s="1" t="s">
        <v>1106</v>
      </c>
      <c r="B6271" s="1" t="n">
        <v>398.15</v>
      </c>
      <c r="C6271" s="1" t="n">
        <f aca="false">1/B6271</f>
        <v>0.00251161622504081</v>
      </c>
      <c r="D6271" s="1" t="n">
        <v>1.333</v>
      </c>
      <c r="E6271" s="1" t="n">
        <f aca="false">LN(D6271)</f>
        <v>0.287432041196572</v>
      </c>
    </row>
    <row r="6272" customFormat="false" ht="15.75" hidden="false" customHeight="false" outlineLevel="0" collapsed="false">
      <c r="A6272" s="1" t="s">
        <v>1108</v>
      </c>
      <c r="B6272" s="1" t="n">
        <v>252.65</v>
      </c>
      <c r="C6272" s="1" t="n">
        <f aca="false">1/B6272</f>
        <v>0.0039580447259054</v>
      </c>
      <c r="D6272" s="1" t="n">
        <v>3.788</v>
      </c>
      <c r="E6272" s="1" t="n">
        <f aca="false">LN(D6272)</f>
        <v>1.33183817532383</v>
      </c>
    </row>
    <row r="6273" customFormat="false" ht="15.75" hidden="false" customHeight="false" outlineLevel="0" collapsed="false">
      <c r="A6273" s="1" t="s">
        <v>1108</v>
      </c>
      <c r="B6273" s="1" t="n">
        <v>263.45</v>
      </c>
      <c r="C6273" s="1" t="n">
        <f aca="false">1/B6273</f>
        <v>0.00379578667678876</v>
      </c>
      <c r="D6273" s="1" t="n">
        <v>2.702</v>
      </c>
      <c r="E6273" s="1" t="n">
        <f aca="false">LN(D6273)</f>
        <v>0.993992239538007</v>
      </c>
    </row>
    <row r="6274" customFormat="false" ht="15.75" hidden="false" customHeight="false" outlineLevel="0" collapsed="false">
      <c r="A6274" s="1" t="s">
        <v>1108</v>
      </c>
      <c r="B6274" s="1" t="n">
        <v>273.05</v>
      </c>
      <c r="C6274" s="1" t="n">
        <f aca="false">1/B6274</f>
        <v>0.00366233290606116</v>
      </c>
      <c r="D6274" s="1" t="n">
        <v>2.113</v>
      </c>
      <c r="E6274" s="1" t="n">
        <f aca="false">LN(D6274)</f>
        <v>0.74810873863392</v>
      </c>
    </row>
    <row r="6275" customFormat="false" ht="15.75" hidden="false" customHeight="false" outlineLevel="0" collapsed="false">
      <c r="A6275" s="1" t="s">
        <v>1108</v>
      </c>
      <c r="B6275" s="1" t="n">
        <v>283.25</v>
      </c>
      <c r="C6275" s="1" t="n">
        <f aca="false">1/B6275</f>
        <v>0.00353045013239188</v>
      </c>
      <c r="D6275" s="1" t="n">
        <v>1.608</v>
      </c>
      <c r="E6275" s="1" t="n">
        <f aca="false">LN(D6275)</f>
        <v>0.474991170756775</v>
      </c>
    </row>
    <row r="6276" customFormat="false" ht="15.75" hidden="false" customHeight="false" outlineLevel="0" collapsed="false">
      <c r="A6276" s="1" t="s">
        <v>1108</v>
      </c>
      <c r="B6276" s="1" t="n">
        <v>293.15</v>
      </c>
      <c r="C6276" s="1" t="n">
        <f aca="false">1/B6276</f>
        <v>0.00341122292341805</v>
      </c>
      <c r="D6276" s="1" t="n">
        <v>1.352</v>
      </c>
      <c r="E6276" s="1" t="n">
        <f aca="false">LN(D6276)</f>
        <v>0.301584977620772</v>
      </c>
    </row>
    <row r="6277" customFormat="false" ht="15.75" hidden="false" customHeight="false" outlineLevel="0" collapsed="false">
      <c r="A6277" s="1" t="s">
        <v>1108</v>
      </c>
      <c r="B6277" s="1" t="n">
        <v>303.15</v>
      </c>
      <c r="C6277" s="1" t="n">
        <f aca="false">1/B6277</f>
        <v>0.0032986970146792</v>
      </c>
      <c r="D6277" s="1" t="n">
        <v>1.132</v>
      </c>
      <c r="E6277" s="1" t="n">
        <f aca="false">LN(D6277)</f>
        <v>0.123985979780991</v>
      </c>
    </row>
    <row r="6278" customFormat="false" ht="15.75" hidden="false" customHeight="false" outlineLevel="0" collapsed="false">
      <c r="A6278" s="1" t="s">
        <v>1108</v>
      </c>
      <c r="B6278" s="1" t="n">
        <v>313.15</v>
      </c>
      <c r="C6278" s="1" t="n">
        <f aca="false">1/B6278</f>
        <v>0.00319335781574325</v>
      </c>
      <c r="D6278" s="1" t="n">
        <v>0.955</v>
      </c>
      <c r="E6278" s="1" t="n">
        <f aca="false">LN(D6278)</f>
        <v>-0.0460439385014069</v>
      </c>
    </row>
    <row r="6279" customFormat="false" ht="15.75" hidden="false" customHeight="false" outlineLevel="0" collapsed="false">
      <c r="A6279" s="1" t="s">
        <v>1108</v>
      </c>
      <c r="B6279" s="1" t="n">
        <v>323.15</v>
      </c>
      <c r="C6279" s="1" t="n">
        <f aca="false">1/B6279</f>
        <v>0.00309453814018258</v>
      </c>
      <c r="D6279" s="1" t="n">
        <v>0.829</v>
      </c>
      <c r="E6279" s="1" t="n">
        <f aca="false">LN(D6279)</f>
        <v>-0.187535123846842</v>
      </c>
    </row>
    <row r="6280" customFormat="false" ht="15.75" hidden="false" customHeight="false" outlineLevel="0" collapsed="false">
      <c r="A6280" s="1" t="s">
        <v>1108</v>
      </c>
      <c r="B6280" s="1" t="n">
        <v>333.15</v>
      </c>
      <c r="C6280" s="1" t="n">
        <f aca="false">1/B6280</f>
        <v>0.0030016509079994</v>
      </c>
      <c r="D6280" s="1" t="n">
        <v>0.728</v>
      </c>
      <c r="E6280" s="1" t="n">
        <f aca="false">LN(D6280)</f>
        <v>-0.317454230785451</v>
      </c>
    </row>
    <row r="6281" customFormat="false" ht="15.75" hidden="false" customHeight="false" outlineLevel="0" collapsed="false">
      <c r="A6281" s="1" t="s">
        <v>1108</v>
      </c>
      <c r="B6281" s="1" t="n">
        <v>343.55</v>
      </c>
      <c r="C6281" s="1" t="n">
        <f aca="false">1/B6281</f>
        <v>0.002910784456411</v>
      </c>
      <c r="D6281" s="1" t="n">
        <v>0.641</v>
      </c>
      <c r="E6281" s="1" t="n">
        <f aca="false">LN(D6281)</f>
        <v>-0.444725822061467</v>
      </c>
    </row>
    <row r="6282" customFormat="false" ht="15.75" hidden="false" customHeight="false" outlineLevel="0" collapsed="false">
      <c r="A6282" s="1" t="s">
        <v>1110</v>
      </c>
      <c r="B6282" s="1" t="n">
        <v>215.45</v>
      </c>
      <c r="C6282" s="1" t="n">
        <f aca="false">1/B6282</f>
        <v>0.00464144813181713</v>
      </c>
      <c r="D6282" s="1" t="n">
        <v>6.485</v>
      </c>
      <c r="E6282" s="1" t="n">
        <f aca="false">LN(D6282)</f>
        <v>1.86949181776841</v>
      </c>
    </row>
    <row r="6283" customFormat="false" ht="15.75" hidden="false" customHeight="false" outlineLevel="0" collapsed="false">
      <c r="A6283" s="1" t="s">
        <v>1110</v>
      </c>
      <c r="B6283" s="1" t="n">
        <v>221.15</v>
      </c>
      <c r="C6283" s="1" t="n">
        <f aca="false">1/B6283</f>
        <v>0.00452181777074384</v>
      </c>
      <c r="D6283" s="1" t="n">
        <v>4.865</v>
      </c>
      <c r="E6283" s="1" t="n">
        <f aca="false">LN(D6283)</f>
        <v>1.58206671563797</v>
      </c>
    </row>
    <row r="6284" customFormat="false" ht="15.75" hidden="false" customHeight="false" outlineLevel="0" collapsed="false">
      <c r="A6284" s="1" t="s">
        <v>1110</v>
      </c>
      <c r="B6284" s="1" t="n">
        <v>228.05</v>
      </c>
      <c r="C6284" s="1" t="n">
        <f aca="false">1/B6284</f>
        <v>0.00438500328875247</v>
      </c>
      <c r="D6284" s="1" t="n">
        <v>3.714</v>
      </c>
      <c r="E6284" s="1" t="n">
        <f aca="false">LN(D6284)</f>
        <v>1.31210946293051</v>
      </c>
    </row>
    <row r="6285" customFormat="false" ht="15.75" hidden="false" customHeight="false" outlineLevel="0" collapsed="false">
      <c r="A6285" s="1" t="s">
        <v>1110</v>
      </c>
      <c r="B6285" s="1" t="n">
        <v>234.15</v>
      </c>
      <c r="C6285" s="1" t="n">
        <f aca="false">1/B6285</f>
        <v>0.00427076660260517</v>
      </c>
      <c r="D6285" s="1" t="n">
        <v>2.946</v>
      </c>
      <c r="E6285" s="1" t="n">
        <f aca="false">LN(D6285)</f>
        <v>1.08044831804044</v>
      </c>
    </row>
    <row r="6286" customFormat="false" ht="15.75" hidden="false" customHeight="false" outlineLevel="0" collapsed="false">
      <c r="A6286" s="1" t="s">
        <v>1110</v>
      </c>
      <c r="B6286" s="1" t="n">
        <v>247.75</v>
      </c>
      <c r="C6286" s="1" t="n">
        <f aca="false">1/B6286</f>
        <v>0.00403632694248234</v>
      </c>
      <c r="D6286" s="1" t="n">
        <v>1.925</v>
      </c>
      <c r="E6286" s="1" t="n">
        <f aca="false">LN(D6286)</f>
        <v>0.654925967739748</v>
      </c>
    </row>
    <row r="6287" customFormat="false" ht="15.75" hidden="false" customHeight="false" outlineLevel="0" collapsed="false">
      <c r="A6287" s="1" t="s">
        <v>1110</v>
      </c>
      <c r="B6287" s="1" t="n">
        <v>253.55</v>
      </c>
      <c r="C6287" s="1" t="n">
        <f aca="false">1/B6287</f>
        <v>0.00394399526720568</v>
      </c>
      <c r="D6287" s="1" t="n">
        <v>1.661</v>
      </c>
      <c r="E6287" s="1" t="n">
        <f aca="false">LN(D6287)</f>
        <v>0.507419830631158</v>
      </c>
    </row>
    <row r="6288" customFormat="false" ht="15.75" hidden="false" customHeight="false" outlineLevel="0" collapsed="false">
      <c r="A6288" s="1" t="s">
        <v>1110</v>
      </c>
      <c r="B6288" s="1" t="n">
        <v>261.35</v>
      </c>
      <c r="C6288" s="1" t="n">
        <f aca="false">1/B6288</f>
        <v>0.00382628658886551</v>
      </c>
      <c r="D6288" s="1" t="n">
        <v>1.348</v>
      </c>
      <c r="E6288" s="1" t="n">
        <f aca="false">LN(D6288)</f>
        <v>0.298622012490115</v>
      </c>
    </row>
    <row r="6289" customFormat="false" ht="15.75" hidden="false" customHeight="false" outlineLevel="0" collapsed="false">
      <c r="A6289" s="1" t="s">
        <v>1110</v>
      </c>
      <c r="B6289" s="1" t="n">
        <v>270.05</v>
      </c>
      <c r="C6289" s="1" t="n">
        <f aca="false">1/B6289</f>
        <v>0.0037030179596371</v>
      </c>
      <c r="D6289" s="1" t="n">
        <v>1.14</v>
      </c>
      <c r="E6289" s="1" t="n">
        <f aca="false">LN(D6289)</f>
        <v>0.131028262406404</v>
      </c>
    </row>
    <row r="6290" customFormat="false" ht="15.75" hidden="false" customHeight="false" outlineLevel="0" collapsed="false">
      <c r="A6290" s="1" t="s">
        <v>1110</v>
      </c>
      <c r="B6290" s="1" t="n">
        <v>277.15</v>
      </c>
      <c r="C6290" s="1" t="n">
        <f aca="false">1/B6290</f>
        <v>0.00360815442900956</v>
      </c>
      <c r="D6290" s="1" t="n">
        <v>0.999</v>
      </c>
      <c r="E6290" s="1" t="n">
        <f aca="false">LN(D6290)</f>
        <v>-0.00100050033358353</v>
      </c>
    </row>
    <row r="6291" customFormat="false" ht="15.75" hidden="false" customHeight="false" outlineLevel="0" collapsed="false">
      <c r="A6291" s="1" t="s">
        <v>1110</v>
      </c>
      <c r="B6291" s="1" t="n">
        <v>293.15</v>
      </c>
      <c r="C6291" s="1" t="n">
        <f aca="false">1/B6291</f>
        <v>0.00341122292341805</v>
      </c>
      <c r="D6291" s="1" t="n">
        <v>0.756</v>
      </c>
      <c r="E6291" s="1" t="n">
        <f aca="false">LN(D6291)</f>
        <v>-0.279713902802604</v>
      </c>
    </row>
    <row r="6292" customFormat="false" ht="15.75" hidden="false" customHeight="false" outlineLevel="0" collapsed="false">
      <c r="A6292" s="1" t="s">
        <v>1110</v>
      </c>
      <c r="B6292" s="1" t="n">
        <v>303.15</v>
      </c>
      <c r="C6292" s="1" t="n">
        <f aca="false">1/B6292</f>
        <v>0.0032986970146792</v>
      </c>
      <c r="D6292" s="1" t="n">
        <v>0.655</v>
      </c>
      <c r="E6292" s="1" t="n">
        <f aca="false">LN(D6292)</f>
        <v>-0.423120043346885</v>
      </c>
    </row>
    <row r="6293" customFormat="false" ht="15.75" hidden="false" customHeight="false" outlineLevel="0" collapsed="false">
      <c r="A6293" s="1" t="s">
        <v>1110</v>
      </c>
      <c r="B6293" s="1" t="n">
        <v>319.05</v>
      </c>
      <c r="C6293" s="1" t="n">
        <f aca="false">1/B6293</f>
        <v>0.00313430496787337</v>
      </c>
      <c r="D6293" s="1" t="n">
        <v>0.539</v>
      </c>
      <c r="E6293" s="1" t="n">
        <f aca="false">LN(D6293)</f>
        <v>-0.61803970807314</v>
      </c>
    </row>
    <row r="6294" customFormat="false" ht="15.75" hidden="false" customHeight="false" outlineLevel="0" collapsed="false">
      <c r="A6294" s="1" t="s">
        <v>1110</v>
      </c>
      <c r="B6294" s="1" t="n">
        <v>327.15</v>
      </c>
      <c r="C6294" s="1" t="n">
        <f aca="false">1/B6294</f>
        <v>0.00305670181873758</v>
      </c>
      <c r="D6294" s="1" t="n">
        <v>0.491</v>
      </c>
      <c r="E6294" s="1" t="n">
        <f aca="false">LN(D6294)</f>
        <v>-0.711311151187616</v>
      </c>
    </row>
    <row r="6295" customFormat="false" ht="15.75" hidden="false" customHeight="false" outlineLevel="0" collapsed="false">
      <c r="A6295" s="1" t="s">
        <v>1110</v>
      </c>
      <c r="B6295" s="1" t="n">
        <v>241.05</v>
      </c>
      <c r="C6295" s="1" t="n">
        <f aca="false">1/B6295</f>
        <v>0.00414851690520639</v>
      </c>
      <c r="D6295" s="1" t="n">
        <v>2.339</v>
      </c>
      <c r="E6295" s="1" t="n">
        <f aca="false">LN(D6295)</f>
        <v>0.849723487602042</v>
      </c>
    </row>
    <row r="6296" customFormat="false" ht="15.75" hidden="false" customHeight="false" outlineLevel="0" collapsed="false">
      <c r="A6296" s="1" t="s">
        <v>1110</v>
      </c>
      <c r="B6296" s="1" t="n">
        <v>284.45</v>
      </c>
      <c r="C6296" s="1" t="n">
        <f aca="false">1/B6296</f>
        <v>0.0035155563367903</v>
      </c>
      <c r="D6296" s="1" t="n">
        <v>0.836</v>
      </c>
      <c r="E6296" s="1" t="n">
        <f aca="false">LN(D6296)</f>
        <v>-0.179126665897435</v>
      </c>
    </row>
    <row r="6297" customFormat="false" ht="15.75" hidden="false" customHeight="false" outlineLevel="0" collapsed="false">
      <c r="A6297" s="1" t="s">
        <v>1110</v>
      </c>
      <c r="B6297" s="1" t="n">
        <v>334.75</v>
      </c>
      <c r="C6297" s="1" t="n">
        <f aca="false">1/B6297</f>
        <v>0.00298730395817774</v>
      </c>
      <c r="D6297" s="1" t="n">
        <v>0.451</v>
      </c>
      <c r="E6297" s="1" t="n">
        <f aca="false">LN(D6297)</f>
        <v>-0.796287939479459</v>
      </c>
    </row>
    <row r="6298" customFormat="false" ht="15.75" hidden="false" customHeight="false" outlineLevel="0" collapsed="false">
      <c r="A6298" s="1" t="s">
        <v>1112</v>
      </c>
      <c r="B6298" s="1" t="n">
        <v>344.25</v>
      </c>
      <c r="C6298" s="1" t="n">
        <f aca="false">1/B6298</f>
        <v>0.00290486564996369</v>
      </c>
      <c r="D6298" s="1" t="n">
        <v>1.134</v>
      </c>
      <c r="E6298" s="1" t="n">
        <f aca="false">LN(D6298)</f>
        <v>0.12575120530556</v>
      </c>
    </row>
    <row r="6299" customFormat="false" ht="15.75" hidden="false" customHeight="false" outlineLevel="0" collapsed="false">
      <c r="A6299" s="1" t="s">
        <v>1112</v>
      </c>
      <c r="B6299" s="1" t="n">
        <v>355.95</v>
      </c>
      <c r="C6299" s="1" t="n">
        <f aca="false">1/B6299</f>
        <v>0.00280938334035679</v>
      </c>
      <c r="D6299" s="1" t="n">
        <v>0.967</v>
      </c>
      <c r="E6299" s="1" t="n">
        <f aca="false">LN(D6299)</f>
        <v>-0.0335567835288428</v>
      </c>
    </row>
    <row r="6300" customFormat="false" ht="15.75" hidden="false" customHeight="false" outlineLevel="0" collapsed="false">
      <c r="A6300" s="1" t="s">
        <v>1112</v>
      </c>
      <c r="B6300" s="1" t="n">
        <v>369.45</v>
      </c>
      <c r="C6300" s="1" t="n">
        <f aca="false">1/B6300</f>
        <v>0.00270672621464339</v>
      </c>
      <c r="D6300" s="1" t="n">
        <v>0.8216</v>
      </c>
      <c r="E6300" s="1" t="n">
        <f aca="false">LN(D6300)</f>
        <v>-0.196501620367789</v>
      </c>
    </row>
    <row r="6301" customFormat="false" ht="15.75" hidden="false" customHeight="false" outlineLevel="0" collapsed="false">
      <c r="A6301" s="1" t="s">
        <v>1112</v>
      </c>
      <c r="B6301" s="1" t="n">
        <v>382.45</v>
      </c>
      <c r="C6301" s="1" t="n">
        <f aca="false">1/B6301</f>
        <v>0.00261472087854622</v>
      </c>
      <c r="D6301" s="1" t="n">
        <v>0.7124</v>
      </c>
      <c r="E6301" s="1" t="n">
        <f aca="false">LN(D6301)</f>
        <v>-0.33911572756663</v>
      </c>
    </row>
    <row r="6302" customFormat="false" ht="15.75" hidden="false" customHeight="false" outlineLevel="0" collapsed="false">
      <c r="A6302" s="1" t="s">
        <v>1112</v>
      </c>
      <c r="B6302" s="1" t="n">
        <v>394.45</v>
      </c>
      <c r="C6302" s="1" t="n">
        <f aca="false">1/B6302</f>
        <v>0.00253517556090759</v>
      </c>
      <c r="D6302" s="1" t="n">
        <v>0.6324</v>
      </c>
      <c r="E6302" s="1" t="n">
        <f aca="false">LN(D6302)</f>
        <v>-0.45823317364682</v>
      </c>
    </row>
    <row r="6303" customFormat="false" ht="15.75" hidden="false" customHeight="false" outlineLevel="0" collapsed="false">
      <c r="A6303" s="1" t="s">
        <v>1112</v>
      </c>
      <c r="B6303" s="1" t="n">
        <v>406.45</v>
      </c>
      <c r="C6303" s="1" t="n">
        <f aca="false">1/B6303</f>
        <v>0.00246032722352073</v>
      </c>
      <c r="D6303" s="1" t="n">
        <v>0.5675</v>
      </c>
      <c r="E6303" s="1" t="n">
        <f aca="false">LN(D6303)</f>
        <v>-0.566514529626579</v>
      </c>
    </row>
    <row r="6304" customFormat="false" ht="15.75" hidden="false" customHeight="false" outlineLevel="0" collapsed="false">
      <c r="A6304" s="1" t="s">
        <v>1112</v>
      </c>
      <c r="B6304" s="1" t="n">
        <v>419.95</v>
      </c>
      <c r="C6304" s="1" t="n">
        <f aca="false">1/B6304</f>
        <v>0.00238123586141207</v>
      </c>
      <c r="D6304" s="1" t="n">
        <v>0.5049</v>
      </c>
      <c r="E6304" s="1" t="n">
        <f aca="false">LN(D6304)</f>
        <v>-0.683394889117267</v>
      </c>
    </row>
    <row r="6305" customFormat="false" ht="15.75" hidden="false" customHeight="false" outlineLevel="0" collapsed="false">
      <c r="A6305" s="1" t="s">
        <v>1112</v>
      </c>
      <c r="B6305" s="1" t="n">
        <v>423.15</v>
      </c>
      <c r="C6305" s="1" t="n">
        <f aca="false">1/B6305</f>
        <v>0.00236322816967978</v>
      </c>
      <c r="D6305" s="1" t="n">
        <v>0.491</v>
      </c>
      <c r="E6305" s="1" t="n">
        <f aca="false">LN(D6305)</f>
        <v>-0.711311151187616</v>
      </c>
    </row>
    <row r="6306" customFormat="false" ht="15.75" hidden="false" customHeight="false" outlineLevel="0" collapsed="false">
      <c r="A6306" s="1" t="s">
        <v>1112</v>
      </c>
      <c r="B6306" s="1" t="n">
        <v>445.15</v>
      </c>
      <c r="C6306" s="1" t="n">
        <f aca="false">1/B6306</f>
        <v>0.00224643378636415</v>
      </c>
      <c r="D6306" s="1" t="n">
        <v>0.414</v>
      </c>
      <c r="E6306" s="1" t="n">
        <f aca="false">LN(D6306)</f>
        <v>-0.881889305156823</v>
      </c>
    </row>
    <row r="6307" customFormat="false" ht="15.75" hidden="false" customHeight="false" outlineLevel="0" collapsed="false">
      <c r="A6307" s="1" t="s">
        <v>1112</v>
      </c>
      <c r="B6307" s="1" t="n">
        <v>457.45</v>
      </c>
      <c r="C6307" s="1" t="n">
        <f aca="false">1/B6307</f>
        <v>0.00218603126024702</v>
      </c>
      <c r="D6307" s="1" t="n">
        <v>0.3789</v>
      </c>
      <c r="E6307" s="1" t="n">
        <f aca="false">LN(D6307)</f>
        <v>-0.970482960957582</v>
      </c>
    </row>
    <row r="6308" customFormat="false" ht="15.75" hidden="false" customHeight="false" outlineLevel="0" collapsed="false">
      <c r="A6308" s="1" t="s">
        <v>1112</v>
      </c>
      <c r="B6308" s="1" t="n">
        <v>464.35</v>
      </c>
      <c r="C6308" s="1" t="n">
        <f aca="false">1/B6308</f>
        <v>0.00215354797028104</v>
      </c>
      <c r="D6308" s="1" t="n">
        <v>0.3611</v>
      </c>
      <c r="E6308" s="1" t="n">
        <f aca="false">LN(D6308)</f>
        <v>-1.01860035069873</v>
      </c>
    </row>
    <row r="6309" customFormat="false" ht="15.75" hidden="false" customHeight="false" outlineLevel="0" collapsed="false">
      <c r="A6309" s="1" t="s">
        <v>1112</v>
      </c>
      <c r="B6309" s="1" t="n">
        <v>468.35</v>
      </c>
      <c r="C6309" s="1" t="n">
        <f aca="false">1/B6309</f>
        <v>0.00213515533255044</v>
      </c>
      <c r="D6309" s="1" t="n">
        <v>0.3516</v>
      </c>
      <c r="E6309" s="1" t="n">
        <f aca="false">LN(D6309)</f>
        <v>-1.04526111317112</v>
      </c>
    </row>
    <row r="6310" customFormat="false" ht="15.75" hidden="false" customHeight="false" outlineLevel="0" collapsed="false">
      <c r="A6310" s="1" t="s">
        <v>1112</v>
      </c>
      <c r="B6310" s="1" t="n">
        <v>393.15</v>
      </c>
      <c r="C6310" s="1" t="n">
        <f aca="false">1/B6310</f>
        <v>0.00254355843825512</v>
      </c>
      <c r="D6310" s="1" t="n">
        <v>0.641</v>
      </c>
      <c r="E6310" s="1" t="n">
        <f aca="false">LN(D6310)</f>
        <v>-0.444725822061467</v>
      </c>
    </row>
    <row r="6311" customFormat="false" ht="15.75" hidden="false" customHeight="false" outlineLevel="0" collapsed="false">
      <c r="A6311" s="1" t="s">
        <v>1112</v>
      </c>
      <c r="B6311" s="1" t="n">
        <v>432.95</v>
      </c>
      <c r="C6311" s="1" t="n">
        <f aca="false">1/B6311</f>
        <v>0.00230973553528121</v>
      </c>
      <c r="D6311" s="1" t="n">
        <v>0.455</v>
      </c>
      <c r="E6311" s="1" t="n">
        <f aca="false">LN(D6311)</f>
        <v>-0.787457860031187</v>
      </c>
    </row>
    <row r="6312" customFormat="false" ht="15.75" hidden="false" customHeight="false" outlineLevel="0" collapsed="false">
      <c r="A6312" s="1" t="s">
        <v>1475</v>
      </c>
      <c r="B6312" s="1" t="n">
        <v>273.15</v>
      </c>
      <c r="C6312" s="1" t="n">
        <f aca="false">1/B6312</f>
        <v>0.00366099212886692</v>
      </c>
      <c r="D6312" s="1" t="n">
        <v>3.332</v>
      </c>
      <c r="E6312" s="1" t="n">
        <f aca="false">LN(D6312)</f>
        <v>1.2035727243046</v>
      </c>
    </row>
    <row r="6313" customFormat="false" ht="15.75" hidden="false" customHeight="false" outlineLevel="0" collapsed="false">
      <c r="A6313" s="1" t="s">
        <v>1475</v>
      </c>
      <c r="B6313" s="1" t="n">
        <v>293.15</v>
      </c>
      <c r="C6313" s="1" t="n">
        <f aca="false">1/B6313</f>
        <v>0.00341122292341805</v>
      </c>
      <c r="D6313" s="1" t="n">
        <v>2.208</v>
      </c>
      <c r="E6313" s="1" t="n">
        <f aca="false">LN(D6313)</f>
        <v>0.792087128414849</v>
      </c>
    </row>
    <row r="6314" customFormat="false" ht="15.75" hidden="false" customHeight="false" outlineLevel="0" collapsed="false">
      <c r="A6314" s="1" t="s">
        <v>1475</v>
      </c>
      <c r="B6314" s="1" t="n">
        <v>310.95</v>
      </c>
      <c r="C6314" s="1" t="n">
        <f aca="false">1/B6314</f>
        <v>0.00321595111754301</v>
      </c>
      <c r="D6314" s="1" t="n">
        <v>1.619</v>
      </c>
      <c r="E6314" s="1" t="n">
        <f aca="false">LN(D6314)</f>
        <v>0.481808674695498</v>
      </c>
    </row>
    <row r="6315" customFormat="false" ht="15.75" hidden="false" customHeight="false" outlineLevel="0" collapsed="false">
      <c r="A6315" s="1" t="s">
        <v>1475</v>
      </c>
      <c r="B6315" s="1" t="n">
        <v>333.15</v>
      </c>
      <c r="C6315" s="1" t="n">
        <f aca="false">1/B6315</f>
        <v>0.0030016509079994</v>
      </c>
      <c r="D6315" s="1" t="n">
        <v>1.165</v>
      </c>
      <c r="E6315" s="1" t="n">
        <f aca="false">LN(D6315)</f>
        <v>0.152721087017664</v>
      </c>
    </row>
    <row r="6316" customFormat="false" ht="15.75" hidden="false" customHeight="false" outlineLevel="0" collapsed="false">
      <c r="A6316" s="1" t="s">
        <v>1114</v>
      </c>
      <c r="B6316" s="1" t="n">
        <v>273.15</v>
      </c>
      <c r="C6316" s="1" t="n">
        <f aca="false">1/B6316</f>
        <v>0.00366099212886692</v>
      </c>
      <c r="D6316" s="1" t="n">
        <v>5.079</v>
      </c>
      <c r="E6316" s="1" t="n">
        <f aca="false">LN(D6316)</f>
        <v>1.62511439181911</v>
      </c>
    </row>
    <row r="6317" customFormat="false" ht="15.75" hidden="false" customHeight="false" outlineLevel="0" collapsed="false">
      <c r="A6317" s="1" t="s">
        <v>1114</v>
      </c>
      <c r="B6317" s="1" t="n">
        <v>293.15</v>
      </c>
      <c r="C6317" s="1" t="n">
        <f aca="false">1/B6317</f>
        <v>0.00341122292341805</v>
      </c>
      <c r="D6317" s="1" t="n">
        <v>3.144</v>
      </c>
      <c r="E6317" s="1" t="n">
        <f aca="false">LN(D6317)</f>
        <v>1.14549587456696</v>
      </c>
    </row>
    <row r="6318" customFormat="false" ht="15.75" hidden="false" customHeight="false" outlineLevel="0" collapsed="false">
      <c r="A6318" s="1" t="s">
        <v>1114</v>
      </c>
      <c r="B6318" s="1" t="n">
        <v>310.95</v>
      </c>
      <c r="C6318" s="1" t="n">
        <f aca="false">1/B6318</f>
        <v>0.00321595111754301</v>
      </c>
      <c r="D6318" s="1" t="n">
        <v>2.212</v>
      </c>
      <c r="E6318" s="1" t="n">
        <f aca="false">LN(D6318)</f>
        <v>0.793897083660089</v>
      </c>
    </row>
    <row r="6319" customFormat="false" ht="15.75" hidden="false" customHeight="false" outlineLevel="0" collapsed="false">
      <c r="A6319" s="1" t="s">
        <v>1114</v>
      </c>
      <c r="B6319" s="1" t="n">
        <v>333.15</v>
      </c>
      <c r="C6319" s="1" t="n">
        <f aca="false">1/B6319</f>
        <v>0.0030016509079994</v>
      </c>
      <c r="D6319" s="1" t="n">
        <v>1.534</v>
      </c>
      <c r="E6319" s="1" t="n">
        <f aca="false">LN(D6319)</f>
        <v>0.427878702945064</v>
      </c>
    </row>
    <row r="6320" customFormat="false" ht="15.75" hidden="false" customHeight="false" outlineLevel="0" collapsed="false">
      <c r="A6320" s="1" t="s">
        <v>1114</v>
      </c>
      <c r="B6320" s="1" t="n">
        <v>372.05</v>
      </c>
      <c r="C6320" s="1" t="n">
        <f aca="false">1/B6320</f>
        <v>0.00268781077812122</v>
      </c>
      <c r="D6320" s="1" t="n">
        <v>0.919</v>
      </c>
      <c r="E6320" s="1" t="n">
        <f aca="false">LN(D6320)</f>
        <v>-0.08446915662645</v>
      </c>
    </row>
    <row r="6321" customFormat="false" ht="15.75" hidden="false" customHeight="false" outlineLevel="0" collapsed="false">
      <c r="A6321" s="1" t="s">
        <v>1116</v>
      </c>
      <c r="B6321" s="1" t="n">
        <v>273.15</v>
      </c>
      <c r="C6321" s="1" t="n">
        <f aca="false">1/B6321</f>
        <v>0.00366099212886692</v>
      </c>
      <c r="D6321" s="1" t="n">
        <v>8.001</v>
      </c>
      <c r="E6321" s="1" t="n">
        <f aca="false">LN(D6321)</f>
        <v>2.07956653386799</v>
      </c>
    </row>
    <row r="6322" customFormat="false" ht="15.75" hidden="false" customHeight="false" outlineLevel="0" collapsed="false">
      <c r="A6322" s="1" t="s">
        <v>1116</v>
      </c>
      <c r="B6322" s="1" t="n">
        <v>293.15</v>
      </c>
      <c r="C6322" s="1" t="n">
        <f aca="false">1/B6322</f>
        <v>0.00341122292341805</v>
      </c>
      <c r="D6322" s="1" t="n">
        <v>4.507</v>
      </c>
      <c r="E6322" s="1" t="n">
        <f aca="false">LN(D6322)</f>
        <v>1.50563174370851</v>
      </c>
    </row>
    <row r="6323" customFormat="false" ht="15.75" hidden="false" customHeight="false" outlineLevel="0" collapsed="false">
      <c r="A6323" s="1" t="s">
        <v>1116</v>
      </c>
      <c r="B6323" s="1" t="n">
        <v>310.95</v>
      </c>
      <c r="C6323" s="1" t="n">
        <f aca="false">1/B6323</f>
        <v>0.00321595111754301</v>
      </c>
      <c r="D6323" s="1" t="n">
        <v>3.009</v>
      </c>
      <c r="E6323" s="1" t="n">
        <f aca="false">LN(D6323)</f>
        <v>1.10160779764791</v>
      </c>
    </row>
    <row r="6324" customFormat="false" ht="15.75" hidden="false" customHeight="false" outlineLevel="0" collapsed="false">
      <c r="A6324" s="1" t="s">
        <v>1116</v>
      </c>
      <c r="B6324" s="1" t="n">
        <v>333.15</v>
      </c>
      <c r="C6324" s="1" t="n">
        <f aca="false">1/B6324</f>
        <v>0.0030016509079994</v>
      </c>
      <c r="D6324" s="1" t="n">
        <v>1.992</v>
      </c>
      <c r="E6324" s="1" t="n">
        <f aca="false">LN(D6324)</f>
        <v>0.689139159162407</v>
      </c>
    </row>
    <row r="6325" customFormat="false" ht="15.75" hidden="false" customHeight="false" outlineLevel="0" collapsed="false">
      <c r="A6325" s="1" t="s">
        <v>1116</v>
      </c>
      <c r="B6325" s="1" t="n">
        <v>372.05</v>
      </c>
      <c r="C6325" s="1" t="n">
        <f aca="false">1/B6325</f>
        <v>0.00268781077812122</v>
      </c>
      <c r="D6325" s="1" t="n">
        <v>1.138</v>
      </c>
      <c r="E6325" s="1" t="n">
        <f aca="false">LN(D6325)</f>
        <v>0.129272335704139</v>
      </c>
    </row>
    <row r="6326" customFormat="false" ht="15.75" hidden="false" customHeight="false" outlineLevel="0" collapsed="false">
      <c r="A6326" s="1" t="s">
        <v>1118</v>
      </c>
      <c r="B6326" s="1" t="n">
        <v>273.15</v>
      </c>
      <c r="C6326" s="1" t="n">
        <f aca="false">1/B6326</f>
        <v>0.00366099212886692</v>
      </c>
      <c r="D6326" s="1" t="n">
        <v>1.047</v>
      </c>
      <c r="E6326" s="1" t="n">
        <f aca="false">LN(D6326)</f>
        <v>0.0459289318883997</v>
      </c>
    </row>
    <row r="6327" customFormat="false" ht="15.75" hidden="false" customHeight="false" outlineLevel="0" collapsed="false">
      <c r="A6327" s="1" t="s">
        <v>1118</v>
      </c>
      <c r="B6327" s="1" t="n">
        <v>283.15</v>
      </c>
      <c r="C6327" s="1" t="n">
        <f aca="false">1/B6327</f>
        <v>0.00353169698039908</v>
      </c>
      <c r="D6327" s="1" t="n">
        <v>0.879</v>
      </c>
      <c r="E6327" s="1" t="n">
        <f aca="false">LN(D6327)</f>
        <v>-0.12897038129696</v>
      </c>
    </row>
    <row r="6328" customFormat="false" ht="15.75" hidden="false" customHeight="false" outlineLevel="0" collapsed="false">
      <c r="A6328" s="1" t="s">
        <v>1118</v>
      </c>
      <c r="B6328" s="1" t="n">
        <v>293.15</v>
      </c>
      <c r="C6328" s="1" t="n">
        <f aca="false">1/B6328</f>
        <v>0.00341122292341805</v>
      </c>
      <c r="D6328" s="1" t="n">
        <v>0.749</v>
      </c>
      <c r="E6328" s="1" t="n">
        <f aca="false">LN(D6328)</f>
        <v>-0.289016295464918</v>
      </c>
    </row>
    <row r="6329" customFormat="false" ht="15.75" hidden="false" customHeight="false" outlineLevel="0" collapsed="false">
      <c r="A6329" s="1" t="s">
        <v>1118</v>
      </c>
      <c r="B6329" s="1" t="n">
        <v>303.15</v>
      </c>
      <c r="C6329" s="1" t="n">
        <f aca="false">1/B6329</f>
        <v>0.0032986970146792</v>
      </c>
      <c r="D6329" s="1" t="n">
        <v>0.648</v>
      </c>
      <c r="E6329" s="1" t="n">
        <f aca="false">LN(D6329)</f>
        <v>-0.433864582629862</v>
      </c>
    </row>
    <row r="6330" customFormat="false" ht="15.75" hidden="false" customHeight="false" outlineLevel="0" collapsed="false">
      <c r="A6330" s="1" t="s">
        <v>1118</v>
      </c>
      <c r="B6330" s="1" t="n">
        <v>323.15</v>
      </c>
      <c r="C6330" s="1" t="n">
        <f aca="false">1/B6330</f>
        <v>0.00309453814018258</v>
      </c>
      <c r="D6330" s="1" t="n">
        <v>0.502</v>
      </c>
      <c r="E6330" s="1" t="n">
        <f aca="false">LN(D6330)</f>
        <v>-0.689155159290408</v>
      </c>
    </row>
    <row r="6331" customFormat="false" ht="15.75" hidden="false" customHeight="false" outlineLevel="0" collapsed="false">
      <c r="A6331" s="1" t="s">
        <v>1118</v>
      </c>
      <c r="B6331" s="1" t="n">
        <v>333.15</v>
      </c>
      <c r="C6331" s="1" t="n">
        <f aca="false">1/B6331</f>
        <v>0.0030016509079994</v>
      </c>
      <c r="D6331" s="1" t="n">
        <v>0.453</v>
      </c>
      <c r="E6331" s="1" t="n">
        <f aca="false">LN(D6331)</f>
        <v>-0.791863153499103</v>
      </c>
    </row>
    <row r="6332" customFormat="false" ht="15.75" hidden="false" customHeight="false" outlineLevel="0" collapsed="false">
      <c r="A6332" s="1" t="s">
        <v>1118</v>
      </c>
      <c r="B6332" s="1" t="n">
        <v>343.15</v>
      </c>
      <c r="C6332" s="1" t="n">
        <f aca="false">1/B6332</f>
        <v>0.00291417747340813</v>
      </c>
      <c r="D6332" s="1" t="n">
        <v>0.413</v>
      </c>
      <c r="E6332" s="1" t="n">
        <f aca="false">LN(D6332)</f>
        <v>-0.884307686021104</v>
      </c>
    </row>
    <row r="6333" customFormat="false" ht="15.75" hidden="false" customHeight="false" outlineLevel="0" collapsed="false">
      <c r="A6333" s="1" t="s">
        <v>1118</v>
      </c>
      <c r="B6333" s="1" t="n">
        <v>353.15</v>
      </c>
      <c r="C6333" s="1" t="n">
        <f aca="false">1/B6333</f>
        <v>0.00283165793572137</v>
      </c>
      <c r="D6333" s="1" t="n">
        <v>0.374</v>
      </c>
      <c r="E6333" s="1" t="n">
        <f aca="false">LN(D6333)</f>
        <v>-0.983499481567605</v>
      </c>
    </row>
    <row r="6334" customFormat="false" ht="15.75" hidden="false" customHeight="false" outlineLevel="0" collapsed="false">
      <c r="A6334" s="1" t="s">
        <v>1118</v>
      </c>
      <c r="B6334" s="1" t="n">
        <v>373.15</v>
      </c>
      <c r="C6334" s="1" t="n">
        <f aca="false">1/B6334</f>
        <v>0.00267988744472732</v>
      </c>
      <c r="D6334" s="1" t="n">
        <v>0.309</v>
      </c>
      <c r="E6334" s="1" t="n">
        <f aca="false">LN(D6334)</f>
        <v>-1.17441400208439</v>
      </c>
    </row>
    <row r="6335" customFormat="false" ht="15.75" hidden="false" customHeight="false" outlineLevel="0" collapsed="false">
      <c r="A6335" s="1" t="s">
        <v>1118</v>
      </c>
      <c r="B6335" s="1" t="n">
        <v>383.15</v>
      </c>
      <c r="C6335" s="1" t="n">
        <f aca="false">1/B6335</f>
        <v>0.00260994388620645</v>
      </c>
      <c r="D6335" s="1" t="n">
        <v>0.289</v>
      </c>
      <c r="E6335" s="1" t="n">
        <f aca="false">LN(D6335)</f>
        <v>-1.24132859086971</v>
      </c>
    </row>
    <row r="6336" customFormat="false" ht="15.75" hidden="false" customHeight="false" outlineLevel="0" collapsed="false">
      <c r="A6336" s="1" t="s">
        <v>1118</v>
      </c>
      <c r="B6336" s="1" t="n">
        <v>393.15</v>
      </c>
      <c r="C6336" s="1" t="n">
        <f aca="false">1/B6336</f>
        <v>0.00254355843825512</v>
      </c>
      <c r="D6336" s="1" t="n">
        <v>0.269</v>
      </c>
      <c r="E6336" s="1" t="n">
        <f aca="false">LN(D6336)</f>
        <v>-1.3130438993803</v>
      </c>
    </row>
    <row r="6337" customFormat="false" ht="15.75" hidden="false" customHeight="false" outlineLevel="0" collapsed="false">
      <c r="A6337" s="1" t="s">
        <v>1118</v>
      </c>
      <c r="B6337" s="1" t="n">
        <v>403.15</v>
      </c>
      <c r="C6337" s="1" t="n">
        <f aca="false">1/B6337</f>
        <v>0.0024804663276696</v>
      </c>
      <c r="D6337" s="1" t="n">
        <v>0.249</v>
      </c>
      <c r="E6337" s="1" t="n">
        <f aca="false">LN(D6337)</f>
        <v>-1.39030238251743</v>
      </c>
    </row>
    <row r="6338" customFormat="false" ht="15.75" hidden="false" customHeight="false" outlineLevel="0" collapsed="false">
      <c r="A6338" s="1" t="s">
        <v>1118</v>
      </c>
      <c r="B6338" s="1" t="n">
        <v>313.15</v>
      </c>
      <c r="C6338" s="1" t="n">
        <f aca="false">1/B6338</f>
        <v>0.00319335781574325</v>
      </c>
      <c r="D6338" s="1" t="n">
        <v>0.565</v>
      </c>
      <c r="E6338" s="1" t="n">
        <f aca="false">LN(D6338)</f>
        <v>-0.570929547835696</v>
      </c>
    </row>
    <row r="6339" customFormat="false" ht="15.75" hidden="false" customHeight="false" outlineLevel="0" collapsed="false">
      <c r="A6339" s="1" t="s">
        <v>1118</v>
      </c>
      <c r="B6339" s="1" t="n">
        <v>363.15</v>
      </c>
      <c r="C6339" s="1" t="n">
        <f aca="false">1/B6339</f>
        <v>0.00275368305108082</v>
      </c>
      <c r="D6339" s="1" t="n">
        <v>0.349</v>
      </c>
      <c r="E6339" s="1" t="n">
        <f aca="false">LN(D6339)</f>
        <v>-1.05268335677971</v>
      </c>
    </row>
    <row r="6340" customFormat="false" ht="15.75" hidden="false" customHeight="false" outlineLevel="0" collapsed="false">
      <c r="A6340" s="1" t="s">
        <v>1118</v>
      </c>
      <c r="B6340" s="1" t="n">
        <v>413.15</v>
      </c>
      <c r="C6340" s="1" t="n">
        <f aca="false">1/B6340</f>
        <v>0.0024204284158296</v>
      </c>
      <c r="D6340" s="1" t="n">
        <v>0.232</v>
      </c>
      <c r="E6340" s="1" t="n">
        <f aca="false">LN(D6340)</f>
        <v>-1.46101790731583</v>
      </c>
    </row>
    <row r="6341" customFormat="false" ht="15.75" hidden="false" customHeight="false" outlineLevel="0" collapsed="false">
      <c r="A6341" s="1" t="s">
        <v>256</v>
      </c>
      <c r="B6341" s="1" t="n">
        <v>298.15</v>
      </c>
      <c r="C6341" s="1" t="n">
        <f aca="false">1/B6341</f>
        <v>0.00335401643468053</v>
      </c>
      <c r="D6341" s="1" t="n">
        <v>1.996</v>
      </c>
      <c r="E6341" s="1" t="n">
        <f aca="false">LN(D6341)</f>
        <v>0.691145177889272</v>
      </c>
    </row>
    <row r="6342" customFormat="false" ht="15.75" hidden="false" customHeight="false" outlineLevel="0" collapsed="false">
      <c r="A6342" s="1" t="s">
        <v>256</v>
      </c>
      <c r="B6342" s="1" t="n">
        <v>308.15</v>
      </c>
      <c r="C6342" s="1" t="n">
        <f aca="false">1/B6342</f>
        <v>0.00324517280545189</v>
      </c>
      <c r="D6342" s="1" t="n">
        <v>1.654</v>
      </c>
      <c r="E6342" s="1" t="n">
        <f aca="false">LN(D6342)</f>
        <v>0.5031965966015</v>
      </c>
    </row>
    <row r="6343" customFormat="false" ht="15.75" hidden="false" customHeight="false" outlineLevel="0" collapsed="false">
      <c r="A6343" s="1" t="s">
        <v>256</v>
      </c>
      <c r="B6343" s="1" t="n">
        <v>318.15</v>
      </c>
      <c r="C6343" s="1" t="n">
        <f aca="false">1/B6343</f>
        <v>0.00314317146000314</v>
      </c>
      <c r="D6343" s="1" t="n">
        <v>1.396</v>
      </c>
      <c r="E6343" s="1" t="n">
        <f aca="false">LN(D6343)</f>
        <v>0.333611004340181</v>
      </c>
    </row>
    <row r="6344" customFormat="false" ht="15.75" hidden="false" customHeight="false" outlineLevel="0" collapsed="false">
      <c r="A6344" s="1" t="s">
        <v>256</v>
      </c>
      <c r="B6344" s="1" t="n">
        <v>328.15</v>
      </c>
      <c r="C6344" s="1" t="n">
        <f aca="false">1/B6344</f>
        <v>0.00304738686576261</v>
      </c>
      <c r="D6344" s="1" t="n">
        <v>1.195</v>
      </c>
      <c r="E6344" s="1" t="n">
        <f aca="false">LN(D6344)</f>
        <v>0.178146185383474</v>
      </c>
    </row>
    <row r="6345" customFormat="false" ht="15.75" hidden="false" customHeight="false" outlineLevel="0" collapsed="false">
      <c r="A6345" s="1" t="s">
        <v>258</v>
      </c>
      <c r="B6345" s="1" t="n">
        <v>273.65</v>
      </c>
      <c r="C6345" s="1" t="n">
        <f aca="false">1/B6345</f>
        <v>0.00365430294171387</v>
      </c>
      <c r="D6345" s="1" t="n">
        <v>13.796</v>
      </c>
      <c r="E6345" s="1" t="n">
        <f aca="false">LN(D6345)</f>
        <v>2.62437869507459</v>
      </c>
    </row>
    <row r="6346" customFormat="false" ht="15.75" hidden="false" customHeight="false" outlineLevel="0" collapsed="false">
      <c r="A6346" s="1" t="s">
        <v>258</v>
      </c>
      <c r="B6346" s="1" t="n">
        <v>282.47</v>
      </c>
      <c r="C6346" s="1" t="n">
        <f aca="false">1/B6346</f>
        <v>0.00354019895918151</v>
      </c>
      <c r="D6346" s="1" t="n">
        <v>8.203</v>
      </c>
      <c r="E6346" s="1" t="n">
        <f aca="false">LN(D6346)</f>
        <v>2.10449994102061</v>
      </c>
    </row>
    <row r="6347" customFormat="false" ht="15.75" hidden="false" customHeight="false" outlineLevel="0" collapsed="false">
      <c r="A6347" s="1" t="s">
        <v>258</v>
      </c>
      <c r="B6347" s="1" t="n">
        <v>293.16</v>
      </c>
      <c r="C6347" s="1" t="n">
        <f aca="false">1/B6347</f>
        <v>0.00341110656296903</v>
      </c>
      <c r="D6347" s="1" t="n">
        <v>6.76</v>
      </c>
      <c r="E6347" s="1" t="n">
        <f aca="false">LN(D6347)</f>
        <v>1.91102289005487</v>
      </c>
    </row>
    <row r="6348" customFormat="false" ht="15.75" hidden="false" customHeight="false" outlineLevel="0" collapsed="false">
      <c r="A6348" s="1" t="s">
        <v>258</v>
      </c>
      <c r="B6348" s="1" t="n">
        <v>358.16</v>
      </c>
      <c r="C6348" s="1" t="n">
        <f aca="false">1/B6348</f>
        <v>0.0027920482465937</v>
      </c>
      <c r="D6348" s="1" t="n">
        <v>0.573</v>
      </c>
      <c r="E6348" s="1" t="n">
        <f aca="false">LN(D6348)</f>
        <v>-0.556869562267398</v>
      </c>
    </row>
    <row r="6349" customFormat="false" ht="15.75" hidden="false" customHeight="false" outlineLevel="0" collapsed="false">
      <c r="A6349" s="1" t="s">
        <v>138</v>
      </c>
      <c r="B6349" s="1" t="n">
        <v>298.15173</v>
      </c>
      <c r="C6349" s="1" t="n">
        <f aca="false">1/B6349</f>
        <v>0.00335399697328605</v>
      </c>
      <c r="D6349" s="1" t="n">
        <v>0.796</v>
      </c>
      <c r="E6349" s="1" t="n">
        <f aca="false">LN(D6349)</f>
        <v>-0.228156093137754</v>
      </c>
    </row>
    <row r="6350" customFormat="false" ht="15.75" hidden="false" customHeight="false" outlineLevel="0" collapsed="false">
      <c r="A6350" s="1" t="s">
        <v>138</v>
      </c>
      <c r="B6350" s="1" t="n">
        <v>303.15</v>
      </c>
      <c r="C6350" s="1" t="n">
        <f aca="false">1/B6350</f>
        <v>0.0032986970146792</v>
      </c>
      <c r="D6350" s="1" t="n">
        <v>0.796</v>
      </c>
      <c r="E6350" s="1" t="n">
        <f aca="false">LN(D6350)</f>
        <v>-0.228156093137754</v>
      </c>
    </row>
    <row r="6351" customFormat="false" ht="15.75" hidden="false" customHeight="false" outlineLevel="0" collapsed="false">
      <c r="A6351" s="1" t="s">
        <v>138</v>
      </c>
      <c r="B6351" s="1" t="n">
        <v>313.15</v>
      </c>
      <c r="C6351" s="1" t="n">
        <f aca="false">1/B6351</f>
        <v>0.00319335781574325</v>
      </c>
      <c r="D6351" s="1" t="n">
        <v>0.731</v>
      </c>
      <c r="E6351" s="1" t="n">
        <f aca="false">LN(D6351)</f>
        <v>-0.313341819232359</v>
      </c>
    </row>
    <row r="6352" customFormat="false" ht="15.75" hidden="false" customHeight="false" outlineLevel="0" collapsed="false">
      <c r="A6352" s="1" t="s">
        <v>138</v>
      </c>
      <c r="B6352" s="1" t="n">
        <v>303.15205</v>
      </c>
      <c r="C6352" s="1" t="n">
        <f aca="false">1/B6352</f>
        <v>0.00329867470795596</v>
      </c>
      <c r="D6352" s="1" t="n">
        <v>0.796</v>
      </c>
      <c r="E6352" s="1" t="n">
        <f aca="false">LN(D6352)</f>
        <v>-0.228156093137754</v>
      </c>
    </row>
    <row r="6353" customFormat="false" ht="15.75" hidden="false" customHeight="false" outlineLevel="0" collapsed="false">
      <c r="A6353" s="1" t="s">
        <v>1120</v>
      </c>
      <c r="B6353" s="1" t="n">
        <v>283.15</v>
      </c>
      <c r="C6353" s="1" t="n">
        <f aca="false">1/B6353</f>
        <v>0.00353169698039908</v>
      </c>
      <c r="D6353" s="1" t="n">
        <v>2.96</v>
      </c>
      <c r="E6353" s="1" t="n">
        <f aca="false">LN(D6353)</f>
        <v>1.08518926833597</v>
      </c>
    </row>
    <row r="6354" customFormat="false" ht="15.75" hidden="false" customHeight="false" outlineLevel="0" collapsed="false">
      <c r="A6354" s="1" t="s">
        <v>1120</v>
      </c>
      <c r="B6354" s="1" t="n">
        <v>293.15</v>
      </c>
      <c r="C6354" s="1" t="n">
        <f aca="false">1/B6354</f>
        <v>0.00341122292341805</v>
      </c>
      <c r="D6354" s="1" t="n">
        <v>2.322</v>
      </c>
      <c r="E6354" s="1" t="n">
        <f aca="false">LN(D6354)</f>
        <v>0.8424288832757</v>
      </c>
    </row>
    <row r="6355" customFormat="false" ht="15.75" hidden="false" customHeight="false" outlineLevel="0" collapsed="false">
      <c r="A6355" s="1" t="s">
        <v>1120</v>
      </c>
      <c r="B6355" s="1" t="n">
        <v>303.15</v>
      </c>
      <c r="C6355" s="1" t="n">
        <f aca="false">1/B6355</f>
        <v>0.0032986970146792</v>
      </c>
      <c r="D6355" s="1" t="n">
        <v>1.889</v>
      </c>
      <c r="E6355" s="1" t="n">
        <f aca="false">LN(D6355)</f>
        <v>0.636047588519372</v>
      </c>
    </row>
    <row r="6356" customFormat="false" ht="15.75" hidden="false" customHeight="false" outlineLevel="0" collapsed="false">
      <c r="A6356" s="1" t="s">
        <v>1120</v>
      </c>
      <c r="B6356" s="1" t="n">
        <v>313.15</v>
      </c>
      <c r="C6356" s="1" t="n">
        <f aca="false">1/B6356</f>
        <v>0.00319335781574325</v>
      </c>
      <c r="D6356" s="1" t="n">
        <v>1.56</v>
      </c>
      <c r="E6356" s="1" t="n">
        <f aca="false">LN(D6356)</f>
        <v>0.444685821261446</v>
      </c>
    </row>
    <row r="6357" customFormat="false" ht="15.75" hidden="false" customHeight="false" outlineLevel="0" collapsed="false">
      <c r="A6357" s="1" t="s">
        <v>1120</v>
      </c>
      <c r="B6357" s="1" t="n">
        <v>323.15</v>
      </c>
      <c r="C6357" s="1" t="n">
        <f aca="false">1/B6357</f>
        <v>0.00309453814018258</v>
      </c>
      <c r="D6357" s="1" t="n">
        <v>1.322</v>
      </c>
      <c r="E6357" s="1" t="n">
        <f aca="false">LN(D6357)</f>
        <v>0.279145741429495</v>
      </c>
    </row>
    <row r="6358" customFormat="false" ht="15.75" hidden="false" customHeight="false" outlineLevel="0" collapsed="false">
      <c r="A6358" s="1" t="s">
        <v>1120</v>
      </c>
      <c r="B6358" s="1" t="n">
        <v>333.15</v>
      </c>
      <c r="C6358" s="1" t="n">
        <f aca="false">1/B6358</f>
        <v>0.0030016509079994</v>
      </c>
      <c r="D6358" s="1" t="n">
        <v>1.135</v>
      </c>
      <c r="E6358" s="1" t="n">
        <f aca="false">LN(D6358)</f>
        <v>0.126632650933366</v>
      </c>
    </row>
    <row r="6359" customFormat="false" ht="15.75" hidden="false" customHeight="false" outlineLevel="0" collapsed="false">
      <c r="A6359" s="1" t="s">
        <v>1120</v>
      </c>
      <c r="B6359" s="1" t="n">
        <v>343.15</v>
      </c>
      <c r="C6359" s="1" t="n">
        <f aca="false">1/B6359</f>
        <v>0.00291417747340813</v>
      </c>
      <c r="D6359" s="1" t="n">
        <v>0.908</v>
      </c>
      <c r="E6359" s="1" t="n">
        <f aca="false">LN(D6359)</f>
        <v>-0.0965109003808437</v>
      </c>
    </row>
    <row r="6360" customFormat="false" ht="15.75" hidden="false" customHeight="false" outlineLevel="0" collapsed="false">
      <c r="A6360" s="1" t="s">
        <v>1120</v>
      </c>
      <c r="B6360" s="1" t="n">
        <v>353.15</v>
      </c>
      <c r="C6360" s="1" t="n">
        <f aca="false">1/B6360</f>
        <v>0.00283165793572137</v>
      </c>
      <c r="D6360" s="1" t="n">
        <v>0.868</v>
      </c>
      <c r="E6360" s="1" t="n">
        <f aca="false">LN(D6360)</f>
        <v>-0.141563564321787</v>
      </c>
    </row>
    <row r="6361" customFormat="false" ht="15.75" hidden="false" customHeight="false" outlineLevel="0" collapsed="false">
      <c r="A6361" s="1" t="s">
        <v>1120</v>
      </c>
      <c r="B6361" s="1" t="n">
        <v>363.15</v>
      </c>
      <c r="C6361" s="1" t="n">
        <f aca="false">1/B6361</f>
        <v>0.00275368305108082</v>
      </c>
      <c r="D6361" s="1" t="n">
        <v>0.769</v>
      </c>
      <c r="E6361" s="1" t="n">
        <f aca="false">LN(D6361)</f>
        <v>-0.262664309476493</v>
      </c>
    </row>
    <row r="6362" customFormat="false" ht="15.75" hidden="false" customHeight="false" outlineLevel="0" collapsed="false">
      <c r="A6362" s="1" t="s">
        <v>1120</v>
      </c>
      <c r="B6362" s="1" t="n">
        <v>373.15</v>
      </c>
      <c r="C6362" s="1" t="n">
        <f aca="false">1/B6362</f>
        <v>0.00267988744472732</v>
      </c>
      <c r="D6362" s="1" t="n">
        <v>0.685</v>
      </c>
      <c r="E6362" s="1" t="n">
        <f aca="false">LN(D6362)</f>
        <v>-0.378336440719912</v>
      </c>
    </row>
    <row r="6363" customFormat="false" ht="15.75" hidden="false" customHeight="false" outlineLevel="0" collapsed="false">
      <c r="A6363" s="1" t="s">
        <v>1476</v>
      </c>
      <c r="B6363" s="1" t="n">
        <v>333.15</v>
      </c>
      <c r="C6363" s="1" t="n">
        <f aca="false">1/B6363</f>
        <v>0.0030016509079994</v>
      </c>
      <c r="D6363" s="1" t="n">
        <v>7.444</v>
      </c>
      <c r="E6363" s="1" t="n">
        <f aca="false">LN(D6363)</f>
        <v>2.00740833878</v>
      </c>
    </row>
    <row r="6364" customFormat="false" ht="15.75" hidden="false" customHeight="false" outlineLevel="0" collapsed="false">
      <c r="A6364" s="1" t="s">
        <v>1476</v>
      </c>
      <c r="B6364" s="1" t="n">
        <v>348.15</v>
      </c>
      <c r="C6364" s="1" t="n">
        <f aca="false">1/B6364</f>
        <v>0.00287232514720666</v>
      </c>
      <c r="D6364" s="1" t="n">
        <v>5.477</v>
      </c>
      <c r="E6364" s="1" t="n">
        <f aca="false">LN(D6364)</f>
        <v>1.70055750580158</v>
      </c>
    </row>
    <row r="6365" customFormat="false" ht="15.75" hidden="false" customHeight="false" outlineLevel="0" collapsed="false">
      <c r="A6365" s="1" t="s">
        <v>1476</v>
      </c>
      <c r="B6365" s="1" t="n">
        <v>363.15</v>
      </c>
      <c r="C6365" s="1" t="n">
        <f aca="false">1/B6365</f>
        <v>0.00275368305108082</v>
      </c>
      <c r="D6365" s="1" t="n">
        <v>4.216</v>
      </c>
      <c r="E6365" s="1" t="n">
        <f aca="false">LN(D6365)</f>
        <v>1.43888681123906</v>
      </c>
    </row>
    <row r="6366" customFormat="false" ht="15.75" hidden="false" customHeight="false" outlineLevel="0" collapsed="false">
      <c r="A6366" s="1" t="s">
        <v>1477</v>
      </c>
      <c r="B6366" s="1" t="n">
        <v>333.15</v>
      </c>
      <c r="C6366" s="1" t="n">
        <f aca="false">1/B6366</f>
        <v>0.0030016509079994</v>
      </c>
      <c r="D6366" s="1" t="n">
        <v>8.75</v>
      </c>
      <c r="E6366" s="1" t="n">
        <f aca="false">LN(D6366)</f>
        <v>2.16905370036952</v>
      </c>
    </row>
    <row r="6367" customFormat="false" ht="15.75" hidden="false" customHeight="false" outlineLevel="0" collapsed="false">
      <c r="A6367" s="1" t="s">
        <v>1477</v>
      </c>
      <c r="B6367" s="1" t="n">
        <v>348.15</v>
      </c>
      <c r="C6367" s="1" t="n">
        <f aca="false">1/B6367</f>
        <v>0.00287232514720666</v>
      </c>
      <c r="D6367" s="1" t="n">
        <v>6.361</v>
      </c>
      <c r="E6367" s="1" t="n">
        <f aca="false">LN(D6367)</f>
        <v>1.85018559769667</v>
      </c>
    </row>
    <row r="6368" customFormat="false" ht="15.75" hidden="false" customHeight="false" outlineLevel="0" collapsed="false">
      <c r="A6368" s="1" t="s">
        <v>1477</v>
      </c>
      <c r="B6368" s="1" t="n">
        <v>363.15</v>
      </c>
      <c r="C6368" s="1" t="n">
        <f aca="false">1/B6368</f>
        <v>0.00275368305108082</v>
      </c>
      <c r="D6368" s="1" t="n">
        <v>4.85</v>
      </c>
      <c r="E6368" s="1" t="n">
        <f aca="false">LN(D6368)</f>
        <v>1.57897870494939</v>
      </c>
    </row>
    <row r="6369" customFormat="false" ht="15.75" hidden="false" customHeight="false" outlineLevel="0" collapsed="false">
      <c r="A6369" s="1" t="s">
        <v>1478</v>
      </c>
      <c r="B6369" s="1" t="n">
        <v>298.15</v>
      </c>
      <c r="C6369" s="1" t="n">
        <f aca="false">1/B6369</f>
        <v>0.00335401643468053</v>
      </c>
      <c r="D6369" s="1" t="n">
        <v>3.294</v>
      </c>
      <c r="E6369" s="1" t="n">
        <f aca="false">LN(D6369)</f>
        <v>1.19210263175545</v>
      </c>
    </row>
    <row r="6370" customFormat="false" ht="15.75" hidden="false" customHeight="false" outlineLevel="0" collapsed="false">
      <c r="A6370" s="1" t="s">
        <v>1122</v>
      </c>
      <c r="B6370" s="1" t="n">
        <v>242.75</v>
      </c>
      <c r="C6370" s="1" t="n">
        <f aca="false">1/B6370</f>
        <v>0.00411946446961895</v>
      </c>
      <c r="D6370" s="1" t="n">
        <v>2.627</v>
      </c>
      <c r="E6370" s="1" t="n">
        <f aca="false">LN(D6370)</f>
        <v>0.965842510703403</v>
      </c>
    </row>
    <row r="6371" customFormat="false" ht="15.75" hidden="false" customHeight="false" outlineLevel="0" collapsed="false">
      <c r="A6371" s="1" t="s">
        <v>1122</v>
      </c>
      <c r="B6371" s="1" t="n">
        <v>252.75</v>
      </c>
      <c r="C6371" s="1" t="n">
        <f aca="false">1/B6371</f>
        <v>0.0039564787339268</v>
      </c>
      <c r="D6371" s="1" t="n">
        <v>2.102</v>
      </c>
      <c r="E6371" s="1" t="n">
        <f aca="false">LN(D6371)</f>
        <v>0.742889272454759</v>
      </c>
    </row>
    <row r="6372" customFormat="false" ht="15.75" hidden="false" customHeight="false" outlineLevel="0" collapsed="false">
      <c r="A6372" s="1" t="s">
        <v>1122</v>
      </c>
      <c r="B6372" s="1" t="n">
        <v>263.15</v>
      </c>
      <c r="C6372" s="1" t="n">
        <f aca="false">1/B6372</f>
        <v>0.0038001140034201</v>
      </c>
      <c r="D6372" s="1" t="n">
        <v>1.741</v>
      </c>
      <c r="E6372" s="1" t="n">
        <f aca="false">LN(D6372)</f>
        <v>0.554459660786052</v>
      </c>
    </row>
    <row r="6373" customFormat="false" ht="15.75" hidden="false" customHeight="false" outlineLevel="0" collapsed="false">
      <c r="A6373" s="1" t="s">
        <v>1122</v>
      </c>
      <c r="B6373" s="1" t="n">
        <v>267.75</v>
      </c>
      <c r="C6373" s="1" t="n">
        <f aca="false">1/B6373</f>
        <v>0.00373482726423903</v>
      </c>
      <c r="D6373" s="1" t="n">
        <v>1.605</v>
      </c>
      <c r="E6373" s="1" t="n">
        <f aca="false">LN(D6373)</f>
        <v>0.473123756581979</v>
      </c>
    </row>
    <row r="6374" customFormat="false" ht="15.75" hidden="false" customHeight="false" outlineLevel="0" collapsed="false">
      <c r="A6374" s="1" t="s">
        <v>1122</v>
      </c>
      <c r="B6374" s="1" t="n">
        <v>273.15</v>
      </c>
      <c r="C6374" s="1" t="n">
        <f aca="false">1/B6374</f>
        <v>0.00366099212886692</v>
      </c>
      <c r="D6374" s="1" t="n">
        <v>1.496</v>
      </c>
      <c r="E6374" s="1" t="n">
        <f aca="false">LN(D6374)</f>
        <v>0.402794879552286</v>
      </c>
    </row>
    <row r="6375" customFormat="false" ht="15.75" hidden="false" customHeight="false" outlineLevel="0" collapsed="false">
      <c r="A6375" s="1" t="s">
        <v>1122</v>
      </c>
      <c r="B6375" s="1" t="n">
        <v>298.15</v>
      </c>
      <c r="C6375" s="1" t="n">
        <f aca="false">1/B6375</f>
        <v>0.00335401643468053</v>
      </c>
      <c r="D6375" s="1" t="n">
        <v>1.017</v>
      </c>
      <c r="E6375" s="1" t="n">
        <f aca="false">LN(D6375)</f>
        <v>0.0168571170664228</v>
      </c>
    </row>
    <row r="6376" customFormat="false" ht="15.75" hidden="false" customHeight="false" outlineLevel="0" collapsed="false">
      <c r="A6376" s="1" t="s">
        <v>1122</v>
      </c>
      <c r="B6376" s="1" t="n">
        <v>318.15</v>
      </c>
      <c r="C6376" s="1" t="n">
        <f aca="false">1/B6376</f>
        <v>0.00314317146000314</v>
      </c>
      <c r="D6376" s="1" t="n">
        <v>0.806</v>
      </c>
      <c r="E6376" s="1" t="n">
        <f aca="false">LN(D6376)</f>
        <v>-0.215671536475509</v>
      </c>
    </row>
    <row r="6377" customFormat="false" ht="15.75" hidden="false" customHeight="false" outlineLevel="0" collapsed="false">
      <c r="A6377" s="1" t="s">
        <v>1122</v>
      </c>
      <c r="B6377" s="1" t="n">
        <v>338.15</v>
      </c>
      <c r="C6377" s="1" t="n">
        <f aca="false">1/B6377</f>
        <v>0.002957267484844</v>
      </c>
      <c r="D6377" s="1" t="n">
        <v>0.655</v>
      </c>
      <c r="E6377" s="1" t="n">
        <f aca="false">LN(D6377)</f>
        <v>-0.423120043346885</v>
      </c>
    </row>
    <row r="6378" customFormat="false" ht="15.75" hidden="false" customHeight="false" outlineLevel="0" collapsed="false">
      <c r="A6378" s="1" t="s">
        <v>1122</v>
      </c>
      <c r="B6378" s="1" t="n">
        <v>348.15</v>
      </c>
      <c r="C6378" s="1" t="n">
        <f aca="false">1/B6378</f>
        <v>0.00287232514720666</v>
      </c>
      <c r="D6378" s="1" t="n">
        <v>0.611</v>
      </c>
      <c r="E6378" s="1" t="n">
        <f aca="false">LN(D6378)</f>
        <v>-0.492658319810542</v>
      </c>
    </row>
    <row r="6379" customFormat="false" ht="15.75" hidden="false" customHeight="false" outlineLevel="0" collapsed="false">
      <c r="A6379" s="1" t="s">
        <v>1122</v>
      </c>
      <c r="B6379" s="1" t="n">
        <v>358.15</v>
      </c>
      <c r="C6379" s="1" t="n">
        <f aca="false">1/B6379</f>
        <v>0.00279212620410443</v>
      </c>
      <c r="D6379" s="1" t="n">
        <v>0.569</v>
      </c>
      <c r="E6379" s="1" t="n">
        <f aca="false">LN(D6379)</f>
        <v>-0.563874844855806</v>
      </c>
    </row>
    <row r="6380" customFormat="false" ht="15.75" hidden="false" customHeight="false" outlineLevel="0" collapsed="false">
      <c r="A6380" s="1" t="s">
        <v>1122</v>
      </c>
      <c r="B6380" s="1" t="n">
        <v>371.65</v>
      </c>
      <c r="C6380" s="1" t="n">
        <f aca="false">1/B6380</f>
        <v>0.00269070361899637</v>
      </c>
      <c r="D6380" s="1" t="n">
        <v>0.519</v>
      </c>
      <c r="E6380" s="1" t="n">
        <f aca="false">LN(D6380)</f>
        <v>-0.655851395816248</v>
      </c>
    </row>
    <row r="6381" customFormat="false" ht="15.75" hidden="false" customHeight="false" outlineLevel="0" collapsed="false">
      <c r="A6381" s="1" t="s">
        <v>1124</v>
      </c>
      <c r="B6381" s="1" t="n">
        <v>178</v>
      </c>
      <c r="C6381" s="1" t="n">
        <f aca="false">1/B6381</f>
        <v>0.00561797752808989</v>
      </c>
      <c r="D6381" s="1" t="n">
        <v>36.706</v>
      </c>
      <c r="E6381" s="1" t="n">
        <f aca="false">LN(D6381)</f>
        <v>3.60294022943628</v>
      </c>
    </row>
    <row r="6382" customFormat="false" ht="15.75" hidden="false" customHeight="false" outlineLevel="0" collapsed="false">
      <c r="A6382" s="1" t="s">
        <v>1124</v>
      </c>
      <c r="B6382" s="1" t="n">
        <v>178.87</v>
      </c>
      <c r="C6382" s="1" t="n">
        <f aca="false">1/B6382</f>
        <v>0.00559065242913848</v>
      </c>
      <c r="D6382" s="1" t="n">
        <v>29.809</v>
      </c>
      <c r="E6382" s="1" t="n">
        <f aca="false">LN(D6382)</f>
        <v>3.3948103613373</v>
      </c>
    </row>
    <row r="6383" customFormat="false" ht="15.75" hidden="false" customHeight="false" outlineLevel="0" collapsed="false">
      <c r="A6383" s="1" t="s">
        <v>1124</v>
      </c>
      <c r="B6383" s="1" t="n">
        <v>179.74</v>
      </c>
      <c r="C6383" s="1" t="n">
        <f aca="false">1/B6383</f>
        <v>0.00556359185490152</v>
      </c>
      <c r="D6383" s="1" t="n">
        <v>25.03</v>
      </c>
      <c r="E6383" s="1" t="n">
        <f aca="false">LN(D6383)</f>
        <v>3.22007510544368</v>
      </c>
    </row>
    <row r="6384" customFormat="false" ht="15.75" hidden="false" customHeight="false" outlineLevel="0" collapsed="false">
      <c r="A6384" s="1" t="s">
        <v>1124</v>
      </c>
      <c r="B6384" s="1" t="n">
        <v>180.61</v>
      </c>
      <c r="C6384" s="1" t="n">
        <f aca="false">1/B6384</f>
        <v>0.00553679198272521</v>
      </c>
      <c r="D6384" s="1" t="n">
        <v>21.523</v>
      </c>
      <c r="E6384" s="1" t="n">
        <f aca="false">LN(D6384)</f>
        <v>3.06912213078204</v>
      </c>
    </row>
    <row r="6385" customFormat="false" ht="15.75" hidden="false" customHeight="false" outlineLevel="0" collapsed="false">
      <c r="A6385" s="1" t="s">
        <v>1124</v>
      </c>
      <c r="B6385" s="1" t="n">
        <v>181.48</v>
      </c>
      <c r="C6385" s="1" t="n">
        <f aca="false">1/B6385</f>
        <v>0.00551024906325766</v>
      </c>
      <c r="D6385" s="1" t="n">
        <v>18.842</v>
      </c>
      <c r="E6385" s="1" t="n">
        <f aca="false">LN(D6385)</f>
        <v>2.93608842062648</v>
      </c>
    </row>
    <row r="6386" customFormat="false" ht="15.75" hidden="false" customHeight="false" outlineLevel="0" collapsed="false">
      <c r="A6386" s="1" t="s">
        <v>1124</v>
      </c>
      <c r="B6386" s="1" t="n">
        <v>182.35</v>
      </c>
      <c r="C6386" s="1" t="n">
        <f aca="false">1/B6386</f>
        <v>0.0054839594187003</v>
      </c>
      <c r="D6386" s="1" t="n">
        <v>16.726</v>
      </c>
      <c r="E6386" s="1" t="n">
        <f aca="false">LN(D6386)</f>
        <v>2.81696439495933</v>
      </c>
    </row>
    <row r="6387" customFormat="false" ht="15.75" hidden="false" customHeight="false" outlineLevel="0" collapsed="false">
      <c r="A6387" s="1" t="s">
        <v>1124</v>
      </c>
      <c r="B6387" s="1" t="n">
        <v>183.22</v>
      </c>
      <c r="C6387" s="1" t="n">
        <f aca="false">1/B6387</f>
        <v>0.00545791944110905</v>
      </c>
      <c r="D6387" s="1" t="n">
        <v>15.014</v>
      </c>
      <c r="E6387" s="1" t="n">
        <f aca="false">LN(D6387)</f>
        <v>2.70898309915081</v>
      </c>
    </row>
    <row r="6388" customFormat="false" ht="15.75" hidden="false" customHeight="false" outlineLevel="0" collapsed="false">
      <c r="A6388" s="1" t="s">
        <v>1124</v>
      </c>
      <c r="B6388" s="1" t="n">
        <v>184.09</v>
      </c>
      <c r="C6388" s="1" t="n">
        <f aca="false">1/B6388</f>
        <v>0.00543212559074366</v>
      </c>
      <c r="D6388" s="1" t="n">
        <v>13.601</v>
      </c>
      <c r="E6388" s="1" t="n">
        <f aca="false">LN(D6388)</f>
        <v>2.61014331945062</v>
      </c>
    </row>
    <row r="6389" customFormat="false" ht="15.75" hidden="false" customHeight="false" outlineLevel="0" collapsed="false">
      <c r="A6389" s="1" t="s">
        <v>1124</v>
      </c>
      <c r="B6389" s="1" t="n">
        <v>184.96</v>
      </c>
      <c r="C6389" s="1" t="n">
        <f aca="false">1/B6389</f>
        <v>0.00540657439446367</v>
      </c>
      <c r="D6389" s="1" t="n">
        <v>12.416</v>
      </c>
      <c r="E6389" s="1" t="n">
        <f aca="false">LN(D6389)</f>
        <v>2.51898596344086</v>
      </c>
    </row>
    <row r="6390" customFormat="false" ht="15.75" hidden="false" customHeight="false" outlineLevel="0" collapsed="false">
      <c r="A6390" s="1" t="s">
        <v>1124</v>
      </c>
      <c r="B6390" s="1" t="n">
        <v>185.83</v>
      </c>
      <c r="C6390" s="1" t="n">
        <f aca="false">1/B6390</f>
        <v>0.0053812624441694</v>
      </c>
      <c r="D6390" s="1" t="n">
        <v>11.407</v>
      </c>
      <c r="E6390" s="1" t="n">
        <f aca="false">LN(D6390)</f>
        <v>2.43422720204576</v>
      </c>
    </row>
    <row r="6391" customFormat="false" ht="15.75" hidden="false" customHeight="false" outlineLevel="0" collapsed="false">
      <c r="A6391" s="1" t="s">
        <v>1124</v>
      </c>
      <c r="B6391" s="1" t="n">
        <v>186.7</v>
      </c>
      <c r="C6391" s="1" t="n">
        <f aca="false">1/B6391</f>
        <v>0.00535618639528656</v>
      </c>
      <c r="D6391" s="1" t="n">
        <v>10.539</v>
      </c>
      <c r="E6391" s="1" t="n">
        <f aca="false">LN(D6391)</f>
        <v>2.3550826619518</v>
      </c>
    </row>
    <row r="6392" customFormat="false" ht="15.75" hidden="false" customHeight="false" outlineLevel="0" collapsed="false">
      <c r="A6392" s="1" t="s">
        <v>1124</v>
      </c>
      <c r="B6392" s="1" t="n">
        <v>187.57</v>
      </c>
      <c r="C6392" s="1" t="n">
        <f aca="false">1/B6392</f>
        <v>0.00533134296529296</v>
      </c>
      <c r="D6392" s="1" t="n">
        <v>9.7833</v>
      </c>
      <c r="E6392" s="1" t="n">
        <f aca="false">LN(D6392)</f>
        <v>2.28067685044517</v>
      </c>
    </row>
    <row r="6393" customFormat="false" ht="15.75" hidden="false" customHeight="false" outlineLevel="0" collapsed="false">
      <c r="A6393" s="1" t="s">
        <v>1124</v>
      </c>
      <c r="B6393" s="1" t="n">
        <v>188.44</v>
      </c>
      <c r="C6393" s="1" t="n">
        <f aca="false">1/B6393</f>
        <v>0.00530672893228614</v>
      </c>
      <c r="D6393" s="1" t="n">
        <v>9.1206</v>
      </c>
      <c r="E6393" s="1" t="n">
        <f aca="false">LN(D6393)</f>
        <v>2.21053559139589</v>
      </c>
    </row>
    <row r="6394" customFormat="false" ht="15.75" hidden="false" customHeight="false" outlineLevel="0" collapsed="false">
      <c r="A6394" s="1" t="s">
        <v>1124</v>
      </c>
      <c r="B6394" s="1" t="n">
        <v>189.31</v>
      </c>
      <c r="C6394" s="1" t="n">
        <f aca="false">1/B6394</f>
        <v>0.00528234113359041</v>
      </c>
      <c r="D6394" s="1" t="n">
        <v>8.5346</v>
      </c>
      <c r="E6394" s="1" t="n">
        <f aca="false">LN(D6394)</f>
        <v>2.14412848930165</v>
      </c>
    </row>
    <row r="6395" customFormat="false" ht="15.75" hidden="false" customHeight="false" outlineLevel="0" collapsed="false">
      <c r="A6395" s="1" t="s">
        <v>1124</v>
      </c>
      <c r="B6395" s="1" t="n">
        <v>190.18</v>
      </c>
      <c r="C6395" s="1" t="n">
        <f aca="false">1/B6395</f>
        <v>0.00525817646440215</v>
      </c>
      <c r="D6395" s="1" t="n">
        <v>8.0129</v>
      </c>
      <c r="E6395" s="1" t="n">
        <f aca="false">LN(D6395)</f>
        <v>2.08105274299761</v>
      </c>
    </row>
    <row r="6396" customFormat="false" ht="15.75" hidden="false" customHeight="false" outlineLevel="0" collapsed="false">
      <c r="A6396" s="1" t="s">
        <v>1124</v>
      </c>
      <c r="B6396" s="1" t="n">
        <v>191.05</v>
      </c>
      <c r="C6396" s="1" t="n">
        <f aca="false">1/B6396</f>
        <v>0.00523423187647213</v>
      </c>
      <c r="D6396" s="1" t="n">
        <v>7.5455</v>
      </c>
      <c r="E6396" s="1" t="n">
        <f aca="false">LN(D6396)</f>
        <v>2.02095135907647</v>
      </c>
    </row>
    <row r="6397" customFormat="false" ht="15.75" hidden="false" customHeight="false" outlineLevel="0" collapsed="false">
      <c r="A6397" s="1" t="s">
        <v>1124</v>
      </c>
      <c r="B6397" s="1" t="n">
        <v>191.92</v>
      </c>
      <c r="C6397" s="1" t="n">
        <f aca="false">1/B6397</f>
        <v>0.00521050437682368</v>
      </c>
      <c r="D6397" s="1" t="n">
        <v>7.1245</v>
      </c>
      <c r="E6397" s="1" t="n">
        <f aca="false">LN(D6397)</f>
        <v>1.96353954825371</v>
      </c>
    </row>
    <row r="6398" customFormat="false" ht="15.75" hidden="false" customHeight="false" outlineLevel="0" collapsed="false">
      <c r="A6398" s="1" t="s">
        <v>1124</v>
      </c>
      <c r="B6398" s="1" t="n">
        <v>192.79</v>
      </c>
      <c r="C6398" s="1" t="n">
        <f aca="false">1/B6398</f>
        <v>0.00518699102650553</v>
      </c>
      <c r="D6398" s="1" t="n">
        <v>6.7434</v>
      </c>
      <c r="E6398" s="1" t="n">
        <f aca="false">LN(D6398)</f>
        <v>1.90856424877014</v>
      </c>
    </row>
    <row r="6399" customFormat="false" ht="15.75" hidden="false" customHeight="false" outlineLevel="0" collapsed="false">
      <c r="A6399" s="1" t="s">
        <v>1124</v>
      </c>
      <c r="B6399" s="1" t="n">
        <v>193.66</v>
      </c>
      <c r="C6399" s="1" t="n">
        <f aca="false">1/B6399</f>
        <v>0.00516368893937829</v>
      </c>
      <c r="D6399" s="1" t="n">
        <v>6.3969</v>
      </c>
      <c r="E6399" s="1" t="n">
        <f aca="false">LN(D6399)</f>
        <v>1.85581349801816</v>
      </c>
    </row>
    <row r="6400" customFormat="false" ht="15.75" hidden="false" customHeight="false" outlineLevel="0" collapsed="false">
      <c r="A6400" s="1" t="s">
        <v>1124</v>
      </c>
      <c r="B6400" s="1" t="n">
        <v>194.53</v>
      </c>
      <c r="C6400" s="1" t="n">
        <f aca="false">1/B6400</f>
        <v>0.00514059528093353</v>
      </c>
      <c r="D6400" s="1" t="n">
        <v>6.0805</v>
      </c>
      <c r="E6400" s="1" t="n">
        <f aca="false">LN(D6400)</f>
        <v>1.80508692943892</v>
      </c>
    </row>
    <row r="6401" customFormat="false" ht="15.75" hidden="false" customHeight="false" outlineLevel="0" collapsed="false">
      <c r="A6401" s="1" t="s">
        <v>1124</v>
      </c>
      <c r="B6401" s="1" t="n">
        <v>195.4</v>
      </c>
      <c r="C6401" s="1" t="n">
        <f aca="false">1/B6401</f>
        <v>0.00511770726714432</v>
      </c>
      <c r="D6401" s="1" t="n">
        <v>5.7906</v>
      </c>
      <c r="E6401" s="1" t="n">
        <f aca="false">LN(D6401)</f>
        <v>1.75623591315901</v>
      </c>
    </row>
    <row r="6402" customFormat="false" ht="15.75" hidden="false" customHeight="false" outlineLevel="0" collapsed="false">
      <c r="A6402" s="1" t="s">
        <v>1124</v>
      </c>
      <c r="B6402" s="1" t="n">
        <v>196.27</v>
      </c>
      <c r="C6402" s="1" t="n">
        <f aca="false">1/B6402</f>
        <v>0.00509502216334641</v>
      </c>
      <c r="D6402" s="1" t="n">
        <v>5.524</v>
      </c>
      <c r="E6402" s="1" t="n">
        <f aca="false">LN(D6402)</f>
        <v>1.70910223554705</v>
      </c>
    </row>
    <row r="6403" customFormat="false" ht="15.75" hidden="false" customHeight="false" outlineLevel="0" collapsed="false">
      <c r="A6403" s="1" t="s">
        <v>1124</v>
      </c>
      <c r="B6403" s="1" t="n">
        <v>197.14</v>
      </c>
      <c r="C6403" s="1" t="n">
        <f aca="false">1/B6403</f>
        <v>0.00507253728314903</v>
      </c>
      <c r="D6403" s="1" t="n">
        <v>5.2781</v>
      </c>
      <c r="E6403" s="1" t="n">
        <f aca="false">LN(D6403)</f>
        <v>1.66356618447232</v>
      </c>
    </row>
    <row r="6404" customFormat="false" ht="15.75" hidden="false" customHeight="false" outlineLevel="0" collapsed="false">
      <c r="A6404" s="1" t="s">
        <v>1124</v>
      </c>
      <c r="B6404" s="1" t="n">
        <v>198.01</v>
      </c>
      <c r="C6404" s="1" t="n">
        <f aca="false">1/B6404</f>
        <v>0.00505024998737438</v>
      </c>
      <c r="D6404" s="1" t="n">
        <v>5.0506</v>
      </c>
      <c r="E6404" s="1" t="n">
        <f aca="false">LN(D6404)</f>
        <v>1.61950704811088</v>
      </c>
    </row>
    <row r="6405" customFormat="false" ht="15.75" hidden="false" customHeight="false" outlineLevel="0" collapsed="false">
      <c r="A6405" s="1" t="s">
        <v>1124</v>
      </c>
      <c r="B6405" s="1" t="n">
        <v>198.88</v>
      </c>
      <c r="C6405" s="1" t="n">
        <f aca="false">1/B6405</f>
        <v>0.00502815768302494</v>
      </c>
      <c r="D6405" s="1" t="n">
        <v>4.8395</v>
      </c>
      <c r="E6405" s="1" t="n">
        <f aca="false">LN(D6405)</f>
        <v>1.57681140960701</v>
      </c>
    </row>
    <row r="6406" customFormat="false" ht="15.75" hidden="false" customHeight="false" outlineLevel="0" collapsed="false">
      <c r="A6406" s="1" t="s">
        <v>1124</v>
      </c>
      <c r="B6406" s="1" t="n">
        <v>199.75</v>
      </c>
      <c r="C6406" s="1" t="n">
        <f aca="false">1/B6406</f>
        <v>0.00500625782227785</v>
      </c>
      <c r="D6406" s="1" t="n">
        <v>4.6433</v>
      </c>
      <c r="E6406" s="1" t="n">
        <f aca="false">LN(D6406)</f>
        <v>1.53542532034694</v>
      </c>
    </row>
    <row r="6407" customFormat="false" ht="15.75" hidden="false" customHeight="false" outlineLevel="0" collapsed="false">
      <c r="A6407" s="1" t="s">
        <v>1124</v>
      </c>
      <c r="B6407" s="1" t="n">
        <v>200.62</v>
      </c>
      <c r="C6407" s="1" t="n">
        <f aca="false">1/B6407</f>
        <v>0.00498454790150533</v>
      </c>
      <c r="D6407" s="1" t="n">
        <v>4.4603</v>
      </c>
      <c r="E6407" s="1" t="n">
        <f aca="false">LN(D6407)</f>
        <v>1.4952160283438</v>
      </c>
    </row>
    <row r="6408" customFormat="false" ht="15.75" hidden="false" customHeight="false" outlineLevel="0" collapsed="false">
      <c r="A6408" s="1" t="s">
        <v>1124</v>
      </c>
      <c r="B6408" s="1" t="n">
        <v>201.49</v>
      </c>
      <c r="C6408" s="1" t="n">
        <f aca="false">1/B6408</f>
        <v>0.00496302546032061</v>
      </c>
      <c r="D6408" s="1" t="n">
        <v>4.2894</v>
      </c>
      <c r="E6408" s="1" t="n">
        <f aca="false">LN(D6408)</f>
        <v>1.45614686301872</v>
      </c>
    </row>
    <row r="6409" customFormat="false" ht="15.75" hidden="false" customHeight="false" outlineLevel="0" collapsed="false">
      <c r="A6409" s="1" t="s">
        <v>1124</v>
      </c>
      <c r="B6409" s="1" t="n">
        <v>202.36</v>
      </c>
      <c r="C6409" s="1" t="n">
        <f aca="false">1/B6409</f>
        <v>0.00494168808064835</v>
      </c>
      <c r="D6409" s="1" t="n">
        <v>4.1294</v>
      </c>
      <c r="E6409" s="1" t="n">
        <f aca="false">LN(D6409)</f>
        <v>1.41813211796864</v>
      </c>
    </row>
    <row r="6410" customFormat="false" ht="15.75" hidden="false" customHeight="false" outlineLevel="0" collapsed="false">
      <c r="A6410" s="1" t="s">
        <v>1124</v>
      </c>
      <c r="B6410" s="1" t="n">
        <v>203.23</v>
      </c>
      <c r="C6410" s="1" t="n">
        <f aca="false">1/B6410</f>
        <v>0.00492053338581902</v>
      </c>
      <c r="D6410" s="1" t="n">
        <v>3.9793</v>
      </c>
      <c r="E6410" s="1" t="n">
        <f aca="false">LN(D6410)</f>
        <v>1.38110592443077</v>
      </c>
    </row>
    <row r="6411" customFormat="false" ht="15.75" hidden="false" customHeight="false" outlineLevel="0" collapsed="false">
      <c r="A6411" s="1" t="s">
        <v>1124</v>
      </c>
      <c r="B6411" s="1" t="n">
        <v>204.1</v>
      </c>
      <c r="C6411" s="1" t="n">
        <f aca="false">1/B6411</f>
        <v>0.00489955903968643</v>
      </c>
      <c r="D6411" s="1" t="n">
        <v>3.8383</v>
      </c>
      <c r="E6411" s="1" t="n">
        <f aca="false">LN(D6411)</f>
        <v>1.34502956024204</v>
      </c>
    </row>
    <row r="6412" customFormat="false" ht="15.75" hidden="false" customHeight="false" outlineLevel="0" collapsed="false">
      <c r="A6412" s="1" t="s">
        <v>1124</v>
      </c>
      <c r="B6412" s="1" t="n">
        <v>204.97</v>
      </c>
      <c r="C6412" s="1" t="n">
        <f aca="false">1/B6412</f>
        <v>0.00487876274576767</v>
      </c>
      <c r="D6412" s="1" t="n">
        <v>3.7056</v>
      </c>
      <c r="E6412" s="1" t="n">
        <f aca="false">LN(D6412)</f>
        <v>1.30984518895648</v>
      </c>
    </row>
    <row r="6413" customFormat="false" ht="15.75" hidden="false" customHeight="false" outlineLevel="0" collapsed="false">
      <c r="A6413" s="1" t="s">
        <v>1124</v>
      </c>
      <c r="B6413" s="1" t="n">
        <v>205.84</v>
      </c>
      <c r="C6413" s="1" t="n">
        <f aca="false">1/B6413</f>
        <v>0.00485814224640497</v>
      </c>
      <c r="D6413" s="1" t="n">
        <v>3.5805</v>
      </c>
      <c r="E6413" s="1" t="n">
        <f aca="false">LN(D6413)</f>
        <v>1.27550245546486</v>
      </c>
    </row>
    <row r="6414" customFormat="false" ht="15.75" hidden="false" customHeight="false" outlineLevel="0" collapsed="false">
      <c r="A6414" s="1" t="s">
        <v>1124</v>
      </c>
      <c r="B6414" s="1" t="n">
        <v>206.71</v>
      </c>
      <c r="C6414" s="1" t="n">
        <f aca="false">1/B6414</f>
        <v>0.00483769532194862</v>
      </c>
      <c r="D6414" s="1" t="n">
        <v>3.4623</v>
      </c>
      <c r="E6414" s="1" t="n">
        <f aca="false">LN(D6414)</f>
        <v>1.24193310811233</v>
      </c>
    </row>
    <row r="6415" customFormat="false" ht="15.75" hidden="false" customHeight="false" outlineLevel="0" collapsed="false">
      <c r="A6415" s="1" t="s">
        <v>1124</v>
      </c>
      <c r="B6415" s="1" t="n">
        <v>207.58</v>
      </c>
      <c r="C6415" s="1" t="n">
        <f aca="false">1/B6415</f>
        <v>0.0048174197899605</v>
      </c>
      <c r="D6415" s="1" t="n">
        <v>3.3506</v>
      </c>
      <c r="E6415" s="1" t="n">
        <f aca="false">LN(D6415)</f>
        <v>1.2091394342773</v>
      </c>
    </row>
    <row r="6416" customFormat="false" ht="15.75" hidden="false" customHeight="false" outlineLevel="0" collapsed="false">
      <c r="A6416" s="1" t="s">
        <v>1124</v>
      </c>
      <c r="B6416" s="1" t="n">
        <v>208.45</v>
      </c>
      <c r="C6416" s="1" t="n">
        <f aca="false">1/B6416</f>
        <v>0.00479731350443752</v>
      </c>
      <c r="D6416" s="1" t="n">
        <v>3.2449</v>
      </c>
      <c r="E6416" s="1" t="n">
        <f aca="false">LN(D6416)</f>
        <v>1.17708453304022</v>
      </c>
    </row>
    <row r="6417" customFormat="false" ht="15.75" hidden="false" customHeight="false" outlineLevel="0" collapsed="false">
      <c r="A6417" s="1" t="s">
        <v>1124</v>
      </c>
      <c r="B6417" s="1" t="n">
        <v>209.32</v>
      </c>
      <c r="C6417" s="1" t="n">
        <f aca="false">1/B6417</f>
        <v>0.00477737435505446</v>
      </c>
      <c r="D6417" s="1" t="n">
        <v>3.1446</v>
      </c>
      <c r="E6417" s="1" t="n">
        <f aca="false">LN(D6417)</f>
        <v>1.14568669605404</v>
      </c>
    </row>
    <row r="6418" customFormat="false" ht="15.75" hidden="false" customHeight="false" outlineLevel="0" collapsed="false">
      <c r="A6418" s="1" t="s">
        <v>1124</v>
      </c>
      <c r="B6418" s="1" t="n">
        <v>210.19</v>
      </c>
      <c r="C6418" s="1" t="n">
        <f aca="false">1/B6418</f>
        <v>0.00475760026642562</v>
      </c>
      <c r="D6418" s="1" t="n">
        <v>3.0494</v>
      </c>
      <c r="E6418" s="1" t="n">
        <f aca="false">LN(D6418)</f>
        <v>1.11494484995567</v>
      </c>
    </row>
    <row r="6419" customFormat="false" ht="15.75" hidden="false" customHeight="false" outlineLevel="0" collapsed="false">
      <c r="A6419" s="1" t="s">
        <v>1124</v>
      </c>
      <c r="B6419" s="1" t="n">
        <v>211.06</v>
      </c>
      <c r="C6419" s="1" t="n">
        <f aca="false">1/B6419</f>
        <v>0.00473798919738463</v>
      </c>
      <c r="D6419" s="1" t="n">
        <v>2.959</v>
      </c>
      <c r="E6419" s="1" t="n">
        <f aca="false">LN(D6419)</f>
        <v>1.08485137341807</v>
      </c>
    </row>
    <row r="6420" customFormat="false" ht="15.75" hidden="false" customHeight="false" outlineLevel="0" collapsed="false">
      <c r="A6420" s="1" t="s">
        <v>1124</v>
      </c>
      <c r="B6420" s="1" t="n">
        <v>211.93</v>
      </c>
      <c r="C6420" s="1" t="n">
        <f aca="false">1/B6420</f>
        <v>0.00471853914028217</v>
      </c>
      <c r="D6420" s="1" t="n">
        <v>2.8729</v>
      </c>
      <c r="E6420" s="1" t="n">
        <f aca="false">LN(D6420)</f>
        <v>1.05532197256924</v>
      </c>
    </row>
    <row r="6421" customFormat="false" ht="15.75" hidden="false" customHeight="false" outlineLevel="0" collapsed="false">
      <c r="A6421" s="1" t="s">
        <v>1124</v>
      </c>
      <c r="B6421" s="1" t="n">
        <v>212.8</v>
      </c>
      <c r="C6421" s="1" t="n">
        <f aca="false">1/B6421</f>
        <v>0.00469924812030075</v>
      </c>
      <c r="D6421" s="1" t="n">
        <v>2.791</v>
      </c>
      <c r="E6421" s="1" t="n">
        <f aca="false">LN(D6421)</f>
        <v>1.02639995455419</v>
      </c>
    </row>
    <row r="6422" customFormat="false" ht="15.75" hidden="false" customHeight="false" outlineLevel="0" collapsed="false">
      <c r="A6422" s="1" t="s">
        <v>1124</v>
      </c>
      <c r="B6422" s="1" t="n">
        <v>213.67</v>
      </c>
      <c r="C6422" s="1" t="n">
        <f aca="false">1/B6422</f>
        <v>0.00468011419478635</v>
      </c>
      <c r="D6422" s="1" t="n">
        <v>2.7129</v>
      </c>
      <c r="E6422" s="1" t="n">
        <f aca="false">LN(D6422)</f>
        <v>0.998018173432407</v>
      </c>
    </row>
    <row r="6423" customFormat="false" ht="15.75" hidden="false" customHeight="false" outlineLevel="0" collapsed="false">
      <c r="A6423" s="1" t="s">
        <v>1124</v>
      </c>
      <c r="B6423" s="1" t="n">
        <v>214.54</v>
      </c>
      <c r="C6423" s="1" t="n">
        <f aca="false">1/B6423</f>
        <v>0.00466113545259625</v>
      </c>
      <c r="D6423" s="1" t="n">
        <v>2.6383</v>
      </c>
      <c r="E6423" s="1" t="n">
        <f aca="false">LN(D6423)</f>
        <v>0.970134770346266</v>
      </c>
    </row>
    <row r="6424" customFormat="false" ht="15.75" hidden="false" customHeight="false" outlineLevel="0" collapsed="false">
      <c r="A6424" s="1" t="s">
        <v>1124</v>
      </c>
      <c r="B6424" s="1" t="n">
        <v>215.41</v>
      </c>
      <c r="C6424" s="1" t="n">
        <f aca="false">1/B6424</f>
        <v>0.0046423100134627</v>
      </c>
      <c r="D6424" s="1" t="n">
        <v>2.5671</v>
      </c>
      <c r="E6424" s="1" t="n">
        <f aca="false">LN(D6424)</f>
        <v>0.942776857109982</v>
      </c>
    </row>
    <row r="6425" customFormat="false" ht="15.75" hidden="false" customHeight="false" outlineLevel="0" collapsed="false">
      <c r="A6425" s="1" t="s">
        <v>1124</v>
      </c>
      <c r="B6425" s="1" t="n">
        <v>216.28</v>
      </c>
      <c r="C6425" s="1" t="n">
        <f aca="false">1/B6425</f>
        <v>0.00462363602737193</v>
      </c>
      <c r="D6425" s="1" t="n">
        <v>2.499</v>
      </c>
      <c r="E6425" s="1" t="n">
        <f aca="false">LN(D6425)</f>
        <v>0.915890651852815</v>
      </c>
    </row>
    <row r="6426" customFormat="false" ht="15.75" hidden="false" customHeight="false" outlineLevel="0" collapsed="false">
      <c r="A6426" s="1" t="s">
        <v>1124</v>
      </c>
      <c r="B6426" s="1" t="n">
        <v>217.15</v>
      </c>
      <c r="C6426" s="1" t="n">
        <f aca="false">1/B6426</f>
        <v>0.00460511167395809</v>
      </c>
      <c r="D6426" s="1" t="n">
        <v>2.4339</v>
      </c>
      <c r="E6426" s="1" t="n">
        <f aca="false">LN(D6426)</f>
        <v>0.889494909086992</v>
      </c>
    </row>
    <row r="6427" customFormat="false" ht="15.75" hidden="false" customHeight="false" outlineLevel="0" collapsed="false">
      <c r="A6427" s="1" t="s">
        <v>1124</v>
      </c>
      <c r="B6427" s="1" t="n">
        <v>218.02</v>
      </c>
      <c r="C6427" s="1" t="n">
        <f aca="false">1/B6427</f>
        <v>0.00458673516191175</v>
      </c>
      <c r="D6427" s="1" t="n">
        <v>2.3715</v>
      </c>
      <c r="E6427" s="1" t="n">
        <f aca="false">LN(D6427)</f>
        <v>0.863522666335499</v>
      </c>
    </row>
    <row r="6428" customFormat="false" ht="15.75" hidden="false" customHeight="false" outlineLevel="0" collapsed="false">
      <c r="A6428" s="1" t="s">
        <v>1124</v>
      </c>
      <c r="B6428" s="1" t="n">
        <v>218.89</v>
      </c>
      <c r="C6428" s="1" t="n">
        <f aca="false">1/B6428</f>
        <v>0.00456850472840239</v>
      </c>
      <c r="D6428" s="1" t="n">
        <v>2.3117</v>
      </c>
      <c r="E6428" s="1" t="n">
        <f aca="false">LN(D6428)</f>
        <v>0.837983184605394</v>
      </c>
    </row>
    <row r="6429" customFormat="false" ht="15.75" hidden="false" customHeight="false" outlineLevel="0" collapsed="false">
      <c r="A6429" s="1" t="s">
        <v>1124</v>
      </c>
      <c r="B6429" s="1" t="n">
        <v>219.76</v>
      </c>
      <c r="C6429" s="1" t="n">
        <f aca="false">1/B6429</f>
        <v>0.00455041863851474</v>
      </c>
      <c r="D6429" s="1" t="n">
        <v>2.2544</v>
      </c>
      <c r="E6429" s="1" t="n">
        <f aca="false">LN(D6429)</f>
        <v>0.812883862162279</v>
      </c>
    </row>
    <row r="6430" customFormat="false" ht="15.75" hidden="false" customHeight="false" outlineLevel="0" collapsed="false">
      <c r="A6430" s="1" t="s">
        <v>1124</v>
      </c>
      <c r="B6430" s="1" t="n">
        <v>220.63</v>
      </c>
      <c r="C6430" s="1" t="n">
        <f aca="false">1/B6430</f>
        <v>0.00453247518469836</v>
      </c>
      <c r="D6430" s="1" t="n">
        <v>2.1993</v>
      </c>
      <c r="E6430" s="1" t="n">
        <f aca="false">LN(D6430)</f>
        <v>0.788139127915514</v>
      </c>
    </row>
    <row r="6431" customFormat="false" ht="15.75" hidden="false" customHeight="false" outlineLevel="0" collapsed="false">
      <c r="A6431" s="1" t="s">
        <v>1124</v>
      </c>
      <c r="B6431" s="1" t="n">
        <v>221.5</v>
      </c>
      <c r="C6431" s="1" t="n">
        <f aca="false">1/B6431</f>
        <v>0.00451467268623025</v>
      </c>
      <c r="D6431" s="1" t="n">
        <v>2.1465</v>
      </c>
      <c r="E6431" s="1" t="n">
        <f aca="false">LN(D6431)</f>
        <v>0.763838608682478</v>
      </c>
    </row>
    <row r="6432" customFormat="false" ht="15.75" hidden="false" customHeight="false" outlineLevel="0" collapsed="false">
      <c r="A6432" s="1" t="s">
        <v>1124</v>
      </c>
      <c r="B6432" s="1" t="n">
        <v>222.37</v>
      </c>
      <c r="C6432" s="1" t="n">
        <f aca="false">1/B6432</f>
        <v>0.00449700948869002</v>
      </c>
      <c r="D6432" s="1" t="n">
        <v>2.0957</v>
      </c>
      <c r="E6432" s="1" t="n">
        <f aca="false">LN(D6432)</f>
        <v>0.73988762644376</v>
      </c>
    </row>
    <row r="6433" customFormat="false" ht="15.75" hidden="false" customHeight="false" outlineLevel="0" collapsed="false">
      <c r="A6433" s="1" t="s">
        <v>1124</v>
      </c>
      <c r="B6433" s="1" t="n">
        <v>223.24</v>
      </c>
      <c r="C6433" s="1" t="n">
        <f aca="false">1/B6433</f>
        <v>0.00447948396344741</v>
      </c>
      <c r="D6433" s="1" t="n">
        <v>2.0468</v>
      </c>
      <c r="E6433" s="1" t="n">
        <f aca="false">LN(D6433)</f>
        <v>0.7162775979488</v>
      </c>
    </row>
    <row r="6434" customFormat="false" ht="15.75" hidden="false" customHeight="false" outlineLevel="0" collapsed="false">
      <c r="A6434" s="1" t="s">
        <v>1124</v>
      </c>
      <c r="B6434" s="1" t="n">
        <v>224.11</v>
      </c>
      <c r="C6434" s="1" t="n">
        <f aca="false">1/B6434</f>
        <v>0.00446209450716166</v>
      </c>
      <c r="D6434" s="1" t="n">
        <v>1.9998</v>
      </c>
      <c r="E6434" s="1" t="n">
        <f aca="false">LN(D6434)</f>
        <v>0.693047175559612</v>
      </c>
    </row>
    <row r="6435" customFormat="false" ht="15.75" hidden="false" customHeight="false" outlineLevel="0" collapsed="false">
      <c r="A6435" s="1" t="s">
        <v>1124</v>
      </c>
      <c r="B6435" s="1" t="n">
        <v>224.98</v>
      </c>
      <c r="C6435" s="1" t="n">
        <f aca="false">1/B6435</f>
        <v>0.00444483954129256</v>
      </c>
      <c r="D6435" s="1" t="n">
        <v>1.9545</v>
      </c>
      <c r="E6435" s="1" t="n">
        <f aca="false">LN(D6435)</f>
        <v>0.670134406250872</v>
      </c>
    </row>
    <row r="6436" customFormat="false" ht="15.75" hidden="false" customHeight="false" outlineLevel="0" collapsed="false">
      <c r="A6436" s="1" t="s">
        <v>1124</v>
      </c>
      <c r="B6436" s="1" t="n">
        <v>225.85</v>
      </c>
      <c r="C6436" s="1" t="n">
        <f aca="false">1/B6436</f>
        <v>0.00442771751162276</v>
      </c>
      <c r="D6436" s="1" t="n">
        <v>1.9109</v>
      </c>
      <c r="E6436" s="1" t="n">
        <f aca="false">LN(D6436)</f>
        <v>0.647574335265189</v>
      </c>
    </row>
    <row r="6437" customFormat="false" ht="15.75" hidden="false" customHeight="false" outlineLevel="0" collapsed="false">
      <c r="A6437" s="1" t="s">
        <v>1124</v>
      </c>
      <c r="B6437" s="1" t="n">
        <v>226.72</v>
      </c>
      <c r="C6437" s="1" t="n">
        <f aca="false">1/B6437</f>
        <v>0.00441072688779111</v>
      </c>
      <c r="D6437" s="1" t="n">
        <v>1.8689</v>
      </c>
      <c r="E6437" s="1" t="n">
        <f aca="false">LN(D6437)</f>
        <v>0.62535002249412</v>
      </c>
    </row>
    <row r="6438" customFormat="false" ht="15.75" hidden="false" customHeight="false" outlineLevel="0" collapsed="false">
      <c r="A6438" s="1" t="s">
        <v>1124</v>
      </c>
      <c r="B6438" s="1" t="n">
        <v>227.59</v>
      </c>
      <c r="C6438" s="1" t="n">
        <f aca="false">1/B6438</f>
        <v>0.00439386616283668</v>
      </c>
      <c r="D6438" s="1" t="n">
        <v>1.8283</v>
      </c>
      <c r="E6438" s="1" t="n">
        <f aca="false">LN(D6438)</f>
        <v>0.603386573352322</v>
      </c>
    </row>
    <row r="6439" customFormat="false" ht="15.75" hidden="false" customHeight="false" outlineLevel="0" collapsed="false">
      <c r="A6439" s="1" t="s">
        <v>1124</v>
      </c>
      <c r="B6439" s="1" t="n">
        <v>228.46</v>
      </c>
      <c r="C6439" s="1" t="n">
        <f aca="false">1/B6439</f>
        <v>0.00437713385275322</v>
      </c>
      <c r="D6439" s="1" t="n">
        <v>1.7891</v>
      </c>
      <c r="E6439" s="1" t="n">
        <f aca="false">LN(D6439)</f>
        <v>0.58171270011364</v>
      </c>
    </row>
    <row r="6440" customFormat="false" ht="15.75" hidden="false" customHeight="false" outlineLevel="0" collapsed="false">
      <c r="A6440" s="1" t="s">
        <v>1124</v>
      </c>
      <c r="B6440" s="1" t="n">
        <v>229.33</v>
      </c>
      <c r="C6440" s="1" t="n">
        <f aca="false">1/B6440</f>
        <v>0.00436052849605372</v>
      </c>
      <c r="D6440" s="1" t="n">
        <v>1.7513</v>
      </c>
      <c r="E6440" s="1" t="n">
        <f aca="false">LN(D6440)</f>
        <v>0.560358369296482</v>
      </c>
    </row>
    <row r="6441" customFormat="false" ht="15.75" hidden="false" customHeight="false" outlineLevel="0" collapsed="false">
      <c r="A6441" s="1" t="s">
        <v>1124</v>
      </c>
      <c r="B6441" s="1" t="n">
        <v>230.2</v>
      </c>
      <c r="C6441" s="1" t="n">
        <f aca="false">1/B6441</f>
        <v>0.00434404865334492</v>
      </c>
      <c r="D6441" s="1" t="n">
        <v>1.7148</v>
      </c>
      <c r="E6441" s="1" t="n">
        <f aca="false">LN(D6441)</f>
        <v>0.539296455741685</v>
      </c>
    </row>
    <row r="6442" customFormat="false" ht="15.75" hidden="false" customHeight="false" outlineLevel="0" collapsed="false">
      <c r="A6442" s="1" t="s">
        <v>1124</v>
      </c>
      <c r="B6442" s="1" t="n">
        <v>231.07</v>
      </c>
      <c r="C6442" s="1" t="n">
        <f aca="false">1/B6442</f>
        <v>0.00432769290691133</v>
      </c>
      <c r="D6442" s="1" t="n">
        <v>1.6795</v>
      </c>
      <c r="E6442" s="1" t="n">
        <f aca="false">LN(D6442)</f>
        <v>0.51849613007021</v>
      </c>
    </row>
    <row r="6443" customFormat="false" ht="15.75" hidden="false" customHeight="false" outlineLevel="0" collapsed="false">
      <c r="A6443" s="1" t="s">
        <v>1124</v>
      </c>
      <c r="B6443" s="1" t="n">
        <v>231.94</v>
      </c>
      <c r="C6443" s="1" t="n">
        <f aca="false">1/B6443</f>
        <v>0.0043114598603087</v>
      </c>
      <c r="D6443" s="1" t="n">
        <v>1.6454</v>
      </c>
      <c r="E6443" s="1" t="n">
        <f aca="false">LN(D6443)</f>
        <v>0.497983515752693</v>
      </c>
    </row>
    <row r="6444" customFormat="false" ht="15.75" hidden="false" customHeight="false" outlineLevel="0" collapsed="false">
      <c r="A6444" s="1" t="s">
        <v>1124</v>
      </c>
      <c r="B6444" s="1" t="n">
        <v>232.81</v>
      </c>
      <c r="C6444" s="1" t="n">
        <f aca="false">1/B6444</f>
        <v>0.00429534813796658</v>
      </c>
      <c r="D6444" s="1" t="n">
        <v>1.6124</v>
      </c>
      <c r="E6444" s="1" t="n">
        <f aca="false">LN(D6444)</f>
        <v>0.477723752260874</v>
      </c>
    </row>
    <row r="6445" customFormat="false" ht="15.75" hidden="false" customHeight="false" outlineLevel="0" collapsed="false">
      <c r="A6445" s="1" t="s">
        <v>1124</v>
      </c>
      <c r="B6445" s="1" t="n">
        <v>233.68</v>
      </c>
      <c r="C6445" s="1" t="n">
        <f aca="false">1/B6445</f>
        <v>0.00427935638479973</v>
      </c>
      <c r="D6445" s="1" t="n">
        <v>1.5804</v>
      </c>
      <c r="E6445" s="1" t="n">
        <f aca="false">LN(D6445)</f>
        <v>0.457677979555099</v>
      </c>
    </row>
    <row r="6446" customFormat="false" ht="15.75" hidden="false" customHeight="false" outlineLevel="0" collapsed="false">
      <c r="A6446" s="1" t="s">
        <v>1124</v>
      </c>
      <c r="B6446" s="1" t="n">
        <v>234.55</v>
      </c>
      <c r="C6446" s="1" t="n">
        <f aca="false">1/B6446</f>
        <v>0.00426348326582818</v>
      </c>
      <c r="D6446" s="1" t="n">
        <v>1.5495</v>
      </c>
      <c r="E6446" s="1" t="n">
        <f aca="false">LN(D6446)</f>
        <v>0.437932298245666</v>
      </c>
    </row>
    <row r="6447" customFormat="false" ht="15.75" hidden="false" customHeight="false" outlineLevel="0" collapsed="false">
      <c r="A6447" s="1" t="s">
        <v>1124</v>
      </c>
      <c r="B6447" s="1" t="n">
        <v>235.42</v>
      </c>
      <c r="C6447" s="1" t="n">
        <f aca="false">1/B6447</f>
        <v>0.00424772746580579</v>
      </c>
      <c r="D6447" s="1" t="n">
        <v>1.5195</v>
      </c>
      <c r="E6447" s="1" t="n">
        <f aca="false">LN(D6447)</f>
        <v>0.418381333374711</v>
      </c>
    </row>
    <row r="6448" customFormat="false" ht="15.75" hidden="false" customHeight="false" outlineLevel="0" collapsed="false">
      <c r="A6448" s="1" t="s">
        <v>1124</v>
      </c>
      <c r="B6448" s="1" t="n">
        <v>236.29</v>
      </c>
      <c r="C6448" s="1" t="n">
        <f aca="false">1/B6448</f>
        <v>0.00423208768885691</v>
      </c>
      <c r="D6448" s="1" t="n">
        <v>1.4905</v>
      </c>
      <c r="E6448" s="1" t="n">
        <f aca="false">LN(D6448)</f>
        <v>0.399111634135989</v>
      </c>
    </row>
    <row r="6449" customFormat="false" ht="15.75" hidden="false" customHeight="false" outlineLevel="0" collapsed="false">
      <c r="A6449" s="1" t="s">
        <v>1124</v>
      </c>
      <c r="B6449" s="1" t="n">
        <v>237.16</v>
      </c>
      <c r="C6449" s="1" t="n">
        <f aca="false">1/B6449</f>
        <v>0.0042165626581211</v>
      </c>
      <c r="D6449" s="1" t="n">
        <v>1.4623</v>
      </c>
      <c r="E6449" s="1" t="n">
        <f aca="false">LN(D6449)</f>
        <v>0.380010538635696</v>
      </c>
    </row>
    <row r="6450" customFormat="false" ht="15.75" hidden="false" customHeight="false" outlineLevel="0" collapsed="false">
      <c r="A6450" s="1" t="s">
        <v>1124</v>
      </c>
      <c r="B6450" s="1" t="n">
        <v>238.03</v>
      </c>
      <c r="C6450" s="1" t="n">
        <f aca="false">1/B6450</f>
        <v>0.00420115111540562</v>
      </c>
      <c r="D6450" s="1" t="n">
        <v>1.435</v>
      </c>
      <c r="E6450" s="1" t="n">
        <f aca="false">LN(D6450)</f>
        <v>0.361164849211584</v>
      </c>
    </row>
    <row r="6451" customFormat="false" ht="15.75" hidden="false" customHeight="false" outlineLevel="0" collapsed="false">
      <c r="A6451" s="1" t="s">
        <v>1124</v>
      </c>
      <c r="B6451" s="1" t="n">
        <v>238.9</v>
      </c>
      <c r="C6451" s="1" t="n">
        <f aca="false">1/B6451</f>
        <v>0.00418585182084554</v>
      </c>
      <c r="D6451" s="1" t="n">
        <v>1.4085</v>
      </c>
      <c r="E6451" s="1" t="n">
        <f aca="false">LN(D6451)</f>
        <v>0.34252530833429</v>
      </c>
    </row>
    <row r="6452" customFormat="false" ht="15.75" hidden="false" customHeight="false" outlineLevel="0" collapsed="false">
      <c r="A6452" s="1" t="s">
        <v>1124</v>
      </c>
      <c r="B6452" s="1" t="n">
        <v>239.77</v>
      </c>
      <c r="C6452" s="1" t="n">
        <f aca="false">1/B6452</f>
        <v>0.00417066355257121</v>
      </c>
      <c r="D6452" s="1" t="n">
        <v>1.3828</v>
      </c>
      <c r="E6452" s="1" t="n">
        <f aca="false">LN(D6452)</f>
        <v>0.324110429065332</v>
      </c>
    </row>
    <row r="6453" customFormat="false" ht="15.75" hidden="false" customHeight="false" outlineLevel="0" collapsed="false">
      <c r="A6453" s="1" t="s">
        <v>1124</v>
      </c>
      <c r="B6453" s="1" t="n">
        <v>240.64</v>
      </c>
      <c r="C6453" s="1" t="n">
        <f aca="false">1/B6453</f>
        <v>0.00415558510638298</v>
      </c>
      <c r="D6453" s="1" t="n">
        <v>1.3578</v>
      </c>
      <c r="E6453" s="1" t="n">
        <f aca="false">LN(D6453)</f>
        <v>0.30586574288541</v>
      </c>
    </row>
    <row r="6454" customFormat="false" ht="15.75" hidden="false" customHeight="false" outlineLevel="0" collapsed="false">
      <c r="A6454" s="1" t="s">
        <v>1124</v>
      </c>
      <c r="B6454" s="1" t="n">
        <v>241.51</v>
      </c>
      <c r="C6454" s="1" t="n">
        <f aca="false">1/B6454</f>
        <v>0.0041406152954329</v>
      </c>
      <c r="D6454" s="1" t="n">
        <v>1.3336</v>
      </c>
      <c r="E6454" s="1" t="n">
        <f aca="false">LN(D6454)</f>
        <v>0.287882052454447</v>
      </c>
    </row>
    <row r="6455" customFormat="false" ht="15.75" hidden="false" customHeight="false" outlineLevel="0" collapsed="false">
      <c r="A6455" s="1" t="s">
        <v>1124</v>
      </c>
      <c r="B6455" s="1" t="n">
        <v>242.38</v>
      </c>
      <c r="C6455" s="1" t="n">
        <f aca="false">1/B6455</f>
        <v>0.00412575294991336</v>
      </c>
      <c r="D6455" s="1" t="n">
        <v>1.31</v>
      </c>
      <c r="E6455" s="1" t="n">
        <f aca="false">LN(D6455)</f>
        <v>0.27002713721306</v>
      </c>
    </row>
    <row r="6456" customFormat="false" ht="15.75" hidden="false" customHeight="false" outlineLevel="0" collapsed="false">
      <c r="A6456" s="1" t="s">
        <v>1124</v>
      </c>
      <c r="B6456" s="1" t="n">
        <v>243.25</v>
      </c>
      <c r="C6456" s="1" t="n">
        <f aca="false">1/B6456</f>
        <v>0.00411099691675231</v>
      </c>
      <c r="D6456" s="1" t="n">
        <v>1.2871</v>
      </c>
      <c r="E6456" s="1" t="n">
        <f aca="false">LN(D6456)</f>
        <v>0.252391625673195</v>
      </c>
    </row>
    <row r="6457" customFormat="false" ht="15.75" hidden="false" customHeight="false" outlineLevel="0" collapsed="false">
      <c r="A6457" s="1" t="s">
        <v>1124</v>
      </c>
      <c r="B6457" s="1" t="n">
        <v>244.12</v>
      </c>
      <c r="C6457" s="1" t="n">
        <f aca="false">1/B6457</f>
        <v>0.00409634605931509</v>
      </c>
      <c r="D6457" s="1" t="n">
        <v>1.2649</v>
      </c>
      <c r="E6457" s="1" t="n">
        <f aca="false">LN(D6457)</f>
        <v>0.234993067671359</v>
      </c>
    </row>
    <row r="6458" customFormat="false" ht="15.75" hidden="false" customHeight="false" outlineLevel="0" collapsed="false">
      <c r="A6458" s="1" t="s">
        <v>1124</v>
      </c>
      <c r="B6458" s="1" t="n">
        <v>244.99</v>
      </c>
      <c r="C6458" s="1" t="n">
        <f aca="false">1/B6458</f>
        <v>0.00408179925711254</v>
      </c>
      <c r="D6458" s="1" t="n">
        <v>1.2432</v>
      </c>
      <c r="E6458" s="1" t="n">
        <f aca="false">LN(D6458)</f>
        <v>0.217688700631246</v>
      </c>
    </row>
    <row r="6459" customFormat="false" ht="15.75" hidden="false" customHeight="false" outlineLevel="0" collapsed="false">
      <c r="A6459" s="1" t="s">
        <v>1124</v>
      </c>
      <c r="B6459" s="1" t="n">
        <v>245.86</v>
      </c>
      <c r="C6459" s="1" t="n">
        <f aca="false">1/B6459</f>
        <v>0.00406735540551533</v>
      </c>
      <c r="D6459" s="1" t="n">
        <v>1.2222</v>
      </c>
      <c r="E6459" s="1" t="n">
        <f aca="false">LN(D6459)</f>
        <v>0.200652513478678</v>
      </c>
    </row>
    <row r="6460" customFormat="false" ht="15.75" hidden="false" customHeight="false" outlineLevel="0" collapsed="false">
      <c r="A6460" s="1" t="s">
        <v>1124</v>
      </c>
      <c r="B6460" s="1" t="n">
        <v>246.73</v>
      </c>
      <c r="C6460" s="1" t="n">
        <f aca="false">1/B6460</f>
        <v>0.00405301341547441</v>
      </c>
      <c r="D6460" s="1" t="n">
        <v>1.2017</v>
      </c>
      <c r="E6460" s="1" t="n">
        <f aca="false">LN(D6460)</f>
        <v>0.183737220935117</v>
      </c>
    </row>
    <row r="6461" customFormat="false" ht="15.75" hidden="false" customHeight="false" outlineLevel="0" collapsed="false">
      <c r="A6461" s="1" t="s">
        <v>1124</v>
      </c>
      <c r="B6461" s="1" t="n">
        <v>247.6</v>
      </c>
      <c r="C6461" s="1" t="n">
        <f aca="false">1/B6461</f>
        <v>0.00403877221324717</v>
      </c>
      <c r="D6461" s="1" t="n">
        <v>1.1818</v>
      </c>
      <c r="E6461" s="1" t="n">
        <f aca="false">LN(D6461)</f>
        <v>0.167038699929437</v>
      </c>
    </row>
    <row r="6462" customFormat="false" ht="15.75" hidden="false" customHeight="false" outlineLevel="0" collapsed="false">
      <c r="A6462" s="1" t="s">
        <v>1124</v>
      </c>
      <c r="B6462" s="1" t="n">
        <v>248.47</v>
      </c>
      <c r="C6462" s="1" t="n">
        <f aca="false">1/B6462</f>
        <v>0.00402463074012959</v>
      </c>
      <c r="D6462" s="1" t="n">
        <v>1.1624</v>
      </c>
      <c r="E6462" s="1" t="n">
        <f aca="false">LN(D6462)</f>
        <v>0.150486833273936</v>
      </c>
    </row>
    <row r="6463" customFormat="false" ht="15.75" hidden="false" customHeight="false" outlineLevel="0" collapsed="false">
      <c r="A6463" s="1" t="s">
        <v>1124</v>
      </c>
      <c r="B6463" s="1" t="n">
        <v>249.34</v>
      </c>
      <c r="C6463" s="1" t="n">
        <f aca="false">1/B6463</f>
        <v>0.00401058795219379</v>
      </c>
      <c r="D6463" s="1" t="n">
        <v>1.1435</v>
      </c>
      <c r="E6463" s="1" t="n">
        <f aca="false">LN(D6463)</f>
        <v>0.134093734480699</v>
      </c>
    </row>
    <row r="6464" customFormat="false" ht="15.75" hidden="false" customHeight="false" outlineLevel="0" collapsed="false">
      <c r="A6464" s="1" t="s">
        <v>1124</v>
      </c>
      <c r="B6464" s="1" t="n">
        <v>250.21</v>
      </c>
      <c r="C6464" s="1" t="n">
        <f aca="false">1/B6464</f>
        <v>0.00399664282003117</v>
      </c>
      <c r="D6464" s="1" t="n">
        <v>1.1251</v>
      </c>
      <c r="E6464" s="1" t="n">
        <f aca="false">LN(D6464)</f>
        <v>0.117871920594889</v>
      </c>
    </row>
    <row r="6465" customFormat="false" ht="15.75" hidden="false" customHeight="false" outlineLevel="0" collapsed="false">
      <c r="A6465" s="1" t="s">
        <v>1124</v>
      </c>
      <c r="B6465" s="1" t="n">
        <v>251.08</v>
      </c>
      <c r="C6465" s="1" t="n">
        <f aca="false">1/B6465</f>
        <v>0.00398279432850088</v>
      </c>
      <c r="D6465" s="1" t="n">
        <v>1.1071</v>
      </c>
      <c r="E6465" s="1" t="n">
        <f aca="false">LN(D6465)</f>
        <v>0.101743983883284</v>
      </c>
    </row>
    <row r="6466" customFormat="false" ht="15.75" hidden="false" customHeight="false" outlineLevel="0" collapsed="false">
      <c r="A6466" s="1" t="s">
        <v>1124</v>
      </c>
      <c r="B6466" s="1" t="n">
        <v>251.95</v>
      </c>
      <c r="C6466" s="1" t="n">
        <f aca="false">1/B6466</f>
        <v>0.00396904147648343</v>
      </c>
      <c r="D6466" s="1" t="n">
        <v>1.0896</v>
      </c>
      <c r="E6466" s="1" t="n">
        <f aca="false">LN(D6466)</f>
        <v>0.0858106564131108</v>
      </c>
    </row>
    <row r="6467" customFormat="false" ht="15.75" hidden="false" customHeight="false" outlineLevel="0" collapsed="false">
      <c r="A6467" s="1" t="s">
        <v>1124</v>
      </c>
      <c r="B6467" s="1" t="n">
        <v>252.82</v>
      </c>
      <c r="C6467" s="1" t="n">
        <f aca="false">1/B6467</f>
        <v>0.00395538327663951</v>
      </c>
      <c r="D6467" s="1" t="n">
        <v>1.0726</v>
      </c>
      <c r="E6467" s="1" t="n">
        <f aca="false">LN(D6467)</f>
        <v>0.0700856075666878</v>
      </c>
    </row>
    <row r="6468" customFormat="false" ht="15.75" hidden="false" customHeight="false" outlineLevel="0" collapsed="false">
      <c r="A6468" s="1" t="s">
        <v>1124</v>
      </c>
      <c r="B6468" s="1" t="n">
        <v>253.69</v>
      </c>
      <c r="C6468" s="1" t="n">
        <f aca="false">1/B6468</f>
        <v>0.00394181875517364</v>
      </c>
      <c r="D6468" s="1" t="n">
        <v>1.056</v>
      </c>
      <c r="E6468" s="1" t="n">
        <f aca="false">LN(D6468)</f>
        <v>0.0544881852840698</v>
      </c>
    </row>
    <row r="6469" customFormat="false" ht="15.75" hidden="false" customHeight="false" outlineLevel="0" collapsed="false">
      <c r="A6469" s="1" t="s">
        <v>1124</v>
      </c>
      <c r="B6469" s="1" t="n">
        <v>254.56</v>
      </c>
      <c r="C6469" s="1" t="n">
        <f aca="false">1/B6469</f>
        <v>0.00392834695160277</v>
      </c>
      <c r="D6469" s="1" t="n">
        <v>1.0398</v>
      </c>
      <c r="E6469" s="1" t="n">
        <f aca="false">LN(D6469)</f>
        <v>0.0390283869674784</v>
      </c>
    </row>
    <row r="6470" customFormat="false" ht="15.75" hidden="false" customHeight="false" outlineLevel="0" collapsed="false">
      <c r="A6470" s="1" t="s">
        <v>1124</v>
      </c>
      <c r="B6470" s="1" t="n">
        <v>255.43</v>
      </c>
      <c r="C6470" s="1" t="n">
        <f aca="false">1/B6470</f>
        <v>0.00391496691852954</v>
      </c>
      <c r="D6470" s="1" t="n">
        <v>1.024</v>
      </c>
      <c r="E6470" s="1" t="n">
        <f aca="false">LN(D6470)</f>
        <v>0.0237165266173161</v>
      </c>
    </row>
    <row r="6471" customFormat="false" ht="15.75" hidden="false" customHeight="false" outlineLevel="0" collapsed="false">
      <c r="A6471" s="1" t="s">
        <v>1124</v>
      </c>
      <c r="B6471" s="1" t="n">
        <v>256.3</v>
      </c>
      <c r="C6471" s="1" t="n">
        <f aca="false">1/B6471</f>
        <v>0.00390167772142021</v>
      </c>
      <c r="D6471" s="1" t="n">
        <v>1.0085</v>
      </c>
      <c r="E6471" s="1" t="n">
        <f aca="false">LN(D6471)</f>
        <v>0.00846407841212936</v>
      </c>
    </row>
    <row r="6472" customFormat="false" ht="15.75" hidden="false" customHeight="false" outlineLevel="0" collapsed="false">
      <c r="A6472" s="1" t="s">
        <v>1124</v>
      </c>
      <c r="B6472" s="1" t="n">
        <v>257.17</v>
      </c>
      <c r="C6472" s="1" t="n">
        <f aca="false">1/B6472</f>
        <v>0.00388847843838706</v>
      </c>
      <c r="D6472" s="1" t="n">
        <v>0.99347</v>
      </c>
      <c r="E6472" s="1" t="n">
        <f aca="false">LN(D6472)</f>
        <v>-0.00655141372197492</v>
      </c>
    </row>
    <row r="6473" customFormat="false" ht="15.75" hidden="false" customHeight="false" outlineLevel="0" collapsed="false">
      <c r="A6473" s="1" t="s">
        <v>1124</v>
      </c>
      <c r="B6473" s="1" t="n">
        <v>258.04</v>
      </c>
      <c r="C6473" s="1" t="n">
        <f aca="false">1/B6473</f>
        <v>0.0038753681599752</v>
      </c>
      <c r="D6473" s="1" t="n">
        <v>0.97876</v>
      </c>
      <c r="E6473" s="1" t="n">
        <f aca="false">LN(D6473)</f>
        <v>-0.0214688146156532</v>
      </c>
    </row>
    <row r="6474" customFormat="false" ht="15.75" hidden="false" customHeight="false" outlineLevel="0" collapsed="false">
      <c r="A6474" s="1" t="s">
        <v>1124</v>
      </c>
      <c r="B6474" s="1" t="n">
        <v>258.91</v>
      </c>
      <c r="C6474" s="1" t="n">
        <f aca="false">1/B6474</f>
        <v>0.00386234598895369</v>
      </c>
      <c r="D6474" s="1" t="n">
        <v>0.9644</v>
      </c>
      <c r="E6474" s="1" t="n">
        <f aca="false">LN(D6474)</f>
        <v>-0.036249132675121</v>
      </c>
    </row>
    <row r="6475" customFormat="false" ht="15.75" hidden="false" customHeight="false" outlineLevel="0" collapsed="false">
      <c r="A6475" s="1" t="s">
        <v>1124</v>
      </c>
      <c r="B6475" s="1" t="n">
        <v>259.78</v>
      </c>
      <c r="C6475" s="1" t="n">
        <f aca="false">1/B6475</f>
        <v>0.00384941104011086</v>
      </c>
      <c r="D6475" s="1" t="n">
        <v>0.95038</v>
      </c>
      <c r="E6475" s="1" t="n">
        <f aca="false">LN(D6475)</f>
        <v>-0.0508933743662236</v>
      </c>
    </row>
    <row r="6476" customFormat="false" ht="15.75" hidden="false" customHeight="false" outlineLevel="0" collapsed="false">
      <c r="A6476" s="1" t="s">
        <v>1124</v>
      </c>
      <c r="B6476" s="1" t="n">
        <v>260.65</v>
      </c>
      <c r="C6476" s="1" t="n">
        <f aca="false">1/B6476</f>
        <v>0.00383656244005371</v>
      </c>
      <c r="D6476" s="1" t="n">
        <v>0.93668</v>
      </c>
      <c r="E6476" s="1" t="n">
        <f aca="false">LN(D6476)</f>
        <v>-0.0654135705483254</v>
      </c>
    </row>
    <row r="6477" customFormat="false" ht="15.75" hidden="false" customHeight="false" outlineLevel="0" collapsed="false">
      <c r="A6477" s="1" t="s">
        <v>1124</v>
      </c>
      <c r="B6477" s="1" t="n">
        <v>261.52</v>
      </c>
      <c r="C6477" s="1" t="n">
        <f aca="false">1/B6477</f>
        <v>0.00382379932701132</v>
      </c>
      <c r="D6477" s="1" t="n">
        <v>0.9233</v>
      </c>
      <c r="E6477" s="1" t="n">
        <f aca="false">LN(D6477)</f>
        <v>-0.0798010702035548</v>
      </c>
    </row>
    <row r="6478" customFormat="false" ht="15.75" hidden="false" customHeight="false" outlineLevel="0" collapsed="false">
      <c r="A6478" s="1" t="s">
        <v>1124</v>
      </c>
      <c r="B6478" s="1" t="n">
        <v>262.39</v>
      </c>
      <c r="C6478" s="1" t="n">
        <f aca="false">1/B6478</f>
        <v>0.00381112085064217</v>
      </c>
      <c r="D6478" s="1" t="n">
        <v>0.91022</v>
      </c>
      <c r="E6478" s="1" t="n">
        <f aca="false">LN(D6478)</f>
        <v>-0.0940689504482976</v>
      </c>
    </row>
    <row r="6479" customFormat="false" ht="15.75" hidden="false" customHeight="false" outlineLevel="0" collapsed="false">
      <c r="A6479" s="1" t="s">
        <v>1124</v>
      </c>
      <c r="B6479" s="1" t="n">
        <v>263.26</v>
      </c>
      <c r="C6479" s="1" t="n">
        <f aca="false">1/B6479</f>
        <v>0.00379852617184532</v>
      </c>
      <c r="D6479" s="1" t="n">
        <v>0.89744</v>
      </c>
      <c r="E6479" s="1" t="n">
        <f aca="false">LN(D6479)</f>
        <v>-0.10820901322211</v>
      </c>
    </row>
    <row r="6480" customFormat="false" ht="15.75" hidden="false" customHeight="false" outlineLevel="0" collapsed="false">
      <c r="A6480" s="1" t="s">
        <v>1124</v>
      </c>
      <c r="B6480" s="1" t="n">
        <v>264.13</v>
      </c>
      <c r="C6480" s="1" t="n">
        <f aca="false">1/B6480</f>
        <v>0.00378601446257525</v>
      </c>
      <c r="D6480" s="1" t="n">
        <v>0.88494</v>
      </c>
      <c r="E6480" s="1" t="n">
        <f aca="false">LN(D6480)</f>
        <v>-0.122235432882671</v>
      </c>
    </row>
    <row r="6481" customFormat="false" ht="15.75" hidden="false" customHeight="false" outlineLevel="0" collapsed="false">
      <c r="A6481" s="1" t="s">
        <v>1124</v>
      </c>
      <c r="B6481" s="1" t="n">
        <v>265</v>
      </c>
      <c r="C6481" s="1" t="n">
        <f aca="false">1/B6481</f>
        <v>0.00377358490566038</v>
      </c>
      <c r="D6481" s="1" t="n">
        <v>0.87271</v>
      </c>
      <c r="E6481" s="1" t="n">
        <f aca="false">LN(D6481)</f>
        <v>-0.136151966187104</v>
      </c>
    </row>
    <row r="6482" customFormat="false" ht="15.75" hidden="false" customHeight="false" outlineLevel="0" collapsed="false">
      <c r="A6482" s="1" t="s">
        <v>1124</v>
      </c>
      <c r="B6482" s="1" t="n">
        <v>265.87</v>
      </c>
      <c r="C6482" s="1" t="n">
        <f aca="false">1/B6482</f>
        <v>0.00376123669462519</v>
      </c>
      <c r="D6482" s="1" t="n">
        <v>0.86076</v>
      </c>
      <c r="E6482" s="1" t="n">
        <f aca="false">LN(D6482)</f>
        <v>-0.149939559055794</v>
      </c>
    </row>
    <row r="6483" customFormat="false" ht="15.75" hidden="false" customHeight="false" outlineLevel="0" collapsed="false">
      <c r="A6483" s="1" t="s">
        <v>1124</v>
      </c>
      <c r="B6483" s="1" t="n">
        <v>266.74</v>
      </c>
      <c r="C6483" s="1" t="n">
        <f aca="false">1/B6483</f>
        <v>0.00374896903351578</v>
      </c>
      <c r="D6483" s="1" t="n">
        <v>0.84907</v>
      </c>
      <c r="E6483" s="1" t="n">
        <f aca="false">LN(D6483)</f>
        <v>-0.163613646128492</v>
      </c>
    </row>
    <row r="6484" customFormat="false" ht="15.75" hidden="false" customHeight="false" outlineLevel="0" collapsed="false">
      <c r="A6484" s="1" t="s">
        <v>1124</v>
      </c>
      <c r="B6484" s="1" t="n">
        <v>267.61</v>
      </c>
      <c r="C6484" s="1" t="n">
        <f aca="false">1/B6484</f>
        <v>0.00373678113672882</v>
      </c>
      <c r="D6484" s="1" t="n">
        <v>0.83763</v>
      </c>
      <c r="E6484" s="1" t="n">
        <f aca="false">LN(D6484)</f>
        <v>-0.177178803448299</v>
      </c>
    </row>
    <row r="6485" customFormat="false" ht="15.75" hidden="false" customHeight="false" outlineLevel="0" collapsed="false">
      <c r="A6485" s="1" t="s">
        <v>1124</v>
      </c>
      <c r="B6485" s="1" t="n">
        <v>268.48</v>
      </c>
      <c r="C6485" s="1" t="n">
        <f aca="false">1/B6485</f>
        <v>0.00372467222884386</v>
      </c>
      <c r="D6485" s="1" t="n">
        <v>0.82643</v>
      </c>
      <c r="E6485" s="1" t="n">
        <f aca="false">LN(D6485)</f>
        <v>-0.190640059802697</v>
      </c>
    </row>
    <row r="6486" customFormat="false" ht="15.75" hidden="false" customHeight="false" outlineLevel="0" collapsed="false">
      <c r="A6486" s="1" t="s">
        <v>1124</v>
      </c>
      <c r="B6486" s="1" t="n">
        <v>269.35</v>
      </c>
      <c r="C6486" s="1" t="n">
        <f aca="false">1/B6486</f>
        <v>0.00371264154445888</v>
      </c>
      <c r="D6486" s="1" t="n">
        <v>0.81548</v>
      </c>
      <c r="E6486" s="1" t="n">
        <f aca="false">LN(D6486)</f>
        <v>-0.203978382053199</v>
      </c>
    </row>
    <row r="6487" customFormat="false" ht="15.75" hidden="false" customHeight="false" outlineLevel="0" collapsed="false">
      <c r="A6487" s="1" t="s">
        <v>1124</v>
      </c>
      <c r="B6487" s="1" t="n">
        <v>270.22</v>
      </c>
      <c r="C6487" s="1" t="n">
        <f aca="false">1/B6487</f>
        <v>0.00370068832802901</v>
      </c>
      <c r="D6487" s="1" t="n">
        <v>0.80475</v>
      </c>
      <c r="E6487" s="1" t="n">
        <f aca="false">LN(D6487)</f>
        <v>-0.21722360880322</v>
      </c>
    </row>
    <row r="6488" customFormat="false" ht="15.75" hidden="false" customHeight="false" outlineLevel="0" collapsed="false">
      <c r="A6488" s="1" t="s">
        <v>1124</v>
      </c>
      <c r="B6488" s="1" t="n">
        <v>271.09</v>
      </c>
      <c r="C6488" s="1" t="n">
        <f aca="false">1/B6488</f>
        <v>0.00368881183370836</v>
      </c>
      <c r="D6488" s="1" t="n">
        <v>0.79425</v>
      </c>
      <c r="E6488" s="1" t="n">
        <f aca="false">LN(D6488)</f>
        <v>-0.230357005832511</v>
      </c>
    </row>
    <row r="6489" customFormat="false" ht="15.75" hidden="false" customHeight="false" outlineLevel="0" collapsed="false">
      <c r="A6489" s="1" t="s">
        <v>1124</v>
      </c>
      <c r="B6489" s="1" t="n">
        <v>271.96</v>
      </c>
      <c r="C6489" s="1" t="n">
        <f aca="false">1/B6489</f>
        <v>0.00367701132519488</v>
      </c>
      <c r="D6489" s="1" t="n">
        <v>0.78397</v>
      </c>
      <c r="E6489" s="1" t="n">
        <f aca="false">LN(D6489)</f>
        <v>-0.243384524669987</v>
      </c>
    </row>
    <row r="6490" customFormat="false" ht="15.75" hidden="false" customHeight="false" outlineLevel="0" collapsed="false">
      <c r="A6490" s="1" t="s">
        <v>1124</v>
      </c>
      <c r="B6490" s="1" t="n">
        <v>272.83</v>
      </c>
      <c r="C6490" s="1" t="n">
        <f aca="false">1/B6490</f>
        <v>0.0036652860755782</v>
      </c>
      <c r="D6490" s="1" t="n">
        <v>0.7739</v>
      </c>
      <c r="E6490" s="1" t="n">
        <f aca="false">LN(D6490)</f>
        <v>-0.256312612705724</v>
      </c>
    </row>
    <row r="6491" customFormat="false" ht="15.75" hidden="false" customHeight="false" outlineLevel="0" collapsed="false">
      <c r="A6491" s="1" t="s">
        <v>1124</v>
      </c>
      <c r="B6491" s="1" t="n">
        <v>273.7</v>
      </c>
      <c r="C6491" s="1" t="n">
        <f aca="false">1/B6491</f>
        <v>0.00365363536719035</v>
      </c>
      <c r="D6491" s="1" t="n">
        <v>0.76404</v>
      </c>
      <c r="E6491" s="1" t="n">
        <f aca="false">LN(D6491)</f>
        <v>-0.269135135165203</v>
      </c>
    </row>
    <row r="6492" customFormat="false" ht="15.75" hidden="false" customHeight="false" outlineLevel="0" collapsed="false">
      <c r="A6492" s="1" t="s">
        <v>1124</v>
      </c>
      <c r="B6492" s="1" t="n">
        <v>274.57</v>
      </c>
      <c r="C6492" s="1" t="n">
        <f aca="false">1/B6492</f>
        <v>0.00364205849145937</v>
      </c>
      <c r="D6492" s="1" t="n">
        <v>0.75438</v>
      </c>
      <c r="E6492" s="1" t="n">
        <f aca="false">LN(D6492)</f>
        <v>-0.281859059148992</v>
      </c>
    </row>
    <row r="6493" customFormat="false" ht="15.75" hidden="false" customHeight="false" outlineLevel="0" collapsed="false">
      <c r="A6493" s="1" t="s">
        <v>1124</v>
      </c>
      <c r="B6493" s="1" t="n">
        <v>275.44</v>
      </c>
      <c r="C6493" s="1" t="n">
        <f aca="false">1/B6493</f>
        <v>0.00363055474876561</v>
      </c>
      <c r="D6493" s="1" t="n">
        <v>0.74491</v>
      </c>
      <c r="E6493" s="1" t="n">
        <f aca="false">LN(D6493)</f>
        <v>-0.294491873269261</v>
      </c>
    </row>
    <row r="6494" customFormat="false" ht="15.75" hidden="false" customHeight="false" outlineLevel="0" collapsed="false">
      <c r="A6494" s="1" t="s">
        <v>1124</v>
      </c>
      <c r="B6494" s="1" t="n">
        <v>276.31</v>
      </c>
      <c r="C6494" s="1" t="n">
        <f aca="false">1/B6494</f>
        <v>0.00361912344830082</v>
      </c>
      <c r="D6494" s="1" t="n">
        <v>0.73563</v>
      </c>
      <c r="E6494" s="1" t="n">
        <f aca="false">LN(D6494)</f>
        <v>-0.307028004049319</v>
      </c>
    </row>
    <row r="6495" customFormat="false" ht="15.75" hidden="false" customHeight="false" outlineLevel="0" collapsed="false">
      <c r="A6495" s="1" t="s">
        <v>1124</v>
      </c>
      <c r="B6495" s="1" t="n">
        <v>277.18</v>
      </c>
      <c r="C6495" s="1" t="n">
        <f aca="false">1/B6495</f>
        <v>0.00360776390792986</v>
      </c>
      <c r="D6495" s="1" t="n">
        <v>0.72653</v>
      </c>
      <c r="E6495" s="1" t="n">
        <f aca="false">LN(D6495)</f>
        <v>-0.319475502949626</v>
      </c>
    </row>
    <row r="6496" customFormat="false" ht="15.75" hidden="false" customHeight="false" outlineLevel="0" collapsed="false">
      <c r="A6496" s="1" t="s">
        <v>1124</v>
      </c>
      <c r="B6496" s="1" t="n">
        <v>278.05</v>
      </c>
      <c r="C6496" s="1" t="n">
        <f aca="false">1/B6496</f>
        <v>0.00359647545405503</v>
      </c>
      <c r="D6496" s="1" t="n">
        <v>0.71762</v>
      </c>
      <c r="E6496" s="1" t="n">
        <f aca="false">LN(D6496)</f>
        <v>-0.331815097945886</v>
      </c>
    </row>
    <row r="6497" customFormat="false" ht="15.75" hidden="false" customHeight="false" outlineLevel="0" collapsed="false">
      <c r="A6497" s="1" t="s">
        <v>1124</v>
      </c>
      <c r="B6497" s="1" t="n">
        <v>278.92</v>
      </c>
      <c r="C6497" s="1" t="n">
        <f aca="false">1/B6497</f>
        <v>0.00358525742148286</v>
      </c>
      <c r="D6497" s="1" t="n">
        <v>0.70888</v>
      </c>
      <c r="E6497" s="1" t="n">
        <f aca="false">LN(D6497)</f>
        <v>-0.34406901924309</v>
      </c>
    </row>
    <row r="6498" customFormat="false" ht="15.75" hidden="false" customHeight="false" outlineLevel="0" collapsed="false">
      <c r="A6498" s="1" t="s">
        <v>1124</v>
      </c>
      <c r="B6498" s="1" t="n">
        <v>279.79</v>
      </c>
      <c r="C6498" s="1" t="n">
        <f aca="false">1/B6498</f>
        <v>0.00357410915329354</v>
      </c>
      <c r="D6498" s="1" t="n">
        <v>0.70031</v>
      </c>
      <c r="E6498" s="1" t="n">
        <f aca="false">LN(D6498)</f>
        <v>-0.356232184828158</v>
      </c>
    </row>
    <row r="6499" customFormat="false" ht="15.75" hidden="false" customHeight="false" outlineLevel="0" collapsed="false">
      <c r="A6499" s="1" t="s">
        <v>1124</v>
      </c>
      <c r="B6499" s="1" t="n">
        <v>280.66</v>
      </c>
      <c r="C6499" s="1" t="n">
        <f aca="false">1/B6499</f>
        <v>0.00356303000071261</v>
      </c>
      <c r="D6499" s="1" t="n">
        <v>0.6919</v>
      </c>
      <c r="E6499" s="1" t="n">
        <f aca="false">LN(D6499)</f>
        <v>-0.368313842477372</v>
      </c>
    </row>
    <row r="6500" customFormat="false" ht="15.75" hidden="false" customHeight="false" outlineLevel="0" collapsed="false">
      <c r="A6500" s="1" t="s">
        <v>1124</v>
      </c>
      <c r="B6500" s="1" t="n">
        <v>281.53</v>
      </c>
      <c r="C6500" s="1" t="n">
        <f aca="false">1/B6500</f>
        <v>0.00355201932298512</v>
      </c>
      <c r="D6500" s="1" t="n">
        <v>0.68366</v>
      </c>
      <c r="E6500" s="1" t="n">
        <f aca="false">LN(D6500)</f>
        <v>-0.38029456096622</v>
      </c>
    </row>
    <row r="6501" customFormat="false" ht="15.75" hidden="false" customHeight="false" outlineLevel="0" collapsed="false">
      <c r="A6501" s="1" t="s">
        <v>1124</v>
      </c>
      <c r="B6501" s="1" t="n">
        <v>282.4</v>
      </c>
      <c r="C6501" s="1" t="n">
        <f aca="false">1/B6501</f>
        <v>0.00354107648725213</v>
      </c>
      <c r="D6501" s="1" t="n">
        <v>0.67557</v>
      </c>
      <c r="E6501" s="1" t="n">
        <f aca="false">LN(D6501)</f>
        <v>-0.392198500007779</v>
      </c>
    </row>
    <row r="6502" customFormat="false" ht="15.75" hidden="false" customHeight="false" outlineLevel="0" collapsed="false">
      <c r="A6502" s="1" t="s">
        <v>1124</v>
      </c>
      <c r="B6502" s="1" t="n">
        <v>283.27</v>
      </c>
      <c r="C6502" s="1" t="n">
        <f aca="false">1/B6502</f>
        <v>0.00353020086842941</v>
      </c>
      <c r="D6502" s="1" t="n">
        <v>0.66764</v>
      </c>
      <c r="E6502" s="1" t="n">
        <f aca="false">LN(D6502)</f>
        <v>-0.40400617287192</v>
      </c>
    </row>
    <row r="6503" customFormat="false" ht="15.75" hidden="false" customHeight="false" outlineLevel="0" collapsed="false">
      <c r="A6503" s="1" t="s">
        <v>1124</v>
      </c>
      <c r="B6503" s="1" t="n">
        <v>284.14</v>
      </c>
      <c r="C6503" s="1" t="n">
        <f aca="false">1/B6503</f>
        <v>0.00351939184908848</v>
      </c>
      <c r="D6503" s="1" t="n">
        <v>0.65985</v>
      </c>
      <c r="E6503" s="1" t="n">
        <f aca="false">LN(D6503)</f>
        <v>-0.415742742519299</v>
      </c>
    </row>
    <row r="6504" customFormat="false" ht="15.75" hidden="false" customHeight="false" outlineLevel="0" collapsed="false">
      <c r="A6504" s="1" t="s">
        <v>1124</v>
      </c>
      <c r="B6504" s="1" t="n">
        <v>285.01</v>
      </c>
      <c r="C6504" s="1" t="n">
        <f aca="false">1/B6504</f>
        <v>0.00350864881933967</v>
      </c>
      <c r="D6504" s="1" t="n">
        <v>0.65221</v>
      </c>
      <c r="E6504" s="1" t="n">
        <f aca="false">LN(D6504)</f>
        <v>-0.427388683024439</v>
      </c>
    </row>
    <row r="6505" customFormat="false" ht="15.75" hidden="false" customHeight="false" outlineLevel="0" collapsed="false">
      <c r="A6505" s="1" t="s">
        <v>1124</v>
      </c>
      <c r="B6505" s="1" t="n">
        <v>285.88</v>
      </c>
      <c r="C6505" s="1" t="n">
        <f aca="false">1/B6505</f>
        <v>0.0034979711767175</v>
      </c>
      <c r="D6505" s="1" t="n">
        <v>0.64472</v>
      </c>
      <c r="E6505" s="1" t="n">
        <f aca="false">LN(D6505)</f>
        <v>-0.438939164965881</v>
      </c>
    </row>
    <row r="6506" customFormat="false" ht="15.75" hidden="false" customHeight="false" outlineLevel="0" collapsed="false">
      <c r="A6506" s="1" t="s">
        <v>1124</v>
      </c>
      <c r="B6506" s="1" t="n">
        <v>286.75</v>
      </c>
      <c r="C6506" s="1" t="n">
        <f aca="false">1/B6506</f>
        <v>0.003487358326068</v>
      </c>
      <c r="D6506" s="1" t="n">
        <v>0.63736</v>
      </c>
      <c r="E6506" s="1" t="n">
        <f aca="false">LN(D6506)</f>
        <v>-0.450420633910026</v>
      </c>
    </row>
    <row r="6507" customFormat="false" ht="15.75" hidden="false" customHeight="false" outlineLevel="0" collapsed="false">
      <c r="A6507" s="1" t="s">
        <v>1124</v>
      </c>
      <c r="B6507" s="1" t="n">
        <v>287.62</v>
      </c>
      <c r="C6507" s="1" t="n">
        <f aca="false">1/B6507</f>
        <v>0.00347680967943815</v>
      </c>
      <c r="D6507" s="1" t="n">
        <v>0.63013</v>
      </c>
      <c r="E6507" s="1" t="n">
        <f aca="false">LN(D6507)</f>
        <v>-0.461829131677279</v>
      </c>
    </row>
    <row r="6508" customFormat="false" ht="15.75" hidden="false" customHeight="false" outlineLevel="0" collapsed="false">
      <c r="A6508" s="1" t="s">
        <v>1124</v>
      </c>
      <c r="B6508" s="1" t="n">
        <v>288.49</v>
      </c>
      <c r="C6508" s="1" t="n">
        <f aca="false">1/B6508</f>
        <v>0.00346632465596728</v>
      </c>
      <c r="D6508" s="1" t="n">
        <v>0.62304</v>
      </c>
      <c r="E6508" s="1" t="n">
        <f aca="false">LN(D6508)</f>
        <v>-0.473144556798302</v>
      </c>
    </row>
    <row r="6509" customFormat="false" ht="15.75" hidden="false" customHeight="false" outlineLevel="0" collapsed="false">
      <c r="A6509" s="1" t="s">
        <v>1124</v>
      </c>
      <c r="B6509" s="1" t="n">
        <v>289.36</v>
      </c>
      <c r="C6509" s="1" t="n">
        <f aca="false">1/B6509</f>
        <v>0.00345590268178048</v>
      </c>
      <c r="D6509" s="1" t="n">
        <v>0.61607</v>
      </c>
      <c r="E6509" s="1" t="n">
        <f aca="false">LN(D6509)</f>
        <v>-0.484394685541103</v>
      </c>
    </row>
    <row r="6510" customFormat="false" ht="15.75" hidden="false" customHeight="false" outlineLevel="0" collapsed="false">
      <c r="A6510" s="1" t="s">
        <v>1124</v>
      </c>
      <c r="B6510" s="1" t="n">
        <v>290.23</v>
      </c>
      <c r="C6510" s="1" t="n">
        <f aca="false">1/B6510</f>
        <v>0.00344554318988388</v>
      </c>
      <c r="D6510" s="1" t="n">
        <v>0.60923</v>
      </c>
      <c r="E6510" s="1" t="n">
        <f aca="false">LN(D6510)</f>
        <v>-0.495559414262262</v>
      </c>
    </row>
    <row r="6511" customFormat="false" ht="15.75" hidden="false" customHeight="false" outlineLevel="0" collapsed="false">
      <c r="A6511" s="1" t="s">
        <v>1124</v>
      </c>
      <c r="B6511" s="1" t="n">
        <v>291.1</v>
      </c>
      <c r="C6511" s="1" t="n">
        <f aca="false">1/B6511</f>
        <v>0.00343524562006183</v>
      </c>
      <c r="D6511" s="1" t="n">
        <v>0.60251</v>
      </c>
      <c r="E6511" s="1" t="n">
        <f aca="false">LN(D6511)</f>
        <v>-0.506651016244691</v>
      </c>
    </row>
    <row r="6512" customFormat="false" ht="15.75" hidden="false" customHeight="false" outlineLevel="0" collapsed="false">
      <c r="A6512" s="1" t="s">
        <v>1124</v>
      </c>
      <c r="B6512" s="1" t="n">
        <v>291.97</v>
      </c>
      <c r="C6512" s="1" t="n">
        <f aca="false">1/B6512</f>
        <v>0.0034250094187759</v>
      </c>
      <c r="D6512" s="1" t="n">
        <v>0.5959</v>
      </c>
      <c r="E6512" s="1" t="n">
        <f aca="false">LN(D6512)</f>
        <v>-0.517682411229204</v>
      </c>
    </row>
    <row r="6513" customFormat="false" ht="15.75" hidden="false" customHeight="false" outlineLevel="0" collapsed="false">
      <c r="A6513" s="1" t="s">
        <v>1124</v>
      </c>
      <c r="B6513" s="1" t="n">
        <v>292.84</v>
      </c>
      <c r="C6513" s="1" t="n">
        <f aca="false">1/B6513</f>
        <v>0.0034148340390657</v>
      </c>
      <c r="D6513" s="1" t="n">
        <v>0.58942</v>
      </c>
      <c r="E6513" s="1" t="n">
        <f aca="false">LN(D6513)</f>
        <v>-0.528616276441217</v>
      </c>
    </row>
    <row r="6514" customFormat="false" ht="15.75" hidden="false" customHeight="false" outlineLevel="0" collapsed="false">
      <c r="A6514" s="1" t="s">
        <v>1124</v>
      </c>
      <c r="B6514" s="1" t="n">
        <v>293.71</v>
      </c>
      <c r="C6514" s="1" t="n">
        <f aca="false">1/B6514</f>
        <v>0.00340471894045147</v>
      </c>
      <c r="D6514" s="1" t="n">
        <v>0.58305</v>
      </c>
      <c r="E6514" s="1" t="n">
        <f aca="false">LN(D6514)</f>
        <v>-0.539482333015795</v>
      </c>
    </row>
    <row r="6515" customFormat="false" ht="15.75" hidden="false" customHeight="false" outlineLevel="0" collapsed="false">
      <c r="A6515" s="1" t="s">
        <v>1124</v>
      </c>
      <c r="B6515" s="1" t="n">
        <v>294.58</v>
      </c>
      <c r="C6515" s="1" t="n">
        <f aca="false">1/B6515</f>
        <v>0.00339466358883835</v>
      </c>
      <c r="D6515" s="1" t="n">
        <v>0.57678</v>
      </c>
      <c r="E6515" s="1" t="n">
        <f aca="false">LN(D6515)</f>
        <v>-0.550294367676357</v>
      </c>
    </row>
    <row r="6516" customFormat="false" ht="15.75" hidden="false" customHeight="false" outlineLevel="0" collapsed="false">
      <c r="A6516" s="1" t="s">
        <v>1124</v>
      </c>
      <c r="B6516" s="1" t="n">
        <v>295.45</v>
      </c>
      <c r="C6516" s="1" t="n">
        <f aca="false">1/B6516</f>
        <v>0.00338466745642241</v>
      </c>
      <c r="D6516" s="1" t="n">
        <v>0.57063</v>
      </c>
      <c r="E6516" s="1" t="n">
        <f aca="false">LN(D6516)</f>
        <v>-0.561014265349278</v>
      </c>
    </row>
    <row r="6517" customFormat="false" ht="15.75" hidden="false" customHeight="false" outlineLevel="0" collapsed="false">
      <c r="A6517" s="1" t="s">
        <v>1124</v>
      </c>
      <c r="B6517" s="1" t="n">
        <v>296.32</v>
      </c>
      <c r="C6517" s="1" t="n">
        <f aca="false">1/B6517</f>
        <v>0.00337473002159827</v>
      </c>
      <c r="D6517" s="1" t="n">
        <v>0.56458</v>
      </c>
      <c r="E6517" s="1" t="n">
        <f aca="false">LN(D6517)</f>
        <v>-0.571673187098705</v>
      </c>
    </row>
    <row r="6518" customFormat="false" ht="15.75" hidden="false" customHeight="false" outlineLevel="0" collapsed="false">
      <c r="A6518" s="1" t="s">
        <v>1124</v>
      </c>
      <c r="B6518" s="1" t="n">
        <v>297.19</v>
      </c>
      <c r="C6518" s="1" t="n">
        <f aca="false">1/B6518</f>
        <v>0.0033648507688684</v>
      </c>
      <c r="D6518" s="1" t="n">
        <v>0.55864</v>
      </c>
      <c r="E6518" s="1" t="n">
        <f aca="false">LN(D6518)</f>
        <v>-0.582250020444357</v>
      </c>
    </row>
    <row r="6519" customFormat="false" ht="15.75" hidden="false" customHeight="false" outlineLevel="0" collapsed="false">
      <c r="A6519" s="1" t="s">
        <v>1124</v>
      </c>
      <c r="B6519" s="1" t="n">
        <v>298.06</v>
      </c>
      <c r="C6519" s="1" t="n">
        <f aca="false">1/B6519</f>
        <v>0.00335502918875394</v>
      </c>
      <c r="D6519" s="1" t="n">
        <v>0.55279</v>
      </c>
      <c r="E6519" s="1" t="n">
        <f aca="false">LN(D6519)</f>
        <v>-0.592777096417334</v>
      </c>
    </row>
    <row r="6520" customFormat="false" ht="15.75" hidden="false" customHeight="false" outlineLevel="0" collapsed="false">
      <c r="A6520" s="1" t="s">
        <v>1124</v>
      </c>
      <c r="B6520" s="1" t="n">
        <v>298.93</v>
      </c>
      <c r="C6520" s="1" t="n">
        <f aca="false">1/B6520</f>
        <v>0.00334526477770716</v>
      </c>
      <c r="D6520" s="1" t="n">
        <v>0.54704</v>
      </c>
      <c r="E6520" s="1" t="n">
        <f aca="false">LN(D6520)</f>
        <v>-0.603233353091146</v>
      </c>
    </row>
    <row r="6521" customFormat="false" ht="15.75" hidden="false" customHeight="false" outlineLevel="0" collapsed="false">
      <c r="A6521" s="1" t="s">
        <v>1124</v>
      </c>
      <c r="B6521" s="1" t="n">
        <v>299.8</v>
      </c>
      <c r="C6521" s="1" t="n">
        <f aca="false">1/B6521</f>
        <v>0.00333555703802535</v>
      </c>
      <c r="D6521" s="1" t="n">
        <v>0.54139</v>
      </c>
      <c r="E6521" s="1" t="n">
        <f aca="false">LN(D6521)</f>
        <v>-0.613615372604216</v>
      </c>
    </row>
    <row r="6522" customFormat="false" ht="15.75" hidden="false" customHeight="false" outlineLevel="0" collapsed="false">
      <c r="A6522" s="1" t="s">
        <v>1124</v>
      </c>
      <c r="B6522" s="1" t="n">
        <v>300.67</v>
      </c>
      <c r="C6522" s="1" t="n">
        <f aca="false">1/B6522</f>
        <v>0.00332590547776632</v>
      </c>
      <c r="D6522" s="1" t="n">
        <v>0.53584</v>
      </c>
      <c r="E6522" s="1" t="n">
        <f aca="false">LN(D6522)</f>
        <v>-0.623919669936243</v>
      </c>
    </row>
    <row r="6523" customFormat="false" ht="15.75" hidden="false" customHeight="false" outlineLevel="0" collapsed="false">
      <c r="A6523" s="1" t="s">
        <v>1124</v>
      </c>
      <c r="B6523" s="1" t="n">
        <v>301.54</v>
      </c>
      <c r="C6523" s="1" t="n">
        <f aca="false">1/B6523</f>
        <v>0.00331630961066525</v>
      </c>
      <c r="D6523" s="1" t="n">
        <v>0.53037</v>
      </c>
      <c r="E6523" s="1" t="n">
        <f aca="false">LN(D6523)</f>
        <v>-0.634180402796096</v>
      </c>
    </row>
    <row r="6524" customFormat="false" ht="15.75" hidden="false" customHeight="false" outlineLevel="0" collapsed="false">
      <c r="A6524" s="1" t="s">
        <v>1124</v>
      </c>
      <c r="B6524" s="1" t="n">
        <v>302.41</v>
      </c>
      <c r="C6524" s="1" t="n">
        <f aca="false">1/B6524</f>
        <v>0.00330676895605304</v>
      </c>
      <c r="D6524" s="1" t="n">
        <v>0.525</v>
      </c>
      <c r="E6524" s="1" t="n">
        <f aca="false">LN(D6524)</f>
        <v>-0.644357016390513</v>
      </c>
    </row>
    <row r="6525" customFormat="false" ht="15.75" hidden="false" customHeight="false" outlineLevel="0" collapsed="false">
      <c r="A6525" s="1" t="s">
        <v>1124</v>
      </c>
      <c r="B6525" s="1" t="n">
        <v>303.28</v>
      </c>
      <c r="C6525" s="1" t="n">
        <f aca="false">1/B6525</f>
        <v>0.00329728303877605</v>
      </c>
      <c r="D6525" s="1" t="n">
        <v>0.51971</v>
      </c>
      <c r="E6525" s="1" t="n">
        <f aca="false">LN(D6525)</f>
        <v>-0.654484315282553</v>
      </c>
    </row>
    <row r="6526" customFormat="false" ht="15.75" hidden="false" customHeight="false" outlineLevel="0" collapsed="false">
      <c r="A6526" s="1" t="s">
        <v>1124</v>
      </c>
      <c r="B6526" s="1" t="n">
        <v>304.15</v>
      </c>
      <c r="C6526" s="1" t="n">
        <f aca="false">1/B6526</f>
        <v>0.00328785138911721</v>
      </c>
      <c r="D6526" s="1" t="n">
        <v>0.51451</v>
      </c>
      <c r="E6526" s="1" t="n">
        <f aca="false">LN(D6526)</f>
        <v>-0.664540287550949</v>
      </c>
    </row>
    <row r="6527" customFormat="false" ht="15.75" hidden="false" customHeight="false" outlineLevel="0" collapsed="false">
      <c r="A6527" s="1" t="s">
        <v>1124</v>
      </c>
      <c r="B6527" s="1" t="n">
        <v>305.02</v>
      </c>
      <c r="C6527" s="1" t="n">
        <f aca="false">1/B6527</f>
        <v>0.00327847354271851</v>
      </c>
      <c r="D6527" s="1" t="n">
        <v>0.50939</v>
      </c>
      <c r="E6527" s="1" t="n">
        <f aca="false">LN(D6527)</f>
        <v>-0.674541347567829</v>
      </c>
    </row>
    <row r="6528" customFormat="false" ht="15.75" hidden="false" customHeight="false" outlineLevel="0" collapsed="false">
      <c r="A6528" s="1" t="s">
        <v>1124</v>
      </c>
      <c r="B6528" s="1" t="n">
        <v>305.89</v>
      </c>
      <c r="C6528" s="1" t="n">
        <f aca="false">1/B6528</f>
        <v>0.00326914904050476</v>
      </c>
      <c r="D6528" s="1" t="n">
        <v>0.50435</v>
      </c>
      <c r="E6528" s="1" t="n">
        <f aca="false">LN(D6528)</f>
        <v>-0.684484807481293</v>
      </c>
    </row>
    <row r="6529" customFormat="false" ht="15.75" hidden="false" customHeight="false" outlineLevel="0" collapsed="false">
      <c r="A6529" s="1" t="s">
        <v>1124</v>
      </c>
      <c r="B6529" s="1" t="n">
        <v>306.76</v>
      </c>
      <c r="C6529" s="1" t="n">
        <f aca="false">1/B6529</f>
        <v>0.00325987742860868</v>
      </c>
      <c r="D6529" s="1" t="n">
        <v>0.49939</v>
      </c>
      <c r="E6529" s="1" t="n">
        <f aca="false">LN(D6529)</f>
        <v>-0.694367925365782</v>
      </c>
    </row>
    <row r="6530" customFormat="false" ht="15.75" hidden="false" customHeight="false" outlineLevel="0" collapsed="false">
      <c r="A6530" s="1" t="s">
        <v>1124</v>
      </c>
      <c r="B6530" s="1" t="n">
        <v>307.63</v>
      </c>
      <c r="C6530" s="1" t="n">
        <f aca="false">1/B6530</f>
        <v>0.00325065825829731</v>
      </c>
      <c r="D6530" s="1" t="n">
        <v>0.49452</v>
      </c>
      <c r="E6530" s="1" t="n">
        <f aca="false">LN(D6530)</f>
        <v>-0.704167683843411</v>
      </c>
    </row>
    <row r="6531" customFormat="false" ht="15.75" hidden="false" customHeight="false" outlineLevel="0" collapsed="false">
      <c r="A6531" s="1" t="s">
        <v>1124</v>
      </c>
      <c r="B6531" s="1" t="n">
        <v>308.5</v>
      </c>
      <c r="C6531" s="1" t="n">
        <f aca="false">1/B6531</f>
        <v>0.00324149108589951</v>
      </c>
      <c r="D6531" s="1" t="n">
        <v>0.48972</v>
      </c>
      <c r="E6531" s="1" t="n">
        <f aca="false">LN(D6531)</f>
        <v>-0.713921479776422</v>
      </c>
    </row>
    <row r="6532" customFormat="false" ht="15.75" hidden="false" customHeight="false" outlineLevel="0" collapsed="false">
      <c r="A6532" s="1" t="s">
        <v>1124</v>
      </c>
      <c r="B6532" s="1" t="n">
        <v>309.37</v>
      </c>
      <c r="C6532" s="1" t="n">
        <f aca="false">1/B6532</f>
        <v>0.00323237547273491</v>
      </c>
      <c r="D6532" s="1" t="n">
        <v>0.48499</v>
      </c>
      <c r="E6532" s="1" t="n">
        <f aca="false">LN(D6532)</f>
        <v>-0.72362700681392</v>
      </c>
    </row>
    <row r="6533" customFormat="false" ht="15.75" hidden="false" customHeight="false" outlineLevel="0" collapsed="false">
      <c r="A6533" s="1" t="s">
        <v>1124</v>
      </c>
      <c r="B6533" s="1" t="n">
        <v>310.24</v>
      </c>
      <c r="C6533" s="1" t="n">
        <f aca="false">1/B6533</f>
        <v>0.00322331098504384</v>
      </c>
      <c r="D6533" s="1" t="n">
        <v>0.48034</v>
      </c>
      <c r="E6533" s="1" t="n">
        <f aca="false">LN(D6533)</f>
        <v>-0.73326109249652</v>
      </c>
    </row>
    <row r="6534" customFormat="false" ht="15.75" hidden="false" customHeight="false" outlineLevel="0" collapsed="false">
      <c r="A6534" s="1" t="s">
        <v>1124</v>
      </c>
      <c r="B6534" s="1" t="n">
        <v>311.11</v>
      </c>
      <c r="C6534" s="1" t="n">
        <f aca="false">1/B6534</f>
        <v>0.00321429719391855</v>
      </c>
      <c r="D6534" s="1" t="n">
        <v>0.47576</v>
      </c>
      <c r="E6534" s="1" t="n">
        <f aca="false">LN(D6534)</f>
        <v>-0.742841753583799</v>
      </c>
    </row>
    <row r="6535" customFormat="false" ht="15.75" hidden="false" customHeight="false" outlineLevel="0" collapsed="false">
      <c r="A6535" s="1" t="s">
        <v>1124</v>
      </c>
      <c r="B6535" s="1" t="n">
        <v>311.98</v>
      </c>
      <c r="C6535" s="1" t="n">
        <f aca="false">1/B6535</f>
        <v>0.00320533367523559</v>
      </c>
      <c r="D6535" s="1" t="n">
        <v>0.47125</v>
      </c>
      <c r="E6535" s="1" t="n">
        <f aca="false">LN(D6535)</f>
        <v>-0.752366540219917</v>
      </c>
    </row>
    <row r="6536" customFormat="false" ht="15.75" hidden="false" customHeight="false" outlineLevel="0" collapsed="false">
      <c r="A6536" s="1" t="s">
        <v>1124</v>
      </c>
      <c r="B6536" s="1" t="n">
        <v>312.85</v>
      </c>
      <c r="C6536" s="1" t="n">
        <f aca="false">1/B6536</f>
        <v>0.00319642000958926</v>
      </c>
      <c r="D6536" s="1" t="n">
        <v>0.46681</v>
      </c>
      <c r="E6536" s="1" t="n">
        <f aca="false">LN(D6536)</f>
        <v>-0.761832956348465</v>
      </c>
    </row>
    <row r="6537" customFormat="false" ht="15.75" hidden="false" customHeight="false" outlineLevel="0" collapsed="false">
      <c r="A6537" s="1" t="s">
        <v>1124</v>
      </c>
      <c r="B6537" s="1" t="n">
        <v>313.72</v>
      </c>
      <c r="C6537" s="1" t="n">
        <f aca="false">1/B6537</f>
        <v>0.00318755578222619</v>
      </c>
      <c r="D6537" s="1" t="n">
        <v>0.46243</v>
      </c>
      <c r="E6537" s="1" t="n">
        <f aca="false">LN(D6537)</f>
        <v>-0.77126008483578</v>
      </c>
    </row>
    <row r="6538" customFormat="false" ht="15.75" hidden="false" customHeight="false" outlineLevel="0" collapsed="false">
      <c r="A6538" s="1" t="s">
        <v>1124</v>
      </c>
      <c r="B6538" s="1" t="n">
        <v>314.59</v>
      </c>
      <c r="C6538" s="1" t="n">
        <f aca="false">1/B6538</f>
        <v>0.00317874058298102</v>
      </c>
      <c r="D6538" s="1" t="n">
        <v>0.45812</v>
      </c>
      <c r="E6538" s="1" t="n">
        <f aca="false">LN(D6538)</f>
        <v>-0.780624120452621</v>
      </c>
    </row>
    <row r="6539" customFormat="false" ht="15.75" hidden="false" customHeight="false" outlineLevel="0" collapsed="false">
      <c r="A6539" s="1" t="s">
        <v>1124</v>
      </c>
      <c r="B6539" s="1" t="n">
        <v>315.46</v>
      </c>
      <c r="C6539" s="1" t="n">
        <f aca="false">1/B6539</f>
        <v>0.00316997400621315</v>
      </c>
      <c r="D6539" s="1" t="n">
        <v>0.45388</v>
      </c>
      <c r="E6539" s="1" t="n">
        <f aca="false">LN(D6539)</f>
        <v>-0.789922433059348</v>
      </c>
    </row>
    <row r="6540" customFormat="false" ht="15.75" hidden="false" customHeight="false" outlineLevel="0" collapsed="false">
      <c r="A6540" s="1" t="s">
        <v>1124</v>
      </c>
      <c r="B6540" s="1" t="n">
        <v>316.33</v>
      </c>
      <c r="C6540" s="1" t="n">
        <f aca="false">1/B6540</f>
        <v>0.00316125565074448</v>
      </c>
      <c r="D6540" s="1" t="n">
        <v>0.4497</v>
      </c>
      <c r="E6540" s="1" t="n">
        <f aca="false">LN(D6540)</f>
        <v>-0.799174585205475</v>
      </c>
    </row>
    <row r="6541" customFormat="false" ht="15.75" hidden="false" customHeight="false" outlineLevel="0" collapsed="false">
      <c r="A6541" s="1" t="s">
        <v>1124</v>
      </c>
      <c r="B6541" s="1" t="n">
        <v>317.2</v>
      </c>
      <c r="C6541" s="1" t="n">
        <f aca="false">1/B6541</f>
        <v>0.00315258511979823</v>
      </c>
      <c r="D6541" s="1" t="n">
        <v>0.44558</v>
      </c>
      <c r="E6541" s="1" t="n">
        <f aca="false">LN(D6541)</f>
        <v>-0.808378474679759</v>
      </c>
    </row>
    <row r="6542" customFormat="false" ht="15.75" hidden="false" customHeight="false" outlineLevel="0" collapsed="false">
      <c r="A6542" s="1" t="s">
        <v>1124</v>
      </c>
      <c r="B6542" s="1" t="n">
        <v>318.07</v>
      </c>
      <c r="C6542" s="1" t="n">
        <f aca="false">1/B6542</f>
        <v>0.00314396202093879</v>
      </c>
      <c r="D6542" s="1" t="n">
        <v>0.44153</v>
      </c>
      <c r="E6542" s="1" t="n">
        <f aca="false">LN(D6542)</f>
        <v>-0.817509311076755</v>
      </c>
    </row>
    <row r="6543" customFormat="false" ht="15.75" hidden="false" customHeight="false" outlineLevel="0" collapsed="false">
      <c r="A6543" s="1" t="s">
        <v>1124</v>
      </c>
      <c r="B6543" s="1" t="n">
        <v>318.94</v>
      </c>
      <c r="C6543" s="1" t="n">
        <f aca="false">1/B6543</f>
        <v>0.00313538596601242</v>
      </c>
      <c r="D6543" s="1" t="n">
        <v>0.43753</v>
      </c>
      <c r="E6543" s="1" t="n">
        <f aca="false">LN(D6543)</f>
        <v>-0.826610004106809</v>
      </c>
    </row>
    <row r="6544" customFormat="false" ht="15.75" hidden="false" customHeight="false" outlineLevel="0" collapsed="false">
      <c r="A6544" s="1" t="s">
        <v>1124</v>
      </c>
      <c r="B6544" s="1" t="n">
        <v>319.81</v>
      </c>
      <c r="C6544" s="1" t="n">
        <f aca="false">1/B6544</f>
        <v>0.00312685657108908</v>
      </c>
      <c r="D6544" s="1" t="n">
        <v>0.43359</v>
      </c>
      <c r="E6544" s="1" t="n">
        <f aca="false">LN(D6544)</f>
        <v>-0.835655891853277</v>
      </c>
    </row>
    <row r="6545" customFormat="false" ht="15.75" hidden="false" customHeight="false" outlineLevel="0" collapsed="false">
      <c r="A6545" s="1" t="s">
        <v>1124</v>
      </c>
      <c r="B6545" s="1" t="n">
        <v>320.68</v>
      </c>
      <c r="C6545" s="1" t="n">
        <f aca="false">1/B6545</f>
        <v>0.00311837345640514</v>
      </c>
      <c r="D6545" s="1" t="n">
        <v>0.42971</v>
      </c>
      <c r="E6545" s="1" t="n">
        <f aca="false">LN(D6545)</f>
        <v>-0.84464471642171</v>
      </c>
    </row>
    <row r="6546" customFormat="false" ht="15.75" hidden="false" customHeight="false" outlineLevel="0" collapsed="false">
      <c r="A6546" s="1" t="s">
        <v>1124</v>
      </c>
      <c r="B6546" s="1" t="n">
        <v>321.55</v>
      </c>
      <c r="C6546" s="1" t="n">
        <f aca="false">1/B6546</f>
        <v>0.00310993624630695</v>
      </c>
      <c r="D6546" s="1" t="n">
        <v>0.42589</v>
      </c>
      <c r="E6546" s="1" t="n">
        <f aca="false">LN(D6546)</f>
        <v>-0.85357418201869</v>
      </c>
    </row>
    <row r="6547" customFormat="false" ht="15.75" hidden="false" customHeight="false" outlineLevel="0" collapsed="false">
      <c r="A6547" s="1" t="s">
        <v>1124</v>
      </c>
      <c r="B6547" s="1" t="n">
        <v>322.42</v>
      </c>
      <c r="C6547" s="1" t="n">
        <f aca="false">1/B6547</f>
        <v>0.00310154456919546</v>
      </c>
      <c r="D6547" s="1" t="n">
        <v>0.42212</v>
      </c>
      <c r="E6547" s="1" t="n">
        <f aca="false">LN(D6547)</f>
        <v>-0.862465645179248</v>
      </c>
    </row>
    <row r="6548" customFormat="false" ht="15.75" hidden="false" customHeight="false" outlineLevel="0" collapsed="false">
      <c r="A6548" s="1" t="s">
        <v>1124</v>
      </c>
      <c r="B6548" s="1" t="n">
        <v>323.29</v>
      </c>
      <c r="C6548" s="1" t="n">
        <f aca="false">1/B6548</f>
        <v>0.00309319805747162</v>
      </c>
      <c r="D6548" s="1" t="n">
        <v>0.4184</v>
      </c>
      <c r="E6548" s="1" t="n">
        <f aca="false">LN(D6548)</f>
        <v>-0.871317366231424</v>
      </c>
    </row>
    <row r="6549" customFormat="false" ht="15.75" hidden="false" customHeight="false" outlineLevel="0" collapsed="false">
      <c r="A6549" s="1" t="s">
        <v>1124</v>
      </c>
      <c r="B6549" s="1" t="n">
        <v>324.16</v>
      </c>
      <c r="C6549" s="1" t="n">
        <f aca="false">1/B6549</f>
        <v>0.00308489634748272</v>
      </c>
      <c r="D6549" s="1" t="n">
        <v>0.41474</v>
      </c>
      <c r="E6549" s="1" t="n">
        <f aca="false">LN(D6549)</f>
        <v>-0.880103461112443</v>
      </c>
    </row>
    <row r="6550" customFormat="false" ht="15.75" hidden="false" customHeight="false" outlineLevel="0" collapsed="false">
      <c r="A6550" s="1" t="s">
        <v>1124</v>
      </c>
      <c r="B6550" s="1" t="n">
        <v>325.03</v>
      </c>
      <c r="C6550" s="1" t="n">
        <f aca="false">1/B6550</f>
        <v>0.00307663907946959</v>
      </c>
      <c r="D6550" s="1" t="n">
        <v>0.41113</v>
      </c>
      <c r="E6550" s="1" t="n">
        <f aca="false">LN(D6550)</f>
        <v>-0.888845812795577</v>
      </c>
    </row>
    <row r="6551" customFormat="false" ht="15.75" hidden="false" customHeight="false" outlineLevel="0" collapsed="false">
      <c r="A6551" s="1" t="s">
        <v>1124</v>
      </c>
      <c r="B6551" s="1" t="n">
        <v>325.9</v>
      </c>
      <c r="C6551" s="1" t="n">
        <f aca="false">1/B6551</f>
        <v>0.00306842589751457</v>
      </c>
      <c r="D6551" s="1" t="n">
        <v>0.40757</v>
      </c>
      <c r="E6551" s="1" t="n">
        <f aca="false">LN(D6551)</f>
        <v>-0.897542581912463</v>
      </c>
    </row>
    <row r="6552" customFormat="false" ht="15.75" hidden="false" customHeight="false" outlineLevel="0" collapsed="false">
      <c r="A6552" s="1" t="s">
        <v>1124</v>
      </c>
      <c r="B6552" s="1" t="n">
        <v>326.77</v>
      </c>
      <c r="C6552" s="1" t="n">
        <f aca="false">1/B6552</f>
        <v>0.00306025644949047</v>
      </c>
      <c r="D6552" s="1" t="n">
        <v>0.40406</v>
      </c>
      <c r="E6552" s="1" t="n">
        <f aca="false">LN(D6552)</f>
        <v>-0.906191897196741</v>
      </c>
    </row>
    <row r="6553" customFormat="false" ht="15.75" hidden="false" customHeight="false" outlineLevel="0" collapsed="false">
      <c r="A6553" s="1" t="s">
        <v>1124</v>
      </c>
      <c r="B6553" s="1" t="n">
        <v>327.64</v>
      </c>
      <c r="C6553" s="1" t="n">
        <f aca="false">1/B6553</f>
        <v>0.00305213038701013</v>
      </c>
      <c r="D6553" s="1" t="n">
        <v>0.40059</v>
      </c>
      <c r="E6553" s="1" t="n">
        <f aca="false">LN(D6553)</f>
        <v>-0.914816818618155</v>
      </c>
    </row>
    <row r="6554" customFormat="false" ht="15.75" hidden="false" customHeight="false" outlineLevel="0" collapsed="false">
      <c r="A6554" s="1" t="s">
        <v>1124</v>
      </c>
      <c r="B6554" s="1" t="n">
        <v>328.51</v>
      </c>
      <c r="C6554" s="1" t="n">
        <f aca="false">1/B6554</f>
        <v>0.00304404736537701</v>
      </c>
      <c r="D6554" s="1" t="n">
        <v>0.39718</v>
      </c>
      <c r="E6554" s="1" t="n">
        <f aca="false">LN(D6554)</f>
        <v>-0.923365700546118</v>
      </c>
    </row>
    <row r="6555" customFormat="false" ht="15.75" hidden="false" customHeight="false" outlineLevel="0" collapsed="false">
      <c r="A6555" s="1" t="s">
        <v>1124</v>
      </c>
      <c r="B6555" s="1" t="n">
        <v>329.38</v>
      </c>
      <c r="C6555" s="1" t="n">
        <f aca="false">1/B6555</f>
        <v>0.00303600704353634</v>
      </c>
      <c r="D6555" s="1" t="n">
        <v>0.39381</v>
      </c>
      <c r="E6555" s="1" t="n">
        <f aca="false">LN(D6555)</f>
        <v>-0.931886719498711</v>
      </c>
    </row>
    <row r="6556" customFormat="false" ht="15.75" hidden="false" customHeight="false" outlineLevel="0" collapsed="false">
      <c r="A6556" s="1" t="s">
        <v>1124</v>
      </c>
      <c r="B6556" s="1" t="n">
        <v>330.25</v>
      </c>
      <c r="C6556" s="1" t="n">
        <f aca="false">1/B6556</f>
        <v>0.00302800908402725</v>
      </c>
      <c r="D6556" s="1" t="n">
        <v>0.39049</v>
      </c>
      <c r="E6556" s="1" t="n">
        <f aca="false">LN(D6556)</f>
        <v>-0.940352918224914</v>
      </c>
    </row>
    <row r="6557" customFormat="false" ht="15.75" hidden="false" customHeight="false" outlineLevel="0" collapsed="false">
      <c r="A6557" s="1" t="s">
        <v>1124</v>
      </c>
      <c r="B6557" s="1" t="n">
        <v>331.12</v>
      </c>
      <c r="C6557" s="1" t="n">
        <f aca="false">1/B6557</f>
        <v>0.00302005315293549</v>
      </c>
      <c r="D6557" s="1" t="n">
        <v>0.38722</v>
      </c>
      <c r="E6557" s="1" t="n">
        <f aca="false">LN(D6557)</f>
        <v>-0.948762272021118</v>
      </c>
    </row>
    <row r="6558" customFormat="false" ht="15.75" hidden="false" customHeight="false" outlineLevel="0" collapsed="false">
      <c r="A6558" s="1" t="s">
        <v>1124</v>
      </c>
      <c r="B6558" s="1" t="n">
        <v>331.99</v>
      </c>
      <c r="C6558" s="1" t="n">
        <f aca="false">1/B6558</f>
        <v>0.00301213891984698</v>
      </c>
      <c r="D6558" s="1" t="n">
        <v>0.38399</v>
      </c>
      <c r="E6558" s="1" t="n">
        <f aca="false">LN(D6558)</f>
        <v>-0.957138768400167</v>
      </c>
    </row>
    <row r="6559" customFormat="false" ht="15.75" hidden="false" customHeight="false" outlineLevel="0" collapsed="false">
      <c r="A6559" s="1" t="s">
        <v>1124</v>
      </c>
      <c r="B6559" s="1" t="n">
        <v>332.86</v>
      </c>
      <c r="C6559" s="1" t="n">
        <f aca="false">1/B6559</f>
        <v>0.00300426605780208</v>
      </c>
      <c r="D6559" s="1" t="n">
        <v>0.3808</v>
      </c>
      <c r="E6559" s="1" t="n">
        <f aca="false">LN(D6559)</f>
        <v>-0.965480976064927</v>
      </c>
    </row>
    <row r="6560" customFormat="false" ht="15.75" hidden="false" customHeight="false" outlineLevel="0" collapsed="false">
      <c r="A6560" s="1" t="s">
        <v>1124</v>
      </c>
      <c r="B6560" s="1" t="n">
        <v>333.73</v>
      </c>
      <c r="C6560" s="1" t="n">
        <f aca="false">1/B6560</f>
        <v>0.00299643424325053</v>
      </c>
      <c r="D6560" s="1" t="n">
        <v>0.37765</v>
      </c>
      <c r="E6560" s="1" t="n">
        <f aca="false">LN(D6560)</f>
        <v>-0.97378743822268</v>
      </c>
    </row>
    <row r="6561" customFormat="false" ht="15.75" hidden="false" customHeight="false" outlineLevel="0" collapsed="false">
      <c r="A6561" s="1" t="s">
        <v>1124</v>
      </c>
      <c r="B6561" s="1" t="n">
        <v>334.6</v>
      </c>
      <c r="C6561" s="1" t="n">
        <f aca="false">1/B6561</f>
        <v>0.00298864315600717</v>
      </c>
      <c r="D6561" s="1" t="n">
        <v>0.37455</v>
      </c>
      <c r="E6561" s="1" t="n">
        <f aca="false">LN(D6561)</f>
        <v>-0.982029973588245</v>
      </c>
    </row>
    <row r="6562" customFormat="false" ht="15.75" hidden="false" customHeight="false" outlineLevel="0" collapsed="false">
      <c r="A6562" s="1" t="s">
        <v>1124</v>
      </c>
      <c r="B6562" s="1" t="n">
        <v>335.47</v>
      </c>
      <c r="C6562" s="1" t="n">
        <f aca="false">1/B6562</f>
        <v>0.00298089247920827</v>
      </c>
      <c r="D6562" s="1" t="n">
        <v>0.37149</v>
      </c>
      <c r="E6562" s="1" t="n">
        <f aca="false">LN(D6562)</f>
        <v>-0.99023333308702</v>
      </c>
    </row>
    <row r="6563" customFormat="false" ht="15.75" hidden="false" customHeight="false" outlineLevel="0" collapsed="false">
      <c r="A6563" s="1" t="s">
        <v>1124</v>
      </c>
      <c r="B6563" s="1" t="n">
        <v>336.34</v>
      </c>
      <c r="C6563" s="1" t="n">
        <f aca="false">1/B6563</f>
        <v>0.0029731818992686</v>
      </c>
      <c r="D6563" s="1" t="n">
        <v>0.36847</v>
      </c>
      <c r="E6563" s="1" t="n">
        <f aca="false">LN(D6563)</f>
        <v>-0.998395981792999</v>
      </c>
    </row>
    <row r="6564" customFormat="false" ht="15.75" hidden="false" customHeight="false" outlineLevel="0" collapsed="false">
      <c r="A6564" s="1" t="s">
        <v>1124</v>
      </c>
      <c r="B6564" s="1" t="n">
        <v>337.21</v>
      </c>
      <c r="C6564" s="1" t="n">
        <f aca="false">1/B6564</f>
        <v>0.00296551110583909</v>
      </c>
      <c r="D6564" s="1" t="n">
        <v>0.36549</v>
      </c>
      <c r="E6564" s="1" t="n">
        <f aca="false">LN(D6564)</f>
        <v>-1.00651635994771</v>
      </c>
    </row>
    <row r="6565" customFormat="false" ht="15.75" hidden="false" customHeight="false" outlineLevel="0" collapsed="false">
      <c r="A6565" s="1" t="s">
        <v>1124</v>
      </c>
      <c r="B6565" s="1" t="n">
        <v>338.08</v>
      </c>
      <c r="C6565" s="1" t="n">
        <f aca="false">1/B6565</f>
        <v>0.00295787979176526</v>
      </c>
      <c r="D6565" s="1" t="n">
        <v>0.36254</v>
      </c>
      <c r="E6565" s="1" t="n">
        <f aca="false">LN(D6565)</f>
        <v>-1.01462046594736</v>
      </c>
    </row>
    <row r="6566" customFormat="false" ht="15.75" hidden="false" customHeight="false" outlineLevel="0" collapsed="false">
      <c r="A6566" s="1" t="s">
        <v>1124</v>
      </c>
      <c r="B6566" s="1" t="n">
        <v>338.95</v>
      </c>
      <c r="C6566" s="1" t="n">
        <f aca="false">1/B6566</f>
        <v>0.00295028765304617</v>
      </c>
      <c r="D6566" s="1" t="n">
        <v>0.35964</v>
      </c>
      <c r="E6566" s="1" t="n">
        <f aca="false">LN(D6566)</f>
        <v>-1.02265174786556</v>
      </c>
    </row>
    <row r="6567" customFormat="false" ht="15.75" hidden="false" customHeight="false" outlineLevel="0" collapsed="false">
      <c r="A6567" s="1" t="s">
        <v>1124</v>
      </c>
      <c r="B6567" s="1" t="n">
        <v>339.82</v>
      </c>
      <c r="C6567" s="1" t="n">
        <f aca="false">1/B6567</f>
        <v>0.00294273438879407</v>
      </c>
      <c r="D6567" s="1" t="n">
        <v>0.35677</v>
      </c>
      <c r="E6567" s="1" t="n">
        <f aca="false">LN(D6567)</f>
        <v>-1.03066396252875</v>
      </c>
    </row>
    <row r="6568" customFormat="false" ht="15.75" hidden="false" customHeight="false" outlineLevel="0" collapsed="false">
      <c r="A6568" s="1" t="s">
        <v>1124</v>
      </c>
      <c r="B6568" s="1" t="n">
        <v>340.69</v>
      </c>
      <c r="C6568" s="1" t="n">
        <f aca="false">1/B6568</f>
        <v>0.00293521970119463</v>
      </c>
      <c r="D6568" s="1" t="n">
        <v>0.35394</v>
      </c>
      <c r="E6568" s="1" t="n">
        <f aca="false">LN(D6568)</f>
        <v>-1.0386278717391</v>
      </c>
    </row>
    <row r="6569" customFormat="false" ht="15.75" hidden="false" customHeight="false" outlineLevel="0" collapsed="false">
      <c r="A6569" s="1" t="s">
        <v>1124</v>
      </c>
      <c r="B6569" s="1" t="n">
        <v>341.56</v>
      </c>
      <c r="C6569" s="1" t="n">
        <f aca="false">1/B6569</f>
        <v>0.00292774329546785</v>
      </c>
      <c r="D6569" s="1" t="n">
        <v>0.35115</v>
      </c>
      <c r="E6569" s="1" t="n">
        <f aca="false">LN(D6569)</f>
        <v>-1.04654179637711</v>
      </c>
    </row>
    <row r="6570" customFormat="false" ht="15.75" hidden="false" customHeight="false" outlineLevel="0" collapsed="false">
      <c r="A6570" s="1" t="s">
        <v>1124</v>
      </c>
      <c r="B6570" s="1" t="n">
        <v>342.43</v>
      </c>
      <c r="C6570" s="1" t="n">
        <f aca="false">1/B6570</f>
        <v>0.00292030487982945</v>
      </c>
      <c r="D6570" s="1" t="n">
        <v>0.34839</v>
      </c>
      <c r="E6570" s="1" t="n">
        <f aca="false">LN(D6570)</f>
        <v>-1.05443273705636</v>
      </c>
    </row>
    <row r="6571" customFormat="false" ht="15.75" hidden="false" customHeight="false" outlineLevel="0" collapsed="false">
      <c r="A6571" s="1" t="s">
        <v>1124</v>
      </c>
      <c r="B6571" s="1" t="n">
        <v>343.3</v>
      </c>
      <c r="C6571" s="1" t="n">
        <f aca="false">1/B6571</f>
        <v>0.00291290416545296</v>
      </c>
      <c r="D6571" s="1" t="n">
        <v>0.34566</v>
      </c>
      <c r="E6571" s="1" t="n">
        <f aca="false">LN(D6571)</f>
        <v>-1.06229964600979</v>
      </c>
    </row>
    <row r="6572" customFormat="false" ht="15.75" hidden="false" customHeight="false" outlineLevel="0" collapsed="false">
      <c r="A6572" s="1" t="s">
        <v>1124</v>
      </c>
      <c r="B6572" s="1" t="n">
        <v>344.17</v>
      </c>
      <c r="C6572" s="1" t="n">
        <f aca="false">1/B6572</f>
        <v>0.00290554086643229</v>
      </c>
      <c r="D6572" s="1" t="n">
        <v>0.34297</v>
      </c>
      <c r="E6572" s="1" t="n">
        <f aca="false">LN(D6572)</f>
        <v>-1.07011229919821</v>
      </c>
    </row>
    <row r="6573" customFormat="false" ht="15.75" hidden="false" customHeight="false" outlineLevel="0" collapsed="false">
      <c r="A6573" s="1" t="s">
        <v>1124</v>
      </c>
      <c r="B6573" s="1" t="n">
        <v>345.04</v>
      </c>
      <c r="C6573" s="1" t="n">
        <f aca="false">1/B6573</f>
        <v>0.00289821469974496</v>
      </c>
      <c r="D6573" s="1" t="n">
        <v>0.34032</v>
      </c>
      <c r="E6573" s="1" t="n">
        <f aca="false">LN(D6573)</f>
        <v>-1.07786892753021</v>
      </c>
    </row>
    <row r="6574" customFormat="false" ht="15.75" hidden="false" customHeight="false" outlineLevel="0" collapsed="false">
      <c r="A6574" s="1" t="s">
        <v>1124</v>
      </c>
      <c r="B6574" s="1" t="n">
        <v>345.91</v>
      </c>
      <c r="C6574" s="1" t="n">
        <f aca="false">1/B6574</f>
        <v>0.00289092538521581</v>
      </c>
      <c r="D6574" s="1" t="n">
        <v>0.3377</v>
      </c>
      <c r="E6574" s="1" t="n">
        <f aca="false">LN(D6574)</f>
        <v>-1.08559735159062</v>
      </c>
    </row>
    <row r="6575" customFormat="false" ht="15.75" hidden="false" customHeight="false" outlineLevel="0" collapsed="false">
      <c r="A6575" s="1" t="s">
        <v>1124</v>
      </c>
      <c r="B6575" s="1" t="n">
        <v>346.78</v>
      </c>
      <c r="C6575" s="1" t="n">
        <f aca="false">1/B6575</f>
        <v>0.00288367264548129</v>
      </c>
      <c r="D6575" s="1" t="n">
        <v>0.33511</v>
      </c>
      <c r="E6575" s="1" t="n">
        <f aca="false">LN(D6575)</f>
        <v>-1.09329644284587</v>
      </c>
    </row>
    <row r="6576" customFormat="false" ht="15.75" hidden="false" customHeight="false" outlineLevel="0" collapsed="false">
      <c r="A6576" s="1" t="s">
        <v>1124</v>
      </c>
      <c r="B6576" s="1" t="n">
        <v>347.65</v>
      </c>
      <c r="C6576" s="1" t="n">
        <f aca="false">1/B6576</f>
        <v>0.00287645620595426</v>
      </c>
      <c r="D6576" s="1" t="n">
        <v>0.33255</v>
      </c>
      <c r="E6576" s="1" t="n">
        <f aca="false">LN(D6576)</f>
        <v>-1.10096505425171</v>
      </c>
    </row>
    <row r="6577" customFormat="false" ht="15.75" hidden="false" customHeight="false" outlineLevel="0" collapsed="false">
      <c r="A6577" s="1" t="s">
        <v>1124</v>
      </c>
      <c r="B6577" s="1" t="n">
        <v>348.52</v>
      </c>
      <c r="C6577" s="1" t="n">
        <f aca="false">1/B6577</f>
        <v>0.0028692757947894</v>
      </c>
      <c r="D6577" s="1" t="n">
        <v>0.33002</v>
      </c>
      <c r="E6577" s="1" t="n">
        <f aca="false">LN(D6577)</f>
        <v>-1.10860202029748</v>
      </c>
    </row>
    <row r="6578" customFormat="false" ht="15.75" hidden="false" customHeight="false" outlineLevel="0" collapsed="false">
      <c r="A6578" s="1" t="s">
        <v>1124</v>
      </c>
      <c r="B6578" s="1" t="n">
        <v>349.39</v>
      </c>
      <c r="C6578" s="1" t="n">
        <f aca="false">1/B6578</f>
        <v>0.00286213114284897</v>
      </c>
      <c r="D6578" s="1" t="n">
        <v>0.32753</v>
      </c>
      <c r="E6578" s="1" t="n">
        <f aca="false">LN(D6578)</f>
        <v>-1.1161756250487</v>
      </c>
    </row>
    <row r="6579" customFormat="false" ht="15.75" hidden="false" customHeight="false" outlineLevel="0" collapsed="false">
      <c r="A6579" s="1" t="s">
        <v>1124</v>
      </c>
      <c r="B6579" s="1" t="n">
        <v>350.26</v>
      </c>
      <c r="C6579" s="1" t="n">
        <f aca="false">1/B6579</f>
        <v>0.00285502198366927</v>
      </c>
      <c r="D6579" s="1" t="n">
        <v>0.32506</v>
      </c>
      <c r="E6579" s="1" t="n">
        <f aca="false">LN(D6579)</f>
        <v>-1.12374549830711</v>
      </c>
    </row>
    <row r="6580" customFormat="false" ht="15.75" hidden="false" customHeight="false" outlineLevel="0" collapsed="false">
      <c r="A6580" s="1" t="s">
        <v>1124</v>
      </c>
      <c r="B6580" s="1" t="n">
        <v>351.13</v>
      </c>
      <c r="C6580" s="1" t="n">
        <f aca="false">1/B6580</f>
        <v>0.00284794805342751</v>
      </c>
      <c r="D6580" s="1" t="n">
        <v>0.32262</v>
      </c>
      <c r="E6580" s="1" t="n">
        <f aca="false">LN(D6580)</f>
        <v>-1.1312801189325</v>
      </c>
    </row>
    <row r="6581" customFormat="false" ht="15.75" hidden="false" customHeight="false" outlineLevel="0" collapsed="false">
      <c r="A6581" s="1" t="s">
        <v>1124</v>
      </c>
      <c r="B6581" s="1" t="n">
        <v>352</v>
      </c>
      <c r="C6581" s="1" t="n">
        <f aca="false">1/B6581</f>
        <v>0.00284090909090909</v>
      </c>
      <c r="D6581" s="1" t="n">
        <v>0.32022</v>
      </c>
      <c r="E6581" s="1" t="n">
        <f aca="false">LN(D6581)</f>
        <v>-1.13874701940823</v>
      </c>
    </row>
    <row r="6582" customFormat="false" ht="15.75" hidden="false" customHeight="false" outlineLevel="0" collapsed="false">
      <c r="A6582" s="1" t="s">
        <v>1124</v>
      </c>
      <c r="B6582" s="1" t="n">
        <v>352.87</v>
      </c>
      <c r="C6582" s="1" t="n">
        <f aca="false">1/B6582</f>
        <v>0.00283390483747556</v>
      </c>
      <c r="D6582" s="1" t="n">
        <v>0.31784</v>
      </c>
      <c r="E6582" s="1" t="n">
        <f aca="false">LN(D6582)</f>
        <v>-1.14620716747579</v>
      </c>
    </row>
    <row r="6583" customFormat="false" ht="15.75" hidden="false" customHeight="false" outlineLevel="0" collapsed="false">
      <c r="A6583" s="1" t="s">
        <v>1124</v>
      </c>
      <c r="B6583" s="1" t="n">
        <v>353.74</v>
      </c>
      <c r="C6583" s="1" t="n">
        <f aca="false">1/B6583</f>
        <v>0.00282693503703285</v>
      </c>
      <c r="D6583" s="1" t="n">
        <v>0.31549</v>
      </c>
      <c r="E6583" s="1" t="n">
        <f aca="false">LN(D6583)</f>
        <v>-1.15362829322427</v>
      </c>
    </row>
    <row r="6584" customFormat="false" ht="15.75" hidden="false" customHeight="false" outlineLevel="0" collapsed="false">
      <c r="A6584" s="1" t="s">
        <v>1124</v>
      </c>
      <c r="B6584" s="1" t="n">
        <v>354.61</v>
      </c>
      <c r="C6584" s="1" t="n">
        <f aca="false">1/B6584</f>
        <v>0.00281999943600011</v>
      </c>
      <c r="D6584" s="1" t="n">
        <v>0.31317</v>
      </c>
      <c r="E6584" s="1" t="n">
        <f aca="false">LN(D6584)</f>
        <v>-1.16100910489382</v>
      </c>
    </row>
    <row r="6585" customFormat="false" ht="15.75" hidden="false" customHeight="false" outlineLevel="0" collapsed="false">
      <c r="A6585" s="1" t="s">
        <v>1124</v>
      </c>
      <c r="B6585" s="1" t="n">
        <v>355.48</v>
      </c>
      <c r="C6585" s="1" t="n">
        <f aca="false">1/B6585</f>
        <v>0.00281309778327895</v>
      </c>
      <c r="D6585" s="1" t="n">
        <v>0.31087</v>
      </c>
      <c r="E6585" s="1" t="n">
        <f aca="false">LN(D6585)</f>
        <v>-1.16838046062281</v>
      </c>
    </row>
    <row r="6586" customFormat="false" ht="15.75" hidden="false" customHeight="false" outlineLevel="0" collapsed="false">
      <c r="A6586" s="1" t="s">
        <v>1124</v>
      </c>
      <c r="B6586" s="1" t="n">
        <v>356.35</v>
      </c>
      <c r="C6586" s="1" t="n">
        <f aca="false">1/B6586</f>
        <v>0.00280622983022309</v>
      </c>
      <c r="D6586" s="1" t="n">
        <v>0.3086</v>
      </c>
      <c r="E6586" s="1" t="n">
        <f aca="false">LN(D6586)</f>
        <v>-1.17570933905308</v>
      </c>
    </row>
    <row r="6587" customFormat="false" ht="15.75" hidden="false" customHeight="false" outlineLevel="0" collapsed="false">
      <c r="A6587" s="1" t="s">
        <v>1124</v>
      </c>
      <c r="B6587" s="1" t="n">
        <v>357.22</v>
      </c>
      <c r="C6587" s="1" t="n">
        <f aca="false">1/B6587</f>
        <v>0.00279939533060859</v>
      </c>
      <c r="D6587" s="1" t="n">
        <v>0.30636</v>
      </c>
      <c r="E6587" s="1" t="n">
        <f aca="false">LN(D6587)</f>
        <v>-1.18299439794074</v>
      </c>
    </row>
    <row r="6588" customFormat="false" ht="15.75" hidden="false" customHeight="false" outlineLevel="0" collapsed="false">
      <c r="A6588" s="1" t="s">
        <v>1124</v>
      </c>
      <c r="B6588" s="1" t="n">
        <v>358.09</v>
      </c>
      <c r="C6588" s="1" t="n">
        <f aca="false">1/B6588</f>
        <v>0.00279259404060432</v>
      </c>
      <c r="D6588" s="1" t="n">
        <v>0.30415</v>
      </c>
      <c r="E6588" s="1" t="n">
        <f aca="false">LN(D6588)</f>
        <v>-1.19023427821542</v>
      </c>
    </row>
    <row r="6589" customFormat="false" ht="15.75" hidden="false" customHeight="false" outlineLevel="0" collapsed="false">
      <c r="A6589" s="1" t="s">
        <v>1124</v>
      </c>
      <c r="B6589" s="1" t="n">
        <v>358.96</v>
      </c>
      <c r="C6589" s="1" t="n">
        <f aca="false">1/B6589</f>
        <v>0.00278582571874304</v>
      </c>
      <c r="D6589" s="1" t="n">
        <v>0.30196</v>
      </c>
      <c r="E6589" s="1" t="n">
        <f aca="false">LN(D6589)</f>
        <v>-1.19746072071071</v>
      </c>
    </row>
    <row r="6590" customFormat="false" ht="15.75" hidden="false" customHeight="false" outlineLevel="0" collapsed="false">
      <c r="A6590" s="1" t="s">
        <v>1124</v>
      </c>
      <c r="B6590" s="1" t="n">
        <v>359.83</v>
      </c>
      <c r="C6590" s="1" t="n">
        <f aca="false">1/B6590</f>
        <v>0.00277909012589278</v>
      </c>
      <c r="D6590" s="1" t="n">
        <v>0.29979</v>
      </c>
      <c r="E6590" s="1" t="n">
        <f aca="false">LN(D6590)</f>
        <v>-1.20467304944033</v>
      </c>
    </row>
    <row r="6591" customFormat="false" ht="15.75" hidden="false" customHeight="false" outlineLevel="0" collapsed="false">
      <c r="A6591" s="1" t="s">
        <v>1124</v>
      </c>
      <c r="B6591" s="1" t="n">
        <v>360.7</v>
      </c>
      <c r="C6591" s="1" t="n">
        <f aca="false">1/B6591</f>
        <v>0.00277238702522872</v>
      </c>
      <c r="D6591" s="1" t="n">
        <v>0.29765</v>
      </c>
      <c r="E6591" s="1" t="n">
        <f aca="false">LN(D6591)</f>
        <v>-1.21183697938274</v>
      </c>
    </row>
    <row r="6592" customFormat="false" ht="15.75" hidden="false" customHeight="false" outlineLevel="0" collapsed="false">
      <c r="A6592" s="1" t="s">
        <v>1124</v>
      </c>
      <c r="B6592" s="1" t="n">
        <v>361.57</v>
      </c>
      <c r="C6592" s="1" t="n">
        <f aca="false">1/B6592</f>
        <v>0.00276571618220538</v>
      </c>
      <c r="D6592" s="1" t="n">
        <v>0.29554</v>
      </c>
      <c r="E6592" s="1" t="n">
        <f aca="false">LN(D6592)</f>
        <v>-1.21895108750665</v>
      </c>
    </row>
    <row r="6593" customFormat="false" ht="15.75" hidden="false" customHeight="false" outlineLevel="0" collapsed="false">
      <c r="A6593" s="1" t="s">
        <v>1124</v>
      </c>
      <c r="B6593" s="1" t="n">
        <v>362.44</v>
      </c>
      <c r="C6593" s="1" t="n">
        <f aca="false">1/B6593</f>
        <v>0.0027590773645293</v>
      </c>
      <c r="D6593" s="1" t="n">
        <v>0.29344</v>
      </c>
      <c r="E6593" s="1" t="n">
        <f aca="false">LN(D6593)</f>
        <v>-1.22608208991404</v>
      </c>
    </row>
    <row r="6594" customFormat="false" ht="15.75" hidden="false" customHeight="false" outlineLevel="0" collapsed="false">
      <c r="A6594" s="1" t="s">
        <v>1124</v>
      </c>
      <c r="B6594" s="1" t="n">
        <v>363.31</v>
      </c>
      <c r="C6594" s="1" t="n">
        <f aca="false">1/B6594</f>
        <v>0.00275247034213206</v>
      </c>
      <c r="D6594" s="1" t="n">
        <v>0.29137</v>
      </c>
      <c r="E6594" s="1" t="n">
        <f aca="false">LN(D6594)</f>
        <v>-1.23316134179061</v>
      </c>
    </row>
    <row r="6595" customFormat="false" ht="15.75" hidden="false" customHeight="false" outlineLevel="0" collapsed="false">
      <c r="A6595" s="1" t="s">
        <v>1124</v>
      </c>
      <c r="B6595" s="1" t="n">
        <v>364.18</v>
      </c>
      <c r="C6595" s="1" t="n">
        <f aca="false">1/B6595</f>
        <v>0.00274589488714372</v>
      </c>
      <c r="D6595" s="1" t="n">
        <v>0.28933</v>
      </c>
      <c r="E6595" s="1" t="n">
        <f aca="false">LN(D6595)</f>
        <v>-1.24018737379359</v>
      </c>
    </row>
    <row r="6596" customFormat="false" ht="15.75" hidden="false" customHeight="false" outlineLevel="0" collapsed="false">
      <c r="A6596" s="1" t="s">
        <v>1124</v>
      </c>
      <c r="B6596" s="1" t="n">
        <v>365.05</v>
      </c>
      <c r="C6596" s="1" t="n">
        <f aca="false">1/B6596</f>
        <v>0.00273935077386659</v>
      </c>
      <c r="D6596" s="1" t="n">
        <v>0.28731</v>
      </c>
      <c r="E6596" s="1" t="n">
        <f aca="false">LN(D6596)</f>
        <v>-1.2471935067805</v>
      </c>
    </row>
    <row r="6597" customFormat="false" ht="15.75" hidden="false" customHeight="false" outlineLevel="0" collapsed="false">
      <c r="A6597" s="1" t="s">
        <v>1124</v>
      </c>
      <c r="B6597" s="1" t="n">
        <v>365.92</v>
      </c>
      <c r="C6597" s="1" t="n">
        <f aca="false">1/B6597</f>
        <v>0.00273283777874945</v>
      </c>
      <c r="D6597" s="1" t="n">
        <v>0.28531</v>
      </c>
      <c r="E6597" s="1" t="n">
        <f aca="false">LN(D6597)</f>
        <v>-1.25417897055325</v>
      </c>
    </row>
    <row r="6598" customFormat="false" ht="15.75" hidden="false" customHeight="false" outlineLevel="0" collapsed="false">
      <c r="A6598" s="1" t="s">
        <v>1124</v>
      </c>
      <c r="B6598" s="1" t="n">
        <v>366.79</v>
      </c>
      <c r="C6598" s="1" t="n">
        <f aca="false">1/B6598</f>
        <v>0.00272635568036206</v>
      </c>
      <c r="D6598" s="1" t="n">
        <v>0.28333</v>
      </c>
      <c r="E6598" s="1" t="n">
        <f aca="false">LN(D6598)</f>
        <v>-1.26114298294097</v>
      </c>
    </row>
    <row r="6599" customFormat="false" ht="15.75" hidden="false" customHeight="false" outlineLevel="0" collapsed="false">
      <c r="A6599" s="1" t="s">
        <v>1124</v>
      </c>
      <c r="B6599" s="1" t="n">
        <v>367.66</v>
      </c>
      <c r="C6599" s="1" t="n">
        <f aca="false">1/B6599</f>
        <v>0.00271990425937007</v>
      </c>
      <c r="D6599" s="1" t="n">
        <v>0.28137</v>
      </c>
      <c r="E6599" s="1" t="n">
        <f aca="false">LN(D6599)</f>
        <v>-1.26808474979318</v>
      </c>
    </row>
    <row r="6600" customFormat="false" ht="15.75" hidden="false" customHeight="false" outlineLevel="0" collapsed="false">
      <c r="A6600" s="1" t="s">
        <v>1124</v>
      </c>
      <c r="B6600" s="1" t="n">
        <v>368.53</v>
      </c>
      <c r="C6600" s="1" t="n">
        <f aca="false">1/B6600</f>
        <v>0.0027134832985103</v>
      </c>
      <c r="D6600" s="1" t="n">
        <v>0.27943</v>
      </c>
      <c r="E6600" s="1" t="n">
        <f aca="false">LN(D6600)</f>
        <v>-1.27500346498132</v>
      </c>
    </row>
    <row r="6601" customFormat="false" ht="15.75" hidden="false" customHeight="false" outlineLevel="0" collapsed="false">
      <c r="A6601" s="1" t="s">
        <v>1124</v>
      </c>
      <c r="B6601" s="1" t="n">
        <v>369.4</v>
      </c>
      <c r="C6601" s="1" t="n">
        <f aca="false">1/B6601</f>
        <v>0.00270709258256632</v>
      </c>
      <c r="D6601" s="1" t="n">
        <v>0.27752</v>
      </c>
      <c r="E6601" s="1" t="n">
        <f aca="false">LN(D6601)</f>
        <v>-1.28186227632064</v>
      </c>
    </row>
    <row r="6602" customFormat="false" ht="15.75" hidden="false" customHeight="false" outlineLevel="0" collapsed="false">
      <c r="A6602" s="1" t="s">
        <v>1124</v>
      </c>
      <c r="B6602" s="1" t="n">
        <v>370.27</v>
      </c>
      <c r="C6602" s="1" t="n">
        <f aca="false">1/B6602</f>
        <v>0.00270073189834445</v>
      </c>
      <c r="D6602" s="1" t="n">
        <v>0.27562</v>
      </c>
      <c r="E6602" s="1" t="n">
        <f aca="false">LN(D6602)</f>
        <v>-1.28873217353514</v>
      </c>
    </row>
    <row r="6603" customFormat="false" ht="15.75" hidden="false" customHeight="false" outlineLevel="0" collapsed="false">
      <c r="A6603" s="1" t="s">
        <v>1124</v>
      </c>
      <c r="B6603" s="1" t="n">
        <v>371.14</v>
      </c>
      <c r="C6603" s="1" t="n">
        <f aca="false">1/B6603</f>
        <v>0.00269440103465</v>
      </c>
      <c r="D6603" s="1" t="n">
        <v>0.27375</v>
      </c>
      <c r="E6603" s="1" t="n">
        <f aca="false">LN(D6603)</f>
        <v>-1.29553999785143</v>
      </c>
    </row>
    <row r="6604" customFormat="false" ht="15.75" hidden="false" customHeight="false" outlineLevel="0" collapsed="false">
      <c r="A6604" s="1" t="s">
        <v>1124</v>
      </c>
      <c r="B6604" s="1" t="n">
        <v>372.01</v>
      </c>
      <c r="C6604" s="1" t="n">
        <f aca="false">1/B6604</f>
        <v>0.00268809978226392</v>
      </c>
      <c r="D6604" s="1" t="n">
        <v>0.2719</v>
      </c>
      <c r="E6604" s="1" t="n">
        <f aca="false">LN(D6604)</f>
        <v>-1.30232092734371</v>
      </c>
    </row>
    <row r="6605" customFormat="false" ht="15.75" hidden="false" customHeight="false" outlineLevel="0" collapsed="false">
      <c r="A6605" s="1" t="s">
        <v>1124</v>
      </c>
      <c r="B6605" s="1" t="n">
        <v>372.88</v>
      </c>
      <c r="C6605" s="1" t="n">
        <f aca="false">1/B6605</f>
        <v>0.00268182793391976</v>
      </c>
      <c r="D6605" s="1" t="n">
        <v>0.27006</v>
      </c>
      <c r="E6605" s="1" t="n">
        <f aca="false">LN(D6605)</f>
        <v>-1.30911112244924</v>
      </c>
    </row>
    <row r="6606" customFormat="false" ht="15.75" hidden="false" customHeight="false" outlineLevel="0" collapsed="false">
      <c r="A6606" s="1" t="s">
        <v>1124</v>
      </c>
      <c r="B6606" s="1" t="n">
        <v>373.75</v>
      </c>
      <c r="C6606" s="1" t="n">
        <f aca="false">1/B6606</f>
        <v>0.00267558528428094</v>
      </c>
      <c r="D6606" s="1" t="n">
        <v>0.26825</v>
      </c>
      <c r="E6606" s="1" t="n">
        <f aca="false">LN(D6606)</f>
        <v>-1.31583589747133</v>
      </c>
    </row>
    <row r="6607" customFormat="false" ht="15.75" hidden="false" customHeight="false" outlineLevel="0" collapsed="false">
      <c r="A6607" s="1" t="s">
        <v>1124</v>
      </c>
      <c r="B6607" s="1" t="n">
        <v>374.62</v>
      </c>
      <c r="C6607" s="1" t="n">
        <f aca="false">1/B6607</f>
        <v>0.00266937162991832</v>
      </c>
      <c r="D6607" s="1" t="n">
        <v>0.26645</v>
      </c>
      <c r="E6607" s="1" t="n">
        <f aca="false">LN(D6607)</f>
        <v>-1.32256867023935</v>
      </c>
    </row>
    <row r="6608" customFormat="false" ht="15.75" hidden="false" customHeight="false" outlineLevel="0" collapsed="false">
      <c r="A6608" s="1" t="s">
        <v>1124</v>
      </c>
      <c r="B6608" s="1" t="n">
        <v>375.49</v>
      </c>
      <c r="C6608" s="1" t="n">
        <f aca="false">1/B6608</f>
        <v>0.00266318676928813</v>
      </c>
      <c r="D6608" s="1" t="n">
        <v>0.26467</v>
      </c>
      <c r="E6608" s="1" t="n">
        <f aca="false">LN(D6608)</f>
        <v>-1.32927151202398</v>
      </c>
    </row>
    <row r="6609" customFormat="false" ht="15.75" hidden="false" customHeight="false" outlineLevel="0" collapsed="false">
      <c r="A6609" s="1" t="s">
        <v>1124</v>
      </c>
      <c r="B6609" s="1" t="n">
        <v>376.36</v>
      </c>
      <c r="C6609" s="1" t="n">
        <f aca="false">1/B6609</f>
        <v>0.00265703050271017</v>
      </c>
      <c r="D6609" s="1" t="n">
        <v>0.26291</v>
      </c>
      <c r="E6609" s="1" t="n">
        <f aca="false">LN(D6609)</f>
        <v>-1.33594351069317</v>
      </c>
    </row>
    <row r="6610" customFormat="false" ht="15.75" hidden="false" customHeight="false" outlineLevel="0" collapsed="false">
      <c r="A6610" s="1" t="s">
        <v>1124</v>
      </c>
      <c r="B6610" s="1" t="n">
        <v>377.23</v>
      </c>
      <c r="C6610" s="1" t="n">
        <f aca="false">1/B6610</f>
        <v>0.00265090263234631</v>
      </c>
      <c r="D6610" s="1" t="n">
        <v>0.26117</v>
      </c>
      <c r="E6610" s="1" t="n">
        <f aca="false">LN(D6610)</f>
        <v>-1.34258374269376</v>
      </c>
    </row>
    <row r="6611" customFormat="false" ht="15.75" hidden="false" customHeight="false" outlineLevel="0" collapsed="false">
      <c r="A6611" s="1" t="s">
        <v>1124</v>
      </c>
      <c r="B6611" s="1" t="n">
        <v>378.1</v>
      </c>
      <c r="C6611" s="1" t="n">
        <f aca="false">1/B6611</f>
        <v>0.00264480296217932</v>
      </c>
      <c r="D6611" s="1" t="n">
        <v>0.25945</v>
      </c>
      <c r="E6611" s="1" t="n">
        <f aca="false">LN(D6611)</f>
        <v>-1.34919127316839</v>
      </c>
    </row>
    <row r="6612" customFormat="false" ht="15.75" hidden="false" customHeight="false" outlineLevel="0" collapsed="false">
      <c r="A6612" s="1" t="s">
        <v>1124</v>
      </c>
      <c r="B6612" s="1" t="n">
        <v>378.97</v>
      </c>
      <c r="C6612" s="1" t="n">
        <f aca="false">1/B6612</f>
        <v>0.00263873129799193</v>
      </c>
      <c r="D6612" s="1" t="n">
        <v>0.25774</v>
      </c>
      <c r="E6612" s="1" t="n">
        <f aca="false">LN(D6612)</f>
        <v>-1.35580395412189</v>
      </c>
    </row>
    <row r="6613" customFormat="false" ht="15.75" hidden="false" customHeight="false" outlineLevel="0" collapsed="false">
      <c r="A6613" s="1" t="s">
        <v>1124</v>
      </c>
      <c r="B6613" s="1" t="n">
        <v>379.84</v>
      </c>
      <c r="C6613" s="1" t="n">
        <f aca="false">1/B6613</f>
        <v>0.00263268744734625</v>
      </c>
      <c r="D6613" s="1" t="n">
        <v>0.25606</v>
      </c>
      <c r="E6613" s="1" t="n">
        <f aca="false">LN(D6613)</f>
        <v>-1.3623434869641</v>
      </c>
    </row>
    <row r="6614" customFormat="false" ht="15.75" hidden="false" customHeight="false" outlineLevel="0" collapsed="false">
      <c r="A6614" s="1" t="s">
        <v>1124</v>
      </c>
      <c r="B6614" s="1" t="n">
        <v>380.71</v>
      </c>
      <c r="C6614" s="1" t="n">
        <f aca="false">1/B6614</f>
        <v>0.00262667121956345</v>
      </c>
      <c r="D6614" s="1" t="n">
        <v>0.25438</v>
      </c>
      <c r="E6614" s="1" t="n">
        <f aca="false">LN(D6614)</f>
        <v>-1.3689260669588</v>
      </c>
    </row>
    <row r="6615" customFormat="false" ht="15.75" hidden="false" customHeight="false" outlineLevel="0" collapsed="false">
      <c r="A6615" s="1" t="s">
        <v>1124</v>
      </c>
      <c r="B6615" s="1" t="n">
        <v>381.58</v>
      </c>
      <c r="C6615" s="1" t="n">
        <f aca="false">1/B6615</f>
        <v>0.00262068242570365</v>
      </c>
      <c r="D6615" s="1" t="n">
        <v>0.25273</v>
      </c>
      <c r="E6615" s="1" t="n">
        <f aca="false">LN(D6615)</f>
        <v>-1.37543355378714</v>
      </c>
    </row>
    <row r="6616" customFormat="false" ht="15.75" hidden="false" customHeight="false" outlineLevel="0" collapsed="false">
      <c r="A6616" s="1" t="s">
        <v>1124</v>
      </c>
      <c r="B6616" s="1" t="n">
        <v>382.45</v>
      </c>
      <c r="C6616" s="1" t="n">
        <f aca="false">1/B6616</f>
        <v>0.00261472087854622</v>
      </c>
      <c r="D6616" s="1" t="n">
        <v>0.25109</v>
      </c>
      <c r="E6616" s="1" t="n">
        <f aca="false">LN(D6616)</f>
        <v>-1.38194383838263</v>
      </c>
    </row>
    <row r="6617" customFormat="false" ht="15.75" hidden="false" customHeight="false" outlineLevel="0" collapsed="false">
      <c r="A6617" s="1" t="s">
        <v>1124</v>
      </c>
      <c r="B6617" s="1" t="n">
        <v>383.28</v>
      </c>
      <c r="C6617" s="1" t="n">
        <f aca="false">1/B6617</f>
        <v>0.00260905865163849</v>
      </c>
      <c r="D6617" s="1" t="n">
        <v>0.24954</v>
      </c>
      <c r="E6617" s="1" t="n">
        <f aca="false">LN(D6617)</f>
        <v>-1.38813605599926</v>
      </c>
    </row>
    <row r="6618" customFormat="false" ht="15.75" hidden="false" customHeight="false" outlineLevel="0" collapsed="false">
      <c r="A6618" s="1" t="s">
        <v>1126</v>
      </c>
      <c r="B6618" s="1" t="n">
        <v>223.15</v>
      </c>
      <c r="C6618" s="1" t="n">
        <f aca="false">1/B6618</f>
        <v>0.00448129061169617</v>
      </c>
      <c r="D6618" s="1" t="n">
        <v>1.005</v>
      </c>
      <c r="E6618" s="1" t="n">
        <f aca="false">LN(D6618)</f>
        <v>0.00498754151103897</v>
      </c>
    </row>
    <row r="6619" customFormat="false" ht="15.75" hidden="false" customHeight="false" outlineLevel="0" collapsed="false">
      <c r="A6619" s="1" t="s">
        <v>1126</v>
      </c>
      <c r="B6619" s="1" t="n">
        <v>228.15</v>
      </c>
      <c r="C6619" s="1" t="n">
        <f aca="false">1/B6619</f>
        <v>0.00438308130615823</v>
      </c>
      <c r="D6619" s="1" t="n">
        <v>0.925</v>
      </c>
      <c r="E6619" s="1" t="n">
        <f aca="false">LN(D6619)</f>
        <v>-0.0779615414697118</v>
      </c>
    </row>
    <row r="6620" customFormat="false" ht="15.75" hidden="false" customHeight="false" outlineLevel="0" collapsed="false">
      <c r="A6620" s="1" t="s">
        <v>1126</v>
      </c>
      <c r="B6620" s="1" t="n">
        <v>233.15</v>
      </c>
      <c r="C6620" s="1" t="n">
        <f aca="false">1/B6620</f>
        <v>0.00428908428050611</v>
      </c>
      <c r="D6620" s="1" t="n">
        <v>0.847</v>
      </c>
      <c r="E6620" s="1" t="n">
        <f aca="false">LN(D6620)</f>
        <v>-0.166054584330083</v>
      </c>
    </row>
    <row r="6621" customFormat="false" ht="15.75" hidden="false" customHeight="false" outlineLevel="0" collapsed="false">
      <c r="A6621" s="1" t="s">
        <v>1126</v>
      </c>
      <c r="B6621" s="1" t="n">
        <v>238.15</v>
      </c>
      <c r="C6621" s="1" t="n">
        <f aca="false">1/B6621</f>
        <v>0.00419903422212891</v>
      </c>
      <c r="D6621" s="1" t="n">
        <v>0.783</v>
      </c>
      <c r="E6621" s="1" t="n">
        <f aca="false">LN(D6621)</f>
        <v>-0.244622582991334</v>
      </c>
    </row>
    <row r="6622" customFormat="false" ht="15.75" hidden="false" customHeight="false" outlineLevel="0" collapsed="false">
      <c r="A6622" s="1" t="s">
        <v>1126</v>
      </c>
      <c r="B6622" s="1" t="n">
        <v>248.15</v>
      </c>
      <c r="C6622" s="1" t="n">
        <f aca="false">1/B6622</f>
        <v>0.00402982067298005</v>
      </c>
      <c r="D6622" s="1" t="n">
        <v>0.682</v>
      </c>
      <c r="E6622" s="1" t="n">
        <f aca="false">LN(D6622)</f>
        <v>-0.382725621138675</v>
      </c>
    </row>
    <row r="6623" customFormat="false" ht="15.75" hidden="false" customHeight="false" outlineLevel="0" collapsed="false">
      <c r="A6623" s="1" t="s">
        <v>1126</v>
      </c>
      <c r="B6623" s="1" t="n">
        <v>253.15</v>
      </c>
      <c r="C6623" s="1" t="n">
        <f aca="false">1/B6623</f>
        <v>0.00395022713806044</v>
      </c>
      <c r="D6623" s="1" t="n">
        <v>0.637</v>
      </c>
      <c r="E6623" s="1" t="n">
        <f aca="false">LN(D6623)</f>
        <v>-0.450985623409974</v>
      </c>
    </row>
    <row r="6624" customFormat="false" ht="15.75" hidden="false" customHeight="false" outlineLevel="0" collapsed="false">
      <c r="A6624" s="1" t="s">
        <v>1126</v>
      </c>
      <c r="B6624" s="1" t="n">
        <v>258.15</v>
      </c>
      <c r="C6624" s="1" t="n">
        <f aca="false">1/B6624</f>
        <v>0.00387371683129963</v>
      </c>
      <c r="D6624" s="1" t="n">
        <v>0.597</v>
      </c>
      <c r="E6624" s="1" t="n">
        <f aca="false">LN(D6624)</f>
        <v>-0.515838165589535</v>
      </c>
    </row>
    <row r="6625" customFormat="false" ht="15.75" hidden="false" customHeight="false" outlineLevel="0" collapsed="false">
      <c r="A6625" s="1" t="s">
        <v>1126</v>
      </c>
      <c r="B6625" s="1" t="n">
        <v>263.15</v>
      </c>
      <c r="C6625" s="1" t="n">
        <f aca="false">1/B6625</f>
        <v>0.0038001140034201</v>
      </c>
      <c r="D6625" s="1" t="n">
        <v>0.56</v>
      </c>
      <c r="E6625" s="1" t="n">
        <f aca="false">LN(D6625)</f>
        <v>-0.579818495252942</v>
      </c>
    </row>
    <row r="6626" customFormat="false" ht="15.75" hidden="false" customHeight="false" outlineLevel="0" collapsed="false">
      <c r="A6626" s="1" t="s">
        <v>1126</v>
      </c>
      <c r="B6626" s="1" t="n">
        <v>273.15</v>
      </c>
      <c r="C6626" s="1" t="n">
        <f aca="false">1/B6626</f>
        <v>0.00366099212886692</v>
      </c>
      <c r="D6626" s="1" t="n">
        <v>0.498</v>
      </c>
      <c r="E6626" s="1" t="n">
        <f aca="false">LN(D6626)</f>
        <v>-0.697155201957484</v>
      </c>
    </row>
    <row r="6627" customFormat="false" ht="15.75" hidden="false" customHeight="false" outlineLevel="0" collapsed="false">
      <c r="A6627" s="1" t="s">
        <v>1126</v>
      </c>
      <c r="B6627" s="1" t="n">
        <v>278.15</v>
      </c>
      <c r="C6627" s="1" t="n">
        <f aca="false">1/B6627</f>
        <v>0.00359518245550962</v>
      </c>
      <c r="D6627" s="1" t="n">
        <v>0.471</v>
      </c>
      <c r="E6627" s="1" t="n">
        <f aca="false">LN(D6627)</f>
        <v>-0.752897184965719</v>
      </c>
    </row>
    <row r="6628" customFormat="false" ht="15.75" hidden="false" customHeight="false" outlineLevel="0" collapsed="false">
      <c r="A6628" s="1" t="s">
        <v>1126</v>
      </c>
      <c r="B6628" s="1" t="n">
        <v>283.15</v>
      </c>
      <c r="C6628" s="1" t="n">
        <f aca="false">1/B6628</f>
        <v>0.00353169698039908</v>
      </c>
      <c r="D6628" s="1" t="n">
        <v>0.447</v>
      </c>
      <c r="E6628" s="1" t="n">
        <f aca="false">LN(D6628)</f>
        <v>-0.805196684368568</v>
      </c>
    </row>
    <row r="6629" customFormat="false" ht="15.75" hidden="false" customHeight="false" outlineLevel="0" collapsed="false">
      <c r="A6629" s="1" t="s">
        <v>1126</v>
      </c>
      <c r="B6629" s="1" t="n">
        <v>288.15</v>
      </c>
      <c r="C6629" s="1" t="n">
        <f aca="false">1/B6629</f>
        <v>0.00347041471455839</v>
      </c>
      <c r="D6629" s="1" t="n">
        <v>0.423</v>
      </c>
      <c r="E6629" s="1" t="n">
        <f aca="false">LN(D6629)</f>
        <v>-0.860383099935859</v>
      </c>
    </row>
    <row r="6630" customFormat="false" ht="15.75" hidden="false" customHeight="false" outlineLevel="0" collapsed="false">
      <c r="A6630" s="1" t="s">
        <v>1126</v>
      </c>
      <c r="B6630" s="1" t="n">
        <v>243.15</v>
      </c>
      <c r="C6630" s="1" t="n">
        <f aca="false">1/B6630</f>
        <v>0.00411268764137364</v>
      </c>
      <c r="D6630" s="1" t="n">
        <v>0.729</v>
      </c>
      <c r="E6630" s="1" t="n">
        <f aca="false">LN(D6630)</f>
        <v>-0.316081546973479</v>
      </c>
    </row>
    <row r="6631" customFormat="false" ht="15.75" hidden="false" customHeight="false" outlineLevel="0" collapsed="false">
      <c r="A6631" s="1" t="s">
        <v>1126</v>
      </c>
      <c r="B6631" s="1" t="n">
        <v>268.15</v>
      </c>
      <c r="C6631" s="1" t="n">
        <f aca="false">1/B6631</f>
        <v>0.00372925601342532</v>
      </c>
      <c r="D6631" s="1" t="n">
        <v>0.526</v>
      </c>
      <c r="E6631" s="1" t="n">
        <f aca="false">LN(D6631)</f>
        <v>-0.642454066244427</v>
      </c>
    </row>
    <row r="6632" customFormat="false" ht="15.75" hidden="false" customHeight="false" outlineLevel="0" collapsed="false">
      <c r="A6632" s="1" t="s">
        <v>1126</v>
      </c>
      <c r="B6632" s="1" t="n">
        <v>293.15</v>
      </c>
      <c r="C6632" s="1" t="n">
        <f aca="false">1/B6632</f>
        <v>0.00341122292341805</v>
      </c>
      <c r="D6632" s="1" t="n">
        <v>0.404</v>
      </c>
      <c r="E6632" s="1" t="n">
        <f aca="false">LN(D6632)</f>
        <v>-0.906340401020987</v>
      </c>
    </row>
    <row r="6633" customFormat="false" ht="15.75" hidden="false" customHeight="false" outlineLevel="0" collapsed="false">
      <c r="A6633" s="1" t="s">
        <v>1128</v>
      </c>
      <c r="B6633" s="1" t="n">
        <v>293.15</v>
      </c>
      <c r="C6633" s="1" t="n">
        <f aca="false">1/B6633</f>
        <v>0.00341122292341805</v>
      </c>
      <c r="D6633" s="1" t="n">
        <v>0.506</v>
      </c>
      <c r="E6633" s="1" t="n">
        <f aca="false">LN(D6633)</f>
        <v>-0.681218609694672</v>
      </c>
    </row>
    <row r="6634" customFormat="false" ht="15.75" hidden="false" customHeight="false" outlineLevel="0" collapsed="false">
      <c r="A6634" s="1" t="s">
        <v>1128</v>
      </c>
      <c r="B6634" s="1" t="n">
        <v>303.15</v>
      </c>
      <c r="C6634" s="1" t="n">
        <f aca="false">1/B6634</f>
        <v>0.0032986970146792</v>
      </c>
      <c r="D6634" s="1" t="n">
        <v>0.451</v>
      </c>
      <c r="E6634" s="1" t="n">
        <f aca="false">LN(D6634)</f>
        <v>-0.796287939479459</v>
      </c>
    </row>
    <row r="6635" customFormat="false" ht="15.75" hidden="false" customHeight="false" outlineLevel="0" collapsed="false">
      <c r="A6635" s="1" t="s">
        <v>1128</v>
      </c>
      <c r="B6635" s="1" t="n">
        <v>323.15</v>
      </c>
      <c r="C6635" s="1" t="n">
        <f aca="false">1/B6635</f>
        <v>0.00309453814018258</v>
      </c>
      <c r="D6635" s="1" t="n">
        <v>0.366</v>
      </c>
      <c r="E6635" s="1" t="n">
        <f aca="false">LN(D6635)</f>
        <v>-1.00512194558077</v>
      </c>
    </row>
    <row r="6636" customFormat="false" ht="15.75" hidden="false" customHeight="false" outlineLevel="0" collapsed="false">
      <c r="A6636" s="1" t="s">
        <v>1128</v>
      </c>
      <c r="B6636" s="1" t="n">
        <v>333.15</v>
      </c>
      <c r="C6636" s="1" t="n">
        <f aca="false">1/B6636</f>
        <v>0.0030016509079994</v>
      </c>
      <c r="D6636" s="1" t="n">
        <v>0.333</v>
      </c>
      <c r="E6636" s="1" t="n">
        <f aca="false">LN(D6636)</f>
        <v>-1.09961278900169</v>
      </c>
    </row>
    <row r="6637" customFormat="false" ht="15.75" hidden="false" customHeight="false" outlineLevel="0" collapsed="false">
      <c r="A6637" s="1" t="s">
        <v>1128</v>
      </c>
      <c r="B6637" s="1" t="n">
        <v>373.15</v>
      </c>
      <c r="C6637" s="1" t="n">
        <f aca="false">1/B6637</f>
        <v>0.00267988744472732</v>
      </c>
      <c r="D6637" s="1" t="n">
        <v>0.234</v>
      </c>
      <c r="E6637" s="1" t="n">
        <f aca="false">LN(D6637)</f>
        <v>-1.45243416362444</v>
      </c>
    </row>
    <row r="6638" customFormat="false" ht="15.75" hidden="false" customHeight="false" outlineLevel="0" collapsed="false">
      <c r="A6638" s="1" t="s">
        <v>1128</v>
      </c>
      <c r="B6638" s="1" t="n">
        <v>313.15</v>
      </c>
      <c r="C6638" s="1" t="n">
        <f aca="false">1/B6638</f>
        <v>0.00319335781574325</v>
      </c>
      <c r="D6638" s="1" t="n">
        <v>0.406</v>
      </c>
      <c r="E6638" s="1" t="n">
        <f aca="false">LN(D6638)</f>
        <v>-0.901402119380404</v>
      </c>
    </row>
    <row r="6639" customFormat="false" ht="15.75" hidden="false" customHeight="false" outlineLevel="0" collapsed="false">
      <c r="A6639" s="1" t="s">
        <v>1128</v>
      </c>
      <c r="B6639" s="1" t="n">
        <v>353.15</v>
      </c>
      <c r="C6639" s="1" t="n">
        <f aca="false">1/B6639</f>
        <v>0.00283165793572137</v>
      </c>
      <c r="D6639" s="1" t="n">
        <v>0.277</v>
      </c>
      <c r="E6639" s="1" t="n">
        <f aca="false">LN(D6639)</f>
        <v>-1.2837377727948</v>
      </c>
    </row>
    <row r="6640" customFormat="false" ht="15.75" hidden="false" customHeight="false" outlineLevel="0" collapsed="false">
      <c r="A6640" s="1" t="s">
        <v>1130</v>
      </c>
      <c r="B6640" s="1" t="n">
        <v>243.15</v>
      </c>
      <c r="C6640" s="1" t="n">
        <f aca="false">1/B6640</f>
        <v>0.00411268764137364</v>
      </c>
      <c r="D6640" s="1" t="n">
        <v>7.31</v>
      </c>
      <c r="E6640" s="1" t="n">
        <f aca="false">LN(D6640)</f>
        <v>1.98924327376169</v>
      </c>
    </row>
    <row r="6641" customFormat="false" ht="15.75" hidden="false" customHeight="false" outlineLevel="0" collapsed="false">
      <c r="A6641" s="1" t="s">
        <v>1130</v>
      </c>
      <c r="B6641" s="1" t="n">
        <v>253.15</v>
      </c>
      <c r="C6641" s="1" t="n">
        <f aca="false">1/B6641</f>
        <v>0.00395022713806044</v>
      </c>
      <c r="D6641" s="1" t="n">
        <v>5.394</v>
      </c>
      <c r="E6641" s="1" t="n">
        <f aca="false">LN(D6641)</f>
        <v>1.68528722471754</v>
      </c>
    </row>
    <row r="6642" customFormat="false" ht="15.75" hidden="false" customHeight="false" outlineLevel="0" collapsed="false">
      <c r="A6642" s="1" t="s">
        <v>1130</v>
      </c>
      <c r="B6642" s="1" t="n">
        <v>263.15</v>
      </c>
      <c r="C6642" s="1" t="n">
        <f aca="false">1/B6642</f>
        <v>0.0038001140034201</v>
      </c>
      <c r="D6642" s="1" t="n">
        <v>4.094</v>
      </c>
      <c r="E6642" s="1" t="n">
        <f aca="false">LN(D6642)</f>
        <v>1.4095224872391</v>
      </c>
    </row>
    <row r="6643" customFormat="false" ht="15.75" hidden="false" customHeight="false" outlineLevel="0" collapsed="false">
      <c r="A6643" s="1" t="s">
        <v>1130</v>
      </c>
      <c r="B6643" s="1" t="n">
        <v>283.15</v>
      </c>
      <c r="C6643" s="1" t="n">
        <f aca="false">1/B6643</f>
        <v>0.00353169698039908</v>
      </c>
      <c r="D6643" s="1" t="n">
        <v>2.588</v>
      </c>
      <c r="E6643" s="1" t="n">
        <f aca="false">LN(D6643)</f>
        <v>0.950885376638654</v>
      </c>
    </row>
    <row r="6644" customFormat="false" ht="15.75" hidden="false" customHeight="false" outlineLevel="0" collapsed="false">
      <c r="A6644" s="1" t="s">
        <v>1130</v>
      </c>
      <c r="B6644" s="1" t="n">
        <v>293.15</v>
      </c>
      <c r="C6644" s="1" t="n">
        <f aca="false">1/B6644</f>
        <v>0.00341122292341805</v>
      </c>
      <c r="D6644" s="1" t="n">
        <v>2.128</v>
      </c>
      <c r="E6644" s="1" t="n">
        <f aca="false">LN(D6644)</f>
        <v>0.755182571479398</v>
      </c>
    </row>
    <row r="6645" customFormat="false" ht="15.75" hidden="false" customHeight="false" outlineLevel="0" collapsed="false">
      <c r="A6645" s="1" t="s">
        <v>1130</v>
      </c>
      <c r="B6645" s="1" t="n">
        <v>313.15</v>
      </c>
      <c r="C6645" s="1" t="n">
        <f aca="false">1/B6645</f>
        <v>0.00319335781574325</v>
      </c>
      <c r="D6645" s="1" t="n">
        <v>1.493</v>
      </c>
      <c r="E6645" s="1" t="n">
        <f aca="false">LN(D6645)</f>
        <v>0.400787518557053</v>
      </c>
    </row>
    <row r="6646" customFormat="false" ht="15.75" hidden="false" customHeight="false" outlineLevel="0" collapsed="false">
      <c r="A6646" s="1" t="s">
        <v>1130</v>
      </c>
      <c r="B6646" s="1" t="n">
        <v>321.15</v>
      </c>
      <c r="C6646" s="1" t="n">
        <f aca="false">1/B6646</f>
        <v>0.00311380974622451</v>
      </c>
      <c r="D6646" s="1" t="n">
        <v>1.282</v>
      </c>
      <c r="E6646" s="1" t="n">
        <f aca="false">LN(D6646)</f>
        <v>0.248421358498478</v>
      </c>
    </row>
    <row r="6647" customFormat="false" ht="15.75" hidden="false" customHeight="false" outlineLevel="0" collapsed="false">
      <c r="A6647" s="1" t="s">
        <v>1130</v>
      </c>
      <c r="B6647" s="1" t="n">
        <v>333.15</v>
      </c>
      <c r="C6647" s="1" t="n">
        <f aca="false">1/B6647</f>
        <v>0.0030016509079994</v>
      </c>
      <c r="D6647" s="1" t="n">
        <v>1.114</v>
      </c>
      <c r="E6647" s="1" t="n">
        <f aca="false">LN(D6647)</f>
        <v>0.107957141505092</v>
      </c>
    </row>
    <row r="6648" customFormat="false" ht="15.75" hidden="false" customHeight="false" outlineLevel="0" collapsed="false">
      <c r="A6648" s="1" t="s">
        <v>1130</v>
      </c>
      <c r="B6648" s="1" t="n">
        <v>353.15</v>
      </c>
      <c r="C6648" s="1" t="n">
        <f aca="false">1/B6648</f>
        <v>0.00283165793572137</v>
      </c>
      <c r="D6648" s="1" t="n">
        <v>0.865</v>
      </c>
      <c r="E6648" s="1" t="n">
        <f aca="false">LN(D6648)</f>
        <v>-0.145025772050258</v>
      </c>
    </row>
    <row r="6649" customFormat="false" ht="15.75" hidden="false" customHeight="false" outlineLevel="0" collapsed="false">
      <c r="A6649" s="1" t="s">
        <v>1130</v>
      </c>
      <c r="B6649" s="1" t="n">
        <v>363.15</v>
      </c>
      <c r="C6649" s="1" t="n">
        <f aca="false">1/B6649</f>
        <v>0.00275368305108082</v>
      </c>
      <c r="D6649" s="1" t="n">
        <v>0.772</v>
      </c>
      <c r="E6649" s="1" t="n">
        <f aca="false">LN(D6649)</f>
        <v>-0.258770728957361</v>
      </c>
    </row>
    <row r="6650" customFormat="false" ht="15.75" hidden="false" customHeight="false" outlineLevel="0" collapsed="false">
      <c r="A6650" s="1" t="s">
        <v>1130</v>
      </c>
      <c r="B6650" s="1" t="n">
        <v>383.15</v>
      </c>
      <c r="C6650" s="1" t="n">
        <f aca="false">1/B6650</f>
        <v>0.00260994388620645</v>
      </c>
      <c r="D6650" s="1" t="n">
        <v>0.626</v>
      </c>
      <c r="E6650" s="1" t="n">
        <f aca="false">LN(D6650)</f>
        <v>-0.468404907882039</v>
      </c>
    </row>
    <row r="6651" customFormat="false" ht="15.75" hidden="false" customHeight="false" outlineLevel="0" collapsed="false">
      <c r="A6651" s="1" t="s">
        <v>1130</v>
      </c>
      <c r="B6651" s="1" t="n">
        <v>393.15</v>
      </c>
      <c r="C6651" s="1" t="n">
        <f aca="false">1/B6651</f>
        <v>0.00254355843825512</v>
      </c>
      <c r="D6651" s="1" t="n">
        <v>0.572</v>
      </c>
      <c r="E6651" s="1" t="n">
        <f aca="false">LN(D6651)</f>
        <v>-0.558616287602339</v>
      </c>
    </row>
    <row r="6652" customFormat="false" ht="15.75" hidden="false" customHeight="false" outlineLevel="0" collapsed="false">
      <c r="A6652" s="1" t="s">
        <v>1130</v>
      </c>
      <c r="B6652" s="1" t="n">
        <v>403.15</v>
      </c>
      <c r="C6652" s="1" t="n">
        <f aca="false">1/B6652</f>
        <v>0.0024804663276696</v>
      </c>
      <c r="D6652" s="1" t="n">
        <v>0.521</v>
      </c>
      <c r="E6652" s="1" t="n">
        <f aca="false">LN(D6652)</f>
        <v>-0.65200523722877</v>
      </c>
    </row>
    <row r="6653" customFormat="false" ht="15.75" hidden="false" customHeight="false" outlineLevel="0" collapsed="false">
      <c r="A6653" s="1" t="s">
        <v>1130</v>
      </c>
      <c r="B6653" s="1" t="n">
        <v>433.15</v>
      </c>
      <c r="C6653" s="1" t="n">
        <f aca="false">1/B6653</f>
        <v>0.00230866905229135</v>
      </c>
      <c r="D6653" s="1" t="n">
        <v>0.406</v>
      </c>
      <c r="E6653" s="1" t="n">
        <f aca="false">LN(D6653)</f>
        <v>-0.901402119380404</v>
      </c>
    </row>
    <row r="6654" customFormat="false" ht="15.75" hidden="false" customHeight="false" outlineLevel="0" collapsed="false">
      <c r="A6654" s="1" t="s">
        <v>1130</v>
      </c>
      <c r="B6654" s="1" t="n">
        <v>443.15</v>
      </c>
      <c r="C6654" s="1" t="n">
        <f aca="false">1/B6654</f>
        <v>0.00225657226672684</v>
      </c>
      <c r="D6654" s="1" t="n">
        <v>0.375</v>
      </c>
      <c r="E6654" s="1" t="n">
        <f aca="false">LN(D6654)</f>
        <v>-0.980829253011726</v>
      </c>
    </row>
    <row r="6655" customFormat="false" ht="15.75" hidden="false" customHeight="false" outlineLevel="0" collapsed="false">
      <c r="A6655" s="1" t="s">
        <v>1130</v>
      </c>
      <c r="B6655" s="1" t="n">
        <v>273.15</v>
      </c>
      <c r="C6655" s="1" t="n">
        <f aca="false">1/B6655</f>
        <v>0.00366099212886692</v>
      </c>
      <c r="D6655" s="1" t="n">
        <v>3.233</v>
      </c>
      <c r="E6655" s="1" t="n">
        <f aca="false">LN(D6655)</f>
        <v>1.1734104987433</v>
      </c>
    </row>
    <row r="6656" customFormat="false" ht="15.75" hidden="false" customHeight="false" outlineLevel="0" collapsed="false">
      <c r="A6656" s="1" t="s">
        <v>1130</v>
      </c>
      <c r="B6656" s="1" t="n">
        <v>303.15</v>
      </c>
      <c r="C6656" s="1" t="n">
        <f aca="false">1/B6656</f>
        <v>0.0032986970146792</v>
      </c>
      <c r="D6656" s="1" t="n">
        <v>1.774</v>
      </c>
      <c r="E6656" s="1" t="n">
        <f aca="false">LN(D6656)</f>
        <v>0.573236883887388</v>
      </c>
    </row>
    <row r="6657" customFormat="false" ht="15.75" hidden="false" customHeight="false" outlineLevel="0" collapsed="false">
      <c r="A6657" s="1" t="s">
        <v>1130</v>
      </c>
      <c r="B6657" s="1" t="n">
        <v>343.15</v>
      </c>
      <c r="C6657" s="1" t="n">
        <f aca="false">1/B6657</f>
        <v>0.00291417747340813</v>
      </c>
      <c r="D6657" s="1" t="n">
        <v>0.978</v>
      </c>
      <c r="E6657" s="1" t="n">
        <f aca="false">LN(D6657)</f>
        <v>-0.0222456089473197</v>
      </c>
    </row>
    <row r="6658" customFormat="false" ht="15.75" hidden="false" customHeight="false" outlineLevel="0" collapsed="false">
      <c r="A6658" s="1" t="s">
        <v>1130</v>
      </c>
      <c r="B6658" s="1" t="n">
        <v>373.15</v>
      </c>
      <c r="C6658" s="1" t="n">
        <f aca="false">1/B6658</f>
        <v>0.00267988744472732</v>
      </c>
      <c r="D6658" s="1" t="n">
        <v>0.692</v>
      </c>
      <c r="E6658" s="1" t="n">
        <f aca="false">LN(D6658)</f>
        <v>-0.368169323364468</v>
      </c>
    </row>
    <row r="6659" customFormat="false" ht="15.75" hidden="false" customHeight="false" outlineLevel="0" collapsed="false">
      <c r="A6659" s="1" t="s">
        <v>1130</v>
      </c>
      <c r="B6659" s="1" t="n">
        <v>423.15</v>
      </c>
      <c r="C6659" s="1" t="n">
        <f aca="false">1/B6659</f>
        <v>0.00236322816967978</v>
      </c>
      <c r="D6659" s="1" t="n">
        <v>0.438</v>
      </c>
      <c r="E6659" s="1" t="n">
        <f aca="false">LN(D6659)</f>
        <v>-0.825536368605691</v>
      </c>
    </row>
    <row r="6660" customFormat="false" ht="15.75" hidden="false" customHeight="false" outlineLevel="0" collapsed="false">
      <c r="A6660" s="1" t="s">
        <v>1130</v>
      </c>
      <c r="B6660" s="1" t="n">
        <v>453.15</v>
      </c>
      <c r="C6660" s="1" t="n">
        <f aca="false">1/B6660</f>
        <v>0.0022067747986318</v>
      </c>
      <c r="D6660" s="1" t="n">
        <v>0.35</v>
      </c>
      <c r="E6660" s="1" t="n">
        <f aca="false">LN(D6660)</f>
        <v>-1.04982212449868</v>
      </c>
    </row>
    <row r="6661" customFormat="false" ht="15.75" hidden="false" customHeight="false" outlineLevel="0" collapsed="false">
      <c r="A6661" s="1" t="s">
        <v>1132</v>
      </c>
      <c r="B6661" s="1" t="n">
        <v>298.15</v>
      </c>
      <c r="C6661" s="1" t="n">
        <f aca="false">1/B6661</f>
        <v>0.00335401643468053</v>
      </c>
      <c r="D6661" s="1" t="n">
        <v>1.6434</v>
      </c>
      <c r="E6661" s="1" t="n">
        <f aca="false">LN(D6661)</f>
        <v>0.49676726651495</v>
      </c>
    </row>
    <row r="6662" customFormat="false" ht="15.75" hidden="false" customHeight="false" outlineLevel="0" collapsed="false">
      <c r="A6662" s="1" t="s">
        <v>1132</v>
      </c>
      <c r="B6662" s="1" t="n">
        <v>303.15</v>
      </c>
      <c r="C6662" s="1" t="n">
        <f aca="false">1/B6662</f>
        <v>0.0032986970146792</v>
      </c>
      <c r="D6662" s="1" t="n">
        <v>1.5182</v>
      </c>
      <c r="E6662" s="1" t="n">
        <f aca="false">LN(D6662)</f>
        <v>0.417525422600531</v>
      </c>
    </row>
    <row r="6663" customFormat="false" ht="15.75" hidden="false" customHeight="false" outlineLevel="0" collapsed="false">
      <c r="A6663" s="1" t="s">
        <v>1132</v>
      </c>
      <c r="B6663" s="1" t="n">
        <v>313.15</v>
      </c>
      <c r="C6663" s="1" t="n">
        <f aca="false">1/B6663</f>
        <v>0.00319335781574325</v>
      </c>
      <c r="D6663" s="1" t="n">
        <v>1.2814</v>
      </c>
      <c r="E6663" s="1" t="n">
        <f aca="false">LN(D6663)</f>
        <v>0.247953230222784</v>
      </c>
    </row>
    <row r="6664" customFormat="false" ht="15.75" hidden="false" customHeight="false" outlineLevel="0" collapsed="false">
      <c r="A6664" s="1" t="s">
        <v>1132</v>
      </c>
      <c r="B6664" s="1" t="n">
        <v>333.15</v>
      </c>
      <c r="C6664" s="1" t="n">
        <f aca="false">1/B6664</f>
        <v>0.0030016509079994</v>
      </c>
      <c r="D6664" s="1" t="n">
        <v>0.9582</v>
      </c>
      <c r="E6664" s="1" t="n">
        <f aca="false">LN(D6664)</f>
        <v>-0.0426987545331152</v>
      </c>
    </row>
    <row r="6665" customFormat="false" ht="15.75" hidden="false" customHeight="false" outlineLevel="0" collapsed="false">
      <c r="A6665" s="1" t="s">
        <v>1132</v>
      </c>
      <c r="B6665" s="1" t="n">
        <v>343.15</v>
      </c>
      <c r="C6665" s="1" t="n">
        <f aca="false">1/B6665</f>
        <v>0.00291417747340813</v>
      </c>
      <c r="D6665" s="1" t="n">
        <v>0.8393</v>
      </c>
      <c r="E6665" s="1" t="n">
        <f aca="false">LN(D6665)</f>
        <v>-0.175187067893355</v>
      </c>
    </row>
    <row r="6666" customFormat="false" ht="15.75" hidden="false" customHeight="false" outlineLevel="0" collapsed="false">
      <c r="A6666" s="1" t="s">
        <v>1132</v>
      </c>
      <c r="B6666" s="1" t="n">
        <v>353.15</v>
      </c>
      <c r="C6666" s="1" t="n">
        <f aca="false">1/B6666</f>
        <v>0.00283165793572137</v>
      </c>
      <c r="D6666" s="1" t="n">
        <v>0.7413</v>
      </c>
      <c r="E6666" s="1" t="n">
        <f aca="false">LN(D6666)</f>
        <v>-0.299349877319463</v>
      </c>
    </row>
    <row r="6667" customFormat="false" ht="15.75" hidden="false" customHeight="false" outlineLevel="0" collapsed="false">
      <c r="A6667" s="1" t="s">
        <v>1132</v>
      </c>
      <c r="B6667" s="1" t="n">
        <v>363.15</v>
      </c>
      <c r="C6667" s="1" t="n">
        <f aca="false">1/B6667</f>
        <v>0.00275368305108082</v>
      </c>
      <c r="D6667" s="1" t="n">
        <v>0.6607</v>
      </c>
      <c r="E6667" s="1" t="n">
        <f aca="false">LN(D6667)</f>
        <v>-0.414455399946297</v>
      </c>
    </row>
    <row r="6668" customFormat="false" ht="15.75" hidden="false" customHeight="false" outlineLevel="0" collapsed="false">
      <c r="A6668" s="1" t="s">
        <v>1132</v>
      </c>
      <c r="B6668" s="1" t="n">
        <v>403.15</v>
      </c>
      <c r="C6668" s="1" t="n">
        <f aca="false">1/B6668</f>
        <v>0.0024804663276696</v>
      </c>
      <c r="D6668" s="1" t="n">
        <v>0.4421</v>
      </c>
      <c r="E6668" s="1" t="n">
        <f aca="false">LN(D6668)</f>
        <v>-0.81621917814994</v>
      </c>
    </row>
    <row r="6669" customFormat="false" ht="15.75" hidden="false" customHeight="false" outlineLevel="0" collapsed="false">
      <c r="A6669" s="1" t="s">
        <v>1132</v>
      </c>
      <c r="B6669" s="1" t="n">
        <v>423.15</v>
      </c>
      <c r="C6669" s="1" t="n">
        <f aca="false">1/B6669</f>
        <v>0.00236322816967978</v>
      </c>
      <c r="D6669" s="1" t="n">
        <v>0.3728</v>
      </c>
      <c r="E6669" s="1" t="n">
        <f aca="false">LN(D6669)</f>
        <v>-0.986713196170701</v>
      </c>
    </row>
    <row r="6670" customFormat="false" ht="15.75" hidden="false" customHeight="false" outlineLevel="0" collapsed="false">
      <c r="A6670" s="1" t="s">
        <v>1132</v>
      </c>
      <c r="B6670" s="1" t="n">
        <v>443.15</v>
      </c>
      <c r="C6670" s="1" t="n">
        <f aca="false">1/B6670</f>
        <v>0.00225657226672684</v>
      </c>
      <c r="D6670" s="1" t="n">
        <v>0.3183</v>
      </c>
      <c r="E6670" s="1" t="n">
        <f aca="false">LN(D6670)</f>
        <v>-1.14476094469409</v>
      </c>
    </row>
    <row r="6671" customFormat="false" ht="15.75" hidden="false" customHeight="false" outlineLevel="0" collapsed="false">
      <c r="A6671" s="1" t="s">
        <v>1132</v>
      </c>
      <c r="B6671" s="1" t="n">
        <v>463.15</v>
      </c>
      <c r="C6671" s="1" t="n">
        <f aca="false">1/B6671</f>
        <v>0.00215912771240419</v>
      </c>
      <c r="D6671" s="1" t="n">
        <v>0.2764</v>
      </c>
      <c r="E6671" s="1" t="n">
        <f aca="false">LN(D6671)</f>
        <v>-1.28590618708862</v>
      </c>
    </row>
    <row r="6672" customFormat="false" ht="15.75" hidden="false" customHeight="false" outlineLevel="0" collapsed="false">
      <c r="A6672" s="1" t="s">
        <v>1132</v>
      </c>
      <c r="B6672" s="1" t="n">
        <v>493.15</v>
      </c>
      <c r="C6672" s="1" t="n">
        <f aca="false">1/B6672</f>
        <v>0.00202778059413971</v>
      </c>
      <c r="D6672" s="1" t="n">
        <v>0.229</v>
      </c>
      <c r="E6672" s="1" t="n">
        <f aca="false">LN(D6672)</f>
        <v>-1.4740332754279</v>
      </c>
    </row>
    <row r="6673" customFormat="false" ht="15.75" hidden="false" customHeight="false" outlineLevel="0" collapsed="false">
      <c r="A6673" s="1" t="s">
        <v>1132</v>
      </c>
      <c r="B6673" s="1" t="n">
        <v>323.15</v>
      </c>
      <c r="C6673" s="1" t="n">
        <f aca="false">1/B6673</f>
        <v>0.00309453814018258</v>
      </c>
      <c r="D6673" s="1" t="n">
        <v>1.1029</v>
      </c>
      <c r="E6673" s="1" t="n">
        <f aca="false">LN(D6673)</f>
        <v>0.0979430743299642</v>
      </c>
    </row>
    <row r="6674" customFormat="false" ht="15.75" hidden="false" customHeight="false" outlineLevel="0" collapsed="false">
      <c r="A6674" s="1" t="s">
        <v>1132</v>
      </c>
      <c r="B6674" s="1" t="n">
        <v>383.15</v>
      </c>
      <c r="C6674" s="1" t="n">
        <f aca="false">1/B6674</f>
        <v>0.00260994388620645</v>
      </c>
      <c r="D6674" s="1" t="n">
        <v>0.5334</v>
      </c>
      <c r="E6674" s="1" t="n">
        <f aca="false">LN(D6674)</f>
        <v>-0.628483667234223</v>
      </c>
    </row>
    <row r="6675" customFormat="false" ht="15.75" hidden="false" customHeight="false" outlineLevel="0" collapsed="false">
      <c r="A6675" s="1" t="s">
        <v>1132</v>
      </c>
      <c r="B6675" s="1" t="n">
        <v>473.15</v>
      </c>
      <c r="C6675" s="1" t="n">
        <f aca="false">1/B6675</f>
        <v>0.00211349466342597</v>
      </c>
      <c r="D6675" s="1" t="n">
        <v>0.2587</v>
      </c>
      <c r="E6675" s="1" t="n">
        <f aca="false">LN(D6675)</f>
        <v>-1.35208618979015</v>
      </c>
    </row>
    <row r="6676" customFormat="false" ht="15.75" hidden="false" customHeight="false" outlineLevel="0" collapsed="false">
      <c r="A6676" s="1" t="s">
        <v>1134</v>
      </c>
      <c r="B6676" s="1" t="n">
        <v>208.15</v>
      </c>
      <c r="C6676" s="1" t="n">
        <f aca="false">1/B6676</f>
        <v>0.00480422772039395</v>
      </c>
      <c r="D6676" s="1" t="n">
        <v>333</v>
      </c>
      <c r="E6676" s="1" t="n">
        <f aca="false">LN(D6676)</f>
        <v>5.80814248998044</v>
      </c>
    </row>
    <row r="6677" customFormat="false" ht="15.75" hidden="false" customHeight="false" outlineLevel="0" collapsed="false">
      <c r="A6677" s="1" t="s">
        <v>1134</v>
      </c>
      <c r="B6677" s="1" t="n">
        <v>218.15</v>
      </c>
      <c r="C6677" s="1" t="n">
        <f aca="false">1/B6677</f>
        <v>0.00458400183360073</v>
      </c>
      <c r="D6677" s="1" t="n">
        <v>121</v>
      </c>
      <c r="E6677" s="1" t="n">
        <f aca="false">LN(D6677)</f>
        <v>4.79579054559674</v>
      </c>
    </row>
    <row r="6678" customFormat="false" ht="15.75" hidden="false" customHeight="false" outlineLevel="0" collapsed="false">
      <c r="A6678" s="1" t="s">
        <v>1134</v>
      </c>
      <c r="B6678" s="1" t="n">
        <v>228.15</v>
      </c>
      <c r="C6678" s="1" t="n">
        <f aca="false">1/B6678</f>
        <v>0.00438308130615823</v>
      </c>
      <c r="D6678" s="1" t="n">
        <v>56.6</v>
      </c>
      <c r="E6678" s="1" t="n">
        <f aca="false">LN(D6678)</f>
        <v>4.03600898520914</v>
      </c>
    </row>
    <row r="6679" customFormat="false" ht="15.75" hidden="false" customHeight="false" outlineLevel="0" collapsed="false">
      <c r="A6679" s="1" t="s">
        <v>1134</v>
      </c>
      <c r="B6679" s="1" t="n">
        <v>238.15</v>
      </c>
      <c r="C6679" s="1" t="n">
        <f aca="false">1/B6679</f>
        <v>0.00419903422212891</v>
      </c>
      <c r="D6679" s="1" t="n">
        <v>32.9</v>
      </c>
      <c r="E6679" s="1" t="n">
        <f aca="false">LN(D6679)</f>
        <v>3.49347265777133</v>
      </c>
    </row>
    <row r="6680" customFormat="false" ht="15.75" hidden="false" customHeight="false" outlineLevel="0" collapsed="false">
      <c r="A6680" s="1" t="s">
        <v>1134</v>
      </c>
      <c r="B6680" s="1" t="n">
        <v>248.15</v>
      </c>
      <c r="C6680" s="1" t="n">
        <f aca="false">1/B6680</f>
        <v>0.00402982067298005</v>
      </c>
      <c r="D6680" s="1" t="n">
        <v>17.7</v>
      </c>
      <c r="E6680" s="1" t="n">
        <f aca="false">LN(D6680)</f>
        <v>2.87356463957978</v>
      </c>
    </row>
    <row r="6681" customFormat="false" ht="15.75" hidden="false" customHeight="false" outlineLevel="0" collapsed="false">
      <c r="A6681" s="1" t="s">
        <v>1134</v>
      </c>
      <c r="B6681" s="1" t="n">
        <v>258.15</v>
      </c>
      <c r="C6681" s="1" t="n">
        <f aca="false">1/B6681</f>
        <v>0.00387371683129963</v>
      </c>
      <c r="D6681" s="1" t="n">
        <v>11.1</v>
      </c>
      <c r="E6681" s="1" t="n">
        <f aca="false">LN(D6681)</f>
        <v>2.40694510831829</v>
      </c>
    </row>
    <row r="6682" customFormat="false" ht="15.75" hidden="false" customHeight="false" outlineLevel="0" collapsed="false">
      <c r="A6682" s="1" t="s">
        <v>1134</v>
      </c>
      <c r="B6682" s="1" t="n">
        <v>268.15</v>
      </c>
      <c r="C6682" s="1" t="n">
        <f aca="false">1/B6682</f>
        <v>0.00372925601342532</v>
      </c>
      <c r="D6682" s="1" t="n">
        <v>8.5</v>
      </c>
      <c r="E6682" s="1" t="n">
        <f aca="false">LN(D6682)</f>
        <v>2.14006616349627</v>
      </c>
    </row>
    <row r="6683" customFormat="false" ht="15.75" hidden="false" customHeight="false" outlineLevel="0" collapsed="false">
      <c r="A6683" s="1" t="s">
        <v>1134</v>
      </c>
      <c r="B6683" s="1" t="n">
        <v>298.15</v>
      </c>
      <c r="C6683" s="1" t="n">
        <f aca="false">1/B6683</f>
        <v>0.00335401643468053</v>
      </c>
      <c r="D6683" s="1" t="n">
        <v>3.39</v>
      </c>
      <c r="E6683" s="1" t="n">
        <f aca="false">LN(D6683)</f>
        <v>1.22082992139236</v>
      </c>
    </row>
    <row r="6684" customFormat="false" ht="15.75" hidden="false" customHeight="false" outlineLevel="0" collapsed="false">
      <c r="A6684" s="1" t="s">
        <v>1134</v>
      </c>
      <c r="B6684" s="1" t="n">
        <v>308.15</v>
      </c>
      <c r="C6684" s="1" t="n">
        <f aca="false">1/B6684</f>
        <v>0.00324517280545189</v>
      </c>
      <c r="D6684" s="1" t="n">
        <v>2.77</v>
      </c>
      <c r="E6684" s="1" t="n">
        <f aca="false">LN(D6684)</f>
        <v>1.01884732019925</v>
      </c>
    </row>
    <row r="6685" customFormat="false" ht="15.75" hidden="false" customHeight="false" outlineLevel="0" collapsed="false">
      <c r="A6685" s="1" t="s">
        <v>1134</v>
      </c>
      <c r="B6685" s="1" t="n">
        <v>318.15</v>
      </c>
      <c r="C6685" s="1" t="n">
        <f aca="false">1/B6685</f>
        <v>0.00314317146000314</v>
      </c>
      <c r="D6685" s="1" t="n">
        <v>2.23</v>
      </c>
      <c r="E6685" s="1" t="n">
        <f aca="false">LN(D6685)</f>
        <v>0.802001585472027</v>
      </c>
    </row>
    <row r="6686" customFormat="false" ht="15.75" hidden="false" customHeight="false" outlineLevel="0" collapsed="false">
      <c r="A6686" s="1" t="s">
        <v>1134</v>
      </c>
      <c r="B6686" s="1" t="n">
        <v>338.15</v>
      </c>
      <c r="C6686" s="1" t="n">
        <f aca="false">1/B6686</f>
        <v>0.002957267484844</v>
      </c>
      <c r="D6686" s="1" t="n">
        <v>1.61</v>
      </c>
      <c r="E6686" s="1" t="n">
        <f aca="false">LN(D6686)</f>
        <v>0.476234178996372</v>
      </c>
    </row>
    <row r="6687" customFormat="false" ht="15.75" hidden="false" customHeight="false" outlineLevel="0" collapsed="false">
      <c r="A6687" s="1" t="s">
        <v>140</v>
      </c>
      <c r="B6687" s="1" t="n">
        <v>298.15</v>
      </c>
      <c r="C6687" s="1" t="n">
        <f aca="false">1/B6687</f>
        <v>0.00335401643468053</v>
      </c>
      <c r="D6687" s="1" t="n">
        <v>0.53</v>
      </c>
      <c r="E6687" s="1" t="n">
        <f aca="false">LN(D6687)</f>
        <v>-0.63487827243597</v>
      </c>
    </row>
    <row r="6688" customFormat="false" ht="15.75" hidden="false" customHeight="false" outlineLevel="0" collapsed="false">
      <c r="A6688" s="1" t="s">
        <v>140</v>
      </c>
      <c r="B6688" s="1" t="n">
        <v>303.15</v>
      </c>
      <c r="C6688" s="1" t="n">
        <f aca="false">1/B6688</f>
        <v>0.0032986970146792</v>
      </c>
      <c r="D6688" s="1" t="n">
        <v>0.515</v>
      </c>
      <c r="E6688" s="1" t="n">
        <f aca="false">LN(D6688)</f>
        <v>-0.663588378318401</v>
      </c>
    </row>
    <row r="6689" customFormat="false" ht="15.75" hidden="false" customHeight="false" outlineLevel="0" collapsed="false">
      <c r="A6689" s="1" t="s">
        <v>140</v>
      </c>
      <c r="B6689" s="1" t="n">
        <v>313.15</v>
      </c>
      <c r="C6689" s="1" t="n">
        <f aca="false">1/B6689</f>
        <v>0.00319335781574325</v>
      </c>
      <c r="D6689" s="1" t="n">
        <v>0.486</v>
      </c>
      <c r="E6689" s="1" t="n">
        <f aca="false">LN(D6689)</f>
        <v>-0.721546655081643</v>
      </c>
    </row>
    <row r="6690" customFormat="false" ht="15.75" hidden="false" customHeight="false" outlineLevel="0" collapsed="false">
      <c r="A6690" s="1" t="s">
        <v>1136</v>
      </c>
      <c r="B6690" s="1" t="n">
        <v>273.1517</v>
      </c>
      <c r="C6690" s="1" t="n">
        <f aca="false">1/B6690</f>
        <v>0.003660969344141</v>
      </c>
      <c r="D6690" s="1" t="n">
        <v>2.962</v>
      </c>
      <c r="E6690" s="1" t="n">
        <f aca="false">LN(D6690)</f>
        <v>1.08586471584561</v>
      </c>
    </row>
    <row r="6691" customFormat="false" ht="15.75" hidden="false" customHeight="false" outlineLevel="0" collapsed="false">
      <c r="A6691" s="1" t="s">
        <v>1136</v>
      </c>
      <c r="B6691" s="1" t="n">
        <v>283.15</v>
      </c>
      <c r="C6691" s="1" t="n">
        <f aca="false">1/B6691</f>
        <v>0.00353169698039908</v>
      </c>
      <c r="D6691" s="1" t="n">
        <v>2.339</v>
      </c>
      <c r="E6691" s="1" t="n">
        <f aca="false">LN(D6691)</f>
        <v>0.849723487602042</v>
      </c>
    </row>
    <row r="6692" customFormat="false" ht="15.75" hidden="false" customHeight="false" outlineLevel="0" collapsed="false">
      <c r="A6692" s="1" t="s">
        <v>1136</v>
      </c>
      <c r="B6692" s="1" t="n">
        <v>293.15</v>
      </c>
      <c r="C6692" s="1" t="n">
        <f aca="false">1/B6692</f>
        <v>0.00341122292341805</v>
      </c>
      <c r="D6692" s="1" t="n">
        <v>1.878</v>
      </c>
      <c r="E6692" s="1" t="n">
        <f aca="false">LN(D6692)</f>
        <v>0.630207380786071</v>
      </c>
    </row>
    <row r="6693" customFormat="false" ht="15.75" hidden="false" customHeight="false" outlineLevel="0" collapsed="false">
      <c r="A6693" s="1" t="s">
        <v>1136</v>
      </c>
      <c r="B6693" s="1" t="n">
        <v>303.15</v>
      </c>
      <c r="C6693" s="1" t="n">
        <f aca="false">1/B6693</f>
        <v>0.0032986970146792</v>
      </c>
      <c r="D6693" s="1" t="n">
        <v>1.561</v>
      </c>
      <c r="E6693" s="1" t="n">
        <f aca="false">LN(D6693)</f>
        <v>0.445326641533295</v>
      </c>
    </row>
    <row r="6694" customFormat="false" ht="15.75" hidden="false" customHeight="false" outlineLevel="0" collapsed="false">
      <c r="A6694" s="1" t="s">
        <v>1136</v>
      </c>
      <c r="B6694" s="1" t="n">
        <v>313.15</v>
      </c>
      <c r="C6694" s="1" t="n">
        <f aca="false">1/B6694</f>
        <v>0.00319335781574325</v>
      </c>
      <c r="D6694" s="1" t="n">
        <v>1.312</v>
      </c>
      <c r="E6694" s="1" t="n">
        <f aca="false">LN(D6694)</f>
        <v>0.271552690521897</v>
      </c>
    </row>
    <row r="6695" customFormat="false" ht="15.75" hidden="false" customHeight="false" outlineLevel="0" collapsed="false">
      <c r="A6695" s="1" t="s">
        <v>1136</v>
      </c>
      <c r="B6695" s="1" t="n">
        <v>323.15</v>
      </c>
      <c r="C6695" s="1" t="n">
        <f aca="false">1/B6695</f>
        <v>0.00309453814018258</v>
      </c>
      <c r="D6695" s="1" t="n">
        <v>1.114</v>
      </c>
      <c r="E6695" s="1" t="n">
        <f aca="false">LN(D6695)</f>
        <v>0.107957141505092</v>
      </c>
    </row>
    <row r="6696" customFormat="false" ht="15.75" hidden="false" customHeight="false" outlineLevel="0" collapsed="false">
      <c r="A6696" s="1" t="s">
        <v>1136</v>
      </c>
      <c r="B6696" s="1" t="n">
        <v>343.15</v>
      </c>
      <c r="C6696" s="1" t="n">
        <f aca="false">1/B6696</f>
        <v>0.00291417747340813</v>
      </c>
      <c r="D6696" s="1" t="n">
        <v>0.849</v>
      </c>
      <c r="E6696" s="1" t="n">
        <f aca="false">LN(D6696)</f>
        <v>-0.16369609267079</v>
      </c>
    </row>
    <row r="6697" customFormat="false" ht="15.75" hidden="false" customHeight="false" outlineLevel="0" collapsed="false">
      <c r="A6697" s="1" t="s">
        <v>1136</v>
      </c>
      <c r="B6697" s="1" t="n">
        <v>353.15</v>
      </c>
      <c r="C6697" s="1" t="n">
        <f aca="false">1/B6697</f>
        <v>0.00283165793572137</v>
      </c>
      <c r="D6697" s="1" t="n">
        <v>0.75</v>
      </c>
      <c r="E6697" s="1" t="n">
        <f aca="false">LN(D6697)</f>
        <v>-0.287682072451781</v>
      </c>
    </row>
    <row r="6698" customFormat="false" ht="15.75" hidden="false" customHeight="false" outlineLevel="0" collapsed="false">
      <c r="A6698" s="1" t="s">
        <v>1136</v>
      </c>
      <c r="B6698" s="1" t="n">
        <v>363.15</v>
      </c>
      <c r="C6698" s="1" t="n">
        <f aca="false">1/B6698</f>
        <v>0.00275368305108082</v>
      </c>
      <c r="D6698" s="1" t="n">
        <v>0.668</v>
      </c>
      <c r="E6698" s="1" t="n">
        <f aca="false">LN(D6698)</f>
        <v>-0.403467105445491</v>
      </c>
    </row>
    <row r="6699" customFormat="false" ht="15.75" hidden="false" customHeight="false" outlineLevel="0" collapsed="false">
      <c r="A6699" s="1" t="s">
        <v>1136</v>
      </c>
      <c r="B6699" s="1" t="n">
        <v>373.15</v>
      </c>
      <c r="C6699" s="1" t="n">
        <f aca="false">1/B6699</f>
        <v>0.00267988744472732</v>
      </c>
      <c r="D6699" s="1" t="n">
        <v>0.598</v>
      </c>
      <c r="E6699" s="1" t="n">
        <f aca="false">LN(D6699)</f>
        <v>-0.514164525031505</v>
      </c>
    </row>
    <row r="6700" customFormat="false" ht="15.75" hidden="false" customHeight="false" outlineLevel="0" collapsed="false">
      <c r="A6700" s="1" t="s">
        <v>1136</v>
      </c>
      <c r="B6700" s="1" t="n">
        <v>393.15</v>
      </c>
      <c r="C6700" s="1" t="n">
        <f aca="false">1/B6700</f>
        <v>0.00254355843825512</v>
      </c>
      <c r="D6700" s="1" t="n">
        <v>0.489</v>
      </c>
      <c r="E6700" s="1" t="n">
        <f aca="false">LN(D6700)</f>
        <v>-0.715392789507265</v>
      </c>
    </row>
    <row r="6701" customFormat="false" ht="15.75" hidden="false" customHeight="false" outlineLevel="0" collapsed="false">
      <c r="A6701" s="1" t="s">
        <v>1136</v>
      </c>
      <c r="B6701" s="1" t="n">
        <v>413.15</v>
      </c>
      <c r="C6701" s="1" t="n">
        <f aca="false">1/B6701</f>
        <v>0.0024204284158296</v>
      </c>
      <c r="D6701" s="1" t="n">
        <v>0.408</v>
      </c>
      <c r="E6701" s="1" t="n">
        <f aca="false">LN(D6701)</f>
        <v>-0.896488104577975</v>
      </c>
    </row>
    <row r="6702" customFormat="false" ht="15.75" hidden="false" customHeight="false" outlineLevel="0" collapsed="false">
      <c r="A6702" s="1" t="s">
        <v>1136</v>
      </c>
      <c r="B6702" s="1" t="n">
        <v>453.15</v>
      </c>
      <c r="C6702" s="1" t="n">
        <f aca="false">1/B6702</f>
        <v>0.0022067747986318</v>
      </c>
      <c r="D6702" s="1" t="n">
        <v>0.299</v>
      </c>
      <c r="E6702" s="1" t="n">
        <f aca="false">LN(D6702)</f>
        <v>-1.20731170559145</v>
      </c>
    </row>
    <row r="6703" customFormat="false" ht="15.75" hidden="false" customHeight="false" outlineLevel="0" collapsed="false">
      <c r="A6703" s="1" t="s">
        <v>1136</v>
      </c>
      <c r="B6703" s="1" t="n">
        <v>473.15</v>
      </c>
      <c r="C6703" s="1" t="n">
        <f aca="false">1/B6703</f>
        <v>0.00211349466342597</v>
      </c>
      <c r="D6703" s="1" t="n">
        <v>0.26</v>
      </c>
      <c r="E6703" s="1" t="n">
        <f aca="false">LN(D6703)</f>
        <v>-1.34707364796661</v>
      </c>
    </row>
    <row r="6704" customFormat="false" ht="15.75" hidden="false" customHeight="false" outlineLevel="0" collapsed="false">
      <c r="A6704" s="1" t="s">
        <v>1136</v>
      </c>
      <c r="B6704" s="1" t="n">
        <v>308.15214</v>
      </c>
      <c r="C6704" s="1" t="n">
        <f aca="false">1/B6704</f>
        <v>0.00324515026895481</v>
      </c>
      <c r="D6704" s="1" t="n">
        <v>1.4059</v>
      </c>
      <c r="E6704" s="1" t="n">
        <f aca="false">LN(D6704)</f>
        <v>0.340677667103725</v>
      </c>
    </row>
    <row r="6705" customFormat="false" ht="15.75" hidden="false" customHeight="false" outlineLevel="0" collapsed="false">
      <c r="A6705" s="1" t="s">
        <v>1136</v>
      </c>
      <c r="B6705" s="1" t="n">
        <v>313.15</v>
      </c>
      <c r="C6705" s="1" t="n">
        <f aca="false">1/B6705</f>
        <v>0.00319335781574325</v>
      </c>
      <c r="D6705" s="1" t="n">
        <v>1.292</v>
      </c>
      <c r="E6705" s="1" t="n">
        <f aca="false">LN(D6705)</f>
        <v>0.25619140536041</v>
      </c>
    </row>
    <row r="6706" customFormat="false" ht="15.75" hidden="false" customHeight="false" outlineLevel="0" collapsed="false">
      <c r="A6706" s="1" t="s">
        <v>1136</v>
      </c>
      <c r="B6706" s="1" t="n">
        <v>293.15213</v>
      </c>
      <c r="C6706" s="1" t="n">
        <f aca="false">1/B6706</f>
        <v>0.00341119813797703</v>
      </c>
      <c r="D6706" s="1" t="n">
        <v>1.863</v>
      </c>
      <c r="E6706" s="1" t="n">
        <f aca="false">LN(D6706)</f>
        <v>0.622188091619451</v>
      </c>
    </row>
    <row r="6707" customFormat="false" ht="15.75" hidden="false" customHeight="false" outlineLevel="0" collapsed="false">
      <c r="A6707" s="1" t="s">
        <v>1136</v>
      </c>
      <c r="B6707" s="1" t="n">
        <v>298.15</v>
      </c>
      <c r="C6707" s="1" t="n">
        <f aca="false">1/B6707</f>
        <v>0.00335401643468053</v>
      </c>
      <c r="D6707" s="1" t="n">
        <v>1.688</v>
      </c>
      <c r="E6707" s="1" t="n">
        <f aca="false">LN(D6707)</f>
        <v>0.523544396173765</v>
      </c>
    </row>
    <row r="6708" customFormat="false" ht="15.75" hidden="false" customHeight="false" outlineLevel="0" collapsed="false">
      <c r="A6708" s="1" t="s">
        <v>1136</v>
      </c>
      <c r="B6708" s="1" t="n">
        <v>333.15</v>
      </c>
      <c r="C6708" s="1" t="n">
        <f aca="false">1/B6708</f>
        <v>0.0030016509079994</v>
      </c>
      <c r="D6708" s="1" t="n">
        <v>0.969</v>
      </c>
      <c r="E6708" s="1" t="n">
        <f aca="false">LN(D6708)</f>
        <v>-0.0314906670913708</v>
      </c>
    </row>
    <row r="6709" customFormat="false" ht="15.75" hidden="false" customHeight="false" outlineLevel="0" collapsed="false">
      <c r="A6709" s="1" t="s">
        <v>1136</v>
      </c>
      <c r="B6709" s="1" t="n">
        <v>433.15</v>
      </c>
      <c r="C6709" s="1" t="n">
        <f aca="false">1/B6709</f>
        <v>0.00230866905229135</v>
      </c>
      <c r="D6709" s="1" t="n">
        <v>0.347</v>
      </c>
      <c r="E6709" s="1" t="n">
        <f aca="false">LN(D6709)</f>
        <v>-1.05843049903528</v>
      </c>
    </row>
    <row r="6710" customFormat="false" ht="15.75" hidden="false" customHeight="false" outlineLevel="0" collapsed="false">
      <c r="A6710" s="1" t="s">
        <v>1479</v>
      </c>
      <c r="B6710" s="1" t="n">
        <v>293.16</v>
      </c>
      <c r="C6710" s="1" t="n">
        <f aca="false">1/B6710</f>
        <v>0.00341110656296903</v>
      </c>
      <c r="D6710" s="1" t="n">
        <v>6.04</v>
      </c>
      <c r="E6710" s="1" t="n">
        <f aca="false">LN(D6710)</f>
        <v>1.79840401194672</v>
      </c>
    </row>
    <row r="6711" customFormat="false" ht="15.75" hidden="false" customHeight="false" outlineLevel="0" collapsed="false">
      <c r="A6711" s="1" t="s">
        <v>1480</v>
      </c>
      <c r="B6711" s="1" t="n">
        <v>333.15</v>
      </c>
      <c r="C6711" s="1" t="n">
        <f aca="false">1/B6711</f>
        <v>0.0030016509079994</v>
      </c>
      <c r="D6711" s="1" t="n">
        <v>9.45</v>
      </c>
      <c r="E6711" s="1" t="n">
        <f aca="false">LN(D6711)</f>
        <v>2.24601474150565</v>
      </c>
    </row>
    <row r="6712" customFormat="false" ht="15.75" hidden="false" customHeight="false" outlineLevel="0" collapsed="false">
      <c r="A6712" s="1" t="s">
        <v>1480</v>
      </c>
      <c r="B6712" s="1" t="n">
        <v>348.15</v>
      </c>
      <c r="C6712" s="1" t="n">
        <f aca="false">1/B6712</f>
        <v>0.00287232514720666</v>
      </c>
      <c r="D6712" s="1" t="n">
        <v>6.844</v>
      </c>
      <c r="E6712" s="1" t="n">
        <f aca="false">LN(D6712)</f>
        <v>1.92337235602995</v>
      </c>
    </row>
    <row r="6713" customFormat="false" ht="15.75" hidden="false" customHeight="false" outlineLevel="0" collapsed="false">
      <c r="A6713" s="1" t="s">
        <v>1480</v>
      </c>
      <c r="B6713" s="1" t="n">
        <v>363.15</v>
      </c>
      <c r="C6713" s="1" t="n">
        <f aca="false">1/B6713</f>
        <v>0.00275368305108082</v>
      </c>
      <c r="D6713" s="1" t="n">
        <v>5.187</v>
      </c>
      <c r="E6713" s="1" t="n">
        <f aca="false">LN(D6713)</f>
        <v>1.64615549536926</v>
      </c>
    </row>
    <row r="6714" customFormat="false" ht="15.75" hidden="false" customHeight="false" outlineLevel="0" collapsed="false">
      <c r="A6714" s="1" t="s">
        <v>1138</v>
      </c>
      <c r="B6714" s="1" t="n">
        <v>298.15</v>
      </c>
      <c r="C6714" s="1" t="n">
        <f aca="false">1/B6714</f>
        <v>0.00335401643468053</v>
      </c>
      <c r="D6714" s="1" t="n">
        <v>0.5178</v>
      </c>
      <c r="E6714" s="1" t="n">
        <f aca="false">LN(D6714)</f>
        <v>-0.6581662116647</v>
      </c>
    </row>
    <row r="6715" customFormat="false" ht="15.75" hidden="false" customHeight="false" outlineLevel="0" collapsed="false">
      <c r="A6715" s="1" t="s">
        <v>1138</v>
      </c>
      <c r="B6715" s="1" t="n">
        <v>303.15</v>
      </c>
      <c r="C6715" s="1" t="n">
        <f aca="false">1/B6715</f>
        <v>0.0032986970146792</v>
      </c>
      <c r="D6715" s="1" t="n">
        <v>0.4875</v>
      </c>
      <c r="E6715" s="1" t="n">
        <f aca="false">LN(D6715)</f>
        <v>-0.718464988544235</v>
      </c>
    </row>
    <row r="6716" customFormat="false" ht="15.75" hidden="false" customHeight="false" outlineLevel="0" collapsed="false">
      <c r="A6716" s="1" t="s">
        <v>1138</v>
      </c>
      <c r="B6716" s="1" t="n">
        <v>313.15</v>
      </c>
      <c r="C6716" s="1" t="n">
        <f aca="false">1/B6716</f>
        <v>0.00319335781574325</v>
      </c>
      <c r="D6716" s="1" t="n">
        <v>0.4392</v>
      </c>
      <c r="E6716" s="1" t="n">
        <f aca="false">LN(D6716)</f>
        <v>-0.822800388786816</v>
      </c>
    </row>
    <row r="6717" customFormat="false" ht="15.75" hidden="false" customHeight="false" outlineLevel="0" collapsed="false">
      <c r="A6717" s="1" t="s">
        <v>1138</v>
      </c>
      <c r="B6717" s="1" t="n">
        <v>323.15</v>
      </c>
      <c r="C6717" s="1" t="n">
        <f aca="false">1/B6717</f>
        <v>0.00309453814018258</v>
      </c>
      <c r="D6717" s="1" t="n">
        <v>0.3945</v>
      </c>
      <c r="E6717" s="1" t="n">
        <f aca="false">LN(D6717)</f>
        <v>-0.930136138696208</v>
      </c>
    </row>
    <row r="6718" customFormat="false" ht="15.75" hidden="false" customHeight="false" outlineLevel="0" collapsed="false">
      <c r="A6718" s="1" t="s">
        <v>1138</v>
      </c>
      <c r="B6718" s="1" t="n">
        <v>333.15</v>
      </c>
      <c r="C6718" s="1" t="n">
        <f aca="false">1/B6718</f>
        <v>0.0030016509079994</v>
      </c>
      <c r="D6718" s="1" t="n">
        <v>0.3586</v>
      </c>
      <c r="E6718" s="1" t="n">
        <f aca="false">LN(D6718)</f>
        <v>-1.0255477178111</v>
      </c>
    </row>
    <row r="6719" customFormat="false" ht="15.75" hidden="false" customHeight="false" outlineLevel="0" collapsed="false">
      <c r="A6719" s="1" t="s">
        <v>1138</v>
      </c>
      <c r="B6719" s="1" t="n">
        <v>343.15</v>
      </c>
      <c r="C6719" s="1" t="n">
        <f aca="false">1/B6719</f>
        <v>0.00291417747340813</v>
      </c>
      <c r="D6719" s="1" t="n">
        <v>0.3278</v>
      </c>
      <c r="E6719" s="1" t="n">
        <f aca="false">LN(D6719)</f>
        <v>-1.11535161267241</v>
      </c>
    </row>
    <row r="6720" customFormat="false" ht="15.75" hidden="false" customHeight="false" outlineLevel="0" collapsed="false">
      <c r="A6720" s="1" t="s">
        <v>1138</v>
      </c>
      <c r="B6720" s="1" t="n">
        <v>353.15</v>
      </c>
      <c r="C6720" s="1" t="n">
        <f aca="false">1/B6720</f>
        <v>0.00283165793572137</v>
      </c>
      <c r="D6720" s="1" t="n">
        <v>0.301</v>
      </c>
      <c r="E6720" s="1" t="n">
        <f aca="false">LN(D6720)</f>
        <v>-1.20064501423326</v>
      </c>
    </row>
    <row r="6721" customFormat="false" ht="15.75" hidden="false" customHeight="false" outlineLevel="0" collapsed="false">
      <c r="A6721" s="1" t="s">
        <v>1140</v>
      </c>
      <c r="B6721" s="1" t="n">
        <v>293.15</v>
      </c>
      <c r="C6721" s="1" t="n">
        <f aca="false">1/B6721</f>
        <v>0.00341122292341805</v>
      </c>
      <c r="D6721" s="1" t="n">
        <v>0.951</v>
      </c>
      <c r="E6721" s="1" t="n">
        <f aca="false">LN(D6721)</f>
        <v>-0.0502412164367468</v>
      </c>
    </row>
    <row r="6722" customFormat="false" ht="15.75" hidden="false" customHeight="false" outlineLevel="0" collapsed="false">
      <c r="A6722" s="1" t="s">
        <v>1140</v>
      </c>
      <c r="B6722" s="1" t="n">
        <v>303.15</v>
      </c>
      <c r="C6722" s="1" t="n">
        <f aca="false">1/B6722</f>
        <v>0.0032986970146792</v>
      </c>
      <c r="D6722" s="1" t="n">
        <v>0.829</v>
      </c>
      <c r="E6722" s="1" t="n">
        <f aca="false">LN(D6722)</f>
        <v>-0.187535123846842</v>
      </c>
    </row>
    <row r="6723" customFormat="false" ht="15.75" hidden="false" customHeight="false" outlineLevel="0" collapsed="false">
      <c r="A6723" s="1" t="s">
        <v>1140</v>
      </c>
      <c r="B6723" s="1" t="n">
        <v>313.15</v>
      </c>
      <c r="C6723" s="1" t="n">
        <f aca="false">1/B6723</f>
        <v>0.00319335781574325</v>
      </c>
      <c r="D6723" s="1" t="n">
        <v>0.7335</v>
      </c>
      <c r="E6723" s="1" t="n">
        <f aca="false">LN(D6723)</f>
        <v>-0.309927681399101</v>
      </c>
    </row>
    <row r="6724" customFormat="false" ht="15.75" hidden="false" customHeight="false" outlineLevel="0" collapsed="false">
      <c r="A6724" s="1" t="s">
        <v>1140</v>
      </c>
      <c r="B6724" s="1" t="n">
        <v>323.15</v>
      </c>
      <c r="C6724" s="1" t="n">
        <f aca="false">1/B6724</f>
        <v>0.00309453814018258</v>
      </c>
      <c r="D6724" s="1" t="n">
        <v>0.6485</v>
      </c>
      <c r="E6724" s="1" t="n">
        <f aca="false">LN(D6724)</f>
        <v>-0.433093275225639</v>
      </c>
    </row>
    <row r="6725" customFormat="false" ht="15.75" hidden="false" customHeight="false" outlineLevel="0" collapsed="false">
      <c r="A6725" s="1" t="s">
        <v>1140</v>
      </c>
      <c r="B6725" s="1" t="n">
        <v>333.15</v>
      </c>
      <c r="C6725" s="1" t="n">
        <f aca="false">1/B6725</f>
        <v>0.0030016509079994</v>
      </c>
      <c r="D6725" s="1" t="n">
        <v>0.575</v>
      </c>
      <c r="E6725" s="1" t="n">
        <f aca="false">LN(D6725)</f>
        <v>-0.553385238184787</v>
      </c>
    </row>
    <row r="6726" customFormat="false" ht="15.75" hidden="false" customHeight="false" outlineLevel="0" collapsed="false">
      <c r="A6726" s="1" t="s">
        <v>1481</v>
      </c>
      <c r="B6726" s="1" t="n">
        <v>292.9</v>
      </c>
      <c r="C6726" s="1" t="n">
        <f aca="false">1/B6726</f>
        <v>0.00341413451689997</v>
      </c>
      <c r="D6726" s="1" t="n">
        <v>0.876</v>
      </c>
      <c r="E6726" s="1" t="n">
        <f aca="false">LN(D6726)</f>
        <v>-0.132389188045746</v>
      </c>
    </row>
    <row r="6727" customFormat="false" ht="15.75" hidden="false" customHeight="false" outlineLevel="0" collapsed="false">
      <c r="A6727" s="1" t="s">
        <v>1481</v>
      </c>
      <c r="B6727" s="1" t="n">
        <v>303.2</v>
      </c>
      <c r="C6727" s="1" t="n">
        <f aca="false">1/B6727</f>
        <v>0.00329815303430079</v>
      </c>
      <c r="D6727" s="1" t="n">
        <v>0.75</v>
      </c>
      <c r="E6727" s="1" t="n">
        <f aca="false">LN(D6727)</f>
        <v>-0.287682072451781</v>
      </c>
    </row>
    <row r="6728" customFormat="false" ht="15.75" hidden="false" customHeight="false" outlineLevel="0" collapsed="false">
      <c r="A6728" s="1" t="s">
        <v>1481</v>
      </c>
      <c r="B6728" s="1" t="n">
        <v>313.7</v>
      </c>
      <c r="C6728" s="1" t="n">
        <f aca="false">1/B6728</f>
        <v>0.00318775900541919</v>
      </c>
      <c r="D6728" s="1" t="n">
        <v>0.653</v>
      </c>
      <c r="E6728" s="1" t="n">
        <f aca="false">LN(D6728)</f>
        <v>-0.426178149705706</v>
      </c>
    </row>
    <row r="6729" customFormat="false" ht="15.75" hidden="false" customHeight="false" outlineLevel="0" collapsed="false">
      <c r="A6729" s="1" t="s">
        <v>1481</v>
      </c>
      <c r="B6729" s="1" t="n">
        <v>325.5</v>
      </c>
      <c r="C6729" s="1" t="n">
        <f aca="false">1/B6729</f>
        <v>0.00307219662058372</v>
      </c>
      <c r="D6729" s="1" t="n">
        <v>0.569</v>
      </c>
      <c r="E6729" s="1" t="n">
        <f aca="false">LN(D6729)</f>
        <v>-0.563874844855806</v>
      </c>
    </row>
    <row r="6730" customFormat="false" ht="15.75" hidden="false" customHeight="false" outlineLevel="0" collapsed="false">
      <c r="A6730" s="1" t="s">
        <v>1481</v>
      </c>
      <c r="B6730" s="1" t="n">
        <v>333.55</v>
      </c>
      <c r="C6730" s="1" t="n">
        <f aca="false">1/B6730</f>
        <v>0.00299805126667666</v>
      </c>
      <c r="D6730" s="1" t="n">
        <v>0.502</v>
      </c>
      <c r="E6730" s="1" t="n">
        <f aca="false">LN(D6730)</f>
        <v>-0.689155159290408</v>
      </c>
    </row>
    <row r="6731" customFormat="false" ht="15.75" hidden="false" customHeight="false" outlineLevel="0" collapsed="false">
      <c r="A6731" s="1" t="s">
        <v>1481</v>
      </c>
      <c r="B6731" s="1" t="n">
        <v>338.57</v>
      </c>
      <c r="C6731" s="1" t="n">
        <f aca="false">1/B6731</f>
        <v>0.00295359896033317</v>
      </c>
      <c r="D6731" s="1" t="n">
        <v>0.473</v>
      </c>
      <c r="E6731" s="1" t="n">
        <f aca="false">LN(D6731)</f>
        <v>-0.748659890490204</v>
      </c>
    </row>
    <row r="6732" customFormat="false" ht="15.75" hidden="false" customHeight="false" outlineLevel="0" collapsed="false">
      <c r="A6732" s="1" t="s">
        <v>1142</v>
      </c>
      <c r="B6732" s="1" t="n">
        <v>253.15</v>
      </c>
      <c r="C6732" s="1" t="n">
        <f aca="false">1/B6732</f>
        <v>0.00395022713806044</v>
      </c>
      <c r="D6732" s="1" t="n">
        <v>0.4513</v>
      </c>
      <c r="E6732" s="1" t="n">
        <f aca="false">LN(D6732)</f>
        <v>-0.795622972149182</v>
      </c>
    </row>
    <row r="6733" customFormat="false" ht="15.75" hidden="false" customHeight="false" outlineLevel="0" collapsed="false">
      <c r="A6733" s="1" t="s">
        <v>1142</v>
      </c>
      <c r="B6733" s="1" t="n">
        <v>258.15</v>
      </c>
      <c r="C6733" s="1" t="n">
        <f aca="false">1/B6733</f>
        <v>0.00387371683129963</v>
      </c>
      <c r="D6733" s="1" t="n">
        <v>0.4259</v>
      </c>
      <c r="E6733" s="1" t="n">
        <f aca="false">LN(D6733)</f>
        <v>-0.853550702052969</v>
      </c>
    </row>
    <row r="6734" customFormat="false" ht="15.75" hidden="false" customHeight="false" outlineLevel="0" collapsed="false">
      <c r="A6734" s="1" t="s">
        <v>1142</v>
      </c>
      <c r="B6734" s="1" t="n">
        <v>263.15</v>
      </c>
      <c r="C6734" s="1" t="n">
        <f aca="false">1/B6734</f>
        <v>0.0038001140034201</v>
      </c>
      <c r="D6734" s="1" t="n">
        <v>0.4024</v>
      </c>
      <c r="E6734" s="1" t="n">
        <f aca="false">LN(D6734)</f>
        <v>-0.910308660196608</v>
      </c>
    </row>
    <row r="6735" customFormat="false" ht="15.75" hidden="false" customHeight="false" outlineLevel="0" collapsed="false">
      <c r="A6735" s="1" t="s">
        <v>1142</v>
      </c>
      <c r="B6735" s="1" t="n">
        <v>273.15</v>
      </c>
      <c r="C6735" s="1" t="n">
        <f aca="false">1/B6735</f>
        <v>0.00366099212886692</v>
      </c>
      <c r="D6735" s="1" t="n">
        <v>0.3629</v>
      </c>
      <c r="E6735" s="1" t="n">
        <f aca="false">LN(D6735)</f>
        <v>-1.01362796476311</v>
      </c>
    </row>
    <row r="6736" customFormat="false" ht="15.75" hidden="false" customHeight="false" outlineLevel="0" collapsed="false">
      <c r="A6736" s="1" t="s">
        <v>1142</v>
      </c>
      <c r="B6736" s="1" t="n">
        <v>278.15</v>
      </c>
      <c r="C6736" s="1" t="n">
        <f aca="false">1/B6736</f>
        <v>0.00359518245550962</v>
      </c>
      <c r="D6736" s="1" t="n">
        <v>0.345</v>
      </c>
      <c r="E6736" s="1" t="n">
        <f aca="false">LN(D6736)</f>
        <v>-1.06421086195078</v>
      </c>
    </row>
    <row r="6737" customFormat="false" ht="15.75" hidden="false" customHeight="false" outlineLevel="0" collapsed="false">
      <c r="A6737" s="1" t="s">
        <v>1142</v>
      </c>
      <c r="B6737" s="1" t="n">
        <v>283.15</v>
      </c>
      <c r="C6737" s="1" t="n">
        <f aca="false">1/B6737</f>
        <v>0.00353169698039908</v>
      </c>
      <c r="D6737" s="1" t="n">
        <v>0.3284</v>
      </c>
      <c r="E6737" s="1" t="n">
        <f aca="false">LN(D6737)</f>
        <v>-1.11352290140386</v>
      </c>
    </row>
    <row r="6738" customFormat="false" ht="15.75" hidden="false" customHeight="false" outlineLevel="0" collapsed="false">
      <c r="A6738" s="1" t="s">
        <v>1142</v>
      </c>
      <c r="B6738" s="1" t="n">
        <v>288.15</v>
      </c>
      <c r="C6738" s="1" t="n">
        <f aca="false">1/B6738</f>
        <v>0.00347041471455839</v>
      </c>
      <c r="D6738" s="1" t="n">
        <v>0.312</v>
      </c>
      <c r="E6738" s="1" t="n">
        <f aca="false">LN(D6738)</f>
        <v>-1.16475209117265</v>
      </c>
    </row>
    <row r="6739" customFormat="false" ht="15.75" hidden="false" customHeight="false" outlineLevel="0" collapsed="false">
      <c r="A6739" s="1" t="s">
        <v>1142</v>
      </c>
      <c r="B6739" s="1" t="n">
        <v>293.15</v>
      </c>
      <c r="C6739" s="1" t="n">
        <f aca="false">1/B6739</f>
        <v>0.00341122292341805</v>
      </c>
      <c r="D6739" s="1" t="n">
        <v>0.297</v>
      </c>
      <c r="E6739" s="1" t="n">
        <f aca="false">LN(D6739)</f>
        <v>-1.21402314017944</v>
      </c>
    </row>
    <row r="6740" customFormat="false" ht="15.75" hidden="false" customHeight="false" outlineLevel="0" collapsed="false">
      <c r="A6740" s="1" t="s">
        <v>1142</v>
      </c>
      <c r="B6740" s="1" t="n">
        <v>303.15</v>
      </c>
      <c r="C6740" s="1" t="n">
        <f aca="false">1/B6740</f>
        <v>0.0032986970146792</v>
      </c>
      <c r="D6740" s="1" t="n">
        <v>0.2706</v>
      </c>
      <c r="E6740" s="1" t="n">
        <f aca="false">LN(D6740)</f>
        <v>-1.30711356324545</v>
      </c>
    </row>
    <row r="6741" customFormat="false" ht="15.75" hidden="false" customHeight="false" outlineLevel="0" collapsed="false">
      <c r="A6741" s="1" t="s">
        <v>1142</v>
      </c>
      <c r="B6741" s="1" t="n">
        <v>308.15</v>
      </c>
      <c r="C6741" s="1" t="n">
        <f aca="false">1/B6741</f>
        <v>0.00324517280545189</v>
      </c>
      <c r="D6741" s="1" t="n">
        <v>0.2586</v>
      </c>
      <c r="E6741" s="1" t="n">
        <f aca="false">LN(D6741)</f>
        <v>-1.35247281264438</v>
      </c>
    </row>
    <row r="6742" customFormat="false" ht="15.75" hidden="false" customHeight="false" outlineLevel="0" collapsed="false">
      <c r="A6742" s="1" t="s">
        <v>1142</v>
      </c>
      <c r="B6742" s="1" t="n">
        <v>313.15</v>
      </c>
      <c r="C6742" s="1" t="n">
        <f aca="false">1/B6742</f>
        <v>0.00319335781574325</v>
      </c>
      <c r="D6742" s="1" t="n">
        <v>0.2469</v>
      </c>
      <c r="E6742" s="1" t="n">
        <f aca="false">LN(D6742)</f>
        <v>-1.398771882631</v>
      </c>
    </row>
    <row r="6743" customFormat="false" ht="15.75" hidden="false" customHeight="false" outlineLevel="0" collapsed="false">
      <c r="A6743" s="1" t="s">
        <v>1142</v>
      </c>
      <c r="B6743" s="1" t="n">
        <v>318.15</v>
      </c>
      <c r="C6743" s="1" t="n">
        <f aca="false">1/B6743</f>
        <v>0.00314317146000314</v>
      </c>
      <c r="D6743" s="1" t="n">
        <v>0.236</v>
      </c>
      <c r="E6743" s="1" t="n">
        <f aca="false">LN(D6743)</f>
        <v>-1.44392347395653</v>
      </c>
    </row>
    <row r="6744" customFormat="false" ht="15.75" hidden="false" customHeight="false" outlineLevel="0" collapsed="false">
      <c r="A6744" s="1" t="s">
        <v>1142</v>
      </c>
      <c r="B6744" s="1" t="n">
        <v>323.15</v>
      </c>
      <c r="C6744" s="1" t="n">
        <f aca="false">1/B6744</f>
        <v>0.00309453814018258</v>
      </c>
      <c r="D6744" s="1" t="n">
        <v>0.2251</v>
      </c>
      <c r="E6744" s="1" t="n">
        <f aca="false">LN(D6744)</f>
        <v>-1.49121053106945</v>
      </c>
    </row>
    <row r="6745" customFormat="false" ht="15.75" hidden="false" customHeight="false" outlineLevel="0" collapsed="false">
      <c r="A6745" s="1" t="s">
        <v>1142</v>
      </c>
      <c r="B6745" s="1" t="n">
        <v>333.15</v>
      </c>
      <c r="C6745" s="1" t="n">
        <f aca="false">1/B6745</f>
        <v>0.0030016509079994</v>
      </c>
      <c r="D6745" s="1" t="n">
        <v>0.2074</v>
      </c>
      <c r="E6745" s="1" t="n">
        <f aca="false">LN(D6745)</f>
        <v>-1.57310598318671</v>
      </c>
    </row>
    <row r="6746" customFormat="false" ht="15.75" hidden="false" customHeight="false" outlineLevel="0" collapsed="false">
      <c r="A6746" s="1" t="s">
        <v>1142</v>
      </c>
      <c r="B6746" s="1" t="n">
        <v>338.15</v>
      </c>
      <c r="C6746" s="1" t="n">
        <f aca="false">1/B6746</f>
        <v>0.002957267484844</v>
      </c>
      <c r="D6746" s="1" t="n">
        <v>0.1996</v>
      </c>
      <c r="E6746" s="1" t="n">
        <f aca="false">LN(D6746)</f>
        <v>-1.61143991510477</v>
      </c>
    </row>
    <row r="6747" customFormat="false" ht="15.75" hidden="false" customHeight="false" outlineLevel="0" collapsed="false">
      <c r="A6747" s="1" t="s">
        <v>1142</v>
      </c>
      <c r="B6747" s="1" t="n">
        <v>268.15</v>
      </c>
      <c r="C6747" s="1" t="n">
        <f aca="false">1/B6747</f>
        <v>0.00372925601342532</v>
      </c>
      <c r="D6747" s="1" t="n">
        <v>0.3824</v>
      </c>
      <c r="E6747" s="1" t="n">
        <f aca="false">LN(D6747)</f>
        <v>-0.961288097804891</v>
      </c>
    </row>
    <row r="6748" customFormat="false" ht="15.75" hidden="false" customHeight="false" outlineLevel="0" collapsed="false">
      <c r="A6748" s="1" t="s">
        <v>1142</v>
      </c>
      <c r="B6748" s="1" t="n">
        <v>298.15</v>
      </c>
      <c r="C6748" s="1" t="n">
        <f aca="false">1/B6748</f>
        <v>0.00335401643468053</v>
      </c>
      <c r="D6748" s="1" t="n">
        <v>0.2834</v>
      </c>
      <c r="E6748" s="1" t="n">
        <f aca="false">LN(D6748)</f>
        <v>-1.26089595172556</v>
      </c>
    </row>
    <row r="6749" customFormat="false" ht="15.75" hidden="false" customHeight="false" outlineLevel="0" collapsed="false">
      <c r="A6749" s="1" t="s">
        <v>1142</v>
      </c>
      <c r="B6749" s="1" t="n">
        <v>328.15</v>
      </c>
      <c r="C6749" s="1" t="n">
        <f aca="false">1/B6749</f>
        <v>0.00304738686576261</v>
      </c>
      <c r="D6749" s="1" t="n">
        <v>0.2157</v>
      </c>
      <c r="E6749" s="1" t="n">
        <f aca="false">LN(D6749)</f>
        <v>-1.53386672558703</v>
      </c>
    </row>
    <row r="6750" customFormat="false" ht="15.75" hidden="false" customHeight="false" outlineLevel="0" collapsed="false">
      <c r="A6750" s="1" t="s">
        <v>1144</v>
      </c>
      <c r="B6750" s="1" t="n">
        <v>283.15</v>
      </c>
      <c r="C6750" s="1" t="n">
        <f aca="false">1/B6750</f>
        <v>0.00353169698039908</v>
      </c>
      <c r="D6750" s="1" t="n">
        <v>6.066</v>
      </c>
      <c r="E6750" s="1" t="n">
        <f aca="false">LN(D6750)</f>
        <v>1.80269940926639</v>
      </c>
    </row>
    <row r="6751" customFormat="false" ht="15.75" hidden="false" customHeight="false" outlineLevel="0" collapsed="false">
      <c r="A6751" s="1" t="s">
        <v>1144</v>
      </c>
      <c r="B6751" s="1" t="n">
        <v>298.15</v>
      </c>
      <c r="C6751" s="1" t="n">
        <f aca="false">1/B6751</f>
        <v>0.00335401643468053</v>
      </c>
      <c r="D6751" s="1" t="n">
        <v>3.911</v>
      </c>
      <c r="E6751" s="1" t="n">
        <f aca="false">LN(D6751)</f>
        <v>1.36379309577338</v>
      </c>
    </row>
    <row r="6752" customFormat="false" ht="15.75" hidden="false" customHeight="false" outlineLevel="0" collapsed="false">
      <c r="A6752" s="1" t="s">
        <v>1144</v>
      </c>
      <c r="B6752" s="1" t="n">
        <v>313.15</v>
      </c>
      <c r="C6752" s="1" t="n">
        <f aca="false">1/B6752</f>
        <v>0.00319335781574325</v>
      </c>
      <c r="D6752" s="1" t="n">
        <v>2.775</v>
      </c>
      <c r="E6752" s="1" t="n">
        <f aca="false">LN(D6752)</f>
        <v>1.0206507471984</v>
      </c>
    </row>
    <row r="6753" customFormat="false" ht="15.75" hidden="false" customHeight="false" outlineLevel="0" collapsed="false">
      <c r="A6753" s="1" t="s">
        <v>1144</v>
      </c>
      <c r="B6753" s="1" t="n">
        <v>333.15</v>
      </c>
      <c r="C6753" s="1" t="n">
        <f aca="false">1/B6753</f>
        <v>0.0030016509079994</v>
      </c>
      <c r="D6753" s="1" t="n">
        <v>1.844</v>
      </c>
      <c r="E6753" s="1" t="n">
        <f aca="false">LN(D6753)</f>
        <v>0.611937125134402</v>
      </c>
    </row>
    <row r="6754" customFormat="false" ht="15.75" hidden="false" customHeight="false" outlineLevel="0" collapsed="false">
      <c r="A6754" s="1" t="s">
        <v>1144</v>
      </c>
      <c r="B6754" s="1" t="n">
        <v>353.15</v>
      </c>
      <c r="C6754" s="1" t="n">
        <f aca="false">1/B6754</f>
        <v>0.00283165793572137</v>
      </c>
      <c r="D6754" s="1" t="n">
        <v>1.322</v>
      </c>
      <c r="E6754" s="1" t="n">
        <f aca="false">LN(D6754)</f>
        <v>0.279145741429495</v>
      </c>
    </row>
    <row r="6755" customFormat="false" ht="15.75" hidden="false" customHeight="false" outlineLevel="0" collapsed="false">
      <c r="A6755" s="1" t="s">
        <v>1144</v>
      </c>
      <c r="B6755" s="1" t="n">
        <v>373.15</v>
      </c>
      <c r="C6755" s="1" t="n">
        <f aca="false">1/B6755</f>
        <v>0.00267988744472732</v>
      </c>
      <c r="D6755" s="1" t="n">
        <v>0.994</v>
      </c>
      <c r="E6755" s="1" t="n">
        <f aca="false">LN(D6755)</f>
        <v>-0.00601807232556302</v>
      </c>
    </row>
    <row r="6756" customFormat="false" ht="15.75" hidden="false" customHeight="false" outlineLevel="0" collapsed="false">
      <c r="A6756" s="1" t="s">
        <v>1144</v>
      </c>
      <c r="B6756" s="1" t="n">
        <v>398.15</v>
      </c>
      <c r="C6756" s="1" t="n">
        <f aca="false">1/B6756</f>
        <v>0.00251161622504081</v>
      </c>
      <c r="D6756" s="1" t="n">
        <v>0.74</v>
      </c>
      <c r="E6756" s="1" t="n">
        <f aca="false">LN(D6756)</f>
        <v>-0.301105092783922</v>
      </c>
    </row>
    <row r="6757" customFormat="false" ht="15.75" hidden="false" customHeight="false" outlineLevel="0" collapsed="false">
      <c r="A6757" s="1" t="s">
        <v>1144</v>
      </c>
      <c r="B6757" s="1" t="n">
        <v>423.15</v>
      </c>
      <c r="C6757" s="1" t="n">
        <f aca="false">1/B6757</f>
        <v>0.00236322816967978</v>
      </c>
      <c r="D6757" s="1" t="n">
        <v>0.562</v>
      </c>
      <c r="E6757" s="1" t="n">
        <f aca="false">LN(D6757)</f>
        <v>-0.576253429088446</v>
      </c>
    </row>
    <row r="6758" customFormat="false" ht="15.75" hidden="false" customHeight="false" outlineLevel="0" collapsed="false">
      <c r="A6758" s="1" t="s">
        <v>1146</v>
      </c>
      <c r="B6758" s="1" t="n">
        <v>298.15</v>
      </c>
      <c r="C6758" s="1" t="n">
        <f aca="false">1/B6758</f>
        <v>0.00335401643468053</v>
      </c>
      <c r="D6758" s="1" t="n">
        <v>1.8218</v>
      </c>
      <c r="E6758" s="1" t="n">
        <f aca="false">LN(D6758)</f>
        <v>0.599825023328572</v>
      </c>
    </row>
    <row r="6759" customFormat="false" ht="15.75" hidden="false" customHeight="false" outlineLevel="0" collapsed="false">
      <c r="A6759" s="1" t="s">
        <v>1146</v>
      </c>
      <c r="B6759" s="1" t="n">
        <v>313.15</v>
      </c>
      <c r="C6759" s="1" t="n">
        <f aca="false">1/B6759</f>
        <v>0.00319335781574325</v>
      </c>
      <c r="D6759" s="1" t="n">
        <v>1.3498</v>
      </c>
      <c r="E6759" s="1" t="n">
        <f aca="false">LN(D6759)</f>
        <v>0.299956433327169</v>
      </c>
    </row>
    <row r="6760" customFormat="false" ht="15.75" hidden="false" customHeight="false" outlineLevel="0" collapsed="false">
      <c r="A6760" s="1" t="s">
        <v>1146</v>
      </c>
      <c r="B6760" s="1" t="n">
        <v>323.15</v>
      </c>
      <c r="C6760" s="1" t="n">
        <f aca="false">1/B6760</f>
        <v>0.00309453814018258</v>
      </c>
      <c r="D6760" s="1" t="n">
        <v>1.1374</v>
      </c>
      <c r="E6760" s="1" t="n">
        <f aca="false">LN(D6760)</f>
        <v>0.128744955890562</v>
      </c>
    </row>
    <row r="6761" customFormat="false" ht="15.75" hidden="false" customHeight="false" outlineLevel="0" collapsed="false">
      <c r="A6761" s="1" t="s">
        <v>1146</v>
      </c>
      <c r="B6761" s="1" t="n">
        <v>343.15</v>
      </c>
      <c r="C6761" s="1" t="n">
        <f aca="false">1/B6761</f>
        <v>0.00291417747340813</v>
      </c>
      <c r="D6761" s="1" t="n">
        <v>0.8405</v>
      </c>
      <c r="E6761" s="1" t="n">
        <f aca="false">LN(D6761)</f>
        <v>-0.173758326133467</v>
      </c>
    </row>
    <row r="6762" customFormat="false" ht="15.75" hidden="false" customHeight="false" outlineLevel="0" collapsed="false">
      <c r="A6762" s="1" t="s">
        <v>1146</v>
      </c>
      <c r="B6762" s="1" t="n">
        <v>363.15</v>
      </c>
      <c r="C6762" s="1" t="n">
        <f aca="false">1/B6762</f>
        <v>0.00275368305108082</v>
      </c>
      <c r="D6762" s="1" t="n">
        <v>0.6496</v>
      </c>
      <c r="E6762" s="1" t="n">
        <f aca="false">LN(D6762)</f>
        <v>-0.431398490134669</v>
      </c>
    </row>
    <row r="6763" customFormat="false" ht="15.75" hidden="false" customHeight="false" outlineLevel="0" collapsed="false">
      <c r="A6763" s="1" t="s">
        <v>1146</v>
      </c>
      <c r="B6763" s="1" t="n">
        <v>383.15</v>
      </c>
      <c r="C6763" s="1" t="n">
        <f aca="false">1/B6763</f>
        <v>0.00260994388620645</v>
      </c>
      <c r="D6763" s="1" t="n">
        <v>0.5145</v>
      </c>
      <c r="E6763" s="1" t="n">
        <f aca="false">LN(D6763)</f>
        <v>-0.664559723708033</v>
      </c>
    </row>
    <row r="6764" customFormat="false" ht="15.75" hidden="false" customHeight="false" outlineLevel="0" collapsed="false">
      <c r="A6764" s="1" t="s">
        <v>1146</v>
      </c>
      <c r="B6764" s="1" t="n">
        <v>423.15</v>
      </c>
      <c r="C6764" s="1" t="n">
        <f aca="false">1/B6764</f>
        <v>0.00236322816967978</v>
      </c>
      <c r="D6764" s="1" t="n">
        <v>0.3529</v>
      </c>
      <c r="E6764" s="1" t="n">
        <f aca="false">LN(D6764)</f>
        <v>-1.04157054830091</v>
      </c>
    </row>
    <row r="6765" customFormat="false" ht="15.75" hidden="false" customHeight="false" outlineLevel="0" collapsed="false">
      <c r="A6765" s="1" t="s">
        <v>1146</v>
      </c>
      <c r="B6765" s="1" t="n">
        <v>463.15</v>
      </c>
      <c r="C6765" s="1" t="n">
        <f aca="false">1/B6765</f>
        <v>0.00215912771240419</v>
      </c>
      <c r="D6765" s="1" t="n">
        <v>0.2612</v>
      </c>
      <c r="E6765" s="1" t="n">
        <f aca="false">LN(D6765)</f>
        <v>-1.34246888157986</v>
      </c>
    </row>
    <row r="6766" customFormat="false" ht="15.75" hidden="false" customHeight="false" outlineLevel="0" collapsed="false">
      <c r="A6766" s="1" t="s">
        <v>1146</v>
      </c>
      <c r="B6766" s="1" t="n">
        <v>473.15</v>
      </c>
      <c r="C6766" s="1" t="n">
        <f aca="false">1/B6766</f>
        <v>0.00211349466342597</v>
      </c>
      <c r="D6766" s="1" t="n">
        <v>0.2442</v>
      </c>
      <c r="E6766" s="1" t="n">
        <f aca="false">LN(D6766)</f>
        <v>-1.40976771730553</v>
      </c>
    </row>
    <row r="6767" customFormat="false" ht="15.75" hidden="false" customHeight="false" outlineLevel="0" collapsed="false">
      <c r="A6767" s="1" t="s">
        <v>1146</v>
      </c>
      <c r="B6767" s="1" t="n">
        <v>303.15</v>
      </c>
      <c r="C6767" s="1" t="n">
        <f aca="false">1/B6767</f>
        <v>0.0032986970146792</v>
      </c>
      <c r="D6767" s="1" t="n">
        <v>1.6426</v>
      </c>
      <c r="E6767" s="1" t="n">
        <f aca="false">LN(D6767)</f>
        <v>0.496280352323955</v>
      </c>
    </row>
    <row r="6768" customFormat="false" ht="15.75" hidden="false" customHeight="false" outlineLevel="0" collapsed="false">
      <c r="A6768" s="1" t="s">
        <v>1146</v>
      </c>
      <c r="B6768" s="1" t="n">
        <v>333.15</v>
      </c>
      <c r="C6768" s="1" t="n">
        <f aca="false">1/B6768</f>
        <v>0.0030016509079994</v>
      </c>
      <c r="D6768" s="1" t="n">
        <v>0.9771</v>
      </c>
      <c r="E6768" s="1" t="n">
        <f aca="false">LN(D6768)</f>
        <v>-0.0231662780318396</v>
      </c>
    </row>
    <row r="6769" customFormat="false" ht="15.75" hidden="false" customHeight="false" outlineLevel="0" collapsed="false">
      <c r="A6769" s="1" t="s">
        <v>1146</v>
      </c>
      <c r="B6769" s="1" t="n">
        <v>353.15</v>
      </c>
      <c r="C6769" s="1" t="n">
        <f aca="false">1/B6769</f>
        <v>0.00283165793572137</v>
      </c>
      <c r="D6769" s="1" t="n">
        <v>0.7356</v>
      </c>
      <c r="E6769" s="1" t="n">
        <f aca="false">LN(D6769)</f>
        <v>-0.307068786251971</v>
      </c>
    </row>
    <row r="6770" customFormat="false" ht="15.75" hidden="false" customHeight="false" outlineLevel="0" collapsed="false">
      <c r="A6770" s="1" t="s">
        <v>1146</v>
      </c>
      <c r="B6770" s="1" t="n">
        <v>403.15</v>
      </c>
      <c r="C6770" s="1" t="n">
        <f aca="false">1/B6770</f>
        <v>0.0024804663276696</v>
      </c>
      <c r="D6770" s="1" t="n">
        <v>0.4217</v>
      </c>
      <c r="E6770" s="1" t="n">
        <f aca="false">LN(D6770)</f>
        <v>-0.863461118229623</v>
      </c>
    </row>
    <row r="6771" customFormat="false" ht="15.75" hidden="false" customHeight="false" outlineLevel="0" collapsed="false">
      <c r="A6771" s="1" t="s">
        <v>1146</v>
      </c>
      <c r="B6771" s="1" t="n">
        <v>443.15</v>
      </c>
      <c r="C6771" s="1" t="n">
        <f aca="false">1/B6771</f>
        <v>0.00225657226672684</v>
      </c>
      <c r="D6771" s="1" t="n">
        <v>0.3011</v>
      </c>
      <c r="E6771" s="1" t="n">
        <f aca="false">LN(D6771)</f>
        <v>-1.20031284349445</v>
      </c>
    </row>
    <row r="6772" customFormat="false" ht="15.75" hidden="false" customHeight="false" outlineLevel="0" collapsed="false">
      <c r="A6772" s="1" t="s">
        <v>1148</v>
      </c>
      <c r="B6772" s="1" t="n">
        <v>298.15</v>
      </c>
      <c r="C6772" s="1" t="n">
        <f aca="false">1/B6772</f>
        <v>0.00335401643468053</v>
      </c>
      <c r="D6772" s="1" t="n">
        <v>0.8049</v>
      </c>
      <c r="E6772" s="1" t="n">
        <f aca="false">LN(D6772)</f>
        <v>-0.217037232882449</v>
      </c>
    </row>
    <row r="6773" customFormat="false" ht="15.75" hidden="false" customHeight="false" outlineLevel="0" collapsed="false">
      <c r="A6773" s="1" t="s">
        <v>1148</v>
      </c>
      <c r="B6773" s="1" t="n">
        <v>303.15</v>
      </c>
      <c r="C6773" s="1" t="n">
        <f aca="false">1/B6773</f>
        <v>0.0032986970146792</v>
      </c>
      <c r="D6773" s="1" t="n">
        <v>0.7502</v>
      </c>
      <c r="E6773" s="1" t="n">
        <f aca="false">LN(D6773)</f>
        <v>-0.28741544133435</v>
      </c>
    </row>
    <row r="6774" customFormat="false" ht="15.75" hidden="false" customHeight="false" outlineLevel="0" collapsed="false">
      <c r="A6774" s="1" t="s">
        <v>1148</v>
      </c>
      <c r="B6774" s="1" t="n">
        <v>313.15</v>
      </c>
      <c r="C6774" s="1" t="n">
        <f aca="false">1/B6774</f>
        <v>0.00319335781574325</v>
      </c>
      <c r="D6774" s="1" t="n">
        <v>0.649</v>
      </c>
      <c r="E6774" s="1" t="n">
        <f aca="false">LN(D6774)</f>
        <v>-0.432322562278047</v>
      </c>
    </row>
    <row r="6775" customFormat="false" ht="15.75" hidden="false" customHeight="false" outlineLevel="0" collapsed="false">
      <c r="A6775" s="1" t="s">
        <v>1148</v>
      </c>
      <c r="B6775" s="1" t="n">
        <v>333.15</v>
      </c>
      <c r="C6775" s="1" t="n">
        <f aca="false">1/B6775</f>
        <v>0.0030016509079994</v>
      </c>
      <c r="D6775" s="1" t="n">
        <v>0.5048</v>
      </c>
      <c r="E6775" s="1" t="n">
        <f aca="false">LN(D6775)</f>
        <v>-0.683592967755134</v>
      </c>
    </row>
    <row r="6776" customFormat="false" ht="15.75" hidden="false" customHeight="false" outlineLevel="0" collapsed="false">
      <c r="A6776" s="1" t="s">
        <v>1148</v>
      </c>
      <c r="B6776" s="1" t="n">
        <v>343.15</v>
      </c>
      <c r="C6776" s="1" t="n">
        <f aca="false">1/B6776</f>
        <v>0.00291417747340813</v>
      </c>
      <c r="D6776" s="1" t="n">
        <v>0.4516</v>
      </c>
      <c r="E6776" s="1" t="n">
        <f aca="false">LN(D6776)</f>
        <v>-0.79495844670663</v>
      </c>
    </row>
    <row r="6777" customFormat="false" ht="15.75" hidden="false" customHeight="false" outlineLevel="0" collapsed="false">
      <c r="A6777" s="1" t="s">
        <v>1148</v>
      </c>
      <c r="B6777" s="1" t="n">
        <v>353.15</v>
      </c>
      <c r="C6777" s="1" t="n">
        <f aca="false">1/B6777</f>
        <v>0.00283165793572137</v>
      </c>
      <c r="D6777" s="1" t="n">
        <v>0.4059</v>
      </c>
      <c r="E6777" s="1" t="n">
        <f aca="false">LN(D6777)</f>
        <v>-0.901648455137285</v>
      </c>
    </row>
    <row r="6778" customFormat="false" ht="15.75" hidden="false" customHeight="false" outlineLevel="0" collapsed="false">
      <c r="A6778" s="1" t="s">
        <v>1148</v>
      </c>
      <c r="B6778" s="1" t="n">
        <v>363.15</v>
      </c>
      <c r="C6778" s="1" t="n">
        <f aca="false">1/B6778</f>
        <v>0.00275368305108082</v>
      </c>
      <c r="D6778" s="1" t="n">
        <v>0.3647</v>
      </c>
      <c r="E6778" s="1" t="n">
        <f aca="false">LN(D6778)</f>
        <v>-1.0086801811675</v>
      </c>
    </row>
    <row r="6779" customFormat="false" ht="15.75" hidden="false" customHeight="false" outlineLevel="0" collapsed="false">
      <c r="A6779" s="1" t="s">
        <v>1148</v>
      </c>
      <c r="B6779" s="1" t="n">
        <v>383.15</v>
      </c>
      <c r="C6779" s="1" t="n">
        <f aca="false">1/B6779</f>
        <v>0.00260994388620645</v>
      </c>
      <c r="D6779" s="1" t="n">
        <v>0.3009</v>
      </c>
      <c r="E6779" s="1" t="n">
        <f aca="false">LN(D6779)</f>
        <v>-1.20097729534614</v>
      </c>
    </row>
    <row r="6780" customFormat="false" ht="15.75" hidden="false" customHeight="false" outlineLevel="0" collapsed="false">
      <c r="A6780" s="1" t="s">
        <v>1148</v>
      </c>
      <c r="B6780" s="1" t="n">
        <v>403.15</v>
      </c>
      <c r="C6780" s="1" t="n">
        <f aca="false">1/B6780</f>
        <v>0.0024804663276696</v>
      </c>
      <c r="D6780" s="1" t="n">
        <v>0.2524</v>
      </c>
      <c r="E6780" s="1" t="n">
        <f aca="false">LN(D6780)</f>
        <v>-1.37674014831508</v>
      </c>
    </row>
    <row r="6781" customFormat="false" ht="15.75" hidden="false" customHeight="false" outlineLevel="0" collapsed="false">
      <c r="A6781" s="1" t="s">
        <v>1150</v>
      </c>
      <c r="B6781" s="1" t="n">
        <v>318.15</v>
      </c>
      <c r="C6781" s="1" t="n">
        <f aca="false">1/B6781</f>
        <v>0.00314317146000314</v>
      </c>
      <c r="D6781" s="1" t="n">
        <v>21.98</v>
      </c>
      <c r="E6781" s="1" t="n">
        <f aca="false">LN(D6781)</f>
        <v>3.09013294897548</v>
      </c>
    </row>
    <row r="6782" customFormat="false" ht="15.75" hidden="false" customHeight="false" outlineLevel="0" collapsed="false">
      <c r="A6782" s="1" t="s">
        <v>1150</v>
      </c>
      <c r="B6782" s="1" t="n">
        <v>333.15</v>
      </c>
      <c r="C6782" s="1" t="n">
        <f aca="false">1/B6782</f>
        <v>0.0030016509079994</v>
      </c>
      <c r="D6782" s="1" t="n">
        <v>13.59</v>
      </c>
      <c r="E6782" s="1" t="n">
        <f aca="false">LN(D6782)</f>
        <v>2.60933422816305</v>
      </c>
    </row>
    <row r="6783" customFormat="false" ht="15.75" hidden="false" customHeight="false" outlineLevel="0" collapsed="false">
      <c r="A6783" s="1" t="s">
        <v>1150</v>
      </c>
      <c r="B6783" s="1" t="n">
        <v>343.15</v>
      </c>
      <c r="C6783" s="1" t="n">
        <f aca="false">1/B6783</f>
        <v>0.00291417747340813</v>
      </c>
      <c r="D6783" s="1" t="n">
        <v>10.3</v>
      </c>
      <c r="E6783" s="1" t="n">
        <f aca="false">LN(D6783)</f>
        <v>2.33214389523559</v>
      </c>
    </row>
    <row r="6784" customFormat="false" ht="15.75" hidden="false" customHeight="false" outlineLevel="0" collapsed="false">
      <c r="A6784" s="1" t="s">
        <v>1150</v>
      </c>
      <c r="B6784" s="1" t="n">
        <v>348.15</v>
      </c>
      <c r="C6784" s="1" t="n">
        <f aca="false">1/B6784</f>
        <v>0.00287232514720666</v>
      </c>
      <c r="D6784" s="1" t="n">
        <v>9.11</v>
      </c>
      <c r="E6784" s="1" t="n">
        <f aca="false">LN(D6784)</f>
        <v>2.20937271127187</v>
      </c>
    </row>
    <row r="6785" customFormat="false" ht="15.75" hidden="false" customHeight="false" outlineLevel="0" collapsed="false">
      <c r="A6785" s="1" t="s">
        <v>1150</v>
      </c>
      <c r="B6785" s="1" t="n">
        <v>353.15</v>
      </c>
      <c r="C6785" s="1" t="n">
        <f aca="false">1/B6785</f>
        <v>0.00283165793572137</v>
      </c>
      <c r="D6785" s="1" t="n">
        <v>8.09</v>
      </c>
      <c r="E6785" s="1" t="n">
        <f aca="false">LN(D6785)</f>
        <v>2.0906287310704</v>
      </c>
    </row>
    <row r="6786" customFormat="false" ht="15.75" hidden="false" customHeight="false" outlineLevel="0" collapsed="false">
      <c r="A6786" s="1" t="s">
        <v>1150</v>
      </c>
      <c r="B6786" s="1" t="n">
        <v>358.15</v>
      </c>
      <c r="C6786" s="1" t="n">
        <f aca="false">1/B6786</f>
        <v>0.00279212620410443</v>
      </c>
      <c r="D6786" s="1" t="n">
        <v>7.22</v>
      </c>
      <c r="E6786" s="1" t="n">
        <f aca="false">LN(D6786)</f>
        <v>1.97685495290473</v>
      </c>
    </row>
    <row r="6787" customFormat="false" ht="15.75" hidden="false" customHeight="false" outlineLevel="0" collapsed="false">
      <c r="A6787" s="1" t="s">
        <v>1152</v>
      </c>
      <c r="B6787" s="1" t="n">
        <v>298.15</v>
      </c>
      <c r="C6787" s="1" t="n">
        <f aca="false">1/B6787</f>
        <v>0.00335401643468053</v>
      </c>
      <c r="D6787" s="1" t="n">
        <v>0.375</v>
      </c>
      <c r="E6787" s="1" t="n">
        <f aca="false">LN(D6787)</f>
        <v>-0.980829253011726</v>
      </c>
    </row>
    <row r="6788" customFormat="false" ht="15.75" hidden="false" customHeight="false" outlineLevel="0" collapsed="false">
      <c r="A6788" s="1" t="s">
        <v>1152</v>
      </c>
      <c r="B6788" s="1" t="n">
        <v>303.15</v>
      </c>
      <c r="C6788" s="1" t="n">
        <f aca="false">1/B6788</f>
        <v>0.0032986970146792</v>
      </c>
      <c r="D6788" s="1" t="n">
        <v>0.3568</v>
      </c>
      <c r="E6788" s="1" t="n">
        <f aca="false">LN(D6788)</f>
        <v>-1.03057987827628</v>
      </c>
    </row>
    <row r="6789" customFormat="false" ht="15.75" hidden="false" customHeight="false" outlineLevel="0" collapsed="false">
      <c r="A6789" s="1" t="s">
        <v>1152</v>
      </c>
      <c r="B6789" s="1" t="n">
        <v>313.15</v>
      </c>
      <c r="C6789" s="1" t="n">
        <f aca="false">1/B6789</f>
        <v>0.00319335781574325</v>
      </c>
      <c r="D6789" s="1" t="n">
        <v>0.3245</v>
      </c>
      <c r="E6789" s="1" t="n">
        <f aca="false">LN(D6789)</f>
        <v>-1.12546974283799</v>
      </c>
    </row>
    <row r="6790" customFormat="false" ht="15.75" hidden="false" customHeight="false" outlineLevel="0" collapsed="false">
      <c r="A6790" s="1" t="s">
        <v>1152</v>
      </c>
      <c r="B6790" s="1" t="n">
        <v>323.15</v>
      </c>
      <c r="C6790" s="1" t="n">
        <f aca="false">1/B6790</f>
        <v>0.00309453814018258</v>
      </c>
      <c r="D6790" s="1" t="n">
        <v>0.2969</v>
      </c>
      <c r="E6790" s="1" t="n">
        <f aca="false">LN(D6790)</f>
        <v>-1.21435989721242</v>
      </c>
    </row>
    <row r="6791" customFormat="false" ht="15.75" hidden="false" customHeight="false" outlineLevel="0" collapsed="false">
      <c r="A6791" s="1" t="s">
        <v>1152</v>
      </c>
      <c r="B6791" s="1" t="n">
        <v>333.15</v>
      </c>
      <c r="C6791" s="1" t="n">
        <f aca="false">1/B6791</f>
        <v>0.0030016509079994</v>
      </c>
      <c r="D6791" s="1" t="n">
        <v>0.2733</v>
      </c>
      <c r="E6791" s="1" t="n">
        <f aca="false">LN(D6791)</f>
        <v>-1.29718518604811</v>
      </c>
    </row>
    <row r="6792" customFormat="false" ht="15.75" hidden="false" customHeight="false" outlineLevel="0" collapsed="false">
      <c r="A6792" s="1" t="s">
        <v>1482</v>
      </c>
      <c r="B6792" s="1" t="n">
        <v>243.15</v>
      </c>
      <c r="C6792" s="1" t="n">
        <f aca="false">1/B6792</f>
        <v>0.00411268764137364</v>
      </c>
      <c r="D6792" s="1" t="n">
        <v>1.323</v>
      </c>
      <c r="E6792" s="1" t="n">
        <f aca="false">LN(D6792)</f>
        <v>0.279901885132819</v>
      </c>
    </row>
    <row r="6793" customFormat="false" ht="15.75" hidden="false" customHeight="false" outlineLevel="0" collapsed="false">
      <c r="A6793" s="1" t="s">
        <v>1482</v>
      </c>
      <c r="B6793" s="1" t="n">
        <v>297.85</v>
      </c>
      <c r="C6793" s="1" t="n">
        <f aca="false">1/B6793</f>
        <v>0.00335739466174249</v>
      </c>
      <c r="D6793" s="1" t="n">
        <v>0.547</v>
      </c>
      <c r="E6793" s="1" t="n">
        <f aca="false">LN(D6793)</f>
        <v>-0.603306476560156</v>
      </c>
    </row>
    <row r="6794" customFormat="false" ht="15.75" hidden="false" customHeight="false" outlineLevel="0" collapsed="false">
      <c r="A6794" s="1" t="s">
        <v>1482</v>
      </c>
      <c r="B6794" s="1" t="n">
        <v>310.95</v>
      </c>
      <c r="C6794" s="1" t="n">
        <f aca="false">1/B6794</f>
        <v>0.00321595111754301</v>
      </c>
      <c r="D6794" s="1" t="n">
        <v>0.474</v>
      </c>
      <c r="E6794" s="1" t="n">
        <f aca="false">LN(D6794)</f>
        <v>-0.746547957287061</v>
      </c>
    </row>
    <row r="6795" customFormat="false" ht="15.75" hidden="false" customHeight="false" outlineLevel="0" collapsed="false">
      <c r="A6795" s="1" t="s">
        <v>1482</v>
      </c>
      <c r="B6795" s="1" t="n">
        <v>324.95</v>
      </c>
      <c r="C6795" s="1" t="n">
        <f aca="false">1/B6795</f>
        <v>0.00307739652254193</v>
      </c>
      <c r="D6795" s="1" t="n">
        <v>0.413</v>
      </c>
      <c r="E6795" s="1" t="n">
        <f aca="false">LN(D6795)</f>
        <v>-0.884307686021104</v>
      </c>
    </row>
    <row r="6796" customFormat="false" ht="15.75" hidden="false" customHeight="false" outlineLevel="0" collapsed="false">
      <c r="A6796" s="1" t="s">
        <v>1482</v>
      </c>
      <c r="B6796" s="1" t="n">
        <v>337.55</v>
      </c>
      <c r="C6796" s="1" t="n">
        <f aca="false">1/B6796</f>
        <v>0.00296252407050807</v>
      </c>
      <c r="D6796" s="1" t="n">
        <v>0.369</v>
      </c>
      <c r="E6796" s="1" t="n">
        <f aca="false">LN(D6796)</f>
        <v>-0.99695863494161</v>
      </c>
    </row>
    <row r="6797" customFormat="false" ht="15.75" hidden="false" customHeight="false" outlineLevel="0" collapsed="false">
      <c r="A6797" s="1" t="s">
        <v>1482</v>
      </c>
      <c r="B6797" s="1" t="n">
        <v>354.05</v>
      </c>
      <c r="C6797" s="1" t="n">
        <f aca="false">1/B6797</f>
        <v>0.00282445982205903</v>
      </c>
      <c r="D6797" s="1" t="n">
        <v>0.331</v>
      </c>
      <c r="E6797" s="1" t="n">
        <f aca="false">LN(D6797)</f>
        <v>-1.10563690360507</v>
      </c>
    </row>
    <row r="6798" customFormat="false" ht="15.75" hidden="false" customHeight="false" outlineLevel="0" collapsed="false">
      <c r="A6798" s="1" t="s">
        <v>1482</v>
      </c>
      <c r="B6798" s="1" t="n">
        <v>371.95</v>
      </c>
      <c r="C6798" s="1" t="n">
        <f aca="false">1/B6798</f>
        <v>0.00268853340502756</v>
      </c>
      <c r="D6798" s="1" t="n">
        <v>0.292</v>
      </c>
      <c r="E6798" s="1" t="n">
        <f aca="false">LN(D6798)</f>
        <v>-1.23100147671386</v>
      </c>
    </row>
    <row r="6799" customFormat="false" ht="15.75" hidden="false" customHeight="false" outlineLevel="0" collapsed="false">
      <c r="A6799" s="1" t="s">
        <v>1154</v>
      </c>
      <c r="B6799" s="1" t="n">
        <v>293.15</v>
      </c>
      <c r="C6799" s="1" t="n">
        <f aca="false">1/B6799</f>
        <v>0.00341122292341805</v>
      </c>
      <c r="D6799" s="1" t="n">
        <v>2.8329</v>
      </c>
      <c r="E6799" s="1" t="n">
        <f aca="false">LN(D6799)</f>
        <v>1.041300921955</v>
      </c>
    </row>
    <row r="6800" customFormat="false" ht="15.75" hidden="false" customHeight="false" outlineLevel="0" collapsed="false">
      <c r="A6800" s="1" t="s">
        <v>1154</v>
      </c>
      <c r="B6800" s="1" t="n">
        <v>298.15</v>
      </c>
      <c r="C6800" s="1" t="n">
        <f aca="false">1/B6800</f>
        <v>0.00335401643468053</v>
      </c>
      <c r="D6800" s="1" t="n">
        <v>2.511</v>
      </c>
      <c r="E6800" s="1" t="n">
        <f aca="false">LN(D6800)</f>
        <v>0.920681080175448</v>
      </c>
    </row>
    <row r="6801" customFormat="false" ht="15.75" hidden="false" customHeight="false" outlineLevel="0" collapsed="false">
      <c r="A6801" s="1" t="s">
        <v>1154</v>
      </c>
      <c r="B6801" s="1" t="n">
        <v>303.15</v>
      </c>
      <c r="C6801" s="1" t="n">
        <f aca="false">1/B6801</f>
        <v>0.0032986970146792</v>
      </c>
      <c r="D6801" s="1" t="n">
        <v>2.2462</v>
      </c>
      <c r="E6801" s="1" t="n">
        <f aca="false">LN(D6801)</f>
        <v>0.809239899546799</v>
      </c>
    </row>
    <row r="6802" customFormat="false" ht="15.75" hidden="false" customHeight="false" outlineLevel="0" collapsed="false">
      <c r="A6802" s="1" t="s">
        <v>1154</v>
      </c>
      <c r="B6802" s="1" t="n">
        <v>308.15</v>
      </c>
      <c r="C6802" s="1" t="n">
        <f aca="false">1/B6802</f>
        <v>0.00324517280545189</v>
      </c>
      <c r="D6802" s="1" t="n">
        <v>2.03</v>
      </c>
      <c r="E6802" s="1" t="n">
        <f aca="false">LN(D6802)</f>
        <v>0.708035793053696</v>
      </c>
    </row>
    <row r="6803" customFormat="false" ht="15.75" hidden="false" customHeight="false" outlineLevel="0" collapsed="false">
      <c r="A6803" s="1" t="s">
        <v>1154</v>
      </c>
      <c r="B6803" s="1" t="n">
        <v>313.15</v>
      </c>
      <c r="C6803" s="1" t="n">
        <f aca="false">1/B6803</f>
        <v>0.00319335781574325</v>
      </c>
      <c r="D6803" s="1" t="n">
        <v>1.8359</v>
      </c>
      <c r="E6803" s="1" t="n">
        <f aca="false">LN(D6803)</f>
        <v>0.607534824484023</v>
      </c>
    </row>
    <row r="6804" customFormat="false" ht="15.75" hidden="false" customHeight="false" outlineLevel="0" collapsed="false">
      <c r="A6804" s="1" t="s">
        <v>142</v>
      </c>
      <c r="B6804" s="1" t="n">
        <v>338.15</v>
      </c>
      <c r="C6804" s="1" t="n">
        <f aca="false">1/B6804</f>
        <v>0.002957267484844</v>
      </c>
      <c r="D6804" s="1" t="n">
        <v>10.05</v>
      </c>
      <c r="E6804" s="1" t="n">
        <f aca="false">LN(D6804)</f>
        <v>2.30757263450508</v>
      </c>
    </row>
    <row r="6805" customFormat="false" ht="15.75" hidden="false" customHeight="false" outlineLevel="0" collapsed="false">
      <c r="A6805" s="1" t="s">
        <v>142</v>
      </c>
      <c r="B6805" s="1" t="n">
        <v>348.15</v>
      </c>
      <c r="C6805" s="1" t="n">
        <f aca="false">1/B6805</f>
        <v>0.00287232514720666</v>
      </c>
      <c r="D6805" s="1" t="n">
        <v>7.11</v>
      </c>
      <c r="E6805" s="1" t="n">
        <f aca="false">LN(D6805)</f>
        <v>1.96150224381515</v>
      </c>
    </row>
    <row r="6806" customFormat="false" ht="15.75" hidden="false" customHeight="false" outlineLevel="0" collapsed="false">
      <c r="A6806" s="1" t="s">
        <v>142</v>
      </c>
      <c r="B6806" s="1" t="n">
        <v>358.15</v>
      </c>
      <c r="C6806" s="1" t="n">
        <f aca="false">1/B6806</f>
        <v>0.00279212620410443</v>
      </c>
      <c r="D6806" s="1" t="n">
        <v>5.48</v>
      </c>
      <c r="E6806" s="1" t="n">
        <f aca="false">LN(D6806)</f>
        <v>1.70110510095992</v>
      </c>
    </row>
    <row r="6807" customFormat="false" ht="15.75" hidden="false" customHeight="false" outlineLevel="0" collapsed="false">
      <c r="A6807" s="1" t="s">
        <v>142</v>
      </c>
      <c r="B6807" s="1" t="n">
        <v>371.65</v>
      </c>
      <c r="C6807" s="1" t="n">
        <f aca="false">1/B6807</f>
        <v>0.00269070361899637</v>
      </c>
      <c r="D6807" s="1" t="n">
        <v>4.02</v>
      </c>
      <c r="E6807" s="1" t="n">
        <f aca="false">LN(D6807)</f>
        <v>1.39128190263093</v>
      </c>
    </row>
    <row r="6808" customFormat="false" ht="15.75" hidden="false" customHeight="false" outlineLevel="0" collapsed="false">
      <c r="A6808" s="1" t="s">
        <v>260</v>
      </c>
      <c r="B6808" s="1" t="n">
        <v>298.15</v>
      </c>
      <c r="C6808" s="1" t="n">
        <f aca="false">1/B6808</f>
        <v>0.00335401643468053</v>
      </c>
      <c r="D6808" s="1" t="n">
        <v>86.6551</v>
      </c>
      <c r="E6808" s="1" t="n">
        <f aca="false">LN(D6808)</f>
        <v>4.46193587190217</v>
      </c>
    </row>
    <row r="6809" customFormat="false" ht="15.75" hidden="false" customHeight="false" outlineLevel="0" collapsed="false">
      <c r="A6809" s="1" t="s">
        <v>260</v>
      </c>
      <c r="B6809" s="1" t="n">
        <v>303.15</v>
      </c>
      <c r="C6809" s="1" t="n">
        <f aca="false">1/B6809</f>
        <v>0.0032986970146792</v>
      </c>
      <c r="D6809" s="1" t="n">
        <v>61.0128</v>
      </c>
      <c r="E6809" s="1" t="n">
        <f aca="false">LN(D6809)</f>
        <v>4.11108367822638</v>
      </c>
    </row>
    <row r="6810" customFormat="false" ht="15.75" hidden="false" customHeight="false" outlineLevel="0" collapsed="false">
      <c r="A6810" s="1" t="s">
        <v>260</v>
      </c>
      <c r="B6810" s="1" t="n">
        <v>313.15</v>
      </c>
      <c r="C6810" s="1" t="n">
        <f aca="false">1/B6810</f>
        <v>0.00319335781574325</v>
      </c>
      <c r="D6810" s="1" t="n">
        <v>32.7332</v>
      </c>
      <c r="E6810" s="1" t="n">
        <f aca="false">LN(D6810)</f>
        <v>3.48838985336426</v>
      </c>
    </row>
    <row r="6811" customFormat="false" ht="15.75" hidden="false" customHeight="false" outlineLevel="0" collapsed="false">
      <c r="A6811" s="1" t="s">
        <v>262</v>
      </c>
      <c r="B6811" s="1" t="n">
        <v>343.15</v>
      </c>
      <c r="C6811" s="1" t="n">
        <f aca="false">1/B6811</f>
        <v>0.00291417747340813</v>
      </c>
      <c r="D6811" s="1" t="n">
        <v>1.679</v>
      </c>
      <c r="E6811" s="1" t="n">
        <f aca="false">LN(D6811)</f>
        <v>0.518198378095404</v>
      </c>
    </row>
    <row r="6812" customFormat="false" ht="15.75" hidden="false" customHeight="false" outlineLevel="0" collapsed="false">
      <c r="A6812" s="1" t="s">
        <v>262</v>
      </c>
      <c r="B6812" s="1" t="n">
        <v>348.15</v>
      </c>
      <c r="C6812" s="1" t="n">
        <f aca="false">1/B6812</f>
        <v>0.00287232514720666</v>
      </c>
      <c r="D6812" s="1" t="n">
        <v>1.467</v>
      </c>
      <c r="E6812" s="1" t="n">
        <f aca="false">LN(D6812)</f>
        <v>0.383219499160845</v>
      </c>
    </row>
    <row r="6813" customFormat="false" ht="15.75" hidden="false" customHeight="false" outlineLevel="0" collapsed="false">
      <c r="A6813" s="1" t="s">
        <v>262</v>
      </c>
      <c r="B6813" s="1" t="n">
        <v>353.15</v>
      </c>
      <c r="C6813" s="1" t="n">
        <f aca="false">1/B6813</f>
        <v>0.00283165793572137</v>
      </c>
      <c r="D6813" s="1" t="n">
        <v>1.292</v>
      </c>
      <c r="E6813" s="1" t="n">
        <f aca="false">LN(D6813)</f>
        <v>0.25619140536041</v>
      </c>
    </row>
    <row r="6814" customFormat="false" ht="15.75" hidden="false" customHeight="false" outlineLevel="0" collapsed="false">
      <c r="A6814" s="1" t="s">
        <v>262</v>
      </c>
      <c r="B6814" s="1" t="n">
        <v>358.15</v>
      </c>
      <c r="C6814" s="1" t="n">
        <f aca="false">1/B6814</f>
        <v>0.00279212620410443</v>
      </c>
      <c r="D6814" s="1" t="n">
        <v>1.144</v>
      </c>
      <c r="E6814" s="1" t="n">
        <f aca="false">LN(D6814)</f>
        <v>0.134530892957606</v>
      </c>
    </row>
    <row r="6815" customFormat="false" ht="15.75" hidden="false" customHeight="false" outlineLevel="0" collapsed="false">
      <c r="A6815" s="1" t="s">
        <v>1156</v>
      </c>
      <c r="B6815" s="1" t="n">
        <v>323.15</v>
      </c>
      <c r="C6815" s="1" t="n">
        <f aca="false">1/B6815</f>
        <v>0.00309453814018258</v>
      </c>
      <c r="D6815" s="1" t="n">
        <v>10.04</v>
      </c>
      <c r="E6815" s="1" t="n">
        <f aca="false">LN(D6815)</f>
        <v>2.30657711426358</v>
      </c>
    </row>
    <row r="6816" customFormat="false" ht="15.75" hidden="false" customHeight="false" outlineLevel="0" collapsed="false">
      <c r="A6816" s="1" t="s">
        <v>1156</v>
      </c>
      <c r="B6816" s="1" t="n">
        <v>328.15</v>
      </c>
      <c r="C6816" s="1" t="n">
        <f aca="false">1/B6816</f>
        <v>0.00304738686576261</v>
      </c>
      <c r="D6816" s="1" t="n">
        <v>8.62</v>
      </c>
      <c r="E6816" s="1" t="n">
        <f aca="false">LN(D6816)</f>
        <v>2.1540850846756</v>
      </c>
    </row>
    <row r="6817" customFormat="false" ht="15.75" hidden="false" customHeight="false" outlineLevel="0" collapsed="false">
      <c r="A6817" s="1" t="s">
        <v>1156</v>
      </c>
      <c r="B6817" s="1" t="n">
        <v>333.15</v>
      </c>
      <c r="C6817" s="1" t="n">
        <f aca="false">1/B6817</f>
        <v>0.0030016509079994</v>
      </c>
      <c r="D6817" s="1" t="n">
        <v>7.34</v>
      </c>
      <c r="E6817" s="1" t="n">
        <f aca="false">LN(D6817)</f>
        <v>1.99333884262642</v>
      </c>
    </row>
    <row r="6818" customFormat="false" ht="15.75" hidden="false" customHeight="false" outlineLevel="0" collapsed="false">
      <c r="A6818" s="1" t="s">
        <v>1156</v>
      </c>
      <c r="B6818" s="1" t="n">
        <v>338.15</v>
      </c>
      <c r="C6818" s="1" t="n">
        <f aca="false">1/B6818</f>
        <v>0.002957267484844</v>
      </c>
      <c r="D6818" s="1" t="n">
        <v>6.56</v>
      </c>
      <c r="E6818" s="1" t="n">
        <f aca="false">LN(D6818)</f>
        <v>1.880990602956</v>
      </c>
    </row>
    <row r="6819" customFormat="false" ht="15.75" hidden="false" customHeight="false" outlineLevel="0" collapsed="false">
      <c r="A6819" s="1" t="s">
        <v>1156</v>
      </c>
      <c r="B6819" s="1" t="n">
        <v>343.15</v>
      </c>
      <c r="C6819" s="1" t="n">
        <f aca="false">1/B6819</f>
        <v>0.00291417747340813</v>
      </c>
      <c r="D6819" s="1" t="n">
        <v>5.77</v>
      </c>
      <c r="E6819" s="1" t="n">
        <f aca="false">LN(D6819)</f>
        <v>1.75267208052001</v>
      </c>
    </row>
    <row r="6820" customFormat="false" ht="15.75" hidden="false" customHeight="false" outlineLevel="0" collapsed="false">
      <c r="A6820" s="1" t="s">
        <v>1156</v>
      </c>
      <c r="B6820" s="1" t="n">
        <v>348.15</v>
      </c>
      <c r="C6820" s="1" t="n">
        <f aca="false">1/B6820</f>
        <v>0.00287232514720666</v>
      </c>
      <c r="D6820" s="1" t="n">
        <v>5.17</v>
      </c>
      <c r="E6820" s="1" t="n">
        <f aca="false">LN(D6820)</f>
        <v>1.64287268852034</v>
      </c>
    </row>
    <row r="6821" customFormat="false" ht="15.75" hidden="false" customHeight="false" outlineLevel="0" collapsed="false">
      <c r="A6821" s="1" t="s">
        <v>1156</v>
      </c>
      <c r="B6821" s="1" t="n">
        <v>353.15</v>
      </c>
      <c r="C6821" s="1" t="n">
        <f aca="false">1/B6821</f>
        <v>0.00283165793572137</v>
      </c>
      <c r="D6821" s="1" t="n">
        <v>4.61</v>
      </c>
      <c r="E6821" s="1" t="n">
        <f aca="false">LN(D6821)</f>
        <v>1.52822785700856</v>
      </c>
    </row>
    <row r="6822" customFormat="false" ht="15.75" hidden="false" customHeight="false" outlineLevel="0" collapsed="false">
      <c r="A6822" s="1" t="s">
        <v>1156</v>
      </c>
      <c r="B6822" s="1" t="n">
        <v>358.15</v>
      </c>
      <c r="C6822" s="1" t="n">
        <f aca="false">1/B6822</f>
        <v>0.00279212620410443</v>
      </c>
      <c r="D6822" s="1" t="n">
        <v>4.19</v>
      </c>
      <c r="E6822" s="1" t="n">
        <f aca="false">LN(D6822)</f>
        <v>1.43270073393405</v>
      </c>
    </row>
    <row r="6823" customFormat="false" ht="15.75" hidden="false" customHeight="false" outlineLevel="0" collapsed="false">
      <c r="A6823" s="1" t="s">
        <v>1156</v>
      </c>
      <c r="B6823" s="1" t="n">
        <v>363.15</v>
      </c>
      <c r="C6823" s="1" t="n">
        <f aca="false">1/B6823</f>
        <v>0.00275368305108082</v>
      </c>
      <c r="D6823" s="1" t="n">
        <v>3.86</v>
      </c>
      <c r="E6823" s="1" t="n">
        <f aca="false">LN(D6823)</f>
        <v>1.35066718347674</v>
      </c>
    </row>
    <row r="6824" customFormat="false" ht="15.75" hidden="false" customHeight="false" outlineLevel="0" collapsed="false">
      <c r="A6824" s="1" t="s">
        <v>1483</v>
      </c>
      <c r="B6824" s="1" t="n">
        <v>298.15</v>
      </c>
      <c r="C6824" s="1" t="n">
        <f aca="false">1/B6824</f>
        <v>0.00335401643468053</v>
      </c>
      <c r="D6824" s="1" t="n">
        <v>16.05</v>
      </c>
      <c r="E6824" s="1" t="n">
        <f aca="false">LN(D6824)</f>
        <v>2.77570884957602</v>
      </c>
    </row>
    <row r="6825" customFormat="false" ht="15.75" hidden="false" customHeight="false" outlineLevel="0" collapsed="false">
      <c r="A6825" s="1" t="s">
        <v>1483</v>
      </c>
      <c r="B6825" s="1" t="n">
        <v>308.15</v>
      </c>
      <c r="C6825" s="1" t="n">
        <f aca="false">1/B6825</f>
        <v>0.00324517280545189</v>
      </c>
      <c r="D6825" s="1" t="n">
        <v>10.7</v>
      </c>
      <c r="E6825" s="1" t="n">
        <f aca="false">LN(D6825)</f>
        <v>2.37024374146786</v>
      </c>
    </row>
    <row r="6826" customFormat="false" ht="15.75" hidden="false" customHeight="false" outlineLevel="0" collapsed="false">
      <c r="A6826" s="1" t="s">
        <v>1483</v>
      </c>
      <c r="B6826" s="1" t="n">
        <v>328.15</v>
      </c>
      <c r="C6826" s="1" t="n">
        <f aca="false">1/B6826</f>
        <v>0.00304738686576261</v>
      </c>
      <c r="D6826" s="1" t="n">
        <v>5.9</v>
      </c>
      <c r="E6826" s="1" t="n">
        <f aca="false">LN(D6826)</f>
        <v>1.77495235091167</v>
      </c>
    </row>
    <row r="6827" customFormat="false" ht="15.75" hidden="false" customHeight="false" outlineLevel="0" collapsed="false">
      <c r="A6827" s="1" t="s">
        <v>1483</v>
      </c>
      <c r="B6827" s="1" t="n">
        <v>338.15</v>
      </c>
      <c r="C6827" s="1" t="n">
        <f aca="false">1/B6827</f>
        <v>0.002957267484844</v>
      </c>
      <c r="D6827" s="1" t="n">
        <v>4.68</v>
      </c>
      <c r="E6827" s="1" t="n">
        <f aca="false">LN(D6827)</f>
        <v>1.54329810992956</v>
      </c>
    </row>
    <row r="6828" customFormat="false" ht="15.75" hidden="false" customHeight="false" outlineLevel="0" collapsed="false">
      <c r="A6828" s="1" t="s">
        <v>1483</v>
      </c>
      <c r="B6828" s="1" t="n">
        <v>358.15</v>
      </c>
      <c r="C6828" s="1" t="n">
        <f aca="false">1/B6828</f>
        <v>0.00279212620410443</v>
      </c>
      <c r="D6828" s="1" t="n">
        <v>3.1</v>
      </c>
      <c r="E6828" s="1" t="n">
        <f aca="false">LN(D6828)</f>
        <v>1.1314021114911</v>
      </c>
    </row>
    <row r="6829" customFormat="false" ht="15.75" hidden="false" customHeight="false" outlineLevel="0" collapsed="false">
      <c r="A6829" s="1" t="s">
        <v>1483</v>
      </c>
      <c r="B6829" s="1" t="n">
        <v>318.15</v>
      </c>
      <c r="C6829" s="1" t="n">
        <f aca="false">1/B6829</f>
        <v>0.00314317146000314</v>
      </c>
      <c r="D6829" s="1" t="n">
        <v>7.98</v>
      </c>
      <c r="E6829" s="1" t="n">
        <f aca="false">LN(D6829)</f>
        <v>2.07693841146172</v>
      </c>
    </row>
    <row r="6830" customFormat="false" ht="15.75" hidden="false" customHeight="false" outlineLevel="0" collapsed="false">
      <c r="A6830" s="1" t="s">
        <v>1483</v>
      </c>
      <c r="B6830" s="1" t="n">
        <v>348.15</v>
      </c>
      <c r="C6830" s="1" t="n">
        <f aca="false">1/B6830</f>
        <v>0.00287232514720666</v>
      </c>
      <c r="D6830" s="1" t="n">
        <v>3.76</v>
      </c>
      <c r="E6830" s="1" t="n">
        <f aca="false">LN(D6830)</f>
        <v>1.3244189574018</v>
      </c>
    </row>
    <row r="6831" customFormat="false" ht="15.75" hidden="false" customHeight="false" outlineLevel="0" collapsed="false">
      <c r="A6831" s="1" t="s">
        <v>1158</v>
      </c>
      <c r="B6831" s="1" t="n">
        <v>298.15</v>
      </c>
      <c r="C6831" s="1" t="n">
        <f aca="false">1/B6831</f>
        <v>0.00335401643468053</v>
      </c>
      <c r="D6831" s="1" t="n">
        <v>1.022</v>
      </c>
      <c r="E6831" s="1" t="n">
        <f aca="false">LN(D6831)</f>
        <v>0.0217614917815127</v>
      </c>
    </row>
    <row r="6832" customFormat="false" ht="15.75" hidden="false" customHeight="false" outlineLevel="0" collapsed="false">
      <c r="A6832" s="1" t="s">
        <v>1158</v>
      </c>
      <c r="B6832" s="1" t="n">
        <v>303.15</v>
      </c>
      <c r="C6832" s="1" t="n">
        <f aca="false">1/B6832</f>
        <v>0.0032986970146792</v>
      </c>
      <c r="D6832" s="1" t="n">
        <v>0.9393</v>
      </c>
      <c r="E6832" s="1" t="n">
        <f aca="false">LN(D6832)</f>
        <v>-0.0626203619816673</v>
      </c>
    </row>
    <row r="6833" customFormat="false" ht="15.75" hidden="false" customHeight="false" outlineLevel="0" collapsed="false">
      <c r="A6833" s="1" t="s">
        <v>1158</v>
      </c>
      <c r="B6833" s="1" t="n">
        <v>313.15</v>
      </c>
      <c r="C6833" s="1" t="n">
        <f aca="false">1/B6833</f>
        <v>0.00319335781574325</v>
      </c>
      <c r="D6833" s="1" t="n">
        <v>0.8165</v>
      </c>
      <c r="E6833" s="1" t="n">
        <f aca="false">LN(D6833)</f>
        <v>-0.202728366571617</v>
      </c>
    </row>
    <row r="6834" customFormat="false" ht="15.75" hidden="false" customHeight="false" outlineLevel="0" collapsed="false">
      <c r="A6834" s="1" t="s">
        <v>1158</v>
      </c>
      <c r="B6834" s="1" t="n">
        <v>333.15</v>
      </c>
      <c r="C6834" s="1" t="n">
        <f aca="false">1/B6834</f>
        <v>0.0030016509079994</v>
      </c>
      <c r="D6834" s="1" t="n">
        <v>0.6405</v>
      </c>
      <c r="E6834" s="1" t="n">
        <f aca="false">LN(D6834)</f>
        <v>-0.445506157645348</v>
      </c>
    </row>
    <row r="6835" customFormat="false" ht="15.75" hidden="false" customHeight="false" outlineLevel="0" collapsed="false">
      <c r="A6835" s="1" t="s">
        <v>1158</v>
      </c>
      <c r="B6835" s="1" t="n">
        <v>343.15</v>
      </c>
      <c r="C6835" s="1" t="n">
        <f aca="false">1/B6835</f>
        <v>0.00291417747340813</v>
      </c>
      <c r="D6835" s="1" t="n">
        <v>0.5718</v>
      </c>
      <c r="E6835" s="1" t="n">
        <f aca="false">LN(D6835)</f>
        <v>-0.558965999093926</v>
      </c>
    </row>
    <row r="6836" customFormat="false" ht="15.75" hidden="false" customHeight="false" outlineLevel="0" collapsed="false">
      <c r="A6836" s="1" t="s">
        <v>1158</v>
      </c>
      <c r="B6836" s="1" t="n">
        <v>353.15</v>
      </c>
      <c r="C6836" s="1" t="n">
        <f aca="false">1/B6836</f>
        <v>0.00283165793572137</v>
      </c>
      <c r="D6836" s="1" t="n">
        <v>0.5066</v>
      </c>
      <c r="E6836" s="1" t="n">
        <f aca="false">LN(D6836)</f>
        <v>-0.680033541414562</v>
      </c>
    </row>
    <row r="6837" customFormat="false" ht="15.75" hidden="false" customHeight="false" outlineLevel="0" collapsed="false">
      <c r="A6837" s="1" t="s">
        <v>1158</v>
      </c>
      <c r="B6837" s="1" t="n">
        <v>383.15</v>
      </c>
      <c r="C6837" s="1" t="n">
        <f aca="false">1/B6837</f>
        <v>0.00260994388620645</v>
      </c>
      <c r="D6837" s="1" t="n">
        <v>0.3757</v>
      </c>
      <c r="E6837" s="1" t="n">
        <f aca="false">LN(D6837)</f>
        <v>-0.978964326402214</v>
      </c>
    </row>
    <row r="6838" customFormat="false" ht="15.75" hidden="false" customHeight="false" outlineLevel="0" collapsed="false">
      <c r="A6838" s="1" t="s">
        <v>1158</v>
      </c>
      <c r="B6838" s="1" t="n">
        <v>403.15</v>
      </c>
      <c r="C6838" s="1" t="n">
        <f aca="false">1/B6838</f>
        <v>0.0024804663276696</v>
      </c>
      <c r="D6838" s="1" t="n">
        <v>0.3169</v>
      </c>
      <c r="E6838" s="1" t="n">
        <f aca="false">LN(D6838)</f>
        <v>-1.14916901228526</v>
      </c>
    </row>
    <row r="6839" customFormat="false" ht="15.75" hidden="false" customHeight="false" outlineLevel="0" collapsed="false">
      <c r="A6839" s="1" t="s">
        <v>1158</v>
      </c>
      <c r="B6839" s="1" t="n">
        <v>423.15</v>
      </c>
      <c r="C6839" s="1" t="n">
        <f aca="false">1/B6839</f>
        <v>0.00236322816967978</v>
      </c>
      <c r="D6839" s="1" t="n">
        <v>0.2716</v>
      </c>
      <c r="E6839" s="1" t="n">
        <f aca="false">LN(D6839)</f>
        <v>-1.3034248832976</v>
      </c>
    </row>
    <row r="6840" customFormat="false" ht="15.75" hidden="false" customHeight="false" outlineLevel="0" collapsed="false">
      <c r="A6840" s="1" t="s">
        <v>1158</v>
      </c>
      <c r="B6840" s="1" t="n">
        <v>323.15</v>
      </c>
      <c r="C6840" s="1" t="n">
        <f aca="false">1/B6840</f>
        <v>0.00309453814018258</v>
      </c>
      <c r="D6840" s="1" t="n">
        <v>0.7142</v>
      </c>
      <c r="E6840" s="1" t="n">
        <f aca="false">LN(D6840)</f>
        <v>-0.336592243821789</v>
      </c>
    </row>
    <row r="6841" customFormat="false" ht="15.75" hidden="false" customHeight="false" outlineLevel="0" collapsed="false">
      <c r="A6841" s="1" t="s">
        <v>1158</v>
      </c>
      <c r="B6841" s="1" t="n">
        <v>363.15</v>
      </c>
      <c r="C6841" s="1" t="n">
        <f aca="false">1/B6841</f>
        <v>0.00275368305108082</v>
      </c>
      <c r="D6841" s="1" t="n">
        <v>0.4619</v>
      </c>
      <c r="E6841" s="1" t="n">
        <f aca="false">LN(D6841)</f>
        <v>-0.772406861545577</v>
      </c>
    </row>
    <row r="6842" customFormat="false" ht="15.75" hidden="false" customHeight="false" outlineLevel="0" collapsed="false">
      <c r="A6842" s="1" t="s">
        <v>1158</v>
      </c>
      <c r="B6842" s="1" t="n">
        <v>443.15</v>
      </c>
      <c r="C6842" s="1" t="n">
        <f aca="false">1/B6842</f>
        <v>0.00225657226672684</v>
      </c>
      <c r="D6842" s="1" t="n">
        <v>0.2351</v>
      </c>
      <c r="E6842" s="1" t="n">
        <f aca="false">LN(D6842)</f>
        <v>-1.44774432343611</v>
      </c>
    </row>
    <row r="6843" customFormat="false" ht="15.75" hidden="false" customHeight="false" outlineLevel="0" collapsed="false">
      <c r="A6843" s="1" t="s">
        <v>1160</v>
      </c>
      <c r="B6843" s="1" t="n">
        <v>213.15</v>
      </c>
      <c r="C6843" s="1" t="n">
        <f aca="false">1/B6843</f>
        <v>0.00469153178512784</v>
      </c>
      <c r="D6843" s="1" t="n">
        <v>8080</v>
      </c>
      <c r="E6843" s="1" t="n">
        <f aca="false">LN(D6843)</f>
        <v>8.99714715151514</v>
      </c>
    </row>
    <row r="6844" customFormat="false" ht="15.75" hidden="false" customHeight="false" outlineLevel="0" collapsed="false">
      <c r="A6844" s="1" t="s">
        <v>1160</v>
      </c>
      <c r="B6844" s="1" t="n">
        <v>223.15</v>
      </c>
      <c r="C6844" s="1" t="n">
        <f aca="false">1/B6844</f>
        <v>0.00448129061169617</v>
      </c>
      <c r="D6844" s="1" t="n">
        <v>2560</v>
      </c>
      <c r="E6844" s="1" t="n">
        <f aca="false">LN(D6844)</f>
        <v>7.84776253747361</v>
      </c>
    </row>
    <row r="6845" customFormat="false" ht="15.75" hidden="false" customHeight="false" outlineLevel="0" collapsed="false">
      <c r="A6845" s="1" t="s">
        <v>1160</v>
      </c>
      <c r="B6845" s="1" t="n">
        <v>243.15</v>
      </c>
      <c r="C6845" s="1" t="n">
        <f aca="false">1/B6845</f>
        <v>0.00411268764137364</v>
      </c>
      <c r="D6845" s="1" t="n">
        <v>260</v>
      </c>
      <c r="E6845" s="1" t="n">
        <f aca="false">LN(D6845)</f>
        <v>5.56068163101553</v>
      </c>
    </row>
    <row r="6846" customFormat="false" ht="15.75" hidden="false" customHeight="false" outlineLevel="0" collapsed="false">
      <c r="A6846" s="1" t="s">
        <v>1160</v>
      </c>
      <c r="B6846" s="1" t="n">
        <v>252.65</v>
      </c>
      <c r="C6846" s="1" t="n">
        <f aca="false">1/B6846</f>
        <v>0.0039580447259054</v>
      </c>
      <c r="D6846" s="1" t="n">
        <v>133</v>
      </c>
      <c r="E6846" s="1" t="n">
        <f aca="false">LN(D6846)</f>
        <v>4.89034912822175</v>
      </c>
    </row>
    <row r="6847" customFormat="false" ht="15.75" hidden="false" customHeight="false" outlineLevel="0" collapsed="false">
      <c r="A6847" s="1" t="s">
        <v>1160</v>
      </c>
      <c r="B6847" s="1" t="n">
        <v>298.65</v>
      </c>
      <c r="C6847" s="1" t="n">
        <f aca="false">1/B6847</f>
        <v>0.00334840113845639</v>
      </c>
      <c r="D6847" s="1" t="n">
        <v>11.4</v>
      </c>
      <c r="E6847" s="1" t="n">
        <f aca="false">LN(D6847)</f>
        <v>2.43361335540045</v>
      </c>
    </row>
    <row r="6848" customFormat="false" ht="15.75" hidden="false" customHeight="false" outlineLevel="0" collapsed="false">
      <c r="A6848" s="1" t="s">
        <v>1160</v>
      </c>
      <c r="B6848" s="1" t="n">
        <v>308.15</v>
      </c>
      <c r="C6848" s="1" t="n">
        <f aca="false">1/B6848</f>
        <v>0.00324517280545189</v>
      </c>
      <c r="D6848" s="1" t="n">
        <v>8.21</v>
      </c>
      <c r="E6848" s="1" t="n">
        <f aca="false">LN(D6848)</f>
        <v>2.10535292346434</v>
      </c>
    </row>
    <row r="6849" customFormat="false" ht="15.75" hidden="false" customHeight="false" outlineLevel="0" collapsed="false">
      <c r="A6849" s="1" t="s">
        <v>1160</v>
      </c>
      <c r="B6849" s="1" t="n">
        <v>318.65</v>
      </c>
      <c r="C6849" s="1" t="n">
        <f aca="false">1/B6849</f>
        <v>0.00313823944766986</v>
      </c>
      <c r="D6849" s="1" t="n">
        <v>6.07</v>
      </c>
      <c r="E6849" s="1" t="n">
        <f aca="false">LN(D6849)</f>
        <v>1.80335860507141</v>
      </c>
    </row>
    <row r="6850" customFormat="false" ht="15.75" hidden="false" customHeight="false" outlineLevel="0" collapsed="false">
      <c r="A6850" s="1" t="s">
        <v>1160</v>
      </c>
      <c r="B6850" s="1" t="n">
        <v>338.15</v>
      </c>
      <c r="C6850" s="1" t="n">
        <f aca="false">1/B6850</f>
        <v>0.002957267484844</v>
      </c>
      <c r="D6850" s="1" t="n">
        <v>3.76</v>
      </c>
      <c r="E6850" s="1" t="n">
        <f aca="false">LN(D6850)</f>
        <v>1.3244189574018</v>
      </c>
    </row>
    <row r="6851" customFormat="false" ht="15.75" hidden="false" customHeight="false" outlineLevel="0" collapsed="false">
      <c r="A6851" s="1" t="s">
        <v>1160</v>
      </c>
      <c r="B6851" s="1" t="n">
        <v>348.65</v>
      </c>
      <c r="C6851" s="1" t="n">
        <f aca="false">1/B6851</f>
        <v>0.00286820593718629</v>
      </c>
      <c r="D6851" s="1" t="n">
        <v>3.12</v>
      </c>
      <c r="E6851" s="1" t="n">
        <f aca="false">LN(D6851)</f>
        <v>1.13783300182139</v>
      </c>
    </row>
    <row r="6852" customFormat="false" ht="15.75" hidden="false" customHeight="false" outlineLevel="0" collapsed="false">
      <c r="A6852" s="1" t="s">
        <v>1162</v>
      </c>
      <c r="B6852" s="1" t="n">
        <v>298.15</v>
      </c>
      <c r="C6852" s="1" t="n">
        <f aca="false">1/B6852</f>
        <v>0.00335401643468053</v>
      </c>
      <c r="D6852" s="1" t="n">
        <v>1.081</v>
      </c>
      <c r="E6852" s="1" t="n">
        <f aca="false">LN(D6852)</f>
        <v>0.0778865386570712</v>
      </c>
    </row>
    <row r="6853" customFormat="false" ht="15.75" hidden="false" customHeight="false" outlineLevel="0" collapsed="false">
      <c r="A6853" s="1" t="s">
        <v>1162</v>
      </c>
      <c r="B6853" s="1" t="n">
        <v>273.15</v>
      </c>
      <c r="C6853" s="1" t="n">
        <f aca="false">1/B6853</f>
        <v>0.00366099212886692</v>
      </c>
      <c r="D6853" s="1" t="n">
        <v>1.7241</v>
      </c>
      <c r="E6853" s="1" t="n">
        <f aca="false">LN(D6853)</f>
        <v>0.544705175199668</v>
      </c>
    </row>
    <row r="6854" customFormat="false" ht="15.75" hidden="false" customHeight="false" outlineLevel="0" collapsed="false">
      <c r="A6854" s="1" t="s">
        <v>1162</v>
      </c>
      <c r="B6854" s="1" t="n">
        <v>283.15</v>
      </c>
      <c r="C6854" s="1" t="n">
        <f aca="false">1/B6854</f>
        <v>0.00353169698039908</v>
      </c>
      <c r="D6854" s="1" t="n">
        <v>1.4061</v>
      </c>
      <c r="E6854" s="1" t="n">
        <f aca="false">LN(D6854)</f>
        <v>0.340819914614633</v>
      </c>
    </row>
    <row r="6855" customFormat="false" ht="15.75" hidden="false" customHeight="false" outlineLevel="0" collapsed="false">
      <c r="A6855" s="1" t="s">
        <v>1162</v>
      </c>
      <c r="B6855" s="1" t="n">
        <v>293.15</v>
      </c>
      <c r="C6855" s="1" t="n">
        <f aca="false">1/B6855</f>
        <v>0.00341122292341805</v>
      </c>
      <c r="D6855" s="1" t="n">
        <v>1.1721</v>
      </c>
      <c r="E6855" s="1" t="n">
        <f aca="false">LN(D6855)</f>
        <v>0.158797011746997</v>
      </c>
    </row>
    <row r="6856" customFormat="false" ht="15.75" hidden="false" customHeight="false" outlineLevel="0" collapsed="false">
      <c r="A6856" s="1" t="s">
        <v>1162</v>
      </c>
      <c r="B6856" s="1" t="n">
        <v>313.15</v>
      </c>
      <c r="C6856" s="1" t="n">
        <f aca="false">1/B6856</f>
        <v>0.00319335781574325</v>
      </c>
      <c r="D6856" s="1" t="n">
        <v>0.8643</v>
      </c>
      <c r="E6856" s="1" t="n">
        <f aca="false">LN(D6856)</f>
        <v>-0.145835348223545</v>
      </c>
    </row>
    <row r="6857" customFormat="false" ht="15.75" hidden="false" customHeight="false" outlineLevel="0" collapsed="false">
      <c r="A6857" s="1" t="s">
        <v>1162</v>
      </c>
      <c r="B6857" s="1" t="n">
        <v>333.15</v>
      </c>
      <c r="C6857" s="1" t="n">
        <f aca="false">1/B6857</f>
        <v>0.0030016509079994</v>
      </c>
      <c r="D6857" s="1" t="n">
        <v>0.6618</v>
      </c>
      <c r="E6857" s="1" t="n">
        <f aca="false">LN(D6857)</f>
        <v>-0.412791883494625</v>
      </c>
    </row>
    <row r="6858" customFormat="false" ht="15.75" hidden="false" customHeight="false" outlineLevel="0" collapsed="false">
      <c r="A6858" s="1" t="s">
        <v>1162</v>
      </c>
      <c r="B6858" s="1" t="n">
        <v>353.15</v>
      </c>
      <c r="C6858" s="1" t="n">
        <f aca="false">1/B6858</f>
        <v>0.00283165793572137</v>
      </c>
      <c r="D6858" s="1" t="n">
        <v>0.5274</v>
      </c>
      <c r="E6858" s="1" t="n">
        <f aca="false">LN(D6858)</f>
        <v>-0.639796005062951</v>
      </c>
    </row>
    <row r="6859" customFormat="false" ht="15.75" hidden="false" customHeight="false" outlineLevel="0" collapsed="false">
      <c r="A6859" s="1" t="s">
        <v>1162</v>
      </c>
      <c r="B6859" s="1" t="n">
        <v>373.15</v>
      </c>
      <c r="C6859" s="1" t="n">
        <f aca="false">1/B6859</f>
        <v>0.00267988744472732</v>
      </c>
      <c r="D6859" s="1" t="n">
        <v>0.4348</v>
      </c>
      <c r="E6859" s="1" t="n">
        <f aca="false">LN(D6859)</f>
        <v>-0.832869123735083</v>
      </c>
    </row>
    <row r="6860" customFormat="false" ht="15.75" hidden="false" customHeight="false" outlineLevel="0" collapsed="false">
      <c r="A6860" s="1" t="s">
        <v>1162</v>
      </c>
      <c r="B6860" s="1" t="n">
        <v>263.1517</v>
      </c>
      <c r="C6860" s="1" t="n">
        <f aca="false">1/B6860</f>
        <v>0.00380008945410575</v>
      </c>
      <c r="D6860" s="1" t="n">
        <v>2.163</v>
      </c>
      <c r="E6860" s="1" t="n">
        <f aca="false">LN(D6860)</f>
        <v>0.771496146970922</v>
      </c>
    </row>
    <row r="6861" customFormat="false" ht="15.75" hidden="false" customHeight="false" outlineLevel="0" collapsed="false">
      <c r="A6861" s="1" t="s">
        <v>1162</v>
      </c>
      <c r="B6861" s="1" t="n">
        <v>273.15</v>
      </c>
      <c r="C6861" s="1" t="n">
        <f aca="false">1/B6861</f>
        <v>0.00366099212886692</v>
      </c>
      <c r="D6861" s="1" t="n">
        <v>1.742</v>
      </c>
      <c r="E6861" s="1" t="n">
        <f aca="false">LN(D6861)</f>
        <v>0.555033878430311</v>
      </c>
    </row>
    <row r="6862" customFormat="false" ht="15.75" hidden="false" customHeight="false" outlineLevel="0" collapsed="false">
      <c r="A6862" s="1" t="s">
        <v>1162</v>
      </c>
      <c r="B6862" s="1" t="n">
        <v>283.15</v>
      </c>
      <c r="C6862" s="1" t="n">
        <f aca="false">1/B6862</f>
        <v>0.00353169698039908</v>
      </c>
      <c r="D6862" s="1" t="n">
        <v>1.425</v>
      </c>
      <c r="E6862" s="1" t="n">
        <f aca="false">LN(D6862)</f>
        <v>0.354171813720614</v>
      </c>
    </row>
    <row r="6863" customFormat="false" ht="15.75" hidden="false" customHeight="false" outlineLevel="0" collapsed="false">
      <c r="A6863" s="1" t="s">
        <v>1162</v>
      </c>
      <c r="B6863" s="1" t="n">
        <v>293.15</v>
      </c>
      <c r="C6863" s="1" t="n">
        <f aca="false">1/B6863</f>
        <v>0.00341122292341805</v>
      </c>
      <c r="D6863" s="1" t="n">
        <v>1.182</v>
      </c>
      <c r="E6863" s="1" t="n">
        <f aca="false">LN(D6863)</f>
        <v>0.167207918983906</v>
      </c>
    </row>
    <row r="6864" customFormat="false" ht="15.75" hidden="false" customHeight="false" outlineLevel="0" collapsed="false">
      <c r="A6864" s="1" t="s">
        <v>1162</v>
      </c>
      <c r="B6864" s="1" t="n">
        <v>298.15</v>
      </c>
      <c r="C6864" s="1" t="n">
        <f aca="false">1/B6864</f>
        <v>0.00335401643468053</v>
      </c>
      <c r="D6864" s="1" t="n">
        <v>1.081</v>
      </c>
      <c r="E6864" s="1" t="n">
        <f aca="false">LN(D6864)</f>
        <v>0.0778865386570712</v>
      </c>
    </row>
    <row r="6865" customFormat="false" ht="15.75" hidden="false" customHeight="false" outlineLevel="0" collapsed="false">
      <c r="A6865" s="1" t="s">
        <v>1162</v>
      </c>
      <c r="B6865" s="1" t="n">
        <v>303.15</v>
      </c>
      <c r="C6865" s="1" t="n">
        <f aca="false">1/B6865</f>
        <v>0.0032986970146792</v>
      </c>
      <c r="D6865" s="1" t="n">
        <v>1.01</v>
      </c>
      <c r="E6865" s="1" t="n">
        <f aca="false">LN(D6865)</f>
        <v>0.00995033085316809</v>
      </c>
    </row>
    <row r="6866" customFormat="false" ht="15.75" hidden="false" customHeight="false" outlineLevel="0" collapsed="false">
      <c r="A6866" s="1" t="s">
        <v>1162</v>
      </c>
      <c r="B6866" s="1" t="n">
        <v>323.15</v>
      </c>
      <c r="C6866" s="1" t="n">
        <f aca="false">1/B6866</f>
        <v>0.00309453814018258</v>
      </c>
      <c r="D6866" s="1" t="n">
        <v>0.759</v>
      </c>
      <c r="E6866" s="1" t="n">
        <f aca="false">LN(D6866)</f>
        <v>-0.275753501586507</v>
      </c>
    </row>
    <row r="6867" customFormat="false" ht="15.75" hidden="false" customHeight="false" outlineLevel="0" collapsed="false">
      <c r="A6867" s="1" t="s">
        <v>1162</v>
      </c>
      <c r="B6867" s="1" t="n">
        <v>333.15</v>
      </c>
      <c r="C6867" s="1" t="n">
        <f aca="false">1/B6867</f>
        <v>0.0030016509079994</v>
      </c>
      <c r="D6867" s="1" t="n">
        <v>0.671</v>
      </c>
      <c r="E6867" s="1" t="n">
        <f aca="false">LN(D6867)</f>
        <v>-0.398986142010455</v>
      </c>
    </row>
    <row r="6868" customFormat="false" ht="15.75" hidden="false" customHeight="false" outlineLevel="0" collapsed="false">
      <c r="A6868" s="1" t="s">
        <v>1162</v>
      </c>
      <c r="B6868" s="1" t="n">
        <v>343.15</v>
      </c>
      <c r="C6868" s="1" t="n">
        <f aca="false">1/B6868</f>
        <v>0.00291417747340813</v>
      </c>
      <c r="D6868" s="1" t="n">
        <v>0.597</v>
      </c>
      <c r="E6868" s="1" t="n">
        <f aca="false">LN(D6868)</f>
        <v>-0.515838165589535</v>
      </c>
    </row>
    <row r="6869" customFormat="false" ht="15.75" hidden="false" customHeight="false" outlineLevel="0" collapsed="false">
      <c r="A6869" s="1" t="s">
        <v>1162</v>
      </c>
      <c r="B6869" s="1" t="n">
        <v>353.15</v>
      </c>
      <c r="C6869" s="1" t="n">
        <f aca="false">1/B6869</f>
        <v>0.00283165793572137</v>
      </c>
      <c r="D6869" s="1" t="n">
        <v>0.535</v>
      </c>
      <c r="E6869" s="1" t="n">
        <f aca="false">LN(D6869)</f>
        <v>-0.62548853208613</v>
      </c>
    </row>
    <row r="6870" customFormat="false" ht="15.75" hidden="false" customHeight="false" outlineLevel="0" collapsed="false">
      <c r="A6870" s="1" t="s">
        <v>1162</v>
      </c>
      <c r="B6870" s="1" t="n">
        <v>363.15</v>
      </c>
      <c r="C6870" s="1" t="n">
        <f aca="false">1/B6870</f>
        <v>0.00275368305108082</v>
      </c>
      <c r="D6870" s="1" t="n">
        <v>0.482</v>
      </c>
      <c r="E6870" s="1" t="n">
        <f aca="false">LN(D6870)</f>
        <v>-0.729811164931537</v>
      </c>
    </row>
    <row r="6871" customFormat="false" ht="15.75" hidden="false" customHeight="false" outlineLevel="0" collapsed="false">
      <c r="A6871" s="1" t="s">
        <v>1162</v>
      </c>
      <c r="B6871" s="1" t="n">
        <v>373.15</v>
      </c>
      <c r="C6871" s="1" t="n">
        <f aca="false">1/B6871</f>
        <v>0.00267988744472732</v>
      </c>
      <c r="D6871" s="1" t="n">
        <v>0.437</v>
      </c>
      <c r="E6871" s="1" t="n">
        <f aca="false">LN(D6871)</f>
        <v>-0.827822083886547</v>
      </c>
    </row>
    <row r="6872" customFormat="false" ht="15.75" hidden="false" customHeight="false" outlineLevel="0" collapsed="false">
      <c r="A6872" s="1" t="s">
        <v>1162</v>
      </c>
      <c r="B6872" s="1" t="n">
        <v>393.15</v>
      </c>
      <c r="C6872" s="1" t="n">
        <f aca="false">1/B6872</f>
        <v>0.00254355843825512</v>
      </c>
      <c r="D6872" s="1" t="n">
        <v>0.365</v>
      </c>
      <c r="E6872" s="1" t="n">
        <f aca="false">LN(D6872)</f>
        <v>-1.00785792539965</v>
      </c>
    </row>
    <row r="6873" customFormat="false" ht="15.75" hidden="false" customHeight="false" outlineLevel="0" collapsed="false">
      <c r="A6873" s="1" t="s">
        <v>1162</v>
      </c>
      <c r="B6873" s="1" t="n">
        <v>413.15</v>
      </c>
      <c r="C6873" s="1" t="n">
        <f aca="false">1/B6873</f>
        <v>0.0024204284158296</v>
      </c>
      <c r="D6873" s="1" t="n">
        <v>0.311</v>
      </c>
      <c r="E6873" s="1" t="n">
        <f aca="false">LN(D6873)</f>
        <v>-1.1679623668029</v>
      </c>
    </row>
    <row r="6874" customFormat="false" ht="15.75" hidden="false" customHeight="false" outlineLevel="0" collapsed="false">
      <c r="A6874" s="1" t="s">
        <v>1162</v>
      </c>
      <c r="B6874" s="1" t="n">
        <v>433.15</v>
      </c>
      <c r="C6874" s="1" t="n">
        <f aca="false">1/B6874</f>
        <v>0.00230866905229135</v>
      </c>
      <c r="D6874" s="1" t="n">
        <v>0.268</v>
      </c>
      <c r="E6874" s="1" t="n">
        <f aca="false">LN(D6874)</f>
        <v>-1.31676829847128</v>
      </c>
    </row>
    <row r="6875" customFormat="false" ht="15.75" hidden="false" customHeight="false" outlineLevel="0" collapsed="false">
      <c r="A6875" s="1" t="s">
        <v>1162</v>
      </c>
      <c r="B6875" s="1" t="n">
        <v>473.15</v>
      </c>
      <c r="C6875" s="1" t="n">
        <f aca="false">1/B6875</f>
        <v>0.00211349466342597</v>
      </c>
      <c r="D6875" s="1" t="n">
        <v>0.204</v>
      </c>
      <c r="E6875" s="1" t="n">
        <f aca="false">LN(D6875)</f>
        <v>-1.58963528513792</v>
      </c>
    </row>
    <row r="6876" customFormat="false" ht="15.75" hidden="false" customHeight="false" outlineLevel="0" collapsed="false">
      <c r="A6876" s="1" t="s">
        <v>1162</v>
      </c>
      <c r="B6876" s="1" t="n">
        <v>298.15</v>
      </c>
      <c r="C6876" s="1" t="n">
        <f aca="false">1/B6876</f>
        <v>0.00335401643468053</v>
      </c>
      <c r="D6876" s="1" t="n">
        <v>1.081</v>
      </c>
      <c r="E6876" s="1" t="n">
        <f aca="false">LN(D6876)</f>
        <v>0.0778865386570712</v>
      </c>
    </row>
    <row r="6877" customFormat="false" ht="15.75" hidden="false" customHeight="false" outlineLevel="0" collapsed="false">
      <c r="A6877" s="1" t="s">
        <v>1162</v>
      </c>
      <c r="B6877" s="1" t="n">
        <v>308.15214</v>
      </c>
      <c r="C6877" s="1" t="n">
        <f aca="false">1/B6877</f>
        <v>0.00324515026895481</v>
      </c>
      <c r="D6877" s="1" t="n">
        <v>0.9273</v>
      </c>
      <c r="E6877" s="1" t="n">
        <f aca="false">LN(D6877)</f>
        <v>-0.0754781411759567</v>
      </c>
    </row>
    <row r="6878" customFormat="false" ht="15.75" hidden="false" customHeight="false" outlineLevel="0" collapsed="false">
      <c r="A6878" s="1" t="s">
        <v>1162</v>
      </c>
      <c r="B6878" s="1" t="n">
        <v>313.15</v>
      </c>
      <c r="C6878" s="1" t="n">
        <f aca="false">1/B6878</f>
        <v>0.00319335781574325</v>
      </c>
      <c r="D6878" s="1" t="n">
        <v>0.8633</v>
      </c>
      <c r="E6878" s="1" t="n">
        <f aca="false">LN(D6878)</f>
        <v>-0.14699302374066</v>
      </c>
    </row>
    <row r="6879" customFormat="false" ht="15.75" hidden="false" customHeight="false" outlineLevel="0" collapsed="false">
      <c r="A6879" s="1" t="s">
        <v>1162</v>
      </c>
      <c r="B6879" s="1" t="n">
        <v>303.15</v>
      </c>
      <c r="C6879" s="1" t="n">
        <f aca="false">1/B6879</f>
        <v>0.0032986970146792</v>
      </c>
      <c r="D6879" s="1" t="n">
        <v>0.996</v>
      </c>
      <c r="E6879" s="1" t="n">
        <f aca="false">LN(D6879)</f>
        <v>-0.00400802139753882</v>
      </c>
    </row>
    <row r="6880" customFormat="false" ht="15.75" hidden="false" customHeight="false" outlineLevel="0" collapsed="false">
      <c r="A6880" s="1" t="s">
        <v>1162</v>
      </c>
      <c r="B6880" s="1" t="n">
        <v>313.15</v>
      </c>
      <c r="C6880" s="1" t="n">
        <f aca="false">1/B6880</f>
        <v>0.00319335781574325</v>
      </c>
      <c r="D6880" s="1" t="n">
        <v>0.871</v>
      </c>
      <c r="E6880" s="1" t="n">
        <f aca="false">LN(D6880)</f>
        <v>-0.138113302129634</v>
      </c>
    </row>
    <row r="6881" customFormat="false" ht="15.75" hidden="false" customHeight="false" outlineLevel="0" collapsed="false">
      <c r="A6881" s="1" t="s">
        <v>1162</v>
      </c>
      <c r="B6881" s="1" t="n">
        <v>453.15</v>
      </c>
      <c r="C6881" s="1" t="n">
        <f aca="false">1/B6881</f>
        <v>0.0022067747986318</v>
      </c>
      <c r="D6881" s="1" t="n">
        <v>0.233</v>
      </c>
      <c r="E6881" s="1" t="n">
        <f aca="false">LN(D6881)</f>
        <v>-1.45671682541644</v>
      </c>
    </row>
    <row r="6882" customFormat="false" ht="15.75" hidden="false" customHeight="false" outlineLevel="0" collapsed="false">
      <c r="A6882" s="1" t="s">
        <v>1484</v>
      </c>
      <c r="B6882" s="1" t="n">
        <v>333.15</v>
      </c>
      <c r="C6882" s="1" t="n">
        <f aca="false">1/B6882</f>
        <v>0.0030016509079994</v>
      </c>
      <c r="D6882" s="1" t="n">
        <v>8.05</v>
      </c>
      <c r="E6882" s="1" t="n">
        <f aca="false">LN(D6882)</f>
        <v>2.08567209143047</v>
      </c>
    </row>
    <row r="6883" customFormat="false" ht="15.75" hidden="false" customHeight="false" outlineLevel="0" collapsed="false">
      <c r="A6883" s="1" t="s">
        <v>1484</v>
      </c>
      <c r="B6883" s="1" t="n">
        <v>348.15</v>
      </c>
      <c r="C6883" s="1" t="n">
        <f aca="false">1/B6883</f>
        <v>0.00287232514720666</v>
      </c>
      <c r="D6883" s="1" t="n">
        <v>5.892</v>
      </c>
      <c r="E6883" s="1" t="n">
        <f aca="false">LN(D6883)</f>
        <v>1.77359549860038</v>
      </c>
    </row>
    <row r="6884" customFormat="false" ht="15.75" hidden="false" customHeight="false" outlineLevel="0" collapsed="false">
      <c r="A6884" s="1" t="s">
        <v>1484</v>
      </c>
      <c r="B6884" s="1" t="n">
        <v>363.15</v>
      </c>
      <c r="C6884" s="1" t="n">
        <f aca="false">1/B6884</f>
        <v>0.00275368305108082</v>
      </c>
      <c r="D6884" s="1" t="n">
        <v>4.507</v>
      </c>
      <c r="E6884" s="1" t="n">
        <f aca="false">LN(D6884)</f>
        <v>1.50563174370851</v>
      </c>
    </row>
    <row r="6885" customFormat="false" ht="15.75" hidden="false" customHeight="false" outlineLevel="0" collapsed="false">
      <c r="A6885" s="1" t="s">
        <v>1485</v>
      </c>
      <c r="B6885" s="1" t="n">
        <v>333.15</v>
      </c>
      <c r="C6885" s="1" t="n">
        <f aca="false">1/B6885</f>
        <v>0.0030016509079994</v>
      </c>
      <c r="D6885" s="1" t="n">
        <v>9.592</v>
      </c>
      <c r="E6885" s="1" t="n">
        <f aca="false">LN(D6885)</f>
        <v>2.26092941772521</v>
      </c>
    </row>
    <row r="6886" customFormat="false" ht="15.75" hidden="false" customHeight="false" outlineLevel="0" collapsed="false">
      <c r="A6886" s="1" t="s">
        <v>1485</v>
      </c>
      <c r="B6886" s="1" t="n">
        <v>348.15</v>
      </c>
      <c r="C6886" s="1" t="n">
        <f aca="false">1/B6886</f>
        <v>0.00287232514720666</v>
      </c>
      <c r="D6886" s="1" t="n">
        <v>6.915</v>
      </c>
      <c r="E6886" s="1" t="n">
        <f aca="false">LN(D6886)</f>
        <v>1.93369296511672</v>
      </c>
    </row>
    <row r="6887" customFormat="false" ht="15.75" hidden="false" customHeight="false" outlineLevel="0" collapsed="false">
      <c r="A6887" s="1" t="s">
        <v>1485</v>
      </c>
      <c r="B6887" s="1" t="n">
        <v>363.15</v>
      </c>
      <c r="C6887" s="1" t="n">
        <f aca="false">1/B6887</f>
        <v>0.00275368305108082</v>
      </c>
      <c r="D6887" s="1" t="n">
        <v>5.251</v>
      </c>
      <c r="E6887" s="1" t="n">
        <f aca="false">LN(D6887)</f>
        <v>1.65841853465572</v>
      </c>
    </row>
    <row r="6888" customFormat="false" ht="15.75" hidden="false" customHeight="false" outlineLevel="0" collapsed="false">
      <c r="A6888" s="1" t="s">
        <v>1164</v>
      </c>
      <c r="B6888" s="1" t="n">
        <v>288.1527</v>
      </c>
      <c r="C6888" s="1" t="n">
        <f aca="false">1/B6888</f>
        <v>0.0034703821966617</v>
      </c>
      <c r="D6888" s="1" t="n">
        <v>0.779</v>
      </c>
      <c r="E6888" s="1" t="n">
        <f aca="false">LN(D6888)</f>
        <v>-0.249744233111389</v>
      </c>
    </row>
    <row r="6889" customFormat="false" ht="15.75" hidden="false" customHeight="false" outlineLevel="0" collapsed="false">
      <c r="A6889" s="1" t="s">
        <v>1164</v>
      </c>
      <c r="B6889" s="1" t="n">
        <v>303.15</v>
      </c>
      <c r="C6889" s="1" t="n">
        <f aca="false">1/B6889</f>
        <v>0.0032986970146792</v>
      </c>
      <c r="D6889" s="1" t="n">
        <v>0.637</v>
      </c>
      <c r="E6889" s="1" t="n">
        <f aca="false">LN(D6889)</f>
        <v>-0.450985623409974</v>
      </c>
    </row>
    <row r="6890" customFormat="false" ht="15.75" hidden="false" customHeight="false" outlineLevel="0" collapsed="false">
      <c r="A6890" s="1" t="s">
        <v>1164</v>
      </c>
      <c r="B6890" s="1" t="n">
        <v>273.1545</v>
      </c>
      <c r="C6890" s="1" t="n">
        <f aca="false">1/B6890</f>
        <v>0.00366093181697537</v>
      </c>
      <c r="D6890" s="1" t="n">
        <v>1.016</v>
      </c>
      <c r="E6890" s="1" t="n">
        <f aca="false">LN(D6890)</f>
        <v>0.0158733491562902</v>
      </c>
    </row>
    <row r="6891" customFormat="false" ht="15.75" hidden="false" customHeight="false" outlineLevel="0" collapsed="false">
      <c r="A6891" s="1" t="s">
        <v>1164</v>
      </c>
      <c r="B6891" s="1" t="n">
        <v>283.15</v>
      </c>
      <c r="C6891" s="1" t="n">
        <f aca="false">1/B6891</f>
        <v>0.00353169698039908</v>
      </c>
      <c r="D6891" s="1" t="n">
        <v>0.8666</v>
      </c>
      <c r="E6891" s="1" t="n">
        <f aca="false">LN(D6891)</f>
        <v>-0.143177769676328</v>
      </c>
    </row>
    <row r="6892" customFormat="false" ht="15.75" hidden="false" customHeight="false" outlineLevel="0" collapsed="false">
      <c r="A6892" s="1" t="s">
        <v>1164</v>
      </c>
      <c r="B6892" s="1" t="n">
        <v>293.15</v>
      </c>
      <c r="C6892" s="1" t="n">
        <f aca="false">1/B6892</f>
        <v>0.00341122292341805</v>
      </c>
      <c r="D6892" s="1" t="n">
        <v>0.735</v>
      </c>
      <c r="E6892" s="1" t="n">
        <f aca="false">LN(D6892)</f>
        <v>-0.3078847797693</v>
      </c>
    </row>
    <row r="6893" customFormat="false" ht="15.75" hidden="false" customHeight="false" outlineLevel="0" collapsed="false">
      <c r="A6893" s="1" t="s">
        <v>1164</v>
      </c>
      <c r="B6893" s="1" t="n">
        <v>313.15</v>
      </c>
      <c r="C6893" s="1" t="n">
        <f aca="false">1/B6893</f>
        <v>0.00319335781574325</v>
      </c>
      <c r="D6893" s="1" t="n">
        <v>0.5838</v>
      </c>
      <c r="E6893" s="1" t="n">
        <f aca="false">LN(D6893)</f>
        <v>-0.538196820562123</v>
      </c>
    </row>
    <row r="6894" customFormat="false" ht="15.75" hidden="false" customHeight="false" outlineLevel="0" collapsed="false">
      <c r="A6894" s="1" t="s">
        <v>1164</v>
      </c>
      <c r="B6894" s="1" t="n">
        <v>333.15</v>
      </c>
      <c r="C6894" s="1" t="n">
        <f aca="false">1/B6894</f>
        <v>0.0030016509079994</v>
      </c>
      <c r="D6894" s="1" t="n">
        <v>0.4695</v>
      </c>
      <c r="E6894" s="1" t="n">
        <f aca="false">LN(D6894)</f>
        <v>-0.756086980333819</v>
      </c>
    </row>
    <row r="6895" customFormat="false" ht="15.75" hidden="false" customHeight="false" outlineLevel="0" collapsed="false">
      <c r="A6895" s="1" t="s">
        <v>1164</v>
      </c>
      <c r="B6895" s="1" t="n">
        <v>353.15</v>
      </c>
      <c r="C6895" s="1" t="n">
        <f aca="false">1/B6895</f>
        <v>0.00283165793572137</v>
      </c>
      <c r="D6895" s="1" t="n">
        <v>0.3873</v>
      </c>
      <c r="E6895" s="1" t="n">
        <f aca="false">LN(D6895)</f>
        <v>-0.948555692461431</v>
      </c>
    </row>
    <row r="6896" customFormat="false" ht="15.75" hidden="false" customHeight="false" outlineLevel="0" collapsed="false">
      <c r="A6896" s="1" t="s">
        <v>1164</v>
      </c>
      <c r="B6896" s="1" t="n">
        <v>373.15</v>
      </c>
      <c r="C6896" s="1" t="n">
        <f aca="false">1/B6896</f>
        <v>0.00267988744472732</v>
      </c>
      <c r="D6896" s="1" t="n">
        <v>0.3246</v>
      </c>
      <c r="E6896" s="1" t="n">
        <f aca="false">LN(D6896)</f>
        <v>-1.12516162390165</v>
      </c>
    </row>
    <row r="6897" customFormat="false" ht="15.75" hidden="false" customHeight="false" outlineLevel="0" collapsed="false">
      <c r="A6897" s="1" t="s">
        <v>1164</v>
      </c>
      <c r="B6897" s="1" t="n">
        <v>291.7565</v>
      </c>
      <c r="C6897" s="1" t="n">
        <f aca="false">1/B6897</f>
        <v>0.00342751575371928</v>
      </c>
      <c r="D6897" s="1" t="n">
        <v>0.7746</v>
      </c>
      <c r="E6897" s="1" t="n">
        <f aca="false">LN(D6897)</f>
        <v>-0.255408511901485</v>
      </c>
    </row>
    <row r="6898" customFormat="false" ht="15.75" hidden="false" customHeight="false" outlineLevel="0" collapsed="false">
      <c r="A6898" s="1" t="s">
        <v>1164</v>
      </c>
      <c r="B6898" s="1" t="n">
        <v>326.95</v>
      </c>
      <c r="C6898" s="1" t="n">
        <f aca="false">1/B6898</f>
        <v>0.00305857164704083</v>
      </c>
      <c r="D6898" s="1" t="n">
        <v>0.5044</v>
      </c>
      <c r="E6898" s="1" t="n">
        <f aca="false">LN(D6898)</f>
        <v>-0.684385674891373</v>
      </c>
    </row>
    <row r="6899" customFormat="false" ht="15.75" hidden="false" customHeight="false" outlineLevel="0" collapsed="false">
      <c r="A6899" s="1" t="s">
        <v>1164</v>
      </c>
      <c r="B6899" s="1" t="n">
        <v>359.15</v>
      </c>
      <c r="C6899" s="1" t="n">
        <f aca="false">1/B6899</f>
        <v>0.00278435194208548</v>
      </c>
      <c r="D6899" s="1" t="n">
        <v>0.3675</v>
      </c>
      <c r="E6899" s="1" t="n">
        <f aca="false">LN(D6899)</f>
        <v>-1.00103196032925</v>
      </c>
    </row>
    <row r="6900" customFormat="false" ht="15.75" hidden="false" customHeight="false" outlineLevel="0" collapsed="false">
      <c r="A6900" s="1" t="s">
        <v>1164</v>
      </c>
      <c r="B6900" s="1" t="n">
        <v>367.55</v>
      </c>
      <c r="C6900" s="1" t="n">
        <f aca="false">1/B6900</f>
        <v>0.00272071826962318</v>
      </c>
      <c r="D6900" s="1" t="n">
        <v>0.3405</v>
      </c>
      <c r="E6900" s="1" t="n">
        <f aca="false">LN(D6900)</f>
        <v>-1.07734015339257</v>
      </c>
    </row>
    <row r="6901" customFormat="false" ht="15.75" hidden="false" customHeight="false" outlineLevel="0" collapsed="false">
      <c r="A6901" s="1" t="s">
        <v>1164</v>
      </c>
      <c r="B6901" s="1" t="n">
        <v>378.15</v>
      </c>
      <c r="C6901" s="1" t="n">
        <f aca="false">1/B6901</f>
        <v>0.00264445325928864</v>
      </c>
      <c r="D6901" s="1" t="n">
        <v>0.3118</v>
      </c>
      <c r="E6901" s="1" t="n">
        <f aca="false">LN(D6901)</f>
        <v>-1.16539332235846</v>
      </c>
    </row>
    <row r="6902" customFormat="false" ht="15.75" hidden="false" customHeight="false" outlineLevel="0" collapsed="false">
      <c r="A6902" s="1" t="s">
        <v>1164</v>
      </c>
      <c r="B6902" s="1" t="n">
        <v>387.25</v>
      </c>
      <c r="C6902" s="1" t="n">
        <f aca="false">1/B6902</f>
        <v>0.0025823111684958</v>
      </c>
      <c r="D6902" s="1" t="n">
        <v>0.2908</v>
      </c>
      <c r="E6902" s="1" t="n">
        <f aca="false">LN(D6902)</f>
        <v>-1.23511953332277</v>
      </c>
    </row>
    <row r="6903" customFormat="false" ht="15.75" hidden="false" customHeight="false" outlineLevel="0" collapsed="false">
      <c r="A6903" s="1" t="s">
        <v>1164</v>
      </c>
      <c r="B6903" s="1" t="n">
        <v>398.35</v>
      </c>
      <c r="C6903" s="1" t="n">
        <f aca="false">1/B6903</f>
        <v>0.00251035521526296</v>
      </c>
      <c r="D6903" s="1" t="n">
        <v>0.2679</v>
      </c>
      <c r="E6903" s="1" t="n">
        <f aca="false">LN(D6903)</f>
        <v>-1.31714150243157</v>
      </c>
    </row>
    <row r="6904" customFormat="false" ht="15.75" hidden="false" customHeight="false" outlineLevel="0" collapsed="false">
      <c r="A6904" s="1" t="s">
        <v>1164</v>
      </c>
      <c r="B6904" s="1" t="n">
        <v>406.75</v>
      </c>
      <c r="C6904" s="1" t="n">
        <f aca="false">1/B6904</f>
        <v>0.00245851259987707</v>
      </c>
      <c r="D6904" s="1" t="n">
        <v>0.2508</v>
      </c>
      <c r="E6904" s="1" t="n">
        <f aca="false">LN(D6904)</f>
        <v>-1.38309947022337</v>
      </c>
    </row>
    <row r="6905" customFormat="false" ht="15.75" hidden="false" customHeight="false" outlineLevel="0" collapsed="false">
      <c r="A6905" s="1" t="s">
        <v>1164</v>
      </c>
      <c r="B6905" s="1" t="n">
        <v>303.15</v>
      </c>
      <c r="C6905" s="1" t="n">
        <f aca="false">1/B6905</f>
        <v>0.0032986970146792</v>
      </c>
      <c r="D6905" s="1" t="n">
        <v>0.6596</v>
      </c>
      <c r="E6905" s="1" t="n">
        <f aca="false">LN(D6905)</f>
        <v>-0.416121688296693</v>
      </c>
    </row>
    <row r="6906" customFormat="false" ht="15.75" hidden="false" customHeight="false" outlineLevel="0" collapsed="false">
      <c r="A6906" s="1" t="s">
        <v>1164</v>
      </c>
      <c r="B6906" s="1" t="n">
        <v>347.15</v>
      </c>
      <c r="C6906" s="1" t="n">
        <f aca="false">1/B6906</f>
        <v>0.00288059916462624</v>
      </c>
      <c r="D6906" s="1" t="n">
        <v>0.4114</v>
      </c>
      <c r="E6906" s="1" t="n">
        <f aca="false">LN(D6906)</f>
        <v>-0.88818930176328</v>
      </c>
    </row>
    <row r="6907" customFormat="false" ht="15.75" hidden="false" customHeight="false" outlineLevel="0" collapsed="false">
      <c r="A6907" s="1" t="s">
        <v>1164</v>
      </c>
      <c r="B6907" s="1" t="n">
        <v>413.15</v>
      </c>
      <c r="C6907" s="1" t="n">
        <f aca="false">1/B6907</f>
        <v>0.0024204284158296</v>
      </c>
      <c r="D6907" s="1" t="n">
        <v>0.24</v>
      </c>
      <c r="E6907" s="1" t="n">
        <f aca="false">LN(D6907)</f>
        <v>-1.42711635564015</v>
      </c>
    </row>
    <row r="6908" customFormat="false" ht="15.75" hidden="false" customHeight="false" outlineLevel="0" collapsed="false">
      <c r="A6908" s="1" t="s">
        <v>1166</v>
      </c>
      <c r="B6908" s="1" t="n">
        <v>273.16</v>
      </c>
      <c r="C6908" s="1" t="n">
        <f aca="false">1/B6908</f>
        <v>0.00366085810513984</v>
      </c>
      <c r="D6908" s="1" t="n">
        <v>1.7911</v>
      </c>
      <c r="E6908" s="1" t="n">
        <f aca="false">LN(D6908)</f>
        <v>0.582829956249076</v>
      </c>
    </row>
    <row r="6909" customFormat="false" ht="15.75" hidden="false" customHeight="false" outlineLevel="0" collapsed="false">
      <c r="A6909" s="1" t="s">
        <v>1166</v>
      </c>
      <c r="B6909" s="1" t="n">
        <v>273.54</v>
      </c>
      <c r="C6909" s="1" t="n">
        <f aca="false">1/B6909</f>
        <v>0.0036557724647218</v>
      </c>
      <c r="D6909" s="1" t="n">
        <v>1.7678</v>
      </c>
      <c r="E6909" s="1" t="n">
        <f aca="false">LN(D6909)</f>
        <v>0.569735835644711</v>
      </c>
    </row>
    <row r="6910" customFormat="false" ht="15.75" hidden="false" customHeight="false" outlineLevel="0" collapsed="false">
      <c r="A6910" s="1" t="s">
        <v>1166</v>
      </c>
      <c r="B6910" s="1" t="n">
        <v>273.92</v>
      </c>
      <c r="C6910" s="1" t="n">
        <f aca="false">1/B6910</f>
        <v>0.00365070093457944</v>
      </c>
      <c r="D6910" s="1" t="n">
        <v>1.7449</v>
      </c>
      <c r="E6910" s="1" t="n">
        <f aca="false">LN(D6910)</f>
        <v>0.556697247422047</v>
      </c>
    </row>
    <row r="6911" customFormat="false" ht="15.75" hidden="false" customHeight="false" outlineLevel="0" collapsed="false">
      <c r="A6911" s="1" t="s">
        <v>1166</v>
      </c>
      <c r="B6911" s="1" t="n">
        <v>274.29</v>
      </c>
      <c r="C6911" s="1" t="n">
        <f aca="false">1/B6911</f>
        <v>0.00364577636807758</v>
      </c>
      <c r="D6911" s="1" t="n">
        <v>1.7225</v>
      </c>
      <c r="E6911" s="1" t="n">
        <f aca="false">LN(D6911)</f>
        <v>0.543776723905677</v>
      </c>
    </row>
    <row r="6912" customFormat="false" ht="15.75" hidden="false" customHeight="false" outlineLevel="0" collapsed="false">
      <c r="A6912" s="1" t="s">
        <v>1166</v>
      </c>
      <c r="B6912" s="1" t="n">
        <v>274.67</v>
      </c>
      <c r="C6912" s="1" t="n">
        <f aca="false">1/B6912</f>
        <v>0.00364073251538209</v>
      </c>
      <c r="D6912" s="1" t="n">
        <v>1.7006</v>
      </c>
      <c r="E6912" s="1" t="n">
        <f aca="false">LN(D6912)</f>
        <v>0.530981129969555</v>
      </c>
    </row>
    <row r="6913" customFormat="false" ht="15.75" hidden="false" customHeight="false" outlineLevel="0" collapsed="false">
      <c r="A6913" s="1" t="s">
        <v>1166</v>
      </c>
      <c r="B6913" s="1" t="n">
        <v>275.05</v>
      </c>
      <c r="C6913" s="1" t="n">
        <f aca="false">1/B6913</f>
        <v>0.00363570259952736</v>
      </c>
      <c r="D6913" s="1" t="n">
        <v>1.6791</v>
      </c>
      <c r="E6913" s="1" t="n">
        <f aca="false">LN(D6913)</f>
        <v>0.518257935583287</v>
      </c>
    </row>
    <row r="6914" customFormat="false" ht="15.75" hidden="false" customHeight="false" outlineLevel="0" collapsed="false">
      <c r="A6914" s="1" t="s">
        <v>1166</v>
      </c>
      <c r="B6914" s="1" t="n">
        <v>275.43</v>
      </c>
      <c r="C6914" s="1" t="n">
        <f aca="false">1/B6914</f>
        <v>0.00363068656282903</v>
      </c>
      <c r="D6914" s="1" t="n">
        <v>1.6581</v>
      </c>
      <c r="E6914" s="1" t="n">
        <f aca="false">LN(D6914)</f>
        <v>0.50567236852519</v>
      </c>
    </row>
    <row r="6915" customFormat="false" ht="15.75" hidden="false" customHeight="false" outlineLevel="0" collapsed="false">
      <c r="A6915" s="1" t="s">
        <v>1166</v>
      </c>
      <c r="B6915" s="1" t="n">
        <v>275.81</v>
      </c>
      <c r="C6915" s="1" t="n">
        <f aca="false">1/B6915</f>
        <v>0.00362568434792067</v>
      </c>
      <c r="D6915" s="1" t="n">
        <v>1.6374</v>
      </c>
      <c r="E6915" s="1" t="n">
        <f aca="false">LN(D6915)</f>
        <v>0.493109617960211</v>
      </c>
    </row>
    <row r="6916" customFormat="false" ht="15.75" hidden="false" customHeight="false" outlineLevel="0" collapsed="false">
      <c r="A6916" s="1" t="s">
        <v>1166</v>
      </c>
      <c r="B6916" s="1" t="n">
        <v>276.18</v>
      </c>
      <c r="C6916" s="1" t="n">
        <f aca="false">1/B6916</f>
        <v>0.00362082699688609</v>
      </c>
      <c r="D6916" s="1" t="n">
        <v>1.6172</v>
      </c>
      <c r="E6916" s="1" t="n">
        <f aca="false">LN(D6916)</f>
        <v>0.480696258784479</v>
      </c>
    </row>
    <row r="6917" customFormat="false" ht="15.75" hidden="false" customHeight="false" outlineLevel="0" collapsed="false">
      <c r="A6917" s="1" t="s">
        <v>1166</v>
      </c>
      <c r="B6917" s="1" t="n">
        <v>276.56</v>
      </c>
      <c r="C6917" s="1" t="n">
        <f aca="false">1/B6917</f>
        <v>0.00361585189470639</v>
      </c>
      <c r="D6917" s="1" t="n">
        <v>1.5973</v>
      </c>
      <c r="E6917" s="1" t="n">
        <f aca="false">LN(D6917)</f>
        <v>0.468314703813774</v>
      </c>
    </row>
    <row r="6918" customFormat="false" ht="15.75" hidden="false" customHeight="false" outlineLevel="0" collapsed="false">
      <c r="A6918" s="1" t="s">
        <v>1166</v>
      </c>
      <c r="B6918" s="1" t="n">
        <v>276.94</v>
      </c>
      <c r="C6918" s="1" t="n">
        <f aca="false">1/B6918</f>
        <v>0.00361089044558388</v>
      </c>
      <c r="D6918" s="1" t="n">
        <v>1.5779</v>
      </c>
      <c r="E6918" s="1" t="n">
        <f aca="false">LN(D6918)</f>
        <v>0.456094849059486</v>
      </c>
    </row>
    <row r="6919" customFormat="false" ht="15.75" hidden="false" customHeight="false" outlineLevel="0" collapsed="false">
      <c r="A6919" s="1" t="s">
        <v>1166</v>
      </c>
      <c r="B6919" s="1" t="n">
        <v>277.32</v>
      </c>
      <c r="C6919" s="1" t="n">
        <f aca="false">1/B6919</f>
        <v>0.00360594259339391</v>
      </c>
      <c r="D6919" s="1" t="n">
        <v>1.5588</v>
      </c>
      <c r="E6919" s="1" t="n">
        <f aca="false">LN(D6919)</f>
        <v>0.443916294482417</v>
      </c>
    </row>
    <row r="6920" customFormat="false" ht="15.75" hidden="false" customHeight="false" outlineLevel="0" collapsed="false">
      <c r="A6920" s="1" t="s">
        <v>1166</v>
      </c>
      <c r="B6920" s="1" t="n">
        <v>277.7</v>
      </c>
      <c r="C6920" s="1" t="n">
        <f aca="false">1/B6920</f>
        <v>0.00360100828231905</v>
      </c>
      <c r="D6920" s="1" t="n">
        <v>1.5401</v>
      </c>
      <c r="E6920" s="1" t="n">
        <f aca="false">LN(D6920)</f>
        <v>0.431847349382283</v>
      </c>
    </row>
    <row r="6921" customFormat="false" ht="15.75" hidden="false" customHeight="false" outlineLevel="0" collapsed="false">
      <c r="A6921" s="1" t="s">
        <v>1166</v>
      </c>
      <c r="B6921" s="1" t="n">
        <v>278.07</v>
      </c>
      <c r="C6921" s="1" t="n">
        <f aca="false">1/B6921</f>
        <v>0.00359621677994749</v>
      </c>
      <c r="D6921" s="1" t="n">
        <v>1.5218</v>
      </c>
      <c r="E6921" s="1" t="n">
        <f aca="false">LN(D6921)</f>
        <v>0.419893844760285</v>
      </c>
    </row>
    <row r="6922" customFormat="false" ht="15.75" hidden="false" customHeight="false" outlineLevel="0" collapsed="false">
      <c r="A6922" s="1" t="s">
        <v>1166</v>
      </c>
      <c r="B6922" s="1" t="n">
        <v>278.45</v>
      </c>
      <c r="C6922" s="1" t="n">
        <f aca="false">1/B6922</f>
        <v>0.00359130903214222</v>
      </c>
      <c r="D6922" s="1" t="n">
        <v>1.5038</v>
      </c>
      <c r="E6922" s="1" t="n">
        <f aca="false">LN(D6922)</f>
        <v>0.40799523796179</v>
      </c>
    </row>
    <row r="6923" customFormat="false" ht="15.75" hidden="false" customHeight="false" outlineLevel="0" collapsed="false">
      <c r="A6923" s="1" t="s">
        <v>1166</v>
      </c>
      <c r="B6923" s="1" t="n">
        <v>278.83</v>
      </c>
      <c r="C6923" s="1" t="n">
        <f aca="false">1/B6923</f>
        <v>0.00358641466126314</v>
      </c>
      <c r="D6923" s="1" t="n">
        <v>1.4861</v>
      </c>
      <c r="E6923" s="1" t="n">
        <f aca="false">LN(D6923)</f>
        <v>0.396155238782387</v>
      </c>
    </row>
    <row r="6924" customFormat="false" ht="15.75" hidden="false" customHeight="false" outlineLevel="0" collapsed="false">
      <c r="A6924" s="1" t="s">
        <v>1166</v>
      </c>
      <c r="B6924" s="1" t="n">
        <v>279.21</v>
      </c>
      <c r="C6924" s="1" t="n">
        <f aca="false">1/B6924</f>
        <v>0.00358153361269296</v>
      </c>
      <c r="D6924" s="1" t="n">
        <v>1.4688</v>
      </c>
      <c r="E6924" s="1" t="n">
        <f aca="false">LN(D6924)</f>
        <v>0.384445740884089</v>
      </c>
    </row>
    <row r="6925" customFormat="false" ht="15.75" hidden="false" customHeight="false" outlineLevel="0" collapsed="false">
      <c r="A6925" s="1" t="s">
        <v>1166</v>
      </c>
      <c r="B6925" s="1" t="n">
        <v>279.59</v>
      </c>
      <c r="C6925" s="1" t="n">
        <f aca="false">1/B6925</f>
        <v>0.00357666583211131</v>
      </c>
      <c r="D6925" s="1" t="n">
        <v>1.4518</v>
      </c>
      <c r="E6925" s="1" t="n">
        <f aca="false">LN(D6925)</f>
        <v>0.372804165868603</v>
      </c>
    </row>
    <row r="6926" customFormat="false" ht="15.75" hidden="false" customHeight="false" outlineLevel="0" collapsed="false">
      <c r="A6926" s="1" t="s">
        <v>1166</v>
      </c>
      <c r="B6926" s="1" t="n">
        <v>279.97</v>
      </c>
      <c r="C6926" s="1" t="n">
        <f aca="false">1/B6926</f>
        <v>0.00357181126549273</v>
      </c>
      <c r="D6926" s="1" t="n">
        <v>1.4351</v>
      </c>
      <c r="E6926" s="1" t="n">
        <f aca="false">LN(D6926)</f>
        <v>0.361234533194749</v>
      </c>
    </row>
    <row r="6927" customFormat="false" ht="15.75" hidden="false" customHeight="false" outlineLevel="0" collapsed="false">
      <c r="A6927" s="1" t="s">
        <v>1166</v>
      </c>
      <c r="B6927" s="1" t="n">
        <v>280.34</v>
      </c>
      <c r="C6927" s="1" t="n">
        <f aca="false">1/B6927</f>
        <v>0.00356709709638296</v>
      </c>
      <c r="D6927" s="1" t="n">
        <v>1.4187</v>
      </c>
      <c r="E6927" s="1" t="n">
        <f aca="false">LN(D6927)</f>
        <v>0.349740959335803</v>
      </c>
    </row>
    <row r="6928" customFormat="false" ht="15.75" hidden="false" customHeight="false" outlineLevel="0" collapsed="false">
      <c r="A6928" s="1" t="s">
        <v>1166</v>
      </c>
      <c r="B6928" s="1" t="n">
        <v>280.72</v>
      </c>
      <c r="C6928" s="1" t="n">
        <f aca="false">1/B6928</f>
        <v>0.00356226845255058</v>
      </c>
      <c r="D6928" s="1" t="n">
        <v>1.4026</v>
      </c>
      <c r="E6928" s="1" t="n">
        <f aca="false">LN(D6928)</f>
        <v>0.338327657120673</v>
      </c>
    </row>
    <row r="6929" customFormat="false" ht="15.75" hidden="false" customHeight="false" outlineLevel="0" collapsed="false">
      <c r="A6929" s="1" t="s">
        <v>1166</v>
      </c>
      <c r="B6929" s="1" t="n">
        <v>281.1</v>
      </c>
      <c r="C6929" s="1" t="n">
        <f aca="false">1/B6929</f>
        <v>0.00355745286374955</v>
      </c>
      <c r="D6929" s="1" t="n">
        <v>1.3868</v>
      </c>
      <c r="E6929" s="1" t="n">
        <f aca="false">LN(D6929)</f>
        <v>0.326998934828731</v>
      </c>
    </row>
    <row r="6930" customFormat="false" ht="15.75" hidden="false" customHeight="false" outlineLevel="0" collapsed="false">
      <c r="A6930" s="1" t="s">
        <v>1166</v>
      </c>
      <c r="B6930" s="1" t="n">
        <v>281.48</v>
      </c>
      <c r="C6930" s="1" t="n">
        <f aca="false">1/B6930</f>
        <v>0.00355265027710672</v>
      </c>
      <c r="D6930" s="1" t="n">
        <v>1.3713</v>
      </c>
      <c r="E6930" s="1" t="n">
        <f aca="false">LN(D6930)</f>
        <v>0.315759195023671</v>
      </c>
    </row>
    <row r="6931" customFormat="false" ht="15.75" hidden="false" customHeight="false" outlineLevel="0" collapsed="false">
      <c r="A6931" s="1" t="s">
        <v>1166</v>
      </c>
      <c r="B6931" s="1" t="n">
        <v>281.86</v>
      </c>
      <c r="C6931" s="1" t="n">
        <f aca="false">1/B6931</f>
        <v>0.00354786064003406</v>
      </c>
      <c r="D6931" s="1" t="n">
        <v>1.3561</v>
      </c>
      <c r="E6931" s="1" t="n">
        <f aca="false">LN(D6931)</f>
        <v>0.304612933111763</v>
      </c>
    </row>
    <row r="6932" customFormat="false" ht="15.75" hidden="false" customHeight="false" outlineLevel="0" collapsed="false">
      <c r="A6932" s="1" t="s">
        <v>1166</v>
      </c>
      <c r="B6932" s="1" t="n">
        <v>282.23</v>
      </c>
      <c r="C6932" s="1" t="n">
        <f aca="false">1/B6932</f>
        <v>0.00354320943910995</v>
      </c>
      <c r="D6932" s="1" t="n">
        <v>1.3411</v>
      </c>
      <c r="E6932" s="1" t="n">
        <f aca="false">LN(D6932)</f>
        <v>0.293490172734757</v>
      </c>
    </row>
    <row r="6933" customFormat="false" ht="15.75" hidden="false" customHeight="false" outlineLevel="0" collapsed="false">
      <c r="A6933" s="1" t="s">
        <v>1166</v>
      </c>
      <c r="B6933" s="1" t="n">
        <v>282.61</v>
      </c>
      <c r="C6933" s="1" t="n">
        <f aca="false">1/B6933</f>
        <v>0.00353844520717597</v>
      </c>
      <c r="D6933" s="1" t="n">
        <v>1.3264</v>
      </c>
      <c r="E6933" s="1" t="n">
        <f aca="false">LN(D6933)</f>
        <v>0.282468505398893</v>
      </c>
    </row>
    <row r="6934" customFormat="false" ht="15.75" hidden="false" customHeight="false" outlineLevel="0" collapsed="false">
      <c r="A6934" s="1" t="s">
        <v>1166</v>
      </c>
      <c r="B6934" s="1" t="n">
        <v>282.99</v>
      </c>
      <c r="C6934" s="1" t="n">
        <f aca="false">1/B6934</f>
        <v>0.00353369377009788</v>
      </c>
      <c r="D6934" s="1" t="n">
        <v>1.3119</v>
      </c>
      <c r="E6934" s="1" t="n">
        <f aca="false">LN(D6934)</f>
        <v>0.271476468104848</v>
      </c>
    </row>
    <row r="6935" customFormat="false" ht="15.75" hidden="false" customHeight="false" outlineLevel="0" collapsed="false">
      <c r="A6935" s="1" t="s">
        <v>1166</v>
      </c>
      <c r="B6935" s="1" t="n">
        <v>283.37</v>
      </c>
      <c r="C6935" s="1" t="n">
        <f aca="false">1/B6935</f>
        <v>0.00352895507640188</v>
      </c>
      <c r="D6935" s="1" t="n">
        <v>1.2978</v>
      </c>
      <c r="E6935" s="1" t="n">
        <f aca="false">LN(D6935)</f>
        <v>0.260670523204931</v>
      </c>
    </row>
    <row r="6936" customFormat="false" ht="15.75" hidden="false" customHeight="false" outlineLevel="0" collapsed="false">
      <c r="A6936" s="1" t="s">
        <v>1166</v>
      </c>
      <c r="B6936" s="1" t="n">
        <v>283.75</v>
      </c>
      <c r="C6936" s="1" t="n">
        <f aca="false">1/B6936</f>
        <v>0.00352422907488987</v>
      </c>
      <c r="D6936" s="1" t="n">
        <v>1.2838</v>
      </c>
      <c r="E6936" s="1" t="n">
        <f aca="false">LN(D6936)</f>
        <v>0.249824429895541</v>
      </c>
    </row>
    <row r="6937" customFormat="false" ht="15.75" hidden="false" customHeight="false" outlineLevel="0" collapsed="false">
      <c r="A6937" s="1" t="s">
        <v>1166</v>
      </c>
      <c r="B6937" s="1" t="n">
        <v>284.12</v>
      </c>
      <c r="C6937" s="1" t="n">
        <f aca="false">1/B6937</f>
        <v>0.0035196395889061</v>
      </c>
      <c r="D6937" s="1" t="n">
        <v>1.2701</v>
      </c>
      <c r="E6937" s="1" t="n">
        <f aca="false">LN(D6937)</f>
        <v>0.239095637528137</v>
      </c>
    </row>
    <row r="6938" customFormat="false" ht="15.75" hidden="false" customHeight="false" outlineLevel="0" collapsed="false">
      <c r="A6938" s="1" t="s">
        <v>1166</v>
      </c>
      <c r="B6938" s="1" t="n">
        <v>284.5</v>
      </c>
      <c r="C6938" s="1" t="n">
        <f aca="false">1/B6938</f>
        <v>0.00351493848857645</v>
      </c>
      <c r="D6938" s="1" t="n">
        <v>1.2566</v>
      </c>
      <c r="E6938" s="1" t="n">
        <f aca="false">LN(D6938)</f>
        <v>0.22840966098671</v>
      </c>
    </row>
    <row r="6939" customFormat="false" ht="15.75" hidden="false" customHeight="false" outlineLevel="0" collapsed="false">
      <c r="A6939" s="1" t="s">
        <v>1166</v>
      </c>
      <c r="B6939" s="1" t="n">
        <v>284.88</v>
      </c>
      <c r="C6939" s="1" t="n">
        <f aca="false">1/B6939</f>
        <v>0.003510249929795</v>
      </c>
      <c r="D6939" s="1" t="n">
        <v>1.2434</v>
      </c>
      <c r="E6939" s="1" t="n">
        <f aca="false">LN(D6939)</f>
        <v>0.2178495628531</v>
      </c>
    </row>
    <row r="6940" customFormat="false" ht="15.75" hidden="false" customHeight="false" outlineLevel="0" collapsed="false">
      <c r="A6940" s="1" t="s">
        <v>1166</v>
      </c>
      <c r="B6940" s="1" t="n">
        <v>285.26</v>
      </c>
      <c r="C6940" s="1" t="n">
        <f aca="false">1/B6940</f>
        <v>0.00350557386244128</v>
      </c>
      <c r="D6940" s="1" t="n">
        <v>1.2303</v>
      </c>
      <c r="E6940" s="1" t="n">
        <f aca="false">LN(D6940)</f>
        <v>0.207258042083986</v>
      </c>
    </row>
    <row r="6941" customFormat="false" ht="15.75" hidden="false" customHeight="false" outlineLevel="0" collapsed="false">
      <c r="A6941" s="1" t="s">
        <v>1166</v>
      </c>
      <c r="B6941" s="1" t="n">
        <v>285.64</v>
      </c>
      <c r="C6941" s="1" t="n">
        <f aca="false">1/B6941</f>
        <v>0.00350091023666153</v>
      </c>
      <c r="D6941" s="1" t="n">
        <v>1.2175</v>
      </c>
      <c r="E6941" s="1" t="n">
        <f aca="false">LN(D6941)</f>
        <v>0.196799575974608</v>
      </c>
    </row>
    <row r="6942" customFormat="false" ht="15.75" hidden="false" customHeight="false" outlineLevel="0" collapsed="false">
      <c r="A6942" s="1" t="s">
        <v>1166</v>
      </c>
      <c r="B6942" s="1" t="n">
        <v>286.01</v>
      </c>
      <c r="C6942" s="1" t="n">
        <f aca="false">1/B6942</f>
        <v>0.003496381245411</v>
      </c>
      <c r="D6942" s="1" t="n">
        <v>1.2049</v>
      </c>
      <c r="E6942" s="1" t="n">
        <f aca="false">LN(D6942)</f>
        <v>0.186396575947094</v>
      </c>
    </row>
    <row r="6943" customFormat="false" ht="15.75" hidden="false" customHeight="false" outlineLevel="0" collapsed="false">
      <c r="A6943" s="1" t="s">
        <v>1166</v>
      </c>
      <c r="B6943" s="1" t="n">
        <v>286.39</v>
      </c>
      <c r="C6943" s="1" t="n">
        <f aca="false">1/B6943</f>
        <v>0.00349174203009882</v>
      </c>
      <c r="D6943" s="1" t="n">
        <v>1.1926</v>
      </c>
      <c r="E6943" s="1" t="n">
        <f aca="false">LN(D6943)</f>
        <v>0.176135797706869</v>
      </c>
    </row>
    <row r="6944" customFormat="false" ht="15.75" hidden="false" customHeight="false" outlineLevel="0" collapsed="false">
      <c r="A6944" s="1" t="s">
        <v>1166</v>
      </c>
      <c r="B6944" s="1" t="n">
        <v>286.77</v>
      </c>
      <c r="C6944" s="1" t="n">
        <f aca="false">1/B6944</f>
        <v>0.00348711510966977</v>
      </c>
      <c r="D6944" s="1" t="n">
        <v>1.1804</v>
      </c>
      <c r="E6944" s="1" t="n">
        <f aca="false">LN(D6944)</f>
        <v>0.165853364086647</v>
      </c>
    </row>
    <row r="6945" customFormat="false" ht="15.75" hidden="false" customHeight="false" outlineLevel="0" collapsed="false">
      <c r="A6945" s="1" t="s">
        <v>1166</v>
      </c>
      <c r="B6945" s="1" t="n">
        <v>287.15</v>
      </c>
      <c r="C6945" s="1" t="n">
        <f aca="false">1/B6945</f>
        <v>0.00348250043531255</v>
      </c>
      <c r="D6945" s="1" t="n">
        <v>1.1684</v>
      </c>
      <c r="E6945" s="1" t="n">
        <f aca="false">LN(D6945)</f>
        <v>0.155635291531449</v>
      </c>
    </row>
    <row r="6946" customFormat="false" ht="15.75" hidden="false" customHeight="false" outlineLevel="0" collapsed="false">
      <c r="A6946" s="1" t="s">
        <v>1166</v>
      </c>
      <c r="B6946" s="1" t="n">
        <v>287.53</v>
      </c>
      <c r="C6946" s="1" t="n">
        <f aca="false">1/B6946</f>
        <v>0.0034778979584739</v>
      </c>
      <c r="D6946" s="1" t="n">
        <v>1.1566</v>
      </c>
      <c r="E6946" s="1" t="n">
        <f aca="false">LN(D6946)</f>
        <v>0.145484666741981</v>
      </c>
    </row>
    <row r="6947" customFormat="false" ht="15.75" hidden="false" customHeight="false" outlineLevel="0" collapsed="false">
      <c r="A6947" s="1" t="s">
        <v>1166</v>
      </c>
      <c r="B6947" s="1" t="n">
        <v>287.9</v>
      </c>
      <c r="C6947" s="1" t="n">
        <f aca="false">1/B6947</f>
        <v>0.00347342827370615</v>
      </c>
      <c r="D6947" s="1" t="n">
        <v>1.145</v>
      </c>
      <c r="E6947" s="1" t="n">
        <f aca="false">LN(D6947)</f>
        <v>0.135404637006203</v>
      </c>
    </row>
    <row r="6948" customFormat="false" ht="15.75" hidden="false" customHeight="false" outlineLevel="0" collapsed="false">
      <c r="A6948" s="1" t="s">
        <v>1166</v>
      </c>
      <c r="B6948" s="1" t="n">
        <v>288.28</v>
      </c>
      <c r="C6948" s="1" t="n">
        <f aca="false">1/B6948</f>
        <v>0.00346884972942972</v>
      </c>
      <c r="D6948" s="1" t="n">
        <v>1.1336</v>
      </c>
      <c r="E6948" s="1" t="n">
        <f aca="false">LN(D6948)</f>
        <v>0.125398409394334</v>
      </c>
    </row>
    <row r="6949" customFormat="false" ht="15.75" hidden="false" customHeight="false" outlineLevel="0" collapsed="false">
      <c r="A6949" s="1" t="s">
        <v>1166</v>
      </c>
      <c r="B6949" s="1" t="n">
        <v>288.66</v>
      </c>
      <c r="C6949" s="1" t="n">
        <f aca="false">1/B6949</f>
        <v>0.00346428323979769</v>
      </c>
      <c r="D6949" s="1" t="n">
        <v>1.1224</v>
      </c>
      <c r="E6949" s="1" t="n">
        <f aca="false">LN(D6949)</f>
        <v>0.115469249806114</v>
      </c>
    </row>
    <row r="6950" customFormat="false" ht="15.75" hidden="false" customHeight="false" outlineLevel="0" collapsed="false">
      <c r="A6950" s="1" t="s">
        <v>1166</v>
      </c>
      <c r="B6950" s="1" t="n">
        <v>289.04</v>
      </c>
      <c r="C6950" s="1" t="n">
        <f aca="false">1/B6950</f>
        <v>0.00345972875726543</v>
      </c>
      <c r="D6950" s="1" t="n">
        <v>1.1113</v>
      </c>
      <c r="E6950" s="1" t="n">
        <f aca="false">LN(D6950)</f>
        <v>0.105530501209464</v>
      </c>
    </row>
    <row r="6951" customFormat="false" ht="15.75" hidden="false" customHeight="false" outlineLevel="0" collapsed="false">
      <c r="A6951" s="1" t="s">
        <v>1166</v>
      </c>
      <c r="B6951" s="1" t="n">
        <v>289.42</v>
      </c>
      <c r="C6951" s="1" t="n">
        <f aca="false">1/B6951</f>
        <v>0.00345518623453804</v>
      </c>
      <c r="D6951" s="1" t="n">
        <v>1.1004</v>
      </c>
      <c r="E6951" s="1" t="n">
        <f aca="false">LN(D6951)</f>
        <v>0.0956737500682825</v>
      </c>
    </row>
    <row r="6952" customFormat="false" ht="15.75" hidden="false" customHeight="false" outlineLevel="0" collapsed="false">
      <c r="A6952" s="1" t="s">
        <v>1166</v>
      </c>
      <c r="B6952" s="1" t="n">
        <v>289.79</v>
      </c>
      <c r="C6952" s="1" t="n">
        <f aca="false">1/B6952</f>
        <v>0.00345077469891991</v>
      </c>
      <c r="D6952" s="1" t="n">
        <v>1.0897</v>
      </c>
      <c r="E6952" s="1" t="n">
        <f aca="false">LN(D6952)</f>
        <v>0.0859024290007033</v>
      </c>
    </row>
    <row r="6953" customFormat="false" ht="15.75" hidden="false" customHeight="false" outlineLevel="0" collapsed="false">
      <c r="A6953" s="1" t="s">
        <v>1166</v>
      </c>
      <c r="B6953" s="1" t="n">
        <v>290.17</v>
      </c>
      <c r="C6953" s="1" t="n">
        <f aca="false">1/B6953</f>
        <v>0.00344625564324362</v>
      </c>
      <c r="D6953" s="1" t="n">
        <v>1.0792</v>
      </c>
      <c r="E6953" s="1" t="n">
        <f aca="false">LN(D6953)</f>
        <v>0.076220025911409</v>
      </c>
    </row>
    <row r="6954" customFormat="false" ht="15.75" hidden="false" customHeight="false" outlineLevel="0" collapsed="false">
      <c r="A6954" s="1" t="s">
        <v>1166</v>
      </c>
      <c r="B6954" s="1" t="n">
        <v>290.55</v>
      </c>
      <c r="C6954" s="1" t="n">
        <f aca="false">1/B6954</f>
        <v>0.00344174840819136</v>
      </c>
      <c r="D6954" s="1" t="n">
        <v>1.0688</v>
      </c>
      <c r="E6954" s="1" t="n">
        <f aca="false">LN(D6954)</f>
        <v>0.0665365238002442</v>
      </c>
    </row>
    <row r="6955" customFormat="false" ht="15.75" hidden="false" customHeight="false" outlineLevel="0" collapsed="false">
      <c r="A6955" s="1" t="s">
        <v>1166</v>
      </c>
      <c r="B6955" s="1" t="n">
        <v>290.93</v>
      </c>
      <c r="C6955" s="1" t="n">
        <f aca="false">1/B6955</f>
        <v>0.0034372529474444</v>
      </c>
      <c r="D6955" s="1" t="n">
        <v>1.0586</v>
      </c>
      <c r="E6955" s="1" t="n">
        <f aca="false">LN(D6955)</f>
        <v>0.0569472804417501</v>
      </c>
    </row>
    <row r="6956" customFormat="false" ht="15.75" hidden="false" customHeight="false" outlineLevel="0" collapsed="false">
      <c r="A6956" s="1" t="s">
        <v>1166</v>
      </c>
      <c r="B6956" s="1" t="n">
        <v>291.31</v>
      </c>
      <c r="C6956" s="1" t="n">
        <f aca="false">1/B6956</f>
        <v>0.00343276921492568</v>
      </c>
      <c r="D6956" s="1" t="n">
        <v>1.0485</v>
      </c>
      <c r="E6956" s="1" t="n">
        <f aca="false">LN(D6956)</f>
        <v>0.0473605713598376</v>
      </c>
    </row>
    <row r="6957" customFormat="false" ht="15.75" hidden="false" customHeight="false" outlineLevel="0" collapsed="false">
      <c r="A6957" s="1" t="s">
        <v>1166</v>
      </c>
      <c r="B6957" s="1" t="n">
        <v>291.69</v>
      </c>
      <c r="C6957" s="1" t="n">
        <f aca="false">1/B6957</f>
        <v>0.00342829716479824</v>
      </c>
      <c r="D6957" s="1" t="n">
        <v>1.0386</v>
      </c>
      <c r="E6957" s="1" t="n">
        <f aca="false">LN(D6957)</f>
        <v>0.0378736524280815</v>
      </c>
    </row>
    <row r="6958" customFormat="false" ht="15.75" hidden="false" customHeight="false" outlineLevel="0" collapsed="false">
      <c r="A6958" s="1" t="s">
        <v>1166</v>
      </c>
      <c r="B6958" s="1" t="n">
        <v>292.06</v>
      </c>
      <c r="C6958" s="1" t="n">
        <f aca="false">1/B6958</f>
        <v>0.00342395398205848</v>
      </c>
      <c r="D6958" s="1" t="n">
        <v>1.0288</v>
      </c>
      <c r="E6958" s="1" t="n">
        <f aca="false">LN(D6958)</f>
        <v>0.0283930745012178</v>
      </c>
    </row>
    <row r="6959" customFormat="false" ht="15.75" hidden="false" customHeight="false" outlineLevel="0" collapsed="false">
      <c r="A6959" s="1" t="s">
        <v>1166</v>
      </c>
      <c r="B6959" s="1" t="n">
        <v>292.44</v>
      </c>
      <c r="C6959" s="1" t="n">
        <f aca="false">1/B6959</f>
        <v>0.00341950485569689</v>
      </c>
      <c r="D6959" s="1" t="n">
        <v>1.0192</v>
      </c>
      <c r="E6959" s="1" t="n">
        <f aca="false">LN(D6959)</f>
        <v>0.019018005835762</v>
      </c>
    </row>
    <row r="6960" customFormat="false" ht="15.75" hidden="false" customHeight="false" outlineLevel="0" collapsed="false">
      <c r="A6960" s="1" t="s">
        <v>1166</v>
      </c>
      <c r="B6960" s="1" t="n">
        <v>292.82</v>
      </c>
      <c r="C6960" s="1" t="n">
        <f aca="false">1/B6960</f>
        <v>0.00341506727682535</v>
      </c>
      <c r="D6960" s="1" t="n">
        <v>1.0098</v>
      </c>
      <c r="E6960" s="1" t="n">
        <f aca="false">LN(D6960)</f>
        <v>0.0097522914426783</v>
      </c>
    </row>
    <row r="6961" customFormat="false" ht="15.75" hidden="false" customHeight="false" outlineLevel="0" collapsed="false">
      <c r="A6961" s="1" t="s">
        <v>1166</v>
      </c>
      <c r="B6961" s="1" t="n">
        <v>293.2</v>
      </c>
      <c r="C6961" s="1" t="n">
        <f aca="false">1/B6961</f>
        <v>0.0034106412005457</v>
      </c>
      <c r="D6961" s="1" t="n">
        <v>1.0004</v>
      </c>
      <c r="E6961" s="1" t="n">
        <f aca="false">LN(D6961)</f>
        <v>0.000399920021326891</v>
      </c>
    </row>
    <row r="6962" customFormat="false" ht="15.75" hidden="false" customHeight="false" outlineLevel="0" collapsed="false">
      <c r="A6962" s="1" t="s">
        <v>1166</v>
      </c>
      <c r="B6962" s="1" t="n">
        <v>293.58</v>
      </c>
      <c r="C6962" s="1" t="n">
        <f aca="false">1/B6962</f>
        <v>0.00340622658219225</v>
      </c>
      <c r="D6962" s="1" t="n">
        <v>0.99124</v>
      </c>
      <c r="E6962" s="1" t="n">
        <f aca="false">LN(D6962)</f>
        <v>-0.00879859435634962</v>
      </c>
    </row>
    <row r="6963" customFormat="false" ht="15.75" hidden="false" customHeight="false" outlineLevel="0" collapsed="false">
      <c r="A6963" s="1" t="s">
        <v>1166</v>
      </c>
      <c r="B6963" s="1" t="n">
        <v>293.95</v>
      </c>
      <c r="C6963" s="1" t="n">
        <f aca="false">1/B6963</f>
        <v>0.00340193910529002</v>
      </c>
      <c r="D6963" s="1" t="n">
        <v>0.98219</v>
      </c>
      <c r="E6963" s="1" t="n">
        <f aca="false">LN(D6963)</f>
        <v>-0.0179705066546414</v>
      </c>
    </row>
    <row r="6964" customFormat="false" ht="15.75" hidden="false" customHeight="false" outlineLevel="0" collapsed="false">
      <c r="A6964" s="1" t="s">
        <v>1166</v>
      </c>
      <c r="B6964" s="1" t="n">
        <v>294.33</v>
      </c>
      <c r="C6964" s="1" t="n">
        <f aca="false">1/B6964</f>
        <v>0.00339754697108688</v>
      </c>
      <c r="D6964" s="1" t="n">
        <v>0.97327</v>
      </c>
      <c r="E6964" s="1" t="n">
        <f aca="false">LN(D6964)</f>
        <v>-0.0270937429981163</v>
      </c>
    </row>
    <row r="6965" customFormat="false" ht="15.75" hidden="false" customHeight="false" outlineLevel="0" collapsed="false">
      <c r="A6965" s="1" t="s">
        <v>1166</v>
      </c>
      <c r="B6965" s="1" t="n">
        <v>294.71</v>
      </c>
      <c r="C6965" s="1" t="n">
        <f aca="false">1/B6965</f>
        <v>0.00339316616334702</v>
      </c>
      <c r="D6965" s="1" t="n">
        <v>0.96447</v>
      </c>
      <c r="E6965" s="1" t="n">
        <f aca="false">LN(D6965)</f>
        <v>-0.0361765513191657</v>
      </c>
    </row>
    <row r="6966" customFormat="false" ht="15.75" hidden="false" customHeight="false" outlineLevel="0" collapsed="false">
      <c r="A6966" s="1" t="s">
        <v>1166</v>
      </c>
      <c r="B6966" s="1" t="n">
        <v>295.09</v>
      </c>
      <c r="C6966" s="1" t="n">
        <f aca="false">1/B6966</f>
        <v>0.00338879663831373</v>
      </c>
      <c r="D6966" s="1" t="n">
        <v>0.95581</v>
      </c>
      <c r="E6966" s="1" t="n">
        <f aca="false">LN(D6966)</f>
        <v>-0.0451961304529691</v>
      </c>
    </row>
    <row r="6967" customFormat="false" ht="15.75" hidden="false" customHeight="false" outlineLevel="0" collapsed="false">
      <c r="A6967" s="1" t="s">
        <v>1166</v>
      </c>
      <c r="B6967" s="1" t="n">
        <v>295.47</v>
      </c>
      <c r="C6967" s="1" t="n">
        <f aca="false">1/B6967</f>
        <v>0.00338443835245541</v>
      </c>
      <c r="D6967" s="1" t="n">
        <v>0.94727</v>
      </c>
      <c r="E6967" s="1" t="n">
        <f aca="false">LN(D6967)</f>
        <v>-0.0541711155559891</v>
      </c>
    </row>
    <row r="6968" customFormat="false" ht="15.75" hidden="false" customHeight="false" outlineLevel="0" collapsed="false">
      <c r="A6968" s="1" t="s">
        <v>1166</v>
      </c>
      <c r="B6968" s="1" t="n">
        <v>295.84</v>
      </c>
      <c r="C6968" s="1" t="n">
        <f aca="false">1/B6968</f>
        <v>0.0033802055164954</v>
      </c>
      <c r="D6968" s="1" t="n">
        <v>0.93885</v>
      </c>
      <c r="E6968" s="1" t="n">
        <f aca="false">LN(D6968)</f>
        <v>-0.0630995569433169</v>
      </c>
    </row>
    <row r="6969" customFormat="false" ht="15.75" hidden="false" customHeight="false" outlineLevel="0" collapsed="false">
      <c r="A6969" s="1" t="s">
        <v>1166</v>
      </c>
      <c r="B6969" s="1" t="n">
        <v>296.22</v>
      </c>
      <c r="C6969" s="1" t="n">
        <f aca="false">1/B6969</f>
        <v>0.00337586928634123</v>
      </c>
      <c r="D6969" s="1" t="n">
        <v>0.93055</v>
      </c>
      <c r="E6969" s="1" t="n">
        <f aca="false">LN(D6969)</f>
        <v>-0.0719794697921644</v>
      </c>
    </row>
    <row r="6970" customFormat="false" ht="15.75" hidden="false" customHeight="false" outlineLevel="0" collapsed="false">
      <c r="A6970" s="1" t="s">
        <v>1166</v>
      </c>
      <c r="B6970" s="1" t="n">
        <v>296.6</v>
      </c>
      <c r="C6970" s="1" t="n">
        <f aca="false">1/B6970</f>
        <v>0.00337154416722859</v>
      </c>
      <c r="D6970" s="1" t="n">
        <v>0.92237</v>
      </c>
      <c r="E6970" s="1" t="n">
        <f aca="false">LN(D6970)</f>
        <v>-0.0808088344070236</v>
      </c>
    </row>
    <row r="6971" customFormat="false" ht="15.75" hidden="false" customHeight="false" outlineLevel="0" collapsed="false">
      <c r="A6971" s="1" t="s">
        <v>1166</v>
      </c>
      <c r="B6971" s="1" t="n">
        <v>296.98</v>
      </c>
      <c r="C6971" s="1" t="n">
        <f aca="false">1/B6971</f>
        <v>0.00336723011650616</v>
      </c>
      <c r="D6971" s="1" t="n">
        <v>0.91431</v>
      </c>
      <c r="E6971" s="1" t="n">
        <f aca="false">LN(D6971)</f>
        <v>-0.0895855965424641</v>
      </c>
    </row>
    <row r="6972" customFormat="false" ht="15.75" hidden="false" customHeight="false" outlineLevel="0" collapsed="false">
      <c r="A6972" s="1" t="s">
        <v>1166</v>
      </c>
      <c r="B6972" s="1" t="n">
        <v>297.36</v>
      </c>
      <c r="C6972" s="1" t="n">
        <f aca="false">1/B6972</f>
        <v>0.00336292709174065</v>
      </c>
      <c r="D6972" s="1" t="n">
        <v>0.90636</v>
      </c>
      <c r="E6972" s="1" t="n">
        <f aca="false">LN(D6972)</f>
        <v>-0.0983187008687801</v>
      </c>
    </row>
    <row r="6973" customFormat="false" ht="15.75" hidden="false" customHeight="false" outlineLevel="0" collapsed="false">
      <c r="A6973" s="1" t="s">
        <v>1166</v>
      </c>
      <c r="B6973" s="1" t="n">
        <v>297.73</v>
      </c>
      <c r="C6973" s="1" t="n">
        <f aca="false">1/B6973</f>
        <v>0.00335874785879824</v>
      </c>
      <c r="D6973" s="1" t="n">
        <v>0.89852</v>
      </c>
      <c r="E6973" s="1" t="n">
        <f aca="false">LN(D6973)</f>
        <v>-0.107006313685168</v>
      </c>
    </row>
    <row r="6974" customFormat="false" ht="15.75" hidden="false" customHeight="false" outlineLevel="0" collapsed="false">
      <c r="A6974" s="1" t="s">
        <v>1166</v>
      </c>
      <c r="B6974" s="1" t="n">
        <v>298.11</v>
      </c>
      <c r="C6974" s="1" t="n">
        <f aca="false">1/B6974</f>
        <v>0.00335446647210761</v>
      </c>
      <c r="D6974" s="1" t="n">
        <v>0.89079</v>
      </c>
      <c r="E6974" s="1" t="n">
        <f aca="false">LN(D6974)</f>
        <v>-0.115646569526327</v>
      </c>
    </row>
    <row r="6975" customFormat="false" ht="15.75" hidden="false" customHeight="false" outlineLevel="0" collapsed="false">
      <c r="A6975" s="1" t="s">
        <v>1166</v>
      </c>
      <c r="B6975" s="1" t="n">
        <v>298.49</v>
      </c>
      <c r="C6975" s="1" t="n">
        <f aca="false">1/B6975</f>
        <v>0.00335019598646521</v>
      </c>
      <c r="D6975" s="1" t="n">
        <v>0.88316</v>
      </c>
      <c r="E6975" s="1" t="n">
        <f aca="false">LN(D6975)</f>
        <v>-0.124248894339995</v>
      </c>
    </row>
    <row r="6976" customFormat="false" ht="15.75" hidden="false" customHeight="false" outlineLevel="0" collapsed="false">
      <c r="A6976" s="1" t="s">
        <v>1166</v>
      </c>
      <c r="B6976" s="1" t="n">
        <v>298.87</v>
      </c>
      <c r="C6976" s="1" t="n">
        <f aca="false">1/B6976</f>
        <v>0.00334593636029043</v>
      </c>
      <c r="D6976" s="1" t="n">
        <v>0.87564</v>
      </c>
      <c r="E6976" s="1" t="n">
        <f aca="false">LN(D6976)</f>
        <v>-0.132800231416608</v>
      </c>
    </row>
    <row r="6977" customFormat="false" ht="15.75" hidden="false" customHeight="false" outlineLevel="0" collapsed="false">
      <c r="A6977" s="1" t="s">
        <v>1166</v>
      </c>
      <c r="B6977" s="1" t="n">
        <v>299.25</v>
      </c>
      <c r="C6977" s="1" t="n">
        <f aca="false">1/B6977</f>
        <v>0.00334168755221387</v>
      </c>
      <c r="D6977" s="1" t="n">
        <v>0.86822</v>
      </c>
      <c r="E6977" s="1" t="n">
        <f aca="false">LN(D6977)</f>
        <v>-0.14131014021519</v>
      </c>
    </row>
    <row r="6978" customFormat="false" ht="15.75" hidden="false" customHeight="false" outlineLevel="0" collapsed="false">
      <c r="A6978" s="1" t="s">
        <v>1166</v>
      </c>
      <c r="B6978" s="1" t="n">
        <v>299.62</v>
      </c>
      <c r="C6978" s="1" t="n">
        <f aca="false">1/B6978</f>
        <v>0.00333756091048662</v>
      </c>
      <c r="D6978" s="1" t="n">
        <v>0.86091</v>
      </c>
      <c r="E6978" s="1" t="n">
        <f aca="false">LN(D6978)</f>
        <v>-0.149765309634732</v>
      </c>
    </row>
    <row r="6979" customFormat="false" ht="15.75" hidden="false" customHeight="false" outlineLevel="0" collapsed="false">
      <c r="A6979" s="1" t="s">
        <v>1166</v>
      </c>
      <c r="B6979" s="1" t="n">
        <v>300</v>
      </c>
      <c r="C6979" s="1" t="n">
        <f aca="false">1/B6979</f>
        <v>0.00333333333333333</v>
      </c>
      <c r="D6979" s="1" t="n">
        <v>0.85369</v>
      </c>
      <c r="E6979" s="1" t="n">
        <f aca="false">LN(D6979)</f>
        <v>-0.158187148751245</v>
      </c>
    </row>
    <row r="6980" customFormat="false" ht="15.75" hidden="false" customHeight="false" outlineLevel="0" collapsed="false">
      <c r="A6980" s="1" t="s">
        <v>1166</v>
      </c>
      <c r="B6980" s="1" t="n">
        <v>300.38</v>
      </c>
      <c r="C6980" s="1" t="n">
        <f aca="false">1/B6980</f>
        <v>0.00332911645249351</v>
      </c>
      <c r="D6980" s="1" t="n">
        <v>0.84657</v>
      </c>
      <c r="E6980" s="1" t="n">
        <f aca="false">LN(D6980)</f>
        <v>-0.16656238738427</v>
      </c>
    </row>
    <row r="6981" customFormat="false" ht="15.75" hidden="false" customHeight="false" outlineLevel="0" collapsed="false">
      <c r="A6981" s="1" t="s">
        <v>1166</v>
      </c>
      <c r="B6981" s="1" t="n">
        <v>300.76</v>
      </c>
      <c r="C6981" s="1" t="n">
        <f aca="false">1/B6981</f>
        <v>0.00332491022742386</v>
      </c>
      <c r="D6981" s="1" t="n">
        <v>0.83955</v>
      </c>
      <c r="E6981" s="1" t="n">
        <f aca="false">LN(D6981)</f>
        <v>-0.174889244976659</v>
      </c>
    </row>
    <row r="6982" customFormat="false" ht="15.75" hidden="false" customHeight="false" outlineLevel="0" collapsed="false">
      <c r="A6982" s="1" t="s">
        <v>1166</v>
      </c>
      <c r="B6982" s="1" t="n">
        <v>301.14</v>
      </c>
      <c r="C6982" s="1" t="n">
        <f aca="false">1/B6982</f>
        <v>0.00332071461778575</v>
      </c>
      <c r="D6982" s="1" t="n">
        <v>0.83262</v>
      </c>
      <c r="E6982" s="1" t="n">
        <f aca="false">LN(D6982)</f>
        <v>-0.183177923371163</v>
      </c>
    </row>
    <row r="6983" customFormat="false" ht="15.75" hidden="false" customHeight="false" outlineLevel="0" collapsed="false">
      <c r="A6983" s="1" t="s">
        <v>1166</v>
      </c>
      <c r="B6983" s="1" t="n">
        <v>301.51</v>
      </c>
      <c r="C6983" s="1" t="n">
        <f aca="false">1/B6983</f>
        <v>0.00331663958077676</v>
      </c>
      <c r="D6983" s="1" t="n">
        <v>0.82578</v>
      </c>
      <c r="E6983" s="1" t="n">
        <f aca="false">LN(D6983)</f>
        <v>-0.191426884762641</v>
      </c>
    </row>
    <row r="6984" customFormat="false" ht="15.75" hidden="false" customHeight="false" outlineLevel="0" collapsed="false">
      <c r="A6984" s="1" t="s">
        <v>1166</v>
      </c>
      <c r="B6984" s="1" t="n">
        <v>301.89</v>
      </c>
      <c r="C6984" s="1" t="n">
        <f aca="false">1/B6984</f>
        <v>0.00331246480506145</v>
      </c>
      <c r="D6984" s="1" t="n">
        <v>0.81903</v>
      </c>
      <c r="E6984" s="1" t="n">
        <f aca="false">LN(D6984)</f>
        <v>-0.199634565763301</v>
      </c>
    </row>
    <row r="6985" customFormat="false" ht="15.75" hidden="false" customHeight="false" outlineLevel="0" collapsed="false">
      <c r="A6985" s="1" t="s">
        <v>1166</v>
      </c>
      <c r="B6985" s="1" t="n">
        <v>302.27</v>
      </c>
      <c r="C6985" s="1" t="n">
        <f aca="false">1/B6985</f>
        <v>0.00330830052601978</v>
      </c>
      <c r="D6985" s="1" t="n">
        <v>0.81237</v>
      </c>
      <c r="E6985" s="1" t="n">
        <f aca="false">LN(D6985)</f>
        <v>-0.20779937757961</v>
      </c>
    </row>
    <row r="6986" customFormat="false" ht="15.75" hidden="false" customHeight="false" outlineLevel="0" collapsed="false">
      <c r="A6986" s="1" t="s">
        <v>1166</v>
      </c>
      <c r="B6986" s="1" t="n">
        <v>302.65</v>
      </c>
      <c r="C6986" s="1" t="n">
        <f aca="false">1/B6986</f>
        <v>0.00330414670411366</v>
      </c>
      <c r="D6986" s="1" t="n">
        <v>0.8058</v>
      </c>
      <c r="E6986" s="1" t="n">
        <f aca="false">LN(D6986)</f>
        <v>-0.21591970622489</v>
      </c>
    </row>
    <row r="6987" customFormat="false" ht="15.75" hidden="false" customHeight="false" outlineLevel="0" collapsed="false">
      <c r="A6987" s="1" t="s">
        <v>1166</v>
      </c>
      <c r="B6987" s="1" t="n">
        <v>303.03</v>
      </c>
      <c r="C6987" s="1" t="n">
        <f aca="false">1/B6987</f>
        <v>0.0033000033000033</v>
      </c>
      <c r="D6987" s="1" t="n">
        <v>0.79931</v>
      </c>
      <c r="E6987" s="1" t="n">
        <f aca="false">LN(D6987)</f>
        <v>-0.224006423481346</v>
      </c>
    </row>
    <row r="6988" customFormat="false" ht="15.75" hidden="false" customHeight="false" outlineLevel="0" collapsed="false">
      <c r="A6988" s="1" t="s">
        <v>1166</v>
      </c>
      <c r="B6988" s="1" t="n">
        <v>303.41</v>
      </c>
      <c r="C6988" s="1" t="n">
        <f aca="false">1/B6988</f>
        <v>0.00329587027454599</v>
      </c>
      <c r="D6988" s="1" t="n">
        <v>0.79291</v>
      </c>
      <c r="E6988" s="1" t="n">
        <f aca="false">LN(D6988)</f>
        <v>-0.232045556852427</v>
      </c>
    </row>
    <row r="6989" customFormat="false" ht="15.75" hidden="false" customHeight="false" outlineLevel="0" collapsed="false">
      <c r="A6989" s="1" t="s">
        <v>1166</v>
      </c>
      <c r="B6989" s="1" t="n">
        <v>303.78</v>
      </c>
      <c r="C6989" s="1" t="n">
        <f aca="false">1/B6989</f>
        <v>0.0032918559483837</v>
      </c>
      <c r="D6989" s="1" t="n">
        <v>0.78659</v>
      </c>
      <c r="E6989" s="1" t="n">
        <f aca="false">LN(D6989)</f>
        <v>-0.240048132007013</v>
      </c>
    </row>
    <row r="6990" customFormat="false" ht="15.75" hidden="false" customHeight="false" outlineLevel="0" collapsed="false">
      <c r="A6990" s="1" t="s">
        <v>1166</v>
      </c>
      <c r="B6990" s="1" t="n">
        <v>304.16</v>
      </c>
      <c r="C6990" s="1" t="n">
        <f aca="false">1/B6990</f>
        <v>0.00328774329300368</v>
      </c>
      <c r="D6990" s="1" t="n">
        <v>0.78035</v>
      </c>
      <c r="E6990" s="1" t="n">
        <f aca="false">LN(D6990)</f>
        <v>-0.248012741993574</v>
      </c>
    </row>
    <row r="6991" customFormat="false" ht="15.75" hidden="false" customHeight="false" outlineLevel="0" collapsed="false">
      <c r="A6991" s="1" t="s">
        <v>1166</v>
      </c>
      <c r="B6991" s="1" t="n">
        <v>304.54</v>
      </c>
      <c r="C6991" s="1" t="n">
        <f aca="false">1/B6991</f>
        <v>0.00328364090103106</v>
      </c>
      <c r="D6991" s="1" t="n">
        <v>0.77419</v>
      </c>
      <c r="E6991" s="1" t="n">
        <f aca="false">LN(D6991)</f>
        <v>-0.255937957481037</v>
      </c>
    </row>
    <row r="6992" customFormat="false" ht="15.75" hidden="false" customHeight="false" outlineLevel="0" collapsed="false">
      <c r="A6992" s="1" t="s">
        <v>1166</v>
      </c>
      <c r="B6992" s="1" t="n">
        <v>304.92</v>
      </c>
      <c r="C6992" s="1" t="n">
        <f aca="false">1/B6992</f>
        <v>0.00327954873409419</v>
      </c>
      <c r="D6992" s="1" t="n">
        <v>0.76811</v>
      </c>
      <c r="E6992" s="1" t="n">
        <f aca="false">LN(D6992)</f>
        <v>-0.263822326924116</v>
      </c>
    </row>
    <row r="6993" customFormat="false" ht="15.75" hidden="false" customHeight="false" outlineLevel="0" collapsed="false">
      <c r="A6993" s="1" t="s">
        <v>1166</v>
      </c>
      <c r="B6993" s="1" t="n">
        <v>305.3</v>
      </c>
      <c r="C6993" s="1" t="n">
        <f aca="false">1/B6993</f>
        <v>0.00327546675401245</v>
      </c>
      <c r="D6993" s="1" t="n">
        <v>0.7621</v>
      </c>
      <c r="E6993" s="1" t="n">
        <f aca="false">LN(D6993)</f>
        <v>-0.271677498310065</v>
      </c>
    </row>
    <row r="6994" customFormat="false" ht="15.75" hidden="false" customHeight="false" outlineLevel="0" collapsed="false">
      <c r="A6994" s="1" t="s">
        <v>1166</v>
      </c>
      <c r="B6994" s="1" t="n">
        <v>305.67</v>
      </c>
      <c r="C6994" s="1" t="n">
        <f aca="false">1/B6994</f>
        <v>0.00327150194654366</v>
      </c>
      <c r="D6994" s="1" t="n">
        <v>0.75617</v>
      </c>
      <c r="E6994" s="1" t="n">
        <f aca="false">LN(D6994)</f>
        <v>-0.279489060356694</v>
      </c>
    </row>
    <row r="6995" customFormat="false" ht="15.75" hidden="false" customHeight="false" outlineLevel="0" collapsed="false">
      <c r="A6995" s="1" t="s">
        <v>1166</v>
      </c>
      <c r="B6995" s="1" t="n">
        <v>306.05</v>
      </c>
      <c r="C6995" s="1" t="n">
        <f aca="false">1/B6995</f>
        <v>0.00326743996079072</v>
      </c>
      <c r="D6995" s="1" t="n">
        <v>0.75032</v>
      </c>
      <c r="E6995" s="1" t="n">
        <f aca="false">LN(D6995)</f>
        <v>-0.287255496781454</v>
      </c>
    </row>
    <row r="6996" customFormat="false" ht="15.75" hidden="false" customHeight="false" outlineLevel="0" collapsed="false">
      <c r="A6996" s="1" t="s">
        <v>1166</v>
      </c>
      <c r="B6996" s="1" t="n">
        <v>306.43</v>
      </c>
      <c r="C6996" s="1" t="n">
        <f aca="false">1/B6996</f>
        <v>0.00326338804947296</v>
      </c>
      <c r="D6996" s="1" t="n">
        <v>0.74454</v>
      </c>
      <c r="E6996" s="1" t="n">
        <f aca="false">LN(D6996)</f>
        <v>-0.294988700967554</v>
      </c>
    </row>
    <row r="6997" customFormat="false" ht="15.75" hidden="false" customHeight="false" outlineLevel="0" collapsed="false">
      <c r="A6997" s="1" t="s">
        <v>1166</v>
      </c>
      <c r="B6997" s="1" t="n">
        <v>306.81</v>
      </c>
      <c r="C6997" s="1" t="n">
        <f aca="false">1/B6997</f>
        <v>0.00325934617515726</v>
      </c>
      <c r="D6997" s="1" t="n">
        <v>0.73883</v>
      </c>
      <c r="E6997" s="1" t="n">
        <f aca="false">LN(D6997)</f>
        <v>-0.302687425092731</v>
      </c>
    </row>
    <row r="6998" customFormat="false" ht="15.75" hidden="false" customHeight="false" outlineLevel="0" collapsed="false">
      <c r="A6998" s="1" t="s">
        <v>1166</v>
      </c>
      <c r="B6998" s="1" t="n">
        <v>307.19</v>
      </c>
      <c r="C6998" s="1" t="n">
        <f aca="false">1/B6998</f>
        <v>0.00325531430059572</v>
      </c>
      <c r="D6998" s="1" t="n">
        <v>0.73319</v>
      </c>
      <c r="E6998" s="1" t="n">
        <f aca="false">LN(D6998)</f>
        <v>-0.310350401953023</v>
      </c>
    </row>
    <row r="6999" customFormat="false" ht="15.75" hidden="false" customHeight="false" outlineLevel="0" collapsed="false">
      <c r="A6999" s="1" t="s">
        <v>1166</v>
      </c>
      <c r="B6999" s="1" t="n">
        <v>307.56</v>
      </c>
      <c r="C6999" s="1" t="n">
        <f aca="false">1/B6999</f>
        <v>0.00325139810118351</v>
      </c>
      <c r="D6999" s="1" t="n">
        <v>0.72762</v>
      </c>
      <c r="E6999" s="1" t="n">
        <f aca="false">LN(D6999)</f>
        <v>-0.317976345085381</v>
      </c>
    </row>
    <row r="7000" customFormat="false" ht="15.75" hidden="false" customHeight="false" outlineLevel="0" collapsed="false">
      <c r="A7000" s="1" t="s">
        <v>1166</v>
      </c>
      <c r="B7000" s="1" t="n">
        <v>307.94</v>
      </c>
      <c r="C7000" s="1" t="n">
        <f aca="false">1/B7000</f>
        <v>0.00324738585438722</v>
      </c>
      <c r="D7000" s="1" t="n">
        <v>0.72212</v>
      </c>
      <c r="E7000" s="1" t="n">
        <f aca="false">LN(D7000)</f>
        <v>-0.32556394891368</v>
      </c>
    </row>
    <row r="7001" customFormat="false" ht="15.75" hidden="false" customHeight="false" outlineLevel="0" collapsed="false">
      <c r="A7001" s="1" t="s">
        <v>1166</v>
      </c>
      <c r="B7001" s="1" t="n">
        <v>308.32</v>
      </c>
      <c r="C7001" s="1" t="n">
        <f aca="false">1/B7001</f>
        <v>0.00324338349766476</v>
      </c>
      <c r="D7001" s="1" t="n">
        <v>0.71669</v>
      </c>
      <c r="E7001" s="1" t="n">
        <f aca="false">LN(D7001)</f>
        <v>-0.333111888919008</v>
      </c>
    </row>
    <row r="7002" customFormat="false" ht="15.75" hidden="false" customHeight="false" outlineLevel="0" collapsed="false">
      <c r="A7002" s="1" t="s">
        <v>1166</v>
      </c>
      <c r="B7002" s="1" t="n">
        <v>308.7</v>
      </c>
      <c r="C7002" s="1" t="n">
        <f aca="false">1/B7002</f>
        <v>0.00323939099449304</v>
      </c>
      <c r="D7002" s="1" t="n">
        <v>0.71132</v>
      </c>
      <c r="E7002" s="1" t="n">
        <f aca="false">LN(D7002)</f>
        <v>-0.340632880106677</v>
      </c>
    </row>
    <row r="7003" customFormat="false" ht="15.75" hidden="false" customHeight="false" outlineLevel="0" collapsed="false">
      <c r="A7003" s="1" t="s">
        <v>1166</v>
      </c>
      <c r="B7003" s="1" t="n">
        <v>309.08</v>
      </c>
      <c r="C7003" s="1" t="n">
        <f aca="false">1/B7003</f>
        <v>0.00323540830852854</v>
      </c>
      <c r="D7003" s="1" t="n">
        <v>0.70602</v>
      </c>
      <c r="E7003" s="1" t="n">
        <f aca="false">LN(D7003)</f>
        <v>-0.348111713278245</v>
      </c>
    </row>
    <row r="7004" customFormat="false" ht="15.75" hidden="false" customHeight="false" outlineLevel="0" collapsed="false">
      <c r="A7004" s="1" t="s">
        <v>1166</v>
      </c>
      <c r="B7004" s="1" t="n">
        <v>309.45</v>
      </c>
      <c r="C7004" s="1" t="n">
        <f aca="false">1/B7004</f>
        <v>0.00323153982872839</v>
      </c>
      <c r="D7004" s="1" t="n">
        <v>0.70078</v>
      </c>
      <c r="E7004" s="1" t="n">
        <f aca="false">LN(D7004)</f>
        <v>-0.35556127857998</v>
      </c>
    </row>
    <row r="7005" customFormat="false" ht="15.75" hidden="false" customHeight="false" outlineLevel="0" collapsed="false">
      <c r="A7005" s="1" t="s">
        <v>1166</v>
      </c>
      <c r="B7005" s="1" t="n">
        <v>309.83</v>
      </c>
      <c r="C7005" s="1" t="n">
        <f aca="false">1/B7005</f>
        <v>0.00322757641287157</v>
      </c>
      <c r="D7005" s="1" t="n">
        <v>0.6956</v>
      </c>
      <c r="E7005" s="1" t="n">
        <f aca="false">LN(D7005)</f>
        <v>-0.362980496502009</v>
      </c>
    </row>
    <row r="7006" customFormat="false" ht="15.75" hidden="false" customHeight="false" outlineLevel="0" collapsed="false">
      <c r="A7006" s="1" t="s">
        <v>1166</v>
      </c>
      <c r="B7006" s="1" t="n">
        <v>310.21</v>
      </c>
      <c r="C7006" s="1" t="n">
        <f aca="false">1/B7006</f>
        <v>0.00322362270719835</v>
      </c>
      <c r="D7006" s="1" t="n">
        <v>0.69049</v>
      </c>
      <c r="E7006" s="1" t="n">
        <f aca="false">LN(D7006)</f>
        <v>-0.370353788496892</v>
      </c>
    </row>
    <row r="7007" customFormat="false" ht="15.75" hidden="false" customHeight="false" outlineLevel="0" collapsed="false">
      <c r="A7007" s="1" t="s">
        <v>1166</v>
      </c>
      <c r="B7007" s="1" t="n">
        <v>310.59</v>
      </c>
      <c r="C7007" s="1" t="n">
        <f aca="false">1/B7007</f>
        <v>0.00321967867606813</v>
      </c>
      <c r="D7007" s="1" t="n">
        <v>0.68544</v>
      </c>
      <c r="E7007" s="1" t="n">
        <f aca="false">LN(D7007)</f>
        <v>-0.377694311162808</v>
      </c>
    </row>
    <row r="7008" customFormat="false" ht="15.75" hidden="false" customHeight="false" outlineLevel="0" collapsed="false">
      <c r="A7008" s="1" t="s">
        <v>1166</v>
      </c>
      <c r="B7008" s="1" t="n">
        <v>310.97</v>
      </c>
      <c r="C7008" s="1" t="n">
        <f aca="false">1/B7008</f>
        <v>0.00321574428401453</v>
      </c>
      <c r="D7008" s="1" t="n">
        <v>0.68044</v>
      </c>
      <c r="E7008" s="1" t="n">
        <f aca="false">LN(D7008)</f>
        <v>-0.385015631240755</v>
      </c>
    </row>
    <row r="7009" customFormat="false" ht="15.75" hidden="false" customHeight="false" outlineLevel="0" collapsed="false">
      <c r="A7009" s="1" t="s">
        <v>1166</v>
      </c>
      <c r="B7009" s="1" t="n">
        <v>311.34</v>
      </c>
      <c r="C7009" s="1" t="n">
        <f aca="false">1/B7009</f>
        <v>0.00321192265690242</v>
      </c>
      <c r="D7009" s="1" t="n">
        <v>0.67551</v>
      </c>
      <c r="E7009" s="1" t="n">
        <f aca="false">LN(D7009)</f>
        <v>-0.392287317842459</v>
      </c>
    </row>
    <row r="7010" customFormat="false" ht="15.75" hidden="false" customHeight="false" outlineLevel="0" collapsed="false">
      <c r="A7010" s="1" t="s">
        <v>1166</v>
      </c>
      <c r="B7010" s="1" t="n">
        <v>311.72</v>
      </c>
      <c r="C7010" s="1" t="n">
        <f aca="false">1/B7010</f>
        <v>0.0032080071859361</v>
      </c>
      <c r="D7010" s="1" t="n">
        <v>0.67063</v>
      </c>
      <c r="E7010" s="1" t="n">
        <f aca="false">LN(D7010)</f>
        <v>-0.399537709893374</v>
      </c>
    </row>
    <row r="7011" customFormat="false" ht="15.75" hidden="false" customHeight="false" outlineLevel="0" collapsed="false">
      <c r="A7011" s="1" t="s">
        <v>1166</v>
      </c>
      <c r="B7011" s="1" t="n">
        <v>312.1</v>
      </c>
      <c r="C7011" s="1" t="n">
        <f aca="false">1/B7011</f>
        <v>0.00320410124959949</v>
      </c>
      <c r="D7011" s="1" t="n">
        <v>0.66581</v>
      </c>
      <c r="E7011" s="1" t="n">
        <f aca="false">LN(D7011)</f>
        <v>-0.406750934428621</v>
      </c>
    </row>
    <row r="7012" customFormat="false" ht="15.75" hidden="false" customHeight="false" outlineLevel="0" collapsed="false">
      <c r="A7012" s="1" t="s">
        <v>1166</v>
      </c>
      <c r="B7012" s="1" t="n">
        <v>312.48</v>
      </c>
      <c r="C7012" s="1" t="n">
        <f aca="false">1/B7012</f>
        <v>0.00320020481310804</v>
      </c>
      <c r="D7012" s="1" t="n">
        <v>0.66105</v>
      </c>
      <c r="E7012" s="1" t="n">
        <f aca="false">LN(D7012)</f>
        <v>-0.413925799026031</v>
      </c>
    </row>
    <row r="7013" customFormat="false" ht="15.75" hidden="false" customHeight="false" outlineLevel="0" collapsed="false">
      <c r="A7013" s="1" t="s">
        <v>1166</v>
      </c>
      <c r="B7013" s="1" t="n">
        <v>312.86</v>
      </c>
      <c r="C7013" s="1" t="n">
        <f aca="false">1/B7013</f>
        <v>0.00319631784184619</v>
      </c>
      <c r="D7013" s="1" t="n">
        <v>0.65634</v>
      </c>
      <c r="E7013" s="1" t="n">
        <f aca="false">LN(D7013)</f>
        <v>-0.421076331622383</v>
      </c>
    </row>
    <row r="7014" customFormat="false" ht="15.75" hidden="false" customHeight="false" outlineLevel="0" collapsed="false">
      <c r="A7014" s="1" t="s">
        <v>1166</v>
      </c>
      <c r="B7014" s="1" t="n">
        <v>313.24</v>
      </c>
      <c r="C7014" s="1" t="n">
        <f aca="false">1/B7014</f>
        <v>0.00319244030136636</v>
      </c>
      <c r="D7014" s="1" t="n">
        <v>0.65169</v>
      </c>
      <c r="E7014" s="1" t="n">
        <f aca="false">LN(D7014)</f>
        <v>-0.428186290245188</v>
      </c>
    </row>
    <row r="7015" customFormat="false" ht="15.75" hidden="false" customHeight="false" outlineLevel="0" collapsed="false">
      <c r="A7015" s="1" t="s">
        <v>1166</v>
      </c>
      <c r="B7015" s="1" t="n">
        <v>313.61</v>
      </c>
      <c r="C7015" s="1" t="n">
        <f aca="false">1/B7015</f>
        <v>0.00318867383055387</v>
      </c>
      <c r="D7015" s="1" t="n">
        <v>0.64709</v>
      </c>
      <c r="E7015" s="1" t="n">
        <f aca="false">LN(D7015)</f>
        <v>-0.43526989060037</v>
      </c>
    </row>
    <row r="7016" customFormat="false" ht="15.75" hidden="false" customHeight="false" outlineLevel="0" collapsed="false">
      <c r="A7016" s="1" t="s">
        <v>1166</v>
      </c>
      <c r="B7016" s="1" t="n">
        <v>313.99</v>
      </c>
      <c r="C7016" s="1" t="n">
        <f aca="false">1/B7016</f>
        <v>0.0031848148030192</v>
      </c>
      <c r="D7016" s="1" t="n">
        <v>0.64254</v>
      </c>
      <c r="E7016" s="1" t="n">
        <f aca="false">LN(D7016)</f>
        <v>-0.442326207341298</v>
      </c>
    </row>
    <row r="7017" customFormat="false" ht="15.75" hidden="false" customHeight="false" outlineLevel="0" collapsed="false">
      <c r="A7017" s="1" t="s">
        <v>1166</v>
      </c>
      <c r="B7017" s="1" t="n">
        <v>314.37</v>
      </c>
      <c r="C7017" s="1" t="n">
        <f aca="false">1/B7017</f>
        <v>0.0031809651048128</v>
      </c>
      <c r="D7017" s="1" t="n">
        <v>0.63804</v>
      </c>
      <c r="E7017" s="1" t="n">
        <f aca="false">LN(D7017)</f>
        <v>-0.44935430167789</v>
      </c>
    </row>
    <row r="7018" customFormat="false" ht="15.75" hidden="false" customHeight="false" outlineLevel="0" collapsed="false">
      <c r="A7018" s="1" t="s">
        <v>1166</v>
      </c>
      <c r="B7018" s="1" t="n">
        <v>314.75</v>
      </c>
      <c r="C7018" s="1" t="n">
        <f aca="false">1/B7018</f>
        <v>0.00317712470214456</v>
      </c>
      <c r="D7018" s="1" t="n">
        <v>0.6336</v>
      </c>
      <c r="E7018" s="1" t="n">
        <f aca="false">LN(D7018)</f>
        <v>-0.456337438481921</v>
      </c>
    </row>
    <row r="7019" customFormat="false" ht="15.75" hidden="false" customHeight="false" outlineLevel="0" collapsed="false">
      <c r="A7019" s="1" t="s">
        <v>1166</v>
      </c>
      <c r="B7019" s="1" t="n">
        <v>315.13</v>
      </c>
      <c r="C7019" s="1" t="n">
        <f aca="false">1/B7019</f>
        <v>0.00317329356138736</v>
      </c>
      <c r="D7019" s="1" t="n">
        <v>0.6292</v>
      </c>
      <c r="E7019" s="1" t="n">
        <f aca="false">LN(D7019)</f>
        <v>-0.463306107798014</v>
      </c>
    </row>
    <row r="7020" customFormat="false" ht="15.75" hidden="false" customHeight="false" outlineLevel="0" collapsed="false">
      <c r="A7020" s="1" t="s">
        <v>1166</v>
      </c>
      <c r="B7020" s="1" t="n">
        <v>315.5</v>
      </c>
      <c r="C7020" s="1" t="n">
        <f aca="false">1/B7020</f>
        <v>0.00316957210776545</v>
      </c>
      <c r="D7020" s="1" t="n">
        <v>0.62486</v>
      </c>
      <c r="E7020" s="1" t="n">
        <f aca="false">LN(D7020)</f>
        <v>-0.470227654337483</v>
      </c>
    </row>
    <row r="7021" customFormat="false" ht="15.75" hidden="false" customHeight="false" outlineLevel="0" collapsed="false">
      <c r="A7021" s="1" t="s">
        <v>1166</v>
      </c>
      <c r="B7021" s="1" t="n">
        <v>315.88</v>
      </c>
      <c r="C7021" s="1" t="n">
        <f aca="false">1/B7021</f>
        <v>0.00316575914904394</v>
      </c>
      <c r="D7021" s="1" t="n">
        <v>0.62056</v>
      </c>
      <c r="E7021" s="1" t="n">
        <f aca="false">LN(D7021)</f>
        <v>-0.477132982799521</v>
      </c>
    </row>
    <row r="7022" customFormat="false" ht="15.75" hidden="false" customHeight="false" outlineLevel="0" collapsed="false">
      <c r="A7022" s="1" t="s">
        <v>1166</v>
      </c>
      <c r="B7022" s="1" t="n">
        <v>316.26</v>
      </c>
      <c r="C7022" s="1" t="n">
        <f aca="false">1/B7022</f>
        <v>0.00316195535319041</v>
      </c>
      <c r="D7022" s="1" t="n">
        <v>0.61631</v>
      </c>
      <c r="E7022" s="1" t="n">
        <f aca="false">LN(D7022)</f>
        <v>-0.48400519528155</v>
      </c>
    </row>
    <row r="7023" customFormat="false" ht="15.75" hidden="false" customHeight="false" outlineLevel="0" collapsed="false">
      <c r="A7023" s="1" t="s">
        <v>1166</v>
      </c>
      <c r="B7023" s="1" t="n">
        <v>316.64</v>
      </c>
      <c r="C7023" s="1" t="n">
        <f aca="false">1/B7023</f>
        <v>0.00315816068721577</v>
      </c>
      <c r="D7023" s="1" t="n">
        <v>0.61211</v>
      </c>
      <c r="E7023" s="1" t="n">
        <f aca="false">LN(D7023)</f>
        <v>-0.490843274058759</v>
      </c>
    </row>
    <row r="7024" customFormat="false" ht="15.75" hidden="false" customHeight="false" outlineLevel="0" collapsed="false">
      <c r="A7024" s="1" t="s">
        <v>1166</v>
      </c>
      <c r="B7024" s="1" t="n">
        <v>317.02</v>
      </c>
      <c r="C7024" s="1" t="n">
        <f aca="false">1/B7024</f>
        <v>0.00315437511828907</v>
      </c>
      <c r="D7024" s="1" t="n">
        <v>0.60796</v>
      </c>
      <c r="E7024" s="1" t="n">
        <f aca="false">LN(D7024)</f>
        <v>-0.497646188653877</v>
      </c>
    </row>
    <row r="7025" customFormat="false" ht="15.75" hidden="false" customHeight="false" outlineLevel="0" collapsed="false">
      <c r="A7025" s="1" t="s">
        <v>1166</v>
      </c>
      <c r="B7025" s="1" t="n">
        <v>317.39</v>
      </c>
      <c r="C7025" s="1" t="n">
        <f aca="false">1/B7025</f>
        <v>0.00315069787958033</v>
      </c>
      <c r="D7025" s="1" t="n">
        <v>0.60385</v>
      </c>
      <c r="E7025" s="1" t="n">
        <f aca="false">LN(D7025)</f>
        <v>-0.504429456260753</v>
      </c>
    </row>
    <row r="7026" customFormat="false" ht="15.75" hidden="false" customHeight="false" outlineLevel="0" collapsed="false">
      <c r="A7026" s="1" t="s">
        <v>1166</v>
      </c>
      <c r="B7026" s="1" t="n">
        <v>317.77</v>
      </c>
      <c r="C7026" s="1" t="n">
        <f aca="false">1/B7026</f>
        <v>0.00314693016961954</v>
      </c>
      <c r="D7026" s="1" t="n">
        <v>0.59979</v>
      </c>
      <c r="E7026" s="1" t="n">
        <f aca="false">LN(D7026)</f>
        <v>-0.511175685030286</v>
      </c>
    </row>
    <row r="7027" customFormat="false" ht="15.75" hidden="false" customHeight="false" outlineLevel="0" collapsed="false">
      <c r="A7027" s="1" t="s">
        <v>1166</v>
      </c>
      <c r="B7027" s="1" t="n">
        <v>318.15</v>
      </c>
      <c r="C7027" s="1" t="n">
        <f aca="false">1/B7027</f>
        <v>0.00314317146000314</v>
      </c>
      <c r="D7027" s="1" t="n">
        <v>0.59577</v>
      </c>
      <c r="E7027" s="1" t="n">
        <f aca="false">LN(D7027)</f>
        <v>-0.517900592437954</v>
      </c>
    </row>
    <row r="7028" customFormat="false" ht="15.75" hidden="false" customHeight="false" outlineLevel="0" collapsed="false">
      <c r="A7028" s="1" t="s">
        <v>1166</v>
      </c>
      <c r="B7028" s="1" t="n">
        <v>318.53</v>
      </c>
      <c r="C7028" s="1" t="n">
        <f aca="false">1/B7028</f>
        <v>0.00313942171851945</v>
      </c>
      <c r="D7028" s="1" t="n">
        <v>0.5918</v>
      </c>
      <c r="E7028" s="1" t="n">
        <f aca="false">LN(D7028)</f>
        <v>-0.524586539016028</v>
      </c>
    </row>
    <row r="7029" customFormat="false" ht="15.75" hidden="false" customHeight="false" outlineLevel="0" collapsed="false">
      <c r="A7029" s="1" t="s">
        <v>1166</v>
      </c>
      <c r="B7029" s="1" t="n">
        <v>318.91</v>
      </c>
      <c r="C7029" s="1" t="n">
        <f aca="false">1/B7029</f>
        <v>0.00313568091311028</v>
      </c>
      <c r="D7029" s="1" t="n">
        <v>0.58786</v>
      </c>
      <c r="E7029" s="1" t="n">
        <f aca="false">LN(D7029)</f>
        <v>-0.531266454670776</v>
      </c>
    </row>
    <row r="7030" customFormat="false" ht="15.75" hidden="false" customHeight="false" outlineLevel="0" collapsed="false">
      <c r="A7030" s="1" t="s">
        <v>1166</v>
      </c>
      <c r="B7030" s="1" t="n">
        <v>319.28</v>
      </c>
      <c r="C7030" s="1" t="n">
        <f aca="false">1/B7030</f>
        <v>0.00313204710598847</v>
      </c>
      <c r="D7030" s="1" t="n">
        <v>0.58397</v>
      </c>
      <c r="E7030" s="1" t="n">
        <f aca="false">LN(D7030)</f>
        <v>-0.5379056673364</v>
      </c>
    </row>
    <row r="7031" customFormat="false" ht="15.75" hidden="false" customHeight="false" outlineLevel="0" collapsed="false">
      <c r="A7031" s="1" t="s">
        <v>1166</v>
      </c>
      <c r="B7031" s="1" t="n">
        <v>319.66</v>
      </c>
      <c r="C7031" s="1" t="n">
        <f aca="false">1/B7031</f>
        <v>0.00312832384408434</v>
      </c>
      <c r="D7031" s="1" t="n">
        <v>0.58013</v>
      </c>
      <c r="E7031" s="1" t="n">
        <f aca="false">LN(D7031)</f>
        <v>-0.544503062625791</v>
      </c>
    </row>
    <row r="7032" customFormat="false" ht="15.75" hidden="false" customHeight="false" outlineLevel="0" collapsed="false">
      <c r="A7032" s="1" t="s">
        <v>1166</v>
      </c>
      <c r="B7032" s="1" t="n">
        <v>320.04</v>
      </c>
      <c r="C7032" s="1" t="n">
        <f aca="false">1/B7032</f>
        <v>0.00312460942382202</v>
      </c>
      <c r="D7032" s="1" t="n">
        <v>0.57632</v>
      </c>
      <c r="E7032" s="1" t="n">
        <f aca="false">LN(D7032)</f>
        <v>-0.551092216994546</v>
      </c>
    </row>
    <row r="7033" customFormat="false" ht="15.75" hidden="false" customHeight="false" outlineLevel="0" collapsed="false">
      <c r="A7033" s="1" t="s">
        <v>1166</v>
      </c>
      <c r="B7033" s="1" t="n">
        <v>320.42</v>
      </c>
      <c r="C7033" s="1" t="n">
        <f aca="false">1/B7033</f>
        <v>0.00312090381374446</v>
      </c>
      <c r="D7033" s="1" t="n">
        <v>0.57256</v>
      </c>
      <c r="E7033" s="1" t="n">
        <f aca="false">LN(D7033)</f>
        <v>-0.557637745551795</v>
      </c>
    </row>
    <row r="7034" customFormat="false" ht="15.75" hidden="false" customHeight="false" outlineLevel="0" collapsed="false">
      <c r="A7034" s="1" t="s">
        <v>1166</v>
      </c>
      <c r="B7034" s="1" t="n">
        <v>320.8</v>
      </c>
      <c r="C7034" s="1" t="n">
        <f aca="false">1/B7034</f>
        <v>0.00311720698254364</v>
      </c>
      <c r="D7034" s="1" t="n">
        <v>0.56883</v>
      </c>
      <c r="E7034" s="1" t="n">
        <f aca="false">LN(D7034)</f>
        <v>-0.564173659267915</v>
      </c>
    </row>
    <row r="7035" customFormat="false" ht="15.75" hidden="false" customHeight="false" outlineLevel="0" collapsed="false">
      <c r="A7035" s="1" t="s">
        <v>1166</v>
      </c>
      <c r="B7035" s="1" t="n">
        <v>321.17</v>
      </c>
      <c r="C7035" s="1" t="n">
        <f aca="false">1/B7035</f>
        <v>0.0031136158420774</v>
      </c>
      <c r="D7035" s="1" t="n">
        <v>0.56515</v>
      </c>
      <c r="E7035" s="1" t="n">
        <f aca="false">LN(D7035)</f>
        <v>-0.570664096345397</v>
      </c>
    </row>
    <row r="7036" customFormat="false" ht="15.75" hidden="false" customHeight="false" outlineLevel="0" collapsed="false">
      <c r="A7036" s="1" t="s">
        <v>1166</v>
      </c>
      <c r="B7036" s="1" t="n">
        <v>321.55</v>
      </c>
      <c r="C7036" s="1" t="n">
        <f aca="false">1/B7036</f>
        <v>0.00310993624630695</v>
      </c>
      <c r="D7036" s="1" t="n">
        <v>0.5615</v>
      </c>
      <c r="E7036" s="1" t="n">
        <f aca="false">LN(D7036)</f>
        <v>-0.577143504803639</v>
      </c>
    </row>
    <row r="7037" customFormat="false" ht="15.75" hidden="false" customHeight="false" outlineLevel="0" collapsed="false">
      <c r="A7037" s="1" t="s">
        <v>1166</v>
      </c>
      <c r="B7037" s="1" t="n">
        <v>321.93</v>
      </c>
      <c r="C7037" s="1" t="n">
        <f aca="false">1/B7037</f>
        <v>0.0031062653371851</v>
      </c>
      <c r="D7037" s="1" t="n">
        <v>0.5579</v>
      </c>
      <c r="E7037" s="1" t="n">
        <f aca="false">LN(D7037)</f>
        <v>-0.583575544130655</v>
      </c>
    </row>
    <row r="7038" customFormat="false" ht="15.75" hidden="false" customHeight="false" outlineLevel="0" collapsed="false">
      <c r="A7038" s="1" t="s">
        <v>1166</v>
      </c>
      <c r="B7038" s="1" t="n">
        <v>322.31</v>
      </c>
      <c r="C7038" s="1" t="n">
        <f aca="false">1/B7038</f>
        <v>0.00310260308398747</v>
      </c>
      <c r="D7038" s="1" t="n">
        <v>0.55433</v>
      </c>
      <c r="E7038" s="1" t="n">
        <f aca="false">LN(D7038)</f>
        <v>-0.589995101704503</v>
      </c>
    </row>
    <row r="7039" customFormat="false" ht="15.75" hidden="false" customHeight="false" outlineLevel="0" collapsed="false">
      <c r="A7039" s="1" t="s">
        <v>1166</v>
      </c>
      <c r="B7039" s="1" t="n">
        <v>322.69</v>
      </c>
      <c r="C7039" s="1" t="n">
        <f aca="false">1/B7039</f>
        <v>0.00309894945613437</v>
      </c>
      <c r="D7039" s="1" t="n">
        <v>0.55079</v>
      </c>
      <c r="E7039" s="1" t="n">
        <f aca="false">LN(D7039)</f>
        <v>-0.596401667702761</v>
      </c>
    </row>
    <row r="7040" customFormat="false" ht="15.75" hidden="false" customHeight="false" outlineLevel="0" collapsed="false">
      <c r="A7040" s="1" t="s">
        <v>1166</v>
      </c>
      <c r="B7040" s="1" t="n">
        <v>323.06</v>
      </c>
      <c r="C7040" s="1" t="n">
        <f aca="false">1/B7040</f>
        <v>0.00309540023525042</v>
      </c>
      <c r="D7040" s="1" t="n">
        <v>0.5473</v>
      </c>
      <c r="E7040" s="1" t="n">
        <f aca="false">LN(D7040)</f>
        <v>-0.602758180832265</v>
      </c>
    </row>
    <row r="7041" customFormat="false" ht="15.75" hidden="false" customHeight="false" outlineLevel="0" collapsed="false">
      <c r="A7041" s="1" t="s">
        <v>1166</v>
      </c>
      <c r="B7041" s="1" t="n">
        <v>323.44</v>
      </c>
      <c r="C7041" s="1" t="n">
        <f aca="false">1/B7041</f>
        <v>0.00309176354192431</v>
      </c>
      <c r="D7041" s="1" t="n">
        <v>0.54384</v>
      </c>
      <c r="E7041" s="1" t="n">
        <f aca="false">LN(D7041)</f>
        <v>-0.609100193034331</v>
      </c>
    </row>
    <row r="7042" customFormat="false" ht="15.75" hidden="false" customHeight="false" outlineLevel="0" collapsed="false">
      <c r="A7042" s="1" t="s">
        <v>1166</v>
      </c>
      <c r="B7042" s="1" t="n">
        <v>323.82</v>
      </c>
      <c r="C7042" s="1" t="n">
        <f aca="false">1/B7042</f>
        <v>0.00308813538385523</v>
      </c>
      <c r="D7042" s="1" t="n">
        <v>0.54042</v>
      </c>
      <c r="E7042" s="1" t="n">
        <f aca="false">LN(D7042)</f>
        <v>-0.615408663958431</v>
      </c>
    </row>
    <row r="7043" customFormat="false" ht="15.75" hidden="false" customHeight="false" outlineLevel="0" collapsed="false">
      <c r="A7043" s="1" t="s">
        <v>1166</v>
      </c>
      <c r="B7043" s="1" t="n">
        <v>324.2</v>
      </c>
      <c r="C7043" s="1" t="n">
        <f aca="false">1/B7043</f>
        <v>0.00308451573103023</v>
      </c>
      <c r="D7043" s="1" t="n">
        <v>0.53703</v>
      </c>
      <c r="E7043" s="1" t="n">
        <f aca="false">LN(D7043)</f>
        <v>-0.621701320111927</v>
      </c>
    </row>
    <row r="7044" customFormat="false" ht="15.75" hidden="false" customHeight="false" outlineLevel="0" collapsed="false">
      <c r="A7044" s="1" t="s">
        <v>1166</v>
      </c>
      <c r="B7044" s="1" t="n">
        <v>324.58</v>
      </c>
      <c r="C7044" s="1" t="n">
        <f aca="false">1/B7044</f>
        <v>0.00308090455357693</v>
      </c>
      <c r="D7044" s="1" t="n">
        <v>0.53368</v>
      </c>
      <c r="E7044" s="1" t="n">
        <f aca="false">LN(D7044)</f>
        <v>-0.627958870580877</v>
      </c>
    </row>
    <row r="7045" customFormat="false" ht="15.75" hidden="false" customHeight="false" outlineLevel="0" collapsed="false">
      <c r="A7045" s="1" t="s">
        <v>1166</v>
      </c>
      <c r="B7045" s="1" t="n">
        <v>324.96</v>
      </c>
      <c r="C7045" s="1" t="n">
        <f aca="false">1/B7045</f>
        <v>0.00307730182176268</v>
      </c>
      <c r="D7045" s="1" t="n">
        <v>0.53036</v>
      </c>
      <c r="E7045" s="1" t="n">
        <f aca="false">LN(D7045)</f>
        <v>-0.634199257735619</v>
      </c>
    </row>
    <row r="7046" customFormat="false" ht="15.75" hidden="false" customHeight="false" outlineLevel="0" collapsed="false">
      <c r="A7046" s="1" t="s">
        <v>1166</v>
      </c>
      <c r="B7046" s="1" t="n">
        <v>325.33</v>
      </c>
      <c r="C7046" s="1" t="n">
        <f aca="false">1/B7046</f>
        <v>0.00307380198567608</v>
      </c>
      <c r="D7046" s="1" t="n">
        <v>0.52707</v>
      </c>
      <c r="E7046" s="1" t="n">
        <f aca="false">LN(D7046)</f>
        <v>-0.640421911937064</v>
      </c>
    </row>
    <row r="7047" customFormat="false" ht="15.75" hidden="false" customHeight="false" outlineLevel="0" collapsed="false">
      <c r="A7047" s="1" t="s">
        <v>1166</v>
      </c>
      <c r="B7047" s="1" t="n">
        <v>325.71</v>
      </c>
      <c r="C7047" s="1" t="n">
        <f aca="false">1/B7047</f>
        <v>0.00307021583617328</v>
      </c>
      <c r="D7047" s="1" t="n">
        <v>0.52382</v>
      </c>
      <c r="E7047" s="1" t="n">
        <f aca="false">LN(D7047)</f>
        <v>-0.64660716512505</v>
      </c>
    </row>
    <row r="7048" customFormat="false" ht="15.75" hidden="false" customHeight="false" outlineLevel="0" collapsed="false">
      <c r="A7048" s="1" t="s">
        <v>1166</v>
      </c>
      <c r="B7048" s="1" t="n">
        <v>326.09</v>
      </c>
      <c r="C7048" s="1" t="n">
        <f aca="false">1/B7048</f>
        <v>0.00306663804471158</v>
      </c>
      <c r="D7048" s="1" t="n">
        <v>0.5206</v>
      </c>
      <c r="E7048" s="1" t="n">
        <f aca="false">LN(D7048)</f>
        <v>-0.652773286421672</v>
      </c>
    </row>
    <row r="7049" customFormat="false" ht="15.75" hidden="false" customHeight="false" outlineLevel="0" collapsed="false">
      <c r="A7049" s="1" t="s">
        <v>1166</v>
      </c>
      <c r="B7049" s="1" t="n">
        <v>326.47</v>
      </c>
      <c r="C7049" s="1" t="n">
        <f aca="false">1/B7049</f>
        <v>0.00306306858210555</v>
      </c>
      <c r="D7049" s="1" t="n">
        <v>0.51742</v>
      </c>
      <c r="E7049" s="1" t="n">
        <f aca="false">LN(D7049)</f>
        <v>-0.658900355164762</v>
      </c>
    </row>
    <row r="7050" customFormat="false" ht="15.75" hidden="false" customHeight="false" outlineLevel="0" collapsed="false">
      <c r="A7050" s="1" t="s">
        <v>1166</v>
      </c>
      <c r="B7050" s="1" t="n">
        <v>326.85</v>
      </c>
      <c r="C7050" s="1" t="n">
        <f aca="false">1/B7050</f>
        <v>0.00305950741930549</v>
      </c>
      <c r="D7050" s="1" t="n">
        <v>0.51427</v>
      </c>
      <c r="E7050" s="1" t="n">
        <f aca="false">LN(D7050)</f>
        <v>-0.665006859615635</v>
      </c>
    </row>
    <row r="7051" customFormat="false" ht="15.75" hidden="false" customHeight="false" outlineLevel="0" collapsed="false">
      <c r="A7051" s="1" t="s">
        <v>1166</v>
      </c>
      <c r="B7051" s="1" t="n">
        <v>327.22</v>
      </c>
      <c r="C7051" s="1" t="n">
        <f aca="false">1/B7051</f>
        <v>0.00305604791883137</v>
      </c>
      <c r="D7051" s="1" t="n">
        <v>0.51114</v>
      </c>
      <c r="E7051" s="1" t="n">
        <f aca="false">LN(D7051)</f>
        <v>-0.671111753699333</v>
      </c>
    </row>
    <row r="7052" customFormat="false" ht="15.75" hidden="false" customHeight="false" outlineLevel="0" collapsed="false">
      <c r="A7052" s="1" t="s">
        <v>1166</v>
      </c>
      <c r="B7052" s="1" t="n">
        <v>327.6</v>
      </c>
      <c r="C7052" s="1" t="n">
        <f aca="false">1/B7052</f>
        <v>0.00305250305250305</v>
      </c>
      <c r="D7052" s="1" t="n">
        <v>0.50805</v>
      </c>
      <c r="E7052" s="1" t="n">
        <f aca="false">LN(D7052)</f>
        <v>-0.677175411050247</v>
      </c>
    </row>
    <row r="7053" customFormat="false" ht="15.75" hidden="false" customHeight="false" outlineLevel="0" collapsed="false">
      <c r="A7053" s="1" t="s">
        <v>1166</v>
      </c>
      <c r="B7053" s="1" t="n">
        <v>327.98</v>
      </c>
      <c r="C7053" s="1" t="n">
        <f aca="false">1/B7053</f>
        <v>0.00304896640039027</v>
      </c>
      <c r="D7053" s="1" t="n">
        <v>0.50499</v>
      </c>
      <c r="E7053" s="1" t="n">
        <f aca="false">LN(D7053)</f>
        <v>-0.683216651883037</v>
      </c>
    </row>
    <row r="7054" customFormat="false" ht="15.75" hidden="false" customHeight="false" outlineLevel="0" collapsed="false">
      <c r="A7054" s="1" t="s">
        <v>1166</v>
      </c>
      <c r="B7054" s="1" t="n">
        <v>328.36</v>
      </c>
      <c r="C7054" s="1" t="n">
        <f aca="false">1/B7054</f>
        <v>0.00304543793397491</v>
      </c>
      <c r="D7054" s="1" t="n">
        <v>0.50196</v>
      </c>
      <c r="E7054" s="1" t="n">
        <f aca="false">LN(D7054)</f>
        <v>-0.68923484374003</v>
      </c>
    </row>
    <row r="7055" customFormat="false" ht="15.75" hidden="false" customHeight="false" outlineLevel="0" collapsed="false">
      <c r="A7055" s="1" t="s">
        <v>1166</v>
      </c>
      <c r="B7055" s="1" t="n">
        <v>328.74</v>
      </c>
      <c r="C7055" s="1" t="n">
        <f aca="false">1/B7055</f>
        <v>0.00304191762487072</v>
      </c>
      <c r="D7055" s="1" t="n">
        <v>0.49896</v>
      </c>
      <c r="E7055" s="1" t="n">
        <f aca="false">LN(D7055)</f>
        <v>-0.69522934676427</v>
      </c>
    </row>
    <row r="7056" customFormat="false" ht="15.75" hidden="false" customHeight="false" outlineLevel="0" collapsed="false">
      <c r="A7056" s="1" t="s">
        <v>1166</v>
      </c>
      <c r="B7056" s="1" t="n">
        <v>329.11</v>
      </c>
      <c r="C7056" s="1" t="n">
        <f aca="false">1/B7056</f>
        <v>0.00303849776670414</v>
      </c>
      <c r="D7056" s="1" t="n">
        <v>0.49599</v>
      </c>
      <c r="E7056" s="1" t="n">
        <f aca="false">LN(D7056)</f>
        <v>-0.701199513750774</v>
      </c>
    </row>
    <row r="7057" customFormat="false" ht="15.75" hidden="false" customHeight="false" outlineLevel="0" collapsed="false">
      <c r="A7057" s="1" t="s">
        <v>1166</v>
      </c>
      <c r="B7057" s="1" t="n">
        <v>329.49</v>
      </c>
      <c r="C7057" s="1" t="n">
        <f aca="false">1/B7057</f>
        <v>0.00303499347476403</v>
      </c>
      <c r="D7057" s="1" t="n">
        <v>0.49305</v>
      </c>
      <c r="E7057" s="1" t="n">
        <f aca="false">LN(D7057)</f>
        <v>-0.707144690203799</v>
      </c>
    </row>
    <row r="7058" customFormat="false" ht="15.75" hidden="false" customHeight="false" outlineLevel="0" collapsed="false">
      <c r="A7058" s="1" t="s">
        <v>1166</v>
      </c>
      <c r="B7058" s="1" t="n">
        <v>329.87</v>
      </c>
      <c r="C7058" s="1" t="n">
        <f aca="false">1/B7058</f>
        <v>0.00303149725649498</v>
      </c>
      <c r="D7058" s="1" t="n">
        <v>0.49014</v>
      </c>
      <c r="E7058" s="1" t="n">
        <f aca="false">LN(D7058)</f>
        <v>-0.713064214400304</v>
      </c>
    </row>
    <row r="7059" customFormat="false" ht="15.75" hidden="false" customHeight="false" outlineLevel="0" collapsed="false">
      <c r="A7059" s="1" t="s">
        <v>1166</v>
      </c>
      <c r="B7059" s="1" t="n">
        <v>330.25</v>
      </c>
      <c r="C7059" s="1" t="n">
        <f aca="false">1/B7059</f>
        <v>0.00302800908402725</v>
      </c>
      <c r="D7059" s="1" t="n">
        <v>0.48726</v>
      </c>
      <c r="E7059" s="1" t="n">
        <f aca="false">LN(D7059)</f>
        <v>-0.718957417459763</v>
      </c>
    </row>
    <row r="7060" customFormat="false" ht="15.75" hidden="false" customHeight="false" outlineLevel="0" collapsed="false">
      <c r="A7060" s="1" t="s">
        <v>1166</v>
      </c>
      <c r="B7060" s="1" t="n">
        <v>330.63</v>
      </c>
      <c r="C7060" s="1" t="n">
        <f aca="false">1/B7060</f>
        <v>0.00302452892961921</v>
      </c>
      <c r="D7060" s="1" t="n">
        <v>0.4844</v>
      </c>
      <c r="E7060" s="1" t="n">
        <f aca="false">LN(D7060)</f>
        <v>-0.7248442673032</v>
      </c>
    </row>
    <row r="7061" customFormat="false" ht="15.75" hidden="false" customHeight="false" outlineLevel="0" collapsed="false">
      <c r="A7061" s="1" t="s">
        <v>1166</v>
      </c>
      <c r="B7061" s="1" t="n">
        <v>331</v>
      </c>
      <c r="C7061" s="1" t="n">
        <f aca="false">1/B7061</f>
        <v>0.00302114803625378</v>
      </c>
      <c r="D7061" s="1" t="n">
        <v>0.48158</v>
      </c>
      <c r="E7061" s="1" t="n">
        <f aca="false">LN(D7061)</f>
        <v>-0.73068291408905</v>
      </c>
    </row>
    <row r="7062" customFormat="false" ht="15.75" hidden="false" customHeight="false" outlineLevel="0" collapsed="false">
      <c r="A7062" s="1" t="s">
        <v>1166</v>
      </c>
      <c r="B7062" s="1" t="n">
        <v>331.38</v>
      </c>
      <c r="C7062" s="1" t="n">
        <f aca="false">1/B7062</f>
        <v>0.00301768362604864</v>
      </c>
      <c r="D7062" s="1" t="n">
        <v>0.47878</v>
      </c>
      <c r="E7062" s="1" t="n">
        <f aca="false">LN(D7062)</f>
        <v>-0.736514077265158</v>
      </c>
    </row>
    <row r="7063" customFormat="false" ht="15.75" hidden="false" customHeight="false" outlineLevel="0" collapsed="false">
      <c r="A7063" s="1" t="s">
        <v>1166</v>
      </c>
      <c r="B7063" s="1" t="n">
        <v>331.76</v>
      </c>
      <c r="C7063" s="1" t="n">
        <f aca="false">1/B7063</f>
        <v>0.00301422715215819</v>
      </c>
      <c r="D7063" s="1" t="n">
        <v>0.476</v>
      </c>
      <c r="E7063" s="1" t="n">
        <f aca="false">LN(D7063)</f>
        <v>-0.742337424750717</v>
      </c>
    </row>
    <row r="7064" customFormat="false" ht="15.75" hidden="false" customHeight="false" outlineLevel="0" collapsed="false">
      <c r="A7064" s="1" t="s">
        <v>1166</v>
      </c>
      <c r="B7064" s="1" t="n">
        <v>332.14</v>
      </c>
      <c r="C7064" s="1" t="n">
        <f aca="false">1/B7064</f>
        <v>0.00301077858734269</v>
      </c>
      <c r="D7064" s="1" t="n">
        <v>0.47326</v>
      </c>
      <c r="E7064" s="1" t="n">
        <f aca="false">LN(D7064)</f>
        <v>-0.748110358635232</v>
      </c>
    </row>
    <row r="7065" customFormat="false" ht="15.75" hidden="false" customHeight="false" outlineLevel="0" collapsed="false">
      <c r="A7065" s="1" t="s">
        <v>1166</v>
      </c>
      <c r="B7065" s="1" t="n">
        <v>332.52</v>
      </c>
      <c r="C7065" s="1" t="n">
        <f aca="false">1/B7065</f>
        <v>0.00300733790448695</v>
      </c>
      <c r="D7065" s="1" t="n">
        <v>0.47054</v>
      </c>
      <c r="E7065" s="1" t="n">
        <f aca="false">LN(D7065)</f>
        <v>-0.753874307629864</v>
      </c>
    </row>
    <row r="7066" customFormat="false" ht="15.75" hidden="false" customHeight="false" outlineLevel="0" collapsed="false">
      <c r="A7066" s="1" t="s">
        <v>1166</v>
      </c>
      <c r="B7066" s="1" t="n">
        <v>332.89</v>
      </c>
      <c r="C7066" s="1" t="n">
        <f aca="false">1/B7066</f>
        <v>0.00300399531376731</v>
      </c>
      <c r="D7066" s="1" t="n">
        <v>0.46784</v>
      </c>
      <c r="E7066" s="1" t="n">
        <f aca="false">LN(D7066)</f>
        <v>-0.759628921860778</v>
      </c>
    </row>
    <row r="7067" customFormat="false" ht="15.75" hidden="false" customHeight="false" outlineLevel="0" collapsed="false">
      <c r="A7067" s="1" t="s">
        <v>1166</v>
      </c>
      <c r="B7067" s="1" t="n">
        <v>333.27</v>
      </c>
      <c r="C7067" s="1" t="n">
        <f aca="false">1/B7067</f>
        <v>0.00300057010832058</v>
      </c>
      <c r="D7067" s="1" t="n">
        <v>0.46517</v>
      </c>
      <c r="E7067" s="1" t="n">
        <f aca="false">LN(D7067)</f>
        <v>-0.765352348809183</v>
      </c>
    </row>
    <row r="7068" customFormat="false" ht="15.75" hidden="false" customHeight="false" outlineLevel="0" collapsed="false">
      <c r="A7068" s="1" t="s">
        <v>1166</v>
      </c>
      <c r="B7068" s="1" t="n">
        <v>333.65</v>
      </c>
      <c r="C7068" s="1" t="n">
        <f aca="false">1/B7068</f>
        <v>0.00299715270493032</v>
      </c>
      <c r="D7068" s="1" t="n">
        <v>0.46253</v>
      </c>
      <c r="E7068" s="1" t="n">
        <f aca="false">LN(D7068)</f>
        <v>-0.771043859268427</v>
      </c>
    </row>
    <row r="7069" customFormat="false" ht="15.75" hidden="false" customHeight="false" outlineLevel="0" collapsed="false">
      <c r="A7069" s="1" t="s">
        <v>1166</v>
      </c>
      <c r="B7069" s="1" t="n">
        <v>334.03</v>
      </c>
      <c r="C7069" s="1" t="n">
        <f aca="false">1/B7069</f>
        <v>0.00299374307696913</v>
      </c>
      <c r="D7069" s="1" t="n">
        <v>0.45991</v>
      </c>
      <c r="E7069" s="1" t="n">
        <f aca="false">LN(D7069)</f>
        <v>-0.776724460815293</v>
      </c>
    </row>
    <row r="7070" customFormat="false" ht="15.75" hidden="false" customHeight="false" outlineLevel="0" collapsed="false">
      <c r="A7070" s="1" t="s">
        <v>1166</v>
      </c>
      <c r="B7070" s="1" t="n">
        <v>334.41</v>
      </c>
      <c r="C7070" s="1" t="n">
        <f aca="false">1/B7070</f>
        <v>0.00299034119793068</v>
      </c>
      <c r="D7070" s="1" t="n">
        <v>0.45732</v>
      </c>
      <c r="E7070" s="1" t="n">
        <f aca="false">LN(D7070)</f>
        <v>-0.782371914308368</v>
      </c>
    </row>
    <row r="7071" customFormat="false" ht="15.75" hidden="false" customHeight="false" outlineLevel="0" collapsed="false">
      <c r="A7071" s="1" t="s">
        <v>1166</v>
      </c>
      <c r="B7071" s="1" t="n">
        <v>334.78</v>
      </c>
      <c r="C7071" s="1" t="n">
        <f aca="false">1/B7071</f>
        <v>0.00298703626262023</v>
      </c>
      <c r="D7071" s="1" t="n">
        <v>0.45475</v>
      </c>
      <c r="E7071" s="1" t="n">
        <f aca="false">LN(D7071)</f>
        <v>-0.788007461583905</v>
      </c>
    </row>
    <row r="7072" customFormat="false" ht="15.75" hidden="false" customHeight="false" outlineLevel="0" collapsed="false">
      <c r="A7072" s="1" t="s">
        <v>1166</v>
      </c>
      <c r="B7072" s="1" t="n">
        <v>335.16</v>
      </c>
      <c r="C7072" s="1" t="n">
        <f aca="false">1/B7072</f>
        <v>0.00298364960019095</v>
      </c>
      <c r="D7072" s="1" t="n">
        <v>0.4522</v>
      </c>
      <c r="E7072" s="1" t="n">
        <f aca="false">LN(D7072)</f>
        <v>-0.793630719138268</v>
      </c>
    </row>
    <row r="7073" customFormat="false" ht="15.75" hidden="false" customHeight="false" outlineLevel="0" collapsed="false">
      <c r="A7073" s="1" t="s">
        <v>1166</v>
      </c>
      <c r="B7073" s="1" t="n">
        <v>335.54</v>
      </c>
      <c r="C7073" s="1" t="n">
        <f aca="false">1/B7073</f>
        <v>0.00298027060857126</v>
      </c>
      <c r="D7073" s="1" t="n">
        <v>0.44968</v>
      </c>
      <c r="E7073" s="1" t="n">
        <f aca="false">LN(D7073)</f>
        <v>-0.799219060288317</v>
      </c>
    </row>
    <row r="7074" customFormat="false" ht="15.75" hidden="false" customHeight="false" outlineLevel="0" collapsed="false">
      <c r="A7074" s="1" t="s">
        <v>1166</v>
      </c>
      <c r="B7074" s="1" t="n">
        <v>335.92</v>
      </c>
      <c r="C7074" s="1" t="n">
        <f aca="false">1/B7074</f>
        <v>0.00297689926172898</v>
      </c>
      <c r="D7074" s="1" t="n">
        <v>0.44718</v>
      </c>
      <c r="E7074" s="1" t="n">
        <f aca="false">LN(D7074)</f>
        <v>-0.804794080860479</v>
      </c>
    </row>
    <row r="7075" customFormat="false" ht="15.75" hidden="false" customHeight="false" outlineLevel="0" collapsed="false">
      <c r="A7075" s="1" t="s">
        <v>1166</v>
      </c>
      <c r="B7075" s="1" t="n">
        <v>336.3</v>
      </c>
      <c r="C7075" s="1" t="n">
        <f aca="false">1/B7075</f>
        <v>0.00297353553374963</v>
      </c>
      <c r="D7075" s="1" t="n">
        <v>0.44471</v>
      </c>
      <c r="E7075" s="1" t="n">
        <f aca="false">LN(D7075)</f>
        <v>-0.810332894648382</v>
      </c>
    </row>
    <row r="7076" customFormat="false" ht="15.75" hidden="false" customHeight="false" outlineLevel="0" collapsed="false">
      <c r="A7076" s="1" t="s">
        <v>1166</v>
      </c>
      <c r="B7076" s="1" t="n">
        <v>336.68</v>
      </c>
      <c r="C7076" s="1" t="n">
        <f aca="false">1/B7076</f>
        <v>0.00297017939883569</v>
      </c>
      <c r="D7076" s="1" t="n">
        <v>0.44225</v>
      </c>
      <c r="E7076" s="1" t="n">
        <f aca="false">LN(D7076)</f>
        <v>-0.815879945942242</v>
      </c>
    </row>
    <row r="7077" customFormat="false" ht="15.75" hidden="false" customHeight="false" outlineLevel="0" collapsed="false">
      <c r="A7077" s="1" t="s">
        <v>1166</v>
      </c>
      <c r="B7077" s="1" t="n">
        <v>337.05</v>
      </c>
      <c r="C7077" s="1" t="n">
        <f aca="false">1/B7077</f>
        <v>0.00296691885476932</v>
      </c>
      <c r="D7077" s="1" t="n">
        <v>0.43983</v>
      </c>
      <c r="E7077" s="1" t="n">
        <f aca="false">LN(D7077)</f>
        <v>-0.821366990363854</v>
      </c>
    </row>
    <row r="7078" customFormat="false" ht="15.75" hidden="false" customHeight="false" outlineLevel="0" collapsed="false">
      <c r="A7078" s="1" t="s">
        <v>1166</v>
      </c>
      <c r="B7078" s="1" t="n">
        <v>337.43</v>
      </c>
      <c r="C7078" s="1" t="n">
        <f aca="false">1/B7078</f>
        <v>0.00296357763091604</v>
      </c>
      <c r="D7078" s="1" t="n">
        <v>0.43742</v>
      </c>
      <c r="E7078" s="1" t="n">
        <f aca="false">LN(D7078)</f>
        <v>-0.826861447047731</v>
      </c>
    </row>
    <row r="7079" customFormat="false" ht="15.75" hidden="false" customHeight="false" outlineLevel="0" collapsed="false">
      <c r="A7079" s="1" t="s">
        <v>1166</v>
      </c>
      <c r="B7079" s="1" t="n">
        <v>337.81</v>
      </c>
      <c r="C7079" s="1" t="n">
        <f aca="false">1/B7079</f>
        <v>0.00296024392409935</v>
      </c>
      <c r="D7079" s="1" t="n">
        <v>0.43503</v>
      </c>
      <c r="E7079" s="1" t="n">
        <f aca="false">LN(D7079)</f>
        <v>-0.832340284754224</v>
      </c>
    </row>
    <row r="7080" customFormat="false" ht="15.75" hidden="false" customHeight="false" outlineLevel="0" collapsed="false">
      <c r="A7080" s="1" t="s">
        <v>1166</v>
      </c>
      <c r="B7080" s="1" t="n">
        <v>338.19</v>
      </c>
      <c r="C7080" s="1" t="n">
        <f aca="false">1/B7080</f>
        <v>0.00295691770898016</v>
      </c>
      <c r="D7080" s="1" t="n">
        <v>0.43267</v>
      </c>
      <c r="E7080" s="1" t="n">
        <f aca="false">LN(D7080)</f>
        <v>-0.837779966255642</v>
      </c>
    </row>
    <row r="7081" customFormat="false" ht="15.75" hidden="false" customHeight="false" outlineLevel="0" collapsed="false">
      <c r="A7081" s="1" t="s">
        <v>1166</v>
      </c>
      <c r="B7081" s="1" t="n">
        <v>338.57</v>
      </c>
      <c r="C7081" s="1" t="n">
        <f aca="false">1/B7081</f>
        <v>0.00295359896033317</v>
      </c>
      <c r="D7081" s="1" t="n">
        <v>0.43033</v>
      </c>
      <c r="E7081" s="1" t="n">
        <f aca="false">LN(D7081)</f>
        <v>-0.843202922766989</v>
      </c>
    </row>
    <row r="7082" customFormat="false" ht="15.75" hidden="false" customHeight="false" outlineLevel="0" collapsed="false">
      <c r="A7082" s="1" t="s">
        <v>1166</v>
      </c>
      <c r="B7082" s="1" t="n">
        <v>338.94</v>
      </c>
      <c r="C7082" s="1" t="n">
        <f aca="false">1/B7082</f>
        <v>0.00295037469758659</v>
      </c>
      <c r="D7082" s="1" t="n">
        <v>0.42801</v>
      </c>
      <c r="E7082" s="1" t="n">
        <f aca="false">LN(D7082)</f>
        <v>-0.848608719187304</v>
      </c>
    </row>
    <row r="7083" customFormat="false" ht="15.75" hidden="false" customHeight="false" outlineLevel="0" collapsed="false">
      <c r="A7083" s="1" t="s">
        <v>1166</v>
      </c>
      <c r="B7083" s="1" t="n">
        <v>339.32</v>
      </c>
      <c r="C7083" s="1" t="n">
        <f aca="false">1/B7083</f>
        <v>0.00294707061181186</v>
      </c>
      <c r="D7083" s="1" t="n">
        <v>0.42571</v>
      </c>
      <c r="E7083" s="1" t="n">
        <f aca="false">LN(D7083)</f>
        <v>-0.853996915702768</v>
      </c>
    </row>
    <row r="7084" customFormat="false" ht="15.75" hidden="false" customHeight="false" outlineLevel="0" collapsed="false">
      <c r="A7084" s="1" t="s">
        <v>1166</v>
      </c>
      <c r="B7084" s="1" t="n">
        <v>339.7</v>
      </c>
      <c r="C7084" s="1" t="n">
        <f aca="false">1/B7084</f>
        <v>0.00294377391816309</v>
      </c>
      <c r="D7084" s="1" t="n">
        <v>0.42343</v>
      </c>
      <c r="E7084" s="1" t="n">
        <f aca="false">LN(D7084)</f>
        <v>-0.859367067808001</v>
      </c>
    </row>
    <row r="7085" customFormat="false" ht="15.75" hidden="false" customHeight="false" outlineLevel="0" collapsed="false">
      <c r="A7085" s="1" t="s">
        <v>1166</v>
      </c>
      <c r="B7085" s="1" t="n">
        <v>340.08</v>
      </c>
      <c r="C7085" s="1" t="n">
        <f aca="false">1/B7085</f>
        <v>0.00294048459186074</v>
      </c>
      <c r="D7085" s="1" t="n">
        <v>0.42117</v>
      </c>
      <c r="E7085" s="1" t="n">
        <f aca="false">LN(D7085)</f>
        <v>-0.864718726330167</v>
      </c>
    </row>
    <row r="7086" customFormat="false" ht="15.75" hidden="false" customHeight="false" outlineLevel="0" collapsed="false">
      <c r="A7086" s="1" t="s">
        <v>1166</v>
      </c>
      <c r="B7086" s="1" t="n">
        <v>340.46</v>
      </c>
      <c r="C7086" s="1" t="n">
        <f aca="false">1/B7086</f>
        <v>0.00293720260823592</v>
      </c>
      <c r="D7086" s="1" t="n">
        <v>0.41893</v>
      </c>
      <c r="E7086" s="1" t="n">
        <f aca="false">LN(D7086)</f>
        <v>-0.870051437455958</v>
      </c>
    </row>
    <row r="7087" customFormat="false" ht="15.75" hidden="false" customHeight="false" outlineLevel="0" collapsed="false">
      <c r="A7087" s="1" t="s">
        <v>1166</v>
      </c>
      <c r="B7087" s="1" t="n">
        <v>340.83</v>
      </c>
      <c r="C7087" s="1" t="n">
        <f aca="false">1/B7087</f>
        <v>0.00293401402458704</v>
      </c>
      <c r="D7087" s="1" t="n">
        <v>0.41671</v>
      </c>
      <c r="E7087" s="1" t="n">
        <f aca="false">LN(D7087)</f>
        <v>-0.875364742761525</v>
      </c>
    </row>
    <row r="7088" customFormat="false" ht="15.75" hidden="false" customHeight="false" outlineLevel="0" collapsed="false">
      <c r="A7088" s="1" t="s">
        <v>1166</v>
      </c>
      <c r="B7088" s="1" t="n">
        <v>341.21</v>
      </c>
      <c r="C7088" s="1" t="n">
        <f aca="false">1/B7088</f>
        <v>0.00293074646112365</v>
      </c>
      <c r="D7088" s="1" t="n">
        <v>0.41452</v>
      </c>
      <c r="E7088" s="1" t="n">
        <f aca="false">LN(D7088)</f>
        <v>-0.88063405466612</v>
      </c>
    </row>
    <row r="7089" customFormat="false" ht="15.75" hidden="false" customHeight="false" outlineLevel="0" collapsed="false">
      <c r="A7089" s="1" t="s">
        <v>1166</v>
      </c>
      <c r="B7089" s="1" t="n">
        <v>341.59</v>
      </c>
      <c r="C7089" s="1" t="n">
        <f aca="false">1/B7089</f>
        <v>0.00292748616762786</v>
      </c>
      <c r="D7089" s="1" t="n">
        <v>0.41234</v>
      </c>
      <c r="E7089" s="1" t="n">
        <f aca="false">LN(D7089)</f>
        <v>-0.885907027239715</v>
      </c>
    </row>
    <row r="7090" customFormat="false" ht="15.75" hidden="false" customHeight="false" outlineLevel="0" collapsed="false">
      <c r="A7090" s="1" t="s">
        <v>1166</v>
      </c>
      <c r="B7090" s="1" t="n">
        <v>341.97</v>
      </c>
      <c r="C7090" s="1" t="n">
        <f aca="false">1/B7090</f>
        <v>0.00292423311986432</v>
      </c>
      <c r="D7090" s="1" t="n">
        <v>0.41018</v>
      </c>
      <c r="E7090" s="1" t="n">
        <f aca="false">LN(D7090)</f>
        <v>-0.89115919123655</v>
      </c>
    </row>
    <row r="7091" customFormat="false" ht="15.75" hidden="false" customHeight="false" outlineLevel="0" collapsed="false">
      <c r="A7091" s="1" t="s">
        <v>1166</v>
      </c>
      <c r="B7091" s="1" t="n">
        <v>342.35</v>
      </c>
      <c r="C7091" s="1" t="n">
        <f aca="false">1/B7091</f>
        <v>0.00292098729370527</v>
      </c>
      <c r="D7091" s="1" t="n">
        <v>0.40804</v>
      </c>
      <c r="E7091" s="1" t="n">
        <f aca="false">LN(D7091)</f>
        <v>-0.896390070167819</v>
      </c>
    </row>
    <row r="7092" customFormat="false" ht="15.75" hidden="false" customHeight="false" outlineLevel="0" collapsed="false">
      <c r="A7092" s="1" t="s">
        <v>1166</v>
      </c>
      <c r="B7092" s="1" t="n">
        <v>342.72</v>
      </c>
      <c r="C7092" s="1" t="n">
        <f aca="false">1/B7092</f>
        <v>0.00291783380018674</v>
      </c>
      <c r="D7092" s="1" t="n">
        <v>0.40591</v>
      </c>
      <c r="E7092" s="1" t="n">
        <f aca="false">LN(D7092)</f>
        <v>-0.901623818830759</v>
      </c>
    </row>
    <row r="7093" customFormat="false" ht="15.75" hidden="false" customHeight="false" outlineLevel="0" collapsed="false">
      <c r="A7093" s="1" t="s">
        <v>1166</v>
      </c>
      <c r="B7093" s="1" t="n">
        <v>343.1</v>
      </c>
      <c r="C7093" s="1" t="n">
        <f aca="false">1/B7093</f>
        <v>0.0029146021568056</v>
      </c>
      <c r="D7093" s="1" t="n">
        <v>0.40381</v>
      </c>
      <c r="E7093" s="1" t="n">
        <f aca="false">LN(D7093)</f>
        <v>-0.906810808675024</v>
      </c>
    </row>
    <row r="7094" customFormat="false" ht="15.75" hidden="false" customHeight="false" outlineLevel="0" collapsed="false">
      <c r="A7094" s="1" t="s">
        <v>1166</v>
      </c>
      <c r="B7094" s="1" t="n">
        <v>343.48</v>
      </c>
      <c r="C7094" s="1" t="n">
        <f aca="false">1/B7094</f>
        <v>0.00291137766391056</v>
      </c>
      <c r="D7094" s="1" t="n">
        <v>0.40173</v>
      </c>
      <c r="E7094" s="1" t="n">
        <f aca="false">LN(D7094)</f>
        <v>-0.911975057806553</v>
      </c>
    </row>
    <row r="7095" customFormat="false" ht="15.75" hidden="false" customHeight="false" outlineLevel="0" collapsed="false">
      <c r="A7095" s="1" t="s">
        <v>1166</v>
      </c>
      <c r="B7095" s="1" t="n">
        <v>343.86</v>
      </c>
      <c r="C7095" s="1" t="n">
        <f aca="false">1/B7095</f>
        <v>0.00290816029779561</v>
      </c>
      <c r="D7095" s="1" t="n">
        <v>0.39966</v>
      </c>
      <c r="E7095" s="1" t="n">
        <f aca="false">LN(D7095)</f>
        <v>-0.917141093328994</v>
      </c>
    </row>
    <row r="7096" customFormat="false" ht="15.75" hidden="false" customHeight="false" outlineLevel="0" collapsed="false">
      <c r="A7096" s="1" t="s">
        <v>1166</v>
      </c>
      <c r="B7096" s="1" t="n">
        <v>344.24</v>
      </c>
      <c r="C7096" s="1" t="n">
        <f aca="false">1/B7096</f>
        <v>0.0029049500348594</v>
      </c>
      <c r="D7096" s="1" t="n">
        <v>0.39761</v>
      </c>
      <c r="E7096" s="1" t="n">
        <f aca="false">LN(D7096)</f>
        <v>-0.922283653610564</v>
      </c>
    </row>
    <row r="7097" customFormat="false" ht="15.75" hidden="false" customHeight="false" outlineLevel="0" collapsed="false">
      <c r="A7097" s="1" t="s">
        <v>1166</v>
      </c>
      <c r="B7097" s="1" t="n">
        <v>344.61</v>
      </c>
      <c r="C7097" s="1" t="n">
        <f aca="false">1/B7097</f>
        <v>0.00290183105539595</v>
      </c>
      <c r="D7097" s="1" t="n">
        <v>0.39558</v>
      </c>
      <c r="E7097" s="1" t="n">
        <f aca="false">LN(D7097)</f>
        <v>-0.927402236628874</v>
      </c>
    </row>
    <row r="7098" customFormat="false" ht="15.75" hidden="false" customHeight="false" outlineLevel="0" collapsed="false">
      <c r="A7098" s="1" t="s">
        <v>1166</v>
      </c>
      <c r="B7098" s="1" t="n">
        <v>344.99</v>
      </c>
      <c r="C7098" s="1" t="n">
        <f aca="false">1/B7098</f>
        <v>0.00289863474303603</v>
      </c>
      <c r="D7098" s="1" t="n">
        <v>0.39357</v>
      </c>
      <c r="E7098" s="1" t="n">
        <f aca="false">LN(D7098)</f>
        <v>-0.932496336221088</v>
      </c>
    </row>
    <row r="7099" customFormat="false" ht="15.75" hidden="false" customHeight="false" outlineLevel="0" collapsed="false">
      <c r="A7099" s="1" t="s">
        <v>1166</v>
      </c>
      <c r="B7099" s="1" t="n">
        <v>345.37</v>
      </c>
      <c r="C7099" s="1" t="n">
        <f aca="false">1/B7099</f>
        <v>0.00289544546428468</v>
      </c>
      <c r="D7099" s="1" t="n">
        <v>0.39157</v>
      </c>
      <c r="E7099" s="1" t="n">
        <f aca="false">LN(D7099)</f>
        <v>-0.937590980044858</v>
      </c>
    </row>
    <row r="7100" customFormat="false" ht="15.75" hidden="false" customHeight="false" outlineLevel="0" collapsed="false">
      <c r="A7100" s="1" t="s">
        <v>1166</v>
      </c>
      <c r="B7100" s="1" t="n">
        <v>345.75</v>
      </c>
      <c r="C7100" s="1" t="n">
        <f aca="false">1/B7100</f>
        <v>0.00289226319595083</v>
      </c>
      <c r="D7100" s="1" t="n">
        <v>0.38959</v>
      </c>
      <c r="E7100" s="1" t="n">
        <f aca="false">LN(D7100)</f>
        <v>-0.942660374894298</v>
      </c>
    </row>
    <row r="7101" customFormat="false" ht="15.75" hidden="false" customHeight="false" outlineLevel="0" collapsed="false">
      <c r="A7101" s="1" t="s">
        <v>1166</v>
      </c>
      <c r="B7101" s="1" t="n">
        <v>346.13</v>
      </c>
      <c r="C7101" s="1" t="n">
        <f aca="false">1/B7101</f>
        <v>0.00288908791494525</v>
      </c>
      <c r="D7101" s="1" t="n">
        <v>0.38763</v>
      </c>
      <c r="E7101" s="1" t="n">
        <f aca="false">LN(D7101)</f>
        <v>-0.947704002579899</v>
      </c>
    </row>
    <row r="7102" customFormat="false" ht="15.75" hidden="false" customHeight="false" outlineLevel="0" collapsed="false">
      <c r="A7102" s="1" t="s">
        <v>1166</v>
      </c>
      <c r="B7102" s="1" t="n">
        <v>346.5</v>
      </c>
      <c r="C7102" s="1" t="n">
        <f aca="false">1/B7102</f>
        <v>0.00288600288600289</v>
      </c>
      <c r="D7102" s="1" t="n">
        <v>0.38569</v>
      </c>
      <c r="E7102" s="1" t="n">
        <f aca="false">LN(D7102)</f>
        <v>-0.952721340990244</v>
      </c>
    </row>
    <row r="7103" customFormat="false" ht="15.75" hidden="false" customHeight="false" outlineLevel="0" collapsed="false">
      <c r="A7103" s="1" t="s">
        <v>1166</v>
      </c>
      <c r="B7103" s="1" t="n">
        <v>346.88</v>
      </c>
      <c r="C7103" s="1" t="n">
        <f aca="false">1/B7103</f>
        <v>0.00288284132841328</v>
      </c>
      <c r="D7103" s="1" t="n">
        <v>0.38376</v>
      </c>
      <c r="E7103" s="1" t="n">
        <f aca="false">LN(D7103)</f>
        <v>-0.957737921788329</v>
      </c>
    </row>
    <row r="7104" customFormat="false" ht="15.75" hidden="false" customHeight="false" outlineLevel="0" collapsed="false">
      <c r="A7104" s="1" t="s">
        <v>1166</v>
      </c>
      <c r="B7104" s="1" t="n">
        <v>347.26</v>
      </c>
      <c r="C7104" s="1" t="n">
        <f aca="false">1/B7104</f>
        <v>0.00287968669008812</v>
      </c>
      <c r="D7104" s="1" t="n">
        <v>0.38185</v>
      </c>
      <c r="E7104" s="1" t="n">
        <f aca="false">LN(D7104)</f>
        <v>-0.962727417647744</v>
      </c>
    </row>
    <row r="7105" customFormat="false" ht="15.75" hidden="false" customHeight="false" outlineLevel="0" collapsed="false">
      <c r="A7105" s="1" t="s">
        <v>1166</v>
      </c>
      <c r="B7105" s="1" t="n">
        <v>347.64</v>
      </c>
      <c r="C7105" s="1" t="n">
        <f aca="false">1/B7105</f>
        <v>0.00287653894833736</v>
      </c>
      <c r="D7105" s="1" t="n">
        <v>0.37995</v>
      </c>
      <c r="E7105" s="1" t="n">
        <f aca="false">LN(D7105)</f>
        <v>-0.967715613866343</v>
      </c>
    </row>
    <row r="7106" customFormat="false" ht="15.75" hidden="false" customHeight="false" outlineLevel="0" collapsed="false">
      <c r="A7106" s="1" t="s">
        <v>1166</v>
      </c>
      <c r="B7106" s="1" t="n">
        <v>348.02</v>
      </c>
      <c r="C7106" s="1" t="n">
        <f aca="false">1/B7106</f>
        <v>0.00287339808057008</v>
      </c>
      <c r="D7106" s="1" t="n">
        <v>0.37807</v>
      </c>
      <c r="E7106" s="1" t="n">
        <f aca="false">LN(D7106)</f>
        <v>-0.972675915322024</v>
      </c>
    </row>
    <row r="7107" customFormat="false" ht="15.75" hidden="false" customHeight="false" outlineLevel="0" collapsed="false">
      <c r="A7107" s="1" t="s">
        <v>1166</v>
      </c>
      <c r="B7107" s="1" t="n">
        <v>348.4</v>
      </c>
      <c r="C7107" s="1" t="n">
        <f aca="false">1/B7107</f>
        <v>0.00287026406429392</v>
      </c>
      <c r="D7107" s="1" t="n">
        <v>0.37621</v>
      </c>
      <c r="E7107" s="1" t="n">
        <f aca="false">LN(D7107)</f>
        <v>-0.977607780862963</v>
      </c>
    </row>
    <row r="7108" customFormat="false" ht="15.75" hidden="false" customHeight="false" outlineLevel="0" collapsed="false">
      <c r="A7108" s="1" t="s">
        <v>1166</v>
      </c>
      <c r="B7108" s="1" t="n">
        <v>348.77</v>
      </c>
      <c r="C7108" s="1" t="n">
        <f aca="false">1/B7108</f>
        <v>0.00286721908421022</v>
      </c>
      <c r="D7108" s="1" t="n">
        <v>0.37436</v>
      </c>
      <c r="E7108" s="1" t="n">
        <f aca="false">LN(D7108)</f>
        <v>-0.982537377693081</v>
      </c>
    </row>
    <row r="7109" customFormat="false" ht="15.75" hidden="false" customHeight="false" outlineLevel="0" collapsed="false">
      <c r="A7109" s="1" t="s">
        <v>1166</v>
      </c>
      <c r="B7109" s="1" t="n">
        <v>349.15</v>
      </c>
      <c r="C7109" s="1" t="n">
        <f aca="false">1/B7109</f>
        <v>0.00286409852498926</v>
      </c>
      <c r="D7109" s="1" t="n">
        <v>0.37253</v>
      </c>
      <c r="E7109" s="1" t="n">
        <f aca="false">LN(D7109)</f>
        <v>-0.987437707492694</v>
      </c>
    </row>
    <row r="7110" customFormat="false" ht="15.75" hidden="false" customHeight="false" outlineLevel="0" collapsed="false">
      <c r="A7110" s="1" t="s">
        <v>1166</v>
      </c>
      <c r="B7110" s="1" t="n">
        <v>349.53</v>
      </c>
      <c r="C7110" s="1" t="n">
        <f aca="false">1/B7110</f>
        <v>0.00286098475095128</v>
      </c>
      <c r="D7110" s="1" t="n">
        <v>0.37071</v>
      </c>
      <c r="E7110" s="1" t="n">
        <f aca="false">LN(D7110)</f>
        <v>-0.992335193197928</v>
      </c>
    </row>
    <row r="7111" customFormat="false" ht="15.75" hidden="false" customHeight="false" outlineLevel="0" collapsed="false">
      <c r="A7111" s="1" t="s">
        <v>1166</v>
      </c>
      <c r="B7111" s="1" t="n">
        <v>349.91</v>
      </c>
      <c r="C7111" s="1" t="n">
        <f aca="false">1/B7111</f>
        <v>0.00285787773999028</v>
      </c>
      <c r="D7111" s="1" t="n">
        <v>0.36891</v>
      </c>
      <c r="E7111" s="1" t="n">
        <f aca="false">LN(D7111)</f>
        <v>-0.997202567129671</v>
      </c>
    </row>
    <row r="7112" customFormat="false" ht="15.75" hidden="false" customHeight="false" outlineLevel="0" collapsed="false">
      <c r="A7112" s="1" t="s">
        <v>1166</v>
      </c>
      <c r="B7112" s="1" t="n">
        <v>350.29</v>
      </c>
      <c r="C7112" s="1" t="n">
        <f aca="false">1/B7112</f>
        <v>0.00285477747009621</v>
      </c>
      <c r="D7112" s="1" t="n">
        <v>0.36712</v>
      </c>
      <c r="E7112" s="1" t="n">
        <f aca="false">LN(D7112)</f>
        <v>-1.00206650889556</v>
      </c>
    </row>
    <row r="7113" customFormat="false" ht="15.75" hidden="false" customHeight="false" outlineLevel="0" collapsed="false">
      <c r="A7113" s="1" t="s">
        <v>1166</v>
      </c>
      <c r="B7113" s="1" t="n">
        <v>350.66</v>
      </c>
      <c r="C7113" s="1" t="n">
        <f aca="false">1/B7113</f>
        <v>0.00285176524268522</v>
      </c>
      <c r="D7113" s="1" t="n">
        <v>0.36535</v>
      </c>
      <c r="E7113" s="1" t="n">
        <f aca="false">LN(D7113)</f>
        <v>-1.00689948074491</v>
      </c>
    </row>
    <row r="7114" customFormat="false" ht="15.75" hidden="false" customHeight="false" outlineLevel="0" collapsed="false">
      <c r="A7114" s="1" t="s">
        <v>1166</v>
      </c>
      <c r="B7114" s="1" t="n">
        <v>351.04</v>
      </c>
      <c r="C7114" s="1" t="n">
        <f aca="false">1/B7114</f>
        <v>0.00284867821330902</v>
      </c>
      <c r="D7114" s="1" t="n">
        <v>0.36359</v>
      </c>
      <c r="E7114" s="1" t="n">
        <f aca="false">LN(D7114)</f>
        <v>-1.0117284198073</v>
      </c>
    </row>
    <row r="7115" customFormat="false" ht="15.75" hidden="false" customHeight="false" outlineLevel="0" collapsed="false">
      <c r="A7115" s="1" t="s">
        <v>1166</v>
      </c>
      <c r="B7115" s="1" t="n">
        <v>351.42</v>
      </c>
      <c r="C7115" s="1" t="n">
        <f aca="false">1/B7115</f>
        <v>0.00284559786011041</v>
      </c>
      <c r="D7115" s="1" t="n">
        <v>0.36185</v>
      </c>
      <c r="E7115" s="1" t="n">
        <f aca="false">LN(D7115)</f>
        <v>-1.01652551767</v>
      </c>
    </row>
    <row r="7116" customFormat="false" ht="15.75" hidden="false" customHeight="false" outlineLevel="0" collapsed="false">
      <c r="A7116" s="1" t="s">
        <v>1166</v>
      </c>
      <c r="B7116" s="1" t="n">
        <v>351.8</v>
      </c>
      <c r="C7116" s="1" t="n">
        <f aca="false">1/B7116</f>
        <v>0.00284252416145537</v>
      </c>
      <c r="D7116" s="1" t="n">
        <v>0.36012</v>
      </c>
      <c r="E7116" s="1" t="n">
        <f aca="false">LN(D7116)</f>
        <v>-1.02131796974186</v>
      </c>
    </row>
    <row r="7117" customFormat="false" ht="15.75" hidden="false" customHeight="false" outlineLevel="0" collapsed="false">
      <c r="A7117" s="1" t="s">
        <v>1166</v>
      </c>
      <c r="B7117" s="1" t="n">
        <v>352.18</v>
      </c>
      <c r="C7117" s="1" t="n">
        <f aca="false">1/B7117</f>
        <v>0.00283945709580328</v>
      </c>
      <c r="D7117" s="1" t="n">
        <v>0.3584</v>
      </c>
      <c r="E7117" s="1" t="n">
        <f aca="false">LN(D7117)</f>
        <v>-1.02610559788136</v>
      </c>
    </row>
    <row r="7118" customFormat="false" ht="15.75" hidden="false" customHeight="false" outlineLevel="0" collapsed="false">
      <c r="A7118" s="1" t="s">
        <v>1166</v>
      </c>
      <c r="B7118" s="1" t="n">
        <v>352.55</v>
      </c>
      <c r="C7118" s="1" t="n">
        <f aca="false">1/B7118</f>
        <v>0.00283647709544745</v>
      </c>
      <c r="D7118" s="1" t="n">
        <v>0.3567</v>
      </c>
      <c r="E7118" s="1" t="n">
        <f aca="false">LN(D7118)</f>
        <v>-1.03086018661729</v>
      </c>
    </row>
    <row r="7119" customFormat="false" ht="15.75" hidden="false" customHeight="false" outlineLevel="0" collapsed="false">
      <c r="A7119" s="1" t="s">
        <v>1166</v>
      </c>
      <c r="B7119" s="1" t="n">
        <v>352.93</v>
      </c>
      <c r="C7119" s="1" t="n">
        <f aca="false">1/B7119</f>
        <v>0.00283342305839685</v>
      </c>
      <c r="D7119" s="1" t="n">
        <v>0.35502</v>
      </c>
      <c r="E7119" s="1" t="n">
        <f aca="false">LN(D7119)</f>
        <v>-1.03558115306548</v>
      </c>
    </row>
    <row r="7120" customFormat="false" ht="15.75" hidden="false" customHeight="false" outlineLevel="0" collapsed="false">
      <c r="A7120" s="1" t="s">
        <v>1166</v>
      </c>
      <c r="B7120" s="1" t="n">
        <v>353.31</v>
      </c>
      <c r="C7120" s="1" t="n">
        <f aca="false">1/B7120</f>
        <v>0.0028303755908409</v>
      </c>
      <c r="D7120" s="1" t="n">
        <v>0.35334</v>
      </c>
      <c r="E7120" s="1" t="n">
        <f aca="false">LN(D7120)</f>
        <v>-1.0403245127976</v>
      </c>
    </row>
    <row r="7121" customFormat="false" ht="15.75" hidden="false" customHeight="false" outlineLevel="0" collapsed="false">
      <c r="A7121" s="1" t="s">
        <v>1166</v>
      </c>
      <c r="B7121" s="1" t="n">
        <v>353.69</v>
      </c>
      <c r="C7121" s="1" t="n">
        <f aca="false">1/B7121</f>
        <v>0.00282733467160508</v>
      </c>
      <c r="D7121" s="1" t="n">
        <v>0.35168</v>
      </c>
      <c r="E7121" s="1" t="n">
        <f aca="false">LN(D7121)</f>
        <v>-1.04503360776688</v>
      </c>
    </row>
    <row r="7122" customFormat="false" ht="15.75" hidden="false" customHeight="false" outlineLevel="0" collapsed="false">
      <c r="A7122" s="1" t="s">
        <v>1166</v>
      </c>
      <c r="B7122" s="1" t="n">
        <v>354.07</v>
      </c>
      <c r="C7122" s="1" t="n">
        <f aca="false">1/B7122</f>
        <v>0.00282430027960573</v>
      </c>
      <c r="D7122" s="1" t="n">
        <v>0.35004</v>
      </c>
      <c r="E7122" s="1" t="n">
        <f aca="false">LN(D7122)</f>
        <v>-1.04970784531451</v>
      </c>
    </row>
    <row r="7123" customFormat="false" ht="15.75" hidden="false" customHeight="false" outlineLevel="0" collapsed="false">
      <c r="A7123" s="1" t="s">
        <v>1166</v>
      </c>
      <c r="B7123" s="1" t="n">
        <v>354.44</v>
      </c>
      <c r="C7123" s="1" t="n">
        <f aca="false">1/B7123</f>
        <v>0.00282135199187451</v>
      </c>
      <c r="D7123" s="1" t="n">
        <v>0.3484</v>
      </c>
      <c r="E7123" s="1" t="n">
        <f aca="false">LN(D7123)</f>
        <v>-1.05440403400379</v>
      </c>
    </row>
    <row r="7124" customFormat="false" ht="15.75" hidden="false" customHeight="false" outlineLevel="0" collapsed="false">
      <c r="A7124" s="1" t="s">
        <v>1166</v>
      </c>
      <c r="B7124" s="1" t="n">
        <v>354.82</v>
      </c>
      <c r="C7124" s="1" t="n">
        <f aca="false">1/B7124</f>
        <v>0.00281833042105856</v>
      </c>
      <c r="D7124" s="1" t="n">
        <v>0.34679</v>
      </c>
      <c r="E7124" s="1" t="n">
        <f aca="false">LN(D7124)</f>
        <v>-1.05903586955493</v>
      </c>
    </row>
    <row r="7125" customFormat="false" ht="15.75" hidden="false" customHeight="false" outlineLevel="0" collapsed="false">
      <c r="A7125" s="1" t="s">
        <v>1166</v>
      </c>
      <c r="B7125" s="1" t="n">
        <v>355.2</v>
      </c>
      <c r="C7125" s="1" t="n">
        <f aca="false">1/B7125</f>
        <v>0.00281531531531532</v>
      </c>
      <c r="D7125" s="1" t="n">
        <v>0.34518</v>
      </c>
      <c r="E7125" s="1" t="n">
        <f aca="false">LN(D7125)</f>
        <v>-1.06368925887888</v>
      </c>
    </row>
    <row r="7126" customFormat="false" ht="15.75" hidden="false" customHeight="false" outlineLevel="0" collapsed="false">
      <c r="A7126" s="1" t="s">
        <v>1166</v>
      </c>
      <c r="B7126" s="1" t="n">
        <v>355.58</v>
      </c>
      <c r="C7126" s="1" t="n">
        <f aca="false">1/B7126</f>
        <v>0.00281230665391754</v>
      </c>
      <c r="D7126" s="1" t="n">
        <v>0.34358</v>
      </c>
      <c r="E7126" s="1" t="n">
        <f aca="false">LN(D7126)</f>
        <v>-1.06833529778384</v>
      </c>
    </row>
    <row r="7127" customFormat="false" ht="15.75" hidden="false" customHeight="false" outlineLevel="0" collapsed="false">
      <c r="A7127" s="1" t="s">
        <v>1166</v>
      </c>
      <c r="B7127" s="1" t="n">
        <v>355.96</v>
      </c>
      <c r="C7127" s="1" t="n">
        <f aca="false">1/B7127</f>
        <v>0.00280930441622654</v>
      </c>
      <c r="D7127" s="1" t="n">
        <v>0.342</v>
      </c>
      <c r="E7127" s="1" t="n">
        <f aca="false">LN(D7127)</f>
        <v>-1.07294454191953</v>
      </c>
    </row>
    <row r="7128" customFormat="false" ht="15.75" hidden="false" customHeight="false" outlineLevel="0" collapsed="false">
      <c r="A7128" s="1" t="s">
        <v>1166</v>
      </c>
      <c r="B7128" s="1" t="n">
        <v>356.33</v>
      </c>
      <c r="C7128" s="1" t="n">
        <f aca="false">1/B7128</f>
        <v>0.00280638733758033</v>
      </c>
      <c r="D7128" s="1" t="n">
        <v>0.34044</v>
      </c>
      <c r="E7128" s="1" t="n">
        <f aca="false">LN(D7128)</f>
        <v>-1.07751638037338</v>
      </c>
    </row>
    <row r="7129" customFormat="false" ht="15.75" hidden="false" customHeight="false" outlineLevel="0" collapsed="false">
      <c r="A7129" s="1" t="s">
        <v>1166</v>
      </c>
      <c r="B7129" s="1" t="n">
        <v>356.71</v>
      </c>
      <c r="C7129" s="1" t="n">
        <f aca="false">1/B7129</f>
        <v>0.00280339771803426</v>
      </c>
      <c r="D7129" s="1" t="n">
        <v>0.33888</v>
      </c>
      <c r="E7129" s="1" t="n">
        <f aca="false">LN(D7129)</f>
        <v>-1.0821092165691</v>
      </c>
    </row>
    <row r="7130" customFormat="false" ht="15.75" hidden="false" customHeight="false" outlineLevel="0" collapsed="false">
      <c r="A7130" s="1" t="s">
        <v>1166</v>
      </c>
      <c r="B7130" s="1" t="n">
        <v>357.09</v>
      </c>
      <c r="C7130" s="1" t="n">
        <f aca="false">1/B7130</f>
        <v>0.00280041446134028</v>
      </c>
      <c r="D7130" s="1" t="n">
        <v>0.33734</v>
      </c>
      <c r="E7130" s="1" t="n">
        <f aca="false">LN(D7130)</f>
        <v>-1.08666395515227</v>
      </c>
    </row>
    <row r="7131" customFormat="false" ht="15.75" hidden="false" customHeight="false" outlineLevel="0" collapsed="false">
      <c r="A7131" s="1" t="s">
        <v>1166</v>
      </c>
      <c r="B7131" s="1" t="n">
        <v>357.47</v>
      </c>
      <c r="C7131" s="1" t="n">
        <f aca="false">1/B7131</f>
        <v>0.00279743754720676</v>
      </c>
      <c r="D7131" s="1" t="n">
        <v>0.3358</v>
      </c>
      <c r="E7131" s="1" t="n">
        <f aca="false">LN(D7131)</f>
        <v>-1.0912395343387</v>
      </c>
    </row>
    <row r="7132" customFormat="false" ht="15.75" hidden="false" customHeight="false" outlineLevel="0" collapsed="false">
      <c r="A7132" s="1" t="s">
        <v>1166</v>
      </c>
      <c r="B7132" s="1" t="n">
        <v>357.85</v>
      </c>
      <c r="C7132" s="1" t="n">
        <f aca="false">1/B7132</f>
        <v>0.00279446695542825</v>
      </c>
      <c r="D7132" s="1" t="n">
        <v>0.33428</v>
      </c>
      <c r="E7132" s="1" t="n">
        <f aca="false">LN(D7132)</f>
        <v>-1.0957763138489</v>
      </c>
    </row>
    <row r="7133" customFormat="false" ht="15.75" hidden="false" customHeight="false" outlineLevel="0" collapsed="false">
      <c r="A7133" s="1" t="s">
        <v>1166</v>
      </c>
      <c r="B7133" s="1" t="n">
        <v>358.22</v>
      </c>
      <c r="C7133" s="1" t="n">
        <f aca="false">1/B7133</f>
        <v>0.00279158059293172</v>
      </c>
      <c r="D7133" s="1" t="n">
        <v>0.33278</v>
      </c>
      <c r="E7133" s="1" t="n">
        <f aca="false">LN(D7133)</f>
        <v>-1.10027366799478</v>
      </c>
    </row>
    <row r="7134" customFormat="false" ht="15.75" hidden="false" customHeight="false" outlineLevel="0" collapsed="false">
      <c r="A7134" s="1" t="s">
        <v>1166</v>
      </c>
      <c r="B7134" s="1" t="n">
        <v>358.6</v>
      </c>
      <c r="C7134" s="1" t="n">
        <f aca="false">1/B7134</f>
        <v>0.00278862242052426</v>
      </c>
      <c r="D7134" s="1" t="n">
        <v>0.33128</v>
      </c>
      <c r="E7134" s="1" t="n">
        <f aca="false">LN(D7134)</f>
        <v>-1.10479133974483</v>
      </c>
    </row>
    <row r="7135" customFormat="false" ht="15.75" hidden="false" customHeight="false" outlineLevel="0" collapsed="false">
      <c r="A7135" s="1" t="s">
        <v>1166</v>
      </c>
      <c r="B7135" s="1" t="n">
        <v>358.98</v>
      </c>
      <c r="C7135" s="1" t="n">
        <f aca="false">1/B7135</f>
        <v>0.00278567051089197</v>
      </c>
      <c r="D7135" s="1" t="n">
        <v>0.3298</v>
      </c>
      <c r="E7135" s="1" t="n">
        <f aca="false">LN(D7135)</f>
        <v>-1.10926886885664</v>
      </c>
    </row>
    <row r="7136" customFormat="false" ht="15.75" hidden="false" customHeight="false" outlineLevel="0" collapsed="false">
      <c r="A7136" s="1" t="s">
        <v>1166</v>
      </c>
      <c r="B7136" s="1" t="n">
        <v>359.36</v>
      </c>
      <c r="C7136" s="1" t="n">
        <f aca="false">1/B7136</f>
        <v>0.00278272484416741</v>
      </c>
      <c r="D7136" s="1" t="n">
        <v>0.32832</v>
      </c>
      <c r="E7136" s="1" t="n">
        <f aca="false">LN(D7136)</f>
        <v>-1.11376653643979</v>
      </c>
    </row>
    <row r="7137" customFormat="false" ht="15.75" hidden="false" customHeight="false" outlineLevel="0" collapsed="false">
      <c r="A7137" s="1" t="s">
        <v>1166</v>
      </c>
      <c r="B7137" s="1" t="n">
        <v>359.74</v>
      </c>
      <c r="C7137" s="1" t="n">
        <f aca="false">1/B7137</f>
        <v>0.00277978540056708</v>
      </c>
      <c r="D7137" s="1" t="n">
        <v>0.32686</v>
      </c>
      <c r="E7137" s="1" t="n">
        <f aca="false">LN(D7137)</f>
        <v>-1.11822333431723</v>
      </c>
    </row>
    <row r="7138" customFormat="false" ht="15.75" hidden="false" customHeight="false" outlineLevel="0" collapsed="false">
      <c r="A7138" s="1" t="s">
        <v>1166</v>
      </c>
      <c r="B7138" s="1" t="n">
        <v>360.12</v>
      </c>
      <c r="C7138" s="1" t="n">
        <f aca="false">1/B7138</f>
        <v>0.00277685216039098</v>
      </c>
      <c r="D7138" s="1" t="n">
        <v>0.32541</v>
      </c>
      <c r="E7138" s="1" t="n">
        <f aca="false">LN(D7138)</f>
        <v>-1.1226693532619</v>
      </c>
    </row>
    <row r="7139" customFormat="false" ht="15.75" hidden="false" customHeight="false" outlineLevel="0" collapsed="false">
      <c r="A7139" s="1" t="s">
        <v>1166</v>
      </c>
      <c r="B7139" s="1" t="n">
        <v>360.49</v>
      </c>
      <c r="C7139" s="1" t="n">
        <f aca="false">1/B7139</f>
        <v>0.00277400205276152</v>
      </c>
      <c r="D7139" s="1" t="n">
        <v>0.32398</v>
      </c>
      <c r="E7139" s="1" t="n">
        <f aca="false">LN(D7139)</f>
        <v>-1.12707349349015</v>
      </c>
    </row>
    <row r="7140" customFormat="false" ht="15.75" hidden="false" customHeight="false" outlineLevel="0" collapsed="false">
      <c r="A7140" s="1" t="s">
        <v>1166</v>
      </c>
      <c r="B7140" s="1" t="n">
        <v>360.87</v>
      </c>
      <c r="C7140" s="1" t="n">
        <f aca="false">1/B7140</f>
        <v>0.00277108099869759</v>
      </c>
      <c r="D7140" s="1" t="n">
        <v>0.32255</v>
      </c>
      <c r="E7140" s="1" t="n">
        <f aca="false">LN(D7140)</f>
        <v>-1.13149711600389</v>
      </c>
    </row>
    <row r="7141" customFormat="false" ht="15.75" hidden="false" customHeight="false" outlineLevel="0" collapsed="false">
      <c r="A7141" s="1" t="s">
        <v>1166</v>
      </c>
      <c r="B7141" s="1" t="n">
        <v>361.25</v>
      </c>
      <c r="C7141" s="1" t="n">
        <f aca="false">1/B7141</f>
        <v>0.0027681660899654</v>
      </c>
      <c r="D7141" s="1" t="n">
        <v>0.32113</v>
      </c>
      <c r="E7141" s="1" t="n">
        <f aca="false">LN(D7141)</f>
        <v>-1.1359092534125</v>
      </c>
    </row>
    <row r="7142" customFormat="false" ht="15.75" hidden="false" customHeight="false" outlineLevel="0" collapsed="false">
      <c r="A7142" s="1" t="s">
        <v>1166</v>
      </c>
      <c r="B7142" s="1" t="n">
        <v>361.63</v>
      </c>
      <c r="C7142" s="1" t="n">
        <f aca="false">1/B7142</f>
        <v>0.00276525730719243</v>
      </c>
      <c r="D7142" s="1" t="n">
        <v>0.31973</v>
      </c>
      <c r="E7142" s="1" t="n">
        <f aca="false">LN(D7142)</f>
        <v>-1.14027838934575</v>
      </c>
    </row>
    <row r="7143" customFormat="false" ht="15.75" hidden="false" customHeight="false" outlineLevel="0" collapsed="false">
      <c r="A7143" s="1" t="s">
        <v>1166</v>
      </c>
      <c r="B7143" s="1" t="n">
        <v>362.01</v>
      </c>
      <c r="C7143" s="1" t="n">
        <f aca="false">1/B7143</f>
        <v>0.00276235463108754</v>
      </c>
      <c r="D7143" s="1" t="n">
        <v>0.31833</v>
      </c>
      <c r="E7143" s="1" t="n">
        <f aca="false">LN(D7143)</f>
        <v>-1.14466669842853</v>
      </c>
    </row>
    <row r="7144" customFormat="false" ht="15.75" hidden="false" customHeight="false" outlineLevel="0" collapsed="false">
      <c r="A7144" s="1" t="s">
        <v>1166</v>
      </c>
      <c r="B7144" s="1" t="n">
        <v>362.38</v>
      </c>
      <c r="C7144" s="1" t="n">
        <f aca="false">1/B7144</f>
        <v>0.00275953419062862</v>
      </c>
      <c r="D7144" s="1" t="n">
        <v>0.31695</v>
      </c>
      <c r="E7144" s="1" t="n">
        <f aca="false">LN(D7144)</f>
        <v>-1.14901124625196</v>
      </c>
    </row>
    <row r="7145" customFormat="false" ht="15.75" hidden="false" customHeight="false" outlineLevel="0" collapsed="false">
      <c r="A7145" s="1" t="s">
        <v>1166</v>
      </c>
      <c r="B7145" s="1" t="n">
        <v>362.76</v>
      </c>
      <c r="C7145" s="1" t="n">
        <f aca="false">1/B7145</f>
        <v>0.00275664351086118</v>
      </c>
      <c r="D7145" s="1" t="n">
        <v>0.31557</v>
      </c>
      <c r="E7145" s="1" t="n">
        <f aca="false">LN(D7145)</f>
        <v>-1.15337475156284</v>
      </c>
    </row>
    <row r="7146" customFormat="false" ht="15.75" hidden="false" customHeight="false" outlineLevel="0" collapsed="false">
      <c r="A7146" s="1" t="s">
        <v>1166</v>
      </c>
      <c r="B7146" s="1" t="n">
        <v>363.14</v>
      </c>
      <c r="C7146" s="1" t="n">
        <f aca="false">1/B7146</f>
        <v>0.00275375888087239</v>
      </c>
      <c r="D7146" s="1" t="n">
        <v>0.31421</v>
      </c>
      <c r="E7146" s="1" t="n">
        <f aca="false">LN(D7146)</f>
        <v>-1.15769372680521</v>
      </c>
    </row>
    <row r="7147" customFormat="false" ht="15.75" hidden="false" customHeight="false" outlineLevel="0" collapsed="false">
      <c r="A7147" s="1" t="s">
        <v>1166</v>
      </c>
      <c r="B7147" s="1" t="n">
        <v>363.52</v>
      </c>
      <c r="C7147" s="1" t="n">
        <f aca="false">1/B7147</f>
        <v>0.00275088028169014</v>
      </c>
      <c r="D7147" s="1" t="n">
        <v>0.31286</v>
      </c>
      <c r="E7147" s="1" t="n">
        <f aca="false">LN(D7147)</f>
        <v>-1.16199947284851</v>
      </c>
    </row>
    <row r="7148" customFormat="false" ht="15.75" hidden="false" customHeight="false" outlineLevel="0" collapsed="false">
      <c r="A7148" s="1" t="s">
        <v>1166</v>
      </c>
      <c r="B7148" s="1" t="n">
        <v>363.9</v>
      </c>
      <c r="C7148" s="1" t="n">
        <f aca="false">1/B7148</f>
        <v>0.00274800769442154</v>
      </c>
      <c r="D7148" s="1" t="n">
        <v>0.31152</v>
      </c>
      <c r="E7148" s="1" t="n">
        <f aca="false">LN(D7148)</f>
        <v>-1.16629173735825</v>
      </c>
    </row>
    <row r="7149" customFormat="false" ht="15.75" hidden="false" customHeight="false" outlineLevel="0" collapsed="false">
      <c r="A7149" s="1" t="s">
        <v>1166</v>
      </c>
      <c r="B7149" s="1" t="n">
        <v>364.27</v>
      </c>
      <c r="C7149" s="1" t="n">
        <f aca="false">1/B7149</f>
        <v>0.0027452164603179</v>
      </c>
      <c r="D7149" s="1" t="n">
        <v>0.31018</v>
      </c>
      <c r="E7149" s="1" t="n">
        <f aca="false">LN(D7149)</f>
        <v>-1.17060250485083</v>
      </c>
    </row>
    <row r="7150" customFormat="false" ht="15.75" hidden="false" customHeight="false" outlineLevel="0" collapsed="false">
      <c r="A7150" s="1" t="s">
        <v>1166</v>
      </c>
      <c r="B7150" s="1" t="n">
        <v>364.65</v>
      </c>
      <c r="C7150" s="1" t="n">
        <f aca="false">1/B7150</f>
        <v>0.00274235568353215</v>
      </c>
      <c r="D7150" s="1" t="n">
        <v>0.30886</v>
      </c>
      <c r="E7150" s="1" t="n">
        <f aca="false">LN(D7150)</f>
        <v>-1.17486717918728</v>
      </c>
    </row>
    <row r="7151" customFormat="false" ht="15.75" hidden="false" customHeight="false" outlineLevel="0" collapsed="false">
      <c r="A7151" s="1" t="s">
        <v>1166</v>
      </c>
      <c r="B7151" s="1" t="n">
        <v>365.03</v>
      </c>
      <c r="C7151" s="1" t="n">
        <f aca="false">1/B7151</f>
        <v>0.00273950086294277</v>
      </c>
      <c r="D7151" s="1" t="n">
        <v>0.30755</v>
      </c>
      <c r="E7151" s="1" t="n">
        <f aca="false">LN(D7151)</f>
        <v>-1.17911760332776</v>
      </c>
    </row>
    <row r="7152" customFormat="false" ht="15.75" hidden="false" customHeight="false" outlineLevel="0" collapsed="false">
      <c r="A7152" s="1" t="s">
        <v>1166</v>
      </c>
      <c r="B7152" s="1" t="n">
        <v>365.41</v>
      </c>
      <c r="C7152" s="1" t="n">
        <f aca="false">1/B7152</f>
        <v>0.00273665197996771</v>
      </c>
      <c r="D7152" s="1" t="n">
        <v>0.30625</v>
      </c>
      <c r="E7152" s="1" t="n">
        <f aca="false">LN(D7152)</f>
        <v>-1.1833535171232</v>
      </c>
    </row>
    <row r="7153" customFormat="false" ht="15.75" hidden="false" customHeight="false" outlineLevel="0" collapsed="false">
      <c r="A7153" s="1" t="s">
        <v>1166</v>
      </c>
      <c r="B7153" s="1" t="n">
        <v>365.79</v>
      </c>
      <c r="C7153" s="1" t="n">
        <f aca="false">1/B7153</f>
        <v>0.00273380901610213</v>
      </c>
      <c r="D7153" s="1" t="n">
        <v>0.30495</v>
      </c>
      <c r="E7153" s="1" t="n">
        <f aca="false">LN(D7153)</f>
        <v>-1.18760745023967</v>
      </c>
    </row>
    <row r="7154" customFormat="false" ht="15.75" hidden="false" customHeight="false" outlineLevel="0" collapsed="false">
      <c r="A7154" s="1" t="s">
        <v>1166</v>
      </c>
      <c r="B7154" s="1" t="n">
        <v>366.16</v>
      </c>
      <c r="C7154" s="1" t="n">
        <f aca="false">1/B7154</f>
        <v>0.00273104653703299</v>
      </c>
      <c r="D7154" s="1" t="n">
        <v>0.30367</v>
      </c>
      <c r="E7154" s="1" t="n">
        <f aca="false">LN(D7154)</f>
        <v>-1.19181369350213</v>
      </c>
    </row>
    <row r="7155" customFormat="false" ht="15.75" hidden="false" customHeight="false" outlineLevel="0" collapsed="false">
      <c r="A7155" s="1" t="s">
        <v>1166</v>
      </c>
      <c r="B7155" s="1" t="n">
        <v>366.54</v>
      </c>
      <c r="C7155" s="1" t="n">
        <f aca="false">1/B7155</f>
        <v>0.0027282152016151</v>
      </c>
      <c r="D7155" s="1" t="n">
        <v>0.3024</v>
      </c>
      <c r="E7155" s="1" t="n">
        <f aca="false">LN(D7155)</f>
        <v>-1.19600463467676</v>
      </c>
    </row>
    <row r="7156" customFormat="false" ht="15.75" hidden="false" customHeight="false" outlineLevel="0" collapsed="false">
      <c r="A7156" s="1" t="s">
        <v>1166</v>
      </c>
      <c r="B7156" s="1" t="n">
        <v>366.92</v>
      </c>
      <c r="C7156" s="1" t="n">
        <f aca="false">1/B7156</f>
        <v>0.00272538973073149</v>
      </c>
      <c r="D7156" s="1" t="n">
        <v>0.30113</v>
      </c>
      <c r="E7156" s="1" t="n">
        <f aca="false">LN(D7156)</f>
        <v>-1.20021321378479</v>
      </c>
    </row>
    <row r="7157" customFormat="false" ht="15.75" hidden="false" customHeight="false" outlineLevel="0" collapsed="false">
      <c r="A7157" s="1" t="s">
        <v>1166</v>
      </c>
      <c r="B7157" s="1" t="n">
        <v>367.3</v>
      </c>
      <c r="C7157" s="1" t="n">
        <f aca="false">1/B7157</f>
        <v>0.00272257010618023</v>
      </c>
      <c r="D7157" s="1" t="n">
        <v>0.29988</v>
      </c>
      <c r="E7157" s="1" t="n">
        <f aca="false">LN(D7157)</f>
        <v>-1.20437288434728</v>
      </c>
    </row>
    <row r="7158" customFormat="false" ht="15.75" hidden="false" customHeight="false" outlineLevel="0" collapsed="false">
      <c r="A7158" s="1" t="s">
        <v>1166</v>
      </c>
      <c r="B7158" s="1" t="n">
        <v>367.68</v>
      </c>
      <c r="C7158" s="1" t="n">
        <f aca="false">1/B7158</f>
        <v>0.00271975630983464</v>
      </c>
      <c r="D7158" s="1" t="n">
        <v>0.29863</v>
      </c>
      <c r="E7158" s="1" t="n">
        <f aca="false">LN(D7158)</f>
        <v>-1.20854993006905</v>
      </c>
    </row>
    <row r="7159" customFormat="false" ht="15.75" hidden="false" customHeight="false" outlineLevel="0" collapsed="false">
      <c r="A7159" s="1" t="s">
        <v>1166</v>
      </c>
      <c r="B7159" s="1" t="n">
        <v>368.05</v>
      </c>
      <c r="C7159" s="1" t="n">
        <f aca="false">1/B7159</f>
        <v>0.00271702214373047</v>
      </c>
      <c r="D7159" s="1" t="n">
        <v>0.2974</v>
      </c>
      <c r="E7159" s="1" t="n">
        <f aca="false">LN(D7159)</f>
        <v>-1.21267724495608</v>
      </c>
    </row>
    <row r="7160" customFormat="false" ht="15.75" hidden="false" customHeight="false" outlineLevel="0" collapsed="false">
      <c r="A7160" s="1" t="s">
        <v>1166</v>
      </c>
      <c r="B7160" s="1" t="n">
        <v>368.43</v>
      </c>
      <c r="C7160" s="1" t="n">
        <f aca="false">1/B7160</f>
        <v>0.0027142197975192</v>
      </c>
      <c r="D7160" s="1" t="n">
        <v>0.29617</v>
      </c>
      <c r="E7160" s="1" t="n">
        <f aca="false">LN(D7160)</f>
        <v>-1.21682166519485</v>
      </c>
    </row>
    <row r="7161" customFormat="false" ht="15.75" hidden="false" customHeight="false" outlineLevel="0" collapsed="false">
      <c r="A7161" s="1" t="s">
        <v>1166</v>
      </c>
      <c r="B7161" s="1" t="n">
        <v>368.81</v>
      </c>
      <c r="C7161" s="1" t="n">
        <f aca="false">1/B7161</f>
        <v>0.00271142322605135</v>
      </c>
      <c r="D7161" s="1" t="n">
        <v>0.29495</v>
      </c>
      <c r="E7161" s="1" t="n">
        <f aca="false">LN(D7161)</f>
        <v>-1.22094942853305</v>
      </c>
    </row>
    <row r="7162" customFormat="false" ht="15.75" hidden="false" customHeight="false" outlineLevel="0" collapsed="false">
      <c r="A7162" s="1" t="s">
        <v>1166</v>
      </c>
      <c r="B7162" s="1" t="n">
        <v>369.19</v>
      </c>
      <c r="C7162" s="1" t="n">
        <f aca="false">1/B7162</f>
        <v>0.00270863241149544</v>
      </c>
      <c r="D7162" s="1" t="n">
        <v>0.29374</v>
      </c>
      <c r="E7162" s="1" t="n">
        <f aca="false">LN(D7162)</f>
        <v>-1.22506025665642</v>
      </c>
    </row>
    <row r="7163" customFormat="false" ht="15.75" hidden="false" customHeight="false" outlineLevel="0" collapsed="false">
      <c r="A7163" s="1" t="s">
        <v>1166</v>
      </c>
      <c r="B7163" s="1" t="n">
        <v>369.57</v>
      </c>
      <c r="C7163" s="1" t="n">
        <f aca="false">1/B7163</f>
        <v>0.0027058473360933</v>
      </c>
      <c r="D7163" s="1" t="n">
        <v>0.29254</v>
      </c>
      <c r="E7163" s="1" t="n">
        <f aca="false">LN(D7163)</f>
        <v>-1.22915386952319</v>
      </c>
    </row>
    <row r="7164" customFormat="false" ht="15.75" hidden="false" customHeight="false" outlineLevel="0" collapsed="false">
      <c r="A7164" s="1" t="s">
        <v>1166</v>
      </c>
      <c r="B7164" s="1" t="n">
        <v>369.95</v>
      </c>
      <c r="C7164" s="1" t="n">
        <f aca="false">1/B7164</f>
        <v>0.00270306798215975</v>
      </c>
      <c r="D7164" s="1" t="n">
        <v>0.29135</v>
      </c>
      <c r="E7164" s="1" t="n">
        <f aca="false">LN(D7164)</f>
        <v>-1.23322998539305</v>
      </c>
    </row>
    <row r="7165" customFormat="false" ht="15.75" hidden="false" customHeight="false" outlineLevel="0" collapsed="false">
      <c r="A7165" s="1" t="s">
        <v>1166</v>
      </c>
      <c r="B7165" s="1" t="n">
        <v>370.32</v>
      </c>
      <c r="C7165" s="1" t="n">
        <f aca="false">1/B7165</f>
        <v>0.00270036724994599</v>
      </c>
      <c r="D7165" s="1" t="n">
        <v>0.29016</v>
      </c>
      <c r="E7165" s="1" t="n">
        <f aca="false">LN(D7165)</f>
        <v>-1.23732278400749</v>
      </c>
    </row>
    <row r="7166" customFormat="false" ht="15.75" hidden="false" customHeight="false" outlineLevel="0" collapsed="false">
      <c r="A7166" s="1" t="s">
        <v>1166</v>
      </c>
      <c r="B7166" s="1" t="n">
        <v>370.7</v>
      </c>
      <c r="C7166" s="1" t="n">
        <f aca="false">1/B7166</f>
        <v>0.00269759913676828</v>
      </c>
      <c r="D7166" s="1" t="n">
        <v>0.28899</v>
      </c>
      <c r="E7166" s="1" t="n">
        <f aca="false">LN(D7166)</f>
        <v>-1.2413631935445</v>
      </c>
    </row>
    <row r="7167" customFormat="false" ht="15.75" hidden="false" customHeight="false" outlineLevel="0" collapsed="false">
      <c r="A7167" s="1" t="s">
        <v>1166</v>
      </c>
      <c r="B7167" s="1" t="n">
        <v>371.08</v>
      </c>
      <c r="C7167" s="1" t="n">
        <f aca="false">1/B7167</f>
        <v>0.00269483669289641</v>
      </c>
      <c r="D7167" s="1" t="n">
        <v>0.28782</v>
      </c>
      <c r="E7167" s="1" t="n">
        <f aca="false">LN(D7167)</f>
        <v>-1.24541999424011</v>
      </c>
    </row>
    <row r="7168" customFormat="false" ht="15.75" hidden="false" customHeight="false" outlineLevel="0" collapsed="false">
      <c r="A7168" s="1" t="s">
        <v>1166</v>
      </c>
      <c r="B7168" s="1" t="n">
        <v>371.46</v>
      </c>
      <c r="C7168" s="1" t="n">
        <f aca="false">1/B7168</f>
        <v>0.00269207990093146</v>
      </c>
      <c r="D7168" s="1" t="n">
        <v>0.28666</v>
      </c>
      <c r="E7168" s="1" t="n">
        <f aca="false">LN(D7168)</f>
        <v>-1.24945843448707</v>
      </c>
    </row>
    <row r="7169" customFormat="false" ht="15.75" hidden="false" customHeight="false" outlineLevel="0" collapsed="false">
      <c r="A7169" s="1" t="s">
        <v>1166</v>
      </c>
      <c r="B7169" s="1" t="n">
        <v>371.84</v>
      </c>
      <c r="C7169" s="1" t="n">
        <f aca="false">1/B7169</f>
        <v>0.00268932874354561</v>
      </c>
      <c r="D7169" s="1" t="n">
        <v>0.28552</v>
      </c>
      <c r="E7169" s="1" t="n">
        <f aca="false">LN(D7169)</f>
        <v>-1.25344319980023</v>
      </c>
    </row>
    <row r="7170" customFormat="false" ht="15.75" hidden="false" customHeight="false" outlineLevel="0" collapsed="false">
      <c r="A7170" s="1" t="s">
        <v>1166</v>
      </c>
      <c r="B7170" s="1" t="n">
        <v>372.21</v>
      </c>
      <c r="C7170" s="1" t="n">
        <f aca="false">1/B7170</f>
        <v>0.00268665538271406</v>
      </c>
      <c r="D7170" s="1" t="n">
        <v>0.28437</v>
      </c>
      <c r="E7170" s="1" t="n">
        <f aca="false">LN(D7170)</f>
        <v>-1.25747907184908</v>
      </c>
    </row>
    <row r="7171" customFormat="false" ht="15.75" hidden="false" customHeight="false" outlineLevel="0" collapsed="false">
      <c r="A7171" s="1" t="s">
        <v>1166</v>
      </c>
      <c r="B7171" s="1" t="n">
        <v>372.59</v>
      </c>
      <c r="C7171" s="1" t="n">
        <f aca="false">1/B7171</f>
        <v>0.00268391529563327</v>
      </c>
      <c r="D7171" s="1" t="n">
        <v>0.28324</v>
      </c>
      <c r="E7171" s="1" t="n">
        <f aca="false">LN(D7171)</f>
        <v>-1.26146068419856</v>
      </c>
    </row>
    <row r="7172" customFormat="false" ht="15.75" hidden="false" customHeight="false" outlineLevel="0" collapsed="false">
      <c r="A7172" s="1" t="s">
        <v>1166</v>
      </c>
      <c r="B7172" s="1" t="n">
        <v>372.76</v>
      </c>
      <c r="C7172" s="1" t="n">
        <f aca="false">1/B7172</f>
        <v>0.00268269127588797</v>
      </c>
      <c r="D7172" s="1" t="n">
        <v>0.28275</v>
      </c>
      <c r="E7172" s="1" t="n">
        <f aca="false">LN(D7172)</f>
        <v>-1.26319216398591</v>
      </c>
    </row>
    <row r="7173" customFormat="false" ht="15.75" hidden="false" customHeight="false" outlineLevel="0" collapsed="false">
      <c r="A7173" s="1" t="s">
        <v>1168</v>
      </c>
      <c r="B7173" s="1" t="n">
        <v>292.95</v>
      </c>
      <c r="C7173" s="1" t="n">
        <f aca="false">1/B7173</f>
        <v>0.00341355180064857</v>
      </c>
      <c r="D7173" s="1" t="n">
        <v>0.574</v>
      </c>
      <c r="E7173" s="1" t="n">
        <f aca="false">LN(D7173)</f>
        <v>-0.555125882662571</v>
      </c>
    </row>
    <row r="7174" customFormat="false" ht="15.75" hidden="false" customHeight="false" outlineLevel="0" collapsed="false">
      <c r="A7174" s="1" t="s">
        <v>1168</v>
      </c>
      <c r="B7174" s="1" t="n">
        <v>303.15</v>
      </c>
      <c r="C7174" s="1" t="n">
        <f aca="false">1/B7174</f>
        <v>0.0032986970146792</v>
      </c>
      <c r="D7174" s="1" t="n">
        <v>0.512</v>
      </c>
      <c r="E7174" s="1" t="n">
        <f aca="false">LN(D7174)</f>
        <v>-0.669430653942629</v>
      </c>
    </row>
    <row r="7175" customFormat="false" ht="15.75" hidden="false" customHeight="false" outlineLevel="0" collapsed="false">
      <c r="A7175" s="1" t="s">
        <v>1168</v>
      </c>
      <c r="B7175" s="1" t="n">
        <v>313.15</v>
      </c>
      <c r="C7175" s="1" t="n">
        <f aca="false">1/B7175</f>
        <v>0.00319335781574325</v>
      </c>
      <c r="D7175" s="1" t="n">
        <v>0.4624</v>
      </c>
      <c r="E7175" s="1" t="n">
        <f aca="false">LN(D7175)</f>
        <v>-0.771324961623969</v>
      </c>
    </row>
    <row r="7176" customFormat="false" ht="15.75" hidden="false" customHeight="false" outlineLevel="0" collapsed="false">
      <c r="A7176" s="1" t="s">
        <v>1168</v>
      </c>
      <c r="B7176" s="1" t="n">
        <v>323.15</v>
      </c>
      <c r="C7176" s="1" t="n">
        <f aca="false">1/B7176</f>
        <v>0.00309453814018258</v>
      </c>
      <c r="D7176" s="1" t="n">
        <v>0.4204</v>
      </c>
      <c r="E7176" s="1" t="n">
        <f aca="false">LN(D7176)</f>
        <v>-0.866548639979341</v>
      </c>
    </row>
    <row r="7177" customFormat="false" ht="15.75" hidden="false" customHeight="false" outlineLevel="0" collapsed="false">
      <c r="A7177" s="1" t="s">
        <v>1168</v>
      </c>
      <c r="B7177" s="1" t="n">
        <v>333.15</v>
      </c>
      <c r="C7177" s="1" t="n">
        <f aca="false">1/B7177</f>
        <v>0.0030016509079994</v>
      </c>
      <c r="D7177" s="1" t="n">
        <v>0.3878</v>
      </c>
      <c r="E7177" s="1" t="n">
        <f aca="false">LN(D7177)</f>
        <v>-0.947265536173586</v>
      </c>
    </row>
    <row r="7178" customFormat="false" ht="15.75" hidden="false" customHeight="false" outlineLevel="0" collapsed="false">
      <c r="A7178" s="1" t="s">
        <v>1170</v>
      </c>
      <c r="B7178" s="1" t="n">
        <v>273.62</v>
      </c>
      <c r="C7178" s="1" t="n">
        <f aca="false">1/B7178</f>
        <v>0.00365470360353775</v>
      </c>
      <c r="D7178" s="1" t="n">
        <v>1.598</v>
      </c>
      <c r="E7178" s="1" t="n">
        <f aca="false">LN(D7178)</f>
        <v>0.468752847344083</v>
      </c>
    </row>
    <row r="7179" customFormat="false" ht="15.75" hidden="false" customHeight="false" outlineLevel="0" collapsed="false">
      <c r="A7179" s="1" t="s">
        <v>1170</v>
      </c>
      <c r="B7179" s="1" t="n">
        <v>287.85</v>
      </c>
      <c r="C7179" s="1" t="n">
        <f aca="false">1/B7179</f>
        <v>0.00347403161368768</v>
      </c>
      <c r="D7179" s="1" t="n">
        <v>1.22</v>
      </c>
      <c r="E7179" s="1" t="n">
        <f aca="false">LN(D7179)</f>
        <v>0.198850858745165</v>
      </c>
    </row>
    <row r="7180" customFormat="false" ht="15.75" hidden="false" customHeight="false" outlineLevel="0" collapsed="false">
      <c r="A7180" s="1" t="s">
        <v>1170</v>
      </c>
      <c r="B7180" s="1" t="n">
        <v>303.12</v>
      </c>
      <c r="C7180" s="1" t="n">
        <f aca="false">1/B7180</f>
        <v>0.00329902348904724</v>
      </c>
      <c r="D7180" s="1" t="n">
        <v>0.96</v>
      </c>
      <c r="E7180" s="1" t="n">
        <f aca="false">LN(D7180)</f>
        <v>-0.0408219945202552</v>
      </c>
    </row>
    <row r="7181" customFormat="false" ht="15.75" hidden="false" customHeight="false" outlineLevel="0" collapsed="false">
      <c r="A7181" s="1" t="s">
        <v>1170</v>
      </c>
      <c r="B7181" s="1" t="n">
        <v>318.01</v>
      </c>
      <c r="C7181" s="1" t="n">
        <f aca="false">1/B7181</f>
        <v>0.00314455520266658</v>
      </c>
      <c r="D7181" s="1" t="n">
        <v>0.78</v>
      </c>
      <c r="E7181" s="1" t="n">
        <f aca="false">LN(D7181)</f>
        <v>-0.2484613592985</v>
      </c>
    </row>
    <row r="7182" customFormat="false" ht="15.75" hidden="false" customHeight="false" outlineLevel="0" collapsed="false">
      <c r="A7182" s="1" t="s">
        <v>1170</v>
      </c>
      <c r="B7182" s="1" t="n">
        <v>348.02</v>
      </c>
      <c r="C7182" s="1" t="n">
        <f aca="false">1/B7182</f>
        <v>0.00287339808057008</v>
      </c>
      <c r="D7182" s="1" t="n">
        <v>0.549</v>
      </c>
      <c r="E7182" s="1" t="n">
        <f aca="false">LN(D7182)</f>
        <v>-0.599656837472606</v>
      </c>
    </row>
    <row r="7183" customFormat="false" ht="15.75" hidden="false" customHeight="false" outlineLevel="0" collapsed="false">
      <c r="A7183" s="1" t="s">
        <v>1170</v>
      </c>
      <c r="B7183" s="1" t="n">
        <v>368.02</v>
      </c>
      <c r="C7183" s="1" t="n">
        <f aca="false">1/B7183</f>
        <v>0.00271724362806369</v>
      </c>
      <c r="D7183" s="1" t="n">
        <v>0.45</v>
      </c>
      <c r="E7183" s="1" t="n">
        <f aca="false">LN(D7183)</f>
        <v>-0.798507696217772</v>
      </c>
    </row>
    <row r="7184" customFormat="false" ht="15.75" hidden="false" customHeight="false" outlineLevel="0" collapsed="false">
      <c r="A7184" s="1" t="s">
        <v>1170</v>
      </c>
      <c r="B7184" s="1" t="n">
        <v>377.67</v>
      </c>
      <c r="C7184" s="1" t="n">
        <f aca="false">1/B7184</f>
        <v>0.00264781422935367</v>
      </c>
      <c r="D7184" s="1" t="n">
        <v>0.412</v>
      </c>
      <c r="E7184" s="1" t="n">
        <f aca="false">LN(D7184)</f>
        <v>-0.886731929632611</v>
      </c>
    </row>
    <row r="7185" customFormat="false" ht="15.75" hidden="false" customHeight="false" outlineLevel="0" collapsed="false">
      <c r="A7185" s="1" t="s">
        <v>1170</v>
      </c>
      <c r="B7185" s="1" t="n">
        <v>392.72</v>
      </c>
      <c r="C7185" s="1" t="n">
        <f aca="false">1/B7185</f>
        <v>0.00254634345080464</v>
      </c>
      <c r="D7185" s="1" t="n">
        <v>0.361</v>
      </c>
      <c r="E7185" s="1" t="n">
        <f aca="false">LN(D7185)</f>
        <v>-1.01887732064926</v>
      </c>
    </row>
    <row r="7186" customFormat="false" ht="15.75" hidden="false" customHeight="false" outlineLevel="0" collapsed="false">
      <c r="A7186" s="1" t="s">
        <v>1170</v>
      </c>
      <c r="B7186" s="1" t="n">
        <v>407.8</v>
      </c>
      <c r="C7186" s="1" t="n">
        <f aca="false">1/B7186</f>
        <v>0.00245218244237371</v>
      </c>
      <c r="D7186" s="1" t="n">
        <v>0.319</v>
      </c>
      <c r="E7186" s="1" t="n">
        <f aca="false">LN(D7186)</f>
        <v>-1.14256417619729</v>
      </c>
    </row>
    <row r="7187" customFormat="false" ht="15.75" hidden="false" customHeight="false" outlineLevel="0" collapsed="false">
      <c r="A7187" s="1" t="s">
        <v>1170</v>
      </c>
      <c r="B7187" s="1" t="n">
        <v>421.81</v>
      </c>
      <c r="C7187" s="1" t="n">
        <f aca="false">1/B7187</f>
        <v>0.00237073563926886</v>
      </c>
      <c r="D7187" s="1" t="n">
        <v>0.287</v>
      </c>
      <c r="E7187" s="1" t="n">
        <f aca="false">LN(D7187)</f>
        <v>-1.24827306322252</v>
      </c>
    </row>
    <row r="7188" customFormat="false" ht="15.75" hidden="false" customHeight="false" outlineLevel="0" collapsed="false">
      <c r="A7188" s="1" t="s">
        <v>1170</v>
      </c>
      <c r="B7188" s="1" t="n">
        <v>303.15</v>
      </c>
      <c r="C7188" s="1" t="n">
        <f aca="false">1/B7188</f>
        <v>0.0032986970146792</v>
      </c>
      <c r="D7188" s="1" t="n">
        <v>0.967</v>
      </c>
      <c r="E7188" s="1" t="n">
        <f aca="false">LN(D7188)</f>
        <v>-0.0335567835288428</v>
      </c>
    </row>
    <row r="7189" customFormat="false" ht="15.75" hidden="false" customHeight="false" outlineLevel="0" collapsed="false">
      <c r="A7189" s="1" t="s">
        <v>1170</v>
      </c>
      <c r="B7189" s="1" t="n">
        <v>313.15</v>
      </c>
      <c r="C7189" s="1" t="n">
        <f aca="false">1/B7189</f>
        <v>0.00319335781574325</v>
      </c>
      <c r="D7189" s="1" t="n">
        <v>0.839</v>
      </c>
      <c r="E7189" s="1" t="n">
        <f aca="false">LN(D7189)</f>
        <v>-0.175544572514931</v>
      </c>
    </row>
    <row r="7190" customFormat="false" ht="15.75" hidden="false" customHeight="false" outlineLevel="0" collapsed="false">
      <c r="A7190" s="1" t="s">
        <v>1170</v>
      </c>
      <c r="B7190" s="1" t="n">
        <v>323.15</v>
      </c>
      <c r="C7190" s="1" t="n">
        <f aca="false">1/B7190</f>
        <v>0.00309453814018258</v>
      </c>
      <c r="D7190" s="1" t="n">
        <v>0.733</v>
      </c>
      <c r="E7190" s="1" t="n">
        <f aca="false">LN(D7190)</f>
        <v>-0.310609577095486</v>
      </c>
    </row>
    <row r="7191" customFormat="false" ht="15.75" hidden="false" customHeight="false" outlineLevel="0" collapsed="false">
      <c r="A7191" s="1" t="s">
        <v>1170</v>
      </c>
      <c r="B7191" s="1" t="n">
        <v>333.15</v>
      </c>
      <c r="C7191" s="1" t="n">
        <f aca="false">1/B7191</f>
        <v>0.0030016509079994</v>
      </c>
      <c r="D7191" s="1" t="n">
        <v>0.653</v>
      </c>
      <c r="E7191" s="1" t="n">
        <f aca="false">LN(D7191)</f>
        <v>-0.426178149705706</v>
      </c>
    </row>
    <row r="7192" customFormat="false" ht="15.75" hidden="false" customHeight="false" outlineLevel="0" collapsed="false">
      <c r="A7192" s="1" t="s">
        <v>1170</v>
      </c>
      <c r="B7192" s="1" t="n">
        <v>353.15</v>
      </c>
      <c r="C7192" s="1" t="n">
        <f aca="false">1/B7192</f>
        <v>0.00283165793572137</v>
      </c>
      <c r="D7192" s="1" t="n">
        <v>0.524</v>
      </c>
      <c r="E7192" s="1" t="n">
        <f aca="false">LN(D7192)</f>
        <v>-0.646263594661095</v>
      </c>
    </row>
    <row r="7193" customFormat="false" ht="15.75" hidden="false" customHeight="false" outlineLevel="0" collapsed="false">
      <c r="A7193" s="1" t="s">
        <v>1170</v>
      </c>
      <c r="B7193" s="1" t="n">
        <v>413.15</v>
      </c>
      <c r="C7193" s="1" t="n">
        <f aca="false">1/B7193</f>
        <v>0.0024204284158296</v>
      </c>
      <c r="D7193" s="1" t="n">
        <v>0.306</v>
      </c>
      <c r="E7193" s="1" t="n">
        <f aca="false">LN(D7193)</f>
        <v>-1.18417017702976</v>
      </c>
    </row>
    <row r="7194" customFormat="false" ht="15.75" hidden="false" customHeight="false" outlineLevel="0" collapsed="false">
      <c r="A7194" s="1" t="s">
        <v>1170</v>
      </c>
      <c r="B7194" s="1" t="n">
        <v>332.67</v>
      </c>
      <c r="C7194" s="1" t="n">
        <f aca="false">1/B7194</f>
        <v>0.00300598190398894</v>
      </c>
      <c r="D7194" s="1" t="n">
        <v>0.651</v>
      </c>
      <c r="E7194" s="1" t="n">
        <f aca="false">LN(D7194)</f>
        <v>-0.429245636773568</v>
      </c>
    </row>
    <row r="7195" customFormat="false" ht="15.75" hidden="false" customHeight="false" outlineLevel="0" collapsed="false">
      <c r="A7195" s="1" t="s">
        <v>1170</v>
      </c>
      <c r="B7195" s="1" t="n">
        <v>437.71</v>
      </c>
      <c r="C7195" s="1" t="n">
        <f aca="false">1/B7195</f>
        <v>0.00228461766923305</v>
      </c>
      <c r="D7195" s="1" t="n">
        <v>0.254</v>
      </c>
      <c r="E7195" s="1" t="n">
        <f aca="false">LN(D7195)</f>
        <v>-1.3704210119636</v>
      </c>
    </row>
    <row r="7196" customFormat="false" ht="15.75" hidden="false" customHeight="false" outlineLevel="0" collapsed="false">
      <c r="A7196" s="1" t="s">
        <v>1170</v>
      </c>
      <c r="B7196" s="1" t="n">
        <v>373.15</v>
      </c>
      <c r="C7196" s="1" t="n">
        <f aca="false">1/B7196</f>
        <v>0.00267988744472732</v>
      </c>
      <c r="D7196" s="1" t="n">
        <v>0.431</v>
      </c>
      <c r="E7196" s="1" t="n">
        <f aca="false">LN(D7196)</f>
        <v>-0.841647188878389</v>
      </c>
    </row>
    <row r="7197" customFormat="false" ht="15.75" hidden="false" customHeight="false" outlineLevel="0" collapsed="false">
      <c r="A7197" s="1" t="s">
        <v>1170</v>
      </c>
      <c r="B7197" s="1" t="n">
        <v>273.63</v>
      </c>
      <c r="C7197" s="1" t="n">
        <f aca="false">1/B7197</f>
        <v>0.00365457003983481</v>
      </c>
      <c r="D7197" s="1" t="n">
        <v>1.592</v>
      </c>
      <c r="E7197" s="1" t="n">
        <f aca="false">LN(D7197)</f>
        <v>0.464991087422191</v>
      </c>
    </row>
    <row r="7198" customFormat="false" ht="15.75" hidden="false" customHeight="false" outlineLevel="0" collapsed="false">
      <c r="A7198" s="1" t="s">
        <v>1170</v>
      </c>
      <c r="B7198" s="1" t="n">
        <v>318.12</v>
      </c>
      <c r="C7198" s="1" t="n">
        <f aca="false">1/B7198</f>
        <v>0.00314346787375833</v>
      </c>
      <c r="D7198" s="1" t="n">
        <v>0.78</v>
      </c>
      <c r="E7198" s="1" t="n">
        <f aca="false">LN(D7198)</f>
        <v>-0.2484613592985</v>
      </c>
    </row>
    <row r="7199" customFormat="false" ht="15.75" hidden="false" customHeight="false" outlineLevel="0" collapsed="false">
      <c r="A7199" s="1" t="s">
        <v>1170</v>
      </c>
      <c r="B7199" s="1" t="n">
        <v>377.68</v>
      </c>
      <c r="C7199" s="1" t="n">
        <f aca="false">1/B7199</f>
        <v>0.00264774412200805</v>
      </c>
      <c r="D7199" s="1" t="n">
        <v>0.412</v>
      </c>
      <c r="E7199" s="1" t="n">
        <f aca="false">LN(D7199)</f>
        <v>-0.886731929632611</v>
      </c>
    </row>
    <row r="7200" customFormat="false" ht="15.75" hidden="false" customHeight="false" outlineLevel="0" collapsed="false">
      <c r="A7200" s="1" t="s">
        <v>1170</v>
      </c>
      <c r="B7200" s="1" t="n">
        <v>437.32</v>
      </c>
      <c r="C7200" s="1" t="n">
        <f aca="false">1/B7200</f>
        <v>0.00228665508094759</v>
      </c>
      <c r="D7200" s="1" t="n">
        <v>0.254</v>
      </c>
      <c r="E7200" s="1" t="n">
        <f aca="false">LN(D7200)</f>
        <v>-1.3704210119636</v>
      </c>
    </row>
    <row r="7201" customFormat="false" ht="15.75" hidden="false" customHeight="false" outlineLevel="0" collapsed="false">
      <c r="A7201" s="1" t="s">
        <v>1486</v>
      </c>
      <c r="B7201" s="1" t="n">
        <v>85.525</v>
      </c>
      <c r="C7201" s="1" t="n">
        <f aca="false">1/B7201</f>
        <v>0.011692487576732</v>
      </c>
      <c r="D7201" s="1" t="n">
        <v>10.971</v>
      </c>
      <c r="E7201" s="1" t="n">
        <f aca="false">LN(D7201)</f>
        <v>2.39525542783535</v>
      </c>
    </row>
    <row r="7202" customFormat="false" ht="15.75" hidden="false" customHeight="false" outlineLevel="0" collapsed="false">
      <c r="A7202" s="1" t="s">
        <v>1486</v>
      </c>
      <c r="B7202" s="1" t="n">
        <v>86.466</v>
      </c>
      <c r="C7202" s="1" t="n">
        <f aca="false">1/B7202</f>
        <v>0.0115652395161104</v>
      </c>
      <c r="D7202" s="1" t="n">
        <v>10.134</v>
      </c>
      <c r="E7202" s="1" t="n">
        <f aca="false">LN(D7202)</f>
        <v>2.31589610705372</v>
      </c>
    </row>
    <row r="7203" customFormat="false" ht="15.75" hidden="false" customHeight="false" outlineLevel="0" collapsed="false">
      <c r="A7203" s="1" t="s">
        <v>1486</v>
      </c>
      <c r="B7203" s="1" t="n">
        <v>87.407</v>
      </c>
      <c r="C7203" s="1" t="n">
        <f aca="false">1/B7203</f>
        <v>0.0114407312915442</v>
      </c>
      <c r="D7203" s="1" t="n">
        <v>9.376</v>
      </c>
      <c r="E7203" s="1" t="n">
        <f aca="false">LN(D7203)</f>
        <v>2.23815323283466</v>
      </c>
    </row>
    <row r="7204" customFormat="false" ht="15.75" hidden="false" customHeight="false" outlineLevel="0" collapsed="false">
      <c r="A7204" s="1" t="s">
        <v>1486</v>
      </c>
      <c r="B7204" s="1" t="n">
        <v>88.347</v>
      </c>
      <c r="C7204" s="1" t="n">
        <f aca="false">1/B7204</f>
        <v>0.0113190034749341</v>
      </c>
      <c r="D7204" s="1" t="n">
        <v>8.689</v>
      </c>
      <c r="E7204" s="1" t="n">
        <f aca="false">LN(D7204)</f>
        <v>2.16205785785707</v>
      </c>
    </row>
    <row r="7205" customFormat="false" ht="15.75" hidden="false" customHeight="false" outlineLevel="0" collapsed="false">
      <c r="A7205" s="1" t="s">
        <v>1486</v>
      </c>
      <c r="B7205" s="1" t="n">
        <v>89.288</v>
      </c>
      <c r="C7205" s="1" t="n">
        <f aca="false">1/B7205</f>
        <v>0.0111997132873398</v>
      </c>
      <c r="D7205" s="1" t="n">
        <v>8.0657</v>
      </c>
      <c r="E7205" s="1" t="n">
        <f aca="false">LN(D7205)</f>
        <v>2.08762050260303</v>
      </c>
    </row>
    <row r="7206" customFormat="false" ht="15.75" hidden="false" customHeight="false" outlineLevel="0" collapsed="false">
      <c r="A7206" s="1" t="s">
        <v>1486</v>
      </c>
      <c r="B7206" s="1" t="n">
        <v>90.229</v>
      </c>
      <c r="C7206" s="1" t="n">
        <f aca="false">1/B7206</f>
        <v>0.0110829112591295</v>
      </c>
      <c r="D7206" s="1" t="n">
        <v>7.4993</v>
      </c>
      <c r="E7206" s="1" t="n">
        <f aca="false">LN(D7206)</f>
        <v>2.0148096828531</v>
      </c>
    </row>
    <row r="7207" customFormat="false" ht="15.75" hidden="false" customHeight="false" outlineLevel="0" collapsed="false">
      <c r="A7207" s="1" t="s">
        <v>1486</v>
      </c>
      <c r="B7207" s="1" t="n">
        <v>91.17</v>
      </c>
      <c r="C7207" s="1" t="n">
        <f aca="false">1/B7207</f>
        <v>0.0109685203466052</v>
      </c>
      <c r="D7207" s="1" t="n">
        <v>6.9839</v>
      </c>
      <c r="E7207" s="1" t="n">
        <f aca="false">LN(D7207)</f>
        <v>1.94360749999264</v>
      </c>
    </row>
    <row r="7208" customFormat="false" ht="15.75" hidden="false" customHeight="false" outlineLevel="0" collapsed="false">
      <c r="A7208" s="1" t="s">
        <v>1486</v>
      </c>
      <c r="B7208" s="1" t="n">
        <v>92.111</v>
      </c>
      <c r="C7208" s="1" t="n">
        <f aca="false">1/B7208</f>
        <v>0.0108564666543627</v>
      </c>
      <c r="D7208" s="1" t="n">
        <v>6.5144</v>
      </c>
      <c r="E7208" s="1" t="n">
        <f aca="false">LN(D7208)</f>
        <v>1.87401511117078</v>
      </c>
    </row>
    <row r="7209" customFormat="false" ht="15.75" hidden="false" customHeight="false" outlineLevel="0" collapsed="false">
      <c r="A7209" s="1" t="s">
        <v>1486</v>
      </c>
      <c r="B7209" s="1" t="n">
        <v>93.051</v>
      </c>
      <c r="C7209" s="1" t="n">
        <f aca="false">1/B7209</f>
        <v>0.0107467947684603</v>
      </c>
      <c r="D7209" s="1" t="n">
        <v>6.0862</v>
      </c>
      <c r="E7209" s="1" t="n">
        <f aca="false">LN(D7209)</f>
        <v>1.80602391324176</v>
      </c>
    </row>
    <row r="7210" customFormat="false" ht="15.75" hidden="false" customHeight="false" outlineLevel="0" collapsed="false">
      <c r="A7210" s="1" t="s">
        <v>1486</v>
      </c>
      <c r="B7210" s="1" t="n">
        <v>93.992</v>
      </c>
      <c r="C7210" s="1" t="n">
        <f aca="false">1/B7210</f>
        <v>0.0106392033364542</v>
      </c>
      <c r="D7210" s="1" t="n">
        <v>5.695</v>
      </c>
      <c r="E7210" s="1" t="n">
        <f aca="false">LN(D7210)</f>
        <v>1.73958859689915</v>
      </c>
    </row>
    <row r="7211" customFormat="false" ht="15.75" hidden="false" customHeight="false" outlineLevel="0" collapsed="false">
      <c r="A7211" s="1" t="s">
        <v>1486</v>
      </c>
      <c r="B7211" s="1" t="n">
        <v>94.933</v>
      </c>
      <c r="C7211" s="1" t="n">
        <f aca="false">1/B7211</f>
        <v>0.0105337448516322</v>
      </c>
      <c r="D7211" s="1" t="n">
        <v>5.3373</v>
      </c>
      <c r="E7211" s="1" t="n">
        <f aca="false">LN(D7211)</f>
        <v>1.6747199071267</v>
      </c>
    </row>
    <row r="7212" customFormat="false" ht="15.75" hidden="false" customHeight="false" outlineLevel="0" collapsed="false">
      <c r="A7212" s="1" t="s">
        <v>1486</v>
      </c>
      <c r="B7212" s="1" t="n">
        <v>95.874</v>
      </c>
      <c r="C7212" s="1" t="n">
        <f aca="false">1/B7212</f>
        <v>0.0104303565095855</v>
      </c>
      <c r="D7212" s="1" t="n">
        <v>5.0097</v>
      </c>
      <c r="E7212" s="1" t="n">
        <f aca="false">LN(D7212)</f>
        <v>1.61137603306436</v>
      </c>
    </row>
    <row r="7213" customFormat="false" ht="15.75" hidden="false" customHeight="false" outlineLevel="0" collapsed="false">
      <c r="A7213" s="1" t="s">
        <v>1486</v>
      </c>
      <c r="B7213" s="1" t="n">
        <v>96.815</v>
      </c>
      <c r="C7213" s="1" t="n">
        <f aca="false">1/B7213</f>
        <v>0.0103289779476321</v>
      </c>
      <c r="D7213" s="1" t="n">
        <v>4.7093</v>
      </c>
      <c r="E7213" s="1" t="n">
        <f aca="false">LN(D7213)</f>
        <v>1.54953927702575</v>
      </c>
    </row>
    <row r="7214" customFormat="false" ht="15.75" hidden="false" customHeight="false" outlineLevel="0" collapsed="false">
      <c r="A7214" s="1" t="s">
        <v>1486</v>
      </c>
      <c r="B7214" s="1" t="n">
        <v>97.755</v>
      </c>
      <c r="C7214" s="1" t="n">
        <f aca="false">1/B7214</f>
        <v>0.0102296557720833</v>
      </c>
      <c r="D7214" s="1" t="n">
        <v>4.4335</v>
      </c>
      <c r="E7214" s="1" t="n">
        <f aca="false">LN(D7214)</f>
        <v>1.48918933983792</v>
      </c>
    </row>
    <row r="7215" customFormat="false" ht="15.75" hidden="false" customHeight="false" outlineLevel="0" collapsed="false">
      <c r="A7215" s="1" t="s">
        <v>1486</v>
      </c>
      <c r="B7215" s="1" t="n">
        <v>98.696</v>
      </c>
      <c r="C7215" s="1" t="n">
        <f aca="false">1/B7215</f>
        <v>0.0101321228823863</v>
      </c>
      <c r="D7215" s="1" t="n">
        <v>4.1799</v>
      </c>
      <c r="E7215" s="1" t="n">
        <f aca="false">LN(D7215)</f>
        <v>1.43028732280552</v>
      </c>
    </row>
    <row r="7216" customFormat="false" ht="15.75" hidden="false" customHeight="false" outlineLevel="0" collapsed="false">
      <c r="A7216" s="1" t="s">
        <v>1486</v>
      </c>
      <c r="B7216" s="1" t="n">
        <v>99.637</v>
      </c>
      <c r="C7216" s="1" t="n">
        <f aca="false">1/B7216</f>
        <v>0.0100364322490641</v>
      </c>
      <c r="D7216" s="1" t="n">
        <v>3.9465</v>
      </c>
      <c r="E7216" s="1" t="n">
        <f aca="false">LN(D7216)</f>
        <v>1.37282911016632</v>
      </c>
    </row>
    <row r="7217" customFormat="false" ht="15.75" hidden="false" customHeight="false" outlineLevel="0" collapsed="false">
      <c r="A7217" s="1" t="s">
        <v>1486</v>
      </c>
      <c r="B7217" s="1" t="n">
        <v>100.58</v>
      </c>
      <c r="C7217" s="1" t="n">
        <f aca="false">1/B7217</f>
        <v>0.00994233446013124</v>
      </c>
      <c r="D7217" s="1" t="n">
        <v>3.7314</v>
      </c>
      <c r="E7217" s="1" t="n">
        <f aca="false">LN(D7217)</f>
        <v>1.31678349835576</v>
      </c>
    </row>
    <row r="7218" customFormat="false" ht="15.75" hidden="false" customHeight="false" outlineLevel="0" collapsed="false">
      <c r="A7218" s="1" t="s">
        <v>1486</v>
      </c>
      <c r="B7218" s="1" t="n">
        <v>101.52</v>
      </c>
      <c r="C7218" s="1" t="n">
        <f aca="false">1/B7218</f>
        <v>0.00985027580772262</v>
      </c>
      <c r="D7218" s="1" t="n">
        <v>3.5328</v>
      </c>
      <c r="E7218" s="1" t="n">
        <f aca="false">LN(D7218)</f>
        <v>1.26209075766058</v>
      </c>
    </row>
    <row r="7219" customFormat="false" ht="15.75" hidden="false" customHeight="false" outlineLevel="0" collapsed="false">
      <c r="A7219" s="1" t="s">
        <v>1486</v>
      </c>
      <c r="B7219" s="1" t="n">
        <v>102.46</v>
      </c>
      <c r="C7219" s="1" t="n">
        <f aca="false">1/B7219</f>
        <v>0.00975990630489947</v>
      </c>
      <c r="D7219" s="1" t="n">
        <v>3.3493</v>
      </c>
      <c r="E7219" s="1" t="n">
        <f aca="false">LN(D7219)</f>
        <v>1.20875136877891</v>
      </c>
    </row>
    <row r="7220" customFormat="false" ht="15.75" hidden="false" customHeight="false" outlineLevel="0" collapsed="false">
      <c r="A7220" s="1" t="s">
        <v>1486</v>
      </c>
      <c r="B7220" s="1" t="n">
        <v>103.4</v>
      </c>
      <c r="C7220" s="1" t="n">
        <f aca="false">1/B7220</f>
        <v>0.00967117988394584</v>
      </c>
      <c r="D7220" s="1" t="n">
        <v>3.1795</v>
      </c>
      <c r="E7220" s="1" t="n">
        <f aca="false">LN(D7220)</f>
        <v>1.15672395172533</v>
      </c>
    </row>
    <row r="7221" customFormat="false" ht="15.75" hidden="false" customHeight="false" outlineLevel="0" collapsed="false">
      <c r="A7221" s="1" t="s">
        <v>1486</v>
      </c>
      <c r="B7221" s="1" t="n">
        <v>104.34</v>
      </c>
      <c r="C7221" s="1" t="n">
        <f aca="false">1/B7221</f>
        <v>0.00958405213724363</v>
      </c>
      <c r="D7221" s="1" t="n">
        <v>3.0222</v>
      </c>
      <c r="E7221" s="1" t="n">
        <f aca="false">LN(D7221)</f>
        <v>1.10598504299752</v>
      </c>
    </row>
    <row r="7222" customFormat="false" ht="15.75" hidden="false" customHeight="false" outlineLevel="0" collapsed="false">
      <c r="A7222" s="1" t="s">
        <v>1486</v>
      </c>
      <c r="B7222" s="1" t="n">
        <v>105.28</v>
      </c>
      <c r="C7222" s="1" t="n">
        <f aca="false">1/B7222</f>
        <v>0.00949848024316109</v>
      </c>
      <c r="D7222" s="1" t="n">
        <v>2.8762</v>
      </c>
      <c r="E7222" s="1" t="n">
        <f aca="false">LN(D7222)</f>
        <v>1.05646997847014</v>
      </c>
    </row>
    <row r="7223" customFormat="false" ht="15.75" hidden="false" customHeight="false" outlineLevel="0" collapsed="false">
      <c r="A7223" s="1" t="s">
        <v>1486</v>
      </c>
      <c r="B7223" s="1" t="n">
        <v>106.22</v>
      </c>
      <c r="C7223" s="1" t="n">
        <f aca="false">1/B7223</f>
        <v>0.00941442289587648</v>
      </c>
      <c r="D7223" s="1" t="n">
        <v>2.7407</v>
      </c>
      <c r="E7223" s="1" t="n">
        <f aca="false">LN(D7223)</f>
        <v>1.00821336222449</v>
      </c>
    </row>
    <row r="7224" customFormat="false" ht="15.75" hidden="false" customHeight="false" outlineLevel="0" collapsed="false">
      <c r="A7224" s="1" t="s">
        <v>1486</v>
      </c>
      <c r="B7224" s="1" t="n">
        <v>107.16</v>
      </c>
      <c r="C7224" s="1" t="n">
        <f aca="false">1/B7224</f>
        <v>0.00933184023889511</v>
      </c>
      <c r="D7224" s="1" t="n">
        <v>2.6145</v>
      </c>
      <c r="E7224" s="1" t="n">
        <f aca="false">LN(D7224)</f>
        <v>0.961072874646048</v>
      </c>
    </row>
    <row r="7225" customFormat="false" ht="15.75" hidden="false" customHeight="false" outlineLevel="0" collapsed="false">
      <c r="A7225" s="1" t="s">
        <v>1486</v>
      </c>
      <c r="B7225" s="1" t="n">
        <v>108.1</v>
      </c>
      <c r="C7225" s="1" t="n">
        <f aca="false">1/B7225</f>
        <v>0.00925069380203515</v>
      </c>
      <c r="D7225" s="1" t="n">
        <v>2.4971</v>
      </c>
      <c r="E7225" s="1" t="n">
        <f aca="false">LN(D7225)</f>
        <v>0.915130058553403</v>
      </c>
    </row>
    <row r="7226" customFormat="false" ht="15.75" hidden="false" customHeight="false" outlineLevel="0" collapsed="false">
      <c r="A7226" s="1" t="s">
        <v>1486</v>
      </c>
      <c r="B7226" s="1" t="n">
        <v>109.04</v>
      </c>
      <c r="C7226" s="1" t="n">
        <f aca="false">1/B7226</f>
        <v>0.00917094644167278</v>
      </c>
      <c r="D7226" s="1" t="n">
        <v>2.3876</v>
      </c>
      <c r="E7226" s="1" t="n">
        <f aca="false">LN(D7226)</f>
        <v>0.870288677312358</v>
      </c>
    </row>
    <row r="7227" customFormat="false" ht="15.75" hidden="false" customHeight="false" outlineLevel="0" collapsed="false">
      <c r="A7227" s="1" t="s">
        <v>1486</v>
      </c>
      <c r="B7227" s="1" t="n">
        <v>109.99</v>
      </c>
      <c r="C7227" s="1" t="n">
        <f aca="false">1/B7227</f>
        <v>0.00909173561232839</v>
      </c>
      <c r="D7227" s="1" t="n">
        <v>2.2853</v>
      </c>
      <c r="E7227" s="1" t="n">
        <f aca="false">LN(D7227)</f>
        <v>0.826497306756702</v>
      </c>
    </row>
    <row r="7228" customFormat="false" ht="15.75" hidden="false" customHeight="false" outlineLevel="0" collapsed="false">
      <c r="A7228" s="1" t="s">
        <v>1486</v>
      </c>
      <c r="B7228" s="1" t="n">
        <v>110.93</v>
      </c>
      <c r="C7228" s="1" t="n">
        <f aca="false">1/B7228</f>
        <v>0.00901469395114036</v>
      </c>
      <c r="D7228" s="1" t="n">
        <v>2.1897</v>
      </c>
      <c r="E7228" s="1" t="n">
        <f aca="false">LN(D7228)</f>
        <v>0.783764548143559</v>
      </c>
    </row>
    <row r="7229" customFormat="false" ht="15.75" hidden="false" customHeight="false" outlineLevel="0" collapsed="false">
      <c r="A7229" s="1" t="s">
        <v>1486</v>
      </c>
      <c r="B7229" s="1" t="n">
        <v>111.87</v>
      </c>
      <c r="C7229" s="1" t="n">
        <f aca="false">1/B7229</f>
        <v>0.00893894699204434</v>
      </c>
      <c r="D7229" s="1" t="n">
        <v>2.1003</v>
      </c>
      <c r="E7229" s="1" t="n">
        <f aca="false">LN(D7229)</f>
        <v>0.742080191669124</v>
      </c>
    </row>
    <row r="7230" customFormat="false" ht="15.75" hidden="false" customHeight="false" outlineLevel="0" collapsed="false">
      <c r="A7230" s="1" t="s">
        <v>1486</v>
      </c>
      <c r="B7230" s="1" t="n">
        <v>112.81</v>
      </c>
      <c r="C7230" s="1" t="n">
        <f aca="false">1/B7230</f>
        <v>0.00886446237035724</v>
      </c>
      <c r="D7230" s="1" t="n">
        <v>2.0164</v>
      </c>
      <c r="E7230" s="1" t="n">
        <f aca="false">LN(D7230)</f>
        <v>0.701313743226339</v>
      </c>
    </row>
    <row r="7231" customFormat="false" ht="15.75" hidden="false" customHeight="false" outlineLevel="0" collapsed="false">
      <c r="A7231" s="1" t="s">
        <v>1486</v>
      </c>
      <c r="B7231" s="1" t="n">
        <v>113.75</v>
      </c>
      <c r="C7231" s="1" t="n">
        <f aca="false">1/B7231</f>
        <v>0.00879120879120879</v>
      </c>
      <c r="D7231" s="1" t="n">
        <v>1.9378</v>
      </c>
      <c r="E7231" s="1" t="n">
        <f aca="false">LN(D7231)</f>
        <v>0.661553308968767</v>
      </c>
    </row>
    <row r="7232" customFormat="false" ht="15.75" hidden="false" customHeight="false" outlineLevel="0" collapsed="false">
      <c r="A7232" s="1" t="s">
        <v>1486</v>
      </c>
      <c r="B7232" s="1" t="n">
        <v>114.69</v>
      </c>
      <c r="C7232" s="1" t="n">
        <f aca="false">1/B7232</f>
        <v>0.00871915598570059</v>
      </c>
      <c r="D7232" s="1" t="n">
        <v>1.8639</v>
      </c>
      <c r="E7232" s="1" t="n">
        <f aca="false">LN(D7232)</f>
        <v>0.622671066755621</v>
      </c>
    </row>
    <row r="7233" customFormat="false" ht="15.75" hidden="false" customHeight="false" outlineLevel="0" collapsed="false">
      <c r="A7233" s="1" t="s">
        <v>1486</v>
      </c>
      <c r="B7233" s="1" t="n">
        <v>115.63</v>
      </c>
      <c r="C7233" s="1" t="n">
        <f aca="false">1/B7233</f>
        <v>0.00864827466920349</v>
      </c>
      <c r="D7233" s="1" t="n">
        <v>1.7944</v>
      </c>
      <c r="E7233" s="1" t="n">
        <f aca="false">LN(D7233)</f>
        <v>0.584670704223862</v>
      </c>
    </row>
    <row r="7234" customFormat="false" ht="15.75" hidden="false" customHeight="false" outlineLevel="0" collapsed="false">
      <c r="A7234" s="1" t="s">
        <v>1486</v>
      </c>
      <c r="B7234" s="1" t="n">
        <v>116.57</v>
      </c>
      <c r="C7234" s="1" t="n">
        <f aca="false">1/B7234</f>
        <v>0.00857853650167282</v>
      </c>
      <c r="D7234" s="1" t="n">
        <v>1.7289</v>
      </c>
      <c r="E7234" s="1" t="n">
        <f aca="false">LN(D7234)</f>
        <v>0.547485368128593</v>
      </c>
    </row>
    <row r="7235" customFormat="false" ht="15.75" hidden="false" customHeight="false" outlineLevel="0" collapsed="false">
      <c r="A7235" s="1" t="s">
        <v>1486</v>
      </c>
      <c r="B7235" s="1" t="n">
        <v>117.51</v>
      </c>
      <c r="C7235" s="1" t="n">
        <f aca="false">1/B7235</f>
        <v>0.0085099140498681</v>
      </c>
      <c r="D7235" s="1" t="n">
        <v>1.6673</v>
      </c>
      <c r="E7235" s="1" t="n">
        <f aca="false">LN(D7235)</f>
        <v>0.511205551584276</v>
      </c>
    </row>
    <row r="7236" customFormat="false" ht="15.75" hidden="false" customHeight="false" outlineLevel="0" collapsed="false">
      <c r="A7236" s="1" t="s">
        <v>1486</v>
      </c>
      <c r="B7236" s="1" t="n">
        <v>118.45</v>
      </c>
      <c r="C7236" s="1" t="n">
        <f aca="false">1/B7236</f>
        <v>0.00844238075137189</v>
      </c>
      <c r="D7236" s="1" t="n">
        <v>1.609</v>
      </c>
      <c r="E7236" s="1" t="n">
        <f aca="false">LN(D7236)</f>
        <v>0.475612868010246</v>
      </c>
    </row>
    <row r="7237" customFormat="false" ht="15.75" hidden="false" customHeight="false" outlineLevel="0" collapsed="false">
      <c r="A7237" s="1" t="s">
        <v>1486</v>
      </c>
      <c r="B7237" s="1" t="n">
        <v>119.39</v>
      </c>
      <c r="C7237" s="1" t="n">
        <f aca="false">1/B7237</f>
        <v>0.00837591088030823</v>
      </c>
      <c r="D7237" s="1" t="n">
        <v>1.5541</v>
      </c>
      <c r="E7237" s="1" t="n">
        <f aca="false">LN(D7237)</f>
        <v>0.440896599939429</v>
      </c>
    </row>
    <row r="7238" customFormat="false" ht="15.75" hidden="false" customHeight="false" outlineLevel="0" collapsed="false">
      <c r="A7238" s="1" t="s">
        <v>1486</v>
      </c>
      <c r="B7238" s="1" t="n">
        <v>120.33</v>
      </c>
      <c r="C7238" s="1" t="n">
        <f aca="false">1/B7238</f>
        <v>0.008310479514668</v>
      </c>
      <c r="D7238" s="1" t="n">
        <v>1.5021</v>
      </c>
      <c r="E7238" s="1" t="n">
        <f aca="false">LN(D7238)</f>
        <v>0.406864129021872</v>
      </c>
    </row>
    <row r="7239" customFormat="false" ht="15.75" hidden="false" customHeight="false" outlineLevel="0" collapsed="false">
      <c r="A7239" s="1" t="s">
        <v>1486</v>
      </c>
      <c r="B7239" s="1" t="n">
        <v>121.28</v>
      </c>
      <c r="C7239" s="1" t="n">
        <f aca="false">1/B7239</f>
        <v>0.00824538258575198</v>
      </c>
      <c r="D7239" s="1" t="n">
        <v>1.4528</v>
      </c>
      <c r="E7239" s="1" t="n">
        <f aca="false">LN(D7239)</f>
        <v>0.373492728864892</v>
      </c>
    </row>
    <row r="7240" customFormat="false" ht="15.75" hidden="false" customHeight="false" outlineLevel="0" collapsed="false">
      <c r="A7240" s="1" t="s">
        <v>1486</v>
      </c>
      <c r="B7240" s="1" t="n">
        <v>122.22</v>
      </c>
      <c r="C7240" s="1" t="n">
        <f aca="false">1/B7240</f>
        <v>0.00818196694485354</v>
      </c>
      <c r="D7240" s="1" t="n">
        <v>1.4062</v>
      </c>
      <c r="E7240" s="1" t="n">
        <f aca="false">LN(D7240)</f>
        <v>0.340891030782924</v>
      </c>
    </row>
    <row r="7241" customFormat="false" ht="15.75" hidden="false" customHeight="false" outlineLevel="0" collapsed="false">
      <c r="A7241" s="1" t="s">
        <v>1486</v>
      </c>
      <c r="B7241" s="1" t="n">
        <v>123.16</v>
      </c>
      <c r="C7241" s="1" t="n">
        <f aca="false">1/B7241</f>
        <v>0.00811951932445599</v>
      </c>
      <c r="D7241" s="1" t="n">
        <v>1.3619</v>
      </c>
      <c r="E7241" s="1" t="n">
        <f aca="false">LN(D7241)</f>
        <v>0.308880783592775</v>
      </c>
    </row>
    <row r="7242" customFormat="false" ht="15.75" hidden="false" customHeight="false" outlineLevel="0" collapsed="false">
      <c r="A7242" s="1" t="s">
        <v>1486</v>
      </c>
      <c r="B7242" s="1" t="n">
        <v>124.1</v>
      </c>
      <c r="C7242" s="1" t="n">
        <f aca="false">1/B7242</f>
        <v>0.008058017727639</v>
      </c>
      <c r="D7242" s="1" t="n">
        <v>1.3198</v>
      </c>
      <c r="E7242" s="1" t="n">
        <f aca="false">LN(D7242)</f>
        <v>0.277480209967184</v>
      </c>
    </row>
    <row r="7243" customFormat="false" ht="15.75" hidden="false" customHeight="false" outlineLevel="0" collapsed="false">
      <c r="A7243" s="1" t="s">
        <v>1486</v>
      </c>
      <c r="B7243" s="1" t="n">
        <v>125.04</v>
      </c>
      <c r="C7243" s="1" t="n">
        <f aca="false">1/B7243</f>
        <v>0.00799744081893794</v>
      </c>
      <c r="D7243" s="1" t="n">
        <v>1.2799</v>
      </c>
      <c r="E7243" s="1" t="n">
        <f aca="false">LN(D7243)</f>
        <v>0.246781949879609</v>
      </c>
    </row>
    <row r="7244" customFormat="false" ht="15.75" hidden="false" customHeight="false" outlineLevel="0" collapsed="false">
      <c r="A7244" s="1" t="s">
        <v>1486</v>
      </c>
      <c r="B7244" s="1" t="n">
        <v>125.98</v>
      </c>
      <c r="C7244" s="1" t="n">
        <f aca="false">1/B7244</f>
        <v>0.00793776789966661</v>
      </c>
      <c r="D7244" s="1" t="n">
        <v>1.2419</v>
      </c>
      <c r="E7244" s="1" t="n">
        <f aca="false">LN(D7244)</f>
        <v>0.21664246497185</v>
      </c>
    </row>
    <row r="7245" customFormat="false" ht="15.75" hidden="false" customHeight="false" outlineLevel="0" collapsed="false">
      <c r="A7245" s="1" t="s">
        <v>1486</v>
      </c>
      <c r="B7245" s="1" t="n">
        <v>126.92</v>
      </c>
      <c r="C7245" s="1" t="n">
        <f aca="false">1/B7245</f>
        <v>0.00787897888433659</v>
      </c>
      <c r="D7245" s="1" t="n">
        <v>1.2056</v>
      </c>
      <c r="E7245" s="1" t="n">
        <f aca="false">LN(D7245)</f>
        <v>0.186977368330149</v>
      </c>
    </row>
    <row r="7246" customFormat="false" ht="15.75" hidden="false" customHeight="false" outlineLevel="0" collapsed="false">
      <c r="A7246" s="1" t="s">
        <v>1486</v>
      </c>
      <c r="B7246" s="1" t="n">
        <v>127.86</v>
      </c>
      <c r="C7246" s="1" t="n">
        <f aca="false">1/B7246</f>
        <v>0.00782105427811669</v>
      </c>
      <c r="D7246" s="1" t="n">
        <v>1.1711</v>
      </c>
      <c r="E7246" s="1" t="n">
        <f aca="false">LN(D7246)</f>
        <v>0.157943478065955</v>
      </c>
    </row>
    <row r="7247" customFormat="false" ht="15.75" hidden="false" customHeight="false" outlineLevel="0" collapsed="false">
      <c r="A7247" s="1" t="s">
        <v>1486</v>
      </c>
      <c r="B7247" s="1" t="n">
        <v>128.8</v>
      </c>
      <c r="C7247" s="1" t="n">
        <f aca="false">1/B7247</f>
        <v>0.0077639751552795</v>
      </c>
      <c r="D7247" s="1" t="n">
        <v>1.1382</v>
      </c>
      <c r="E7247" s="1" t="n">
        <f aca="false">LN(D7247)</f>
        <v>0.129448067186887</v>
      </c>
    </row>
    <row r="7248" customFormat="false" ht="15.75" hidden="false" customHeight="false" outlineLevel="0" collapsed="false">
      <c r="A7248" s="1" t="s">
        <v>1486</v>
      </c>
      <c r="B7248" s="1" t="n">
        <v>129.74</v>
      </c>
      <c r="C7248" s="1" t="n">
        <f aca="false">1/B7248</f>
        <v>0.00770772313858486</v>
      </c>
      <c r="D7248" s="1" t="n">
        <v>1.1068</v>
      </c>
      <c r="E7248" s="1" t="n">
        <f aca="false">LN(D7248)</f>
        <v>0.101472968930634</v>
      </c>
    </row>
    <row r="7249" customFormat="false" ht="15.75" hidden="false" customHeight="false" outlineLevel="0" collapsed="false">
      <c r="A7249" s="1" t="s">
        <v>1486</v>
      </c>
      <c r="B7249" s="1" t="n">
        <v>130.68</v>
      </c>
      <c r="C7249" s="1" t="n">
        <f aca="false">1/B7249</f>
        <v>0.00765228037955311</v>
      </c>
      <c r="D7249" s="1" t="n">
        <v>1.0767</v>
      </c>
      <c r="E7249" s="1" t="n">
        <f aca="false">LN(D7249)</f>
        <v>0.0739008078395342</v>
      </c>
    </row>
    <row r="7250" customFormat="false" ht="15.75" hidden="false" customHeight="false" outlineLevel="0" collapsed="false">
      <c r="A7250" s="1" t="s">
        <v>1486</v>
      </c>
      <c r="B7250" s="1" t="n">
        <v>131.62</v>
      </c>
      <c r="C7250" s="1" t="n">
        <f aca="false">1/B7250</f>
        <v>0.00759762953958365</v>
      </c>
      <c r="D7250" s="1" t="n">
        <v>1.048</v>
      </c>
      <c r="E7250" s="1" t="n">
        <f aca="false">LN(D7250)</f>
        <v>0.0468835858988505</v>
      </c>
    </row>
    <row r="7251" customFormat="false" ht="15.75" hidden="false" customHeight="false" outlineLevel="0" collapsed="false">
      <c r="A7251" s="1" t="s">
        <v>1486</v>
      </c>
      <c r="B7251" s="1" t="n">
        <v>132.56</v>
      </c>
      <c r="C7251" s="1" t="n">
        <f aca="false">1/B7251</f>
        <v>0.00754375377187689</v>
      </c>
      <c r="D7251" s="1" t="n">
        <v>1.0204</v>
      </c>
      <c r="E7251" s="1" t="n">
        <f aca="false">LN(D7251)</f>
        <v>0.0201947072855192</v>
      </c>
    </row>
    <row r="7252" customFormat="false" ht="15.75" hidden="false" customHeight="false" outlineLevel="0" collapsed="false">
      <c r="A7252" s="1" t="s">
        <v>1486</v>
      </c>
      <c r="B7252" s="1" t="n">
        <v>133.51</v>
      </c>
      <c r="C7252" s="1" t="n">
        <f aca="false">1/B7252</f>
        <v>0.00749007564976406</v>
      </c>
      <c r="D7252" s="1" t="n">
        <v>0.99409</v>
      </c>
      <c r="E7252" s="1" t="n">
        <f aca="false">LN(D7252)</f>
        <v>-0.00592753316479916</v>
      </c>
    </row>
    <row r="7253" customFormat="false" ht="15.75" hidden="false" customHeight="false" outlineLevel="0" collapsed="false">
      <c r="A7253" s="1" t="s">
        <v>1486</v>
      </c>
      <c r="B7253" s="1" t="n">
        <v>134.45</v>
      </c>
      <c r="C7253" s="1" t="n">
        <f aca="false">1/B7253</f>
        <v>0.00743770918557085</v>
      </c>
      <c r="D7253" s="1" t="n">
        <v>0.96883</v>
      </c>
      <c r="E7253" s="1" t="n">
        <f aca="false">LN(D7253)</f>
        <v>-0.0316661210790128</v>
      </c>
    </row>
    <row r="7254" customFormat="false" ht="15.75" hidden="false" customHeight="false" outlineLevel="0" collapsed="false">
      <c r="A7254" s="1" t="s">
        <v>1486</v>
      </c>
      <c r="B7254" s="1" t="n">
        <v>135.39</v>
      </c>
      <c r="C7254" s="1" t="n">
        <f aca="false">1/B7254</f>
        <v>0.00738606987222099</v>
      </c>
      <c r="D7254" s="1" t="n">
        <v>0.94459</v>
      </c>
      <c r="E7254" s="1" t="n">
        <f aca="false">LN(D7254)</f>
        <v>-0.0570043080677942</v>
      </c>
    </row>
    <row r="7255" customFormat="false" ht="15.75" hidden="false" customHeight="false" outlineLevel="0" collapsed="false">
      <c r="A7255" s="1" t="s">
        <v>1486</v>
      </c>
      <c r="B7255" s="1" t="n">
        <v>136.33</v>
      </c>
      <c r="C7255" s="1" t="n">
        <f aca="false">1/B7255</f>
        <v>0.0073351426685249</v>
      </c>
      <c r="D7255" s="1" t="n">
        <v>0.92132</v>
      </c>
      <c r="E7255" s="1" t="n">
        <f aca="false">LN(D7255)</f>
        <v>-0.0819478546474324</v>
      </c>
    </row>
    <row r="7256" customFormat="false" ht="15.75" hidden="false" customHeight="false" outlineLevel="0" collapsed="false">
      <c r="A7256" s="1" t="s">
        <v>1486</v>
      </c>
      <c r="B7256" s="1" t="n">
        <v>137.27</v>
      </c>
      <c r="C7256" s="1" t="n">
        <f aca="false">1/B7256</f>
        <v>0.0072849129452903</v>
      </c>
      <c r="D7256" s="1" t="n">
        <v>0.89897</v>
      </c>
      <c r="E7256" s="1" t="n">
        <f aca="false">LN(D7256)</f>
        <v>-0.10650561547889</v>
      </c>
    </row>
    <row r="7257" customFormat="false" ht="15.75" hidden="false" customHeight="false" outlineLevel="0" collapsed="false">
      <c r="A7257" s="1" t="s">
        <v>1486</v>
      </c>
      <c r="B7257" s="1" t="n">
        <v>138.21</v>
      </c>
      <c r="C7257" s="1" t="n">
        <f aca="false">1/B7257</f>
        <v>0.00723536647131177</v>
      </c>
      <c r="D7257" s="1" t="n">
        <v>0.87748</v>
      </c>
      <c r="E7257" s="1" t="n">
        <f aca="false">LN(D7257)</f>
        <v>-0.13070111592465</v>
      </c>
    </row>
    <row r="7258" customFormat="false" ht="15.75" hidden="false" customHeight="false" outlineLevel="0" collapsed="false">
      <c r="A7258" s="1" t="s">
        <v>1486</v>
      </c>
      <c r="B7258" s="1" t="n">
        <v>139.15</v>
      </c>
      <c r="C7258" s="1" t="n">
        <f aca="false">1/B7258</f>
        <v>0.00718648939992814</v>
      </c>
      <c r="D7258" s="1" t="n">
        <v>0.85681</v>
      </c>
      <c r="E7258" s="1" t="n">
        <f aca="false">LN(D7258)</f>
        <v>-0.154539088581507</v>
      </c>
    </row>
    <row r="7259" customFormat="false" ht="15.75" hidden="false" customHeight="false" outlineLevel="0" collapsed="false">
      <c r="A7259" s="1" t="s">
        <v>1486</v>
      </c>
      <c r="B7259" s="1" t="n">
        <v>140.09</v>
      </c>
      <c r="C7259" s="1" t="n">
        <f aca="false">1/B7259</f>
        <v>0.00713826825612107</v>
      </c>
      <c r="D7259" s="1" t="n">
        <v>0.83691</v>
      </c>
      <c r="E7259" s="1" t="n">
        <f aca="false">LN(D7259)</f>
        <v>-0.178038741155812</v>
      </c>
    </row>
    <row r="7260" customFormat="false" ht="15.75" hidden="false" customHeight="false" outlineLevel="0" collapsed="false">
      <c r="A7260" s="1" t="s">
        <v>1486</v>
      </c>
      <c r="B7260" s="1" t="n">
        <v>141.03</v>
      </c>
      <c r="C7260" s="1" t="n">
        <f aca="false">1/B7260</f>
        <v>0.00709068992412962</v>
      </c>
      <c r="D7260" s="1" t="n">
        <v>0.81775</v>
      </c>
      <c r="E7260" s="1" t="n">
        <f aca="false">LN(D7260)</f>
        <v>-0.201198612563644</v>
      </c>
    </row>
    <row r="7261" customFormat="false" ht="15.75" hidden="false" customHeight="false" outlineLevel="0" collapsed="false">
      <c r="A7261" s="1" t="s">
        <v>1486</v>
      </c>
      <c r="B7261" s="1" t="n">
        <v>141.97</v>
      </c>
      <c r="C7261" s="1" t="n">
        <f aca="false">1/B7261</f>
        <v>0.00704374163555681</v>
      </c>
      <c r="D7261" s="1" t="n">
        <v>0.79929</v>
      </c>
      <c r="E7261" s="1" t="n">
        <f aca="false">LN(D7261)</f>
        <v>-0.224031445375505</v>
      </c>
    </row>
    <row r="7262" customFormat="false" ht="15.75" hidden="false" customHeight="false" outlineLevel="0" collapsed="false">
      <c r="A7262" s="1" t="s">
        <v>1486</v>
      </c>
      <c r="B7262" s="1" t="n">
        <v>142.91</v>
      </c>
      <c r="C7262" s="1" t="n">
        <f aca="false">1/B7262</f>
        <v>0.00699741095794556</v>
      </c>
      <c r="D7262" s="1" t="n">
        <v>0.78149</v>
      </c>
      <c r="E7262" s="1" t="n">
        <f aca="false">LN(D7262)</f>
        <v>-0.246552925107784</v>
      </c>
    </row>
    <row r="7263" customFormat="false" ht="15.75" hidden="false" customHeight="false" outlineLevel="0" collapsed="false">
      <c r="A7263" s="1" t="s">
        <v>1486</v>
      </c>
      <c r="B7263" s="1" t="n">
        <v>143.85</v>
      </c>
      <c r="C7263" s="1" t="n">
        <f aca="false">1/B7263</f>
        <v>0.00695168578380257</v>
      </c>
      <c r="D7263" s="1" t="n">
        <v>0.76431</v>
      </c>
      <c r="E7263" s="1" t="n">
        <f aca="false">LN(D7263)</f>
        <v>-0.2687818129513</v>
      </c>
    </row>
    <row r="7264" customFormat="false" ht="15.75" hidden="false" customHeight="false" outlineLevel="0" collapsed="false">
      <c r="A7264" s="1" t="s">
        <v>1486</v>
      </c>
      <c r="B7264" s="1" t="n">
        <v>144.79</v>
      </c>
      <c r="C7264" s="1" t="n">
        <f aca="false">1/B7264</f>
        <v>0.00690655432004973</v>
      </c>
      <c r="D7264" s="1" t="n">
        <v>0.74773</v>
      </c>
      <c r="E7264" s="1" t="n">
        <f aca="false">LN(D7264)</f>
        <v>-0.290713328737173</v>
      </c>
    </row>
    <row r="7265" customFormat="false" ht="15.75" hidden="false" customHeight="false" outlineLevel="0" collapsed="false">
      <c r="A7265" s="1" t="s">
        <v>1486</v>
      </c>
      <c r="B7265" s="1" t="n">
        <v>145.74</v>
      </c>
      <c r="C7265" s="1" t="n">
        <f aca="false">1/B7265</f>
        <v>0.00686153423905585</v>
      </c>
      <c r="D7265" s="1" t="n">
        <v>0.73172</v>
      </c>
      <c r="E7265" s="1" t="n">
        <f aca="false">LN(D7265)</f>
        <v>-0.312357351859039</v>
      </c>
    </row>
    <row r="7266" customFormat="false" ht="15.75" hidden="false" customHeight="false" outlineLevel="0" collapsed="false">
      <c r="A7266" s="1" t="s">
        <v>1486</v>
      </c>
      <c r="B7266" s="1" t="n">
        <v>146.68</v>
      </c>
      <c r="C7266" s="1" t="n">
        <f aca="false">1/B7266</f>
        <v>0.00681756203981456</v>
      </c>
      <c r="D7266" s="1" t="n">
        <v>0.71625</v>
      </c>
      <c r="E7266" s="1" t="n">
        <f aca="false">LN(D7266)</f>
        <v>-0.333726010953188</v>
      </c>
    </row>
    <row r="7267" customFormat="false" ht="15.75" hidden="false" customHeight="false" outlineLevel="0" collapsed="false">
      <c r="A7267" s="1" t="s">
        <v>1486</v>
      </c>
      <c r="B7267" s="1" t="n">
        <v>147.62</v>
      </c>
      <c r="C7267" s="1" t="n">
        <f aca="false">1/B7267</f>
        <v>0.00677414984419455</v>
      </c>
      <c r="D7267" s="1" t="n">
        <v>0.7013</v>
      </c>
      <c r="E7267" s="1" t="n">
        <f aca="false">LN(D7267)</f>
        <v>-0.354819523439272</v>
      </c>
    </row>
    <row r="7268" customFormat="false" ht="15.75" hidden="false" customHeight="false" outlineLevel="0" collapsed="false">
      <c r="A7268" s="1" t="s">
        <v>1486</v>
      </c>
      <c r="B7268" s="1" t="n">
        <v>148.56</v>
      </c>
      <c r="C7268" s="1" t="n">
        <f aca="false">1/B7268</f>
        <v>0.00673128702207862</v>
      </c>
      <c r="D7268" s="1" t="n">
        <v>0.68684</v>
      </c>
      <c r="E7268" s="1" t="n">
        <f aca="false">LN(D7268)</f>
        <v>-0.375653910536535</v>
      </c>
    </row>
    <row r="7269" customFormat="false" ht="15.75" hidden="false" customHeight="false" outlineLevel="0" collapsed="false">
      <c r="A7269" s="1" t="s">
        <v>1486</v>
      </c>
      <c r="B7269" s="1" t="n">
        <v>149.5</v>
      </c>
      <c r="C7269" s="1" t="n">
        <f aca="false">1/B7269</f>
        <v>0.00668896321070234</v>
      </c>
      <c r="D7269" s="1" t="n">
        <v>0.67285</v>
      </c>
      <c r="E7269" s="1" t="n">
        <f aca="false">LN(D7269)</f>
        <v>-0.396232856794587</v>
      </c>
    </row>
    <row r="7270" customFormat="false" ht="15.75" hidden="false" customHeight="false" outlineLevel="0" collapsed="false">
      <c r="A7270" s="1" t="s">
        <v>1486</v>
      </c>
      <c r="B7270" s="1" t="n">
        <v>150.44</v>
      </c>
      <c r="C7270" s="1" t="n">
        <f aca="false">1/B7270</f>
        <v>0.00664716830630152</v>
      </c>
      <c r="D7270" s="1" t="n">
        <v>0.6593</v>
      </c>
      <c r="E7270" s="1" t="n">
        <f aca="false">LN(D7270)</f>
        <v>-0.416576612862883</v>
      </c>
    </row>
    <row r="7271" customFormat="false" ht="15.75" hidden="false" customHeight="false" outlineLevel="0" collapsed="false">
      <c r="A7271" s="1" t="s">
        <v>1486</v>
      </c>
      <c r="B7271" s="1" t="n">
        <v>151.38</v>
      </c>
      <c r="C7271" s="1" t="n">
        <f aca="false">1/B7271</f>
        <v>0.00660589245607082</v>
      </c>
      <c r="D7271" s="1" t="n">
        <v>0.64619</v>
      </c>
      <c r="E7271" s="1" t="n">
        <f aca="false">LN(D7271)</f>
        <v>-0.436661700796592</v>
      </c>
    </row>
    <row r="7272" customFormat="false" ht="15.75" hidden="false" customHeight="false" outlineLevel="0" collapsed="false">
      <c r="A7272" s="1" t="s">
        <v>1486</v>
      </c>
      <c r="B7272" s="1" t="n">
        <v>152.32</v>
      </c>
      <c r="C7272" s="1" t="n">
        <f aca="false">1/B7272</f>
        <v>0.00656512605042017</v>
      </c>
      <c r="D7272" s="1" t="n">
        <v>0.63348</v>
      </c>
      <c r="E7272" s="1" t="n">
        <f aca="false">LN(D7272)</f>
        <v>-0.456526850358612</v>
      </c>
    </row>
    <row r="7273" customFormat="false" ht="15.75" hidden="false" customHeight="false" outlineLevel="0" collapsed="false">
      <c r="A7273" s="1" t="s">
        <v>1486</v>
      </c>
      <c r="B7273" s="1" t="n">
        <v>153.26</v>
      </c>
      <c r="C7273" s="1" t="n">
        <f aca="false">1/B7273</f>
        <v>0.00652485971551612</v>
      </c>
      <c r="D7273" s="1" t="n">
        <v>0.62117</v>
      </c>
      <c r="E7273" s="1" t="n">
        <f aca="false">LN(D7273)</f>
        <v>-0.476150482499021</v>
      </c>
    </row>
    <row r="7274" customFormat="false" ht="15.75" hidden="false" customHeight="false" outlineLevel="0" collapsed="false">
      <c r="A7274" s="1" t="s">
        <v>1486</v>
      </c>
      <c r="B7274" s="1" t="n">
        <v>154.2</v>
      </c>
      <c r="C7274" s="1" t="n">
        <f aca="false">1/B7274</f>
        <v>0.00648508430609598</v>
      </c>
      <c r="D7274" s="1" t="n">
        <v>0.60923</v>
      </c>
      <c r="E7274" s="1" t="n">
        <f aca="false">LN(D7274)</f>
        <v>-0.495559414262262</v>
      </c>
    </row>
    <row r="7275" customFormat="false" ht="15.75" hidden="false" customHeight="false" outlineLevel="0" collapsed="false">
      <c r="A7275" s="1" t="s">
        <v>1486</v>
      </c>
      <c r="B7275" s="1" t="n">
        <v>155.14</v>
      </c>
      <c r="C7275" s="1" t="n">
        <f aca="false">1/B7275</f>
        <v>0.00644579089854325</v>
      </c>
      <c r="D7275" s="1" t="n">
        <v>0.59764</v>
      </c>
      <c r="E7275" s="1" t="n">
        <f aca="false">LN(D7275)</f>
        <v>-0.514766712999253</v>
      </c>
    </row>
    <row r="7276" customFormat="false" ht="15.75" hidden="false" customHeight="false" outlineLevel="0" collapsed="false">
      <c r="A7276" s="1" t="s">
        <v>1486</v>
      </c>
      <c r="B7276" s="1" t="n">
        <v>156.08</v>
      </c>
      <c r="C7276" s="1" t="n">
        <f aca="false">1/B7276</f>
        <v>0.00640697078421322</v>
      </c>
      <c r="D7276" s="1" t="n">
        <v>0.58641</v>
      </c>
      <c r="E7276" s="1" t="n">
        <f aca="false">LN(D7276)</f>
        <v>-0.533736075349097</v>
      </c>
    </row>
    <row r="7277" customFormat="false" ht="15.75" hidden="false" customHeight="false" outlineLevel="0" collapsed="false">
      <c r="A7277" s="1" t="s">
        <v>1486</v>
      </c>
      <c r="B7277" s="1" t="n">
        <v>157.03</v>
      </c>
      <c r="C7277" s="1" t="n">
        <f aca="false">1/B7277</f>
        <v>0.00636820989619818</v>
      </c>
      <c r="D7277" s="1" t="n">
        <v>0.5755</v>
      </c>
      <c r="E7277" s="1" t="n">
        <f aca="false">LN(D7277)</f>
        <v>-0.5525160508202</v>
      </c>
    </row>
    <row r="7278" customFormat="false" ht="15.75" hidden="false" customHeight="false" outlineLevel="0" collapsed="false">
      <c r="A7278" s="1" t="s">
        <v>1486</v>
      </c>
      <c r="B7278" s="1" t="n">
        <v>157.97</v>
      </c>
      <c r="C7278" s="1" t="n">
        <f aca="false">1/B7278</f>
        <v>0.00633031588276255</v>
      </c>
      <c r="D7278" s="1" t="n">
        <v>0.56491</v>
      </c>
      <c r="E7278" s="1" t="n">
        <f aca="false">LN(D7278)</f>
        <v>-0.571088852559418</v>
      </c>
    </row>
    <row r="7279" customFormat="false" ht="15.75" hidden="false" customHeight="false" outlineLevel="0" collapsed="false">
      <c r="A7279" s="1" t="s">
        <v>1486</v>
      </c>
      <c r="B7279" s="1" t="n">
        <v>158.91</v>
      </c>
      <c r="C7279" s="1" t="n">
        <f aca="false">1/B7279</f>
        <v>0.00629287017808823</v>
      </c>
      <c r="D7279" s="1" t="n">
        <v>0.55463</v>
      </c>
      <c r="E7279" s="1" t="n">
        <f aca="false">LN(D7279)</f>
        <v>-0.589454054223406</v>
      </c>
    </row>
    <row r="7280" customFormat="false" ht="15.75" hidden="false" customHeight="false" outlineLevel="0" collapsed="false">
      <c r="A7280" s="1" t="s">
        <v>1486</v>
      </c>
      <c r="B7280" s="1" t="n">
        <v>159.85</v>
      </c>
      <c r="C7280" s="1" t="n">
        <f aca="false">1/B7280</f>
        <v>0.00625586487331874</v>
      </c>
      <c r="D7280" s="1" t="n">
        <v>0.54463</v>
      </c>
      <c r="E7280" s="1" t="n">
        <f aca="false">LN(D7280)</f>
        <v>-0.6076486139578</v>
      </c>
    </row>
    <row r="7281" customFormat="false" ht="15.75" hidden="false" customHeight="false" outlineLevel="0" collapsed="false">
      <c r="A7281" s="1" t="s">
        <v>1486</v>
      </c>
      <c r="B7281" s="1" t="n">
        <v>160.79</v>
      </c>
      <c r="C7281" s="1" t="n">
        <f aca="false">1/B7281</f>
        <v>0.00621929224454257</v>
      </c>
      <c r="D7281" s="1" t="n">
        <v>0.53492</v>
      </c>
      <c r="E7281" s="1" t="n">
        <f aca="false">LN(D7281)</f>
        <v>-0.625638075977541</v>
      </c>
    </row>
    <row r="7282" customFormat="false" ht="15.75" hidden="false" customHeight="false" outlineLevel="0" collapsed="false">
      <c r="A7282" s="1" t="s">
        <v>1486</v>
      </c>
      <c r="B7282" s="1" t="n">
        <v>161.73</v>
      </c>
      <c r="C7282" s="1" t="n">
        <f aca="false">1/B7282</f>
        <v>0.00618314474741854</v>
      </c>
      <c r="D7282" s="1" t="n">
        <v>0.52548</v>
      </c>
      <c r="E7282" s="1" t="n">
        <f aca="false">LN(D7282)</f>
        <v>-0.64344314838083</v>
      </c>
    </row>
    <row r="7283" customFormat="false" ht="15.75" hidden="false" customHeight="false" outlineLevel="0" collapsed="false">
      <c r="A7283" s="1" t="s">
        <v>1486</v>
      </c>
      <c r="B7283" s="1" t="n">
        <v>162.67</v>
      </c>
      <c r="C7283" s="1" t="n">
        <f aca="false">1/B7283</f>
        <v>0.00614741501198746</v>
      </c>
      <c r="D7283" s="1" t="n">
        <v>0.51629</v>
      </c>
      <c r="E7283" s="1" t="n">
        <f aca="false">LN(D7283)</f>
        <v>-0.661086655868264</v>
      </c>
    </row>
    <row r="7284" customFormat="false" ht="15.75" hidden="false" customHeight="false" outlineLevel="0" collapsed="false">
      <c r="A7284" s="1" t="s">
        <v>1486</v>
      </c>
      <c r="B7284" s="1" t="n">
        <v>163.61</v>
      </c>
      <c r="C7284" s="1" t="n">
        <f aca="false">1/B7284</f>
        <v>0.00611209583766273</v>
      </c>
      <c r="D7284" s="1" t="n">
        <v>0.50736</v>
      </c>
      <c r="E7284" s="1" t="n">
        <f aca="false">LN(D7284)</f>
        <v>-0.6785344681921</v>
      </c>
    </row>
    <row r="7285" customFormat="false" ht="15.75" hidden="false" customHeight="false" outlineLevel="0" collapsed="false">
      <c r="A7285" s="1" t="s">
        <v>1486</v>
      </c>
      <c r="B7285" s="1" t="n">
        <v>164.55</v>
      </c>
      <c r="C7285" s="1" t="n">
        <f aca="false">1/B7285</f>
        <v>0.00607718018839259</v>
      </c>
      <c r="D7285" s="1" t="n">
        <v>0.49867</v>
      </c>
      <c r="E7285" s="1" t="n">
        <f aca="false">LN(D7285)</f>
        <v>-0.695810724646187</v>
      </c>
    </row>
    <row r="7286" customFormat="false" ht="15.75" hidden="false" customHeight="false" outlineLevel="0" collapsed="false">
      <c r="A7286" s="1" t="s">
        <v>1486</v>
      </c>
      <c r="B7286" s="1" t="n">
        <v>165.49</v>
      </c>
      <c r="C7286" s="1" t="n">
        <f aca="false">1/B7286</f>
        <v>0.00604266118798719</v>
      </c>
      <c r="D7286" s="1" t="n">
        <v>0.4902</v>
      </c>
      <c r="E7286" s="1" t="n">
        <f aca="false">LN(D7286)</f>
        <v>-0.712941807888125</v>
      </c>
    </row>
    <row r="7287" customFormat="false" ht="15.75" hidden="false" customHeight="false" outlineLevel="0" collapsed="false">
      <c r="A7287" s="1" t="s">
        <v>1486</v>
      </c>
      <c r="B7287" s="1" t="n">
        <v>166.43</v>
      </c>
      <c r="C7287" s="1" t="n">
        <f aca="false">1/B7287</f>
        <v>0.00600853211560416</v>
      </c>
      <c r="D7287" s="1" t="n">
        <v>0.48197</v>
      </c>
      <c r="E7287" s="1" t="n">
        <f aca="false">LN(D7287)</f>
        <v>-0.729873407532468</v>
      </c>
    </row>
    <row r="7288" customFormat="false" ht="15.75" hidden="false" customHeight="false" outlineLevel="0" collapsed="false">
      <c r="A7288" s="1" t="s">
        <v>1486</v>
      </c>
      <c r="B7288" s="1" t="n">
        <v>167.37</v>
      </c>
      <c r="C7288" s="1" t="n">
        <f aca="false">1/B7288</f>
        <v>0.00597478640138615</v>
      </c>
      <c r="D7288" s="1" t="n">
        <v>0.47394</v>
      </c>
      <c r="E7288" s="1" t="n">
        <f aca="false">LN(D7288)</f>
        <v>-0.746674547577754</v>
      </c>
    </row>
    <row r="7289" customFormat="false" ht="15.75" hidden="false" customHeight="false" outlineLevel="0" collapsed="false">
      <c r="A7289" s="1" t="s">
        <v>1486</v>
      </c>
      <c r="B7289" s="1" t="n">
        <v>168.31</v>
      </c>
      <c r="C7289" s="1" t="n">
        <f aca="false">1/B7289</f>
        <v>0.00594141762224467</v>
      </c>
      <c r="D7289" s="1" t="n">
        <v>0.46613</v>
      </c>
      <c r="E7289" s="1" t="n">
        <f aca="false">LN(D7289)</f>
        <v>-0.763290713804293</v>
      </c>
    </row>
    <row r="7290" customFormat="false" ht="15.75" hidden="false" customHeight="false" outlineLevel="0" collapsed="false">
      <c r="A7290" s="1" t="s">
        <v>1486</v>
      </c>
      <c r="B7290" s="1" t="n">
        <v>169.26</v>
      </c>
      <c r="C7290" s="1" t="n">
        <f aca="false">1/B7290</f>
        <v>0.00590807042419946</v>
      </c>
      <c r="D7290" s="1" t="n">
        <v>0.45851</v>
      </c>
      <c r="E7290" s="1" t="n">
        <f aca="false">LN(D7290)</f>
        <v>-0.77977317727264</v>
      </c>
    </row>
    <row r="7291" customFormat="false" ht="15.75" hidden="false" customHeight="false" outlineLevel="0" collapsed="false">
      <c r="A7291" s="1" t="s">
        <v>1486</v>
      </c>
      <c r="B7291" s="1" t="n">
        <v>170.2</v>
      </c>
      <c r="C7291" s="1" t="n">
        <f aca="false">1/B7291</f>
        <v>0.00587544065804935</v>
      </c>
      <c r="D7291" s="1" t="n">
        <v>0.45109</v>
      </c>
      <c r="E7291" s="1" t="n">
        <f aca="false">LN(D7291)</f>
        <v>-0.796088402847197</v>
      </c>
    </row>
    <row r="7292" customFormat="false" ht="15.75" hidden="false" customHeight="false" outlineLevel="0" collapsed="false">
      <c r="A7292" s="1" t="s">
        <v>1486</v>
      </c>
      <c r="B7292" s="1" t="n">
        <v>171.14</v>
      </c>
      <c r="C7292" s="1" t="n">
        <f aca="false">1/B7292</f>
        <v>0.00584316933504733</v>
      </c>
      <c r="D7292" s="1" t="n">
        <v>0.44386</v>
      </c>
      <c r="E7292" s="1" t="n">
        <f aca="false">LN(D7292)</f>
        <v>-0.812246081587554</v>
      </c>
    </row>
    <row r="7293" customFormat="false" ht="15.75" hidden="false" customHeight="false" outlineLevel="0" collapsed="false">
      <c r="A7293" s="1" t="s">
        <v>1486</v>
      </c>
      <c r="B7293" s="1" t="n">
        <v>172.08</v>
      </c>
      <c r="C7293" s="1" t="n">
        <f aca="false">1/B7293</f>
        <v>0.00581125058112506</v>
      </c>
      <c r="D7293" s="1" t="n">
        <v>0.4368</v>
      </c>
      <c r="E7293" s="1" t="n">
        <f aca="false">LN(D7293)</f>
        <v>-0.828279854551442</v>
      </c>
    </row>
    <row r="7294" customFormat="false" ht="15.75" hidden="false" customHeight="false" outlineLevel="0" collapsed="false">
      <c r="A7294" s="1" t="s">
        <v>1486</v>
      </c>
      <c r="B7294" s="1" t="n">
        <v>173.02</v>
      </c>
      <c r="C7294" s="1" t="n">
        <f aca="false">1/B7294</f>
        <v>0.00577967864986707</v>
      </c>
      <c r="D7294" s="1" t="n">
        <v>0.42992</v>
      </c>
      <c r="E7294" s="1" t="n">
        <f aca="false">LN(D7294)</f>
        <v>-0.844156134114956</v>
      </c>
    </row>
    <row r="7295" customFormat="false" ht="15.75" hidden="false" customHeight="false" outlineLevel="0" collapsed="false">
      <c r="A7295" s="1" t="s">
        <v>1486</v>
      </c>
      <c r="B7295" s="1" t="n">
        <v>173.96</v>
      </c>
      <c r="C7295" s="1" t="n">
        <f aca="false">1/B7295</f>
        <v>0.00574844791906185</v>
      </c>
      <c r="D7295" s="1" t="n">
        <v>0.42321</v>
      </c>
      <c r="E7295" s="1" t="n">
        <f aca="false">LN(D7295)</f>
        <v>-0.859886769227616</v>
      </c>
    </row>
    <row r="7296" customFormat="false" ht="15.75" hidden="false" customHeight="false" outlineLevel="0" collapsed="false">
      <c r="A7296" s="1" t="s">
        <v>1486</v>
      </c>
      <c r="B7296" s="1" t="n">
        <v>174.9</v>
      </c>
      <c r="C7296" s="1" t="n">
        <f aca="false">1/B7296</f>
        <v>0.00571755288736421</v>
      </c>
      <c r="D7296" s="1" t="n">
        <v>0.41666</v>
      </c>
      <c r="E7296" s="1" t="n">
        <f aca="false">LN(D7296)</f>
        <v>-0.875484737481901</v>
      </c>
    </row>
    <row r="7297" customFormat="false" ht="15.75" hidden="false" customHeight="false" outlineLevel="0" collapsed="false">
      <c r="A7297" s="1" t="s">
        <v>1486</v>
      </c>
      <c r="B7297" s="1" t="n">
        <v>175.84</v>
      </c>
      <c r="C7297" s="1" t="n">
        <f aca="false">1/B7297</f>
        <v>0.0056869881710646</v>
      </c>
      <c r="D7297" s="1" t="n">
        <v>0.41026</v>
      </c>
      <c r="E7297" s="1" t="n">
        <f aca="false">LN(D7297)</f>
        <v>-0.890964173928146</v>
      </c>
    </row>
    <row r="7298" customFormat="false" ht="15.75" hidden="false" customHeight="false" outlineLevel="0" collapsed="false">
      <c r="A7298" s="1" t="s">
        <v>1486</v>
      </c>
      <c r="B7298" s="1" t="n">
        <v>176.78</v>
      </c>
      <c r="C7298" s="1" t="n">
        <f aca="false">1/B7298</f>
        <v>0.00565674850096165</v>
      </c>
      <c r="D7298" s="1" t="n">
        <v>0.40402</v>
      </c>
      <c r="E7298" s="1" t="n">
        <f aca="false">LN(D7298)</f>
        <v>-0.906290897295822</v>
      </c>
    </row>
    <row r="7299" customFormat="false" ht="15.75" hidden="false" customHeight="false" outlineLevel="0" collapsed="false">
      <c r="A7299" s="1" t="s">
        <v>1486</v>
      </c>
      <c r="B7299" s="1" t="n">
        <v>177.72</v>
      </c>
      <c r="C7299" s="1" t="n">
        <f aca="false">1/B7299</f>
        <v>0.00562682871933378</v>
      </c>
      <c r="D7299" s="1" t="n">
        <v>0.39793</v>
      </c>
      <c r="E7299" s="1" t="n">
        <f aca="false">LN(D7299)</f>
        <v>-0.921479168563279</v>
      </c>
    </row>
    <row r="7300" customFormat="false" ht="15.75" hidden="false" customHeight="false" outlineLevel="0" collapsed="false">
      <c r="A7300" s="1" t="s">
        <v>1486</v>
      </c>
      <c r="B7300" s="1" t="n">
        <v>178.66</v>
      </c>
      <c r="C7300" s="1" t="n">
        <f aca="false">1/B7300</f>
        <v>0.00559722377700661</v>
      </c>
      <c r="D7300" s="1" t="n">
        <v>0.39198</v>
      </c>
      <c r="E7300" s="1" t="n">
        <f aca="false">LN(D7300)</f>
        <v>-0.936544460901423</v>
      </c>
    </row>
    <row r="7301" customFormat="false" ht="15.75" hidden="false" customHeight="false" outlineLevel="0" collapsed="false">
      <c r="A7301" s="1" t="s">
        <v>1486</v>
      </c>
      <c r="B7301" s="1" t="n">
        <v>179.6</v>
      </c>
      <c r="C7301" s="1" t="n">
        <f aca="false">1/B7301</f>
        <v>0.00556792873051225</v>
      </c>
      <c r="D7301" s="1" t="n">
        <v>0.38617</v>
      </c>
      <c r="E7301" s="1" t="n">
        <f aca="false">LN(D7301)</f>
        <v>-0.951477591963538</v>
      </c>
    </row>
    <row r="7302" customFormat="false" ht="15.75" hidden="false" customHeight="false" outlineLevel="0" collapsed="false">
      <c r="A7302" s="1" t="s">
        <v>1486</v>
      </c>
      <c r="B7302" s="1" t="n">
        <v>180.54</v>
      </c>
      <c r="C7302" s="1" t="n">
        <f aca="false">1/B7302</f>
        <v>0.00553893873933754</v>
      </c>
      <c r="D7302" s="1" t="n">
        <v>0.38049</v>
      </c>
      <c r="E7302" s="1" t="n">
        <f aca="false">LN(D7302)</f>
        <v>-0.966295383234689</v>
      </c>
    </row>
    <row r="7303" customFormat="false" ht="15.75" hidden="false" customHeight="false" outlineLevel="0" collapsed="false">
      <c r="A7303" s="1" t="s">
        <v>1486</v>
      </c>
      <c r="B7303" s="1" t="n">
        <v>181.49</v>
      </c>
      <c r="C7303" s="1" t="n">
        <f aca="false">1/B7303</f>
        <v>0.00550994545154003</v>
      </c>
      <c r="D7303" s="1" t="n">
        <v>0.37494</v>
      </c>
      <c r="E7303" s="1" t="n">
        <f aca="false">LN(D7303)</f>
        <v>-0.980989265813092</v>
      </c>
    </row>
    <row r="7304" customFormat="false" ht="15.75" hidden="false" customHeight="false" outlineLevel="0" collapsed="false">
      <c r="A7304" s="1" t="s">
        <v>1486</v>
      </c>
      <c r="B7304" s="1" t="n">
        <v>182.43</v>
      </c>
      <c r="C7304" s="1" t="n">
        <f aca="false">1/B7304</f>
        <v>0.00548155456887573</v>
      </c>
      <c r="D7304" s="1" t="n">
        <v>0.36951</v>
      </c>
      <c r="E7304" s="1" t="n">
        <f aca="false">LN(D7304)</f>
        <v>-0.995577475360634</v>
      </c>
    </row>
    <row r="7305" customFormat="false" ht="15.75" hidden="false" customHeight="false" outlineLevel="0" collapsed="false">
      <c r="A7305" s="1" t="s">
        <v>1486</v>
      </c>
      <c r="B7305" s="1" t="n">
        <v>183.37</v>
      </c>
      <c r="C7305" s="1" t="n">
        <f aca="false">1/B7305</f>
        <v>0.00545345476359274</v>
      </c>
      <c r="D7305" s="1" t="n">
        <v>0.36421</v>
      </c>
      <c r="E7305" s="1" t="n">
        <f aca="false">LN(D7305)</f>
        <v>-1.01002465462461</v>
      </c>
    </row>
    <row r="7306" customFormat="false" ht="15.75" hidden="false" customHeight="false" outlineLevel="0" collapsed="false">
      <c r="A7306" s="1" t="s">
        <v>1486</v>
      </c>
      <c r="B7306" s="1" t="n">
        <v>184.31</v>
      </c>
      <c r="C7306" s="1" t="n">
        <f aca="false">1/B7306</f>
        <v>0.00542564158211709</v>
      </c>
      <c r="D7306" s="1" t="n">
        <v>0.35902</v>
      </c>
      <c r="E7306" s="1" t="n">
        <f aca="false">LN(D7306)</f>
        <v>-1.02437718173921</v>
      </c>
    </row>
    <row r="7307" customFormat="false" ht="15.75" hidden="false" customHeight="false" outlineLevel="0" collapsed="false">
      <c r="A7307" s="1" t="s">
        <v>1486</v>
      </c>
      <c r="B7307" s="1" t="n">
        <v>185.25</v>
      </c>
      <c r="C7307" s="1" t="n">
        <f aca="false">1/B7307</f>
        <v>0.00539811066126856</v>
      </c>
      <c r="D7307" s="1" t="n">
        <v>0.35395</v>
      </c>
      <c r="E7307" s="1" t="n">
        <f aca="false">LN(D7307)</f>
        <v>-1.03859961876194</v>
      </c>
    </row>
    <row r="7308" customFormat="false" ht="15.75" hidden="false" customHeight="false" outlineLevel="0" collapsed="false">
      <c r="A7308" s="1" t="s">
        <v>1486</v>
      </c>
      <c r="B7308" s="1" t="n">
        <v>186.19</v>
      </c>
      <c r="C7308" s="1" t="n">
        <f aca="false">1/B7308</f>
        <v>0.00537085772597884</v>
      </c>
      <c r="D7308" s="1" t="n">
        <v>0.34899</v>
      </c>
      <c r="E7308" s="1" t="n">
        <f aca="false">LN(D7308)</f>
        <v>-1.05271201048535</v>
      </c>
    </row>
    <row r="7309" customFormat="false" ht="15.75" hidden="false" customHeight="false" outlineLevel="0" collapsed="false">
      <c r="A7309" s="1" t="s">
        <v>1486</v>
      </c>
      <c r="B7309" s="1" t="n">
        <v>187.13</v>
      </c>
      <c r="C7309" s="1" t="n">
        <f aca="false">1/B7309</f>
        <v>0.0053438785870785</v>
      </c>
      <c r="D7309" s="1" t="n">
        <v>0.34414</v>
      </c>
      <c r="E7309" s="1" t="n">
        <f aca="false">LN(D7309)</f>
        <v>-1.06670672765713</v>
      </c>
    </row>
    <row r="7310" customFormat="false" ht="15.75" hidden="false" customHeight="false" outlineLevel="0" collapsed="false">
      <c r="A7310" s="1" t="s">
        <v>1486</v>
      </c>
      <c r="B7310" s="1" t="n">
        <v>188.07</v>
      </c>
      <c r="C7310" s="1" t="n">
        <f aca="false">1/B7310</f>
        <v>0.00531716913915032</v>
      </c>
      <c r="D7310" s="1" t="n">
        <v>0.33939</v>
      </c>
      <c r="E7310" s="1" t="n">
        <f aca="false">LN(D7310)</f>
        <v>-1.08060539037565</v>
      </c>
    </row>
    <row r="7311" customFormat="false" ht="15.75" hidden="false" customHeight="false" outlineLevel="0" collapsed="false">
      <c r="A7311" s="1" t="s">
        <v>1486</v>
      </c>
      <c r="B7311" s="1" t="n">
        <v>189.01</v>
      </c>
      <c r="C7311" s="1" t="n">
        <f aca="false">1/B7311</f>
        <v>0.00529072535844664</v>
      </c>
      <c r="D7311" s="1" t="n">
        <v>0.33474</v>
      </c>
      <c r="E7311" s="1" t="n">
        <f aca="false">LN(D7311)</f>
        <v>-1.09440116789665</v>
      </c>
    </row>
    <row r="7312" customFormat="false" ht="15.75" hidden="false" customHeight="false" outlineLevel="0" collapsed="false">
      <c r="A7312" s="1" t="s">
        <v>1486</v>
      </c>
      <c r="B7312" s="1" t="n">
        <v>189.95</v>
      </c>
      <c r="C7312" s="1" t="n">
        <f aca="false">1/B7312</f>
        <v>0.00526454330086865</v>
      </c>
      <c r="D7312" s="1" t="n">
        <v>0.33019</v>
      </c>
      <c r="E7312" s="1" t="n">
        <f aca="false">LN(D7312)</f>
        <v>-1.10808703263065</v>
      </c>
    </row>
    <row r="7313" customFormat="false" ht="15.75" hidden="false" customHeight="false" outlineLevel="0" collapsed="false">
      <c r="A7313" s="1" t="s">
        <v>1486</v>
      </c>
      <c r="B7313" s="1" t="n">
        <v>190.89</v>
      </c>
      <c r="C7313" s="1" t="n">
        <f aca="false">1/B7313</f>
        <v>0.00523861910000524</v>
      </c>
      <c r="D7313" s="1" t="n">
        <v>0.32574</v>
      </c>
      <c r="E7313" s="1" t="n">
        <f aca="false">LN(D7313)</f>
        <v>-1.12165576183672</v>
      </c>
    </row>
    <row r="7314" customFormat="false" ht="15.75" hidden="false" customHeight="false" outlineLevel="0" collapsed="false">
      <c r="A7314" s="1" t="s">
        <v>1486</v>
      </c>
      <c r="B7314" s="1" t="n">
        <v>191.83</v>
      </c>
      <c r="C7314" s="1" t="n">
        <f aca="false">1/B7314</f>
        <v>0.00521294896522963</v>
      </c>
      <c r="D7314" s="1" t="n">
        <v>0.32137</v>
      </c>
      <c r="E7314" s="1" t="n">
        <f aca="false">LN(D7314)</f>
        <v>-1.13516217166569</v>
      </c>
    </row>
    <row r="7315" customFormat="false" ht="15.75" hidden="false" customHeight="false" outlineLevel="0" collapsed="false">
      <c r="A7315" s="1" t="s">
        <v>1486</v>
      </c>
      <c r="B7315" s="1" t="n">
        <v>192.78</v>
      </c>
      <c r="C7315" s="1" t="n">
        <f aca="false">1/B7315</f>
        <v>0.00518726008922087</v>
      </c>
      <c r="D7315" s="1" t="n">
        <v>0.3171</v>
      </c>
      <c r="E7315" s="1" t="n">
        <f aca="false">LN(D7315)</f>
        <v>-1.14853809743784</v>
      </c>
    </row>
    <row r="7316" customFormat="false" ht="15.75" hidden="false" customHeight="false" outlineLevel="0" collapsed="false">
      <c r="A7316" s="1" t="s">
        <v>1486</v>
      </c>
      <c r="B7316" s="1" t="n">
        <v>193.72</v>
      </c>
      <c r="C7316" s="1" t="n">
        <f aca="false">1/B7316</f>
        <v>0.0051620896138757</v>
      </c>
      <c r="D7316" s="1" t="n">
        <v>0.31292</v>
      </c>
      <c r="E7316" s="1" t="n">
        <f aca="false">LN(D7316)</f>
        <v>-1.16180771216526</v>
      </c>
    </row>
    <row r="7317" customFormat="false" ht="15.75" hidden="false" customHeight="false" outlineLevel="0" collapsed="false">
      <c r="A7317" s="1" t="s">
        <v>1486</v>
      </c>
      <c r="B7317" s="1" t="n">
        <v>194.66</v>
      </c>
      <c r="C7317" s="1" t="n">
        <f aca="false">1/B7317</f>
        <v>0.00513716223158327</v>
      </c>
      <c r="D7317" s="1" t="n">
        <v>0.30881</v>
      </c>
      <c r="E7317" s="1" t="n">
        <f aca="false">LN(D7317)</f>
        <v>-1.17502907793616</v>
      </c>
    </row>
    <row r="7318" customFormat="false" ht="15.75" hidden="false" customHeight="false" outlineLevel="0" collapsed="false">
      <c r="A7318" s="1" t="s">
        <v>1486</v>
      </c>
      <c r="B7318" s="1" t="n">
        <v>195.6</v>
      </c>
      <c r="C7318" s="1" t="n">
        <f aca="false">1/B7318</f>
        <v>0.00511247443762781</v>
      </c>
      <c r="D7318" s="1" t="n">
        <v>0.3048</v>
      </c>
      <c r="E7318" s="1" t="n">
        <f aca="false">LN(D7318)</f>
        <v>-1.18809945516965</v>
      </c>
    </row>
    <row r="7319" customFormat="false" ht="15.75" hidden="false" customHeight="false" outlineLevel="0" collapsed="false">
      <c r="A7319" s="1" t="s">
        <v>1486</v>
      </c>
      <c r="B7319" s="1" t="n">
        <v>196.54</v>
      </c>
      <c r="C7319" s="1" t="n">
        <f aca="false">1/B7319</f>
        <v>0.00508802279434212</v>
      </c>
      <c r="D7319" s="1" t="n">
        <v>0.30086</v>
      </c>
      <c r="E7319" s="1" t="n">
        <f aca="false">LN(D7319)</f>
        <v>-1.20111023871246</v>
      </c>
    </row>
    <row r="7320" customFormat="false" ht="15.75" hidden="false" customHeight="false" outlineLevel="0" collapsed="false">
      <c r="A7320" s="1" t="s">
        <v>1486</v>
      </c>
      <c r="B7320" s="1" t="n">
        <v>197.48</v>
      </c>
      <c r="C7320" s="1" t="n">
        <f aca="false">1/B7320</f>
        <v>0.00506380392951185</v>
      </c>
      <c r="D7320" s="1" t="n">
        <v>0.297</v>
      </c>
      <c r="E7320" s="1" t="n">
        <f aca="false">LN(D7320)</f>
        <v>-1.21402314017944</v>
      </c>
    </row>
    <row r="7321" customFormat="false" ht="15.75" hidden="false" customHeight="false" outlineLevel="0" collapsed="false">
      <c r="A7321" s="1" t="s">
        <v>1486</v>
      </c>
      <c r="B7321" s="1" t="n">
        <v>198.42</v>
      </c>
      <c r="C7321" s="1" t="n">
        <f aca="false">1/B7321</f>
        <v>0.00503981453482512</v>
      </c>
      <c r="D7321" s="1" t="n">
        <v>0.29321</v>
      </c>
      <c r="E7321" s="1" t="n">
        <f aca="false">LN(D7321)</f>
        <v>-1.22686620313925</v>
      </c>
    </row>
    <row r="7322" customFormat="false" ht="15.75" hidden="false" customHeight="false" outlineLevel="0" collapsed="false">
      <c r="A7322" s="1" t="s">
        <v>1486</v>
      </c>
      <c r="B7322" s="1" t="n">
        <v>199.36</v>
      </c>
      <c r="C7322" s="1" t="n">
        <f aca="false">1/B7322</f>
        <v>0.00501605136436597</v>
      </c>
      <c r="D7322" s="1" t="n">
        <v>0.2895</v>
      </c>
      <c r="E7322" s="1" t="n">
        <f aca="false">LN(D7322)</f>
        <v>-1.23959998196909</v>
      </c>
    </row>
    <row r="7323" customFormat="false" ht="15.75" hidden="false" customHeight="false" outlineLevel="0" collapsed="false">
      <c r="A7323" s="1" t="s">
        <v>1486</v>
      </c>
      <c r="B7323" s="1" t="n">
        <v>200.3</v>
      </c>
      <c r="C7323" s="1" t="n">
        <f aca="false">1/B7323</f>
        <v>0.00499251123315027</v>
      </c>
      <c r="D7323" s="1" t="n">
        <v>0.28586</v>
      </c>
      <c r="E7323" s="1" t="n">
        <f aca="false">LN(D7323)</f>
        <v>-1.25225309850117</v>
      </c>
    </row>
    <row r="7324" customFormat="false" ht="15.75" hidden="false" customHeight="false" outlineLevel="0" collapsed="false">
      <c r="A7324" s="1" t="s">
        <v>1486</v>
      </c>
      <c r="B7324" s="1" t="n">
        <v>201.24</v>
      </c>
      <c r="C7324" s="1" t="n">
        <f aca="false">1/B7324</f>
        <v>0.00496919101570264</v>
      </c>
      <c r="D7324" s="1" t="n">
        <v>0.28229</v>
      </c>
      <c r="E7324" s="1" t="n">
        <f aca="false">LN(D7324)</f>
        <v>-1.26482036765865</v>
      </c>
    </row>
    <row r="7325" customFormat="false" ht="15.75" hidden="false" customHeight="false" outlineLevel="0" collapsed="false">
      <c r="A7325" s="1" t="s">
        <v>1486</v>
      </c>
      <c r="B7325" s="1" t="n">
        <v>202.18</v>
      </c>
      <c r="C7325" s="1" t="n">
        <f aca="false">1/B7325</f>
        <v>0.00494608764467306</v>
      </c>
      <c r="D7325" s="1" t="n">
        <v>0.27879</v>
      </c>
      <c r="E7325" s="1" t="n">
        <f aca="false">LN(D7325)</f>
        <v>-1.27729646874478</v>
      </c>
    </row>
    <row r="7326" customFormat="false" ht="15.75" hidden="false" customHeight="false" outlineLevel="0" collapsed="false">
      <c r="A7326" s="1" t="s">
        <v>1486</v>
      </c>
      <c r="B7326" s="1" t="n">
        <v>203.12</v>
      </c>
      <c r="C7326" s="1" t="n">
        <f aca="false">1/B7326</f>
        <v>0.00492319810949193</v>
      </c>
      <c r="D7326" s="1" t="n">
        <v>0.27535</v>
      </c>
      <c r="E7326" s="1" t="n">
        <f aca="false">LN(D7326)</f>
        <v>-1.28971226327365</v>
      </c>
    </row>
    <row r="7327" customFormat="false" ht="15.75" hidden="false" customHeight="false" outlineLevel="0" collapsed="false">
      <c r="A7327" s="1" t="s">
        <v>1486</v>
      </c>
      <c r="B7327" s="1" t="n">
        <v>204.06</v>
      </c>
      <c r="C7327" s="1" t="n">
        <f aca="false">1/B7327</f>
        <v>0.00490051945506224</v>
      </c>
      <c r="D7327" s="1" t="n">
        <v>0.27198</v>
      </c>
      <c r="E7327" s="1" t="n">
        <f aca="false">LN(D7327)</f>
        <v>-1.30202674480132</v>
      </c>
    </row>
    <row r="7328" customFormat="false" ht="15.75" hidden="false" customHeight="false" outlineLevel="0" collapsed="false">
      <c r="A7328" s="1" t="s">
        <v>1486</v>
      </c>
      <c r="B7328" s="1" t="n">
        <v>205.01</v>
      </c>
      <c r="C7328" s="1" t="n">
        <f aca="false">1/B7328</f>
        <v>0.00487781083849568</v>
      </c>
      <c r="D7328" s="1" t="n">
        <v>0.26867</v>
      </c>
      <c r="E7328" s="1" t="n">
        <f aca="false">LN(D7328)</f>
        <v>-1.31427141827269</v>
      </c>
    </row>
    <row r="7329" customFormat="false" ht="15.75" hidden="false" customHeight="false" outlineLevel="0" collapsed="false">
      <c r="A7329" s="1" t="s">
        <v>1486</v>
      </c>
      <c r="B7329" s="1" t="n">
        <v>205.95</v>
      </c>
      <c r="C7329" s="1" t="n">
        <f aca="false">1/B7329</f>
        <v>0.00485554746297645</v>
      </c>
      <c r="D7329" s="1" t="n">
        <v>0.26542</v>
      </c>
      <c r="E7329" s="1" t="n">
        <f aca="false">LN(D7329)</f>
        <v>-1.32644180197303</v>
      </c>
    </row>
    <row r="7330" customFormat="false" ht="15.75" hidden="false" customHeight="false" outlineLevel="0" collapsed="false">
      <c r="A7330" s="1" t="s">
        <v>1486</v>
      </c>
      <c r="B7330" s="1" t="n">
        <v>206.89</v>
      </c>
      <c r="C7330" s="1" t="n">
        <f aca="false">1/B7330</f>
        <v>0.0048334863937358</v>
      </c>
      <c r="D7330" s="1" t="n">
        <v>0.26222</v>
      </c>
      <c r="E7330" s="1" t="n">
        <f aca="false">LN(D7330)</f>
        <v>-1.33857143291088</v>
      </c>
    </row>
    <row r="7331" customFormat="false" ht="15.75" hidden="false" customHeight="false" outlineLevel="0" collapsed="false">
      <c r="A7331" s="1" t="s">
        <v>1486</v>
      </c>
      <c r="B7331" s="1" t="n">
        <v>207.83</v>
      </c>
      <c r="C7331" s="1" t="n">
        <f aca="false">1/B7331</f>
        <v>0.00481162488572391</v>
      </c>
      <c r="D7331" s="1" t="n">
        <v>0.25909</v>
      </c>
      <c r="E7331" s="1" t="n">
        <f aca="false">LN(D7331)</f>
        <v>-1.3505797872959</v>
      </c>
    </row>
    <row r="7332" customFormat="false" ht="15.75" hidden="false" customHeight="false" outlineLevel="0" collapsed="false">
      <c r="A7332" s="1" t="s">
        <v>1486</v>
      </c>
      <c r="B7332" s="1" t="n">
        <v>208.77</v>
      </c>
      <c r="C7332" s="1" t="n">
        <f aca="false">1/B7332</f>
        <v>0.00478996024332998</v>
      </c>
      <c r="D7332" s="1" t="n">
        <v>0.25601</v>
      </c>
      <c r="E7332" s="1" t="n">
        <f aca="false">LN(D7332)</f>
        <v>-1.36253877276549</v>
      </c>
    </row>
    <row r="7333" customFormat="false" ht="15.75" hidden="false" customHeight="false" outlineLevel="0" collapsed="false">
      <c r="A7333" s="1" t="s">
        <v>1486</v>
      </c>
      <c r="B7333" s="1" t="n">
        <v>209.71</v>
      </c>
      <c r="C7333" s="1" t="n">
        <f aca="false">1/B7333</f>
        <v>0.00476848981927424</v>
      </c>
      <c r="D7333" s="1" t="n">
        <v>0.25299</v>
      </c>
      <c r="E7333" s="1" t="n">
        <f aca="false">LN(D7333)</f>
        <v>-1.37440531672748</v>
      </c>
    </row>
    <row r="7334" customFormat="false" ht="15.75" hidden="false" customHeight="false" outlineLevel="0" collapsed="false">
      <c r="A7334" s="1" t="s">
        <v>1486</v>
      </c>
      <c r="B7334" s="1" t="n">
        <v>210.65</v>
      </c>
      <c r="C7334" s="1" t="n">
        <f aca="false">1/B7334</f>
        <v>0.00474721101352955</v>
      </c>
      <c r="D7334" s="1" t="n">
        <v>0.25002</v>
      </c>
      <c r="E7334" s="1" t="n">
        <f aca="false">LN(D7334)</f>
        <v>-1.38621436431972</v>
      </c>
    </row>
    <row r="7335" customFormat="false" ht="15.75" hidden="false" customHeight="false" outlineLevel="0" collapsed="false">
      <c r="A7335" s="1" t="s">
        <v>1486</v>
      </c>
      <c r="B7335" s="1" t="n">
        <v>211.59</v>
      </c>
      <c r="C7335" s="1" t="n">
        <f aca="false">1/B7335</f>
        <v>0.00472612127227185</v>
      </c>
      <c r="D7335" s="1" t="n">
        <v>0.2471</v>
      </c>
      <c r="E7335" s="1" t="n">
        <f aca="false">LN(D7335)</f>
        <v>-1.39796216598757</v>
      </c>
    </row>
    <row r="7336" customFormat="false" ht="15.75" hidden="false" customHeight="false" outlineLevel="0" collapsed="false">
      <c r="A7336" s="1" t="s">
        <v>1486</v>
      </c>
      <c r="B7336" s="1" t="n">
        <v>212.53</v>
      </c>
      <c r="C7336" s="1" t="n">
        <f aca="false">1/B7336</f>
        <v>0.00470521808685833</v>
      </c>
      <c r="D7336" s="1" t="n">
        <v>0.24423</v>
      </c>
      <c r="E7336" s="1" t="n">
        <f aca="false">LN(D7336)</f>
        <v>-1.40964487472814</v>
      </c>
    </row>
    <row r="7337" customFormat="false" ht="15.75" hidden="false" customHeight="false" outlineLevel="0" collapsed="false">
      <c r="A7337" s="1" t="s">
        <v>1486</v>
      </c>
      <c r="B7337" s="1" t="n">
        <v>213.47</v>
      </c>
      <c r="C7337" s="1" t="n">
        <f aca="false">1/B7337</f>
        <v>0.00468449899283272</v>
      </c>
      <c r="D7337" s="1" t="n">
        <v>0.24141</v>
      </c>
      <c r="E7337" s="1" t="n">
        <f aca="false">LN(D7337)</f>
        <v>-1.42125854615599</v>
      </c>
    </row>
    <row r="7338" customFormat="false" ht="15.75" hidden="false" customHeight="false" outlineLevel="0" collapsed="false">
      <c r="A7338" s="1" t="s">
        <v>1486</v>
      </c>
      <c r="B7338" s="1" t="n">
        <v>214.41</v>
      </c>
      <c r="C7338" s="1" t="n">
        <f aca="false">1/B7338</f>
        <v>0.00466396156895667</v>
      </c>
      <c r="D7338" s="1" t="n">
        <v>0.23864</v>
      </c>
      <c r="E7338" s="1" t="n">
        <f aca="false">LN(D7338)</f>
        <v>-1.43279913877564</v>
      </c>
    </row>
    <row r="7339" customFormat="false" ht="15.75" hidden="false" customHeight="false" outlineLevel="0" collapsed="false">
      <c r="A7339" s="1" t="s">
        <v>1486</v>
      </c>
      <c r="B7339" s="1" t="n">
        <v>215.35</v>
      </c>
      <c r="C7339" s="1" t="n">
        <f aca="false">1/B7339</f>
        <v>0.00464360343626654</v>
      </c>
      <c r="D7339" s="1" t="n">
        <v>0.23591</v>
      </c>
      <c r="E7339" s="1" t="n">
        <f aca="false">LN(D7339)</f>
        <v>-1.4443049026234</v>
      </c>
    </row>
    <row r="7340" customFormat="false" ht="15.75" hidden="false" customHeight="false" outlineLevel="0" collapsed="false">
      <c r="A7340" s="1" t="s">
        <v>1486</v>
      </c>
      <c r="B7340" s="1" t="n">
        <v>216.3</v>
      </c>
      <c r="C7340" s="1" t="n">
        <f aca="false">1/B7340</f>
        <v>0.00462320850670365</v>
      </c>
      <c r="D7340" s="1" t="n">
        <v>0.23323</v>
      </c>
      <c r="E7340" s="1" t="n">
        <f aca="false">LN(D7340)</f>
        <v>-1.45573018783988</v>
      </c>
    </row>
    <row r="7341" customFormat="false" ht="15.75" hidden="false" customHeight="false" outlineLevel="0" collapsed="false">
      <c r="A7341" s="1" t="s">
        <v>1486</v>
      </c>
      <c r="B7341" s="1" t="n">
        <v>217.24</v>
      </c>
      <c r="C7341" s="1" t="n">
        <f aca="false">1/B7341</f>
        <v>0.00460320382986559</v>
      </c>
      <c r="D7341" s="1" t="n">
        <v>0.2306</v>
      </c>
      <c r="E7341" s="1" t="n">
        <f aca="false">LN(D7341)</f>
        <v>-1.46707067114718</v>
      </c>
    </row>
    <row r="7342" customFormat="false" ht="15.75" hidden="false" customHeight="false" outlineLevel="0" collapsed="false">
      <c r="A7342" s="1" t="s">
        <v>1486</v>
      </c>
      <c r="B7342" s="1" t="n">
        <v>218.18</v>
      </c>
      <c r="C7342" s="1" t="n">
        <f aca="false">1/B7342</f>
        <v>0.00458337152809607</v>
      </c>
      <c r="D7342" s="1" t="n">
        <v>0.22801</v>
      </c>
      <c r="E7342" s="1" t="n">
        <f aca="false">LN(D7342)</f>
        <v>-1.47836579134038</v>
      </c>
    </row>
    <row r="7343" customFormat="false" ht="15.75" hidden="false" customHeight="false" outlineLevel="0" collapsed="false">
      <c r="A7343" s="1" t="s">
        <v>1486</v>
      </c>
      <c r="B7343" s="1" t="n">
        <v>219.12</v>
      </c>
      <c r="C7343" s="1" t="n">
        <f aca="false">1/B7343</f>
        <v>0.00456370938298649</v>
      </c>
      <c r="D7343" s="1" t="n">
        <v>0.22546</v>
      </c>
      <c r="E7343" s="1" t="n">
        <f aca="false">LN(D7343)</f>
        <v>-1.48961251936575</v>
      </c>
    </row>
    <row r="7344" customFormat="false" ht="15.75" hidden="false" customHeight="false" outlineLevel="0" collapsed="false">
      <c r="A7344" s="1" t="s">
        <v>1486</v>
      </c>
      <c r="B7344" s="1" t="n">
        <v>220.06</v>
      </c>
      <c r="C7344" s="1" t="n">
        <f aca="false">1/B7344</f>
        <v>0.00454421521403254</v>
      </c>
      <c r="D7344" s="1" t="n">
        <v>0.22295</v>
      </c>
      <c r="E7344" s="1" t="n">
        <f aca="false">LN(D7344)</f>
        <v>-1.50080774790865</v>
      </c>
    </row>
    <row r="7345" customFormat="false" ht="15.75" hidden="false" customHeight="false" outlineLevel="0" collapsed="false">
      <c r="A7345" s="1" t="s">
        <v>1486</v>
      </c>
      <c r="B7345" s="1" t="n">
        <v>221</v>
      </c>
      <c r="C7345" s="1" t="n">
        <f aca="false">1/B7345</f>
        <v>0.00452488687782805</v>
      </c>
      <c r="D7345" s="1" t="n">
        <v>0.22048</v>
      </c>
      <c r="E7345" s="1" t="n">
        <f aca="false">LN(D7345)</f>
        <v>-1.51194829115684</v>
      </c>
    </row>
    <row r="7346" customFormat="false" ht="15.75" hidden="false" customHeight="false" outlineLevel="0" collapsed="false">
      <c r="A7346" s="1" t="s">
        <v>1486</v>
      </c>
      <c r="B7346" s="1" t="n">
        <v>221.94</v>
      </c>
      <c r="C7346" s="1" t="n">
        <f aca="false">1/B7346</f>
        <v>0.00450572226727945</v>
      </c>
      <c r="D7346" s="1" t="n">
        <v>0.21805</v>
      </c>
      <c r="E7346" s="1" t="n">
        <f aca="false">LN(D7346)</f>
        <v>-1.52303088469336</v>
      </c>
    </row>
    <row r="7347" customFormat="false" ht="15.75" hidden="false" customHeight="false" outlineLevel="0" collapsed="false">
      <c r="A7347" s="1" t="s">
        <v>1486</v>
      </c>
      <c r="B7347" s="1" t="n">
        <v>222.88</v>
      </c>
      <c r="C7347" s="1" t="n">
        <f aca="false">1/B7347</f>
        <v>0.00448671931083991</v>
      </c>
      <c r="D7347" s="1" t="n">
        <v>0.21565</v>
      </c>
      <c r="E7347" s="1" t="n">
        <f aca="false">LN(D7347)</f>
        <v>-1.53409855588829</v>
      </c>
    </row>
    <row r="7348" customFormat="false" ht="15.75" hidden="false" customHeight="false" outlineLevel="0" collapsed="false">
      <c r="A7348" s="1" t="s">
        <v>1486</v>
      </c>
      <c r="B7348" s="1" t="n">
        <v>223.82</v>
      </c>
      <c r="C7348" s="1" t="n">
        <f aca="false">1/B7348</f>
        <v>0.00446787597176302</v>
      </c>
      <c r="D7348" s="1" t="n">
        <v>0.2133</v>
      </c>
      <c r="E7348" s="1" t="n">
        <f aca="false">LN(D7348)</f>
        <v>-1.54505565350483</v>
      </c>
    </row>
    <row r="7349" customFormat="false" ht="15.75" hidden="false" customHeight="false" outlineLevel="0" collapsed="false">
      <c r="A7349" s="1" t="s">
        <v>1486</v>
      </c>
      <c r="B7349" s="1" t="n">
        <v>224.76</v>
      </c>
      <c r="C7349" s="1" t="n">
        <f aca="false">1/B7349</f>
        <v>0.00444919024737498</v>
      </c>
      <c r="D7349" s="1" t="n">
        <v>0.21098</v>
      </c>
      <c r="E7349" s="1" t="n">
        <f aca="false">LN(D7349)</f>
        <v>-1.55599193672847</v>
      </c>
    </row>
    <row r="7350" customFormat="false" ht="15.75" hidden="false" customHeight="false" outlineLevel="0" collapsed="false">
      <c r="A7350" s="1" t="s">
        <v>1486</v>
      </c>
      <c r="B7350" s="1" t="n">
        <v>225.7</v>
      </c>
      <c r="C7350" s="1" t="n">
        <f aca="false">1/B7350</f>
        <v>0.00443066016836509</v>
      </c>
      <c r="D7350" s="1" t="n">
        <v>0.20869</v>
      </c>
      <c r="E7350" s="1" t="n">
        <f aca="false">LN(D7350)</f>
        <v>-1.5669053817154</v>
      </c>
    </row>
    <row r="7351" customFormat="false" ht="15.75" hidden="false" customHeight="false" outlineLevel="0" collapsed="false">
      <c r="A7351" s="1" t="s">
        <v>1486</v>
      </c>
      <c r="B7351" s="1" t="n">
        <v>226.64</v>
      </c>
      <c r="C7351" s="1" t="n">
        <f aca="false">1/B7351</f>
        <v>0.00441228379809389</v>
      </c>
      <c r="D7351" s="1" t="n">
        <v>0.20645</v>
      </c>
      <c r="E7351" s="1" t="n">
        <f aca="false">LN(D7351)</f>
        <v>-1.57769702665004</v>
      </c>
    </row>
    <row r="7352" customFormat="false" ht="15.75" hidden="false" customHeight="false" outlineLevel="0" collapsed="false">
      <c r="A7352" s="1" t="s">
        <v>1486</v>
      </c>
      <c r="B7352" s="1" t="n">
        <v>227.58</v>
      </c>
      <c r="C7352" s="1" t="n">
        <f aca="false">1/B7352</f>
        <v>0.00439405923191845</v>
      </c>
      <c r="D7352" s="1" t="n">
        <v>0.20423</v>
      </c>
      <c r="E7352" s="1" t="n">
        <f aca="false">LN(D7352)</f>
        <v>-1.58850846925307</v>
      </c>
    </row>
    <row r="7353" customFormat="false" ht="15.75" hidden="false" customHeight="false" outlineLevel="0" collapsed="false">
      <c r="A7353" s="1" t="s">
        <v>1486</v>
      </c>
      <c r="B7353" s="1" t="n">
        <v>228.53</v>
      </c>
      <c r="C7353" s="1" t="n">
        <f aca="false">1/B7353</f>
        <v>0.00437579311250164</v>
      </c>
      <c r="D7353" s="1" t="n">
        <v>0.20205</v>
      </c>
      <c r="E7353" s="1" t="n">
        <f aca="false">LN(D7353)</f>
        <v>-1.59924008745765</v>
      </c>
    </row>
    <row r="7354" customFormat="false" ht="15.75" hidden="false" customHeight="false" outlineLevel="0" collapsed="false">
      <c r="A7354" s="1" t="s">
        <v>1486</v>
      </c>
      <c r="B7354" s="1" t="n">
        <v>229.47</v>
      </c>
      <c r="C7354" s="1" t="n">
        <f aca="false">1/B7354</f>
        <v>0.00435786813091036</v>
      </c>
      <c r="D7354" s="1" t="n">
        <v>0.1999</v>
      </c>
      <c r="E7354" s="1" t="n">
        <f aca="false">LN(D7354)</f>
        <v>-1.60993803747578</v>
      </c>
    </row>
    <row r="7355" customFormat="false" ht="15.75" hidden="false" customHeight="false" outlineLevel="0" collapsed="false">
      <c r="A7355" s="1" t="s">
        <v>1486</v>
      </c>
      <c r="B7355" s="1" t="n">
        <v>230.41</v>
      </c>
      <c r="C7355" s="1" t="n">
        <f aca="false">1/B7355</f>
        <v>0.00434008940584176</v>
      </c>
      <c r="D7355" s="1" t="n">
        <v>0.19778</v>
      </c>
      <c r="E7355" s="1" t="n">
        <f aca="false">LN(D7355)</f>
        <v>-1.62059997714029</v>
      </c>
    </row>
    <row r="7356" customFormat="false" ht="15.75" hidden="false" customHeight="false" outlineLevel="0" collapsed="false">
      <c r="A7356" s="1" t="s">
        <v>1486</v>
      </c>
      <c r="B7356" s="1" t="n">
        <v>230.74</v>
      </c>
      <c r="C7356" s="1" t="n">
        <f aca="false">1/B7356</f>
        <v>0.00433388229175696</v>
      </c>
      <c r="D7356" s="1" t="n">
        <v>0.19704</v>
      </c>
      <c r="E7356" s="1" t="n">
        <f aca="false">LN(D7356)</f>
        <v>-1.62434852516985</v>
      </c>
    </row>
    <row r="7357" customFormat="false" ht="15.75" hidden="false" customHeight="false" outlineLevel="0" collapsed="false">
      <c r="A7357" s="1" t="s">
        <v>1172</v>
      </c>
      <c r="B7357" s="1" t="n">
        <v>254.71</v>
      </c>
      <c r="C7357" s="1" t="n">
        <f aca="false">1/B7357</f>
        <v>0.00392603352832633</v>
      </c>
      <c r="D7357" s="1" t="n">
        <v>0.263</v>
      </c>
      <c r="E7357" s="1" t="n">
        <f aca="false">LN(D7357)</f>
        <v>-1.33560124680437</v>
      </c>
    </row>
    <row r="7358" customFormat="false" ht="15.75" hidden="false" customHeight="false" outlineLevel="0" collapsed="false">
      <c r="A7358" s="1" t="s">
        <v>1172</v>
      </c>
      <c r="B7358" s="1" t="n">
        <v>258.04</v>
      </c>
      <c r="C7358" s="1" t="n">
        <f aca="false">1/B7358</f>
        <v>0.0038753681599752</v>
      </c>
      <c r="D7358" s="1" t="n">
        <v>0.253</v>
      </c>
      <c r="E7358" s="1" t="n">
        <f aca="false">LN(D7358)</f>
        <v>-1.37436579025462</v>
      </c>
    </row>
    <row r="7359" customFormat="false" ht="15.75" hidden="false" customHeight="false" outlineLevel="0" collapsed="false">
      <c r="A7359" s="1" t="s">
        <v>1172</v>
      </c>
      <c r="B7359" s="1" t="n">
        <v>263.27</v>
      </c>
      <c r="C7359" s="1" t="n">
        <f aca="false">1/B7359</f>
        <v>0.00379838188931515</v>
      </c>
      <c r="D7359" s="1" t="n">
        <v>0.2366</v>
      </c>
      <c r="E7359" s="1" t="n">
        <f aca="false">LN(D7359)</f>
        <v>-1.44138432743785</v>
      </c>
    </row>
    <row r="7360" customFormat="false" ht="15.75" hidden="false" customHeight="false" outlineLevel="0" collapsed="false">
      <c r="A7360" s="1" t="s">
        <v>1172</v>
      </c>
      <c r="B7360" s="1" t="n">
        <v>282.94</v>
      </c>
      <c r="C7360" s="1" t="n">
        <f aca="false">1/B7360</f>
        <v>0.00353431823001343</v>
      </c>
      <c r="D7360" s="1" t="n">
        <v>0.1893</v>
      </c>
      <c r="E7360" s="1" t="n">
        <f aca="false">LN(D7360)</f>
        <v>-1.66442222076686</v>
      </c>
    </row>
    <row r="7361" customFormat="false" ht="15.75" hidden="false" customHeight="false" outlineLevel="0" collapsed="false">
      <c r="A7361" s="1" t="s">
        <v>1172</v>
      </c>
      <c r="B7361" s="1" t="n">
        <v>289.46</v>
      </c>
      <c r="C7361" s="1" t="n">
        <f aca="false">1/B7361</f>
        <v>0.00345470876805085</v>
      </c>
      <c r="D7361" s="1" t="n">
        <v>0.1749</v>
      </c>
      <c r="E7361" s="1" t="n">
        <f aca="false">LN(D7361)</f>
        <v>-1.74354089695758</v>
      </c>
    </row>
    <row r="7362" customFormat="false" ht="15.75" hidden="false" customHeight="false" outlineLevel="0" collapsed="false">
      <c r="A7362" s="1" t="s">
        <v>1172</v>
      </c>
      <c r="B7362" s="1" t="n">
        <v>300.98</v>
      </c>
      <c r="C7362" s="1" t="n">
        <f aca="false">1/B7362</f>
        <v>0.00332247989899661</v>
      </c>
      <c r="D7362" s="1" t="n">
        <v>0.1541</v>
      </c>
      <c r="E7362" s="1" t="n">
        <f aca="false">LN(D7362)</f>
        <v>-1.87015353665607</v>
      </c>
    </row>
    <row r="7363" customFormat="false" ht="15.75" hidden="false" customHeight="false" outlineLevel="0" collapsed="false">
      <c r="A7363" s="1" t="s">
        <v>1172</v>
      </c>
      <c r="B7363" s="1" t="n">
        <v>313.2</v>
      </c>
      <c r="C7363" s="1" t="n">
        <f aca="false">1/B7363</f>
        <v>0.00319284802043423</v>
      </c>
      <c r="D7363" s="1" t="n">
        <v>0.1358</v>
      </c>
      <c r="E7363" s="1" t="n">
        <f aca="false">LN(D7363)</f>
        <v>-1.99657206385754</v>
      </c>
    </row>
    <row r="7364" customFormat="false" ht="15.75" hidden="false" customHeight="false" outlineLevel="0" collapsed="false">
      <c r="A7364" s="1" t="s">
        <v>1172</v>
      </c>
      <c r="B7364" s="1" t="n">
        <v>322.27</v>
      </c>
      <c r="C7364" s="1" t="n">
        <f aca="false">1/B7364</f>
        <v>0.00310298817761504</v>
      </c>
      <c r="D7364" s="1" t="n">
        <v>0.1214</v>
      </c>
      <c r="E7364" s="1" t="n">
        <f aca="false">LN(D7364)</f>
        <v>-2.10866440035674</v>
      </c>
    </row>
    <row r="7365" customFormat="false" ht="15.75" hidden="false" customHeight="false" outlineLevel="0" collapsed="false">
      <c r="A7365" s="1" t="s">
        <v>1172</v>
      </c>
      <c r="B7365" s="1" t="n">
        <v>323</v>
      </c>
      <c r="C7365" s="1" t="n">
        <f aca="false">1/B7365</f>
        <v>0.00309597523219814</v>
      </c>
      <c r="D7365" s="1" t="n">
        <v>0.1211</v>
      </c>
      <c r="E7365" s="1" t="n">
        <f aca="false">LN(D7365)</f>
        <v>-2.11113862842309</v>
      </c>
    </row>
    <row r="7366" customFormat="false" ht="15.75" hidden="false" customHeight="false" outlineLevel="0" collapsed="false">
      <c r="A7366" s="1" t="s">
        <v>1172</v>
      </c>
      <c r="B7366" s="1" t="n">
        <v>272.24</v>
      </c>
      <c r="C7366" s="1" t="n">
        <f aca="false">1/B7366</f>
        <v>0.00367322950337937</v>
      </c>
      <c r="D7366" s="1" t="n">
        <v>0.2124</v>
      </c>
      <c r="E7366" s="1" t="n">
        <f aca="false">LN(D7366)</f>
        <v>-1.54928398961435</v>
      </c>
    </row>
    <row r="7367" customFormat="false" ht="15.75" hidden="false" customHeight="false" outlineLevel="0" collapsed="false">
      <c r="A7367" s="1" t="s">
        <v>1172</v>
      </c>
      <c r="B7367" s="1" t="n">
        <v>313.13</v>
      </c>
      <c r="C7367" s="1" t="n">
        <f aca="false">1/B7367</f>
        <v>0.00319356177945262</v>
      </c>
      <c r="D7367" s="1" t="n">
        <v>0.1347</v>
      </c>
      <c r="E7367" s="1" t="n">
        <f aca="false">LN(D7367)</f>
        <v>-2.00470519556582</v>
      </c>
    </row>
    <row r="7368" customFormat="false" ht="15.75" hidden="false" customHeight="false" outlineLevel="0" collapsed="false">
      <c r="A7368" s="1" t="s">
        <v>1487</v>
      </c>
      <c r="B7368" s="1" t="n">
        <v>182.33</v>
      </c>
      <c r="C7368" s="1" t="n">
        <f aca="false">1/B7368</f>
        <v>0.00548456096089508</v>
      </c>
      <c r="D7368" s="1" t="n">
        <v>0.32085</v>
      </c>
      <c r="E7368" s="1" t="n">
        <f aca="false">LN(D7368)</f>
        <v>-1.13678155478561</v>
      </c>
    </row>
    <row r="7369" customFormat="false" ht="15.75" hidden="false" customHeight="false" outlineLevel="0" collapsed="false">
      <c r="A7369" s="1" t="s">
        <v>1487</v>
      </c>
      <c r="B7369" s="1" t="n">
        <v>182.86</v>
      </c>
      <c r="C7369" s="1" t="n">
        <f aca="false">1/B7369</f>
        <v>0.00546866455211637</v>
      </c>
      <c r="D7369" s="1" t="n">
        <v>0.31772</v>
      </c>
      <c r="E7369" s="1" t="n">
        <f aca="false">LN(D7369)</f>
        <v>-1.14658478721721</v>
      </c>
    </row>
    <row r="7370" customFormat="false" ht="15.75" hidden="false" customHeight="false" outlineLevel="0" collapsed="false">
      <c r="A7370" s="1" t="s">
        <v>1487</v>
      </c>
      <c r="B7370" s="1" t="n">
        <v>183.39</v>
      </c>
      <c r="C7370" s="1" t="n">
        <f aca="false">1/B7370</f>
        <v>0.00545286002508316</v>
      </c>
      <c r="D7370" s="1" t="n">
        <v>0.31463</v>
      </c>
      <c r="E7370" s="1" t="n">
        <f aca="false">LN(D7370)</f>
        <v>-1.15635793371809</v>
      </c>
    </row>
    <row r="7371" customFormat="false" ht="15.75" hidden="false" customHeight="false" outlineLevel="0" collapsed="false">
      <c r="A7371" s="1" t="s">
        <v>1487</v>
      </c>
      <c r="B7371" s="1" t="n">
        <v>183.92</v>
      </c>
      <c r="C7371" s="1" t="n">
        <f aca="false">1/B7371</f>
        <v>0.00543714658547195</v>
      </c>
      <c r="D7371" s="1" t="n">
        <v>0.31159</v>
      </c>
      <c r="E7371" s="1" t="n">
        <f aca="false">LN(D7371)</f>
        <v>-1.1660670579267</v>
      </c>
    </row>
    <row r="7372" customFormat="false" ht="15.75" hidden="false" customHeight="false" outlineLevel="0" collapsed="false">
      <c r="A7372" s="1" t="s">
        <v>1487</v>
      </c>
      <c r="B7372" s="1" t="n">
        <v>184.45</v>
      </c>
      <c r="C7372" s="1" t="n">
        <f aca="false">1/B7372</f>
        <v>0.00542152344808891</v>
      </c>
      <c r="D7372" s="1" t="n">
        <v>0.3086</v>
      </c>
      <c r="E7372" s="1" t="n">
        <f aca="false">LN(D7372)</f>
        <v>-1.17570933905308</v>
      </c>
    </row>
    <row r="7373" customFormat="false" ht="15.75" hidden="false" customHeight="false" outlineLevel="0" collapsed="false">
      <c r="A7373" s="1" t="s">
        <v>1487</v>
      </c>
      <c r="B7373" s="1" t="n">
        <v>184.46</v>
      </c>
      <c r="C7373" s="1" t="n">
        <f aca="false">1/B7373</f>
        <v>0.00542122953485851</v>
      </c>
      <c r="D7373" s="1" t="n">
        <v>0.30851</v>
      </c>
      <c r="E7373" s="1" t="n">
        <f aca="false">LN(D7373)</f>
        <v>-1.17600102125119</v>
      </c>
    </row>
    <row r="7374" customFormat="false" ht="15.75" hidden="false" customHeight="false" outlineLevel="0" collapsed="false">
      <c r="A7374" s="1" t="s">
        <v>1174</v>
      </c>
      <c r="B7374" s="1" t="n">
        <v>344.69</v>
      </c>
      <c r="C7374" s="1" t="n">
        <f aca="false">1/B7374</f>
        <v>0.00290115756186718</v>
      </c>
      <c r="D7374" s="1" t="n">
        <v>0.10399</v>
      </c>
      <c r="E7374" s="1" t="n">
        <f aca="false">LN(D7374)</f>
        <v>-2.26346053831</v>
      </c>
    </row>
    <row r="7375" customFormat="false" ht="15.75" hidden="false" customHeight="false" outlineLevel="0" collapsed="false">
      <c r="A7375" s="1" t="s">
        <v>1174</v>
      </c>
      <c r="B7375" s="1" t="n">
        <v>345.02</v>
      </c>
      <c r="C7375" s="1" t="n">
        <f aca="false">1/B7375</f>
        <v>0.00289838270245203</v>
      </c>
      <c r="D7375" s="1" t="n">
        <v>0.10369</v>
      </c>
      <c r="E7375" s="1" t="n">
        <f aca="false">LN(D7375)</f>
        <v>-2.26634960041195</v>
      </c>
    </row>
    <row r="7376" customFormat="false" ht="15.75" hidden="false" customHeight="false" outlineLevel="0" collapsed="false">
      <c r="A7376" s="1" t="s">
        <v>1174</v>
      </c>
      <c r="B7376" s="1" t="n">
        <v>345.36</v>
      </c>
      <c r="C7376" s="1" t="n">
        <f aca="false">1/B7376</f>
        <v>0.00289552930275654</v>
      </c>
      <c r="D7376" s="1" t="n">
        <v>0.10339</v>
      </c>
      <c r="E7376" s="1" t="n">
        <f aca="false">LN(D7376)</f>
        <v>-2.26924703338354</v>
      </c>
    </row>
    <row r="7377" customFormat="false" ht="15.75" hidden="false" customHeight="false" outlineLevel="0" collapsed="false">
      <c r="A7377" s="1" t="s">
        <v>1174</v>
      </c>
      <c r="B7377" s="1" t="n">
        <v>345.69</v>
      </c>
      <c r="C7377" s="1" t="n">
        <f aca="false">1/B7377</f>
        <v>0.00289276519424918</v>
      </c>
      <c r="D7377" s="1" t="n">
        <v>0.10309</v>
      </c>
      <c r="E7377" s="1" t="n">
        <f aca="false">LN(D7377)</f>
        <v>-2.27215288587384</v>
      </c>
    </row>
    <row r="7378" customFormat="false" ht="15.75" hidden="false" customHeight="false" outlineLevel="0" collapsed="false">
      <c r="A7378" s="1" t="s">
        <v>1174</v>
      </c>
      <c r="B7378" s="1" t="n">
        <v>346.03</v>
      </c>
      <c r="C7378" s="1" t="n">
        <f aca="false">1/B7378</f>
        <v>0.0028899228390602</v>
      </c>
      <c r="D7378" s="1" t="n">
        <v>0.10279</v>
      </c>
      <c r="E7378" s="1" t="n">
        <f aca="false">LN(D7378)</f>
        <v>-2.27506720695731</v>
      </c>
    </row>
    <row r="7379" customFormat="false" ht="15.75" hidden="false" customHeight="false" outlineLevel="0" collapsed="false">
      <c r="A7379" s="1" t="s">
        <v>1174</v>
      </c>
      <c r="B7379" s="1" t="n">
        <v>346.36</v>
      </c>
      <c r="C7379" s="1" t="n">
        <f aca="false">1/B7379</f>
        <v>0.00288716941910151</v>
      </c>
      <c r="D7379" s="1" t="n">
        <v>0.10249</v>
      </c>
      <c r="E7379" s="1" t="n">
        <f aca="false">LN(D7379)</f>
        <v>-2.27799004613867</v>
      </c>
    </row>
    <row r="7380" customFormat="false" ht="15.75" hidden="false" customHeight="false" outlineLevel="0" collapsed="false">
      <c r="A7380" s="1" t="s">
        <v>1174</v>
      </c>
      <c r="B7380" s="1" t="n">
        <v>346.7</v>
      </c>
      <c r="C7380" s="1" t="n">
        <f aca="false">1/B7380</f>
        <v>0.00288433804441881</v>
      </c>
      <c r="D7380" s="1" t="n">
        <v>0.10219</v>
      </c>
      <c r="E7380" s="1" t="n">
        <f aca="false">LN(D7380)</f>
        <v>-2.28092145335802</v>
      </c>
    </row>
    <row r="7381" customFormat="false" ht="15.75" hidden="false" customHeight="false" outlineLevel="0" collapsed="false">
      <c r="A7381" s="1" t="s">
        <v>1174</v>
      </c>
      <c r="B7381" s="1" t="n">
        <v>347.03</v>
      </c>
      <c r="C7381" s="1" t="n">
        <f aca="false">1/B7381</f>
        <v>0.00288159525113103</v>
      </c>
      <c r="D7381" s="1" t="n">
        <v>0.10189</v>
      </c>
      <c r="E7381" s="1" t="n">
        <f aca="false">LN(D7381)</f>
        <v>-2.28386147899594</v>
      </c>
    </row>
    <row r="7382" customFormat="false" ht="15.75" hidden="false" customHeight="false" outlineLevel="0" collapsed="false">
      <c r="A7382" s="1" t="s">
        <v>1174</v>
      </c>
      <c r="B7382" s="1" t="n">
        <v>347.37</v>
      </c>
      <c r="C7382" s="1" t="n">
        <f aca="false">1/B7382</f>
        <v>0.00287877479344791</v>
      </c>
      <c r="D7382" s="1" t="n">
        <v>0.1016</v>
      </c>
      <c r="E7382" s="1" t="n">
        <f aca="false">LN(D7382)</f>
        <v>-2.28671174383776</v>
      </c>
    </row>
    <row r="7383" customFormat="false" ht="15.75" hidden="false" customHeight="false" outlineLevel="0" collapsed="false">
      <c r="A7383" s="1" t="s">
        <v>1174</v>
      </c>
      <c r="B7383" s="1" t="n">
        <v>347.7</v>
      </c>
      <c r="C7383" s="1" t="n">
        <f aca="false">1/B7383</f>
        <v>0.00287604256542997</v>
      </c>
      <c r="D7383" s="1" t="n">
        <v>0.1013</v>
      </c>
      <c r="E7383" s="1" t="n">
        <f aca="false">LN(D7383)</f>
        <v>-2.2896688677275</v>
      </c>
    </row>
    <row r="7384" customFormat="false" ht="15.75" hidden="false" customHeight="false" outlineLevel="0" collapsed="false">
      <c r="A7384" s="1" t="s">
        <v>1174</v>
      </c>
      <c r="B7384" s="1" t="n">
        <v>348.04</v>
      </c>
      <c r="C7384" s="1" t="n">
        <f aca="false">1/B7384</f>
        <v>0.00287323296172854</v>
      </c>
      <c r="D7384" s="1" t="n">
        <v>0.101</v>
      </c>
      <c r="E7384" s="1" t="n">
        <f aca="false">LN(D7384)</f>
        <v>-2.29263476214088</v>
      </c>
    </row>
    <row r="7385" customFormat="false" ht="15.75" hidden="false" customHeight="false" outlineLevel="0" collapsed="false">
      <c r="A7385" s="1" t="s">
        <v>1174</v>
      </c>
      <c r="B7385" s="1" t="n">
        <v>348.37</v>
      </c>
      <c r="C7385" s="1" t="n">
        <f aca="false">1/B7385</f>
        <v>0.0028705112380515</v>
      </c>
      <c r="D7385" s="1" t="n">
        <v>0.10071</v>
      </c>
      <c r="E7385" s="1" t="n">
        <f aca="false">LN(D7385)</f>
        <v>-2.29551017932208</v>
      </c>
    </row>
    <row r="7386" customFormat="false" ht="15.75" hidden="false" customHeight="false" outlineLevel="0" collapsed="false">
      <c r="A7386" s="1" t="s">
        <v>1174</v>
      </c>
      <c r="B7386" s="1" t="n">
        <v>348.71</v>
      </c>
      <c r="C7386" s="1" t="n">
        <f aca="false">1/B7386</f>
        <v>0.00286771242579794</v>
      </c>
      <c r="D7386" s="1" t="n">
        <v>0.10042</v>
      </c>
      <c r="E7386" s="1" t="n">
        <f aca="false">LN(D7386)</f>
        <v>-2.29839388837558</v>
      </c>
    </row>
    <row r="7387" customFormat="false" ht="15.75" hidden="false" customHeight="false" outlineLevel="0" collapsed="false">
      <c r="A7387" s="1" t="s">
        <v>1174</v>
      </c>
      <c r="B7387" s="1" t="n">
        <v>349.04</v>
      </c>
      <c r="C7387" s="1" t="n">
        <f aca="false">1/B7387</f>
        <v>0.00286500114600046</v>
      </c>
      <c r="D7387" s="1" t="n">
        <v>0.10012</v>
      </c>
      <c r="E7387" s="1" t="n">
        <f aca="false">LN(D7387)</f>
        <v>-2.30138581241856</v>
      </c>
    </row>
    <row r="7388" customFormat="false" ht="15.75" hidden="false" customHeight="false" outlineLevel="0" collapsed="false">
      <c r="A7388" s="1" t="s">
        <v>1174</v>
      </c>
      <c r="B7388" s="1" t="n">
        <v>349.38</v>
      </c>
      <c r="C7388" s="1" t="n">
        <f aca="false">1/B7388</f>
        <v>0.00286221306314042</v>
      </c>
      <c r="D7388" s="1" t="n">
        <v>0.099828</v>
      </c>
      <c r="E7388" s="1" t="n">
        <f aca="false">LN(D7388)</f>
        <v>-2.30430657389239</v>
      </c>
    </row>
    <row r="7389" customFormat="false" ht="15.75" hidden="false" customHeight="false" outlineLevel="0" collapsed="false">
      <c r="A7389" s="1" t="s">
        <v>1174</v>
      </c>
      <c r="B7389" s="1" t="n">
        <v>349.71</v>
      </c>
      <c r="C7389" s="1" t="n">
        <f aca="false">1/B7389</f>
        <v>0.00285951216722427</v>
      </c>
      <c r="D7389" s="1" t="n">
        <v>0.099536</v>
      </c>
      <c r="E7389" s="1" t="n">
        <f aca="false">LN(D7389)</f>
        <v>-2.30723589120947</v>
      </c>
    </row>
    <row r="7390" customFormat="false" ht="15.75" hidden="false" customHeight="false" outlineLevel="0" collapsed="false">
      <c r="A7390" s="1" t="s">
        <v>1174</v>
      </c>
      <c r="B7390" s="1" t="n">
        <v>350.05</v>
      </c>
      <c r="C7390" s="1" t="n">
        <f aca="false">1/B7390</f>
        <v>0.00285673475217826</v>
      </c>
      <c r="D7390" s="1" t="n">
        <v>0.099244</v>
      </c>
      <c r="E7390" s="1" t="n">
        <f aca="false">LN(D7390)</f>
        <v>-2.31017381464272</v>
      </c>
    </row>
    <row r="7391" customFormat="false" ht="15.75" hidden="false" customHeight="false" outlineLevel="0" collapsed="false">
      <c r="A7391" s="1" t="s">
        <v>1174</v>
      </c>
      <c r="B7391" s="1" t="n">
        <v>350.38</v>
      </c>
      <c r="C7391" s="1" t="n">
        <f aca="false">1/B7391</f>
        <v>0.00285404418060392</v>
      </c>
      <c r="D7391" s="1" t="n">
        <v>0.098953</v>
      </c>
      <c r="E7391" s="1" t="n">
        <f aca="false">LN(D7391)</f>
        <v>-2.31311028905056</v>
      </c>
    </row>
    <row r="7392" customFormat="false" ht="15.75" hidden="false" customHeight="false" outlineLevel="0" collapsed="false">
      <c r="A7392" s="1" t="s">
        <v>1174</v>
      </c>
      <c r="B7392" s="1" t="n">
        <v>350.72</v>
      </c>
      <c r="C7392" s="1" t="n">
        <f aca="false">1/B7392</f>
        <v>0.00285127737226277</v>
      </c>
      <c r="D7392" s="1" t="n">
        <v>0.098662</v>
      </c>
      <c r="E7392" s="1" t="n">
        <f aca="false">LN(D7392)</f>
        <v>-2.31605541174204</v>
      </c>
    </row>
    <row r="7393" customFormat="false" ht="15.75" hidden="false" customHeight="false" outlineLevel="0" collapsed="false">
      <c r="A7393" s="1" t="s">
        <v>1174</v>
      </c>
      <c r="B7393" s="1" t="n">
        <v>351.05</v>
      </c>
      <c r="C7393" s="1" t="n">
        <f aca="false">1/B7393</f>
        <v>0.00284859706594502</v>
      </c>
      <c r="D7393" s="1" t="n">
        <v>0.098372</v>
      </c>
      <c r="E7393" s="1" t="n">
        <f aca="false">LN(D7393)</f>
        <v>-2.3189990682623</v>
      </c>
    </row>
    <row r="7394" customFormat="false" ht="15.75" hidden="false" customHeight="false" outlineLevel="0" collapsed="false">
      <c r="A7394" s="1" t="s">
        <v>1174</v>
      </c>
      <c r="B7394" s="1" t="n">
        <v>351.39</v>
      </c>
      <c r="C7394" s="1" t="n">
        <f aca="false">1/B7394</f>
        <v>0.00284584080366544</v>
      </c>
      <c r="D7394" s="1" t="n">
        <v>0.098082</v>
      </c>
      <c r="E7394" s="1" t="n">
        <f aca="false">LN(D7394)</f>
        <v>-2.32195141548501</v>
      </c>
    </row>
    <row r="7395" customFormat="false" ht="15.75" hidden="false" customHeight="false" outlineLevel="0" collapsed="false">
      <c r="A7395" s="1" t="s">
        <v>1174</v>
      </c>
      <c r="B7395" s="1" t="n">
        <v>351.72</v>
      </c>
      <c r="C7395" s="1" t="n">
        <f aca="false">1/B7395</f>
        <v>0.00284317070396907</v>
      </c>
      <c r="D7395" s="1" t="n">
        <v>0.097794</v>
      </c>
      <c r="E7395" s="1" t="n">
        <f aca="false">LN(D7395)</f>
        <v>-2.32489205351659</v>
      </c>
    </row>
    <row r="7396" customFormat="false" ht="15.75" hidden="false" customHeight="false" outlineLevel="0" collapsed="false">
      <c r="A7396" s="1" t="s">
        <v>1174</v>
      </c>
      <c r="B7396" s="1" t="n">
        <v>352.06</v>
      </c>
      <c r="C7396" s="1" t="n">
        <f aca="false">1/B7396</f>
        <v>0.00284042492756916</v>
      </c>
      <c r="D7396" s="1" t="n">
        <v>0.097505</v>
      </c>
      <c r="E7396" s="1" t="n">
        <f aca="false">LN(D7396)</f>
        <v>-2.32785162024193</v>
      </c>
    </row>
    <row r="7397" customFormat="false" ht="15.75" hidden="false" customHeight="false" outlineLevel="0" collapsed="false">
      <c r="A7397" s="1" t="s">
        <v>1174</v>
      </c>
      <c r="B7397" s="1" t="n">
        <v>352.39</v>
      </c>
      <c r="C7397" s="1" t="n">
        <f aca="false">1/B7397</f>
        <v>0.00283776497630466</v>
      </c>
      <c r="D7397" s="1" t="n">
        <v>0.097218</v>
      </c>
      <c r="E7397" s="1" t="n">
        <f aca="false">LN(D7397)</f>
        <v>-2.33079939947522</v>
      </c>
    </row>
    <row r="7398" customFormat="false" ht="15.75" hidden="false" customHeight="false" outlineLevel="0" collapsed="false">
      <c r="A7398" s="1" t="s">
        <v>1174</v>
      </c>
      <c r="B7398" s="1" t="n">
        <v>352.73</v>
      </c>
      <c r="C7398" s="1" t="n">
        <f aca="false">1/B7398</f>
        <v>0.00283502962605959</v>
      </c>
      <c r="D7398" s="1" t="n">
        <v>0.09693</v>
      </c>
      <c r="E7398" s="1" t="n">
        <f aca="false">LN(D7398)</f>
        <v>-2.33376621047762</v>
      </c>
    </row>
    <row r="7399" customFormat="false" ht="15.75" hidden="false" customHeight="false" outlineLevel="0" collapsed="false">
      <c r="A7399" s="1" t="s">
        <v>1174</v>
      </c>
      <c r="B7399" s="1" t="n">
        <v>353.06</v>
      </c>
      <c r="C7399" s="1" t="n">
        <f aca="false">1/B7399</f>
        <v>0.00283237976547896</v>
      </c>
      <c r="D7399" s="1" t="n">
        <v>0.096644</v>
      </c>
      <c r="E7399" s="1" t="n">
        <f aca="false">LN(D7399)</f>
        <v>-2.33672115492373</v>
      </c>
    </row>
    <row r="7400" customFormat="false" ht="15.75" hidden="false" customHeight="false" outlineLevel="0" collapsed="false">
      <c r="A7400" s="1" t="s">
        <v>1174</v>
      </c>
      <c r="B7400" s="1" t="n">
        <v>353.4</v>
      </c>
      <c r="C7400" s="1" t="n">
        <f aca="false">1/B7400</f>
        <v>0.00282965478211658</v>
      </c>
      <c r="D7400" s="1" t="n">
        <v>0.096358</v>
      </c>
      <c r="E7400" s="1" t="n">
        <f aca="false">LN(D7400)</f>
        <v>-2.33968485695107</v>
      </c>
    </row>
    <row r="7401" customFormat="false" ht="15.75" hidden="false" customHeight="false" outlineLevel="0" collapsed="false">
      <c r="A7401" s="1" t="s">
        <v>1174</v>
      </c>
      <c r="B7401" s="1" t="n">
        <v>353.73</v>
      </c>
      <c r="C7401" s="1" t="n">
        <f aca="false">1/B7401</f>
        <v>0.00282701495490911</v>
      </c>
      <c r="D7401" s="1" t="n">
        <v>0.096072</v>
      </c>
      <c r="E7401" s="1" t="n">
        <f aca="false">LN(D7401)</f>
        <v>-2.34265736862375</v>
      </c>
    </row>
    <row r="7402" customFormat="false" ht="15.75" hidden="false" customHeight="false" outlineLevel="0" collapsed="false">
      <c r="A7402" s="1" t="s">
        <v>1174</v>
      </c>
      <c r="B7402" s="1" t="n">
        <v>354.07</v>
      </c>
      <c r="C7402" s="1" t="n">
        <f aca="false">1/B7402</f>
        <v>0.00282430027960573</v>
      </c>
      <c r="D7402" s="1" t="n">
        <v>0.095788</v>
      </c>
      <c r="E7402" s="1" t="n">
        <f aca="false">LN(D7402)</f>
        <v>-2.34561786281147</v>
      </c>
    </row>
    <row r="7403" customFormat="false" ht="15.75" hidden="false" customHeight="false" outlineLevel="0" collapsed="false">
      <c r="A7403" s="1" t="s">
        <v>1174</v>
      </c>
      <c r="B7403" s="1" t="n">
        <v>354.4</v>
      </c>
      <c r="C7403" s="1" t="n">
        <f aca="false">1/B7403</f>
        <v>0.00282167042889391</v>
      </c>
      <c r="D7403" s="1" t="n">
        <v>0.095503</v>
      </c>
      <c r="E7403" s="1" t="n">
        <f aca="false">LN(D7403)</f>
        <v>-2.34859761837628</v>
      </c>
    </row>
    <row r="7404" customFormat="false" ht="15.75" hidden="false" customHeight="false" outlineLevel="0" collapsed="false">
      <c r="A7404" s="1" t="s">
        <v>1174</v>
      </c>
      <c r="B7404" s="1" t="n">
        <v>354.74</v>
      </c>
      <c r="C7404" s="1" t="n">
        <f aca="false">1/B7404</f>
        <v>0.00281896600327</v>
      </c>
      <c r="D7404" s="1" t="n">
        <v>0.09522</v>
      </c>
      <c r="E7404" s="1" t="n">
        <f aca="false">LN(D7404)</f>
        <v>-2.35156527521576</v>
      </c>
    </row>
    <row r="7405" customFormat="false" ht="15.75" hidden="false" customHeight="false" outlineLevel="0" collapsed="false">
      <c r="A7405" s="1" t="s">
        <v>1174</v>
      </c>
      <c r="B7405" s="1" t="n">
        <v>355.07</v>
      </c>
      <c r="C7405" s="1" t="n">
        <f aca="false">1/B7405</f>
        <v>0.0028163460726054</v>
      </c>
      <c r="D7405" s="1" t="n">
        <v>0.094936</v>
      </c>
      <c r="E7405" s="1" t="n">
        <f aca="false">LN(D7405)</f>
        <v>-2.3545522986193</v>
      </c>
    </row>
    <row r="7406" customFormat="false" ht="15.75" hidden="false" customHeight="false" outlineLevel="0" collapsed="false">
      <c r="A7406" s="1" t="s">
        <v>1174</v>
      </c>
      <c r="B7406" s="1" t="n">
        <v>355.41</v>
      </c>
      <c r="C7406" s="1" t="n">
        <f aca="false">1/B7406</f>
        <v>0.00281365183872148</v>
      </c>
      <c r="D7406" s="1" t="n">
        <v>0.094654</v>
      </c>
      <c r="E7406" s="1" t="n">
        <f aca="false">LN(D7406)</f>
        <v>-2.35752714125834</v>
      </c>
    </row>
    <row r="7407" customFormat="false" ht="15.75" hidden="false" customHeight="false" outlineLevel="0" collapsed="false">
      <c r="A7407" s="1" t="s">
        <v>1174</v>
      </c>
      <c r="B7407" s="1" t="n">
        <v>355.74</v>
      </c>
      <c r="C7407" s="1" t="n">
        <f aca="false">1/B7407</f>
        <v>0.00281104177208073</v>
      </c>
      <c r="D7407" s="1" t="n">
        <v>0.094372</v>
      </c>
      <c r="E7407" s="1" t="n">
        <f aca="false">LN(D7407)</f>
        <v>-2.36051085999767</v>
      </c>
    </row>
    <row r="7408" customFormat="false" ht="15.75" hidden="false" customHeight="false" outlineLevel="0" collapsed="false">
      <c r="A7408" s="1" t="s">
        <v>1174</v>
      </c>
      <c r="B7408" s="1" t="n">
        <v>356.08</v>
      </c>
      <c r="C7408" s="1" t="n">
        <f aca="false">1/B7408</f>
        <v>0.00280835767243316</v>
      </c>
      <c r="D7408" s="1" t="n">
        <v>0.09409</v>
      </c>
      <c r="E7408" s="1" t="n">
        <f aca="false">LN(D7408)</f>
        <v>-2.36350350796346</v>
      </c>
    </row>
    <row r="7409" customFormat="false" ht="15.75" hidden="false" customHeight="false" outlineLevel="0" collapsed="false">
      <c r="A7409" s="1" t="s">
        <v>1174</v>
      </c>
      <c r="B7409" s="1" t="n">
        <v>356.41</v>
      </c>
      <c r="C7409" s="1" t="n">
        <f aca="false">1/B7409</f>
        <v>0.00280575741421397</v>
      </c>
      <c r="D7409" s="1" t="n">
        <v>0.093809</v>
      </c>
      <c r="E7409" s="1" t="n">
        <f aca="false">LN(D7409)</f>
        <v>-2.36649447874546</v>
      </c>
    </row>
    <row r="7410" customFormat="false" ht="15.75" hidden="false" customHeight="false" outlineLevel="0" collapsed="false">
      <c r="A7410" s="1" t="s">
        <v>1174</v>
      </c>
      <c r="B7410" s="1" t="n">
        <v>356.75</v>
      </c>
      <c r="C7410" s="1" t="n">
        <f aca="false">1/B7410</f>
        <v>0.0028030833917309</v>
      </c>
      <c r="D7410" s="1" t="n">
        <v>0.093528</v>
      </c>
      <c r="E7410" s="1" t="n">
        <f aca="false">LN(D7410)</f>
        <v>-2.36949442227762</v>
      </c>
    </row>
    <row r="7411" customFormat="false" ht="15.75" hidden="false" customHeight="false" outlineLevel="0" collapsed="false">
      <c r="A7411" s="1" t="s">
        <v>1174</v>
      </c>
      <c r="B7411" s="1" t="n">
        <v>357.08</v>
      </c>
      <c r="C7411" s="1" t="n">
        <f aca="false">1/B7411</f>
        <v>0.00280049288674807</v>
      </c>
      <c r="D7411" s="1" t="n">
        <v>0.093248</v>
      </c>
      <c r="E7411" s="1" t="n">
        <f aca="false">LN(D7411)</f>
        <v>-2.3724926684094</v>
      </c>
    </row>
    <row r="7412" customFormat="false" ht="15.75" hidden="false" customHeight="false" outlineLevel="0" collapsed="false">
      <c r="A7412" s="1" t="s">
        <v>1174</v>
      </c>
      <c r="B7412" s="1" t="n">
        <v>357.42</v>
      </c>
      <c r="C7412" s="1" t="n">
        <f aca="false">1/B7412</f>
        <v>0.00279782888478541</v>
      </c>
      <c r="D7412" s="1" t="n">
        <v>0.092969</v>
      </c>
      <c r="E7412" s="1" t="n">
        <f aca="false">LN(D7412)</f>
        <v>-2.37548917473012</v>
      </c>
    </row>
    <row r="7413" customFormat="false" ht="15.75" hidden="false" customHeight="false" outlineLevel="0" collapsed="false">
      <c r="A7413" s="1" t="s">
        <v>1174</v>
      </c>
      <c r="B7413" s="1" t="n">
        <v>357.75</v>
      </c>
      <c r="C7413" s="1" t="n">
        <f aca="false">1/B7413</f>
        <v>0.00279524807826695</v>
      </c>
      <c r="D7413" s="1" t="n">
        <v>0.09269</v>
      </c>
      <c r="E7413" s="1" t="n">
        <f aca="false">LN(D7413)</f>
        <v>-2.3784946870944</v>
      </c>
    </row>
    <row r="7414" customFormat="false" ht="15.75" hidden="false" customHeight="false" outlineLevel="0" collapsed="false">
      <c r="A7414" s="1" t="s">
        <v>1174</v>
      </c>
      <c r="B7414" s="1" t="n">
        <v>358.09</v>
      </c>
      <c r="C7414" s="1" t="n">
        <f aca="false">1/B7414</f>
        <v>0.00279259404060432</v>
      </c>
      <c r="D7414" s="1" t="n">
        <v>0.092412</v>
      </c>
      <c r="E7414" s="1" t="n">
        <f aca="false">LN(D7414)</f>
        <v>-2.38149843863702</v>
      </c>
    </row>
    <row r="7415" customFormat="false" ht="15.75" hidden="false" customHeight="false" outlineLevel="0" collapsed="false">
      <c r="A7415" s="1" t="s">
        <v>1174</v>
      </c>
      <c r="B7415" s="1" t="n">
        <v>358.42</v>
      </c>
      <c r="C7415" s="1" t="n">
        <f aca="false">1/B7415</f>
        <v>0.0027900228781876</v>
      </c>
      <c r="D7415" s="1" t="n">
        <v>0.092134</v>
      </c>
      <c r="E7415" s="1" t="n">
        <f aca="false">LN(D7415)</f>
        <v>-2.3845112398929</v>
      </c>
    </row>
    <row r="7416" customFormat="false" ht="15.75" hidden="false" customHeight="false" outlineLevel="0" collapsed="false">
      <c r="A7416" s="1" t="s">
        <v>1174</v>
      </c>
      <c r="B7416" s="1" t="n">
        <v>358.76</v>
      </c>
      <c r="C7416" s="1" t="n">
        <f aca="false">1/B7416</f>
        <v>0.00278737874902442</v>
      </c>
      <c r="D7416" s="1" t="n">
        <v>0.091856</v>
      </c>
      <c r="E7416" s="1" t="n">
        <f aca="false">LN(D7416)</f>
        <v>-2.38753314555686</v>
      </c>
    </row>
    <row r="7417" customFormat="false" ht="15.75" hidden="false" customHeight="false" outlineLevel="0" collapsed="false">
      <c r="A7417" s="1" t="s">
        <v>1174</v>
      </c>
      <c r="B7417" s="1" t="n">
        <v>359.09</v>
      </c>
      <c r="C7417" s="1" t="n">
        <f aca="false">1/B7417</f>
        <v>0.00278481717675235</v>
      </c>
      <c r="D7417" s="1" t="n">
        <v>0.091579</v>
      </c>
      <c r="E7417" s="1" t="n">
        <f aca="false">LN(D7417)</f>
        <v>-2.39055329122752</v>
      </c>
    </row>
    <row r="7418" customFormat="false" ht="15.75" hidden="false" customHeight="false" outlineLevel="0" collapsed="false">
      <c r="A7418" s="1" t="s">
        <v>1174</v>
      </c>
      <c r="B7418" s="1" t="n">
        <v>359.43</v>
      </c>
      <c r="C7418" s="1" t="n">
        <f aca="false">1/B7418</f>
        <v>0.00278218290070389</v>
      </c>
      <c r="D7418" s="1" t="n">
        <v>0.091303</v>
      </c>
      <c r="E7418" s="1" t="n">
        <f aca="false">LN(D7418)</f>
        <v>-2.39357163321349</v>
      </c>
    </row>
    <row r="7419" customFormat="false" ht="15.75" hidden="false" customHeight="false" outlineLevel="0" collapsed="false">
      <c r="A7419" s="1" t="s">
        <v>1174</v>
      </c>
      <c r="B7419" s="1" t="n">
        <v>359.76</v>
      </c>
      <c r="C7419" s="1" t="n">
        <f aca="false">1/B7419</f>
        <v>0.00277963086502113</v>
      </c>
      <c r="D7419" s="1" t="n">
        <v>0.091027</v>
      </c>
      <c r="E7419" s="1" t="n">
        <f aca="false">LN(D7419)</f>
        <v>-2.3965991131763</v>
      </c>
    </row>
    <row r="7420" customFormat="false" ht="15.75" hidden="false" customHeight="false" outlineLevel="0" collapsed="false">
      <c r="A7420" s="1" t="s">
        <v>1174</v>
      </c>
      <c r="B7420" s="1" t="n">
        <v>360.1</v>
      </c>
      <c r="C7420" s="1" t="n">
        <f aca="false">1/B7420</f>
        <v>0.00277700638711469</v>
      </c>
      <c r="D7420" s="1" t="n">
        <v>0.090751</v>
      </c>
      <c r="E7420" s="1" t="n">
        <f aca="false">LN(D7420)</f>
        <v>-2.39963578661414</v>
      </c>
    </row>
    <row r="7421" customFormat="false" ht="15.75" hidden="false" customHeight="false" outlineLevel="0" collapsed="false">
      <c r="A7421" s="1" t="s">
        <v>1174</v>
      </c>
      <c r="B7421" s="1" t="n">
        <v>360.43</v>
      </c>
      <c r="C7421" s="1" t="n">
        <f aca="false">1/B7421</f>
        <v>0.00277446383486391</v>
      </c>
      <c r="D7421" s="1" t="n">
        <v>0.090476</v>
      </c>
      <c r="E7421" s="1" t="n">
        <f aca="false">LN(D7421)</f>
        <v>-2.4026706568164</v>
      </c>
    </row>
    <row r="7422" customFormat="false" ht="15.75" hidden="false" customHeight="false" outlineLevel="0" collapsed="false">
      <c r="A7422" s="1" t="s">
        <v>1174</v>
      </c>
      <c r="B7422" s="1" t="n">
        <v>360.77</v>
      </c>
      <c r="C7422" s="1" t="n">
        <f aca="false">1/B7422</f>
        <v>0.00277184910053497</v>
      </c>
      <c r="D7422" s="1" t="n">
        <v>0.090202</v>
      </c>
      <c r="E7422" s="1" t="n">
        <f aca="false">LN(D7422)</f>
        <v>-2.40570367921037</v>
      </c>
    </row>
    <row r="7423" customFormat="false" ht="15.75" hidden="false" customHeight="false" outlineLevel="0" collapsed="false">
      <c r="A7423" s="1" t="s">
        <v>1174</v>
      </c>
      <c r="B7423" s="1" t="n">
        <v>361.1</v>
      </c>
      <c r="C7423" s="1" t="n">
        <f aca="false">1/B7423</f>
        <v>0.0027693159789532</v>
      </c>
      <c r="D7423" s="1" t="n">
        <v>0.089928</v>
      </c>
      <c r="E7423" s="1" t="n">
        <f aca="false">LN(D7423)</f>
        <v>-2.40874592882264</v>
      </c>
    </row>
    <row r="7424" customFormat="false" ht="15.75" hidden="false" customHeight="false" outlineLevel="0" collapsed="false">
      <c r="A7424" s="1" t="s">
        <v>1174</v>
      </c>
      <c r="B7424" s="1" t="n">
        <v>361.44</v>
      </c>
      <c r="C7424" s="1" t="n">
        <f aca="false">1/B7424</f>
        <v>0.00276671093404161</v>
      </c>
      <c r="D7424" s="1" t="n">
        <v>0.089654</v>
      </c>
      <c r="E7424" s="1" t="n">
        <f aca="false">LN(D7424)</f>
        <v>-2.41179746196762</v>
      </c>
    </row>
    <row r="7425" customFormat="false" ht="15.75" hidden="false" customHeight="false" outlineLevel="0" collapsed="false">
      <c r="A7425" s="1" t="s">
        <v>1174</v>
      </c>
      <c r="B7425" s="1" t="n">
        <v>361.77</v>
      </c>
      <c r="C7425" s="1" t="n">
        <f aca="false">1/B7425</f>
        <v>0.00276418719075656</v>
      </c>
      <c r="D7425" s="1" t="n">
        <v>0.089381</v>
      </c>
      <c r="E7425" s="1" t="n">
        <f aca="false">LN(D7425)</f>
        <v>-2.41484714735414</v>
      </c>
    </row>
    <row r="7426" customFormat="false" ht="15.75" hidden="false" customHeight="false" outlineLevel="0" collapsed="false">
      <c r="A7426" s="1" t="s">
        <v>1174</v>
      </c>
      <c r="B7426" s="1" t="n">
        <v>362.11</v>
      </c>
      <c r="C7426" s="1" t="n">
        <f aca="false">1/B7426</f>
        <v>0.00276159178150286</v>
      </c>
      <c r="D7426" s="1" t="n">
        <v>0.089109</v>
      </c>
      <c r="E7426" s="1" t="n">
        <f aca="false">LN(D7426)</f>
        <v>-2.41789493950554</v>
      </c>
    </row>
    <row r="7427" customFormat="false" ht="15.75" hidden="false" customHeight="false" outlineLevel="0" collapsed="false">
      <c r="A7427" s="1" t="s">
        <v>1174</v>
      </c>
      <c r="B7427" s="1" t="n">
        <v>362.44</v>
      </c>
      <c r="C7427" s="1" t="n">
        <f aca="false">1/B7427</f>
        <v>0.0027590773645293</v>
      </c>
      <c r="D7427" s="1" t="n">
        <v>0.088836</v>
      </c>
      <c r="E7427" s="1" t="n">
        <f aca="false">LN(D7427)</f>
        <v>-2.42096330573318</v>
      </c>
    </row>
    <row r="7428" customFormat="false" ht="15.75" hidden="false" customHeight="false" outlineLevel="0" collapsed="false">
      <c r="A7428" s="1" t="s">
        <v>1174</v>
      </c>
      <c r="B7428" s="1" t="n">
        <v>362.78</v>
      </c>
      <c r="C7428" s="1" t="n">
        <f aca="false">1/B7428</f>
        <v>0.00275649153757098</v>
      </c>
      <c r="D7428" s="1" t="n">
        <v>0.088565</v>
      </c>
      <c r="E7428" s="1" t="n">
        <f aca="false">LN(D7428)</f>
        <v>-2.42401853327758</v>
      </c>
    </row>
    <row r="7429" customFormat="false" ht="15.75" hidden="false" customHeight="false" outlineLevel="0" collapsed="false">
      <c r="A7429" s="1" t="s">
        <v>1174</v>
      </c>
      <c r="B7429" s="1" t="n">
        <v>363.11</v>
      </c>
      <c r="C7429" s="1" t="n">
        <f aca="false">1/B7429</f>
        <v>0.00275398639530721</v>
      </c>
      <c r="D7429" s="1" t="n">
        <v>0.088293</v>
      </c>
      <c r="E7429" s="1" t="n">
        <f aca="false">LN(D7429)</f>
        <v>-2.42709444971286</v>
      </c>
    </row>
    <row r="7430" customFormat="false" ht="15.75" hidden="false" customHeight="false" outlineLevel="0" collapsed="false">
      <c r="A7430" s="1" t="s">
        <v>1174</v>
      </c>
      <c r="B7430" s="1" t="n">
        <v>363.45</v>
      </c>
      <c r="C7430" s="1" t="n">
        <f aca="false">1/B7430</f>
        <v>0.00275141009767506</v>
      </c>
      <c r="D7430" s="1" t="n">
        <v>0.088023</v>
      </c>
      <c r="E7430" s="1" t="n">
        <f aca="false">LN(D7430)</f>
        <v>-2.43015713501709</v>
      </c>
    </row>
    <row r="7431" customFormat="false" ht="15.75" hidden="false" customHeight="false" outlineLevel="0" collapsed="false">
      <c r="A7431" s="1" t="s">
        <v>1174</v>
      </c>
      <c r="B7431" s="1" t="n">
        <v>363.78</v>
      </c>
      <c r="C7431" s="1" t="n">
        <f aca="false">1/B7431</f>
        <v>0.00274891417889933</v>
      </c>
      <c r="D7431" s="1" t="n">
        <v>0.087752</v>
      </c>
      <c r="E7431" s="1" t="n">
        <f aca="false">LN(D7431)</f>
        <v>-2.4332406248731</v>
      </c>
    </row>
    <row r="7432" customFormat="false" ht="15.75" hidden="false" customHeight="false" outlineLevel="0" collapsed="false">
      <c r="A7432" s="1" t="s">
        <v>1174</v>
      </c>
      <c r="B7432" s="1" t="n">
        <v>364.12</v>
      </c>
      <c r="C7432" s="1" t="n">
        <f aca="false">1/B7432</f>
        <v>0.00274634735801384</v>
      </c>
      <c r="D7432" s="1" t="n">
        <v>0.087482</v>
      </c>
      <c r="E7432" s="1" t="n">
        <f aca="false">LN(D7432)</f>
        <v>-2.43632222106637</v>
      </c>
    </row>
    <row r="7433" customFormat="false" ht="15.75" hidden="false" customHeight="false" outlineLevel="0" collapsed="false">
      <c r="A7433" s="1" t="s">
        <v>1174</v>
      </c>
      <c r="B7433" s="1" t="n">
        <v>364.45</v>
      </c>
      <c r="C7433" s="1" t="n">
        <f aca="false">1/B7433</f>
        <v>0.00274386061188092</v>
      </c>
      <c r="D7433" s="1" t="n">
        <v>0.087213</v>
      </c>
      <c r="E7433" s="1" t="n">
        <f aca="false">LN(D7433)</f>
        <v>-2.4394018766101</v>
      </c>
    </row>
    <row r="7434" customFormat="false" ht="15.75" hidden="false" customHeight="false" outlineLevel="0" collapsed="false">
      <c r="A7434" s="1" t="s">
        <v>1174</v>
      </c>
      <c r="B7434" s="1" t="n">
        <v>364.79</v>
      </c>
      <c r="C7434" s="1" t="n">
        <f aca="false">1/B7434</f>
        <v>0.00274130321554867</v>
      </c>
      <c r="D7434" s="1" t="n">
        <v>0.086944</v>
      </c>
      <c r="E7434" s="1" t="n">
        <f aca="false">LN(D7434)</f>
        <v>-2.4424910457382</v>
      </c>
    </row>
    <row r="7435" customFormat="false" ht="15.75" hidden="false" customHeight="false" outlineLevel="0" collapsed="false">
      <c r="A7435" s="1" t="s">
        <v>1174</v>
      </c>
      <c r="B7435" s="1" t="n">
        <v>365.12</v>
      </c>
      <c r="C7435" s="1" t="n">
        <f aca="false">1/B7435</f>
        <v>0.00273882559158633</v>
      </c>
      <c r="D7435" s="1" t="n">
        <v>0.086675</v>
      </c>
      <c r="E7435" s="1" t="n">
        <f aca="false">LN(D7435)</f>
        <v>-2.44558978741105</v>
      </c>
    </row>
    <row r="7436" customFormat="false" ht="15.75" hidden="false" customHeight="false" outlineLevel="0" collapsed="false">
      <c r="A7436" s="1" t="s">
        <v>1174</v>
      </c>
      <c r="B7436" s="1" t="n">
        <v>365.46</v>
      </c>
      <c r="C7436" s="1" t="n">
        <f aca="false">1/B7436</f>
        <v>0.0027362775679965</v>
      </c>
      <c r="D7436" s="1" t="n">
        <v>0.086407</v>
      </c>
      <c r="E7436" s="1" t="n">
        <f aca="false">LN(D7436)</f>
        <v>-2.44868658793543</v>
      </c>
    </row>
    <row r="7437" customFormat="false" ht="15.75" hidden="false" customHeight="false" outlineLevel="0" collapsed="false">
      <c r="A7437" s="1" t="s">
        <v>1174</v>
      </c>
      <c r="B7437" s="1" t="n">
        <v>365.79</v>
      </c>
      <c r="C7437" s="1" t="n">
        <f aca="false">1/B7437</f>
        <v>0.00273380901610213</v>
      </c>
      <c r="D7437" s="1" t="n">
        <v>0.086139</v>
      </c>
      <c r="E7437" s="1" t="n">
        <f aca="false">LN(D7437)</f>
        <v>-2.45179300843215</v>
      </c>
    </row>
    <row r="7438" customFormat="false" ht="15.75" hidden="false" customHeight="false" outlineLevel="0" collapsed="false">
      <c r="A7438" s="1" t="s">
        <v>1174</v>
      </c>
      <c r="B7438" s="1" t="n">
        <v>366.13</v>
      </c>
      <c r="C7438" s="1" t="n">
        <f aca="false">1/B7438</f>
        <v>0.00273127031382296</v>
      </c>
      <c r="D7438" s="1" t="n">
        <v>0.085872</v>
      </c>
      <c r="E7438" s="1" t="n">
        <f aca="false">LN(D7438)</f>
        <v>-2.45489746354766</v>
      </c>
    </row>
    <row r="7439" customFormat="false" ht="15.75" hidden="false" customHeight="false" outlineLevel="0" collapsed="false">
      <c r="A7439" s="1" t="s">
        <v>1174</v>
      </c>
      <c r="B7439" s="1" t="n">
        <v>366.46</v>
      </c>
      <c r="C7439" s="1" t="n">
        <f aca="false">1/B7439</f>
        <v>0.00272881078426022</v>
      </c>
      <c r="D7439" s="1" t="n">
        <v>0.085605</v>
      </c>
      <c r="E7439" s="1" t="n">
        <f aca="false">LN(D7439)</f>
        <v>-2.45801158632536</v>
      </c>
    </row>
    <row r="7440" customFormat="false" ht="15.75" hidden="false" customHeight="false" outlineLevel="0" collapsed="false">
      <c r="A7440" s="1" t="s">
        <v>1174</v>
      </c>
      <c r="B7440" s="1" t="n">
        <v>366.8</v>
      </c>
      <c r="C7440" s="1" t="n">
        <f aca="false">1/B7440</f>
        <v>0.00272628135223555</v>
      </c>
      <c r="D7440" s="1" t="n">
        <v>0.085338</v>
      </c>
      <c r="E7440" s="1" t="n">
        <f aca="false">LN(D7440)</f>
        <v>-2.46113543716599</v>
      </c>
    </row>
    <row r="7441" customFormat="false" ht="15.75" hidden="false" customHeight="false" outlineLevel="0" collapsed="false">
      <c r="A7441" s="1" t="s">
        <v>1174</v>
      </c>
      <c r="B7441" s="1" t="n">
        <v>367.13</v>
      </c>
      <c r="C7441" s="1" t="n">
        <f aca="false">1/B7441</f>
        <v>0.00272383079563098</v>
      </c>
      <c r="D7441" s="1" t="n">
        <v>0.085072</v>
      </c>
      <c r="E7441" s="1" t="n">
        <f aca="false">LN(D7441)</f>
        <v>-2.46425732222015</v>
      </c>
    </row>
    <row r="7442" customFormat="false" ht="15.75" hidden="false" customHeight="false" outlineLevel="0" collapsed="false">
      <c r="A7442" s="1" t="s">
        <v>1174</v>
      </c>
      <c r="B7442" s="1" t="n">
        <v>367.47</v>
      </c>
      <c r="C7442" s="1" t="n">
        <f aca="false">1/B7442</f>
        <v>0.00272131058317686</v>
      </c>
      <c r="D7442" s="1" t="n">
        <v>0.084806</v>
      </c>
      <c r="E7442" s="1" t="n">
        <f aca="false">LN(D7442)</f>
        <v>-2.4673889839703</v>
      </c>
    </row>
    <row r="7443" customFormat="false" ht="15.75" hidden="false" customHeight="false" outlineLevel="0" collapsed="false">
      <c r="A7443" s="1" t="s">
        <v>1174</v>
      </c>
      <c r="B7443" s="1" t="n">
        <v>367.8</v>
      </c>
      <c r="C7443" s="1" t="n">
        <f aca="false">1/B7443</f>
        <v>0.00271886895051658</v>
      </c>
      <c r="D7443" s="1" t="n">
        <v>0.084541</v>
      </c>
      <c r="E7443" s="1" t="n">
        <f aca="false">LN(D7443)</f>
        <v>-2.47051865519332</v>
      </c>
    </row>
    <row r="7444" customFormat="false" ht="15.75" hidden="false" customHeight="false" outlineLevel="0" collapsed="false">
      <c r="A7444" s="1" t="s">
        <v>1174</v>
      </c>
      <c r="B7444" s="1" t="n">
        <v>368.14</v>
      </c>
      <c r="C7444" s="1" t="n">
        <f aca="false">1/B7444</f>
        <v>0.00271635790731787</v>
      </c>
      <c r="D7444" s="1" t="n">
        <v>0.084276</v>
      </c>
      <c r="E7444" s="1" t="n">
        <f aca="false">LN(D7444)</f>
        <v>-2.47365815201725</v>
      </c>
    </row>
    <row r="7445" customFormat="false" ht="15.75" hidden="false" customHeight="false" outlineLevel="0" collapsed="false">
      <c r="A7445" s="1" t="s">
        <v>1174</v>
      </c>
      <c r="B7445" s="1" t="n">
        <v>368.47</v>
      </c>
      <c r="C7445" s="1" t="n">
        <f aca="false">1/B7445</f>
        <v>0.00271392514994436</v>
      </c>
      <c r="D7445" s="1" t="n">
        <v>0.084011</v>
      </c>
      <c r="E7445" s="1" t="n">
        <f aca="false">LN(D7445)</f>
        <v>-2.47680753633139</v>
      </c>
    </row>
    <row r="7446" customFormat="false" ht="15.75" hidden="false" customHeight="false" outlineLevel="0" collapsed="false">
      <c r="A7446" s="1" t="s">
        <v>1174</v>
      </c>
      <c r="B7446" s="1" t="n">
        <v>368.81</v>
      </c>
      <c r="C7446" s="1" t="n">
        <f aca="false">1/B7446</f>
        <v>0.00271142322605135</v>
      </c>
      <c r="D7446" s="1" t="n">
        <v>0.083747</v>
      </c>
      <c r="E7446" s="1" t="n">
        <f aca="false">LN(D7446)</f>
        <v>-2.47995492981407</v>
      </c>
    </row>
    <row r="7447" customFormat="false" ht="15.75" hidden="false" customHeight="false" outlineLevel="0" collapsed="false">
      <c r="A7447" s="1" t="s">
        <v>1174</v>
      </c>
      <c r="B7447" s="1" t="n">
        <v>369.14</v>
      </c>
      <c r="C7447" s="1" t="n">
        <f aca="false">1/B7447</f>
        <v>0.00270899929566018</v>
      </c>
      <c r="D7447" s="1" t="n">
        <v>0.083483</v>
      </c>
      <c r="E7447" s="1" t="n">
        <f aca="false">LN(D7447)</f>
        <v>-2.48311226066753</v>
      </c>
    </row>
    <row r="7448" customFormat="false" ht="15.75" hidden="false" customHeight="false" outlineLevel="0" collapsed="false">
      <c r="A7448" s="1" t="s">
        <v>1174</v>
      </c>
      <c r="B7448" s="1" t="n">
        <v>369.48</v>
      </c>
      <c r="C7448" s="1" t="n">
        <f aca="false">1/B7448</f>
        <v>0.00270650644148533</v>
      </c>
      <c r="D7448" s="1" t="n">
        <v>0.08322</v>
      </c>
      <c r="E7448" s="1" t="n">
        <f aca="false">LN(D7448)</f>
        <v>-2.48626757542734</v>
      </c>
    </row>
    <row r="7449" customFormat="false" ht="15.75" hidden="false" customHeight="false" outlineLevel="0" collapsed="false">
      <c r="A7449" s="1" t="s">
        <v>1174</v>
      </c>
      <c r="B7449" s="1" t="n">
        <v>369.81</v>
      </c>
      <c r="C7449" s="1" t="n">
        <f aca="false">1/B7449</f>
        <v>0.00270409129012195</v>
      </c>
      <c r="D7449" s="1" t="n">
        <v>0.082957</v>
      </c>
      <c r="E7449" s="1" t="n">
        <f aca="false">LN(D7449)</f>
        <v>-2.48943287772051</v>
      </c>
    </row>
    <row r="7450" customFormat="false" ht="15.75" hidden="false" customHeight="false" outlineLevel="0" collapsed="false">
      <c r="A7450" s="1" t="s">
        <v>1174</v>
      </c>
      <c r="B7450" s="1" t="n">
        <v>370.15</v>
      </c>
      <c r="C7450" s="1" t="n">
        <f aca="false">1/B7450</f>
        <v>0.00270160745643658</v>
      </c>
      <c r="D7450" s="1" t="n">
        <v>0.082694</v>
      </c>
      <c r="E7450" s="1" t="n">
        <f aca="false">LN(D7450)</f>
        <v>-2.49260823097504</v>
      </c>
    </row>
    <row r="7451" customFormat="false" ht="15.75" hidden="false" customHeight="false" outlineLevel="0" collapsed="false">
      <c r="A7451" s="1" t="s">
        <v>1174</v>
      </c>
      <c r="B7451" s="1" t="n">
        <v>370.48</v>
      </c>
      <c r="C7451" s="1" t="n">
        <f aca="false">1/B7451</f>
        <v>0.0026992010364932</v>
      </c>
      <c r="D7451" s="1" t="n">
        <v>0.082432</v>
      </c>
      <c r="E7451" s="1" t="n">
        <f aca="false">LN(D7451)</f>
        <v>-2.4957815679403</v>
      </c>
    </row>
    <row r="7452" customFormat="false" ht="15.75" hidden="false" customHeight="false" outlineLevel="0" collapsed="false">
      <c r="A7452" s="1" t="s">
        <v>1174</v>
      </c>
      <c r="B7452" s="1" t="n">
        <v>370.82</v>
      </c>
      <c r="C7452" s="1" t="n">
        <f aca="false">1/B7452</f>
        <v>0.00269672617442425</v>
      </c>
      <c r="D7452" s="1" t="n">
        <v>0.08217</v>
      </c>
      <c r="E7452" s="1" t="n">
        <f aca="false">LN(D7452)</f>
        <v>-2.49896500703904</v>
      </c>
    </row>
    <row r="7453" customFormat="false" ht="15.75" hidden="false" customHeight="false" outlineLevel="0" collapsed="false">
      <c r="A7453" s="1" t="s">
        <v>1174</v>
      </c>
      <c r="B7453" s="1" t="n">
        <v>371.15</v>
      </c>
      <c r="C7453" s="1" t="n">
        <f aca="false">1/B7453</f>
        <v>0.00269432843863667</v>
      </c>
      <c r="D7453" s="1" t="n">
        <v>0.081908</v>
      </c>
      <c r="E7453" s="1" t="n">
        <f aca="false">LN(D7453)</f>
        <v>-2.50215861279582</v>
      </c>
    </row>
    <row r="7454" customFormat="false" ht="15.75" hidden="false" customHeight="false" outlineLevel="0" collapsed="false">
      <c r="A7454" s="1" t="s">
        <v>1174</v>
      </c>
      <c r="B7454" s="1" t="n">
        <v>371.49</v>
      </c>
      <c r="C7454" s="1" t="n">
        <f aca="false">1/B7454</f>
        <v>0.00269186249966352</v>
      </c>
      <c r="D7454" s="1" t="n">
        <v>0.081647</v>
      </c>
      <c r="E7454" s="1" t="n">
        <f aca="false">LN(D7454)</f>
        <v>-2.50535020243296</v>
      </c>
    </row>
    <row r="7455" customFormat="false" ht="15.75" hidden="false" customHeight="false" outlineLevel="0" collapsed="false">
      <c r="A7455" s="1" t="s">
        <v>1174</v>
      </c>
      <c r="B7455" s="1" t="n">
        <v>371.82</v>
      </c>
      <c r="C7455" s="1" t="n">
        <f aca="false">1/B7455</f>
        <v>0.00268947340110806</v>
      </c>
      <c r="D7455" s="1" t="n">
        <v>0.081386</v>
      </c>
      <c r="E7455" s="1" t="n">
        <f aca="false">LN(D7455)</f>
        <v>-2.50855201093764</v>
      </c>
    </row>
    <row r="7456" customFormat="false" ht="15.75" hidden="false" customHeight="false" outlineLevel="0" collapsed="false">
      <c r="A7456" s="1" t="s">
        <v>1174</v>
      </c>
      <c r="B7456" s="1" t="n">
        <v>372.16</v>
      </c>
      <c r="C7456" s="1" t="n">
        <f aca="false">1/B7456</f>
        <v>0.00268701633705933</v>
      </c>
      <c r="D7456" s="1" t="n">
        <v>0.081125</v>
      </c>
      <c r="E7456" s="1" t="n">
        <f aca="false">LN(D7456)</f>
        <v>-2.51176410395788</v>
      </c>
    </row>
    <row r="7457" customFormat="false" ht="15.75" hidden="false" customHeight="false" outlineLevel="0" collapsed="false">
      <c r="A7457" s="1" t="s">
        <v>1174</v>
      </c>
      <c r="B7457" s="1" t="n">
        <v>372.49</v>
      </c>
      <c r="C7457" s="1" t="n">
        <f aca="false">1/B7457</f>
        <v>0.00268463582914978</v>
      </c>
      <c r="D7457" s="1" t="n">
        <v>0.080865</v>
      </c>
      <c r="E7457" s="1" t="n">
        <f aca="false">LN(D7457)</f>
        <v>-2.5149741814104</v>
      </c>
    </row>
    <row r="7458" customFormat="false" ht="15.75" hidden="false" customHeight="false" outlineLevel="0" collapsed="false">
      <c r="A7458" s="1" t="s">
        <v>1174</v>
      </c>
      <c r="B7458" s="1" t="n">
        <v>372.83</v>
      </c>
      <c r="C7458" s="1" t="n">
        <f aca="false">1/B7458</f>
        <v>0.0026821875922002</v>
      </c>
      <c r="D7458" s="1" t="n">
        <v>0.080605</v>
      </c>
      <c r="E7458" s="1" t="n">
        <f aca="false">LN(D7458)</f>
        <v>-2.51819459665418</v>
      </c>
    </row>
    <row r="7459" customFormat="false" ht="15.75" hidden="false" customHeight="false" outlineLevel="0" collapsed="false">
      <c r="A7459" s="1" t="s">
        <v>1174</v>
      </c>
      <c r="B7459" s="1" t="n">
        <v>373.16</v>
      </c>
      <c r="C7459" s="1" t="n">
        <f aca="false">1/B7459</f>
        <v>0.00267981562868475</v>
      </c>
      <c r="D7459" s="1" t="n">
        <v>0.080346</v>
      </c>
      <c r="E7459" s="1" t="n">
        <f aca="false">LN(D7459)</f>
        <v>-2.52141297024065</v>
      </c>
    </row>
    <row r="7460" customFormat="false" ht="15.75" hidden="false" customHeight="false" outlineLevel="0" collapsed="false">
      <c r="A7460" s="1" t="s">
        <v>1174</v>
      </c>
      <c r="B7460" s="1" t="n">
        <v>373.5</v>
      </c>
      <c r="C7460" s="1" t="n">
        <f aca="false">1/B7460</f>
        <v>0.00267737617135207</v>
      </c>
      <c r="D7460" s="1" t="n">
        <v>0.080086</v>
      </c>
      <c r="E7460" s="1" t="n">
        <f aca="false">LN(D7460)</f>
        <v>-2.52465422170699</v>
      </c>
    </row>
    <row r="7461" customFormat="false" ht="15.75" hidden="false" customHeight="false" outlineLevel="0" collapsed="false">
      <c r="A7461" s="1" t="s">
        <v>1174</v>
      </c>
      <c r="B7461" s="1" t="n">
        <v>373.83</v>
      </c>
      <c r="C7461" s="1" t="n">
        <f aca="false">1/B7461</f>
        <v>0.00267501270631036</v>
      </c>
      <c r="D7461" s="1" t="n">
        <v>0.079827</v>
      </c>
      <c r="E7461" s="1" t="n">
        <f aca="false">LN(D7461)</f>
        <v>-2.52789348588777</v>
      </c>
    </row>
    <row r="7462" customFormat="false" ht="15.75" hidden="false" customHeight="false" outlineLevel="0" collapsed="false">
      <c r="A7462" s="1" t="s">
        <v>1174</v>
      </c>
      <c r="B7462" s="1" t="n">
        <v>374.17</v>
      </c>
      <c r="C7462" s="1" t="n">
        <f aca="false">1/B7462</f>
        <v>0.00267258198145228</v>
      </c>
      <c r="D7462" s="1" t="n">
        <v>0.079569</v>
      </c>
      <c r="E7462" s="1" t="n">
        <f aca="false">LN(D7462)</f>
        <v>-2.53113070922225</v>
      </c>
    </row>
    <row r="7463" customFormat="false" ht="15.75" hidden="false" customHeight="false" outlineLevel="0" collapsed="false">
      <c r="A7463" s="1" t="s">
        <v>1174</v>
      </c>
      <c r="B7463" s="1" t="n">
        <v>374.5</v>
      </c>
      <c r="C7463" s="1" t="n">
        <f aca="false">1/B7463</f>
        <v>0.00267022696929239</v>
      </c>
      <c r="D7463" s="1" t="n">
        <v>0.07931</v>
      </c>
      <c r="E7463" s="1" t="n">
        <f aca="false">LN(D7463)</f>
        <v>-2.53439105488691</v>
      </c>
    </row>
    <row r="7464" customFormat="false" ht="15.75" hidden="false" customHeight="false" outlineLevel="0" collapsed="false">
      <c r="A7464" s="1" t="s">
        <v>1174</v>
      </c>
      <c r="B7464" s="1" t="n">
        <v>374.84</v>
      </c>
      <c r="C7464" s="1" t="n">
        <f aca="false">1/B7464</f>
        <v>0.00266780493010351</v>
      </c>
      <c r="D7464" s="1" t="n">
        <v>0.079052</v>
      </c>
      <c r="E7464" s="1" t="n">
        <f aca="false">LN(D7464)</f>
        <v>-2.53764941520395</v>
      </c>
    </row>
    <row r="7465" customFormat="false" ht="15.75" hidden="false" customHeight="false" outlineLevel="0" collapsed="false">
      <c r="A7465" s="1" t="s">
        <v>1174</v>
      </c>
      <c r="B7465" s="1" t="n">
        <v>375.17</v>
      </c>
      <c r="C7465" s="1" t="n">
        <f aca="false">1/B7465</f>
        <v>0.00266545832555908</v>
      </c>
      <c r="D7465" s="1" t="n">
        <v>0.078795</v>
      </c>
      <c r="E7465" s="1" t="n">
        <f aca="false">LN(D7465)</f>
        <v>-2.5409057359081</v>
      </c>
    </row>
    <row r="7466" customFormat="false" ht="15.75" hidden="false" customHeight="false" outlineLevel="0" collapsed="false">
      <c r="A7466" s="1" t="s">
        <v>1174</v>
      </c>
      <c r="B7466" s="1" t="n">
        <v>375.51</v>
      </c>
      <c r="C7466" s="1" t="n">
        <f aca="false">1/B7466</f>
        <v>0.00266304492556789</v>
      </c>
      <c r="D7466" s="1" t="n">
        <v>0.078537</v>
      </c>
      <c r="E7466" s="1" t="n">
        <f aca="false">LN(D7466)</f>
        <v>-2.54418542765882</v>
      </c>
    </row>
    <row r="7467" customFormat="false" ht="15.75" hidden="false" customHeight="false" outlineLevel="0" collapsed="false">
      <c r="A7467" s="1" t="s">
        <v>1174</v>
      </c>
      <c r="B7467" s="1" t="n">
        <v>375.84</v>
      </c>
      <c r="C7467" s="1" t="n">
        <f aca="false">1/B7467</f>
        <v>0.00266070668369519</v>
      </c>
      <c r="D7467" s="1" t="n">
        <v>0.07828</v>
      </c>
      <c r="E7467" s="1" t="n">
        <f aca="false">LN(D7467)</f>
        <v>-2.54746313645426</v>
      </c>
    </row>
    <row r="7468" customFormat="false" ht="15.75" hidden="false" customHeight="false" outlineLevel="0" collapsed="false">
      <c r="A7468" s="1" t="s">
        <v>1174</v>
      </c>
      <c r="B7468" s="1" t="n">
        <v>376.18</v>
      </c>
      <c r="C7468" s="1" t="n">
        <f aca="false">1/B7468</f>
        <v>0.00265830187676113</v>
      </c>
      <c r="D7468" s="1" t="n">
        <v>0.078023</v>
      </c>
      <c r="E7468" s="1" t="n">
        <f aca="false">LN(D7468)</f>
        <v>-2.55075162396382</v>
      </c>
    </row>
    <row r="7469" customFormat="false" ht="15.75" hidden="false" customHeight="false" outlineLevel="0" collapsed="false">
      <c r="A7469" s="1" t="s">
        <v>1174</v>
      </c>
      <c r="B7469" s="1" t="n">
        <v>376.51</v>
      </c>
      <c r="C7469" s="1" t="n">
        <f aca="false">1/B7469</f>
        <v>0.00265597195293618</v>
      </c>
      <c r="D7469" s="1" t="n">
        <v>0.077767</v>
      </c>
      <c r="E7469" s="1" t="n">
        <f aca="false">LN(D7469)</f>
        <v>-2.55403810230543</v>
      </c>
    </row>
    <row r="7470" customFormat="false" ht="15.75" hidden="false" customHeight="false" outlineLevel="0" collapsed="false">
      <c r="A7470" s="1" t="s">
        <v>1174</v>
      </c>
      <c r="B7470" s="1" t="n">
        <v>376.85</v>
      </c>
      <c r="C7470" s="1" t="n">
        <f aca="false">1/B7470</f>
        <v>0.00265357569324665</v>
      </c>
      <c r="D7470" s="1" t="n">
        <v>0.077511</v>
      </c>
      <c r="E7470" s="1" t="n">
        <f aca="false">LN(D7470)</f>
        <v>-2.55733541721085</v>
      </c>
    </row>
    <row r="7471" customFormat="false" ht="15.75" hidden="false" customHeight="false" outlineLevel="0" collapsed="false">
      <c r="A7471" s="1" t="s">
        <v>1174</v>
      </c>
      <c r="B7471" s="1" t="n">
        <v>377.18</v>
      </c>
      <c r="C7471" s="1" t="n">
        <f aca="false">1/B7471</f>
        <v>0.00265125404316242</v>
      </c>
      <c r="D7471" s="1" t="n">
        <v>0.077255</v>
      </c>
      <c r="E7471" s="1" t="n">
        <f aca="false">LN(D7471)</f>
        <v>-2.56064364037976</v>
      </c>
    </row>
    <row r="7472" customFormat="false" ht="15.75" hidden="false" customHeight="false" outlineLevel="0" collapsed="false">
      <c r="A7472" s="1" t="s">
        <v>1174</v>
      </c>
      <c r="B7472" s="1" t="n">
        <v>377.52</v>
      </c>
      <c r="C7472" s="1" t="n">
        <f aca="false">1/B7472</f>
        <v>0.00264886628522992</v>
      </c>
      <c r="D7472" s="1" t="n">
        <v>0.076999</v>
      </c>
      <c r="E7472" s="1" t="n">
        <f aca="false">LN(D7472)</f>
        <v>-2.56396284422577</v>
      </c>
    </row>
    <row r="7473" customFormat="false" ht="15.75" hidden="false" customHeight="false" outlineLevel="0" collapsed="false">
      <c r="A7473" s="1" t="s">
        <v>1174</v>
      </c>
      <c r="B7473" s="1" t="n">
        <v>377.85</v>
      </c>
      <c r="C7473" s="1" t="n">
        <f aca="false">1/B7473</f>
        <v>0.00264655286489348</v>
      </c>
      <c r="D7473" s="1" t="n">
        <v>0.076744</v>
      </c>
      <c r="E7473" s="1" t="n">
        <f aca="false">LN(D7473)</f>
        <v>-2.56728007146649</v>
      </c>
    </row>
    <row r="7474" customFormat="false" ht="15.75" hidden="false" customHeight="false" outlineLevel="0" collapsed="false">
      <c r="A7474" s="1" t="s">
        <v>1174</v>
      </c>
      <c r="B7474" s="1" t="n">
        <v>378.19</v>
      </c>
      <c r="C7474" s="1" t="n">
        <f aca="false">1/B7474</f>
        <v>0.00264417356355271</v>
      </c>
      <c r="D7474" s="1" t="n">
        <v>0.076488</v>
      </c>
      <c r="E7474" s="1" t="n">
        <f aca="false">LN(D7474)</f>
        <v>-2.57062141319899</v>
      </c>
    </row>
    <row r="7475" customFormat="false" ht="15.75" hidden="false" customHeight="false" outlineLevel="0" collapsed="false">
      <c r="A7475" s="1" t="s">
        <v>1174</v>
      </c>
      <c r="B7475" s="1" t="n">
        <v>378.52</v>
      </c>
      <c r="C7475" s="1" t="n">
        <f aca="false">1/B7475</f>
        <v>0.00264186832928247</v>
      </c>
      <c r="D7475" s="1" t="n">
        <v>0.076234</v>
      </c>
      <c r="E7475" s="1" t="n">
        <f aca="false">LN(D7475)</f>
        <v>-2.57394772157886</v>
      </c>
    </row>
    <row r="7476" customFormat="false" ht="15.75" hidden="false" customHeight="false" outlineLevel="0" collapsed="false">
      <c r="A7476" s="1" t="s">
        <v>1174</v>
      </c>
      <c r="B7476" s="1" t="n">
        <v>378.86</v>
      </c>
      <c r="C7476" s="1" t="n">
        <f aca="false">1/B7476</f>
        <v>0.00263949743968748</v>
      </c>
      <c r="D7476" s="1" t="n">
        <v>0.075979</v>
      </c>
      <c r="E7476" s="1" t="n">
        <f aca="false">LN(D7476)</f>
        <v>-2.57729829266752</v>
      </c>
    </row>
    <row r="7477" customFormat="false" ht="15.75" hidden="false" customHeight="false" outlineLevel="0" collapsed="false">
      <c r="A7477" s="1" t="s">
        <v>1174</v>
      </c>
      <c r="B7477" s="1" t="n">
        <v>379.19</v>
      </c>
      <c r="C7477" s="1" t="n">
        <f aca="false">1/B7477</f>
        <v>0.00263720034811045</v>
      </c>
      <c r="D7477" s="1" t="n">
        <v>0.075725</v>
      </c>
      <c r="E7477" s="1" t="n">
        <f aca="false">LN(D7477)</f>
        <v>-2.58064692206884</v>
      </c>
    </row>
    <row r="7478" customFormat="false" ht="15.75" hidden="false" customHeight="false" outlineLevel="0" collapsed="false">
      <c r="A7478" s="1" t="s">
        <v>1174</v>
      </c>
      <c r="B7478" s="1" t="n">
        <v>379.53</v>
      </c>
      <c r="C7478" s="1" t="n">
        <f aca="false">1/B7478</f>
        <v>0.00263483782573183</v>
      </c>
      <c r="D7478" s="1" t="n">
        <v>0.075471</v>
      </c>
      <c r="E7478" s="1" t="n">
        <f aca="false">LN(D7478)</f>
        <v>-2.58400680247501</v>
      </c>
    </row>
    <row r="7479" customFormat="false" ht="15.75" hidden="false" customHeight="false" outlineLevel="0" collapsed="false">
      <c r="A7479" s="1" t="s">
        <v>1174</v>
      </c>
      <c r="B7479" s="1" t="n">
        <v>379.86</v>
      </c>
      <c r="C7479" s="1" t="n">
        <f aca="false">1/B7479</f>
        <v>0.00263254883378087</v>
      </c>
      <c r="D7479" s="1" t="n">
        <v>0.075217</v>
      </c>
      <c r="E7479" s="1" t="n">
        <f aca="false">LN(D7479)</f>
        <v>-2.58737800974513</v>
      </c>
    </row>
    <row r="7480" customFormat="false" ht="15.75" hidden="false" customHeight="false" outlineLevel="0" collapsed="false">
      <c r="A7480" s="1" t="s">
        <v>1174</v>
      </c>
      <c r="B7480" s="1" t="n">
        <v>380.2</v>
      </c>
      <c r="C7480" s="1" t="n">
        <f aca="false">1/B7480</f>
        <v>0.00263019463440295</v>
      </c>
      <c r="D7480" s="1" t="n">
        <v>0.074963</v>
      </c>
      <c r="E7480" s="1" t="n">
        <f aca="false">LN(D7480)</f>
        <v>-2.59076062050809</v>
      </c>
    </row>
    <row r="7481" customFormat="false" ht="15.75" hidden="false" customHeight="false" outlineLevel="0" collapsed="false">
      <c r="A7481" s="1" t="s">
        <v>1174</v>
      </c>
      <c r="B7481" s="1" t="n">
        <v>380.53</v>
      </c>
      <c r="C7481" s="1" t="n">
        <f aca="false">1/B7481</f>
        <v>0.00262791369931411</v>
      </c>
      <c r="D7481" s="1" t="n">
        <v>0.07471</v>
      </c>
      <c r="E7481" s="1" t="n">
        <f aca="false">LN(D7481)</f>
        <v>-2.59414132699443</v>
      </c>
    </row>
    <row r="7482" customFormat="false" ht="15.75" hidden="false" customHeight="false" outlineLevel="0" collapsed="false">
      <c r="A7482" s="1" t="s">
        <v>1174</v>
      </c>
      <c r="B7482" s="1" t="n">
        <v>380.87</v>
      </c>
      <c r="C7482" s="1" t="n">
        <f aca="false">1/B7482</f>
        <v>0.00262556777903222</v>
      </c>
      <c r="D7482" s="1" t="n">
        <v>0.074457</v>
      </c>
      <c r="E7482" s="1" t="n">
        <f aca="false">LN(D7482)</f>
        <v>-2.59753350143787</v>
      </c>
    </row>
    <row r="7483" customFormat="false" ht="15.75" hidden="false" customHeight="false" outlineLevel="0" collapsed="false">
      <c r="A7483" s="1" t="s">
        <v>1174</v>
      </c>
      <c r="B7483" s="1" t="n">
        <v>381.2</v>
      </c>
      <c r="C7483" s="1" t="n">
        <f aca="false">1/B7483</f>
        <v>0.00262329485834208</v>
      </c>
      <c r="D7483" s="1" t="n">
        <v>0.074204</v>
      </c>
      <c r="E7483" s="1" t="n">
        <f aca="false">LN(D7483)</f>
        <v>-2.60093722190601</v>
      </c>
    </row>
    <row r="7484" customFormat="false" ht="15.75" hidden="false" customHeight="false" outlineLevel="0" collapsed="false">
      <c r="A7484" s="1" t="s">
        <v>1174</v>
      </c>
      <c r="B7484" s="1" t="n">
        <v>381.54</v>
      </c>
      <c r="C7484" s="1" t="n">
        <f aca="false">1/B7484</f>
        <v>0.00262095717355978</v>
      </c>
      <c r="D7484" s="1" t="n">
        <v>0.073951</v>
      </c>
      <c r="E7484" s="1" t="n">
        <f aca="false">LN(D7484)</f>
        <v>-2.60435256726632</v>
      </c>
    </row>
    <row r="7485" customFormat="false" ht="15.75" hidden="false" customHeight="false" outlineLevel="0" collapsed="false">
      <c r="A7485" s="1" t="s">
        <v>1174</v>
      </c>
      <c r="B7485" s="1" t="n">
        <v>381.87</v>
      </c>
      <c r="C7485" s="1" t="n">
        <f aca="false">1/B7485</f>
        <v>0.00261869222510278</v>
      </c>
      <c r="D7485" s="1" t="n">
        <v>0.073699</v>
      </c>
      <c r="E7485" s="1" t="n">
        <f aca="false">LN(D7485)</f>
        <v>-2.60776604839993</v>
      </c>
    </row>
    <row r="7486" customFormat="false" ht="15.75" hidden="false" customHeight="false" outlineLevel="0" collapsed="false">
      <c r="A7486" s="1" t="s">
        <v>1174</v>
      </c>
      <c r="B7486" s="1" t="n">
        <v>382.21</v>
      </c>
      <c r="C7486" s="1" t="n">
        <f aca="false">1/B7486</f>
        <v>0.00261636273252924</v>
      </c>
      <c r="D7486" s="1" t="n">
        <v>0.073446</v>
      </c>
      <c r="E7486" s="1" t="n">
        <f aca="false">LN(D7486)</f>
        <v>-2.61120483666071</v>
      </c>
    </row>
    <row r="7487" customFormat="false" ht="15.75" hidden="false" customHeight="false" outlineLevel="0" collapsed="false">
      <c r="A7487" s="1" t="s">
        <v>1174</v>
      </c>
      <c r="B7487" s="1" t="n">
        <v>382.54</v>
      </c>
      <c r="C7487" s="1" t="n">
        <f aca="false">1/B7487</f>
        <v>0.00261410571443509</v>
      </c>
      <c r="D7487" s="1" t="n">
        <v>0.073194</v>
      </c>
      <c r="E7487" s="1" t="n">
        <f aca="false">LN(D7487)</f>
        <v>-2.61464182858748</v>
      </c>
    </row>
    <row r="7488" customFormat="false" ht="15.75" hidden="false" customHeight="false" outlineLevel="0" collapsed="false">
      <c r="A7488" s="1" t="s">
        <v>1174</v>
      </c>
      <c r="B7488" s="1" t="n">
        <v>382.88</v>
      </c>
      <c r="C7488" s="1" t="n">
        <f aca="false">1/B7488</f>
        <v>0.00261178437108232</v>
      </c>
      <c r="D7488" s="1" t="n">
        <v>0.072942</v>
      </c>
      <c r="E7488" s="1" t="n">
        <f aca="false">LN(D7488)</f>
        <v>-2.61809067418042</v>
      </c>
    </row>
    <row r="7489" customFormat="false" ht="15.75" hidden="false" customHeight="false" outlineLevel="0" collapsed="false">
      <c r="A7489" s="1" t="s">
        <v>1174</v>
      </c>
      <c r="B7489" s="1" t="n">
        <v>383.21</v>
      </c>
      <c r="C7489" s="1" t="n">
        <f aca="false">1/B7489</f>
        <v>0.00260953524177344</v>
      </c>
      <c r="D7489" s="1" t="n">
        <v>0.072691</v>
      </c>
      <c r="E7489" s="1" t="n">
        <f aca="false">LN(D7489)</f>
        <v>-2.62153769852973</v>
      </c>
    </row>
    <row r="7490" customFormat="false" ht="15.75" hidden="false" customHeight="false" outlineLevel="0" collapsed="false">
      <c r="A7490" s="1" t="s">
        <v>1174</v>
      </c>
      <c r="B7490" s="1" t="n">
        <v>383.55</v>
      </c>
      <c r="C7490" s="1" t="n">
        <f aca="false">1/B7490</f>
        <v>0.00260722200495372</v>
      </c>
      <c r="D7490" s="1" t="n">
        <v>0.072439</v>
      </c>
      <c r="E7490" s="1" t="n">
        <f aca="false">LN(D7490)</f>
        <v>-2.62501045059009</v>
      </c>
    </row>
    <row r="7491" customFormat="false" ht="15.75" hidden="false" customHeight="false" outlineLevel="0" collapsed="false">
      <c r="A7491" s="1" t="s">
        <v>1174</v>
      </c>
      <c r="B7491" s="1" t="n">
        <v>383.88</v>
      </c>
      <c r="C7491" s="1" t="n">
        <f aca="false">1/B7491</f>
        <v>0.00260498072314265</v>
      </c>
      <c r="D7491" s="1" t="n">
        <v>0.072188</v>
      </c>
      <c r="E7491" s="1" t="n">
        <f aca="false">LN(D7491)</f>
        <v>-2.62848145188309</v>
      </c>
    </row>
    <row r="7492" customFormat="false" ht="15.75" hidden="false" customHeight="false" outlineLevel="0" collapsed="false">
      <c r="A7492" s="1" t="s">
        <v>1174</v>
      </c>
      <c r="B7492" s="1" t="n">
        <v>384.22</v>
      </c>
      <c r="C7492" s="1" t="n">
        <f aca="false">1/B7492</f>
        <v>0.00260267555046588</v>
      </c>
      <c r="D7492" s="1" t="n">
        <v>0.071937</v>
      </c>
      <c r="E7492" s="1" t="n">
        <f aca="false">LN(D7492)</f>
        <v>-2.63196454300204</v>
      </c>
    </row>
    <row r="7493" customFormat="false" ht="15.75" hidden="false" customHeight="false" outlineLevel="0" collapsed="false">
      <c r="A7493" s="1" t="s">
        <v>1174</v>
      </c>
      <c r="B7493" s="1" t="n">
        <v>384.55</v>
      </c>
      <c r="C7493" s="1" t="n">
        <f aca="false">1/B7493</f>
        <v>0.00260044207515278</v>
      </c>
      <c r="D7493" s="1" t="n">
        <v>0.071686</v>
      </c>
      <c r="E7493" s="1" t="n">
        <f aca="false">LN(D7493)</f>
        <v>-2.63545980846142</v>
      </c>
    </row>
    <row r="7494" customFormat="false" ht="15.75" hidden="false" customHeight="false" outlineLevel="0" collapsed="false">
      <c r="A7494" s="1" t="s">
        <v>1174</v>
      </c>
      <c r="B7494" s="1" t="n">
        <v>384.89</v>
      </c>
      <c r="C7494" s="1" t="n">
        <f aca="false">1/B7494</f>
        <v>0.00259814492452389</v>
      </c>
      <c r="D7494" s="1" t="n">
        <v>0.071436</v>
      </c>
      <c r="E7494" s="1" t="n">
        <f aca="false">LN(D7494)</f>
        <v>-2.63895333502288</v>
      </c>
    </row>
    <row r="7495" customFormat="false" ht="15.75" hidden="false" customHeight="false" outlineLevel="0" collapsed="false">
      <c r="A7495" s="1" t="s">
        <v>1174</v>
      </c>
      <c r="B7495" s="1" t="n">
        <v>385.22</v>
      </c>
      <c r="C7495" s="1" t="n">
        <f aca="false">1/B7495</f>
        <v>0.00259591921499403</v>
      </c>
      <c r="D7495" s="1" t="n">
        <v>0.071185</v>
      </c>
      <c r="E7495" s="1" t="n">
        <f aca="false">LN(D7495)</f>
        <v>-2.64247315691643</v>
      </c>
    </row>
    <row r="7496" customFormat="false" ht="15.75" hidden="false" customHeight="false" outlineLevel="0" collapsed="false">
      <c r="A7496" s="1" t="s">
        <v>1174</v>
      </c>
      <c r="B7496" s="1" t="n">
        <v>385.56</v>
      </c>
      <c r="C7496" s="1" t="n">
        <f aca="false">1/B7496</f>
        <v>0.00259363004461044</v>
      </c>
      <c r="D7496" s="1" t="n">
        <v>0.070935</v>
      </c>
      <c r="E7496" s="1" t="n">
        <f aca="false">LN(D7496)</f>
        <v>-2.64599131421819</v>
      </c>
    </row>
    <row r="7497" customFormat="false" ht="15.75" hidden="false" customHeight="false" outlineLevel="0" collapsed="false">
      <c r="A7497" s="1" t="s">
        <v>1174</v>
      </c>
      <c r="B7497" s="1" t="n">
        <v>385.89</v>
      </c>
      <c r="C7497" s="1" t="n">
        <f aca="false">1/B7497</f>
        <v>0.00259141206043173</v>
      </c>
      <c r="D7497" s="1" t="n">
        <v>0.070685</v>
      </c>
      <c r="E7497" s="1" t="n">
        <f aca="false">LN(D7497)</f>
        <v>-2.64952189266314</v>
      </c>
    </row>
    <row r="7498" customFormat="false" ht="15.75" hidden="false" customHeight="false" outlineLevel="0" collapsed="false">
      <c r="A7498" s="1" t="s">
        <v>1174</v>
      </c>
      <c r="B7498" s="1" t="n">
        <v>386.23</v>
      </c>
      <c r="C7498" s="1" t="n">
        <f aca="false">1/B7498</f>
        <v>0.00258913082878078</v>
      </c>
      <c r="D7498" s="1" t="n">
        <v>0.070435</v>
      </c>
      <c r="E7498" s="1" t="n">
        <f aca="false">LN(D7498)</f>
        <v>-2.65306498026987</v>
      </c>
    </row>
    <row r="7499" customFormat="false" ht="15.75" hidden="false" customHeight="false" outlineLevel="0" collapsed="false">
      <c r="A7499" s="1" t="s">
        <v>1174</v>
      </c>
      <c r="B7499" s="1" t="n">
        <v>386.56</v>
      </c>
      <c r="C7499" s="1" t="n">
        <f aca="false">1/B7499</f>
        <v>0.00258692052980132</v>
      </c>
      <c r="D7499" s="1" t="n">
        <v>0.070185</v>
      </c>
      <c r="E7499" s="1" t="n">
        <f aca="false">LN(D7499)</f>
        <v>-2.65662066599585</v>
      </c>
    </row>
    <row r="7500" customFormat="false" ht="15.75" hidden="false" customHeight="false" outlineLevel="0" collapsed="false">
      <c r="A7500" s="1" t="s">
        <v>1174</v>
      </c>
      <c r="B7500" s="1" t="n">
        <v>386.9</v>
      </c>
      <c r="C7500" s="1" t="n">
        <f aca="false">1/B7500</f>
        <v>0.00258464719565779</v>
      </c>
      <c r="D7500" s="1" t="n">
        <v>0.069935</v>
      </c>
      <c r="E7500" s="1" t="n">
        <f aca="false">LN(D7500)</f>
        <v>-2.66018903975087</v>
      </c>
    </row>
    <row r="7501" customFormat="false" ht="15.75" hidden="false" customHeight="false" outlineLevel="0" collapsed="false">
      <c r="A7501" s="1" t="s">
        <v>1174</v>
      </c>
      <c r="B7501" s="1" t="n">
        <v>387.23</v>
      </c>
      <c r="C7501" s="1" t="n">
        <f aca="false">1/B7501</f>
        <v>0.00258244454200346</v>
      </c>
      <c r="D7501" s="1" t="n">
        <v>0.069686</v>
      </c>
      <c r="E7501" s="1" t="n">
        <f aca="false">LN(D7501)</f>
        <v>-2.66375584222304</v>
      </c>
    </row>
    <row r="7502" customFormat="false" ht="15.75" hidden="false" customHeight="false" outlineLevel="0" collapsed="false">
      <c r="A7502" s="1" t="s">
        <v>1174</v>
      </c>
      <c r="B7502" s="1" t="n">
        <v>387.57</v>
      </c>
      <c r="C7502" s="1" t="n">
        <f aca="false">1/B7502</f>
        <v>0.00258017906442707</v>
      </c>
      <c r="D7502" s="1" t="n">
        <v>0.069436</v>
      </c>
      <c r="E7502" s="1" t="n">
        <f aca="false">LN(D7502)</f>
        <v>-2.66734981397583</v>
      </c>
    </row>
    <row r="7503" customFormat="false" ht="15.75" hidden="false" customHeight="false" outlineLevel="0" collapsed="false">
      <c r="A7503" s="1" t="s">
        <v>1174</v>
      </c>
      <c r="B7503" s="1" t="n">
        <v>387.9</v>
      </c>
      <c r="C7503" s="1" t="n">
        <f aca="false">1/B7503</f>
        <v>0.0025779840164991</v>
      </c>
      <c r="D7503" s="1" t="n">
        <v>0.069187</v>
      </c>
      <c r="E7503" s="1" t="n">
        <f aca="false">LN(D7503)</f>
        <v>-2.67094229527833</v>
      </c>
    </row>
    <row r="7504" customFormat="false" ht="15.75" hidden="false" customHeight="false" outlineLevel="0" collapsed="false">
      <c r="A7504" s="1" t="s">
        <v>1174</v>
      </c>
      <c r="B7504" s="1" t="n">
        <v>388.24</v>
      </c>
      <c r="C7504" s="1" t="n">
        <f aca="false">1/B7504</f>
        <v>0.00257572635483206</v>
      </c>
      <c r="D7504" s="1" t="n">
        <v>0.068938</v>
      </c>
      <c r="E7504" s="1" t="n">
        <f aca="false">LN(D7504)</f>
        <v>-2.67454772904821</v>
      </c>
    </row>
    <row r="7505" customFormat="false" ht="15.75" hidden="false" customHeight="false" outlineLevel="0" collapsed="false">
      <c r="A7505" s="1" t="s">
        <v>1174</v>
      </c>
      <c r="B7505" s="1" t="n">
        <v>388.57</v>
      </c>
      <c r="C7505" s="1" t="n">
        <f aca="false">1/B7505</f>
        <v>0.00257353887330468</v>
      </c>
      <c r="D7505" s="1" t="n">
        <v>0.068689</v>
      </c>
      <c r="E7505" s="1" t="n">
        <f aca="false">LN(D7505)</f>
        <v>-2.67816620902217</v>
      </c>
    </row>
    <row r="7506" customFormat="false" ht="15.75" hidden="false" customHeight="false" outlineLevel="0" collapsed="false">
      <c r="A7506" s="1" t="s">
        <v>1174</v>
      </c>
      <c r="B7506" s="1" t="n">
        <v>388.91</v>
      </c>
      <c r="C7506" s="1" t="n">
        <f aca="false">1/B7506</f>
        <v>0.00257128898716927</v>
      </c>
      <c r="D7506" s="1" t="n">
        <v>0.06844</v>
      </c>
      <c r="E7506" s="1" t="n">
        <f aca="false">LN(D7506)</f>
        <v>-2.68179782995814</v>
      </c>
    </row>
    <row r="7507" customFormat="false" ht="15.75" hidden="false" customHeight="false" outlineLevel="0" collapsed="false">
      <c r="A7507" s="1" t="s">
        <v>1174</v>
      </c>
      <c r="B7507" s="1" t="n">
        <v>389.24</v>
      </c>
      <c r="C7507" s="1" t="n">
        <f aca="false">1/B7507</f>
        <v>0.00256910903298736</v>
      </c>
      <c r="D7507" s="1" t="n">
        <v>0.068191</v>
      </c>
      <c r="E7507" s="1" t="n">
        <f aca="false">LN(D7507)</f>
        <v>-2.68544268765023</v>
      </c>
    </row>
    <row r="7508" customFormat="false" ht="15.75" hidden="false" customHeight="false" outlineLevel="0" collapsed="false">
      <c r="A7508" s="1" t="s">
        <v>1174</v>
      </c>
      <c r="B7508" s="1" t="n">
        <v>389.58</v>
      </c>
      <c r="C7508" s="1" t="n">
        <f aca="false">1/B7508</f>
        <v>0.00256686688228348</v>
      </c>
      <c r="D7508" s="1" t="n">
        <v>0.067943</v>
      </c>
      <c r="E7508" s="1" t="n">
        <f aca="false">LN(D7508)</f>
        <v>-2.6890861606158</v>
      </c>
    </row>
    <row r="7509" customFormat="false" ht="15.75" hidden="false" customHeight="false" outlineLevel="0" collapsed="false">
      <c r="A7509" s="1" t="s">
        <v>1174</v>
      </c>
      <c r="B7509" s="1" t="n">
        <v>389.91</v>
      </c>
      <c r="C7509" s="1" t="n">
        <f aca="false">1/B7509</f>
        <v>0.00256469441666025</v>
      </c>
      <c r="D7509" s="1" t="n">
        <v>0.067694</v>
      </c>
      <c r="E7509" s="1" t="n">
        <f aca="false">LN(D7509)</f>
        <v>-2.69275772928392</v>
      </c>
    </row>
    <row r="7510" customFormat="false" ht="15.75" hidden="false" customHeight="false" outlineLevel="0" collapsed="false">
      <c r="A7510" s="1" t="s">
        <v>1174</v>
      </c>
      <c r="B7510" s="1" t="n">
        <v>390.25</v>
      </c>
      <c r="C7510" s="1" t="n">
        <f aca="false">1/B7510</f>
        <v>0.0025624599615631</v>
      </c>
      <c r="D7510" s="1" t="n">
        <v>0.067446</v>
      </c>
      <c r="E7510" s="1" t="n">
        <f aca="false">LN(D7510)</f>
        <v>-2.69642800127442</v>
      </c>
    </row>
    <row r="7511" customFormat="false" ht="15.75" hidden="false" customHeight="false" outlineLevel="0" collapsed="false">
      <c r="A7511" s="1" t="s">
        <v>1174</v>
      </c>
      <c r="B7511" s="1" t="n">
        <v>390.58</v>
      </c>
      <c r="C7511" s="1" t="n">
        <f aca="false">1/B7511</f>
        <v>0.00256029494597778</v>
      </c>
      <c r="D7511" s="1" t="n">
        <v>0.067198</v>
      </c>
      <c r="E7511" s="1" t="n">
        <f aca="false">LN(D7511)</f>
        <v>-2.70011179380069</v>
      </c>
    </row>
    <row r="7512" customFormat="false" ht="15.75" hidden="false" customHeight="false" outlineLevel="0" collapsed="false">
      <c r="A7512" s="1" t="s">
        <v>1174</v>
      </c>
      <c r="B7512" s="1" t="n">
        <v>390.92</v>
      </c>
      <c r="C7512" s="1" t="n">
        <f aca="false">1/B7512</f>
        <v>0.00255806814693543</v>
      </c>
      <c r="D7512" s="1" t="n">
        <v>0.066949</v>
      </c>
      <c r="E7512" s="1" t="n">
        <f aca="false">LN(D7512)</f>
        <v>-2.7038241434763</v>
      </c>
    </row>
    <row r="7513" customFormat="false" ht="15.75" hidden="false" customHeight="false" outlineLevel="0" collapsed="false">
      <c r="A7513" s="1" t="s">
        <v>1174</v>
      </c>
      <c r="B7513" s="1" t="n">
        <v>391.25</v>
      </c>
      <c r="C7513" s="1" t="n">
        <f aca="false">1/B7513</f>
        <v>0.00255591054313099</v>
      </c>
      <c r="D7513" s="1" t="n">
        <v>0.066701</v>
      </c>
      <c r="E7513" s="1" t="n">
        <f aca="false">LN(D7513)</f>
        <v>-2.7075353336692</v>
      </c>
    </row>
    <row r="7514" customFormat="false" ht="15.75" hidden="false" customHeight="false" outlineLevel="0" collapsed="false">
      <c r="A7514" s="1" t="s">
        <v>1174</v>
      </c>
      <c r="B7514" s="1" t="n">
        <v>391.59</v>
      </c>
      <c r="C7514" s="1" t="n">
        <f aca="false">1/B7514</f>
        <v>0.00255369136086213</v>
      </c>
      <c r="D7514" s="1" t="n">
        <v>0.066453</v>
      </c>
      <c r="E7514" s="1" t="n">
        <f aca="false">LN(D7514)</f>
        <v>-2.7112603481151</v>
      </c>
    </row>
    <row r="7515" customFormat="false" ht="15.75" hidden="false" customHeight="false" outlineLevel="0" collapsed="false">
      <c r="A7515" s="1" t="s">
        <v>1174</v>
      </c>
      <c r="B7515" s="1" t="n">
        <v>391.92</v>
      </c>
      <c r="C7515" s="1" t="n">
        <f aca="false">1/B7515</f>
        <v>0.00255154113084303</v>
      </c>
      <c r="D7515" s="1" t="n">
        <v>0.066205</v>
      </c>
      <c r="E7515" s="1" t="n">
        <f aca="false">LN(D7515)</f>
        <v>-2.71499929019042</v>
      </c>
    </row>
    <row r="7516" customFormat="false" ht="15.75" hidden="false" customHeight="false" outlineLevel="0" collapsed="false">
      <c r="A7516" s="1" t="s">
        <v>1174</v>
      </c>
      <c r="B7516" s="1" t="n">
        <v>392.26</v>
      </c>
      <c r="C7516" s="1" t="n">
        <f aca="false">1/B7516</f>
        <v>0.00254932952633457</v>
      </c>
      <c r="D7516" s="1" t="n">
        <v>0.065958</v>
      </c>
      <c r="E7516" s="1" t="n">
        <f aca="false">LN(D7516)</f>
        <v>-2.71873710315736</v>
      </c>
    </row>
    <row r="7517" customFormat="false" ht="15.75" hidden="false" customHeight="false" outlineLevel="0" collapsed="false">
      <c r="A7517" s="1" t="s">
        <v>1174</v>
      </c>
      <c r="B7517" s="1" t="n">
        <v>392.59</v>
      </c>
      <c r="C7517" s="1" t="n">
        <f aca="false">1/B7517</f>
        <v>0.00254718663236455</v>
      </c>
      <c r="D7517" s="1" t="n">
        <v>0.06571</v>
      </c>
      <c r="E7517" s="1" t="n">
        <f aca="false">LN(D7517)</f>
        <v>-2.72250415807236</v>
      </c>
    </row>
    <row r="7518" customFormat="false" ht="15.75" hidden="false" customHeight="false" outlineLevel="0" collapsed="false">
      <c r="A7518" s="1" t="s">
        <v>1174</v>
      </c>
      <c r="B7518" s="1" t="n">
        <v>392.93</v>
      </c>
      <c r="C7518" s="1" t="n">
        <f aca="false">1/B7518</f>
        <v>0.00254498256686942</v>
      </c>
      <c r="D7518" s="1" t="n">
        <v>0.065462</v>
      </c>
      <c r="E7518" s="1" t="n">
        <f aca="false">LN(D7518)</f>
        <v>-2.72628545736636</v>
      </c>
    </row>
    <row r="7519" customFormat="false" ht="15.75" hidden="false" customHeight="false" outlineLevel="0" collapsed="false">
      <c r="A7519" s="1" t="s">
        <v>1174</v>
      </c>
      <c r="B7519" s="1" t="n">
        <v>393.26</v>
      </c>
      <c r="C7519" s="1" t="n">
        <f aca="false">1/B7519</f>
        <v>0.00254284697146926</v>
      </c>
      <c r="D7519" s="1" t="n">
        <v>0.065214</v>
      </c>
      <c r="E7519" s="1" t="n">
        <f aca="false">LN(D7519)</f>
        <v>-2.73008110917303</v>
      </c>
    </row>
    <row r="7520" customFormat="false" ht="15.75" hidden="false" customHeight="false" outlineLevel="0" collapsed="false">
      <c r="A7520" s="1" t="s">
        <v>1174</v>
      </c>
      <c r="B7520" s="1" t="n">
        <v>393.6</v>
      </c>
      <c r="C7520" s="1" t="n">
        <f aca="false">1/B7520</f>
        <v>0.00254065040650406</v>
      </c>
      <c r="D7520" s="1" t="n">
        <v>0.064967</v>
      </c>
      <c r="E7520" s="1" t="n">
        <f aca="false">LN(D7520)</f>
        <v>-2.73387583031357</v>
      </c>
    </row>
    <row r="7521" customFormat="false" ht="15.75" hidden="false" customHeight="false" outlineLevel="0" collapsed="false">
      <c r="A7521" s="1" t="s">
        <v>1174</v>
      </c>
      <c r="B7521" s="1" t="n">
        <v>393.93</v>
      </c>
      <c r="C7521" s="1" t="n">
        <f aca="false">1/B7521</f>
        <v>0.00253852207244942</v>
      </c>
      <c r="D7521" s="1" t="n">
        <v>0.064719</v>
      </c>
      <c r="E7521" s="1" t="n">
        <f aca="false">LN(D7521)</f>
        <v>-2.73770045752556</v>
      </c>
    </row>
    <row r="7522" customFormat="false" ht="15.75" hidden="false" customHeight="false" outlineLevel="0" collapsed="false">
      <c r="A7522" s="1" t="s">
        <v>1174</v>
      </c>
      <c r="B7522" s="1" t="n">
        <v>394.27</v>
      </c>
      <c r="C7522" s="1" t="n">
        <f aca="false">1/B7522</f>
        <v>0.00253633296979227</v>
      </c>
      <c r="D7522" s="1" t="n">
        <v>0.064472</v>
      </c>
      <c r="E7522" s="1" t="n">
        <f aca="false">LN(D7522)</f>
        <v>-2.74152425795993</v>
      </c>
    </row>
    <row r="7523" customFormat="false" ht="15.75" hidden="false" customHeight="false" outlineLevel="0" collapsed="false">
      <c r="A7523" s="1" t="s">
        <v>1174</v>
      </c>
      <c r="B7523" s="1" t="n">
        <v>394.6</v>
      </c>
      <c r="C7523" s="1" t="n">
        <f aca="false">1/B7523</f>
        <v>0.00253421186011151</v>
      </c>
      <c r="D7523" s="1" t="n">
        <v>0.064224</v>
      </c>
      <c r="E7523" s="1" t="n">
        <f aca="false">LN(D7523)</f>
        <v>-2.74537830636821</v>
      </c>
    </row>
    <row r="7524" customFormat="false" ht="15.75" hidden="false" customHeight="false" outlineLevel="0" collapsed="false">
      <c r="A7524" s="1" t="s">
        <v>1174</v>
      </c>
      <c r="B7524" s="1" t="n">
        <v>394.94</v>
      </c>
      <c r="C7524" s="1" t="n">
        <f aca="false">1/B7524</f>
        <v>0.00253203018179977</v>
      </c>
      <c r="D7524" s="1" t="n">
        <v>0.063977</v>
      </c>
      <c r="E7524" s="1" t="n">
        <f aca="false">LN(D7524)</f>
        <v>-2.74923163521314</v>
      </c>
    </row>
    <row r="7525" customFormat="false" ht="15.75" hidden="false" customHeight="false" outlineLevel="0" collapsed="false">
      <c r="A7525" s="1" t="s">
        <v>1174</v>
      </c>
      <c r="B7525" s="1" t="n">
        <v>395.27</v>
      </c>
      <c r="C7525" s="1" t="n">
        <f aca="false">1/B7525</f>
        <v>0.0025299162597718</v>
      </c>
      <c r="D7525" s="1" t="n">
        <v>0.063729</v>
      </c>
      <c r="E7525" s="1" t="n">
        <f aca="false">LN(D7525)</f>
        <v>-2.75311556097628</v>
      </c>
    </row>
    <row r="7526" customFormat="false" ht="15.75" hidden="false" customHeight="false" outlineLevel="0" collapsed="false">
      <c r="A7526" s="1" t="s">
        <v>1174</v>
      </c>
      <c r="B7526" s="1" t="n">
        <v>395.61</v>
      </c>
      <c r="C7526" s="1" t="n">
        <f aca="false">1/B7526</f>
        <v>0.0025277419680999</v>
      </c>
      <c r="D7526" s="1" t="n">
        <v>0.063482</v>
      </c>
      <c r="E7526" s="1" t="n">
        <f aca="false">LN(D7526)</f>
        <v>-2.75699887783409</v>
      </c>
    </row>
    <row r="7527" customFormat="false" ht="15.75" hidden="false" customHeight="false" outlineLevel="0" collapsed="false">
      <c r="A7527" s="1" t="s">
        <v>1174</v>
      </c>
      <c r="B7527" s="1" t="n">
        <v>395.94</v>
      </c>
      <c r="C7527" s="1" t="n">
        <f aca="false">1/B7527</f>
        <v>0.00252563519725211</v>
      </c>
      <c r="D7527" s="1" t="n">
        <v>0.063235</v>
      </c>
      <c r="E7527" s="1" t="n">
        <f aca="false">LN(D7527)</f>
        <v>-2.7608973336502</v>
      </c>
    </row>
    <row r="7528" customFormat="false" ht="15.75" hidden="false" customHeight="false" outlineLevel="0" collapsed="false">
      <c r="A7528" s="1" t="s">
        <v>1174</v>
      </c>
      <c r="B7528" s="1" t="n">
        <v>396.28</v>
      </c>
      <c r="C7528" s="1" t="n">
        <f aca="false">1/B7528</f>
        <v>0.00252346825476935</v>
      </c>
      <c r="D7528" s="1" t="n">
        <v>0.062987</v>
      </c>
      <c r="E7528" s="1" t="n">
        <f aca="false">LN(D7528)</f>
        <v>-2.76482692308988</v>
      </c>
    </row>
    <row r="7529" customFormat="false" ht="15.75" hidden="false" customHeight="false" outlineLevel="0" collapsed="false">
      <c r="A7529" s="1" t="s">
        <v>1174</v>
      </c>
      <c r="B7529" s="1" t="n">
        <v>396.61</v>
      </c>
      <c r="C7529" s="1" t="n">
        <f aca="false">1/B7529</f>
        <v>0.00252136859887547</v>
      </c>
      <c r="D7529" s="1" t="n">
        <v>0.06274</v>
      </c>
      <c r="E7529" s="1" t="n">
        <f aca="false">LN(D7529)</f>
        <v>-2.7687560762196</v>
      </c>
    </row>
    <row r="7530" customFormat="false" ht="15.75" hidden="false" customHeight="false" outlineLevel="0" collapsed="false">
      <c r="A7530" s="1" t="s">
        <v>1174</v>
      </c>
      <c r="B7530" s="1" t="n">
        <v>396.95</v>
      </c>
      <c r="C7530" s="1" t="n">
        <f aca="false">1/B7530</f>
        <v>0.00251920896838393</v>
      </c>
      <c r="D7530" s="1" t="n">
        <v>0.062493</v>
      </c>
      <c r="E7530" s="1" t="n">
        <f aca="false">LN(D7530)</f>
        <v>-2.77270072851225</v>
      </c>
    </row>
    <row r="7531" customFormat="false" ht="15.75" hidden="false" customHeight="false" outlineLevel="0" collapsed="false">
      <c r="A7531" s="1" t="s">
        <v>1174</v>
      </c>
      <c r="B7531" s="1" t="n">
        <v>397.28</v>
      </c>
      <c r="C7531" s="1" t="n">
        <f aca="false">1/B7531</f>
        <v>0.00251711639146194</v>
      </c>
      <c r="D7531" s="1" t="n">
        <v>0.062246</v>
      </c>
      <c r="E7531" s="1" t="n">
        <f aca="false">LN(D7531)</f>
        <v>-2.77666100273</v>
      </c>
    </row>
    <row r="7532" customFormat="false" ht="15.75" hidden="false" customHeight="false" outlineLevel="0" collapsed="false">
      <c r="A7532" s="1" t="s">
        <v>1174</v>
      </c>
      <c r="B7532" s="1" t="n">
        <v>397.62</v>
      </c>
      <c r="C7532" s="1" t="n">
        <f aca="false">1/B7532</f>
        <v>0.00251496403601428</v>
      </c>
      <c r="D7532" s="1" t="n">
        <v>0.061998</v>
      </c>
      <c r="E7532" s="1" t="n">
        <f aca="false">LN(D7532)</f>
        <v>-2.78065315252186</v>
      </c>
    </row>
    <row r="7533" customFormat="false" ht="15.75" hidden="false" customHeight="false" outlineLevel="0" collapsed="false">
      <c r="A7533" s="1" t="s">
        <v>1174</v>
      </c>
      <c r="B7533" s="1" t="n">
        <v>397.95</v>
      </c>
      <c r="C7533" s="1" t="n">
        <f aca="false">1/B7533</f>
        <v>0.00251287850232441</v>
      </c>
      <c r="D7533" s="1" t="n">
        <v>0.061751</v>
      </c>
      <c r="E7533" s="1" t="n">
        <f aca="false">LN(D7533)</f>
        <v>-2.78464510927319</v>
      </c>
    </row>
    <row r="7534" customFormat="false" ht="15.75" hidden="false" customHeight="false" outlineLevel="0" collapsed="false">
      <c r="A7534" s="1" t="s">
        <v>1174</v>
      </c>
      <c r="B7534" s="1" t="n">
        <v>398.29</v>
      </c>
      <c r="C7534" s="1" t="n">
        <f aca="false">1/B7534</f>
        <v>0.00251073338522182</v>
      </c>
      <c r="D7534" s="1" t="n">
        <v>0.061504</v>
      </c>
      <c r="E7534" s="1" t="n">
        <f aca="false">LN(D7534)</f>
        <v>-2.78865306563431</v>
      </c>
    </row>
    <row r="7535" customFormat="false" ht="15.75" hidden="false" customHeight="false" outlineLevel="0" collapsed="false">
      <c r="A7535" s="1" t="s">
        <v>1174</v>
      </c>
      <c r="B7535" s="1" t="n">
        <v>398.62</v>
      </c>
      <c r="C7535" s="1" t="n">
        <f aca="false">1/B7535</f>
        <v>0.00250865485926446</v>
      </c>
      <c r="D7535" s="1" t="n">
        <v>0.061256</v>
      </c>
      <c r="E7535" s="1" t="n">
        <f aca="false">LN(D7535)</f>
        <v>-2.79269347517131</v>
      </c>
    </row>
    <row r="7536" customFormat="false" ht="15.75" hidden="false" customHeight="false" outlineLevel="0" collapsed="false">
      <c r="A7536" s="1" t="s">
        <v>1174</v>
      </c>
      <c r="B7536" s="1" t="n">
        <v>398.96</v>
      </c>
      <c r="C7536" s="1" t="n">
        <f aca="false">1/B7536</f>
        <v>0.00250651694405454</v>
      </c>
      <c r="D7536" s="1" t="n">
        <v>0.061009</v>
      </c>
      <c r="E7536" s="1" t="n">
        <f aca="false">LN(D7536)</f>
        <v>-2.79673388470832</v>
      </c>
    </row>
    <row r="7537" customFormat="false" ht="15.75" hidden="false" customHeight="false" outlineLevel="0" collapsed="false">
      <c r="A7537" s="1" t="s">
        <v>1174</v>
      </c>
      <c r="B7537" s="1" t="n">
        <v>399.29</v>
      </c>
      <c r="C7537" s="1" t="n">
        <f aca="false">1/B7537</f>
        <v>0.00250444539056826</v>
      </c>
      <c r="D7537" s="1" t="n">
        <v>0.060761</v>
      </c>
      <c r="E7537" s="1" t="n">
        <f aca="false">LN(D7537)</f>
        <v>-2.80080714319382</v>
      </c>
    </row>
    <row r="7538" customFormat="false" ht="15.75" hidden="false" customHeight="false" outlineLevel="0" collapsed="false">
      <c r="A7538" s="1" t="s">
        <v>1174</v>
      </c>
      <c r="B7538" s="1" t="n">
        <v>399.63</v>
      </c>
      <c r="C7538" s="1" t="n">
        <f aca="false">1/B7538</f>
        <v>0.00250231464104296</v>
      </c>
      <c r="D7538" s="1" t="n">
        <v>0.060514</v>
      </c>
      <c r="E7538" s="1" t="n">
        <f aca="false">LN(D7538)</f>
        <v>-2.80488053575666</v>
      </c>
    </row>
    <row r="7539" customFormat="false" ht="15.75" hidden="false" customHeight="false" outlineLevel="0" collapsed="false">
      <c r="A7539" s="1" t="s">
        <v>1174</v>
      </c>
      <c r="B7539" s="1" t="n">
        <v>399.96</v>
      </c>
      <c r="C7539" s="1" t="n">
        <f aca="false">1/B7539</f>
        <v>0.0025002500250025</v>
      </c>
      <c r="D7539" s="1" t="n">
        <v>0.060266</v>
      </c>
      <c r="E7539" s="1" t="n">
        <f aca="false">LN(D7539)</f>
        <v>-2.80898718170026</v>
      </c>
    </row>
    <row r="7540" customFormat="false" ht="15.75" hidden="false" customHeight="false" outlineLevel="0" collapsed="false">
      <c r="A7540" s="1" t="s">
        <v>1174</v>
      </c>
      <c r="B7540" s="1" t="n">
        <v>400.3</v>
      </c>
      <c r="C7540" s="1" t="n">
        <f aca="false">1/B7540</f>
        <v>0.0024981264051961</v>
      </c>
      <c r="D7540" s="1" t="n">
        <v>0.060019</v>
      </c>
      <c r="E7540" s="1" t="n">
        <f aca="false">LN(D7540)</f>
        <v>-2.81309410022168</v>
      </c>
    </row>
    <row r="7541" customFormat="false" ht="15.75" hidden="false" customHeight="false" outlineLevel="0" collapsed="false">
      <c r="A7541" s="1" t="s">
        <v>1174</v>
      </c>
      <c r="B7541" s="1" t="n">
        <v>400.63</v>
      </c>
      <c r="C7541" s="1" t="n">
        <f aca="false">1/B7541</f>
        <v>0.0024960686918104</v>
      </c>
      <c r="D7541" s="1" t="n">
        <v>0.059771</v>
      </c>
      <c r="E7541" s="1" t="n">
        <f aca="false">LN(D7541)</f>
        <v>-2.81723468548453</v>
      </c>
    </row>
    <row r="7542" customFormat="false" ht="15.75" hidden="false" customHeight="false" outlineLevel="0" collapsed="false">
      <c r="A7542" s="1" t="s">
        <v>1174</v>
      </c>
      <c r="B7542" s="1" t="n">
        <v>400.97</v>
      </c>
      <c r="C7542" s="1" t="n">
        <f aca="false">1/B7542</f>
        <v>0.00249395216599746</v>
      </c>
      <c r="D7542" s="1" t="n">
        <v>0.059523</v>
      </c>
      <c r="E7542" s="1" t="n">
        <f aca="false">LN(D7542)</f>
        <v>-2.82139248650169</v>
      </c>
    </row>
    <row r="7543" customFormat="false" ht="15.75" hidden="false" customHeight="false" outlineLevel="0" collapsed="false">
      <c r="A7543" s="1" t="s">
        <v>1174</v>
      </c>
      <c r="B7543" s="1" t="n">
        <v>401.3</v>
      </c>
      <c r="C7543" s="1" t="n">
        <f aca="false">1/B7543</f>
        <v>0.0024919013207077</v>
      </c>
      <c r="D7543" s="1" t="n">
        <v>0.059276</v>
      </c>
      <c r="E7543" s="1" t="n">
        <f aca="false">LN(D7543)</f>
        <v>-2.82555077665421</v>
      </c>
    </row>
    <row r="7544" customFormat="false" ht="15.75" hidden="false" customHeight="false" outlineLevel="0" collapsed="false">
      <c r="A7544" s="1" t="s">
        <v>1174</v>
      </c>
      <c r="B7544" s="1" t="n">
        <v>401.64</v>
      </c>
      <c r="C7544" s="1" t="n">
        <f aca="false">1/B7544</f>
        <v>0.00248979185340106</v>
      </c>
      <c r="D7544" s="1" t="n">
        <v>0.059028</v>
      </c>
      <c r="E7544" s="1" t="n">
        <f aca="false">LN(D7544)</f>
        <v>-2.82974337138093</v>
      </c>
    </row>
    <row r="7545" customFormat="false" ht="15.75" hidden="false" customHeight="false" outlineLevel="0" collapsed="false">
      <c r="A7545" s="1" t="s">
        <v>1174</v>
      </c>
      <c r="B7545" s="1" t="n">
        <v>401.97</v>
      </c>
      <c r="C7545" s="1" t="n">
        <f aca="false">1/B7545</f>
        <v>0.00248774784187875</v>
      </c>
      <c r="D7545" s="1" t="n">
        <v>0.05878</v>
      </c>
      <c r="E7545" s="1" t="n">
        <f aca="false">LN(D7545)</f>
        <v>-2.83395361799137</v>
      </c>
    </row>
    <row r="7546" customFormat="false" ht="15.75" hidden="false" customHeight="false" outlineLevel="0" collapsed="false">
      <c r="A7546" s="1" t="s">
        <v>1174</v>
      </c>
      <c r="B7546" s="1" t="n">
        <v>402.31</v>
      </c>
      <c r="C7546" s="1" t="n">
        <f aca="false">1/B7546</f>
        <v>0.00248564539782755</v>
      </c>
      <c r="D7546" s="1" t="n">
        <v>0.058532</v>
      </c>
      <c r="E7546" s="1" t="n">
        <f aca="false">LN(D7546)</f>
        <v>-2.83818166575196</v>
      </c>
    </row>
    <row r="7547" customFormat="false" ht="15.75" hidden="false" customHeight="false" outlineLevel="0" collapsed="false">
      <c r="A7547" s="1" t="s">
        <v>1176</v>
      </c>
      <c r="B7547" s="1" t="n">
        <v>273.67</v>
      </c>
      <c r="C7547" s="1" t="n">
        <f aca="false">1/B7547</f>
        <v>0.00365403588263237</v>
      </c>
      <c r="D7547" s="1" t="n">
        <v>0.17877</v>
      </c>
      <c r="E7547" s="1" t="n">
        <f aca="false">LN(D7547)</f>
        <v>-1.72165521555514</v>
      </c>
    </row>
    <row r="7548" customFormat="false" ht="15.75" hidden="false" customHeight="false" outlineLevel="0" collapsed="false">
      <c r="A7548" s="1" t="s">
        <v>1176</v>
      </c>
      <c r="B7548" s="1" t="n">
        <v>274</v>
      </c>
      <c r="C7548" s="1" t="n">
        <f aca="false">1/B7548</f>
        <v>0.00364963503649635</v>
      </c>
      <c r="D7548" s="1" t="n">
        <v>0.17818</v>
      </c>
      <c r="E7548" s="1" t="n">
        <f aca="false">LN(D7548)</f>
        <v>-1.72496100368964</v>
      </c>
    </row>
    <row r="7549" customFormat="false" ht="15.75" hidden="false" customHeight="false" outlineLevel="0" collapsed="false">
      <c r="A7549" s="1" t="s">
        <v>1176</v>
      </c>
      <c r="B7549" s="1" t="n">
        <v>274.33</v>
      </c>
      <c r="C7549" s="1" t="n">
        <f aca="false">1/B7549</f>
        <v>0.00364524477818686</v>
      </c>
      <c r="D7549" s="1" t="n">
        <v>0.1776</v>
      </c>
      <c r="E7549" s="1" t="n">
        <f aca="false">LN(D7549)</f>
        <v>-1.72822144842407</v>
      </c>
    </row>
    <row r="7550" customFormat="false" ht="15.75" hidden="false" customHeight="false" outlineLevel="0" collapsed="false">
      <c r="A7550" s="1" t="s">
        <v>1176</v>
      </c>
      <c r="B7550" s="1" t="n">
        <v>274.67</v>
      </c>
      <c r="C7550" s="1" t="n">
        <f aca="false">1/B7550</f>
        <v>0.00364073251538209</v>
      </c>
      <c r="D7550" s="1" t="n">
        <v>0.17702</v>
      </c>
      <c r="E7550" s="1" t="n">
        <f aca="false">LN(D7550)</f>
        <v>-1.73149255844141</v>
      </c>
    </row>
    <row r="7551" customFormat="false" ht="15.75" hidden="false" customHeight="false" outlineLevel="0" collapsed="false">
      <c r="A7551" s="1" t="s">
        <v>1176</v>
      </c>
      <c r="B7551" s="1" t="n">
        <v>275</v>
      </c>
      <c r="C7551" s="1" t="n">
        <f aca="false">1/B7551</f>
        <v>0.00363636363636364</v>
      </c>
      <c r="D7551" s="1" t="n">
        <v>0.17644</v>
      </c>
      <c r="E7551" s="1" t="n">
        <f aca="false">LN(D7551)</f>
        <v>-1.7347744037454</v>
      </c>
    </row>
    <row r="7552" customFormat="false" ht="15.75" hidden="false" customHeight="false" outlineLevel="0" collapsed="false">
      <c r="A7552" s="1" t="s">
        <v>1176</v>
      </c>
      <c r="B7552" s="1" t="n">
        <v>275.33</v>
      </c>
      <c r="C7552" s="1" t="n">
        <f aca="false">1/B7552</f>
        <v>0.00363200523008753</v>
      </c>
      <c r="D7552" s="1" t="n">
        <v>0.17586</v>
      </c>
      <c r="E7552" s="1" t="n">
        <f aca="false">LN(D7552)</f>
        <v>-1.73806705503128</v>
      </c>
    </row>
    <row r="7553" customFormat="false" ht="15.75" hidden="false" customHeight="false" outlineLevel="0" collapsed="false">
      <c r="A7553" s="1" t="s">
        <v>1176</v>
      </c>
      <c r="B7553" s="1" t="n">
        <v>275.67</v>
      </c>
      <c r="C7553" s="1" t="n">
        <f aca="false">1/B7553</f>
        <v>0.00362752566474408</v>
      </c>
      <c r="D7553" s="1" t="n">
        <v>0.17529</v>
      </c>
      <c r="E7553" s="1" t="n">
        <f aca="false">LN(D7553)</f>
        <v>-1.74131353374768</v>
      </c>
    </row>
    <row r="7554" customFormat="false" ht="15.75" hidden="false" customHeight="false" outlineLevel="0" collapsed="false">
      <c r="A7554" s="1" t="s">
        <v>1176</v>
      </c>
      <c r="B7554" s="1" t="n">
        <v>276</v>
      </c>
      <c r="C7554" s="1" t="n">
        <f aca="false">1/B7554</f>
        <v>0.0036231884057971</v>
      </c>
      <c r="D7554" s="1" t="n">
        <v>0.17471</v>
      </c>
      <c r="E7554" s="1" t="n">
        <f aca="false">LN(D7554)</f>
        <v>-1.74462782249578</v>
      </c>
    </row>
    <row r="7555" customFormat="false" ht="15.75" hidden="false" customHeight="false" outlineLevel="0" collapsed="false">
      <c r="A7555" s="1" t="s">
        <v>1176</v>
      </c>
      <c r="B7555" s="1" t="n">
        <v>276.33</v>
      </c>
      <c r="C7555" s="1" t="n">
        <f aca="false">1/B7555</f>
        <v>0.00361886150617016</v>
      </c>
      <c r="D7555" s="1" t="n">
        <v>0.17415</v>
      </c>
      <c r="E7555" s="1" t="n">
        <f aca="false">LN(D7555)</f>
        <v>-1.74783828217013</v>
      </c>
    </row>
    <row r="7556" customFormat="false" ht="15.75" hidden="false" customHeight="false" outlineLevel="0" collapsed="false">
      <c r="A7556" s="1" t="s">
        <v>1176</v>
      </c>
      <c r="B7556" s="1" t="n">
        <v>276.67</v>
      </c>
      <c r="C7556" s="1" t="n">
        <f aca="false">1/B7556</f>
        <v>0.00361441428416525</v>
      </c>
      <c r="D7556" s="1" t="n">
        <v>0.17358</v>
      </c>
      <c r="E7556" s="1" t="n">
        <f aca="false">LN(D7556)</f>
        <v>-1.75111669076604</v>
      </c>
    </row>
    <row r="7557" customFormat="false" ht="15.75" hidden="false" customHeight="false" outlineLevel="0" collapsed="false">
      <c r="A7557" s="1" t="s">
        <v>1176</v>
      </c>
      <c r="B7557" s="1" t="n">
        <v>277</v>
      </c>
      <c r="C7557" s="1" t="n">
        <f aca="false">1/B7557</f>
        <v>0.0036101083032491</v>
      </c>
      <c r="D7557" s="1" t="n">
        <v>0.17301</v>
      </c>
      <c r="E7557" s="1" t="n">
        <f aca="false">LN(D7557)</f>
        <v>-1.75440588268671</v>
      </c>
    </row>
    <row r="7558" customFormat="false" ht="15.75" hidden="false" customHeight="false" outlineLevel="0" collapsed="false">
      <c r="A7558" s="1" t="s">
        <v>1176</v>
      </c>
      <c r="B7558" s="1" t="n">
        <v>277.33</v>
      </c>
      <c r="C7558" s="1" t="n">
        <f aca="false">1/B7558</f>
        <v>0.00360581256986262</v>
      </c>
      <c r="D7558" s="1" t="n">
        <v>0.17245</v>
      </c>
      <c r="E7558" s="1" t="n">
        <f aca="false">LN(D7558)</f>
        <v>-1.75764793959929</v>
      </c>
    </row>
    <row r="7559" customFormat="false" ht="15.75" hidden="false" customHeight="false" outlineLevel="0" collapsed="false">
      <c r="A7559" s="1" t="s">
        <v>1176</v>
      </c>
      <c r="B7559" s="1" t="n">
        <v>277.67</v>
      </c>
      <c r="C7559" s="1" t="n">
        <f aca="false">1/B7559</f>
        <v>0.00360139734216876</v>
      </c>
      <c r="D7559" s="1" t="n">
        <v>0.17189</v>
      </c>
      <c r="E7559" s="1" t="n">
        <f aca="false">LN(D7559)</f>
        <v>-1.76090054164207</v>
      </c>
    </row>
    <row r="7560" customFormat="false" ht="15.75" hidden="false" customHeight="false" outlineLevel="0" collapsed="false">
      <c r="A7560" s="1" t="s">
        <v>1176</v>
      </c>
      <c r="B7560" s="1" t="n">
        <v>278</v>
      </c>
      <c r="C7560" s="1" t="n">
        <f aca="false">1/B7560</f>
        <v>0.00359712230215827</v>
      </c>
      <c r="D7560" s="1" t="n">
        <v>0.17133</v>
      </c>
      <c r="E7560" s="1" t="n">
        <f aca="false">LN(D7560)</f>
        <v>-1.76416375763726</v>
      </c>
    </row>
    <row r="7561" customFormat="false" ht="15.75" hidden="false" customHeight="false" outlineLevel="0" collapsed="false">
      <c r="A7561" s="1" t="s">
        <v>1176</v>
      </c>
      <c r="B7561" s="1" t="n">
        <v>278.33</v>
      </c>
      <c r="C7561" s="1" t="n">
        <f aca="false">1/B7561</f>
        <v>0.00359285739948981</v>
      </c>
      <c r="D7561" s="1" t="n">
        <v>0.17078</v>
      </c>
      <c r="E7561" s="1" t="n">
        <f aca="false">LN(D7561)</f>
        <v>-1.76737910050268</v>
      </c>
    </row>
    <row r="7562" customFormat="false" ht="15.75" hidden="false" customHeight="false" outlineLevel="0" collapsed="false">
      <c r="A7562" s="1" t="s">
        <v>1176</v>
      </c>
      <c r="B7562" s="1" t="n">
        <v>278.67</v>
      </c>
      <c r="C7562" s="1" t="n">
        <f aca="false">1/B7562</f>
        <v>0.00358847382208347</v>
      </c>
      <c r="D7562" s="1" t="n">
        <v>0.17022</v>
      </c>
      <c r="E7562" s="1" t="n">
        <f aca="false">LN(D7562)</f>
        <v>-1.77066356093332</v>
      </c>
    </row>
    <row r="7563" customFormat="false" ht="15.75" hidden="false" customHeight="false" outlineLevel="0" collapsed="false">
      <c r="A7563" s="1" t="s">
        <v>1176</v>
      </c>
      <c r="B7563" s="1" t="n">
        <v>279</v>
      </c>
      <c r="C7563" s="1" t="n">
        <f aca="false">1/B7563</f>
        <v>0.003584229390681</v>
      </c>
      <c r="D7563" s="1" t="n">
        <v>0.16967</v>
      </c>
      <c r="E7563" s="1" t="n">
        <f aca="false">LN(D7563)</f>
        <v>-1.77389990492729</v>
      </c>
    </row>
    <row r="7564" customFormat="false" ht="15.75" hidden="false" customHeight="false" outlineLevel="0" collapsed="false">
      <c r="A7564" s="1" t="s">
        <v>1176</v>
      </c>
      <c r="B7564" s="1" t="n">
        <v>279.33</v>
      </c>
      <c r="C7564" s="1" t="n">
        <f aca="false">1/B7564</f>
        <v>0.00357999498800702</v>
      </c>
      <c r="D7564" s="1" t="n">
        <v>0.16912</v>
      </c>
      <c r="E7564" s="1" t="n">
        <f aca="false">LN(D7564)</f>
        <v>-1.77714675686021</v>
      </c>
    </row>
    <row r="7565" customFormat="false" ht="15.75" hidden="false" customHeight="false" outlineLevel="0" collapsed="false">
      <c r="A7565" s="1" t="s">
        <v>1176</v>
      </c>
      <c r="B7565" s="1" t="n">
        <v>279.67</v>
      </c>
      <c r="C7565" s="1" t="n">
        <f aca="false">1/B7565</f>
        <v>0.00357564272177924</v>
      </c>
      <c r="D7565" s="1" t="n">
        <v>0.16858</v>
      </c>
      <c r="E7565" s="1" t="n">
        <f aca="false">LN(D7565)</f>
        <v>-1.7803448644128</v>
      </c>
    </row>
    <row r="7566" customFormat="false" ht="15.75" hidden="false" customHeight="false" outlineLevel="0" collapsed="false">
      <c r="A7566" s="1" t="s">
        <v>1176</v>
      </c>
      <c r="B7566" s="1" t="n">
        <v>280</v>
      </c>
      <c r="C7566" s="1" t="n">
        <f aca="false">1/B7566</f>
        <v>0.00357142857142857</v>
      </c>
      <c r="D7566" s="1" t="n">
        <v>0.16803</v>
      </c>
      <c r="E7566" s="1" t="n">
        <f aca="false">LN(D7566)</f>
        <v>-1.78361274409229</v>
      </c>
    </row>
    <row r="7567" customFormat="false" ht="15.75" hidden="false" customHeight="false" outlineLevel="0" collapsed="false">
      <c r="A7567" s="1" t="s">
        <v>1176</v>
      </c>
      <c r="B7567" s="1" t="n">
        <v>280.33</v>
      </c>
      <c r="C7567" s="1" t="n">
        <f aca="false">1/B7567</f>
        <v>0.00356722434273891</v>
      </c>
      <c r="D7567" s="1" t="n">
        <v>0.16749</v>
      </c>
      <c r="E7567" s="1" t="n">
        <f aca="false">LN(D7567)</f>
        <v>-1.78683163099176</v>
      </c>
    </row>
    <row r="7568" customFormat="false" ht="15.75" hidden="false" customHeight="false" outlineLevel="0" collapsed="false">
      <c r="A7568" s="1" t="s">
        <v>1176</v>
      </c>
      <c r="B7568" s="1" t="n">
        <v>280.67</v>
      </c>
      <c r="C7568" s="1" t="n">
        <f aca="false">1/B7568</f>
        <v>0.00356290305340792</v>
      </c>
      <c r="D7568" s="1" t="n">
        <v>0.16695</v>
      </c>
      <c r="E7568" s="1" t="n">
        <f aca="false">LN(D7568)</f>
        <v>-1.79006091259247</v>
      </c>
    </row>
    <row r="7569" customFormat="false" ht="15.75" hidden="false" customHeight="false" outlineLevel="0" collapsed="false">
      <c r="A7569" s="1" t="s">
        <v>1176</v>
      </c>
      <c r="B7569" s="1" t="n">
        <v>281</v>
      </c>
      <c r="C7569" s="1" t="n">
        <f aca="false">1/B7569</f>
        <v>0.00355871886120996</v>
      </c>
      <c r="D7569" s="1" t="n">
        <v>0.16641</v>
      </c>
      <c r="E7569" s="1" t="n">
        <f aca="false">LN(D7569)</f>
        <v>-1.79330065624688</v>
      </c>
    </row>
    <row r="7570" customFormat="false" ht="15.75" hidden="false" customHeight="false" outlineLevel="0" collapsed="false">
      <c r="A7570" s="1" t="s">
        <v>1176</v>
      </c>
      <c r="B7570" s="1" t="n">
        <v>281.33</v>
      </c>
      <c r="C7570" s="1" t="n">
        <f aca="false">1/B7570</f>
        <v>0.00355454448512423</v>
      </c>
      <c r="D7570" s="1" t="n">
        <v>0.16587</v>
      </c>
      <c r="E7570" s="1" t="n">
        <f aca="false">LN(D7570)</f>
        <v>-1.79655092996419</v>
      </c>
    </row>
    <row r="7571" customFormat="false" ht="15.75" hidden="false" customHeight="false" outlineLevel="0" collapsed="false">
      <c r="A7571" s="1" t="s">
        <v>1176</v>
      </c>
      <c r="B7571" s="1" t="n">
        <v>281.67</v>
      </c>
      <c r="C7571" s="1" t="n">
        <f aca="false">1/B7571</f>
        <v>0.00355025384314978</v>
      </c>
      <c r="D7571" s="1" t="n">
        <v>0.16534</v>
      </c>
      <c r="E7571" s="1" t="n">
        <f aca="false">LN(D7571)</f>
        <v>-1.79975131915761</v>
      </c>
    </row>
    <row r="7572" customFormat="false" ht="15.75" hidden="false" customHeight="false" outlineLevel="0" collapsed="false">
      <c r="A7572" s="1" t="s">
        <v>1176</v>
      </c>
      <c r="B7572" s="1" t="n">
        <v>282</v>
      </c>
      <c r="C7572" s="1" t="n">
        <f aca="false">1/B7572</f>
        <v>0.00354609929078014</v>
      </c>
      <c r="D7572" s="1" t="n">
        <v>0.16481</v>
      </c>
      <c r="E7572" s="1" t="n">
        <f aca="false">LN(D7572)</f>
        <v>-1.80296198373605</v>
      </c>
    </row>
    <row r="7573" customFormat="false" ht="15.75" hidden="false" customHeight="false" outlineLevel="0" collapsed="false">
      <c r="A7573" s="1" t="s">
        <v>1176</v>
      </c>
      <c r="B7573" s="1" t="n">
        <v>282.33</v>
      </c>
      <c r="C7573" s="1" t="n">
        <f aca="false">1/B7573</f>
        <v>0.00354195445046577</v>
      </c>
      <c r="D7573" s="1" t="n">
        <v>0.16427</v>
      </c>
      <c r="E7573" s="1" t="n">
        <f aca="false">LN(D7573)</f>
        <v>-1.80624386342903</v>
      </c>
    </row>
    <row r="7574" customFormat="false" ht="15.75" hidden="false" customHeight="false" outlineLevel="0" collapsed="false">
      <c r="A7574" s="1" t="s">
        <v>1176</v>
      </c>
      <c r="B7574" s="1" t="n">
        <v>282.67</v>
      </c>
      <c r="C7574" s="1" t="n">
        <f aca="false">1/B7574</f>
        <v>0.00353769413096544</v>
      </c>
      <c r="D7574" s="1" t="n">
        <v>0.16375</v>
      </c>
      <c r="E7574" s="1" t="n">
        <f aca="false">LN(D7574)</f>
        <v>-1.80941440446678</v>
      </c>
    </row>
    <row r="7575" customFormat="false" ht="15.75" hidden="false" customHeight="false" outlineLevel="0" collapsed="false">
      <c r="A7575" s="1" t="s">
        <v>1176</v>
      </c>
      <c r="B7575" s="1" t="n">
        <v>283</v>
      </c>
      <c r="C7575" s="1" t="n">
        <f aca="false">1/B7575</f>
        <v>0.00353356890459364</v>
      </c>
      <c r="D7575" s="1" t="n">
        <v>0.16322</v>
      </c>
      <c r="E7575" s="1" t="n">
        <f aca="false">LN(D7575)</f>
        <v>-1.81265629494104</v>
      </c>
    </row>
    <row r="7576" customFormat="false" ht="15.75" hidden="false" customHeight="false" outlineLevel="0" collapsed="false">
      <c r="A7576" s="1" t="s">
        <v>1176</v>
      </c>
      <c r="B7576" s="1" t="n">
        <v>283.33</v>
      </c>
      <c r="C7576" s="1" t="n">
        <f aca="false">1/B7576</f>
        <v>0.00352945328768574</v>
      </c>
      <c r="D7576" s="1" t="n">
        <v>0.1627</v>
      </c>
      <c r="E7576" s="1" t="n">
        <f aca="false">LN(D7576)</f>
        <v>-1.81584726475715</v>
      </c>
    </row>
    <row r="7577" customFormat="false" ht="15.75" hidden="false" customHeight="false" outlineLevel="0" collapsed="false">
      <c r="A7577" s="1" t="s">
        <v>1176</v>
      </c>
      <c r="B7577" s="1" t="n">
        <v>283.67</v>
      </c>
      <c r="C7577" s="1" t="n">
        <f aca="false">1/B7577</f>
        <v>0.00352522297035287</v>
      </c>
      <c r="D7577" s="1" t="n">
        <v>0.16217</v>
      </c>
      <c r="E7577" s="1" t="n">
        <f aca="false">LN(D7577)</f>
        <v>-1.81911011125085</v>
      </c>
    </row>
    <row r="7578" customFormat="false" ht="15.75" hidden="false" customHeight="false" outlineLevel="0" collapsed="false">
      <c r="A7578" s="1" t="s">
        <v>1176</v>
      </c>
      <c r="B7578" s="1" t="n">
        <v>284</v>
      </c>
      <c r="C7578" s="1" t="n">
        <f aca="false">1/B7578</f>
        <v>0.00352112676056338</v>
      </c>
      <c r="D7578" s="1" t="n">
        <v>0.16165</v>
      </c>
      <c r="E7578" s="1" t="n">
        <f aca="false">LN(D7578)</f>
        <v>-1.8223217748107</v>
      </c>
    </row>
    <row r="7579" customFormat="false" ht="15.75" hidden="false" customHeight="false" outlineLevel="0" collapsed="false">
      <c r="A7579" s="1" t="s">
        <v>1176</v>
      </c>
      <c r="B7579" s="1" t="n">
        <v>284.33</v>
      </c>
      <c r="C7579" s="1" t="n">
        <f aca="false">1/B7579</f>
        <v>0.00351704005908627</v>
      </c>
      <c r="D7579" s="1" t="n">
        <v>0.16113</v>
      </c>
      <c r="E7579" s="1" t="n">
        <f aca="false">LN(D7579)</f>
        <v>-1.82554378639666</v>
      </c>
    </row>
    <row r="7580" customFormat="false" ht="15.75" hidden="false" customHeight="false" outlineLevel="0" collapsed="false">
      <c r="A7580" s="1" t="s">
        <v>1176</v>
      </c>
      <c r="B7580" s="1" t="n">
        <v>284.67</v>
      </c>
      <c r="C7580" s="1" t="n">
        <f aca="false">1/B7580</f>
        <v>0.00351283942810974</v>
      </c>
      <c r="D7580" s="1" t="n">
        <v>0.16062</v>
      </c>
      <c r="E7580" s="1" t="n">
        <f aca="false">LN(D7580)</f>
        <v>-1.82871395222182</v>
      </c>
    </row>
    <row r="7581" customFormat="false" ht="15.75" hidden="false" customHeight="false" outlineLevel="0" collapsed="false">
      <c r="A7581" s="1" t="s">
        <v>1176</v>
      </c>
      <c r="B7581" s="1" t="n">
        <v>285</v>
      </c>
      <c r="C7581" s="1" t="n">
        <f aca="false">1/B7581</f>
        <v>0.00350877192982456</v>
      </c>
      <c r="D7581" s="1" t="n">
        <v>0.1601</v>
      </c>
      <c r="E7581" s="1" t="n">
        <f aca="false">LN(D7581)</f>
        <v>-1.83195665897947</v>
      </c>
    </row>
    <row r="7582" customFormat="false" ht="15.75" hidden="false" customHeight="false" outlineLevel="0" collapsed="false">
      <c r="A7582" s="1" t="s">
        <v>1176</v>
      </c>
      <c r="B7582" s="1" t="n">
        <v>285.33</v>
      </c>
      <c r="C7582" s="1" t="n">
        <f aca="false">1/B7582</f>
        <v>0.00350471384011495</v>
      </c>
      <c r="D7582" s="1" t="n">
        <v>0.15959</v>
      </c>
      <c r="E7582" s="1" t="n">
        <f aca="false">LN(D7582)</f>
        <v>-1.83514725257104</v>
      </c>
    </row>
    <row r="7583" customFormat="false" ht="15.75" hidden="false" customHeight="false" outlineLevel="0" collapsed="false">
      <c r="A7583" s="1" t="s">
        <v>1176</v>
      </c>
      <c r="B7583" s="1" t="n">
        <v>285.67</v>
      </c>
      <c r="C7583" s="1" t="n">
        <f aca="false">1/B7583</f>
        <v>0.00350054258410054</v>
      </c>
      <c r="D7583" s="1" t="n">
        <v>0.15908</v>
      </c>
      <c r="E7583" s="1" t="n">
        <f aca="false">LN(D7583)</f>
        <v>-1.83834805864265</v>
      </c>
    </row>
    <row r="7584" customFormat="false" ht="15.75" hidden="false" customHeight="false" outlineLevel="0" collapsed="false">
      <c r="A7584" s="1" t="s">
        <v>1176</v>
      </c>
      <c r="B7584" s="1" t="n">
        <v>286</v>
      </c>
      <c r="C7584" s="1" t="n">
        <f aca="false">1/B7584</f>
        <v>0.0034965034965035</v>
      </c>
      <c r="D7584" s="1" t="n">
        <v>0.15857</v>
      </c>
      <c r="E7584" s="1" t="n">
        <f aca="false">LN(D7584)</f>
        <v>-1.84155914278066</v>
      </c>
    </row>
    <row r="7585" customFormat="false" ht="15.75" hidden="false" customHeight="false" outlineLevel="0" collapsed="false">
      <c r="A7585" s="1" t="s">
        <v>1176</v>
      </c>
      <c r="B7585" s="1" t="n">
        <v>286.33</v>
      </c>
      <c r="C7585" s="1" t="n">
        <f aca="false">1/B7585</f>
        <v>0.00349247371913526</v>
      </c>
      <c r="D7585" s="1" t="n">
        <v>0.15806</v>
      </c>
      <c r="E7585" s="1" t="n">
        <f aca="false">LN(D7585)</f>
        <v>-1.84478057120531</v>
      </c>
    </row>
    <row r="7586" customFormat="false" ht="15.75" hidden="false" customHeight="false" outlineLevel="0" collapsed="false">
      <c r="A7586" s="1" t="s">
        <v>1176</v>
      </c>
      <c r="B7586" s="1" t="n">
        <v>286.67</v>
      </c>
      <c r="C7586" s="1" t="n">
        <f aca="false">1/B7586</f>
        <v>0.00348833153102871</v>
      </c>
      <c r="D7586" s="1" t="n">
        <v>0.15755</v>
      </c>
      <c r="E7586" s="1" t="n">
        <f aca="false">LN(D7586)</f>
        <v>-1.84801241077885</v>
      </c>
    </row>
    <row r="7587" customFormat="false" ht="15.75" hidden="false" customHeight="false" outlineLevel="0" collapsed="false">
      <c r="A7587" s="1" t="s">
        <v>1176</v>
      </c>
      <c r="B7587" s="1" t="n">
        <v>287</v>
      </c>
      <c r="C7587" s="1" t="n">
        <f aca="false">1/B7587</f>
        <v>0.00348432055749129</v>
      </c>
      <c r="D7587" s="1" t="n">
        <v>0.15705</v>
      </c>
      <c r="E7587" s="1" t="n">
        <f aca="false">LN(D7587)</f>
        <v>-1.85119105299748</v>
      </c>
    </row>
    <row r="7588" customFormat="false" ht="15.75" hidden="false" customHeight="false" outlineLevel="0" collapsed="false">
      <c r="A7588" s="1" t="s">
        <v>1176</v>
      </c>
      <c r="B7588" s="1" t="n">
        <v>287.33</v>
      </c>
      <c r="C7588" s="1" t="n">
        <f aca="false">1/B7588</f>
        <v>0.00348031879720182</v>
      </c>
      <c r="D7588" s="1" t="n">
        <v>0.15655</v>
      </c>
      <c r="E7588" s="1" t="n">
        <f aca="false">LN(D7588)</f>
        <v>-1.85437983120972</v>
      </c>
    </row>
    <row r="7589" customFormat="false" ht="15.75" hidden="false" customHeight="false" outlineLevel="0" collapsed="false">
      <c r="A7589" s="1" t="s">
        <v>1176</v>
      </c>
      <c r="B7589" s="1" t="n">
        <v>287.67</v>
      </c>
      <c r="C7589" s="1" t="n">
        <f aca="false">1/B7589</f>
        <v>0.00347620537421351</v>
      </c>
      <c r="D7589" s="1" t="n">
        <v>0.15605</v>
      </c>
      <c r="E7589" s="1" t="n">
        <f aca="false">LN(D7589)</f>
        <v>-1.85757881026535</v>
      </c>
    </row>
    <row r="7590" customFormat="false" ht="15.75" hidden="false" customHeight="false" outlineLevel="0" collapsed="false">
      <c r="A7590" s="1" t="s">
        <v>1176</v>
      </c>
      <c r="B7590" s="1" t="n">
        <v>288</v>
      </c>
      <c r="C7590" s="1" t="n">
        <f aca="false">1/B7590</f>
        <v>0.00347222222222222</v>
      </c>
      <c r="D7590" s="1" t="n">
        <v>0.15555</v>
      </c>
      <c r="E7590" s="1" t="n">
        <f aca="false">LN(D7590)</f>
        <v>-1.86078805563849</v>
      </c>
    </row>
    <row r="7591" customFormat="false" ht="15.75" hidden="false" customHeight="false" outlineLevel="0" collapsed="false">
      <c r="A7591" s="1" t="s">
        <v>1176</v>
      </c>
      <c r="B7591" s="1" t="n">
        <v>288.33</v>
      </c>
      <c r="C7591" s="1" t="n">
        <f aca="false">1/B7591</f>
        <v>0.00346824818784032</v>
      </c>
      <c r="D7591" s="1" t="n">
        <v>0.15505</v>
      </c>
      <c r="E7591" s="1" t="n">
        <f aca="false">LN(D7591)</f>
        <v>-1.86400763343568</v>
      </c>
    </row>
    <row r="7592" customFormat="false" ht="15.75" hidden="false" customHeight="false" outlineLevel="0" collapsed="false">
      <c r="A7592" s="1" t="s">
        <v>1176</v>
      </c>
      <c r="B7592" s="1" t="n">
        <v>288.67</v>
      </c>
      <c r="C7592" s="1" t="n">
        <f aca="false">1/B7592</f>
        <v>0.00346416323137146</v>
      </c>
      <c r="D7592" s="1" t="n">
        <v>0.15456</v>
      </c>
      <c r="E7592" s="1" t="n">
        <f aca="false">LN(D7592)</f>
        <v>-1.86717290851793</v>
      </c>
    </row>
    <row r="7593" customFormat="false" ht="15.75" hidden="false" customHeight="false" outlineLevel="0" collapsed="false">
      <c r="A7593" s="1" t="s">
        <v>1176</v>
      </c>
      <c r="B7593" s="1" t="n">
        <v>289</v>
      </c>
      <c r="C7593" s="1" t="n">
        <f aca="false">1/B7593</f>
        <v>0.00346020761245675</v>
      </c>
      <c r="D7593" s="1" t="n">
        <v>0.15406</v>
      </c>
      <c r="E7593" s="1" t="n">
        <f aca="false">LN(D7593)</f>
        <v>-1.87041314205732</v>
      </c>
    </row>
    <row r="7594" customFormat="false" ht="15.75" hidden="false" customHeight="false" outlineLevel="0" collapsed="false">
      <c r="A7594" s="1" t="s">
        <v>1176</v>
      </c>
      <c r="B7594" s="1" t="n">
        <v>289.33</v>
      </c>
      <c r="C7594" s="1" t="n">
        <f aca="false">1/B7594</f>
        <v>0.00345626101683199</v>
      </c>
      <c r="D7594" s="1" t="n">
        <v>0.15357</v>
      </c>
      <c r="E7594" s="1" t="n">
        <f aca="false">LN(D7594)</f>
        <v>-1.87359878984454</v>
      </c>
    </row>
    <row r="7595" customFormat="false" ht="15.75" hidden="false" customHeight="false" outlineLevel="0" collapsed="false">
      <c r="A7595" s="1" t="s">
        <v>1176</v>
      </c>
      <c r="B7595" s="1" t="n">
        <v>289.67</v>
      </c>
      <c r="C7595" s="1" t="n">
        <f aca="false">1/B7595</f>
        <v>0.00345220423240239</v>
      </c>
      <c r="D7595" s="1" t="n">
        <v>0.15308</v>
      </c>
      <c r="E7595" s="1" t="n">
        <f aca="false">LN(D7595)</f>
        <v>-1.87679461842464</v>
      </c>
    </row>
    <row r="7596" customFormat="false" ht="15.75" hidden="false" customHeight="false" outlineLevel="0" collapsed="false">
      <c r="A7596" s="1" t="s">
        <v>1176</v>
      </c>
      <c r="B7596" s="1" t="n">
        <v>290</v>
      </c>
      <c r="C7596" s="1" t="n">
        <f aca="false">1/B7596</f>
        <v>0.00344827586206897</v>
      </c>
      <c r="D7596" s="1" t="n">
        <v>0.15259</v>
      </c>
      <c r="E7596" s="1" t="n">
        <f aca="false">LN(D7596)</f>
        <v>-1.88000069307849</v>
      </c>
    </row>
    <row r="7597" customFormat="false" ht="15.75" hidden="false" customHeight="false" outlineLevel="0" collapsed="false">
      <c r="A7597" s="1" t="s">
        <v>1176</v>
      </c>
      <c r="B7597" s="1" t="n">
        <v>290.33</v>
      </c>
      <c r="C7597" s="1" t="n">
        <f aca="false">1/B7597</f>
        <v>0.00344435642200255</v>
      </c>
      <c r="D7597" s="1" t="n">
        <v>0.1521</v>
      </c>
      <c r="E7597" s="1" t="n">
        <f aca="false">LN(D7597)</f>
        <v>-1.88321707971689</v>
      </c>
    </row>
    <row r="7598" customFormat="false" ht="15.75" hidden="false" customHeight="false" outlineLevel="0" collapsed="false">
      <c r="A7598" s="1" t="s">
        <v>1176</v>
      </c>
      <c r="B7598" s="1" t="n">
        <v>290.67</v>
      </c>
      <c r="C7598" s="1" t="n">
        <f aca="false">1/B7598</f>
        <v>0.00344032751917983</v>
      </c>
      <c r="D7598" s="1" t="n">
        <v>0.15162</v>
      </c>
      <c r="E7598" s="1" t="n">
        <f aca="false">LN(D7598)</f>
        <v>-1.88637788835398</v>
      </c>
    </row>
    <row r="7599" customFormat="false" ht="15.75" hidden="false" customHeight="false" outlineLevel="0" collapsed="false">
      <c r="A7599" s="1" t="s">
        <v>1176</v>
      </c>
      <c r="B7599" s="1" t="n">
        <v>291</v>
      </c>
      <c r="C7599" s="1" t="n">
        <f aca="false">1/B7599</f>
        <v>0.00343642611683849</v>
      </c>
      <c r="D7599" s="1" t="n">
        <v>0.15114</v>
      </c>
      <c r="E7599" s="1" t="n">
        <f aca="false">LN(D7599)</f>
        <v>-1.88954871938956</v>
      </c>
    </row>
    <row r="7600" customFormat="false" ht="15.75" hidden="false" customHeight="false" outlineLevel="0" collapsed="false">
      <c r="A7600" s="1" t="s">
        <v>1176</v>
      </c>
      <c r="B7600" s="1" t="n">
        <v>291.33</v>
      </c>
      <c r="C7600" s="1" t="n">
        <f aca="false">1/B7600</f>
        <v>0.00343253355301548</v>
      </c>
      <c r="D7600" s="1" t="n">
        <v>0.15065</v>
      </c>
      <c r="E7600" s="1" t="n">
        <f aca="false">LN(D7600)</f>
        <v>-1.89279601340583</v>
      </c>
    </row>
    <row r="7601" customFormat="false" ht="15.75" hidden="false" customHeight="false" outlineLevel="0" collapsed="false">
      <c r="A7601" s="1" t="s">
        <v>1176</v>
      </c>
      <c r="B7601" s="1" t="n">
        <v>291.67</v>
      </c>
      <c r="C7601" s="1" t="n">
        <f aca="false">1/B7601</f>
        <v>0.00342853224534577</v>
      </c>
      <c r="D7601" s="1" t="n">
        <v>0.15017</v>
      </c>
      <c r="E7601" s="1" t="n">
        <f aca="false">LN(D7601)</f>
        <v>-1.89598729328995</v>
      </c>
    </row>
    <row r="7602" customFormat="false" ht="15.75" hidden="false" customHeight="false" outlineLevel="0" collapsed="false">
      <c r="A7602" s="1" t="s">
        <v>1176</v>
      </c>
      <c r="B7602" s="1" t="n">
        <v>292</v>
      </c>
      <c r="C7602" s="1" t="n">
        <f aca="false">1/B7602</f>
        <v>0.00342465753424658</v>
      </c>
      <c r="D7602" s="1" t="n">
        <v>0.1497</v>
      </c>
      <c r="E7602" s="1" t="n">
        <f aca="false">LN(D7602)</f>
        <v>-1.89912198755655</v>
      </c>
    </row>
    <row r="7603" customFormat="false" ht="15.75" hidden="false" customHeight="false" outlineLevel="0" collapsed="false">
      <c r="A7603" s="1" t="s">
        <v>1176</v>
      </c>
      <c r="B7603" s="1" t="n">
        <v>292.33</v>
      </c>
      <c r="C7603" s="1" t="n">
        <f aca="false">1/B7603</f>
        <v>0.00342079157116957</v>
      </c>
      <c r="D7603" s="1" t="n">
        <v>0.14922</v>
      </c>
      <c r="E7603" s="1" t="n">
        <f aca="false">LN(D7603)</f>
        <v>-1.90233355193877</v>
      </c>
    </row>
    <row r="7604" customFormat="false" ht="15.75" hidden="false" customHeight="false" outlineLevel="0" collapsed="false">
      <c r="A7604" s="1" t="s">
        <v>1176</v>
      </c>
      <c r="B7604" s="1" t="n">
        <v>292.67</v>
      </c>
      <c r="C7604" s="1" t="n">
        <f aca="false">1/B7604</f>
        <v>0.00341681757610961</v>
      </c>
      <c r="D7604" s="1" t="n">
        <v>0.14874</v>
      </c>
      <c r="E7604" s="1" t="n">
        <f aca="false">LN(D7604)</f>
        <v>-1.90555546370698</v>
      </c>
    </row>
    <row r="7605" customFormat="false" ht="15.75" hidden="false" customHeight="false" outlineLevel="0" collapsed="false">
      <c r="A7605" s="1" t="s">
        <v>1176</v>
      </c>
      <c r="B7605" s="1" t="n">
        <v>293</v>
      </c>
      <c r="C7605" s="1" t="n">
        <f aca="false">1/B7605</f>
        <v>0.00341296928327645</v>
      </c>
      <c r="D7605" s="1" t="n">
        <v>0.14827</v>
      </c>
      <c r="E7605" s="1" t="n">
        <f aca="false">LN(D7605)</f>
        <v>-1.9087203429522</v>
      </c>
    </row>
    <row r="7606" customFormat="false" ht="15.75" hidden="false" customHeight="false" outlineLevel="0" collapsed="false">
      <c r="A7606" s="1" t="s">
        <v>1176</v>
      </c>
      <c r="B7606" s="1" t="n">
        <v>293.33</v>
      </c>
      <c r="C7606" s="1" t="n">
        <f aca="false">1/B7606</f>
        <v>0.00340912964920056</v>
      </c>
      <c r="D7606" s="1" t="n">
        <v>0.1478</v>
      </c>
      <c r="E7606" s="1" t="n">
        <f aca="false">LN(D7606)</f>
        <v>-1.91189527046804</v>
      </c>
    </row>
    <row r="7607" customFormat="false" ht="15.75" hidden="false" customHeight="false" outlineLevel="0" collapsed="false">
      <c r="A7607" s="1" t="s">
        <v>1176</v>
      </c>
      <c r="B7607" s="1" t="n">
        <v>293.67</v>
      </c>
      <c r="C7607" s="1" t="n">
        <f aca="false">1/B7607</f>
        <v>0.00340518268805121</v>
      </c>
      <c r="D7607" s="1" t="n">
        <v>0.14733</v>
      </c>
      <c r="E7607" s="1" t="n">
        <f aca="false">LN(D7607)</f>
        <v>-1.91508031026287</v>
      </c>
    </row>
    <row r="7608" customFormat="false" ht="15.75" hidden="false" customHeight="false" outlineLevel="0" collapsed="false">
      <c r="A7608" s="1" t="s">
        <v>1176</v>
      </c>
      <c r="B7608" s="1" t="n">
        <v>294</v>
      </c>
      <c r="C7608" s="1" t="n">
        <f aca="false">1/B7608</f>
        <v>0.00340136054421769</v>
      </c>
      <c r="D7608" s="1" t="n">
        <v>0.14686</v>
      </c>
      <c r="E7608" s="1" t="n">
        <f aca="false">LN(D7608)</f>
        <v>-1.91827552695867</v>
      </c>
    </row>
    <row r="7609" customFormat="false" ht="15.75" hidden="false" customHeight="false" outlineLevel="0" collapsed="false">
      <c r="A7609" s="1" t="s">
        <v>1176</v>
      </c>
      <c r="B7609" s="1" t="n">
        <v>294.33</v>
      </c>
      <c r="C7609" s="1" t="n">
        <f aca="false">1/B7609</f>
        <v>0.00339754697108688</v>
      </c>
      <c r="D7609" s="1" t="n">
        <v>0.14639</v>
      </c>
      <c r="E7609" s="1" t="n">
        <f aca="false">LN(D7609)</f>
        <v>-1.92148098579882</v>
      </c>
    </row>
    <row r="7610" customFormat="false" ht="15.75" hidden="false" customHeight="false" outlineLevel="0" collapsed="false">
      <c r="A7610" s="1" t="s">
        <v>1176</v>
      </c>
      <c r="B7610" s="1" t="n">
        <v>294.67</v>
      </c>
      <c r="C7610" s="1" t="n">
        <f aca="false">1/B7610</f>
        <v>0.00339362676892795</v>
      </c>
      <c r="D7610" s="1" t="n">
        <v>0.14592</v>
      </c>
      <c r="E7610" s="1" t="n">
        <f aca="false">LN(D7610)</f>
        <v>-1.92469675265612</v>
      </c>
    </row>
    <row r="7611" customFormat="false" ht="15.75" hidden="false" customHeight="false" outlineLevel="0" collapsed="false">
      <c r="A7611" s="1" t="s">
        <v>1176</v>
      </c>
      <c r="B7611" s="1" t="n">
        <v>295</v>
      </c>
      <c r="C7611" s="1" t="n">
        <f aca="false">1/B7611</f>
        <v>0.00338983050847458</v>
      </c>
      <c r="D7611" s="1" t="n">
        <v>0.14546</v>
      </c>
      <c r="E7611" s="1" t="n">
        <f aca="false">LN(D7611)</f>
        <v>-1.92785414425574</v>
      </c>
    </row>
    <row r="7612" customFormat="false" ht="15.75" hidden="false" customHeight="false" outlineLevel="0" collapsed="false">
      <c r="A7612" s="1" t="s">
        <v>1176</v>
      </c>
      <c r="B7612" s="1" t="n">
        <v>295.33</v>
      </c>
      <c r="C7612" s="1" t="n">
        <f aca="false">1/B7612</f>
        <v>0.00338604273185928</v>
      </c>
      <c r="D7612" s="1" t="n">
        <v>0.14499</v>
      </c>
      <c r="E7612" s="1" t="n">
        <f aca="false">LN(D7612)</f>
        <v>-1.93109050445703</v>
      </c>
    </row>
    <row r="7613" customFormat="false" ht="15.75" hidden="false" customHeight="false" outlineLevel="0" collapsed="false">
      <c r="A7613" s="1" t="s">
        <v>1176</v>
      </c>
      <c r="B7613" s="1" t="n">
        <v>295.67</v>
      </c>
      <c r="C7613" s="1" t="n">
        <f aca="false">1/B7613</f>
        <v>0.00338214901748571</v>
      </c>
      <c r="D7613" s="1" t="n">
        <v>0.14453</v>
      </c>
      <c r="E7613" s="1" t="n">
        <f aca="false">LN(D7613)</f>
        <v>-1.93426818052139</v>
      </c>
    </row>
    <row r="7614" customFormat="false" ht="15.75" hidden="false" customHeight="false" outlineLevel="0" collapsed="false">
      <c r="A7614" s="1" t="s">
        <v>1176</v>
      </c>
      <c r="B7614" s="1" t="n">
        <v>296</v>
      </c>
      <c r="C7614" s="1" t="n">
        <f aca="false">1/B7614</f>
        <v>0.00337837837837838</v>
      </c>
      <c r="D7614" s="1" t="n">
        <v>0.14407</v>
      </c>
      <c r="E7614" s="1" t="n">
        <f aca="false">LN(D7614)</f>
        <v>-1.93745598640876</v>
      </c>
    </row>
    <row r="7615" customFormat="false" ht="15.75" hidden="false" customHeight="false" outlineLevel="0" collapsed="false">
      <c r="A7615" s="1" t="s">
        <v>1176</v>
      </c>
      <c r="B7615" s="1" t="n">
        <v>296.33</v>
      </c>
      <c r="C7615" s="1" t="n">
        <f aca="false">1/B7615</f>
        <v>0.00337461613741437</v>
      </c>
      <c r="D7615" s="1" t="n">
        <v>0.14361</v>
      </c>
      <c r="E7615" s="1" t="n">
        <f aca="false">LN(D7615)</f>
        <v>-1.94065398690961</v>
      </c>
    </row>
    <row r="7616" customFormat="false" ht="15.75" hidden="false" customHeight="false" outlineLevel="0" collapsed="false">
      <c r="A7616" s="1" t="s">
        <v>1176</v>
      </c>
      <c r="B7616" s="1" t="n">
        <v>296.67</v>
      </c>
      <c r="C7616" s="1" t="n">
        <f aca="false">1/B7616</f>
        <v>0.00337074864327367</v>
      </c>
      <c r="D7616" s="1" t="n">
        <v>0.14315</v>
      </c>
      <c r="E7616" s="1" t="n">
        <f aca="false">LN(D7616)</f>
        <v>-1.94386224743801</v>
      </c>
    </row>
    <row r="7617" customFormat="false" ht="15.75" hidden="false" customHeight="false" outlineLevel="0" collapsed="false">
      <c r="A7617" s="1" t="s">
        <v>1176</v>
      </c>
      <c r="B7617" s="1" t="n">
        <v>297</v>
      </c>
      <c r="C7617" s="1" t="n">
        <f aca="false">1/B7617</f>
        <v>0.00336700336700337</v>
      </c>
      <c r="D7617" s="1" t="n">
        <v>0.1427</v>
      </c>
      <c r="E7617" s="1" t="n">
        <f aca="false">LN(D7617)</f>
        <v>-1.94701075449935</v>
      </c>
    </row>
    <row r="7618" customFormat="false" ht="15.75" hidden="false" customHeight="false" outlineLevel="0" collapsed="false">
      <c r="A7618" s="1" t="s">
        <v>1176</v>
      </c>
      <c r="B7618" s="1" t="n">
        <v>297.33</v>
      </c>
      <c r="C7618" s="1" t="n">
        <f aca="false">1/B7618</f>
        <v>0.00336326640433189</v>
      </c>
      <c r="D7618" s="1" t="n">
        <v>0.14224</v>
      </c>
      <c r="E7618" s="1" t="n">
        <f aca="false">LN(D7618)</f>
        <v>-1.95023950721654</v>
      </c>
    </row>
    <row r="7619" customFormat="false" ht="15.75" hidden="false" customHeight="false" outlineLevel="0" collapsed="false">
      <c r="A7619" s="1" t="s">
        <v>1176</v>
      </c>
      <c r="B7619" s="1" t="n">
        <v>297.67</v>
      </c>
      <c r="C7619" s="1" t="n">
        <f aca="false">1/B7619</f>
        <v>0.00335942486646286</v>
      </c>
      <c r="D7619" s="1" t="n">
        <v>0.14179</v>
      </c>
      <c r="E7619" s="1" t="n">
        <f aca="false">LN(D7619)</f>
        <v>-1.95340818923267</v>
      </c>
    </row>
    <row r="7620" customFormat="false" ht="15.75" hidden="false" customHeight="false" outlineLevel="0" collapsed="false">
      <c r="A7620" s="1" t="s">
        <v>1176</v>
      </c>
      <c r="B7620" s="1" t="n">
        <v>298</v>
      </c>
      <c r="C7620" s="1" t="n">
        <f aca="false">1/B7620</f>
        <v>0.00335570469798658</v>
      </c>
      <c r="D7620" s="1" t="n">
        <v>0.14134</v>
      </c>
      <c r="E7620" s="1" t="n">
        <f aca="false">LN(D7620)</f>
        <v>-1.95658694371943</v>
      </c>
    </row>
    <row r="7621" customFormat="false" ht="15.75" hidden="false" customHeight="false" outlineLevel="0" collapsed="false">
      <c r="A7621" s="1" t="s">
        <v>1176</v>
      </c>
      <c r="B7621" s="1" t="n">
        <v>298.33</v>
      </c>
      <c r="C7621" s="1" t="n">
        <f aca="false">1/B7621</f>
        <v>0.00335199275969564</v>
      </c>
      <c r="D7621" s="1" t="n">
        <v>0.14089</v>
      </c>
      <c r="E7621" s="1" t="n">
        <f aca="false">LN(D7621)</f>
        <v>-1.95977583491695</v>
      </c>
    </row>
    <row r="7622" customFormat="false" ht="15.75" hidden="false" customHeight="false" outlineLevel="0" collapsed="false">
      <c r="A7622" s="1" t="s">
        <v>1176</v>
      </c>
      <c r="B7622" s="1" t="n">
        <v>298.67</v>
      </c>
      <c r="C7622" s="1" t="n">
        <f aca="false">1/B7622</f>
        <v>0.00334817691766833</v>
      </c>
      <c r="D7622" s="1" t="n">
        <v>0.14044</v>
      </c>
      <c r="E7622" s="1" t="n">
        <f aca="false">LN(D7622)</f>
        <v>-1.96297492768191</v>
      </c>
    </row>
    <row r="7623" customFormat="false" ht="15.75" hidden="false" customHeight="false" outlineLevel="0" collapsed="false">
      <c r="A7623" s="1" t="s">
        <v>1176</v>
      </c>
      <c r="B7623" s="1" t="n">
        <v>299</v>
      </c>
      <c r="C7623" s="1" t="n">
        <f aca="false">1/B7623</f>
        <v>0.00334448160535117</v>
      </c>
      <c r="D7623" s="1" t="n">
        <v>0.13999</v>
      </c>
      <c r="E7623" s="1" t="n">
        <f aca="false">LN(D7623)</f>
        <v>-1.9661842874954</v>
      </c>
    </row>
    <row r="7624" customFormat="false" ht="15.75" hidden="false" customHeight="false" outlineLevel="0" collapsed="false">
      <c r="A7624" s="1" t="s">
        <v>1176</v>
      </c>
      <c r="B7624" s="1" t="n">
        <v>299.33</v>
      </c>
      <c r="C7624" s="1" t="n">
        <f aca="false">1/B7624</f>
        <v>0.00334079444091805</v>
      </c>
      <c r="D7624" s="1" t="n">
        <v>0.13954</v>
      </c>
      <c r="E7624" s="1" t="n">
        <f aca="false">LN(D7624)</f>
        <v>-1.96940398047105</v>
      </c>
    </row>
    <row r="7625" customFormat="false" ht="15.75" hidden="false" customHeight="false" outlineLevel="0" collapsed="false">
      <c r="A7625" s="1" t="s">
        <v>1176</v>
      </c>
      <c r="B7625" s="1" t="n">
        <v>299.67</v>
      </c>
      <c r="C7625" s="1" t="n">
        <f aca="false">1/B7625</f>
        <v>0.00333700403777489</v>
      </c>
      <c r="D7625" s="1" t="n">
        <v>0.1391</v>
      </c>
      <c r="E7625" s="1" t="n">
        <f aca="false">LN(D7625)</f>
        <v>-1.97256218005274</v>
      </c>
    </row>
    <row r="7626" customFormat="false" ht="15.75" hidden="false" customHeight="false" outlineLevel="0" collapsed="false">
      <c r="A7626" s="1" t="s">
        <v>1176</v>
      </c>
      <c r="B7626" s="1" t="n">
        <v>300</v>
      </c>
      <c r="C7626" s="1" t="n">
        <f aca="false">1/B7626</f>
        <v>0.00333333333333333</v>
      </c>
      <c r="D7626" s="1" t="n">
        <v>0.13866</v>
      </c>
      <c r="E7626" s="1" t="n">
        <f aca="false">LN(D7626)</f>
        <v>-1.97573038546779</v>
      </c>
    </row>
    <row r="7627" customFormat="false" ht="15.75" hidden="false" customHeight="false" outlineLevel="0" collapsed="false">
      <c r="A7627" s="1" t="s">
        <v>1176</v>
      </c>
      <c r="B7627" s="1" t="n">
        <v>300.33</v>
      </c>
      <c r="C7627" s="1" t="n">
        <f aca="false">1/B7627</f>
        <v>0.00332967069556821</v>
      </c>
      <c r="D7627" s="1" t="n">
        <v>0.13821</v>
      </c>
      <c r="E7627" s="1" t="n">
        <f aca="false">LN(D7627)</f>
        <v>-1.9789810113662</v>
      </c>
    </row>
    <row r="7628" customFormat="false" ht="15.75" hidden="false" customHeight="false" outlineLevel="0" collapsed="false">
      <c r="A7628" s="1" t="s">
        <v>1176</v>
      </c>
      <c r="B7628" s="1" t="n">
        <v>300.67</v>
      </c>
      <c r="C7628" s="1" t="n">
        <f aca="false">1/B7628</f>
        <v>0.00332590547776632</v>
      </c>
      <c r="D7628" s="1" t="n">
        <v>0.13777</v>
      </c>
      <c r="E7628" s="1" t="n">
        <f aca="false">LN(D7628)</f>
        <v>-1.98216965092563</v>
      </c>
    </row>
    <row r="7629" customFormat="false" ht="15.75" hidden="false" customHeight="false" outlineLevel="0" collapsed="false">
      <c r="A7629" s="1" t="s">
        <v>1176</v>
      </c>
      <c r="B7629" s="1" t="n">
        <v>301</v>
      </c>
      <c r="C7629" s="1" t="n">
        <f aca="false">1/B7629</f>
        <v>0.00332225913621262</v>
      </c>
      <c r="D7629" s="1" t="n">
        <v>0.13733</v>
      </c>
      <c r="E7629" s="1" t="n">
        <f aca="false">LN(D7629)</f>
        <v>-1.98536849043995</v>
      </c>
    </row>
    <row r="7630" customFormat="false" ht="15.75" hidden="false" customHeight="false" outlineLevel="0" collapsed="false">
      <c r="A7630" s="1" t="s">
        <v>1176</v>
      </c>
      <c r="B7630" s="1" t="n">
        <v>301.33</v>
      </c>
      <c r="C7630" s="1" t="n">
        <f aca="false">1/B7630</f>
        <v>0.00331862078120333</v>
      </c>
      <c r="D7630" s="1" t="n">
        <v>0.13689</v>
      </c>
      <c r="E7630" s="1" t="n">
        <f aca="false">LN(D7630)</f>
        <v>-1.98857759537472</v>
      </c>
    </row>
    <row r="7631" customFormat="false" ht="15.75" hidden="false" customHeight="false" outlineLevel="0" collapsed="false">
      <c r="A7631" s="1" t="s">
        <v>1176</v>
      </c>
      <c r="B7631" s="1" t="n">
        <v>301.67</v>
      </c>
      <c r="C7631" s="1" t="n">
        <f aca="false">1/B7631</f>
        <v>0.00331488049855803</v>
      </c>
      <c r="D7631" s="1" t="n">
        <v>0.13646</v>
      </c>
      <c r="E7631" s="1" t="n">
        <f aca="false">LN(D7631)</f>
        <v>-1.99172374759486</v>
      </c>
    </row>
    <row r="7632" customFormat="false" ht="15.75" hidden="false" customHeight="false" outlineLevel="0" collapsed="false">
      <c r="A7632" s="1" t="s">
        <v>1176</v>
      </c>
      <c r="B7632" s="1" t="n">
        <v>302</v>
      </c>
      <c r="C7632" s="1" t="n">
        <f aca="false">1/B7632</f>
        <v>0.0033112582781457</v>
      </c>
      <c r="D7632" s="1" t="n">
        <v>0.13602</v>
      </c>
      <c r="E7632" s="1" t="n">
        <f aca="false">LN(D7632)</f>
        <v>-1.99495334523464</v>
      </c>
    </row>
    <row r="7633" customFormat="false" ht="15.75" hidden="false" customHeight="false" outlineLevel="0" collapsed="false">
      <c r="A7633" s="1" t="s">
        <v>1176</v>
      </c>
      <c r="B7633" s="1" t="n">
        <v>302.33</v>
      </c>
      <c r="C7633" s="1" t="n">
        <f aca="false">1/B7633</f>
        <v>0.00330764396520359</v>
      </c>
      <c r="D7633" s="1" t="n">
        <v>0.13559</v>
      </c>
      <c r="E7633" s="1" t="n">
        <f aca="false">LN(D7633)</f>
        <v>-1.99811965250792</v>
      </c>
    </row>
    <row r="7634" customFormat="false" ht="15.75" hidden="false" customHeight="false" outlineLevel="0" collapsed="false">
      <c r="A7634" s="1" t="s">
        <v>1176</v>
      </c>
      <c r="B7634" s="1" t="n">
        <v>302.67</v>
      </c>
      <c r="C7634" s="1" t="n">
        <f aca="false">1/B7634</f>
        <v>0.00330392837083292</v>
      </c>
      <c r="D7634" s="1" t="n">
        <v>0.13515</v>
      </c>
      <c r="E7634" s="1" t="n">
        <f aca="false">LN(D7634)</f>
        <v>-2.00137000625968</v>
      </c>
    </row>
    <row r="7635" customFormat="false" ht="15.75" hidden="false" customHeight="false" outlineLevel="0" collapsed="false">
      <c r="A7635" s="1" t="s">
        <v>1176</v>
      </c>
      <c r="B7635" s="1" t="n">
        <v>303</v>
      </c>
      <c r="C7635" s="1" t="n">
        <f aca="false">1/B7635</f>
        <v>0.0033003300330033</v>
      </c>
      <c r="D7635" s="1" t="n">
        <v>0.13472</v>
      </c>
      <c r="E7635" s="1" t="n">
        <f aca="false">LN(D7635)</f>
        <v>-2.00455672848812</v>
      </c>
    </row>
    <row r="7636" customFormat="false" ht="15.75" hidden="false" customHeight="false" outlineLevel="0" collapsed="false">
      <c r="A7636" s="1" t="s">
        <v>1176</v>
      </c>
      <c r="B7636" s="1" t="n">
        <v>303.33</v>
      </c>
      <c r="C7636" s="1" t="n">
        <f aca="false">1/B7636</f>
        <v>0.00329673952461016</v>
      </c>
      <c r="D7636" s="1" t="n">
        <v>0.13429</v>
      </c>
      <c r="E7636" s="1" t="n">
        <f aca="false">LN(D7636)</f>
        <v>-2.00775363838905</v>
      </c>
    </row>
    <row r="7637" customFormat="false" ht="15.75" hidden="false" customHeight="false" outlineLevel="0" collapsed="false">
      <c r="A7637" s="1" t="s">
        <v>1176</v>
      </c>
      <c r="B7637" s="1" t="n">
        <v>303.67</v>
      </c>
      <c r="C7637" s="1" t="n">
        <f aca="false">1/B7637</f>
        <v>0.00329304837488063</v>
      </c>
      <c r="D7637" s="1" t="n">
        <v>0.13386</v>
      </c>
      <c r="E7637" s="1" t="n">
        <f aca="false">LN(D7637)</f>
        <v>-2.01096080130964</v>
      </c>
    </row>
    <row r="7638" customFormat="false" ht="15.75" hidden="false" customHeight="false" outlineLevel="0" collapsed="false">
      <c r="A7638" s="1" t="s">
        <v>1176</v>
      </c>
      <c r="B7638" s="1" t="n">
        <v>304</v>
      </c>
      <c r="C7638" s="1" t="n">
        <f aca="false">1/B7638</f>
        <v>0.00328947368421053</v>
      </c>
      <c r="D7638" s="1" t="n">
        <v>0.13343</v>
      </c>
      <c r="E7638" s="1" t="n">
        <f aca="false">LN(D7638)</f>
        <v>-2.01417828322781</v>
      </c>
    </row>
    <row r="7639" customFormat="false" ht="15.75" hidden="false" customHeight="false" outlineLevel="0" collapsed="false">
      <c r="A7639" s="1" t="s">
        <v>1176</v>
      </c>
      <c r="B7639" s="1" t="n">
        <v>304.33</v>
      </c>
      <c r="C7639" s="1" t="n">
        <f aca="false">1/B7639</f>
        <v>0.00328590674596655</v>
      </c>
      <c r="D7639" s="1" t="n">
        <v>0.133</v>
      </c>
      <c r="E7639" s="1" t="n">
        <f aca="false">LN(D7639)</f>
        <v>-2.01740615076038</v>
      </c>
    </row>
    <row r="7640" customFormat="false" ht="15.75" hidden="false" customHeight="false" outlineLevel="0" collapsed="false">
      <c r="A7640" s="1" t="s">
        <v>1176</v>
      </c>
      <c r="B7640" s="1" t="n">
        <v>304.67</v>
      </c>
      <c r="C7640" s="1" t="n">
        <f aca="false">1/B7640</f>
        <v>0.00328223980043982</v>
      </c>
      <c r="D7640" s="1" t="n">
        <v>0.13258</v>
      </c>
      <c r="E7640" s="1" t="n">
        <f aca="false">LN(D7640)</f>
        <v>-2.02056904216889</v>
      </c>
    </row>
    <row r="7641" customFormat="false" ht="15.75" hidden="false" customHeight="false" outlineLevel="0" collapsed="false">
      <c r="A7641" s="1" t="s">
        <v>1176</v>
      </c>
      <c r="B7641" s="1" t="n">
        <v>305</v>
      </c>
      <c r="C7641" s="1" t="n">
        <f aca="false">1/B7641</f>
        <v>0.00327868852459016</v>
      </c>
      <c r="D7641" s="1" t="n">
        <v>0.13215</v>
      </c>
      <c r="E7641" s="1" t="n">
        <f aca="false">LN(D7641)</f>
        <v>-2.02381763793184</v>
      </c>
    </row>
    <row r="7642" customFormat="false" ht="15.75" hidden="false" customHeight="false" outlineLevel="0" collapsed="false">
      <c r="A7642" s="1" t="s">
        <v>1176</v>
      </c>
      <c r="B7642" s="1" t="n">
        <v>305.33</v>
      </c>
      <c r="C7642" s="1" t="n">
        <f aca="false">1/B7642</f>
        <v>0.00327514492516294</v>
      </c>
      <c r="D7642" s="1" t="n">
        <v>0.13173</v>
      </c>
      <c r="E7642" s="1" t="n">
        <f aca="false">LN(D7642)</f>
        <v>-2.0270009057404</v>
      </c>
    </row>
    <row r="7643" customFormat="false" ht="15.75" hidden="false" customHeight="false" outlineLevel="0" collapsed="false">
      <c r="A7643" s="1" t="s">
        <v>1176</v>
      </c>
      <c r="B7643" s="1" t="n">
        <v>305.67</v>
      </c>
      <c r="C7643" s="1" t="n">
        <f aca="false">1/B7643</f>
        <v>0.00327150194654366</v>
      </c>
      <c r="D7643" s="1" t="n">
        <v>0.1313</v>
      </c>
      <c r="E7643" s="1" t="n">
        <f aca="false">LN(D7643)</f>
        <v>-2.03027049767339</v>
      </c>
    </row>
    <row r="7644" customFormat="false" ht="15.75" hidden="false" customHeight="false" outlineLevel="0" collapsed="false">
      <c r="A7644" s="1" t="s">
        <v>1176</v>
      </c>
      <c r="B7644" s="1" t="n">
        <v>306</v>
      </c>
      <c r="C7644" s="1" t="n">
        <f aca="false">1/B7644</f>
        <v>0.00326797385620915</v>
      </c>
      <c r="D7644" s="1" t="n">
        <v>0.13088</v>
      </c>
      <c r="E7644" s="1" t="n">
        <f aca="false">LN(D7644)</f>
        <v>-2.0334744061277</v>
      </c>
    </row>
    <row r="7645" customFormat="false" ht="15.75" hidden="false" customHeight="false" outlineLevel="0" collapsed="false">
      <c r="A7645" s="1" t="s">
        <v>1176</v>
      </c>
      <c r="B7645" s="1" t="n">
        <v>306.33</v>
      </c>
      <c r="C7645" s="1" t="n">
        <f aca="false">1/B7645</f>
        <v>0.00326445336728365</v>
      </c>
      <c r="D7645" s="1" t="n">
        <v>0.13046</v>
      </c>
      <c r="E7645" s="1" t="n">
        <f aca="false">LN(D7645)</f>
        <v>-2.03668861261419</v>
      </c>
    </row>
    <row r="7646" customFormat="false" ht="15.75" hidden="false" customHeight="false" outlineLevel="0" collapsed="false">
      <c r="A7646" s="1" t="s">
        <v>1176</v>
      </c>
      <c r="B7646" s="1" t="n">
        <v>306.67</v>
      </c>
      <c r="C7646" s="1" t="n">
        <f aca="false">1/B7646</f>
        <v>0.00326083412136825</v>
      </c>
      <c r="D7646" s="1" t="n">
        <v>0.13004</v>
      </c>
      <c r="E7646" s="1" t="n">
        <f aca="false">LN(D7646)</f>
        <v>-2.03991318354643</v>
      </c>
    </row>
    <row r="7647" customFormat="false" ht="15.75" hidden="false" customHeight="false" outlineLevel="0" collapsed="false">
      <c r="A7647" s="1" t="s">
        <v>1176</v>
      </c>
      <c r="B7647" s="1" t="n">
        <v>307</v>
      </c>
      <c r="C7647" s="1" t="n">
        <f aca="false">1/B7647</f>
        <v>0.00325732899022801</v>
      </c>
      <c r="D7647" s="1" t="n">
        <v>0.12962</v>
      </c>
      <c r="E7647" s="1" t="n">
        <f aca="false">LN(D7647)</f>
        <v>-2.04314818598257</v>
      </c>
    </row>
    <row r="7648" customFormat="false" ht="15.75" hidden="false" customHeight="false" outlineLevel="0" collapsed="false">
      <c r="A7648" s="1" t="s">
        <v>1176</v>
      </c>
      <c r="B7648" s="1" t="n">
        <v>307.33</v>
      </c>
      <c r="C7648" s="1" t="n">
        <f aca="false">1/B7648</f>
        <v>0.00325383138645755</v>
      </c>
      <c r="D7648" s="1" t="n">
        <v>0.12921</v>
      </c>
      <c r="E7648" s="1" t="n">
        <f aca="false">LN(D7648)</f>
        <v>-2.04631629124801</v>
      </c>
    </row>
    <row r="7649" customFormat="false" ht="15.75" hidden="false" customHeight="false" outlineLevel="0" collapsed="false">
      <c r="A7649" s="1" t="s">
        <v>1176</v>
      </c>
      <c r="B7649" s="1" t="n">
        <v>307.67</v>
      </c>
      <c r="C7649" s="1" t="n">
        <f aca="false">1/B7649</f>
        <v>0.00325023564208405</v>
      </c>
      <c r="D7649" s="1" t="n">
        <v>0.12879</v>
      </c>
      <c r="E7649" s="1" t="n">
        <f aca="false">LN(D7649)</f>
        <v>-2.04957210807756</v>
      </c>
    </row>
    <row r="7650" customFormat="false" ht="15.75" hidden="false" customHeight="false" outlineLevel="0" collapsed="false">
      <c r="A7650" s="1" t="s">
        <v>1176</v>
      </c>
      <c r="B7650" s="1" t="n">
        <v>308</v>
      </c>
      <c r="C7650" s="1" t="n">
        <f aca="false">1/B7650</f>
        <v>0.00324675324675325</v>
      </c>
      <c r="D7650" s="1" t="n">
        <v>0.12838</v>
      </c>
      <c r="E7650" s="1" t="n">
        <f aca="false">LN(D7650)</f>
        <v>-2.05276066309851</v>
      </c>
    </row>
    <row r="7651" customFormat="false" ht="15.75" hidden="false" customHeight="false" outlineLevel="0" collapsed="false">
      <c r="A7651" s="1" t="s">
        <v>1176</v>
      </c>
      <c r="B7651" s="1" t="n">
        <v>308.33</v>
      </c>
      <c r="C7651" s="1" t="n">
        <f aca="false">1/B7651</f>
        <v>0.00324327830571141</v>
      </c>
      <c r="D7651" s="1" t="n">
        <v>0.12796</v>
      </c>
      <c r="E7651" s="1" t="n">
        <f aca="false">LN(D7651)</f>
        <v>-2.05603756390082</v>
      </c>
    </row>
    <row r="7652" customFormat="false" ht="15.75" hidden="false" customHeight="false" outlineLevel="0" collapsed="false">
      <c r="A7652" s="1" t="s">
        <v>1176</v>
      </c>
      <c r="B7652" s="1" t="n">
        <v>308.67</v>
      </c>
      <c r="C7652" s="1" t="n">
        <f aca="false">1/B7652</f>
        <v>0.00323970583471021</v>
      </c>
      <c r="D7652" s="1" t="n">
        <v>0.12755</v>
      </c>
      <c r="E7652" s="1" t="n">
        <f aca="false">LN(D7652)</f>
        <v>-2.05924683439432</v>
      </c>
    </row>
    <row r="7653" customFormat="false" ht="15.75" hidden="false" customHeight="false" outlineLevel="0" collapsed="false">
      <c r="A7653" s="1" t="s">
        <v>1176</v>
      </c>
      <c r="B7653" s="1" t="n">
        <v>309</v>
      </c>
      <c r="C7653" s="1" t="n">
        <f aca="false">1/B7653</f>
        <v>0.00323624595469256</v>
      </c>
      <c r="D7653" s="1" t="n">
        <v>0.12714</v>
      </c>
      <c r="E7653" s="1" t="n">
        <f aca="false">LN(D7653)</f>
        <v>-2.06246643747387</v>
      </c>
    </row>
    <row r="7654" customFormat="false" ht="15.75" hidden="false" customHeight="false" outlineLevel="0" collapsed="false">
      <c r="A7654" s="1" t="s">
        <v>1176</v>
      </c>
      <c r="B7654" s="1" t="n">
        <v>309.33</v>
      </c>
      <c r="C7654" s="1" t="n">
        <f aca="false">1/B7654</f>
        <v>0.00323279345682604</v>
      </c>
      <c r="D7654" s="1" t="n">
        <v>0.12673</v>
      </c>
      <c r="E7654" s="1" t="n">
        <f aca="false">LN(D7654)</f>
        <v>-2.06569643988816</v>
      </c>
    </row>
    <row r="7655" customFormat="false" ht="15.75" hidden="false" customHeight="false" outlineLevel="0" collapsed="false">
      <c r="A7655" s="1" t="s">
        <v>1176</v>
      </c>
      <c r="B7655" s="1" t="n">
        <v>309.67</v>
      </c>
      <c r="C7655" s="1" t="n">
        <f aca="false">1/B7655</f>
        <v>0.00322924403397165</v>
      </c>
      <c r="D7655" s="1" t="n">
        <v>0.12632</v>
      </c>
      <c r="E7655" s="1" t="n">
        <f aca="false">LN(D7655)</f>
        <v>-2.06893690903475</v>
      </c>
    </row>
    <row r="7656" customFormat="false" ht="15.75" hidden="false" customHeight="false" outlineLevel="0" collapsed="false">
      <c r="A7656" s="1" t="s">
        <v>1176</v>
      </c>
      <c r="B7656" s="1" t="n">
        <v>310</v>
      </c>
      <c r="C7656" s="1" t="n">
        <f aca="false">1/B7656</f>
        <v>0.0032258064516129</v>
      </c>
      <c r="D7656" s="1" t="n">
        <v>0.12591</v>
      </c>
      <c r="E7656" s="1" t="n">
        <f aca="false">LN(D7656)</f>
        <v>-2.07218791296853</v>
      </c>
    </row>
    <row r="7657" customFormat="false" ht="15.75" hidden="false" customHeight="false" outlineLevel="0" collapsed="false">
      <c r="A7657" s="1" t="s">
        <v>1176</v>
      </c>
      <c r="B7657" s="1" t="n">
        <v>310.33</v>
      </c>
      <c r="C7657" s="1" t="n">
        <f aca="false">1/B7657</f>
        <v>0.00322237618019528</v>
      </c>
      <c r="D7657" s="1" t="n">
        <v>0.1255</v>
      </c>
      <c r="E7657" s="1" t="n">
        <f aca="false">LN(D7657)</f>
        <v>-2.0754495204103</v>
      </c>
    </row>
    <row r="7658" customFormat="false" ht="15.75" hidden="false" customHeight="false" outlineLevel="0" collapsed="false">
      <c r="A7658" s="1" t="s">
        <v>1176</v>
      </c>
      <c r="B7658" s="1" t="n">
        <v>310.61</v>
      </c>
      <c r="C7658" s="1" t="n">
        <f aca="false">1/B7658</f>
        <v>0.00321947136280223</v>
      </c>
      <c r="D7658" s="1" t="n">
        <v>0.12516</v>
      </c>
      <c r="E7658" s="1" t="n">
        <f aca="false">LN(D7658)</f>
        <v>-2.07816236018146</v>
      </c>
    </row>
    <row r="7659" customFormat="false" ht="15.75" hidden="false" customHeight="false" outlineLevel="0" collapsed="false">
      <c r="A7659" s="1" t="s">
        <v>1178</v>
      </c>
      <c r="B7659" s="1" t="n">
        <v>177.83</v>
      </c>
      <c r="C7659" s="1" t="n">
        <f aca="false">1/B7659</f>
        <v>0.00562334814148344</v>
      </c>
      <c r="D7659" s="1" t="n">
        <v>2.1122</v>
      </c>
      <c r="E7659" s="1" t="n">
        <f aca="false">LN(D7659)</f>
        <v>0.747730058330237</v>
      </c>
    </row>
    <row r="7660" customFormat="false" ht="15.75" hidden="false" customHeight="false" outlineLevel="0" collapsed="false">
      <c r="A7660" s="1" t="s">
        <v>1178</v>
      </c>
      <c r="B7660" s="1" t="n">
        <v>178.53</v>
      </c>
      <c r="C7660" s="1" t="n">
        <f aca="false">1/B7660</f>
        <v>0.00560129950148434</v>
      </c>
      <c r="D7660" s="1" t="n">
        <v>2.0631</v>
      </c>
      <c r="E7660" s="1" t="n">
        <f aca="false">LN(D7660)</f>
        <v>0.724209706011763</v>
      </c>
    </row>
    <row r="7661" customFormat="false" ht="15.75" hidden="false" customHeight="false" outlineLevel="0" collapsed="false">
      <c r="A7661" s="1" t="s">
        <v>1178</v>
      </c>
      <c r="B7661" s="1" t="n">
        <v>179.24</v>
      </c>
      <c r="C7661" s="1" t="n">
        <f aca="false">1/B7661</f>
        <v>0.00557911180540058</v>
      </c>
      <c r="D7661" s="1" t="n">
        <v>2.0159</v>
      </c>
      <c r="E7661" s="1" t="n">
        <f aca="false">LN(D7661)</f>
        <v>0.701065745804241</v>
      </c>
    </row>
    <row r="7662" customFormat="false" ht="15.75" hidden="false" customHeight="false" outlineLevel="0" collapsed="false">
      <c r="A7662" s="1" t="s">
        <v>1178</v>
      </c>
      <c r="B7662" s="1" t="n">
        <v>179.94</v>
      </c>
      <c r="C7662" s="1" t="n">
        <f aca="false">1/B7662</f>
        <v>0.00555740802489719</v>
      </c>
      <c r="D7662" s="1" t="n">
        <v>1.9706</v>
      </c>
      <c r="E7662" s="1" t="n">
        <f aca="false">LN(D7662)</f>
        <v>0.678338064906237</v>
      </c>
    </row>
    <row r="7663" customFormat="false" ht="15.75" hidden="false" customHeight="false" outlineLevel="0" collapsed="false">
      <c r="A7663" s="1" t="s">
        <v>1178</v>
      </c>
      <c r="B7663" s="1" t="n">
        <v>180.64</v>
      </c>
      <c r="C7663" s="1" t="n">
        <f aca="false">1/B7663</f>
        <v>0.00553587245349867</v>
      </c>
      <c r="D7663" s="1" t="n">
        <v>1.9271</v>
      </c>
      <c r="E7663" s="1" t="n">
        <f aca="false">LN(D7663)</f>
        <v>0.656016282221738</v>
      </c>
    </row>
    <row r="7664" customFormat="false" ht="15.75" hidden="false" customHeight="false" outlineLevel="0" collapsed="false">
      <c r="A7664" s="1" t="s">
        <v>1178</v>
      </c>
      <c r="B7664" s="1" t="n">
        <v>181.35</v>
      </c>
      <c r="C7664" s="1" t="n">
        <f aca="false">1/B7664</f>
        <v>0.00551419906258616</v>
      </c>
      <c r="D7664" s="1" t="n">
        <v>1.8852</v>
      </c>
      <c r="E7664" s="1" t="n">
        <f aca="false">LN(D7664)</f>
        <v>0.634033916067439</v>
      </c>
    </row>
    <row r="7665" customFormat="false" ht="15.75" hidden="false" customHeight="false" outlineLevel="0" collapsed="false">
      <c r="A7665" s="1" t="s">
        <v>1178</v>
      </c>
      <c r="B7665" s="1" t="n">
        <v>182.05</v>
      </c>
      <c r="C7665" s="1" t="n">
        <f aca="false">1/B7665</f>
        <v>0.00549299642955232</v>
      </c>
      <c r="D7665" s="1" t="n">
        <v>1.8449</v>
      </c>
      <c r="E7665" s="1" t="n">
        <f aca="false">LN(D7665)</f>
        <v>0.612425075481583</v>
      </c>
    </row>
    <row r="7666" customFormat="false" ht="15.75" hidden="false" customHeight="false" outlineLevel="0" collapsed="false">
      <c r="A7666" s="1" t="s">
        <v>1178</v>
      </c>
      <c r="B7666" s="1" t="n">
        <v>182.76</v>
      </c>
      <c r="C7666" s="1" t="n">
        <f aca="false">1/B7666</f>
        <v>0.0054716568176844</v>
      </c>
      <c r="D7666" s="1" t="n">
        <v>1.8061</v>
      </c>
      <c r="E7666" s="1" t="n">
        <f aca="false">LN(D7666)</f>
        <v>0.591169824447481</v>
      </c>
    </row>
    <row r="7667" customFormat="false" ht="15.75" hidden="false" customHeight="false" outlineLevel="0" collapsed="false">
      <c r="A7667" s="1" t="s">
        <v>1178</v>
      </c>
      <c r="B7667" s="1" t="n">
        <v>183.46</v>
      </c>
      <c r="C7667" s="1" t="n">
        <f aca="false">1/B7667</f>
        <v>0.00545077946146299</v>
      </c>
      <c r="D7667" s="1" t="n">
        <v>1.7687</v>
      </c>
      <c r="E7667" s="1" t="n">
        <f aca="false">LN(D7667)</f>
        <v>0.570244813458611</v>
      </c>
    </row>
    <row r="7668" customFormat="false" ht="15.75" hidden="false" customHeight="false" outlineLevel="0" collapsed="false">
      <c r="A7668" s="1" t="s">
        <v>1178</v>
      </c>
      <c r="B7668" s="1" t="n">
        <v>184.16</v>
      </c>
      <c r="C7668" s="1" t="n">
        <f aca="false">1/B7668</f>
        <v>0.00543006081668115</v>
      </c>
      <c r="D7668" s="1" t="n">
        <v>1.7326</v>
      </c>
      <c r="E7668" s="1" t="n">
        <f aca="false">LN(D7668)</f>
        <v>0.549623170473903</v>
      </c>
    </row>
    <row r="7669" customFormat="false" ht="15.75" hidden="false" customHeight="false" outlineLevel="0" collapsed="false">
      <c r="A7669" s="1" t="s">
        <v>1178</v>
      </c>
      <c r="B7669" s="1" t="n">
        <v>184.87</v>
      </c>
      <c r="C7669" s="1" t="n">
        <f aca="false">1/B7669</f>
        <v>0.00540920646941094</v>
      </c>
      <c r="D7669" s="1" t="n">
        <v>1.6977</v>
      </c>
      <c r="E7669" s="1" t="n">
        <f aca="false">LN(D7669)</f>
        <v>0.529274393834451</v>
      </c>
    </row>
    <row r="7670" customFormat="false" ht="15.75" hidden="false" customHeight="false" outlineLevel="0" collapsed="false">
      <c r="A7670" s="1" t="s">
        <v>1178</v>
      </c>
      <c r="B7670" s="1" t="n">
        <v>185.57</v>
      </c>
      <c r="C7670" s="1" t="n">
        <f aca="false">1/B7670</f>
        <v>0.00538880206929999</v>
      </c>
      <c r="D7670" s="1" t="n">
        <v>1.6641</v>
      </c>
      <c r="E7670" s="1" t="n">
        <f aca="false">LN(D7670)</f>
        <v>0.509284436747161</v>
      </c>
    </row>
    <row r="7671" customFormat="false" ht="15.75" hidden="false" customHeight="false" outlineLevel="0" collapsed="false">
      <c r="A7671" s="1" t="s">
        <v>1178</v>
      </c>
      <c r="B7671" s="1" t="n">
        <v>186.27</v>
      </c>
      <c r="C7671" s="1" t="n">
        <f aca="false">1/B7671</f>
        <v>0.00536855102807752</v>
      </c>
      <c r="D7671" s="1" t="n">
        <v>1.6316</v>
      </c>
      <c r="E7671" s="1" t="n">
        <f aca="false">LN(D7671)</f>
        <v>0.489561128461266</v>
      </c>
    </row>
    <row r="7672" customFormat="false" ht="15.75" hidden="false" customHeight="false" outlineLevel="0" collapsed="false">
      <c r="A7672" s="1" t="s">
        <v>1178</v>
      </c>
      <c r="B7672" s="1" t="n">
        <v>186.98</v>
      </c>
      <c r="C7672" s="1" t="n">
        <f aca="false">1/B7672</f>
        <v>0.00534816557920633</v>
      </c>
      <c r="D7672" s="1" t="n">
        <v>1.6002</v>
      </c>
      <c r="E7672" s="1" t="n">
        <f aca="false">LN(D7672)</f>
        <v>0.470128621433887</v>
      </c>
    </row>
    <row r="7673" customFormat="false" ht="15.75" hidden="false" customHeight="false" outlineLevel="0" collapsed="false">
      <c r="A7673" s="1" t="s">
        <v>1178</v>
      </c>
      <c r="B7673" s="1" t="n">
        <v>187.68</v>
      </c>
      <c r="C7673" s="1" t="n">
        <f aca="false">1/B7673</f>
        <v>0.00532821824381927</v>
      </c>
      <c r="D7673" s="1" t="n">
        <v>1.5698</v>
      </c>
      <c r="E7673" s="1" t="n">
        <f aca="false">LN(D7673)</f>
        <v>0.450948222710576</v>
      </c>
    </row>
    <row r="7674" customFormat="false" ht="15.75" hidden="false" customHeight="false" outlineLevel="0" collapsed="false">
      <c r="A7674" s="1" t="s">
        <v>1178</v>
      </c>
      <c r="B7674" s="1" t="n">
        <v>188.38</v>
      </c>
      <c r="C7674" s="1" t="n">
        <f aca="false">1/B7674</f>
        <v>0.0053084191527763</v>
      </c>
      <c r="D7674" s="1" t="n">
        <v>1.5404</v>
      </c>
      <c r="E7674" s="1" t="n">
        <f aca="false">LN(D7674)</f>
        <v>0.432042122958617</v>
      </c>
    </row>
    <row r="7675" customFormat="false" ht="15.75" hidden="false" customHeight="false" outlineLevel="0" collapsed="false">
      <c r="A7675" s="1" t="s">
        <v>1178</v>
      </c>
      <c r="B7675" s="1" t="n">
        <v>189.09</v>
      </c>
      <c r="C7675" s="1" t="n">
        <f aca="false">1/B7675</f>
        <v>0.00528848696387963</v>
      </c>
      <c r="D7675" s="1" t="n">
        <v>1.5119</v>
      </c>
      <c r="E7675" s="1" t="n">
        <f aca="false">LN(D7675)</f>
        <v>0.413367138004018</v>
      </c>
    </row>
    <row r="7676" customFormat="false" ht="15.75" hidden="false" customHeight="false" outlineLevel="0" collapsed="false">
      <c r="A7676" s="1" t="s">
        <v>1178</v>
      </c>
      <c r="B7676" s="1" t="n">
        <v>189.79</v>
      </c>
      <c r="C7676" s="1" t="n">
        <f aca="false">1/B7676</f>
        <v>0.00526898150587491</v>
      </c>
      <c r="D7676" s="1" t="n">
        <v>1.4844</v>
      </c>
      <c r="E7676" s="1" t="n">
        <f aca="false">LN(D7676)</f>
        <v>0.395010650204305</v>
      </c>
    </row>
    <row r="7677" customFormat="false" ht="15.75" hidden="false" customHeight="false" outlineLevel="0" collapsed="false">
      <c r="A7677" s="1" t="s">
        <v>1178</v>
      </c>
      <c r="B7677" s="1" t="n">
        <v>190.5</v>
      </c>
      <c r="C7677" s="1" t="n">
        <f aca="false">1/B7677</f>
        <v>0.005249343832021</v>
      </c>
      <c r="D7677" s="1" t="n">
        <v>1.4577</v>
      </c>
      <c r="E7677" s="1" t="n">
        <f aca="false">LN(D7677)</f>
        <v>0.37685985109783</v>
      </c>
    </row>
    <row r="7678" customFormat="false" ht="15.75" hidden="false" customHeight="false" outlineLevel="0" collapsed="false">
      <c r="A7678" s="1" t="s">
        <v>1178</v>
      </c>
      <c r="B7678" s="1" t="n">
        <v>191.2</v>
      </c>
      <c r="C7678" s="1" t="n">
        <f aca="false">1/B7678</f>
        <v>0.00523012552301255</v>
      </c>
      <c r="D7678" s="1" t="n">
        <v>1.4318</v>
      </c>
      <c r="E7678" s="1" t="n">
        <f aca="false">LN(D7678)</f>
        <v>0.358932393979948</v>
      </c>
    </row>
    <row r="7679" customFormat="false" ht="15.75" hidden="false" customHeight="false" outlineLevel="0" collapsed="false">
      <c r="A7679" s="1" t="s">
        <v>1178</v>
      </c>
      <c r="B7679" s="1" t="n">
        <v>191.9</v>
      </c>
      <c r="C7679" s="1" t="n">
        <f aca="false">1/B7679</f>
        <v>0.00521104742053153</v>
      </c>
      <c r="D7679" s="1" t="n">
        <v>1.4067</v>
      </c>
      <c r="E7679" s="1" t="n">
        <f aca="false">LN(D7679)</f>
        <v>0.341246535781513</v>
      </c>
    </row>
    <row r="7680" customFormat="false" ht="15.75" hidden="false" customHeight="false" outlineLevel="0" collapsed="false">
      <c r="A7680" s="1" t="s">
        <v>1178</v>
      </c>
      <c r="B7680" s="1" t="n">
        <v>192.61</v>
      </c>
      <c r="C7680" s="1" t="n">
        <f aca="false">1/B7680</f>
        <v>0.00519183842998806</v>
      </c>
      <c r="D7680" s="1" t="n">
        <v>1.3823</v>
      </c>
      <c r="E7680" s="1" t="n">
        <f aca="false">LN(D7680)</f>
        <v>0.323748778488175</v>
      </c>
    </row>
    <row r="7681" customFormat="false" ht="15.75" hidden="false" customHeight="false" outlineLevel="0" collapsed="false">
      <c r="A7681" s="1" t="s">
        <v>1178</v>
      </c>
      <c r="B7681" s="1" t="n">
        <v>193.31</v>
      </c>
      <c r="C7681" s="1" t="n">
        <f aca="false">1/B7681</f>
        <v>0.00517303812529098</v>
      </c>
      <c r="D7681" s="1" t="n">
        <v>1.3587</v>
      </c>
      <c r="E7681" s="1" t="n">
        <f aca="false">LN(D7681)</f>
        <v>0.306528360248141</v>
      </c>
    </row>
    <row r="7682" customFormat="false" ht="15.75" hidden="false" customHeight="false" outlineLevel="0" collapsed="false">
      <c r="A7682" s="1" t="s">
        <v>1178</v>
      </c>
      <c r="B7682" s="1" t="n">
        <v>194.01</v>
      </c>
      <c r="C7682" s="1" t="n">
        <f aca="false">1/B7682</f>
        <v>0.00515437348590279</v>
      </c>
      <c r="D7682" s="1" t="n">
        <v>1.3357</v>
      </c>
      <c r="E7682" s="1" t="n">
        <f aca="false">LN(D7682)</f>
        <v>0.289455499000923</v>
      </c>
    </row>
    <row r="7683" customFormat="false" ht="15.75" hidden="false" customHeight="false" outlineLevel="0" collapsed="false">
      <c r="A7683" s="1" t="s">
        <v>1178</v>
      </c>
      <c r="B7683" s="1" t="n">
        <v>194.72</v>
      </c>
      <c r="C7683" s="1" t="n">
        <f aca="false">1/B7683</f>
        <v>0.00513557929334429</v>
      </c>
      <c r="D7683" s="1" t="n">
        <v>1.3134</v>
      </c>
      <c r="E7683" s="1" t="n">
        <f aca="false">LN(D7683)</f>
        <v>0.272619194774735</v>
      </c>
    </row>
    <row r="7684" customFormat="false" ht="15.75" hidden="false" customHeight="false" outlineLevel="0" collapsed="false">
      <c r="A7684" s="1" t="s">
        <v>1178</v>
      </c>
      <c r="B7684" s="1" t="n">
        <v>195.42</v>
      </c>
      <c r="C7684" s="1" t="n">
        <f aca="false">1/B7684</f>
        <v>0.00511718350220039</v>
      </c>
      <c r="D7684" s="1" t="n">
        <v>1.2917</v>
      </c>
      <c r="E7684" s="1" t="n">
        <f aca="false">LN(D7684)</f>
        <v>0.255959180255833</v>
      </c>
    </row>
    <row r="7685" customFormat="false" ht="15.75" hidden="false" customHeight="false" outlineLevel="0" collapsed="false">
      <c r="A7685" s="1" t="s">
        <v>1178</v>
      </c>
      <c r="B7685" s="1" t="n">
        <v>196.12</v>
      </c>
      <c r="C7685" s="1" t="n">
        <f aca="false">1/B7685</f>
        <v>0.00509891902916582</v>
      </c>
      <c r="D7685" s="1" t="n">
        <v>1.2706</v>
      </c>
      <c r="E7685" s="1" t="n">
        <f aca="false">LN(D7685)</f>
        <v>0.239489229850296</v>
      </c>
    </row>
    <row r="7686" customFormat="false" ht="15.75" hidden="false" customHeight="false" outlineLevel="0" collapsed="false">
      <c r="A7686" s="1" t="s">
        <v>1178</v>
      </c>
      <c r="B7686" s="1" t="n">
        <v>196.83</v>
      </c>
      <c r="C7686" s="1" t="n">
        <f aca="false">1/B7686</f>
        <v>0.00508052634252909</v>
      </c>
      <c r="D7686" s="1" t="n">
        <v>1.2501</v>
      </c>
      <c r="E7686" s="1" t="n">
        <f aca="false">LN(D7686)</f>
        <v>0.22322354811438</v>
      </c>
    </row>
    <row r="7687" customFormat="false" ht="15.75" hidden="false" customHeight="false" outlineLevel="0" collapsed="false">
      <c r="A7687" s="1" t="s">
        <v>1178</v>
      </c>
      <c r="B7687" s="1" t="n">
        <v>197.53</v>
      </c>
      <c r="C7687" s="1" t="n">
        <f aca="false">1/B7687</f>
        <v>0.0050625221485344</v>
      </c>
      <c r="D7687" s="1" t="n">
        <v>1.2302</v>
      </c>
      <c r="E7687" s="1" t="n">
        <f aca="false">LN(D7687)</f>
        <v>0.207176757792131</v>
      </c>
    </row>
    <row r="7688" customFormat="false" ht="15.75" hidden="false" customHeight="false" outlineLevel="0" collapsed="false">
      <c r="A7688" s="1" t="s">
        <v>1178</v>
      </c>
      <c r="B7688" s="1" t="n">
        <v>198.23</v>
      </c>
      <c r="C7688" s="1" t="n">
        <f aca="false">1/B7688</f>
        <v>0.00504464510921657</v>
      </c>
      <c r="D7688" s="1" t="n">
        <v>1.2108</v>
      </c>
      <c r="E7688" s="1" t="n">
        <f aca="false">LN(D7688)</f>
        <v>0.191281298165427</v>
      </c>
    </row>
    <row r="7689" customFormat="false" ht="15.75" hidden="false" customHeight="false" outlineLevel="0" collapsed="false">
      <c r="A7689" s="1" t="s">
        <v>1178</v>
      </c>
      <c r="B7689" s="1" t="n">
        <v>198.94</v>
      </c>
      <c r="C7689" s="1" t="n">
        <f aca="false">1/B7689</f>
        <v>0.00502664119835126</v>
      </c>
      <c r="D7689" s="1" t="n">
        <v>1.1919</v>
      </c>
      <c r="E7689" s="1" t="n">
        <f aca="false">LN(D7689)</f>
        <v>0.175548672506526</v>
      </c>
    </row>
    <row r="7690" customFormat="false" ht="15.75" hidden="false" customHeight="false" outlineLevel="0" collapsed="false">
      <c r="A7690" s="1" t="s">
        <v>1178</v>
      </c>
      <c r="B7690" s="1" t="n">
        <v>199.64</v>
      </c>
      <c r="C7690" s="1" t="n">
        <f aca="false">1/B7690</f>
        <v>0.00500901622921258</v>
      </c>
      <c r="D7690" s="1" t="n">
        <v>1.1735</v>
      </c>
      <c r="E7690" s="1" t="n">
        <f aca="false">LN(D7690)</f>
        <v>0.159990736308941</v>
      </c>
    </row>
    <row r="7691" customFormat="false" ht="15.75" hidden="false" customHeight="false" outlineLevel="0" collapsed="false">
      <c r="A7691" s="1" t="s">
        <v>1178</v>
      </c>
      <c r="B7691" s="1" t="n">
        <v>200.35</v>
      </c>
      <c r="C7691" s="1" t="n">
        <f aca="false">1/B7691</f>
        <v>0.00499126528574994</v>
      </c>
      <c r="D7691" s="1" t="n">
        <v>1.1556</v>
      </c>
      <c r="E7691" s="1" t="n">
        <f aca="false">LN(D7691)</f>
        <v>0.144619689609943</v>
      </c>
    </row>
    <row r="7692" customFormat="false" ht="15.75" hidden="false" customHeight="false" outlineLevel="0" collapsed="false">
      <c r="A7692" s="1" t="s">
        <v>1178</v>
      </c>
      <c r="B7692" s="1" t="n">
        <v>201.05</v>
      </c>
      <c r="C7692" s="1" t="n">
        <f aca="false">1/B7692</f>
        <v>0.00497388709276299</v>
      </c>
      <c r="D7692" s="1" t="n">
        <v>1.1381</v>
      </c>
      <c r="E7692" s="1" t="n">
        <f aca="false">LN(D7692)</f>
        <v>0.129360205305707</v>
      </c>
    </row>
    <row r="7693" customFormat="false" ht="15.75" hidden="false" customHeight="false" outlineLevel="0" collapsed="false">
      <c r="A7693" s="1" t="s">
        <v>1178</v>
      </c>
      <c r="B7693" s="1" t="n">
        <v>201.75</v>
      </c>
      <c r="C7693" s="1" t="n">
        <f aca="false">1/B7693</f>
        <v>0.00495662949194548</v>
      </c>
      <c r="D7693" s="1" t="n">
        <v>1.1211</v>
      </c>
      <c r="E7693" s="1" t="n">
        <f aca="false">LN(D7693)</f>
        <v>0.114310346177411</v>
      </c>
    </row>
    <row r="7694" customFormat="false" ht="15.75" hidden="false" customHeight="false" outlineLevel="0" collapsed="false">
      <c r="A7694" s="1" t="s">
        <v>1178</v>
      </c>
      <c r="B7694" s="1" t="n">
        <v>202.46</v>
      </c>
      <c r="C7694" s="1" t="n">
        <f aca="false">1/B7694</f>
        <v>0.00493924725871777</v>
      </c>
      <c r="D7694" s="1" t="n">
        <v>1.1045</v>
      </c>
      <c r="E7694" s="1" t="n">
        <f aca="false">LN(D7694)</f>
        <v>0.0993927438780348</v>
      </c>
    </row>
    <row r="7695" customFormat="false" ht="15.75" hidden="false" customHeight="false" outlineLevel="0" collapsed="false">
      <c r="A7695" s="1" t="s">
        <v>1178</v>
      </c>
      <c r="B7695" s="1" t="n">
        <v>203.16</v>
      </c>
      <c r="C7695" s="1" t="n">
        <f aca="false">1/B7695</f>
        <v>0.00492222878519394</v>
      </c>
      <c r="D7695" s="1" t="n">
        <v>1.0883</v>
      </c>
      <c r="E7695" s="1" t="n">
        <f aca="false">LN(D7695)</f>
        <v>0.084616845719879</v>
      </c>
    </row>
    <row r="7696" customFormat="false" ht="15.75" hidden="false" customHeight="false" outlineLevel="0" collapsed="false">
      <c r="A7696" s="1" t="s">
        <v>1178</v>
      </c>
      <c r="B7696" s="1" t="n">
        <v>203.86</v>
      </c>
      <c r="C7696" s="1" t="n">
        <f aca="false">1/B7696</f>
        <v>0.00490532718532326</v>
      </c>
      <c r="D7696" s="1" t="n">
        <v>1.0726</v>
      </c>
      <c r="E7696" s="1" t="n">
        <f aca="false">LN(D7696)</f>
        <v>0.0700856075666878</v>
      </c>
    </row>
    <row r="7697" customFormat="false" ht="15.75" hidden="false" customHeight="false" outlineLevel="0" collapsed="false">
      <c r="A7697" s="1" t="s">
        <v>1178</v>
      </c>
      <c r="B7697" s="1" t="n">
        <v>204.57</v>
      </c>
      <c r="C7697" s="1" t="n">
        <f aca="false">1/B7697</f>
        <v>0.00488830229261377</v>
      </c>
      <c r="D7697" s="1" t="n">
        <v>1.0572</v>
      </c>
      <c r="E7697" s="1" t="n">
        <f aca="false">LN(D7697)</f>
        <v>0.055623903747997</v>
      </c>
    </row>
    <row r="7698" customFormat="false" ht="15.75" hidden="false" customHeight="false" outlineLevel="0" collapsed="false">
      <c r="A7698" s="1" t="s">
        <v>1178</v>
      </c>
      <c r="B7698" s="1" t="n">
        <v>205.27</v>
      </c>
      <c r="C7698" s="1" t="n">
        <f aca="false">1/B7698</f>
        <v>0.0048716324840454</v>
      </c>
      <c r="D7698" s="1" t="n">
        <v>1.0421</v>
      </c>
      <c r="E7698" s="1" t="n">
        <f aca="false">LN(D7698)</f>
        <v>0.0412379080162448</v>
      </c>
    </row>
    <row r="7699" customFormat="false" ht="15.75" hidden="false" customHeight="false" outlineLevel="0" collapsed="false">
      <c r="A7699" s="1" t="s">
        <v>1178</v>
      </c>
      <c r="B7699" s="1" t="n">
        <v>205.97</v>
      </c>
      <c r="C7699" s="1" t="n">
        <f aca="false">1/B7699</f>
        <v>0.00485507598193912</v>
      </c>
      <c r="D7699" s="1" t="n">
        <v>1.0274</v>
      </c>
      <c r="E7699" s="1" t="n">
        <f aca="false">LN(D7699)</f>
        <v>0.0270313390510305</v>
      </c>
    </row>
    <row r="7700" customFormat="false" ht="15.75" hidden="false" customHeight="false" outlineLevel="0" collapsed="false">
      <c r="A7700" s="1" t="s">
        <v>1178</v>
      </c>
      <c r="B7700" s="1" t="n">
        <v>206.68</v>
      </c>
      <c r="C7700" s="1" t="n">
        <f aca="false">1/B7700</f>
        <v>0.00483839752274047</v>
      </c>
      <c r="D7700" s="1" t="n">
        <v>1.0131</v>
      </c>
      <c r="E7700" s="1" t="n">
        <f aca="false">LN(D7700)</f>
        <v>0.0130149370774945</v>
      </c>
    </row>
    <row r="7701" customFormat="false" ht="15.75" hidden="false" customHeight="false" outlineLevel="0" collapsed="false">
      <c r="A7701" s="1" t="s">
        <v>1178</v>
      </c>
      <c r="B7701" s="1" t="n">
        <v>207.38</v>
      </c>
      <c r="C7701" s="1" t="n">
        <f aca="false">1/B7701</f>
        <v>0.00482206577297714</v>
      </c>
      <c r="D7701" s="1" t="n">
        <v>0.9991</v>
      </c>
      <c r="E7701" s="1" t="n">
        <f aca="false">LN(D7701)</f>
        <v>-0.000900405243164155</v>
      </c>
    </row>
    <row r="7702" customFormat="false" ht="15.75" hidden="false" customHeight="false" outlineLevel="0" collapsed="false">
      <c r="A7702" s="1" t="s">
        <v>1178</v>
      </c>
      <c r="B7702" s="1" t="n">
        <v>208.09</v>
      </c>
      <c r="C7702" s="1" t="n">
        <f aca="false">1/B7702</f>
        <v>0.00480561295593253</v>
      </c>
      <c r="D7702" s="1" t="n">
        <v>0.98542</v>
      </c>
      <c r="E7702" s="1" t="n">
        <f aca="false">LN(D7702)</f>
        <v>-0.0146873327518771</v>
      </c>
    </row>
    <row r="7703" customFormat="false" ht="15.75" hidden="false" customHeight="false" outlineLevel="0" collapsed="false">
      <c r="A7703" s="1" t="s">
        <v>1178</v>
      </c>
      <c r="B7703" s="1" t="n">
        <v>208.79</v>
      </c>
      <c r="C7703" s="1" t="n">
        <f aca="false">1/B7703</f>
        <v>0.00478950141290292</v>
      </c>
      <c r="D7703" s="1" t="n">
        <v>0.97205</v>
      </c>
      <c r="E7703" s="1" t="n">
        <f aca="false">LN(D7703)</f>
        <v>-0.0283480355154883</v>
      </c>
    </row>
    <row r="7704" customFormat="false" ht="15.75" hidden="false" customHeight="false" outlineLevel="0" collapsed="false">
      <c r="A7704" s="1" t="s">
        <v>1178</v>
      </c>
      <c r="B7704" s="1" t="n">
        <v>209.49</v>
      </c>
      <c r="C7704" s="1" t="n">
        <f aca="false">1/B7704</f>
        <v>0.00477349754164877</v>
      </c>
      <c r="D7704" s="1" t="n">
        <v>0.95898</v>
      </c>
      <c r="E7704" s="1" t="n">
        <f aca="false">LN(D7704)</f>
        <v>-0.0418850593735199</v>
      </c>
    </row>
    <row r="7705" customFormat="false" ht="15.75" hidden="false" customHeight="false" outlineLevel="0" collapsed="false">
      <c r="A7705" s="1" t="s">
        <v>1178</v>
      </c>
      <c r="B7705" s="1" t="n">
        <v>210.2</v>
      </c>
      <c r="C7705" s="1" t="n">
        <f aca="false">1/B7705</f>
        <v>0.00475737392959087</v>
      </c>
      <c r="D7705" s="1" t="n">
        <v>0.9462</v>
      </c>
      <c r="E7705" s="1" t="n">
        <f aca="false">LN(D7705)</f>
        <v>-0.0553013157850893</v>
      </c>
    </row>
    <row r="7706" customFormat="false" ht="15.75" hidden="false" customHeight="false" outlineLevel="0" collapsed="false">
      <c r="A7706" s="1" t="s">
        <v>1178</v>
      </c>
      <c r="B7706" s="1" t="n">
        <v>210.9</v>
      </c>
      <c r="C7706" s="1" t="n">
        <f aca="false">1/B7706</f>
        <v>0.00474158368895211</v>
      </c>
      <c r="D7706" s="1" t="n">
        <v>0.93371</v>
      </c>
      <c r="E7706" s="1" t="n">
        <f aca="false">LN(D7706)</f>
        <v>-0.0685893814714257</v>
      </c>
    </row>
    <row r="7707" customFormat="false" ht="15.75" hidden="false" customHeight="false" outlineLevel="0" collapsed="false">
      <c r="A7707" s="1" t="s">
        <v>1178</v>
      </c>
      <c r="B7707" s="1" t="n">
        <v>211.6</v>
      </c>
      <c r="C7707" s="1" t="n">
        <f aca="false">1/B7707</f>
        <v>0.00472589792060492</v>
      </c>
      <c r="D7707" s="1" t="n">
        <v>0.92148</v>
      </c>
      <c r="E7707" s="1" t="n">
        <f aca="false">LN(D7707)</f>
        <v>-0.0817742058516846</v>
      </c>
    </row>
    <row r="7708" customFormat="false" ht="15.75" hidden="false" customHeight="false" outlineLevel="0" collapsed="false">
      <c r="A7708" s="1" t="s">
        <v>1178</v>
      </c>
      <c r="B7708" s="1" t="n">
        <v>212.31</v>
      </c>
      <c r="C7708" s="1" t="n">
        <f aca="false">1/B7708</f>
        <v>0.00471009373086524</v>
      </c>
      <c r="D7708" s="1" t="n">
        <v>0.90952</v>
      </c>
      <c r="E7708" s="1" t="n">
        <f aca="false">LN(D7708)</f>
        <v>-0.0948382911612859</v>
      </c>
    </row>
    <row r="7709" customFormat="false" ht="15.75" hidden="false" customHeight="false" outlineLevel="0" collapsed="false">
      <c r="A7709" s="1" t="s">
        <v>1178</v>
      </c>
      <c r="B7709" s="1" t="n">
        <v>213.01</v>
      </c>
      <c r="C7709" s="1" t="n">
        <f aca="false">1/B7709</f>
        <v>0.00469461527627811</v>
      </c>
      <c r="D7709" s="1" t="n">
        <v>0.89782</v>
      </c>
      <c r="E7709" s="1" t="n">
        <f aca="false">LN(D7709)</f>
        <v>-0.107785676206107</v>
      </c>
    </row>
    <row r="7710" customFormat="false" ht="15.75" hidden="false" customHeight="false" outlineLevel="0" collapsed="false">
      <c r="A7710" s="1" t="s">
        <v>1178</v>
      </c>
      <c r="B7710" s="1" t="n">
        <v>213.71</v>
      </c>
      <c r="C7710" s="1" t="n">
        <f aca="false">1/B7710</f>
        <v>0.00467923822001778</v>
      </c>
      <c r="D7710" s="1" t="n">
        <v>0.88636</v>
      </c>
      <c r="E7710" s="1" t="n">
        <f aca="false">LN(D7710)</f>
        <v>-0.120632090361133</v>
      </c>
    </row>
    <row r="7711" customFormat="false" ht="15.75" hidden="false" customHeight="false" outlineLevel="0" collapsed="false">
      <c r="A7711" s="1" t="s">
        <v>1178</v>
      </c>
      <c r="B7711" s="1" t="n">
        <v>214.42</v>
      </c>
      <c r="C7711" s="1" t="n">
        <f aca="false">1/B7711</f>
        <v>0.00466374405372633</v>
      </c>
      <c r="D7711" s="1" t="n">
        <v>0.87515</v>
      </c>
      <c r="E7711" s="1" t="n">
        <f aca="false">LN(D7711)</f>
        <v>-0.133359978745293</v>
      </c>
    </row>
    <row r="7712" customFormat="false" ht="15.75" hidden="false" customHeight="false" outlineLevel="0" collapsed="false">
      <c r="A7712" s="1" t="s">
        <v>1178</v>
      </c>
      <c r="B7712" s="1" t="n">
        <v>215.12</v>
      </c>
      <c r="C7712" s="1" t="n">
        <f aca="false">1/B7712</f>
        <v>0.00464856824098178</v>
      </c>
      <c r="D7712" s="1" t="n">
        <v>0.86416</v>
      </c>
      <c r="E7712" s="1" t="n">
        <f aca="false">LN(D7712)</f>
        <v>-0.145997342137556</v>
      </c>
    </row>
    <row r="7713" customFormat="false" ht="15.75" hidden="false" customHeight="false" outlineLevel="0" collapsed="false">
      <c r="A7713" s="1" t="s">
        <v>1178</v>
      </c>
      <c r="B7713" s="1" t="n">
        <v>215.83</v>
      </c>
      <c r="C7713" s="1" t="n">
        <f aca="false">1/B7713</f>
        <v>0.00463327618959366</v>
      </c>
      <c r="D7713" s="1" t="n">
        <v>0.85341</v>
      </c>
      <c r="E7713" s="1" t="n">
        <f aca="false">LN(D7713)</f>
        <v>-0.158515190462347</v>
      </c>
    </row>
    <row r="7714" customFormat="false" ht="15.75" hidden="false" customHeight="false" outlineLevel="0" collapsed="false">
      <c r="A7714" s="1" t="s">
        <v>1178</v>
      </c>
      <c r="B7714" s="1" t="n">
        <v>216.53</v>
      </c>
      <c r="C7714" s="1" t="n">
        <f aca="false">1/B7714</f>
        <v>0.00461829769546945</v>
      </c>
      <c r="D7714" s="1" t="n">
        <v>0.84287</v>
      </c>
      <c r="E7714" s="1" t="n">
        <f aca="false">LN(D7714)</f>
        <v>-0.170942544022696</v>
      </c>
    </row>
    <row r="7715" customFormat="false" ht="15.75" hidden="false" customHeight="false" outlineLevel="0" collapsed="false">
      <c r="A7715" s="1" t="s">
        <v>1178</v>
      </c>
      <c r="B7715" s="1" t="n">
        <v>217.23</v>
      </c>
      <c r="C7715" s="1" t="n">
        <f aca="false">1/B7715</f>
        <v>0.00460341573447498</v>
      </c>
      <c r="D7715" s="1" t="n">
        <v>0.83255</v>
      </c>
      <c r="E7715" s="1" t="n">
        <f aca="false">LN(D7715)</f>
        <v>-0.183261998871011</v>
      </c>
    </row>
    <row r="7716" customFormat="false" ht="15.75" hidden="false" customHeight="false" outlineLevel="0" collapsed="false">
      <c r="A7716" s="1" t="s">
        <v>1178</v>
      </c>
      <c r="B7716" s="1" t="n">
        <v>217.94</v>
      </c>
      <c r="C7716" s="1" t="n">
        <f aca="false">1/B7716</f>
        <v>0.00458841883087088</v>
      </c>
      <c r="D7716" s="1" t="n">
        <v>0.82243</v>
      </c>
      <c r="E7716" s="1" t="n">
        <f aca="false">LN(D7716)</f>
        <v>-0.195491906347343</v>
      </c>
    </row>
    <row r="7717" customFormat="false" ht="15.75" hidden="false" customHeight="false" outlineLevel="0" collapsed="false">
      <c r="A7717" s="1" t="s">
        <v>1178</v>
      </c>
      <c r="B7717" s="1" t="n">
        <v>218.64</v>
      </c>
      <c r="C7717" s="1" t="n">
        <f aca="false">1/B7717</f>
        <v>0.00457372850347603</v>
      </c>
      <c r="D7717" s="1" t="n">
        <v>0.81251</v>
      </c>
      <c r="E7717" s="1" t="n">
        <f aca="false">LN(D7717)</f>
        <v>-0.207627057161676</v>
      </c>
    </row>
    <row r="7718" customFormat="false" ht="15.75" hidden="false" customHeight="false" outlineLevel="0" collapsed="false">
      <c r="A7718" s="1" t="s">
        <v>1178</v>
      </c>
      <c r="B7718" s="1" t="n">
        <v>219.34</v>
      </c>
      <c r="C7718" s="1" t="n">
        <f aca="false">1/B7718</f>
        <v>0.00455913194127838</v>
      </c>
      <c r="D7718" s="1" t="n">
        <v>0.80279</v>
      </c>
      <c r="E7718" s="1" t="n">
        <f aca="false">LN(D7718)</f>
        <v>-0.219662118540126</v>
      </c>
    </row>
    <row r="7719" customFormat="false" ht="15.75" hidden="false" customHeight="false" outlineLevel="0" collapsed="false">
      <c r="A7719" s="1" t="s">
        <v>1178</v>
      </c>
      <c r="B7719" s="1" t="n">
        <v>220.05</v>
      </c>
      <c r="C7719" s="1" t="n">
        <f aca="false">1/B7719</f>
        <v>0.00454442172233583</v>
      </c>
      <c r="D7719" s="1" t="n">
        <v>0.79326</v>
      </c>
      <c r="E7719" s="1" t="n">
        <f aca="false">LN(D7719)</f>
        <v>-0.231604242232077</v>
      </c>
    </row>
    <row r="7720" customFormat="false" ht="15.75" hidden="false" customHeight="false" outlineLevel="0" collapsed="false">
      <c r="A7720" s="1" t="s">
        <v>1178</v>
      </c>
      <c r="B7720" s="1" t="n">
        <v>220.75</v>
      </c>
      <c r="C7720" s="1" t="n">
        <f aca="false">1/B7720</f>
        <v>0.00453001132502831</v>
      </c>
      <c r="D7720" s="1" t="n">
        <v>0.78392</v>
      </c>
      <c r="E7720" s="1" t="n">
        <f aca="false">LN(D7720)</f>
        <v>-0.243448304654574</v>
      </c>
    </row>
    <row r="7721" customFormat="false" ht="15.75" hidden="false" customHeight="false" outlineLevel="0" collapsed="false">
      <c r="A7721" s="1" t="s">
        <v>1178</v>
      </c>
      <c r="B7721" s="1" t="n">
        <v>221.45</v>
      </c>
      <c r="C7721" s="1" t="n">
        <f aca="false">1/B7721</f>
        <v>0.00451569202980357</v>
      </c>
      <c r="D7721" s="1" t="n">
        <v>0.77475</v>
      </c>
      <c r="E7721" s="1" t="n">
        <f aca="false">LN(D7721)</f>
        <v>-0.255214882314279</v>
      </c>
    </row>
    <row r="7722" customFormat="false" ht="15.75" hidden="false" customHeight="false" outlineLevel="0" collapsed="false">
      <c r="A7722" s="1" t="s">
        <v>1178</v>
      </c>
      <c r="B7722" s="1" t="n">
        <v>222.16</v>
      </c>
      <c r="C7722" s="1" t="n">
        <f aca="false">1/B7722</f>
        <v>0.00450126035289881</v>
      </c>
      <c r="D7722" s="1" t="n">
        <v>0.76576</v>
      </c>
      <c r="E7722" s="1" t="n">
        <f aca="false">LN(D7722)</f>
        <v>-0.266886474262129</v>
      </c>
    </row>
    <row r="7723" customFormat="false" ht="15.75" hidden="false" customHeight="false" outlineLevel="0" collapsed="false">
      <c r="A7723" s="1" t="s">
        <v>1178</v>
      </c>
      <c r="B7723" s="1" t="n">
        <v>222.86</v>
      </c>
      <c r="C7723" s="1" t="n">
        <f aca="false">1/B7723</f>
        <v>0.00448712195997487</v>
      </c>
      <c r="D7723" s="1" t="n">
        <v>0.75694</v>
      </c>
      <c r="E7723" s="1" t="n">
        <f aca="false">LN(D7723)</f>
        <v>-0.278471288923728</v>
      </c>
    </row>
    <row r="7724" customFormat="false" ht="15.75" hidden="false" customHeight="false" outlineLevel="0" collapsed="false">
      <c r="A7724" s="1" t="s">
        <v>1178</v>
      </c>
      <c r="B7724" s="1" t="n">
        <v>223.57</v>
      </c>
      <c r="C7724" s="1" t="n">
        <f aca="false">1/B7724</f>
        <v>0.00447287203113119</v>
      </c>
      <c r="D7724" s="1" t="n">
        <v>0.74828</v>
      </c>
      <c r="E7724" s="1" t="n">
        <f aca="false">LN(D7724)</f>
        <v>-0.289978039501433</v>
      </c>
    </row>
    <row r="7725" customFormat="false" ht="15.75" hidden="false" customHeight="false" outlineLevel="0" collapsed="false">
      <c r="A7725" s="1" t="s">
        <v>1178</v>
      </c>
      <c r="B7725" s="1" t="n">
        <v>224.27</v>
      </c>
      <c r="C7725" s="1" t="n">
        <f aca="false">1/B7725</f>
        <v>0.0044589111339011</v>
      </c>
      <c r="D7725" s="1" t="n">
        <v>0.73978</v>
      </c>
      <c r="E7725" s="1" t="n">
        <f aca="false">LN(D7725)</f>
        <v>-0.301402434282821</v>
      </c>
    </row>
    <row r="7726" customFormat="false" ht="15.75" hidden="false" customHeight="false" outlineLevel="0" collapsed="false">
      <c r="A7726" s="1" t="s">
        <v>1178</v>
      </c>
      <c r="B7726" s="1" t="n">
        <v>224.97</v>
      </c>
      <c r="C7726" s="1" t="n">
        <f aca="false">1/B7726</f>
        <v>0.00444503711605992</v>
      </c>
      <c r="D7726" s="1" t="n">
        <v>0.73144</v>
      </c>
      <c r="E7726" s="1" t="n">
        <f aca="false">LN(D7726)</f>
        <v>-0.312740085125966</v>
      </c>
    </row>
    <row r="7727" customFormat="false" ht="15.75" hidden="false" customHeight="false" outlineLevel="0" collapsed="false">
      <c r="A7727" s="1" t="s">
        <v>1178</v>
      </c>
      <c r="B7727" s="1" t="n">
        <v>225.68</v>
      </c>
      <c r="C7727" s="1" t="n">
        <f aca="false">1/B7727</f>
        <v>0.00443105281814959</v>
      </c>
      <c r="D7727" s="1" t="n">
        <v>0.72325</v>
      </c>
      <c r="E7727" s="1" t="n">
        <f aca="false">LN(D7727)</f>
        <v>-0.324000335125893</v>
      </c>
    </row>
    <row r="7728" customFormat="false" ht="15.75" hidden="false" customHeight="false" outlineLevel="0" collapsed="false">
      <c r="A7728" s="1" t="s">
        <v>1178</v>
      </c>
      <c r="B7728" s="1" t="n">
        <v>226.38</v>
      </c>
      <c r="C7728" s="1" t="n">
        <f aca="false">1/B7728</f>
        <v>0.00441735135612687</v>
      </c>
      <c r="D7728" s="1" t="n">
        <v>0.71522</v>
      </c>
      <c r="E7728" s="1" t="n">
        <f aca="false">LN(D7728)</f>
        <v>-0.335165091308007</v>
      </c>
    </row>
    <row r="7729" customFormat="false" ht="15.75" hidden="false" customHeight="false" outlineLevel="0" collapsed="false">
      <c r="A7729" s="1" t="s">
        <v>1178</v>
      </c>
      <c r="B7729" s="1" t="n">
        <v>227.08</v>
      </c>
      <c r="C7729" s="1" t="n">
        <f aca="false">1/B7729</f>
        <v>0.004403734366743</v>
      </c>
      <c r="D7729" s="1" t="n">
        <v>0.70732</v>
      </c>
      <c r="E7729" s="1" t="n">
        <f aca="false">LN(D7729)</f>
        <v>-0.346272098795361</v>
      </c>
    </row>
    <row r="7730" customFormat="false" ht="15.75" hidden="false" customHeight="false" outlineLevel="0" collapsed="false">
      <c r="A7730" s="1" t="s">
        <v>1178</v>
      </c>
      <c r="B7730" s="1" t="n">
        <v>227.79</v>
      </c>
      <c r="C7730" s="1" t="n">
        <f aca="false">1/B7730</f>
        <v>0.00439000834101585</v>
      </c>
      <c r="D7730" s="1" t="n">
        <v>0.69956</v>
      </c>
      <c r="E7730" s="1" t="n">
        <f aca="false">LN(D7730)</f>
        <v>-0.357303713001147</v>
      </c>
    </row>
    <row r="7731" customFormat="false" ht="15.75" hidden="false" customHeight="false" outlineLevel="0" collapsed="false">
      <c r="A7731" s="1" t="s">
        <v>1178</v>
      </c>
      <c r="B7731" s="1" t="n">
        <v>228.49</v>
      </c>
      <c r="C7731" s="1" t="n">
        <f aca="false">1/B7731</f>
        <v>0.0043765591491969</v>
      </c>
      <c r="D7731" s="1" t="n">
        <v>0.69195</v>
      </c>
      <c r="E7731" s="1" t="n">
        <f aca="false">LN(D7731)</f>
        <v>-0.368241580310198</v>
      </c>
    </row>
    <row r="7732" customFormat="false" ht="15.75" hidden="false" customHeight="false" outlineLevel="0" collapsed="false">
      <c r="A7732" s="1" t="s">
        <v>1178</v>
      </c>
      <c r="B7732" s="1" t="n">
        <v>229.19</v>
      </c>
      <c r="C7732" s="1" t="n">
        <f aca="false">1/B7732</f>
        <v>0.00436319211134866</v>
      </c>
      <c r="D7732" s="1" t="n">
        <v>0.68446</v>
      </c>
      <c r="E7732" s="1" t="n">
        <f aca="false">LN(D7732)</f>
        <v>-0.379125072776324</v>
      </c>
    </row>
    <row r="7733" customFormat="false" ht="15.75" hidden="false" customHeight="false" outlineLevel="0" collapsed="false">
      <c r="A7733" s="1" t="s">
        <v>1178</v>
      </c>
      <c r="B7733" s="1" t="n">
        <v>229.9</v>
      </c>
      <c r="C7733" s="1" t="n">
        <f aca="false">1/B7733</f>
        <v>0.00434971726837756</v>
      </c>
      <c r="D7733" s="1" t="n">
        <v>0.67711</v>
      </c>
      <c r="E7733" s="1" t="n">
        <f aca="false">LN(D7733)</f>
        <v>-0.389921537732368</v>
      </c>
    </row>
    <row r="7734" customFormat="false" ht="15.75" hidden="false" customHeight="false" outlineLevel="0" collapsed="false">
      <c r="A7734" s="1" t="s">
        <v>1178</v>
      </c>
      <c r="B7734" s="1" t="n">
        <v>230.6</v>
      </c>
      <c r="C7734" s="1" t="n">
        <f aca="false">1/B7734</f>
        <v>0.00433651344319167</v>
      </c>
      <c r="D7734" s="1" t="n">
        <v>0.66988</v>
      </c>
      <c r="E7734" s="1" t="n">
        <f aca="false">LN(D7734)</f>
        <v>-0.40065668711586</v>
      </c>
    </row>
    <row r="7735" customFormat="false" ht="15.75" hidden="false" customHeight="false" outlineLevel="0" collapsed="false">
      <c r="A7735" s="1" t="s">
        <v>1178</v>
      </c>
      <c r="B7735" s="1" t="n">
        <v>231.3</v>
      </c>
      <c r="C7735" s="1" t="n">
        <f aca="false">1/B7735</f>
        <v>0.00432338953739732</v>
      </c>
      <c r="D7735" s="1" t="n">
        <v>0.66278</v>
      </c>
      <c r="E7735" s="1" t="n">
        <f aca="false">LN(D7735)</f>
        <v>-0.411312168900092</v>
      </c>
    </row>
    <row r="7736" customFormat="false" ht="15.75" hidden="false" customHeight="false" outlineLevel="0" collapsed="false">
      <c r="A7736" s="1" t="s">
        <v>1178</v>
      </c>
      <c r="B7736" s="1" t="n">
        <v>232.01</v>
      </c>
      <c r="C7736" s="1" t="n">
        <f aca="false">1/B7736</f>
        <v>0.00431015904486876</v>
      </c>
      <c r="D7736" s="1" t="n">
        <v>0.6558</v>
      </c>
      <c r="E7736" s="1" t="n">
        <f aca="false">LN(D7736)</f>
        <v>-0.421899414571589</v>
      </c>
    </row>
    <row r="7737" customFormat="false" ht="15.75" hidden="false" customHeight="false" outlineLevel="0" collapsed="false">
      <c r="A7737" s="1" t="s">
        <v>1178</v>
      </c>
      <c r="B7737" s="1" t="n">
        <v>232.71</v>
      </c>
      <c r="C7737" s="1" t="n">
        <f aca="false">1/B7737</f>
        <v>0.00429719393236217</v>
      </c>
      <c r="D7737" s="1" t="n">
        <v>0.64893</v>
      </c>
      <c r="E7737" s="1" t="n">
        <f aca="false">LN(D7737)</f>
        <v>-0.432430426338617</v>
      </c>
    </row>
    <row r="7738" customFormat="false" ht="15.75" hidden="false" customHeight="false" outlineLevel="0" collapsed="false">
      <c r="A7738" s="1" t="s">
        <v>1178</v>
      </c>
      <c r="B7738" s="1" t="n">
        <v>233.42</v>
      </c>
      <c r="C7738" s="1" t="n">
        <f aca="false">1/B7738</f>
        <v>0.00428412304001371</v>
      </c>
      <c r="D7738" s="1" t="n">
        <v>0.64218</v>
      </c>
      <c r="E7738" s="1" t="n">
        <f aca="false">LN(D7738)</f>
        <v>-0.442886640757798</v>
      </c>
    </row>
    <row r="7739" customFormat="false" ht="15.75" hidden="false" customHeight="false" outlineLevel="0" collapsed="false">
      <c r="A7739" s="1" t="s">
        <v>1178</v>
      </c>
      <c r="B7739" s="1" t="n">
        <v>234.12</v>
      </c>
      <c r="C7739" s="1" t="n">
        <f aca="false">1/B7739</f>
        <v>0.00427131385614215</v>
      </c>
      <c r="D7739" s="1" t="n">
        <v>0.63555</v>
      </c>
      <c r="E7739" s="1" t="n">
        <f aca="false">LN(D7739)</f>
        <v>-0.453264513241459</v>
      </c>
    </row>
    <row r="7740" customFormat="false" ht="15.75" hidden="false" customHeight="false" outlineLevel="0" collapsed="false">
      <c r="A7740" s="1" t="s">
        <v>1178</v>
      </c>
      <c r="B7740" s="1" t="n">
        <v>234.82</v>
      </c>
      <c r="C7740" s="1" t="n">
        <f aca="false">1/B7740</f>
        <v>0.00425858104079721</v>
      </c>
      <c r="D7740" s="1" t="n">
        <v>0.62902</v>
      </c>
      <c r="E7740" s="1" t="n">
        <f aca="false">LN(D7740)</f>
        <v>-0.46359222628481</v>
      </c>
    </row>
    <row r="7741" customFormat="false" ht="15.75" hidden="false" customHeight="false" outlineLevel="0" collapsed="false">
      <c r="A7741" s="1" t="s">
        <v>1178</v>
      </c>
      <c r="B7741" s="1" t="n">
        <v>235.53</v>
      </c>
      <c r="C7741" s="1" t="n">
        <f aca="false">1/B7741</f>
        <v>0.0042457436419989</v>
      </c>
      <c r="D7741" s="1" t="n">
        <v>0.6226</v>
      </c>
      <c r="E7741" s="1" t="n">
        <f aca="false">LN(D7741)</f>
        <v>-0.473851020974629</v>
      </c>
    </row>
    <row r="7742" customFormat="false" ht="15.75" hidden="false" customHeight="false" outlineLevel="0" collapsed="false">
      <c r="A7742" s="1" t="s">
        <v>1178</v>
      </c>
      <c r="B7742" s="1" t="n">
        <v>236.23</v>
      </c>
      <c r="C7742" s="1" t="n">
        <f aca="false">1/B7742</f>
        <v>0.0042331625957753</v>
      </c>
      <c r="D7742" s="1" t="n">
        <v>0.61628</v>
      </c>
      <c r="E7742" s="1" t="n">
        <f aca="false">LN(D7742)</f>
        <v>-0.484053873268563</v>
      </c>
    </row>
    <row r="7743" customFormat="false" ht="15.75" hidden="false" customHeight="false" outlineLevel="0" collapsed="false">
      <c r="A7743" s="1" t="s">
        <v>1178</v>
      </c>
      <c r="B7743" s="1" t="n">
        <v>236.93</v>
      </c>
      <c r="C7743" s="1" t="n">
        <f aca="false">1/B7743</f>
        <v>0.00422065588992529</v>
      </c>
      <c r="D7743" s="1" t="n">
        <v>0.61007</v>
      </c>
      <c r="E7743" s="1" t="n">
        <f aca="false">LN(D7743)</f>
        <v>-0.494181574300167</v>
      </c>
    </row>
    <row r="7744" customFormat="false" ht="15.75" hidden="false" customHeight="false" outlineLevel="0" collapsed="false">
      <c r="A7744" s="1" t="s">
        <v>1178</v>
      </c>
      <c r="B7744" s="1" t="n">
        <v>237.64</v>
      </c>
      <c r="C7744" s="1" t="n">
        <f aca="false">1/B7744</f>
        <v>0.00420804578353813</v>
      </c>
      <c r="D7744" s="1" t="n">
        <v>0.60396</v>
      </c>
      <c r="E7744" s="1" t="n">
        <f aca="false">LN(D7744)</f>
        <v>-0.504247308405868</v>
      </c>
    </row>
    <row r="7745" customFormat="false" ht="15.75" hidden="false" customHeight="false" outlineLevel="0" collapsed="false">
      <c r="A7745" s="1" t="s">
        <v>1178</v>
      </c>
      <c r="B7745" s="1" t="n">
        <v>238.34</v>
      </c>
      <c r="C7745" s="1" t="n">
        <f aca="false">1/B7745</f>
        <v>0.00419568683393472</v>
      </c>
      <c r="D7745" s="1" t="n">
        <v>0.59794</v>
      </c>
      <c r="E7745" s="1" t="n">
        <f aca="false">LN(D7745)</f>
        <v>-0.514264864513503</v>
      </c>
    </row>
    <row r="7746" customFormat="false" ht="15.75" hidden="false" customHeight="false" outlineLevel="0" collapsed="false">
      <c r="A7746" s="1" t="s">
        <v>1178</v>
      </c>
      <c r="B7746" s="1" t="n">
        <v>239.04</v>
      </c>
      <c r="C7746" s="1" t="n">
        <f aca="false">1/B7746</f>
        <v>0.00418340026773762</v>
      </c>
      <c r="D7746" s="1" t="n">
        <v>0.59202</v>
      </c>
      <c r="E7746" s="1" t="n">
        <f aca="false">LN(D7746)</f>
        <v>-0.524214860885007</v>
      </c>
    </row>
    <row r="7747" customFormat="false" ht="15.75" hidden="false" customHeight="false" outlineLevel="0" collapsed="false">
      <c r="A7747" s="1" t="s">
        <v>1178</v>
      </c>
      <c r="B7747" s="1" t="n">
        <v>239.75</v>
      </c>
      <c r="C7747" s="1" t="n">
        <f aca="false">1/B7747</f>
        <v>0.00417101147028154</v>
      </c>
      <c r="D7747" s="1" t="n">
        <v>0.58619</v>
      </c>
      <c r="E7747" s="1" t="n">
        <f aca="false">LN(D7747)</f>
        <v>-0.534111309875076</v>
      </c>
    </row>
    <row r="7748" customFormat="false" ht="15.75" hidden="false" customHeight="false" outlineLevel="0" collapsed="false">
      <c r="A7748" s="1" t="s">
        <v>1178</v>
      </c>
      <c r="B7748" s="1" t="n">
        <v>240.45</v>
      </c>
      <c r="C7748" s="1" t="n">
        <f aca="false">1/B7748</f>
        <v>0.00415886878768975</v>
      </c>
      <c r="D7748" s="1" t="n">
        <v>0.58045</v>
      </c>
      <c r="E7748" s="1" t="n">
        <f aca="false">LN(D7748)</f>
        <v>-0.543951614198092</v>
      </c>
    </row>
    <row r="7749" customFormat="false" ht="15.75" hidden="false" customHeight="false" outlineLevel="0" collapsed="false">
      <c r="A7749" s="1" t="s">
        <v>1178</v>
      </c>
      <c r="B7749" s="1" t="n">
        <v>241.16</v>
      </c>
      <c r="C7749" s="1" t="n">
        <f aca="false">1/B7749</f>
        <v>0.00414662464753691</v>
      </c>
      <c r="D7749" s="1" t="n">
        <v>0.5748</v>
      </c>
      <c r="E7749" s="1" t="n">
        <f aca="false">LN(D7749)</f>
        <v>-0.553733124777267</v>
      </c>
    </row>
    <row r="7750" customFormat="false" ht="15.75" hidden="false" customHeight="false" outlineLevel="0" collapsed="false">
      <c r="A7750" s="1" t="s">
        <v>1178</v>
      </c>
      <c r="B7750" s="1" t="n">
        <v>241.86</v>
      </c>
      <c r="C7750" s="1" t="n">
        <f aca="false">1/B7750</f>
        <v>0.00413462333581411</v>
      </c>
      <c r="D7750" s="1" t="n">
        <v>0.56924</v>
      </c>
      <c r="E7750" s="1" t="n">
        <f aca="false">LN(D7750)</f>
        <v>-0.563453141166678</v>
      </c>
    </row>
    <row r="7751" customFormat="false" ht="15.75" hidden="false" customHeight="false" outlineLevel="0" collapsed="false">
      <c r="A7751" s="1" t="s">
        <v>1178</v>
      </c>
      <c r="B7751" s="1" t="n">
        <v>242.56</v>
      </c>
      <c r="C7751" s="1" t="n">
        <f aca="false">1/B7751</f>
        <v>0.00412269129287599</v>
      </c>
      <c r="D7751" s="1" t="n">
        <v>0.56376</v>
      </c>
      <c r="E7751" s="1" t="n">
        <f aca="false">LN(D7751)</f>
        <v>-0.57312664996337</v>
      </c>
    </row>
    <row r="7752" customFormat="false" ht="15.75" hidden="false" customHeight="false" outlineLevel="0" collapsed="false">
      <c r="A7752" s="1" t="s">
        <v>1178</v>
      </c>
      <c r="B7752" s="1" t="n">
        <v>243.27</v>
      </c>
      <c r="C7752" s="1" t="n">
        <f aca="false">1/B7752</f>
        <v>0.00411065893862786</v>
      </c>
      <c r="D7752" s="1" t="n">
        <v>0.55837</v>
      </c>
      <c r="E7752" s="1" t="n">
        <f aca="false">LN(D7752)</f>
        <v>-0.582733453905577</v>
      </c>
    </row>
    <row r="7753" customFormat="false" ht="15.75" hidden="false" customHeight="false" outlineLevel="0" collapsed="false">
      <c r="A7753" s="1" t="s">
        <v>1178</v>
      </c>
      <c r="B7753" s="1" t="n">
        <v>243.97</v>
      </c>
      <c r="C7753" s="1" t="n">
        <f aca="false">1/B7753</f>
        <v>0.00409886461450178</v>
      </c>
      <c r="D7753" s="1" t="n">
        <v>0.55306</v>
      </c>
      <c r="E7753" s="1" t="n">
        <f aca="false">LN(D7753)</f>
        <v>-0.592288784249563</v>
      </c>
    </row>
    <row r="7754" customFormat="false" ht="15.75" hidden="false" customHeight="false" outlineLevel="0" collapsed="false">
      <c r="A7754" s="1" t="s">
        <v>1178</v>
      </c>
      <c r="B7754" s="1" t="n">
        <v>244.67</v>
      </c>
      <c r="C7754" s="1" t="n">
        <f aca="false">1/B7754</f>
        <v>0.00408713777741448</v>
      </c>
      <c r="D7754" s="1" t="n">
        <v>0.54783</v>
      </c>
      <c r="E7754" s="1" t="n">
        <f aca="false">LN(D7754)</f>
        <v>-0.601790259140085</v>
      </c>
    </row>
    <row r="7755" customFormat="false" ht="15.75" hidden="false" customHeight="false" outlineLevel="0" collapsed="false">
      <c r="A7755" s="1" t="s">
        <v>1178</v>
      </c>
      <c r="B7755" s="1" t="n">
        <v>245.38</v>
      </c>
      <c r="C7755" s="1" t="n">
        <f aca="false">1/B7755</f>
        <v>0.00407531176134974</v>
      </c>
      <c r="D7755" s="1" t="n">
        <v>0.54267</v>
      </c>
      <c r="E7755" s="1" t="n">
        <f aca="false">LN(D7755)</f>
        <v>-0.611253878600484</v>
      </c>
    </row>
    <row r="7756" customFormat="false" ht="15.75" hidden="false" customHeight="false" outlineLevel="0" collapsed="false">
      <c r="A7756" s="1" t="s">
        <v>1178</v>
      </c>
      <c r="B7756" s="1" t="n">
        <v>246.08</v>
      </c>
      <c r="C7756" s="1" t="n">
        <f aca="false">1/B7756</f>
        <v>0.00406371911573472</v>
      </c>
      <c r="D7756" s="1" t="n">
        <v>0.53759</v>
      </c>
      <c r="E7756" s="1" t="n">
        <f aca="false">LN(D7756)</f>
        <v>-0.620659091136678</v>
      </c>
    </row>
    <row r="7757" customFormat="false" ht="15.75" hidden="false" customHeight="false" outlineLevel="0" collapsed="false">
      <c r="A7757" s="1" t="s">
        <v>1178</v>
      </c>
      <c r="B7757" s="1" t="n">
        <v>246.78</v>
      </c>
      <c r="C7757" s="1" t="n">
        <f aca="false">1/B7757</f>
        <v>0.00405219223599968</v>
      </c>
      <c r="D7757" s="1" t="n">
        <v>0.53259</v>
      </c>
      <c r="E7757" s="1" t="n">
        <f aca="false">LN(D7757)</f>
        <v>-0.630003381595321</v>
      </c>
    </row>
    <row r="7758" customFormat="false" ht="15.75" hidden="false" customHeight="false" outlineLevel="0" collapsed="false">
      <c r="A7758" s="1" t="s">
        <v>1178</v>
      </c>
      <c r="B7758" s="1" t="n">
        <v>247.49</v>
      </c>
      <c r="C7758" s="1" t="n">
        <f aca="false">1/B7758</f>
        <v>0.00404056729564831</v>
      </c>
      <c r="D7758" s="1" t="n">
        <v>0.52766</v>
      </c>
      <c r="E7758" s="1" t="n">
        <f aca="false">LN(D7758)</f>
        <v>-0.639303142087834</v>
      </c>
    </row>
    <row r="7759" customFormat="false" ht="15.75" hidden="false" customHeight="false" outlineLevel="0" collapsed="false">
      <c r="A7759" s="1" t="s">
        <v>1178</v>
      </c>
      <c r="B7759" s="1" t="n">
        <v>248.19</v>
      </c>
      <c r="C7759" s="1" t="n">
        <f aca="false">1/B7759</f>
        <v>0.00402917119948427</v>
      </c>
      <c r="D7759" s="1" t="n">
        <v>0.5228</v>
      </c>
      <c r="E7759" s="1" t="n">
        <f aca="false">LN(D7759)</f>
        <v>-0.64855629723207</v>
      </c>
    </row>
    <row r="7760" customFormat="false" ht="15.75" hidden="false" customHeight="false" outlineLevel="0" collapsed="false">
      <c r="A7760" s="1" t="s">
        <v>1178</v>
      </c>
      <c r="B7760" s="1" t="n">
        <v>248.9</v>
      </c>
      <c r="C7760" s="1" t="n">
        <f aca="false">1/B7760</f>
        <v>0.00401767778224186</v>
      </c>
      <c r="D7760" s="1" t="n">
        <v>0.51801</v>
      </c>
      <c r="E7760" s="1" t="n">
        <f aca="false">LN(D7760)</f>
        <v>-0.657760731889689</v>
      </c>
    </row>
    <row r="7761" customFormat="false" ht="15.75" hidden="false" customHeight="false" outlineLevel="0" collapsed="false">
      <c r="A7761" s="1" t="s">
        <v>1178</v>
      </c>
      <c r="B7761" s="1" t="n">
        <v>249.6</v>
      </c>
      <c r="C7761" s="1" t="n">
        <f aca="false">1/B7761</f>
        <v>0.00400641025641026</v>
      </c>
      <c r="D7761" s="1" t="n">
        <v>0.51329</v>
      </c>
      <c r="E7761" s="1" t="n">
        <f aca="false">LN(D7761)</f>
        <v>-0.666914291390183</v>
      </c>
    </row>
    <row r="7762" customFormat="false" ht="15.75" hidden="false" customHeight="false" outlineLevel="0" collapsed="false">
      <c r="A7762" s="1" t="s">
        <v>1178</v>
      </c>
      <c r="B7762" s="1" t="n">
        <v>250.3</v>
      </c>
      <c r="C7762" s="1" t="n">
        <f aca="false">1/B7762</f>
        <v>0.00399520575309628</v>
      </c>
      <c r="D7762" s="1" t="n">
        <v>0.50863</v>
      </c>
      <c r="E7762" s="1" t="n">
        <f aca="false">LN(D7762)</f>
        <v>-0.676034442283435</v>
      </c>
    </row>
    <row r="7763" customFormat="false" ht="15.75" hidden="false" customHeight="false" outlineLevel="0" collapsed="false">
      <c r="A7763" s="1" t="s">
        <v>1178</v>
      </c>
      <c r="B7763" s="1" t="n">
        <v>251.01</v>
      </c>
      <c r="C7763" s="1" t="n">
        <f aca="false">1/B7763</f>
        <v>0.00398390502370424</v>
      </c>
      <c r="D7763" s="1" t="n">
        <v>0.50404</v>
      </c>
      <c r="E7763" s="1" t="n">
        <f aca="false">LN(D7763)</f>
        <v>-0.685099648980645</v>
      </c>
    </row>
    <row r="7764" customFormat="false" ht="15.75" hidden="false" customHeight="false" outlineLevel="0" collapsed="false">
      <c r="A7764" s="1" t="s">
        <v>1178</v>
      </c>
      <c r="B7764" s="1" t="n">
        <v>251.71</v>
      </c>
      <c r="C7764" s="1" t="n">
        <f aca="false">1/B7764</f>
        <v>0.00397282587104207</v>
      </c>
      <c r="D7764" s="1" t="n">
        <v>0.49952</v>
      </c>
      <c r="E7764" s="1" t="n">
        <f aca="false">LN(D7764)</f>
        <v>-0.69410764165507</v>
      </c>
    </row>
    <row r="7765" customFormat="false" ht="15.75" hidden="false" customHeight="false" outlineLevel="0" collapsed="false">
      <c r="A7765" s="1" t="s">
        <v>1178</v>
      </c>
      <c r="B7765" s="1" t="n">
        <v>252.41</v>
      </c>
      <c r="C7765" s="1" t="n">
        <f aca="false">1/B7765</f>
        <v>0.00396180816924844</v>
      </c>
      <c r="D7765" s="1" t="n">
        <v>0.49506</v>
      </c>
      <c r="E7765" s="1" t="n">
        <f aca="false">LN(D7765)</f>
        <v>-0.70307631163783</v>
      </c>
    </row>
    <row r="7766" customFormat="false" ht="15.75" hidden="false" customHeight="false" outlineLevel="0" collapsed="false">
      <c r="A7766" s="1" t="s">
        <v>1178</v>
      </c>
      <c r="B7766" s="1" t="n">
        <v>253.12</v>
      </c>
      <c r="C7766" s="1" t="n">
        <f aca="false">1/B7766</f>
        <v>0.00395069532237674</v>
      </c>
      <c r="D7766" s="1" t="n">
        <v>0.49066</v>
      </c>
      <c r="E7766" s="1" t="n">
        <f aca="false">LN(D7766)</f>
        <v>-0.71200385541025</v>
      </c>
    </row>
    <row r="7767" customFormat="false" ht="15.75" hidden="false" customHeight="false" outlineLevel="0" collapsed="false">
      <c r="A7767" s="1" t="s">
        <v>1178</v>
      </c>
      <c r="B7767" s="1" t="n">
        <v>253.82</v>
      </c>
      <c r="C7767" s="1" t="n">
        <f aca="false">1/B7767</f>
        <v>0.00393979985816721</v>
      </c>
      <c r="D7767" s="1" t="n">
        <v>0.48632</v>
      </c>
      <c r="E7767" s="1" t="n">
        <f aca="false">LN(D7767)</f>
        <v>-0.72088843554167</v>
      </c>
    </row>
    <row r="7768" customFormat="false" ht="15.75" hidden="false" customHeight="false" outlineLevel="0" collapsed="false">
      <c r="A7768" s="1" t="s">
        <v>1178</v>
      </c>
      <c r="B7768" s="1" t="n">
        <v>254.52</v>
      </c>
      <c r="C7768" s="1" t="n">
        <f aca="false">1/B7768</f>
        <v>0.00392896432500393</v>
      </c>
      <c r="D7768" s="1" t="n">
        <v>0.48204</v>
      </c>
      <c r="E7768" s="1" t="n">
        <f aca="false">LN(D7768)</f>
        <v>-0.729728180822946</v>
      </c>
    </row>
    <row r="7769" customFormat="false" ht="15.75" hidden="false" customHeight="false" outlineLevel="0" collapsed="false">
      <c r="A7769" s="1" t="s">
        <v>1178</v>
      </c>
      <c r="B7769" s="1" t="n">
        <v>255.23</v>
      </c>
      <c r="C7769" s="1" t="n">
        <f aca="false">1/B7769</f>
        <v>0.00391803471378756</v>
      </c>
      <c r="D7769" s="1" t="n">
        <v>0.47782</v>
      </c>
      <c r="E7769" s="1" t="n">
        <f aca="false">LN(D7769)</f>
        <v>-0.738521186448263</v>
      </c>
    </row>
    <row r="7770" customFormat="false" ht="15.75" hidden="false" customHeight="false" outlineLevel="0" collapsed="false">
      <c r="A7770" s="1" t="s">
        <v>1178</v>
      </c>
      <c r="B7770" s="1" t="n">
        <v>255.93</v>
      </c>
      <c r="C7770" s="1" t="n">
        <f aca="false">1/B7770</f>
        <v>0.00390731840737702</v>
      </c>
      <c r="D7770" s="1" t="n">
        <v>0.47366</v>
      </c>
      <c r="E7770" s="1" t="n">
        <f aca="false">LN(D7770)</f>
        <v>-0.74726551424755</v>
      </c>
    </row>
    <row r="7771" customFormat="false" ht="15.75" hidden="false" customHeight="false" outlineLevel="0" collapsed="false">
      <c r="A7771" s="1" t="s">
        <v>1178</v>
      </c>
      <c r="B7771" s="1" t="n">
        <v>256.64</v>
      </c>
      <c r="C7771" s="1" t="n">
        <f aca="false">1/B7771</f>
        <v>0.00389650872817955</v>
      </c>
      <c r="D7771" s="1" t="n">
        <v>0.46955</v>
      </c>
      <c r="E7771" s="1" t="n">
        <f aca="false">LN(D7771)</f>
        <v>-0.755980489731514</v>
      </c>
    </row>
    <row r="7772" customFormat="false" ht="15.75" hidden="false" customHeight="false" outlineLevel="0" collapsed="false">
      <c r="A7772" s="1" t="s">
        <v>1178</v>
      </c>
      <c r="B7772" s="1" t="n">
        <v>257.34</v>
      </c>
      <c r="C7772" s="1" t="n">
        <f aca="false">1/B7772</f>
        <v>0.00388590969145877</v>
      </c>
      <c r="D7772" s="1" t="n">
        <v>0.4655</v>
      </c>
      <c r="E7772" s="1" t="n">
        <f aca="false">LN(D7772)</f>
        <v>-0.764643182265015</v>
      </c>
    </row>
    <row r="7773" customFormat="false" ht="15.75" hidden="false" customHeight="false" outlineLevel="0" collapsed="false">
      <c r="A7773" s="1" t="s">
        <v>1178</v>
      </c>
      <c r="B7773" s="1" t="n">
        <v>258.04</v>
      </c>
      <c r="C7773" s="1" t="n">
        <f aca="false">1/B7773</f>
        <v>0.0038753681599752</v>
      </c>
      <c r="D7773" s="1" t="n">
        <v>0.4615</v>
      </c>
      <c r="E7773" s="1" t="n">
        <f aca="false">LN(D7773)</f>
        <v>-0.77327322503923</v>
      </c>
    </row>
    <row r="7774" customFormat="false" ht="15.75" hidden="false" customHeight="false" outlineLevel="0" collapsed="false">
      <c r="A7774" s="1" t="s">
        <v>1178</v>
      </c>
      <c r="B7774" s="1" t="n">
        <v>258.75</v>
      </c>
      <c r="C7774" s="1" t="n">
        <f aca="false">1/B7774</f>
        <v>0.00386473429951691</v>
      </c>
      <c r="D7774" s="1" t="n">
        <v>0.45756</v>
      </c>
      <c r="E7774" s="1" t="n">
        <f aca="false">LN(D7774)</f>
        <v>-0.781847255324664</v>
      </c>
    </row>
    <row r="7775" customFormat="false" ht="15.75" hidden="false" customHeight="false" outlineLevel="0" collapsed="false">
      <c r="A7775" s="1" t="s">
        <v>1178</v>
      </c>
      <c r="B7775" s="1" t="n">
        <v>259.45</v>
      </c>
      <c r="C7775" s="1" t="n">
        <f aca="false">1/B7775</f>
        <v>0.00385430718828291</v>
      </c>
      <c r="D7775" s="1" t="n">
        <v>0.45367</v>
      </c>
      <c r="E7775" s="1" t="n">
        <f aca="false">LN(D7775)</f>
        <v>-0.790385217487199</v>
      </c>
    </row>
    <row r="7776" customFormat="false" ht="15.75" hidden="false" customHeight="false" outlineLevel="0" collapsed="false">
      <c r="A7776" s="1" t="s">
        <v>1178</v>
      </c>
      <c r="B7776" s="1" t="n">
        <v>260.15</v>
      </c>
      <c r="C7776" s="1" t="n">
        <f aca="false">1/B7776</f>
        <v>0.00384393619065924</v>
      </c>
      <c r="D7776" s="1" t="n">
        <v>0.44982</v>
      </c>
      <c r="E7776" s="1" t="n">
        <f aca="false">LN(D7776)</f>
        <v>-0.798907776239111</v>
      </c>
    </row>
    <row r="7777" customFormat="false" ht="15.75" hidden="false" customHeight="false" outlineLevel="0" collapsed="false">
      <c r="A7777" s="1" t="s">
        <v>1178</v>
      </c>
      <c r="B7777" s="1" t="n">
        <v>260.86</v>
      </c>
      <c r="C7777" s="1" t="n">
        <f aca="false">1/B7777</f>
        <v>0.00383347389404278</v>
      </c>
      <c r="D7777" s="1" t="n">
        <v>0.44603</v>
      </c>
      <c r="E7777" s="1" t="n">
        <f aca="false">LN(D7777)</f>
        <v>-0.807369064650242</v>
      </c>
    </row>
    <row r="7778" customFormat="false" ht="15.75" hidden="false" customHeight="false" outlineLevel="0" collapsed="false">
      <c r="A7778" s="1" t="s">
        <v>1178</v>
      </c>
      <c r="B7778" s="1" t="n">
        <v>261.56</v>
      </c>
      <c r="C7778" s="1" t="n">
        <f aca="false">1/B7778</f>
        <v>0.00382321455880104</v>
      </c>
      <c r="D7778" s="1" t="n">
        <v>0.44229</v>
      </c>
      <c r="E7778" s="1" t="n">
        <f aca="false">LN(D7778)</f>
        <v>-0.815789503452299</v>
      </c>
    </row>
    <row r="7779" customFormat="false" ht="15.75" hidden="false" customHeight="false" outlineLevel="0" collapsed="false">
      <c r="A7779" s="1" t="s">
        <v>1178</v>
      </c>
      <c r="B7779" s="1" t="n">
        <v>262.26</v>
      </c>
      <c r="C7779" s="1" t="n">
        <f aca="false">1/B7779</f>
        <v>0.00381300999008617</v>
      </c>
      <c r="D7779" s="1" t="n">
        <v>0.43859</v>
      </c>
      <c r="E7779" s="1" t="n">
        <f aca="false">LN(D7779)</f>
        <v>-0.824190243075871</v>
      </c>
    </row>
    <row r="7780" customFormat="false" ht="15.75" hidden="false" customHeight="false" outlineLevel="0" collapsed="false">
      <c r="A7780" s="1" t="s">
        <v>1178</v>
      </c>
      <c r="B7780" s="1" t="n">
        <v>262.97</v>
      </c>
      <c r="C7780" s="1" t="n">
        <f aca="false">1/B7780</f>
        <v>0.00380271513860897</v>
      </c>
      <c r="D7780" s="1" t="n">
        <v>0.43494</v>
      </c>
      <c r="E7780" s="1" t="n">
        <f aca="false">LN(D7780)</f>
        <v>-0.832547188441296</v>
      </c>
    </row>
    <row r="7781" customFormat="false" ht="15.75" hidden="false" customHeight="false" outlineLevel="0" collapsed="false">
      <c r="A7781" s="1" t="s">
        <v>1178</v>
      </c>
      <c r="B7781" s="1" t="n">
        <v>263.67</v>
      </c>
      <c r="C7781" s="1" t="n">
        <f aca="false">1/B7781</f>
        <v>0.0037926195623317</v>
      </c>
      <c r="D7781" s="1" t="n">
        <v>0.43134</v>
      </c>
      <c r="E7781" s="1" t="n">
        <f aca="false">LN(D7781)</f>
        <v>-0.840858636758302</v>
      </c>
    </row>
    <row r="7782" customFormat="false" ht="15.75" hidden="false" customHeight="false" outlineLevel="0" collapsed="false">
      <c r="A7782" s="1" t="s">
        <v>1178</v>
      </c>
      <c r="B7782" s="1" t="n">
        <v>264.37</v>
      </c>
      <c r="C7782" s="1" t="n">
        <f aca="false">1/B7782</f>
        <v>0.00378257744827325</v>
      </c>
      <c r="D7782" s="1" t="n">
        <v>0.42779</v>
      </c>
      <c r="E7782" s="1" t="n">
        <f aca="false">LN(D7782)</f>
        <v>-0.84912285801611</v>
      </c>
    </row>
    <row r="7783" customFormat="false" ht="15.75" hidden="false" customHeight="false" outlineLevel="0" collapsed="false">
      <c r="A7783" s="1" t="s">
        <v>1178</v>
      </c>
      <c r="B7783" s="1" t="n">
        <v>265.08</v>
      </c>
      <c r="C7783" s="1" t="n">
        <f aca="false">1/B7783</f>
        <v>0.00377244605402143</v>
      </c>
      <c r="D7783" s="1" t="n">
        <v>0.42428</v>
      </c>
      <c r="E7783" s="1" t="n">
        <f aca="false">LN(D7783)</f>
        <v>-0.857361664344868</v>
      </c>
    </row>
    <row r="7784" customFormat="false" ht="15.75" hidden="false" customHeight="false" outlineLevel="0" collapsed="false">
      <c r="A7784" s="1" t="s">
        <v>1178</v>
      </c>
      <c r="B7784" s="1" t="n">
        <v>265.78</v>
      </c>
      <c r="C7784" s="1" t="n">
        <f aca="false">1/B7784</f>
        <v>0.00376251034690345</v>
      </c>
      <c r="D7784" s="1" t="n">
        <v>0.42081</v>
      </c>
      <c r="E7784" s="1" t="n">
        <f aca="false">LN(D7784)</f>
        <v>-0.865573853582447</v>
      </c>
    </row>
    <row r="7785" customFormat="false" ht="15.75" hidden="false" customHeight="false" outlineLevel="0" collapsed="false">
      <c r="A7785" s="1" t="s">
        <v>1178</v>
      </c>
      <c r="B7785" s="1" t="n">
        <v>266.49</v>
      </c>
      <c r="C7785" s="1" t="n">
        <f aca="false">1/B7785</f>
        <v>0.00375248602198957</v>
      </c>
      <c r="D7785" s="1" t="n">
        <v>0.41738</v>
      </c>
      <c r="E7785" s="1" t="n">
        <f aca="false">LN(D7785)</f>
        <v>-0.873758201155453</v>
      </c>
    </row>
    <row r="7786" customFormat="false" ht="15.75" hidden="false" customHeight="false" outlineLevel="0" collapsed="false">
      <c r="A7786" s="1" t="s">
        <v>1178</v>
      </c>
      <c r="B7786" s="1" t="n">
        <v>267.19</v>
      </c>
      <c r="C7786" s="1" t="n">
        <f aca="false">1/B7786</f>
        <v>0.00374265503948501</v>
      </c>
      <c r="D7786" s="1" t="n">
        <v>0.414</v>
      </c>
      <c r="E7786" s="1" t="n">
        <f aca="false">LN(D7786)</f>
        <v>-0.881889305156823</v>
      </c>
    </row>
    <row r="7787" customFormat="false" ht="15.75" hidden="false" customHeight="false" outlineLevel="0" collapsed="false">
      <c r="A7787" s="1" t="s">
        <v>1178</v>
      </c>
      <c r="B7787" s="1" t="n">
        <v>267.89</v>
      </c>
      <c r="C7787" s="1" t="n">
        <f aca="false">1/B7787</f>
        <v>0.00373287543394677</v>
      </c>
      <c r="D7787" s="1" t="n">
        <v>0.41066</v>
      </c>
      <c r="E7787" s="1" t="n">
        <f aca="false">LN(D7787)</f>
        <v>-0.889989657454784</v>
      </c>
    </row>
    <row r="7788" customFormat="false" ht="15.75" hidden="false" customHeight="false" outlineLevel="0" collapsed="false">
      <c r="A7788" s="1" t="s">
        <v>1178</v>
      </c>
      <c r="B7788" s="1" t="n">
        <v>268.6</v>
      </c>
      <c r="C7788" s="1" t="n">
        <f aca="false">1/B7788</f>
        <v>0.00372300819061802</v>
      </c>
      <c r="D7788" s="1" t="n">
        <v>0.40736</v>
      </c>
      <c r="E7788" s="1" t="n">
        <f aca="false">LN(D7788)</f>
        <v>-0.898057963613095</v>
      </c>
    </row>
    <row r="7789" customFormat="false" ht="15.75" hidden="false" customHeight="false" outlineLevel="0" collapsed="false">
      <c r="A7789" s="1" t="s">
        <v>1178</v>
      </c>
      <c r="B7789" s="1" t="n">
        <v>269.3</v>
      </c>
      <c r="C7789" s="1" t="n">
        <f aca="false">1/B7789</f>
        <v>0.00371333085777943</v>
      </c>
      <c r="D7789" s="1" t="n">
        <v>0.4041</v>
      </c>
      <c r="E7789" s="1" t="n">
        <f aca="false">LN(D7789)</f>
        <v>-0.906092906897709</v>
      </c>
    </row>
    <row r="7790" customFormat="false" ht="15.75" hidden="false" customHeight="false" outlineLevel="0" collapsed="false">
      <c r="A7790" s="1" t="s">
        <v>1178</v>
      </c>
      <c r="B7790" s="1" t="n">
        <v>270</v>
      </c>
      <c r="C7790" s="1" t="n">
        <f aca="false">1/B7790</f>
        <v>0.0037037037037037</v>
      </c>
      <c r="D7790" s="1" t="n">
        <v>0.40088</v>
      </c>
      <c r="E7790" s="1" t="n">
        <f aca="false">LN(D7790)</f>
        <v>-0.914093148330668</v>
      </c>
    </row>
    <row r="7791" customFormat="false" ht="15.75" hidden="false" customHeight="false" outlineLevel="0" collapsed="false">
      <c r="A7791" s="1" t="s">
        <v>1178</v>
      </c>
      <c r="B7791" s="1" t="n">
        <v>270.71</v>
      </c>
      <c r="C7791" s="1" t="n">
        <f aca="false">1/B7791</f>
        <v>0.00369398987846773</v>
      </c>
      <c r="D7791" s="1" t="n">
        <v>0.3977</v>
      </c>
      <c r="E7791" s="1" t="n">
        <f aca="false">LN(D7791)</f>
        <v>-0.922057326768492</v>
      </c>
    </row>
    <row r="7792" customFormat="false" ht="15.75" hidden="false" customHeight="false" outlineLevel="0" collapsed="false">
      <c r="A7792" s="1" t="s">
        <v>1178</v>
      </c>
      <c r="B7792" s="1" t="n">
        <v>271.41</v>
      </c>
      <c r="C7792" s="1" t="n">
        <f aca="false">1/B7792</f>
        <v>0.00368446262112671</v>
      </c>
      <c r="D7792" s="1" t="n">
        <v>0.39456</v>
      </c>
      <c r="E7792" s="1" t="n">
        <f aca="false">LN(D7792)</f>
        <v>-0.929984059006157</v>
      </c>
    </row>
    <row r="7793" customFormat="false" ht="15.75" hidden="false" customHeight="false" outlineLevel="0" collapsed="false">
      <c r="A7793" s="1" t="s">
        <v>1178</v>
      </c>
      <c r="B7793" s="1" t="n">
        <v>272.11</v>
      </c>
      <c r="C7793" s="1" t="n">
        <f aca="false">1/B7793</f>
        <v>0.00367498438131638</v>
      </c>
      <c r="D7793" s="1" t="n">
        <v>0.39145</v>
      </c>
      <c r="E7793" s="1" t="n">
        <f aca="false">LN(D7793)</f>
        <v>-0.937897485628214</v>
      </c>
    </row>
    <row r="7794" customFormat="false" ht="15.75" hidden="false" customHeight="false" outlineLevel="0" collapsed="false">
      <c r="A7794" s="1" t="s">
        <v>1178</v>
      </c>
      <c r="B7794" s="1" t="n">
        <v>272.82</v>
      </c>
      <c r="C7794" s="1" t="n">
        <f aca="false">1/B7794</f>
        <v>0.0036654204237226</v>
      </c>
      <c r="D7794" s="1" t="n">
        <v>0.38838</v>
      </c>
      <c r="E7794" s="1" t="n">
        <f aca="false">LN(D7794)</f>
        <v>-0.945771037196663</v>
      </c>
    </row>
    <row r="7795" customFormat="false" ht="15.75" hidden="false" customHeight="false" outlineLevel="0" collapsed="false">
      <c r="A7795" s="1" t="s">
        <v>1178</v>
      </c>
      <c r="B7795" s="1" t="n">
        <v>273.52</v>
      </c>
      <c r="C7795" s="1" t="n">
        <f aca="false">1/B7795</f>
        <v>0.00365603977771278</v>
      </c>
      <c r="D7795" s="1" t="n">
        <v>0.38535</v>
      </c>
      <c r="E7795" s="1" t="n">
        <f aca="false">LN(D7795)</f>
        <v>-0.953603266758135</v>
      </c>
    </row>
    <row r="7796" customFormat="false" ht="15.75" hidden="false" customHeight="false" outlineLevel="0" collapsed="false">
      <c r="A7796" s="1" t="s">
        <v>1178</v>
      </c>
      <c r="B7796" s="1" t="n">
        <v>274.23</v>
      </c>
      <c r="C7796" s="1" t="n">
        <f aca="false">1/B7796</f>
        <v>0.00364657404368596</v>
      </c>
      <c r="D7796" s="1" t="n">
        <v>0.38235</v>
      </c>
      <c r="E7796" s="1" t="n">
        <f aca="false">LN(D7796)</f>
        <v>-0.961418859491903</v>
      </c>
    </row>
    <row r="7797" customFormat="false" ht="15.75" hidden="false" customHeight="false" outlineLevel="0" collapsed="false">
      <c r="A7797" s="1" t="s">
        <v>1178</v>
      </c>
      <c r="B7797" s="1" t="n">
        <v>274.93</v>
      </c>
      <c r="C7797" s="1" t="n">
        <f aca="false">1/B7797</f>
        <v>0.00363728949187066</v>
      </c>
      <c r="D7797" s="1" t="n">
        <v>0.37939</v>
      </c>
      <c r="E7797" s="1" t="n">
        <f aca="false">LN(D7797)</f>
        <v>-0.969190579235017</v>
      </c>
    </row>
    <row r="7798" customFormat="false" ht="15.75" hidden="false" customHeight="false" outlineLevel="0" collapsed="false">
      <c r="A7798" s="1" t="s">
        <v>1178</v>
      </c>
      <c r="B7798" s="1" t="n">
        <v>275.63</v>
      </c>
      <c r="C7798" s="1" t="n">
        <f aca="false">1/B7798</f>
        <v>0.00362805209882814</v>
      </c>
      <c r="D7798" s="1" t="n">
        <v>0.37646</v>
      </c>
      <c r="E7798" s="1" t="n">
        <f aca="false">LN(D7798)</f>
        <v>-0.976943479086105</v>
      </c>
    </row>
    <row r="7799" customFormat="false" ht="15.75" hidden="false" customHeight="false" outlineLevel="0" collapsed="false">
      <c r="A7799" s="1" t="s">
        <v>1178</v>
      </c>
      <c r="B7799" s="1" t="n">
        <v>276.34</v>
      </c>
      <c r="C7799" s="1" t="n">
        <f aca="false">1/B7799</f>
        <v>0.0036187305493233</v>
      </c>
      <c r="D7799" s="1" t="n">
        <v>0.37357</v>
      </c>
      <c r="E7799" s="1" t="n">
        <f aca="false">LN(D7799)</f>
        <v>-0.984649875637517</v>
      </c>
    </row>
    <row r="7800" customFormat="false" ht="15.75" hidden="false" customHeight="false" outlineLevel="0" collapsed="false">
      <c r="A7800" s="1" t="s">
        <v>1178</v>
      </c>
      <c r="B7800" s="1" t="n">
        <v>277.04</v>
      </c>
      <c r="C7800" s="1" t="n">
        <f aca="false">1/B7800</f>
        <v>0.00360958706323996</v>
      </c>
      <c r="D7800" s="1" t="n">
        <v>0.3707</v>
      </c>
      <c r="E7800" s="1" t="n">
        <f aca="false">LN(D7800)</f>
        <v>-0.992362168825451</v>
      </c>
    </row>
    <row r="7801" customFormat="false" ht="15.75" hidden="false" customHeight="false" outlineLevel="0" collapsed="false">
      <c r="A7801" s="1" t="s">
        <v>1178</v>
      </c>
      <c r="B7801" s="1" t="n">
        <v>277.74</v>
      </c>
      <c r="C7801" s="1" t="n">
        <f aca="false">1/B7801</f>
        <v>0.00360048966659466</v>
      </c>
      <c r="D7801" s="1" t="n">
        <v>0.36788</v>
      </c>
      <c r="E7801" s="1" t="n">
        <f aca="false">LN(D7801)</f>
        <v>-0.99999848094764</v>
      </c>
    </row>
    <row r="7802" customFormat="false" ht="15.75" hidden="false" customHeight="false" outlineLevel="0" collapsed="false">
      <c r="A7802" s="1" t="s">
        <v>1178</v>
      </c>
      <c r="B7802" s="1" t="n">
        <v>278.45</v>
      </c>
      <c r="C7802" s="1" t="n">
        <f aca="false">1/B7802</f>
        <v>0.00359130903214222</v>
      </c>
      <c r="D7802" s="1" t="n">
        <v>0.36508</v>
      </c>
      <c r="E7802" s="1" t="n">
        <f aca="false">LN(D7802)</f>
        <v>-1.00763877133346</v>
      </c>
    </row>
    <row r="7803" customFormat="false" ht="15.75" hidden="false" customHeight="false" outlineLevel="0" collapsed="false">
      <c r="A7803" s="1" t="s">
        <v>1178</v>
      </c>
      <c r="B7803" s="1" t="n">
        <v>279.15</v>
      </c>
      <c r="C7803" s="1" t="n">
        <f aca="false">1/B7803</f>
        <v>0.00358230342109977</v>
      </c>
      <c r="D7803" s="1" t="n">
        <v>0.36231</v>
      </c>
      <c r="E7803" s="1" t="n">
        <f aca="false">LN(D7803)</f>
        <v>-1.01525508002674</v>
      </c>
    </row>
    <row r="7804" customFormat="false" ht="15.75" hidden="false" customHeight="false" outlineLevel="0" collapsed="false">
      <c r="A7804" s="1" t="s">
        <v>1178</v>
      </c>
      <c r="B7804" s="1" t="n">
        <v>279.85</v>
      </c>
      <c r="C7804" s="1" t="n">
        <f aca="false">1/B7804</f>
        <v>0.00357334286224763</v>
      </c>
      <c r="D7804" s="1" t="n">
        <v>0.35958</v>
      </c>
      <c r="E7804" s="1" t="n">
        <f aca="false">LN(D7804)</f>
        <v>-1.02281859528399</v>
      </c>
    </row>
    <row r="7805" customFormat="false" ht="15.75" hidden="false" customHeight="false" outlineLevel="0" collapsed="false">
      <c r="A7805" s="1" t="s">
        <v>1178</v>
      </c>
      <c r="B7805" s="1" t="n">
        <v>280.56</v>
      </c>
      <c r="C7805" s="1" t="n">
        <f aca="false">1/B7805</f>
        <v>0.0035642999714856</v>
      </c>
      <c r="D7805" s="1" t="n">
        <v>0.35688</v>
      </c>
      <c r="E7805" s="1" t="n">
        <f aca="false">LN(D7805)</f>
        <v>-1.03035568816213</v>
      </c>
    </row>
    <row r="7806" customFormat="false" ht="15.75" hidden="false" customHeight="false" outlineLevel="0" collapsed="false">
      <c r="A7806" s="1" t="s">
        <v>1178</v>
      </c>
      <c r="B7806" s="1" t="n">
        <v>281.26</v>
      </c>
      <c r="C7806" s="1" t="n">
        <f aca="false">1/B7806</f>
        <v>0.00355542914029723</v>
      </c>
      <c r="D7806" s="1" t="n">
        <v>0.35421</v>
      </c>
      <c r="E7806" s="1" t="n">
        <f aca="false">LN(D7806)</f>
        <v>-1.03786532139501</v>
      </c>
    </row>
    <row r="7807" customFormat="false" ht="15.75" hidden="false" customHeight="false" outlineLevel="0" collapsed="false">
      <c r="A7807" s="1" t="s">
        <v>1178</v>
      </c>
      <c r="B7807" s="1" t="n">
        <v>281.97</v>
      </c>
      <c r="C7807" s="1" t="n">
        <f aca="false">1/B7807</f>
        <v>0.00354647657552222</v>
      </c>
      <c r="D7807" s="1" t="n">
        <v>0.35156</v>
      </c>
      <c r="E7807" s="1" t="n">
        <f aca="false">LN(D7807)</f>
        <v>-1.04537488528569</v>
      </c>
    </row>
    <row r="7808" customFormat="false" ht="15.75" hidden="false" customHeight="false" outlineLevel="0" collapsed="false">
      <c r="A7808" s="1" t="s">
        <v>1178</v>
      </c>
      <c r="B7808" s="1" t="n">
        <v>282.67</v>
      </c>
      <c r="C7808" s="1" t="n">
        <f aca="false">1/B7808</f>
        <v>0.00353769413096544</v>
      </c>
      <c r="D7808" s="1" t="n">
        <v>0.34895</v>
      </c>
      <c r="E7808" s="1" t="n">
        <f aca="false">LN(D7808)</f>
        <v>-1.05282663351898</v>
      </c>
    </row>
    <row r="7809" customFormat="false" ht="15.75" hidden="false" customHeight="false" outlineLevel="0" collapsed="false">
      <c r="A7809" s="1" t="s">
        <v>1178</v>
      </c>
      <c r="B7809" s="1" t="n">
        <v>283.37</v>
      </c>
      <c r="C7809" s="1" t="n">
        <f aca="false">1/B7809</f>
        <v>0.00352895507640188</v>
      </c>
      <c r="D7809" s="1" t="n">
        <v>0.34636</v>
      </c>
      <c r="E7809" s="1" t="n">
        <f aca="false">LN(D7809)</f>
        <v>-1.06027658240254</v>
      </c>
    </row>
    <row r="7810" customFormat="false" ht="15.75" hidden="false" customHeight="false" outlineLevel="0" collapsed="false">
      <c r="A7810" s="1" t="s">
        <v>1178</v>
      </c>
      <c r="B7810" s="1" t="n">
        <v>284.08</v>
      </c>
      <c r="C7810" s="1" t="n">
        <f aca="false">1/B7810</f>
        <v>0.00352013517319065</v>
      </c>
      <c r="D7810" s="1" t="n">
        <v>0.3438</v>
      </c>
      <c r="E7810" s="1" t="n">
        <f aca="false">LN(D7810)</f>
        <v>-1.06769518603339</v>
      </c>
    </row>
    <row r="7811" customFormat="false" ht="15.75" hidden="false" customHeight="false" outlineLevel="0" collapsed="false">
      <c r="A7811" s="1" t="s">
        <v>1178</v>
      </c>
      <c r="B7811" s="1" t="n">
        <v>284.78</v>
      </c>
      <c r="C7811" s="1" t="n">
        <f aca="false">1/B7811</f>
        <v>0.00351148254793174</v>
      </c>
      <c r="D7811" s="1" t="n">
        <v>0.34128</v>
      </c>
      <c r="E7811" s="1" t="n">
        <f aca="false">LN(D7811)</f>
        <v>-1.0750520242591</v>
      </c>
    </row>
    <row r="7812" customFormat="false" ht="15.75" hidden="false" customHeight="false" outlineLevel="0" collapsed="false">
      <c r="A7812" s="1" t="s">
        <v>1178</v>
      </c>
      <c r="B7812" s="1" t="n">
        <v>285.48</v>
      </c>
      <c r="C7812" s="1" t="n">
        <f aca="false">1/B7812</f>
        <v>0.00350287235533137</v>
      </c>
      <c r="D7812" s="1" t="n">
        <v>0.33877</v>
      </c>
      <c r="E7812" s="1" t="n">
        <f aca="false">LN(D7812)</f>
        <v>-1.08243386794065</v>
      </c>
    </row>
    <row r="7813" customFormat="false" ht="15.75" hidden="false" customHeight="false" outlineLevel="0" collapsed="false">
      <c r="A7813" s="1" t="s">
        <v>1178</v>
      </c>
      <c r="B7813" s="1" t="n">
        <v>286.19</v>
      </c>
      <c r="C7813" s="1" t="n">
        <f aca="false">1/B7813</f>
        <v>0.00349418218665921</v>
      </c>
      <c r="D7813" s="1" t="n">
        <v>0.3363</v>
      </c>
      <c r="E7813" s="1" t="n">
        <f aca="false">LN(D7813)</f>
        <v>-1.08975166023591</v>
      </c>
    </row>
    <row r="7814" customFormat="false" ht="15.75" hidden="false" customHeight="false" outlineLevel="0" collapsed="false">
      <c r="A7814" s="1" t="s">
        <v>1178</v>
      </c>
      <c r="B7814" s="1" t="n">
        <v>286.89</v>
      </c>
      <c r="C7814" s="1" t="n">
        <f aca="false">1/B7814</f>
        <v>0.00348565652340618</v>
      </c>
      <c r="D7814" s="1" t="n">
        <v>0.33385</v>
      </c>
      <c r="E7814" s="1" t="n">
        <f aca="false">LN(D7814)</f>
        <v>-1.09706348867826</v>
      </c>
    </row>
    <row r="7815" customFormat="false" ht="15.75" hidden="false" customHeight="false" outlineLevel="0" collapsed="false">
      <c r="A7815" s="1" t="s">
        <v>1178</v>
      </c>
      <c r="B7815" s="1" t="n">
        <v>287.59</v>
      </c>
      <c r="C7815" s="1" t="n">
        <f aca="false">1/B7815</f>
        <v>0.00347717236343406</v>
      </c>
      <c r="D7815" s="1" t="n">
        <v>0.33143</v>
      </c>
      <c r="E7815" s="1" t="n">
        <f aca="false">LN(D7815)</f>
        <v>-1.10433865304156</v>
      </c>
    </row>
    <row r="7816" customFormat="false" ht="15.75" hidden="false" customHeight="false" outlineLevel="0" collapsed="false">
      <c r="A7816" s="1" t="s">
        <v>1178</v>
      </c>
      <c r="B7816" s="1" t="n">
        <v>288.3</v>
      </c>
      <c r="C7816" s="1" t="n">
        <f aca="false">1/B7816</f>
        <v>0.00346860908775581</v>
      </c>
      <c r="D7816" s="1" t="n">
        <v>0.32903</v>
      </c>
      <c r="E7816" s="1" t="n">
        <f aca="false">LN(D7816)</f>
        <v>-1.11160634696357</v>
      </c>
    </row>
    <row r="7817" customFormat="false" ht="15.75" hidden="false" customHeight="false" outlineLevel="0" collapsed="false">
      <c r="A7817" s="1" t="s">
        <v>1178</v>
      </c>
      <c r="B7817" s="1" t="n">
        <v>289</v>
      </c>
      <c r="C7817" s="1" t="n">
        <f aca="false">1/B7817</f>
        <v>0.00346020761245675</v>
      </c>
      <c r="D7817" s="1" t="n">
        <v>0.32666</v>
      </c>
      <c r="E7817" s="1" t="n">
        <f aca="false">LN(D7817)</f>
        <v>-1.11883540435714</v>
      </c>
    </row>
    <row r="7818" customFormat="false" ht="15.75" hidden="false" customHeight="false" outlineLevel="0" collapsed="false">
      <c r="A7818" s="1" t="s">
        <v>1178</v>
      </c>
      <c r="B7818" s="1" t="n">
        <v>289.71</v>
      </c>
      <c r="C7818" s="1" t="n">
        <f aca="false">1/B7818</f>
        <v>0.00345172758965862</v>
      </c>
      <c r="D7818" s="1" t="n">
        <v>0.32431</v>
      </c>
      <c r="E7818" s="1" t="n">
        <f aca="false">LN(D7818)</f>
        <v>-1.12605543049827</v>
      </c>
    </row>
    <row r="7819" customFormat="false" ht="15.75" hidden="false" customHeight="false" outlineLevel="0" collapsed="false">
      <c r="A7819" s="1" t="s">
        <v>1178</v>
      </c>
      <c r="B7819" s="1" t="n">
        <v>290.41</v>
      </c>
      <c r="C7819" s="1" t="n">
        <f aca="false">1/B7819</f>
        <v>0.00344340759615716</v>
      </c>
      <c r="D7819" s="1" t="n">
        <v>0.32199</v>
      </c>
      <c r="E7819" s="1" t="n">
        <f aca="false">LN(D7819)</f>
        <v>-1.13323478982059</v>
      </c>
    </row>
    <row r="7820" customFormat="false" ht="15.75" hidden="false" customHeight="false" outlineLevel="0" collapsed="false">
      <c r="A7820" s="1" t="s">
        <v>1178</v>
      </c>
      <c r="B7820" s="1" t="n">
        <v>291.11</v>
      </c>
      <c r="C7820" s="1" t="n">
        <f aca="false">1/B7820</f>
        <v>0.0034351276149909</v>
      </c>
      <c r="D7820" s="1" t="n">
        <v>0.31969</v>
      </c>
      <c r="E7820" s="1" t="n">
        <f aca="false">LN(D7820)</f>
        <v>-1.14040350272992</v>
      </c>
    </row>
    <row r="7821" customFormat="false" ht="15.75" hidden="false" customHeight="false" outlineLevel="0" collapsed="false">
      <c r="A7821" s="1" t="s">
        <v>1178</v>
      </c>
      <c r="B7821" s="1" t="n">
        <v>291.82</v>
      </c>
      <c r="C7821" s="1" t="n">
        <f aca="false">1/B7821</f>
        <v>0.00342676992666712</v>
      </c>
      <c r="D7821" s="1" t="n">
        <v>0.31742</v>
      </c>
      <c r="E7821" s="1" t="n">
        <f aca="false">LN(D7821)</f>
        <v>-1.14752946090272</v>
      </c>
    </row>
    <row r="7822" customFormat="false" ht="15.75" hidden="false" customHeight="false" outlineLevel="0" collapsed="false">
      <c r="A7822" s="1" t="s">
        <v>1178</v>
      </c>
      <c r="B7822" s="1" t="n">
        <v>292.52</v>
      </c>
      <c r="C7822" s="1" t="n">
        <f aca="false">1/B7822</f>
        <v>0.00341856967044988</v>
      </c>
      <c r="D7822" s="1" t="n">
        <v>0.31517</v>
      </c>
      <c r="E7822" s="1" t="n">
        <f aca="false">LN(D7822)</f>
        <v>-1.15464310319307</v>
      </c>
    </row>
    <row r="7823" customFormat="false" ht="15.75" hidden="false" customHeight="false" outlineLevel="0" collapsed="false">
      <c r="A7823" s="1" t="s">
        <v>1178</v>
      </c>
      <c r="B7823" s="1" t="n">
        <v>293.22</v>
      </c>
      <c r="C7823" s="1" t="n">
        <f aca="false">1/B7823</f>
        <v>0.00341040856694632</v>
      </c>
      <c r="D7823" s="1" t="n">
        <v>0.31294</v>
      </c>
      <c r="E7823" s="1" t="n">
        <f aca="false">LN(D7823)</f>
        <v>-1.16174380010823</v>
      </c>
    </row>
    <row r="7824" customFormat="false" ht="15.75" hidden="false" customHeight="false" outlineLevel="0" collapsed="false">
      <c r="A7824" s="1" t="s">
        <v>1178</v>
      </c>
      <c r="B7824" s="1" t="n">
        <v>293.93</v>
      </c>
      <c r="C7824" s="1" t="n">
        <f aca="false">1/B7824</f>
        <v>0.00340217058483312</v>
      </c>
      <c r="D7824" s="1" t="n">
        <v>0.31073</v>
      </c>
      <c r="E7824" s="1" t="n">
        <f aca="false">LN(D7824)</f>
        <v>-1.16883091108088</v>
      </c>
    </row>
    <row r="7825" customFormat="false" ht="15.75" hidden="false" customHeight="false" outlineLevel="0" collapsed="false">
      <c r="A7825" s="1" t="s">
        <v>1178</v>
      </c>
      <c r="B7825" s="1" t="n">
        <v>294.63</v>
      </c>
      <c r="C7825" s="1" t="n">
        <f aca="false">1/B7825</f>
        <v>0.00339408749957574</v>
      </c>
      <c r="D7825" s="1" t="n">
        <v>0.30855</v>
      </c>
      <c r="E7825" s="1" t="n">
        <f aca="false">LN(D7825)</f>
        <v>-1.17587137421506</v>
      </c>
    </row>
    <row r="7826" customFormat="false" ht="15.75" hidden="false" customHeight="false" outlineLevel="0" collapsed="false">
      <c r="A7826" s="1" t="s">
        <v>1178</v>
      </c>
      <c r="B7826" s="1" t="n">
        <v>295.33</v>
      </c>
      <c r="C7826" s="1" t="n">
        <f aca="false">1/B7826</f>
        <v>0.00338604273185928</v>
      </c>
      <c r="D7826" s="1" t="n">
        <v>0.30639</v>
      </c>
      <c r="E7826" s="1" t="n">
        <f aca="false">LN(D7826)</f>
        <v>-1.18289647872402</v>
      </c>
    </row>
    <row r="7827" customFormat="false" ht="15.75" hidden="false" customHeight="false" outlineLevel="0" collapsed="false">
      <c r="A7827" s="1" t="s">
        <v>1178</v>
      </c>
      <c r="B7827" s="1" t="n">
        <v>296.04</v>
      </c>
      <c r="C7827" s="1" t="n">
        <f aca="false">1/B7827</f>
        <v>0.00337792190244561</v>
      </c>
      <c r="D7827" s="1" t="n">
        <v>0.30425</v>
      </c>
      <c r="E7827" s="1" t="n">
        <f aca="false">LN(D7827)</f>
        <v>-1.1899055471145</v>
      </c>
    </row>
    <row r="7828" customFormat="false" ht="15.75" hidden="false" customHeight="false" outlineLevel="0" collapsed="false">
      <c r="A7828" s="1" t="s">
        <v>1178</v>
      </c>
      <c r="B7828" s="1" t="n">
        <v>296.74</v>
      </c>
      <c r="C7828" s="1" t="n">
        <f aca="false">1/B7828</f>
        <v>0.00336995349464177</v>
      </c>
      <c r="D7828" s="1" t="n">
        <v>0.30213</v>
      </c>
      <c r="E7828" s="1" t="n">
        <f aca="false">LN(D7828)</f>
        <v>-1.19689789065397</v>
      </c>
    </row>
    <row r="7829" customFormat="false" ht="15.75" hidden="false" customHeight="false" outlineLevel="0" collapsed="false">
      <c r="A7829" s="1" t="s">
        <v>1178</v>
      </c>
      <c r="B7829" s="1" t="n">
        <v>297.44</v>
      </c>
      <c r="C7829" s="1" t="n">
        <f aca="false">1/B7829</f>
        <v>0.00336202259279182</v>
      </c>
      <c r="D7829" s="1" t="n">
        <v>0.30004</v>
      </c>
      <c r="E7829" s="1" t="n">
        <f aca="false">LN(D7829)</f>
        <v>-1.2038394798807</v>
      </c>
    </row>
    <row r="7830" customFormat="false" ht="15.75" hidden="false" customHeight="false" outlineLevel="0" collapsed="false">
      <c r="A7830" s="1" t="s">
        <v>1178</v>
      </c>
      <c r="B7830" s="1" t="n">
        <v>298.15</v>
      </c>
      <c r="C7830" s="1" t="n">
        <f aca="false">1/B7830</f>
        <v>0.00335401643468053</v>
      </c>
      <c r="D7830" s="1" t="n">
        <v>0.29796</v>
      </c>
      <c r="E7830" s="1" t="n">
        <f aca="false">LN(D7830)</f>
        <v>-1.21079602967406</v>
      </c>
    </row>
    <row r="7831" customFormat="false" ht="15.75" hidden="false" customHeight="false" outlineLevel="0" collapsed="false">
      <c r="A7831" s="1" t="s">
        <v>1178</v>
      </c>
      <c r="B7831" s="1" t="n">
        <v>298.85</v>
      </c>
      <c r="C7831" s="1" t="n">
        <f aca="false">1/B7831</f>
        <v>0.00334616028107746</v>
      </c>
      <c r="D7831" s="1" t="n">
        <v>0.29591</v>
      </c>
      <c r="E7831" s="1" t="n">
        <f aca="false">LN(D7831)</f>
        <v>-1.21769992494594</v>
      </c>
    </row>
    <row r="7832" customFormat="false" ht="15.75" hidden="false" customHeight="false" outlineLevel="0" collapsed="false">
      <c r="A7832" s="1" t="s">
        <v>1178</v>
      </c>
      <c r="B7832" s="1" t="n">
        <v>299.56</v>
      </c>
      <c r="C7832" s="1" t="n">
        <f aca="false">1/B7832</f>
        <v>0.00333822940312458</v>
      </c>
      <c r="D7832" s="1" t="n">
        <v>0.29387</v>
      </c>
      <c r="E7832" s="1" t="n">
        <f aca="false">LN(D7832)</f>
        <v>-1.22461778630322</v>
      </c>
    </row>
    <row r="7833" customFormat="false" ht="15.75" hidden="false" customHeight="false" outlineLevel="0" collapsed="false">
      <c r="A7833" s="1" t="s">
        <v>1178</v>
      </c>
      <c r="B7833" s="1" t="n">
        <v>300.26</v>
      </c>
      <c r="C7833" s="1" t="n">
        <f aca="false">1/B7833</f>
        <v>0.00333044694598015</v>
      </c>
      <c r="D7833" s="1" t="n">
        <v>0.29186</v>
      </c>
      <c r="E7833" s="1" t="n">
        <f aca="false">LN(D7833)</f>
        <v>-1.23148104374254</v>
      </c>
    </row>
    <row r="7834" customFormat="false" ht="15.75" hidden="false" customHeight="false" outlineLevel="0" collapsed="false">
      <c r="A7834" s="1" t="s">
        <v>1178</v>
      </c>
      <c r="B7834" s="1" t="n">
        <v>300.96</v>
      </c>
      <c r="C7834" s="1" t="n">
        <f aca="false">1/B7834</f>
        <v>0.00332270069112174</v>
      </c>
      <c r="D7834" s="1" t="n">
        <v>0.28986</v>
      </c>
      <c r="E7834" s="1" t="n">
        <f aca="false">LN(D7834)</f>
        <v>-1.23835723118777</v>
      </c>
    </row>
    <row r="7835" customFormat="false" ht="15.75" hidden="false" customHeight="false" outlineLevel="0" collapsed="false">
      <c r="A7835" s="1" t="s">
        <v>1178</v>
      </c>
      <c r="B7835" s="1" t="n">
        <v>301.67</v>
      </c>
      <c r="C7835" s="1" t="n">
        <f aca="false">1/B7835</f>
        <v>0.00331488049855803</v>
      </c>
      <c r="D7835" s="1" t="n">
        <v>0.28789</v>
      </c>
      <c r="E7835" s="1" t="n">
        <f aca="false">LN(D7835)</f>
        <v>-1.24517681624999</v>
      </c>
    </row>
    <row r="7836" customFormat="false" ht="15.75" hidden="false" customHeight="false" outlineLevel="0" collapsed="false">
      <c r="A7836" s="1" t="s">
        <v>1178</v>
      </c>
      <c r="B7836" s="1" t="n">
        <v>302.37</v>
      </c>
      <c r="C7836" s="1" t="n">
        <f aca="false">1/B7836</f>
        <v>0.0033072064027516</v>
      </c>
      <c r="D7836" s="1" t="n">
        <v>0.28593</v>
      </c>
      <c r="E7836" s="1" t="n">
        <f aca="false">LN(D7836)</f>
        <v>-1.25200825336449</v>
      </c>
    </row>
    <row r="7837" customFormat="false" ht="15.75" hidden="false" customHeight="false" outlineLevel="0" collapsed="false">
      <c r="A7837" s="1" t="s">
        <v>1178</v>
      </c>
      <c r="B7837" s="1" t="n">
        <v>303.07</v>
      </c>
      <c r="C7837" s="1" t="n">
        <f aca="false">1/B7837</f>
        <v>0.00329956775662388</v>
      </c>
      <c r="D7837" s="1" t="n">
        <v>0.28399</v>
      </c>
      <c r="E7837" s="1" t="n">
        <f aca="false">LN(D7837)</f>
        <v>-1.25881625270847</v>
      </c>
    </row>
    <row r="7838" customFormat="false" ht="15.75" hidden="false" customHeight="false" outlineLevel="0" collapsed="false">
      <c r="A7838" s="1" t="s">
        <v>1178</v>
      </c>
      <c r="B7838" s="1" t="n">
        <v>303.78</v>
      </c>
      <c r="C7838" s="1" t="n">
        <f aca="false">1/B7838</f>
        <v>0.0032918559483837</v>
      </c>
      <c r="D7838" s="1" t="n">
        <v>0.28207</v>
      </c>
      <c r="E7838" s="1" t="n">
        <f aca="false">LN(D7838)</f>
        <v>-1.26560001189688</v>
      </c>
    </row>
    <row r="7839" customFormat="false" ht="15.75" hidden="false" customHeight="false" outlineLevel="0" collapsed="false">
      <c r="A7839" s="1" t="s">
        <v>1178</v>
      </c>
      <c r="B7839" s="1" t="n">
        <v>304.48</v>
      </c>
      <c r="C7839" s="1" t="n">
        <f aca="false">1/B7839</f>
        <v>0.00328428796636889</v>
      </c>
      <c r="D7839" s="1" t="n">
        <v>0.28017</v>
      </c>
      <c r="E7839" s="1" t="n">
        <f aca="false">LN(D7839)</f>
        <v>-1.2723587171924</v>
      </c>
    </row>
    <row r="7840" customFormat="false" ht="15.75" hidden="false" customHeight="false" outlineLevel="0" collapsed="false">
      <c r="A7840" s="1" t="s">
        <v>1178</v>
      </c>
      <c r="B7840" s="1" t="n">
        <v>305.18</v>
      </c>
      <c r="C7840" s="1" t="n">
        <f aca="false">1/B7840</f>
        <v>0.003276754702143</v>
      </c>
      <c r="D7840" s="1" t="n">
        <v>0.27829</v>
      </c>
      <c r="E7840" s="1" t="n">
        <f aca="false">LN(D7840)</f>
        <v>-1.27909154354288</v>
      </c>
    </row>
    <row r="7841" customFormat="false" ht="15.75" hidden="false" customHeight="false" outlineLevel="0" collapsed="false">
      <c r="A7841" s="1" t="s">
        <v>1178</v>
      </c>
      <c r="B7841" s="1" t="n">
        <v>305.89</v>
      </c>
      <c r="C7841" s="1" t="n">
        <f aca="false">1/B7841</f>
        <v>0.00326914904050476</v>
      </c>
      <c r="D7841" s="1" t="n">
        <v>0.27643</v>
      </c>
      <c r="E7841" s="1" t="n">
        <f aca="false">LN(D7841)</f>
        <v>-1.28579765462827</v>
      </c>
    </row>
    <row r="7842" customFormat="false" ht="15.75" hidden="false" customHeight="false" outlineLevel="0" collapsed="false">
      <c r="A7842" s="1" t="s">
        <v>1178</v>
      </c>
      <c r="B7842" s="1" t="n">
        <v>306.59</v>
      </c>
      <c r="C7842" s="1" t="n">
        <f aca="false">1/B7842</f>
        <v>0.00326168498646401</v>
      </c>
      <c r="D7842" s="1" t="n">
        <v>0.27458</v>
      </c>
      <c r="E7842" s="1" t="n">
        <f aca="false">LN(D7842)</f>
        <v>-1.29251262151268</v>
      </c>
    </row>
    <row r="7843" customFormat="false" ht="15.75" hidden="false" customHeight="false" outlineLevel="0" collapsed="false">
      <c r="A7843" s="1" t="s">
        <v>1178</v>
      </c>
      <c r="B7843" s="1" t="n">
        <v>307.3</v>
      </c>
      <c r="C7843" s="1" t="n">
        <f aca="false">1/B7843</f>
        <v>0.00325414904002603</v>
      </c>
      <c r="D7843" s="1" t="n">
        <v>0.27275</v>
      </c>
      <c r="E7843" s="1" t="n">
        <f aca="false">LN(D7843)</f>
        <v>-1.29919965426896</v>
      </c>
    </row>
    <row r="7844" customFormat="false" ht="15.75" hidden="false" customHeight="false" outlineLevel="0" collapsed="false">
      <c r="A7844" s="1" t="s">
        <v>1178</v>
      </c>
      <c r="B7844" s="1" t="n">
        <v>308</v>
      </c>
      <c r="C7844" s="1" t="n">
        <f aca="false">1/B7844</f>
        <v>0.00324675324675325</v>
      </c>
      <c r="D7844" s="1" t="n">
        <v>0.27093</v>
      </c>
      <c r="E7844" s="1" t="n">
        <f aca="false">LN(D7844)</f>
        <v>-1.30589479405132</v>
      </c>
    </row>
    <row r="7845" customFormat="false" ht="15.75" hidden="false" customHeight="false" outlineLevel="0" collapsed="false">
      <c r="A7845" s="1" t="s">
        <v>1178</v>
      </c>
      <c r="B7845" s="1" t="n">
        <v>308.7</v>
      </c>
      <c r="C7845" s="1" t="n">
        <f aca="false">1/B7845</f>
        <v>0.00323939099449304</v>
      </c>
      <c r="D7845" s="1" t="n">
        <v>0.26914</v>
      </c>
      <c r="E7845" s="1" t="n">
        <f aca="false">LN(D7845)</f>
        <v>-1.31252358866874</v>
      </c>
    </row>
    <row r="7846" customFormat="false" ht="15.75" hidden="false" customHeight="false" outlineLevel="0" collapsed="false">
      <c r="A7846" s="1" t="s">
        <v>1178</v>
      </c>
      <c r="B7846" s="1" t="n">
        <v>309.41</v>
      </c>
      <c r="C7846" s="1" t="n">
        <f aca="false">1/B7846</f>
        <v>0.00323195759671633</v>
      </c>
      <c r="D7846" s="1" t="n">
        <v>0.26736</v>
      </c>
      <c r="E7846" s="1" t="n">
        <f aca="false">LN(D7846)</f>
        <v>-1.31915921413505</v>
      </c>
    </row>
    <row r="7847" customFormat="false" ht="15.75" hidden="false" customHeight="false" outlineLevel="0" collapsed="false">
      <c r="A7847" s="1" t="s">
        <v>1178</v>
      </c>
      <c r="B7847" s="1" t="n">
        <v>310.11</v>
      </c>
      <c r="C7847" s="1" t="n">
        <f aca="false">1/B7847</f>
        <v>0.00322466221663281</v>
      </c>
      <c r="D7847" s="1" t="n">
        <v>0.2656</v>
      </c>
      <c r="E7847" s="1" t="n">
        <f aca="false">LN(D7847)</f>
        <v>-1.32576386137986</v>
      </c>
    </row>
    <row r="7848" customFormat="false" ht="15.75" hidden="false" customHeight="false" outlineLevel="0" collapsed="false">
      <c r="A7848" s="1" t="s">
        <v>1178</v>
      </c>
      <c r="B7848" s="1" t="n">
        <v>310.81</v>
      </c>
      <c r="C7848" s="1" t="n">
        <f aca="false">1/B7848</f>
        <v>0.00321739969756443</v>
      </c>
      <c r="D7848" s="1" t="n">
        <v>0.26385</v>
      </c>
      <c r="E7848" s="1" t="n">
        <f aca="false">LN(D7848)</f>
        <v>-1.33237451913046</v>
      </c>
    </row>
    <row r="7849" customFormat="false" ht="15.75" hidden="false" customHeight="false" outlineLevel="0" collapsed="false">
      <c r="A7849" s="1" t="s">
        <v>1178</v>
      </c>
      <c r="B7849" s="1" t="n">
        <v>311.52</v>
      </c>
      <c r="C7849" s="1" t="n">
        <f aca="false">1/B7849</f>
        <v>0.0032100667693888</v>
      </c>
      <c r="D7849" s="1" t="n">
        <v>0.26212</v>
      </c>
      <c r="E7849" s="1" t="n">
        <f aca="false">LN(D7849)</f>
        <v>-1.33895286481084</v>
      </c>
    </row>
    <row r="7850" customFormat="false" ht="15.75" hidden="false" customHeight="false" outlineLevel="0" collapsed="false">
      <c r="A7850" s="1" t="s">
        <v>1178</v>
      </c>
      <c r="B7850" s="1" t="n">
        <v>312.22</v>
      </c>
      <c r="C7850" s="1" t="n">
        <f aca="false">1/B7850</f>
        <v>0.0032028697713151</v>
      </c>
      <c r="D7850" s="1" t="n">
        <v>0.2604</v>
      </c>
      <c r="E7850" s="1" t="n">
        <f aca="false">LN(D7850)</f>
        <v>-1.34553636864772</v>
      </c>
    </row>
    <row r="7851" customFormat="false" ht="15.75" hidden="false" customHeight="false" outlineLevel="0" collapsed="false">
      <c r="A7851" s="1" t="s">
        <v>1178</v>
      </c>
      <c r="B7851" s="1" t="n">
        <v>312.92</v>
      </c>
      <c r="C7851" s="1" t="n">
        <f aca="false">1/B7851</f>
        <v>0.00319570497251694</v>
      </c>
      <c r="D7851" s="1" t="n">
        <v>0.2587</v>
      </c>
      <c r="E7851" s="1" t="n">
        <f aca="false">LN(D7851)</f>
        <v>-1.35208618979015</v>
      </c>
    </row>
    <row r="7852" customFormat="false" ht="15.75" hidden="false" customHeight="false" outlineLevel="0" collapsed="false">
      <c r="A7852" s="1" t="s">
        <v>1178</v>
      </c>
      <c r="B7852" s="1" t="n">
        <v>313.63</v>
      </c>
      <c r="C7852" s="1" t="n">
        <f aca="false">1/B7852</f>
        <v>0.00318847049070561</v>
      </c>
      <c r="D7852" s="1" t="n">
        <v>0.25702</v>
      </c>
      <c r="E7852" s="1" t="n">
        <f aca="false">LN(D7852)</f>
        <v>-1.35860137610314</v>
      </c>
    </row>
    <row r="7853" customFormat="false" ht="15.75" hidden="false" customHeight="false" outlineLevel="0" collapsed="false">
      <c r="A7853" s="1" t="s">
        <v>1178</v>
      </c>
      <c r="B7853" s="1" t="n">
        <v>314.33</v>
      </c>
      <c r="C7853" s="1" t="n">
        <f aca="false">1/B7853</f>
        <v>0.00318136989787803</v>
      </c>
      <c r="D7853" s="1" t="n">
        <v>0.25535</v>
      </c>
      <c r="E7853" s="1" t="n">
        <f aca="false">LN(D7853)</f>
        <v>-1.36512012588848</v>
      </c>
    </row>
    <row r="7854" customFormat="false" ht="15.75" hidden="false" customHeight="false" outlineLevel="0" collapsed="false">
      <c r="A7854" s="1" t="s">
        <v>1178</v>
      </c>
      <c r="B7854" s="1" t="n">
        <v>315.04</v>
      </c>
      <c r="C7854" s="1" t="n">
        <f aca="false">1/B7854</f>
        <v>0.0031742001015744</v>
      </c>
      <c r="D7854" s="1" t="n">
        <v>0.25369</v>
      </c>
      <c r="E7854" s="1" t="n">
        <f aca="false">LN(D7854)</f>
        <v>-1.37164222978758</v>
      </c>
    </row>
    <row r="7855" customFormat="false" ht="15.75" hidden="false" customHeight="false" outlineLevel="0" collapsed="false">
      <c r="A7855" s="1" t="s">
        <v>1178</v>
      </c>
      <c r="B7855" s="1" t="n">
        <v>315.74</v>
      </c>
      <c r="C7855" s="1" t="n">
        <f aca="false">1/B7855</f>
        <v>0.00316716285551403</v>
      </c>
      <c r="D7855" s="1" t="n">
        <v>0.25205</v>
      </c>
      <c r="E7855" s="1" t="n">
        <f aca="false">LN(D7855)</f>
        <v>-1.3781277984535</v>
      </c>
    </row>
    <row r="7856" customFormat="false" ht="15.75" hidden="false" customHeight="false" outlineLevel="0" collapsed="false">
      <c r="A7856" s="1" t="s">
        <v>1178</v>
      </c>
      <c r="B7856" s="1" t="n">
        <v>316.44</v>
      </c>
      <c r="C7856" s="1" t="n">
        <f aca="false">1/B7856</f>
        <v>0.00316015674377449</v>
      </c>
      <c r="D7856" s="1" t="n">
        <v>0.25043</v>
      </c>
      <c r="E7856" s="1" t="n">
        <f aca="false">LN(D7856)</f>
        <v>-1.38457583862593</v>
      </c>
    </row>
    <row r="7857" customFormat="false" ht="15.75" hidden="false" customHeight="false" outlineLevel="0" collapsed="false">
      <c r="A7857" s="1" t="s">
        <v>1178</v>
      </c>
      <c r="B7857" s="1" t="n">
        <v>317.15</v>
      </c>
      <c r="C7857" s="1" t="n">
        <f aca="false">1/B7857</f>
        <v>0.00315308213778969</v>
      </c>
      <c r="D7857" s="1" t="n">
        <v>0.24882</v>
      </c>
      <c r="E7857" s="1" t="n">
        <f aca="false">LN(D7857)</f>
        <v>-1.39102553549579</v>
      </c>
    </row>
    <row r="7858" customFormat="false" ht="15.75" hidden="false" customHeight="false" outlineLevel="0" collapsed="false">
      <c r="A7858" s="1" t="s">
        <v>1178</v>
      </c>
      <c r="B7858" s="1" t="n">
        <v>317.85</v>
      </c>
      <c r="C7858" s="1" t="n">
        <f aca="false">1/B7858</f>
        <v>0.00314613811546327</v>
      </c>
      <c r="D7858" s="1" t="n">
        <v>0.24722</v>
      </c>
      <c r="E7858" s="1" t="n">
        <f aca="false">LN(D7858)</f>
        <v>-1.39747665052246</v>
      </c>
    </row>
    <row r="7859" customFormat="false" ht="15.75" hidden="false" customHeight="false" outlineLevel="0" collapsed="false">
      <c r="A7859" s="1" t="s">
        <v>1178</v>
      </c>
      <c r="B7859" s="1" t="n">
        <v>318.55</v>
      </c>
      <c r="C7859" s="1" t="n">
        <f aca="false">1/B7859</f>
        <v>0.00313922461152095</v>
      </c>
      <c r="D7859" s="1" t="n">
        <v>0.24564</v>
      </c>
      <c r="E7859" s="1" t="n">
        <f aca="false">LN(D7859)</f>
        <v>-1.40388822952094</v>
      </c>
    </row>
    <row r="7860" customFormat="false" ht="15.75" hidden="false" customHeight="false" outlineLevel="0" collapsed="false">
      <c r="A7860" s="1" t="s">
        <v>1178</v>
      </c>
      <c r="B7860" s="1" t="n">
        <v>319.26</v>
      </c>
      <c r="C7860" s="1" t="n">
        <f aca="false">1/B7860</f>
        <v>0.00313224331266053</v>
      </c>
      <c r="D7860" s="1" t="n">
        <v>0.24407</v>
      </c>
      <c r="E7860" s="1" t="n">
        <f aca="false">LN(D7860)</f>
        <v>-1.41030020958674</v>
      </c>
    </row>
    <row r="7861" customFormat="false" ht="15.75" hidden="false" customHeight="false" outlineLevel="0" collapsed="false">
      <c r="A7861" s="1" t="s">
        <v>1178</v>
      </c>
      <c r="B7861" s="1" t="n">
        <v>319.96</v>
      </c>
      <c r="C7861" s="1" t="n">
        <f aca="false">1/B7861</f>
        <v>0.00312539067383423</v>
      </c>
      <c r="D7861" s="1" t="n">
        <v>0.24251</v>
      </c>
      <c r="E7861" s="1" t="n">
        <f aca="false">LN(D7861)</f>
        <v>-1.41671233234142</v>
      </c>
    </row>
    <row r="7862" customFormat="false" ht="15.75" hidden="false" customHeight="false" outlineLevel="0" collapsed="false">
      <c r="A7862" s="1" t="s">
        <v>1178</v>
      </c>
      <c r="B7862" s="1" t="n">
        <v>320.66</v>
      </c>
      <c r="C7862" s="1" t="n">
        <f aca="false">1/B7862</f>
        <v>0.00311856795359571</v>
      </c>
      <c r="D7862" s="1" t="n">
        <v>0.24097</v>
      </c>
      <c r="E7862" s="1" t="n">
        <f aca="false">LN(D7862)</f>
        <v>-1.42308283456773</v>
      </c>
    </row>
    <row r="7863" customFormat="false" ht="15.75" hidden="false" customHeight="false" outlineLevel="0" collapsed="false">
      <c r="A7863" s="1" t="s">
        <v>1178</v>
      </c>
      <c r="B7863" s="1" t="n">
        <v>321.37</v>
      </c>
      <c r="C7863" s="1" t="n">
        <f aca="false">1/B7863</f>
        <v>0.00311167812801444</v>
      </c>
      <c r="D7863" s="1" t="n">
        <v>0.23944</v>
      </c>
      <c r="E7863" s="1" t="n">
        <f aca="false">LN(D7863)</f>
        <v>-1.42945241543769</v>
      </c>
    </row>
    <row r="7864" customFormat="false" ht="15.75" hidden="false" customHeight="false" outlineLevel="0" collapsed="false">
      <c r="A7864" s="1" t="s">
        <v>1178</v>
      </c>
      <c r="B7864" s="1" t="n">
        <v>322.07</v>
      </c>
      <c r="C7864" s="1" t="n">
        <f aca="false">1/B7864</f>
        <v>0.00310491508057255</v>
      </c>
      <c r="D7864" s="1" t="n">
        <v>0.23792</v>
      </c>
      <c r="E7864" s="1" t="n">
        <f aca="false">LN(D7864)</f>
        <v>-1.43582079627029</v>
      </c>
    </row>
    <row r="7865" customFormat="false" ht="15.75" hidden="false" customHeight="false" outlineLevel="0" collapsed="false">
      <c r="A7865" s="1" t="s">
        <v>1178</v>
      </c>
      <c r="B7865" s="1" t="n">
        <v>322.78</v>
      </c>
      <c r="C7865" s="1" t="n">
        <f aca="false">1/B7865</f>
        <v>0.00309808538323316</v>
      </c>
      <c r="D7865" s="1" t="n">
        <v>0.23642</v>
      </c>
      <c r="E7865" s="1" t="n">
        <f aca="false">LN(D7865)</f>
        <v>-1.44214539465991</v>
      </c>
    </row>
    <row r="7866" customFormat="false" ht="15.75" hidden="false" customHeight="false" outlineLevel="0" collapsed="false">
      <c r="A7866" s="1" t="s">
        <v>1178</v>
      </c>
      <c r="B7866" s="1" t="n">
        <v>323.48</v>
      </c>
      <c r="C7866" s="1" t="n">
        <f aca="false">1/B7866</f>
        <v>0.00309138122913318</v>
      </c>
      <c r="D7866" s="1" t="n">
        <v>0.23493</v>
      </c>
      <c r="E7866" s="1" t="n">
        <f aca="false">LN(D7866)</f>
        <v>-1.44846768155118</v>
      </c>
    </row>
    <row r="7867" customFormat="false" ht="15.75" hidden="false" customHeight="false" outlineLevel="0" collapsed="false">
      <c r="A7867" s="1" t="s">
        <v>1178</v>
      </c>
      <c r="B7867" s="1" t="n">
        <v>324.18</v>
      </c>
      <c r="C7867" s="1" t="n">
        <f aca="false">1/B7867</f>
        <v>0.00308470602751558</v>
      </c>
      <c r="D7867" s="1" t="n">
        <v>0.23345</v>
      </c>
      <c r="E7867" s="1" t="n">
        <f aca="false">LN(D7867)</f>
        <v>-1.45478735756519</v>
      </c>
    </row>
    <row r="7868" customFormat="false" ht="15.75" hidden="false" customHeight="false" outlineLevel="0" collapsed="false">
      <c r="A7868" s="1" t="s">
        <v>1178</v>
      </c>
      <c r="B7868" s="1" t="n">
        <v>324.89</v>
      </c>
      <c r="C7868" s="1" t="n">
        <f aca="false">1/B7868</f>
        <v>0.00307796484964142</v>
      </c>
      <c r="D7868" s="1" t="n">
        <v>0.23199</v>
      </c>
      <c r="E7868" s="1" t="n">
        <f aca="false">LN(D7868)</f>
        <v>-1.46106101169308</v>
      </c>
    </row>
    <row r="7869" customFormat="false" ht="15.75" hidden="false" customHeight="false" outlineLevel="0" collapsed="false">
      <c r="A7869" s="1" t="s">
        <v>1178</v>
      </c>
      <c r="B7869" s="1" t="n">
        <v>325.59</v>
      </c>
      <c r="C7869" s="1" t="n">
        <f aca="false">1/B7869</f>
        <v>0.00307134740010443</v>
      </c>
      <c r="D7869" s="1" t="n">
        <v>0.23053</v>
      </c>
      <c r="E7869" s="1" t="n">
        <f aca="false">LN(D7869)</f>
        <v>-1.46737427317063</v>
      </c>
    </row>
    <row r="7870" customFormat="false" ht="15.75" hidden="false" customHeight="false" outlineLevel="0" collapsed="false">
      <c r="A7870" s="1" t="s">
        <v>1178</v>
      </c>
      <c r="B7870" s="1" t="n">
        <v>326.29</v>
      </c>
      <c r="C7870" s="1" t="n">
        <f aca="false">1/B7870</f>
        <v>0.00306475834380459</v>
      </c>
      <c r="D7870" s="1" t="n">
        <v>0.22909</v>
      </c>
      <c r="E7870" s="1" t="n">
        <f aca="false">LN(D7870)</f>
        <v>-1.47364033953688</v>
      </c>
    </row>
    <row r="7871" customFormat="false" ht="15.75" hidden="false" customHeight="false" outlineLevel="0" collapsed="false">
      <c r="A7871" s="1" t="s">
        <v>1178</v>
      </c>
      <c r="B7871" s="1" t="n">
        <v>327</v>
      </c>
      <c r="C7871" s="1" t="n">
        <f aca="false">1/B7871</f>
        <v>0.00305810397553517</v>
      </c>
      <c r="D7871" s="1" t="n">
        <v>0.22766</v>
      </c>
      <c r="E7871" s="1" t="n">
        <f aca="false">LN(D7871)</f>
        <v>-1.47990199108507</v>
      </c>
    </row>
    <row r="7872" customFormat="false" ht="15.75" hidden="false" customHeight="false" outlineLevel="0" collapsed="false">
      <c r="A7872" s="1" t="s">
        <v>1178</v>
      </c>
      <c r="B7872" s="1" t="n">
        <v>327.7</v>
      </c>
      <c r="C7872" s="1" t="n">
        <f aca="false">1/B7872</f>
        <v>0.00305157155935307</v>
      </c>
      <c r="D7872" s="1" t="n">
        <v>0.22625</v>
      </c>
      <c r="E7872" s="1" t="n">
        <f aca="false">LN(D7872)</f>
        <v>-1.4861146964021</v>
      </c>
    </row>
    <row r="7873" customFormat="false" ht="15.75" hidden="false" customHeight="false" outlineLevel="0" collapsed="false">
      <c r="A7873" s="1" t="s">
        <v>1178</v>
      </c>
      <c r="B7873" s="1" t="n">
        <v>328.4</v>
      </c>
      <c r="C7873" s="1" t="n">
        <f aca="false">1/B7873</f>
        <v>0.00304506699147381</v>
      </c>
      <c r="D7873" s="1" t="n">
        <v>0.22484</v>
      </c>
      <c r="E7873" s="1" t="n">
        <f aca="false">LN(D7873)</f>
        <v>-1.49236624084826</v>
      </c>
    </row>
    <row r="7874" customFormat="false" ht="15.75" hidden="false" customHeight="false" outlineLevel="0" collapsed="false">
      <c r="A7874" s="1" t="s">
        <v>1178</v>
      </c>
      <c r="B7874" s="1" t="n">
        <v>329.11</v>
      </c>
      <c r="C7874" s="1" t="n">
        <f aca="false">1/B7874</f>
        <v>0.00303849776670414</v>
      </c>
      <c r="D7874" s="1" t="n">
        <v>0.22345</v>
      </c>
      <c r="E7874" s="1" t="n">
        <f aca="false">LN(D7874)</f>
        <v>-1.49856760360268</v>
      </c>
    </row>
    <row r="7875" customFormat="false" ht="15.75" hidden="false" customHeight="false" outlineLevel="0" collapsed="false">
      <c r="A7875" s="1" t="s">
        <v>1178</v>
      </c>
      <c r="B7875" s="1" t="n">
        <v>329.81</v>
      </c>
      <c r="C7875" s="1" t="n">
        <f aca="false">1/B7875</f>
        <v>0.00303204875534399</v>
      </c>
      <c r="D7875" s="1" t="n">
        <v>0.22206</v>
      </c>
      <c r="E7875" s="1" t="n">
        <f aca="false">LN(D7875)</f>
        <v>-1.50480766335602</v>
      </c>
    </row>
    <row r="7876" customFormat="false" ht="15.75" hidden="false" customHeight="false" outlineLevel="0" collapsed="false">
      <c r="A7876" s="1" t="s">
        <v>1178</v>
      </c>
      <c r="B7876" s="1" t="n">
        <v>330.51</v>
      </c>
      <c r="C7876" s="1" t="n">
        <f aca="false">1/B7876</f>
        <v>0.00302562706120844</v>
      </c>
      <c r="D7876" s="1" t="n">
        <v>0.22069</v>
      </c>
      <c r="E7876" s="1" t="n">
        <f aca="false">LN(D7876)</f>
        <v>-1.51099627712207</v>
      </c>
    </row>
    <row r="7877" customFormat="false" ht="15.75" hidden="false" customHeight="false" outlineLevel="0" collapsed="false">
      <c r="A7877" s="1" t="s">
        <v>1178</v>
      </c>
      <c r="B7877" s="1" t="n">
        <v>331.22</v>
      </c>
      <c r="C7877" s="1" t="n">
        <f aca="false">1/B7877</f>
        <v>0.0030191413561983</v>
      </c>
      <c r="D7877" s="1" t="n">
        <v>0.21933</v>
      </c>
      <c r="E7877" s="1" t="n">
        <f aca="false">LN(D7877)</f>
        <v>-1.5171778340088</v>
      </c>
    </row>
    <row r="7878" customFormat="false" ht="15.75" hidden="false" customHeight="false" outlineLevel="0" collapsed="false">
      <c r="A7878" s="1" t="s">
        <v>1178</v>
      </c>
      <c r="B7878" s="1" t="n">
        <v>331.92</v>
      </c>
      <c r="C7878" s="1" t="n">
        <f aca="false">1/B7878</f>
        <v>0.00301277416244878</v>
      </c>
      <c r="D7878" s="1" t="n">
        <v>0.21798</v>
      </c>
      <c r="E7878" s="1" t="n">
        <f aca="false">LN(D7878)</f>
        <v>-1.52335196352097</v>
      </c>
    </row>
    <row r="7879" customFormat="false" ht="15.75" hidden="false" customHeight="false" outlineLevel="0" collapsed="false">
      <c r="A7879" s="1" t="s">
        <v>1178</v>
      </c>
      <c r="B7879" s="1" t="n">
        <v>332.63</v>
      </c>
      <c r="C7879" s="1" t="n">
        <f aca="false">1/B7879</f>
        <v>0.00300634338454138</v>
      </c>
      <c r="D7879" s="1" t="n">
        <v>0.21664</v>
      </c>
      <c r="E7879" s="1" t="n">
        <f aca="false">LN(D7879)</f>
        <v>-1.52951828925823</v>
      </c>
    </row>
    <row r="7880" customFormat="false" ht="15.75" hidden="false" customHeight="false" outlineLevel="0" collapsed="false">
      <c r="A7880" s="1" t="s">
        <v>1178</v>
      </c>
      <c r="B7880" s="1" t="n">
        <v>333.33</v>
      </c>
      <c r="C7880" s="1" t="n">
        <f aca="false">1/B7880</f>
        <v>0.0030000300003</v>
      </c>
      <c r="D7880" s="1" t="n">
        <v>0.21531</v>
      </c>
      <c r="E7880" s="1" t="n">
        <f aca="false">LN(D7880)</f>
        <v>-1.53567642887205</v>
      </c>
    </row>
    <row r="7881" customFormat="false" ht="15.75" hidden="false" customHeight="false" outlineLevel="0" collapsed="false">
      <c r="A7881" s="1" t="s">
        <v>1178</v>
      </c>
      <c r="B7881" s="1" t="n">
        <v>334.03</v>
      </c>
      <c r="C7881" s="1" t="n">
        <f aca="false">1/B7881</f>
        <v>0.00299374307696913</v>
      </c>
      <c r="D7881" s="1" t="n">
        <v>0.214</v>
      </c>
      <c r="E7881" s="1" t="n">
        <f aca="false">LN(D7881)</f>
        <v>-1.54177926396029</v>
      </c>
    </row>
    <row r="7882" customFormat="false" ht="15.75" hidden="false" customHeight="false" outlineLevel="0" collapsed="false">
      <c r="A7882" s="1" t="s">
        <v>1178</v>
      </c>
      <c r="B7882" s="1" t="n">
        <v>334.74</v>
      </c>
      <c r="C7882" s="1" t="n">
        <f aca="false">1/B7882</f>
        <v>0.00298739320069307</v>
      </c>
      <c r="D7882" s="1" t="n">
        <v>0.21269</v>
      </c>
      <c r="E7882" s="1" t="n">
        <f aca="false">LN(D7882)</f>
        <v>-1.54791957245568</v>
      </c>
    </row>
    <row r="7883" customFormat="false" ht="15.75" hidden="false" customHeight="false" outlineLevel="0" collapsed="false">
      <c r="A7883" s="1" t="s">
        <v>1178</v>
      </c>
      <c r="B7883" s="1" t="n">
        <v>335.44</v>
      </c>
      <c r="C7883" s="1" t="n">
        <f aca="false">1/B7883</f>
        <v>0.00298115907464822</v>
      </c>
      <c r="D7883" s="1" t="n">
        <v>0.21139</v>
      </c>
      <c r="E7883" s="1" t="n">
        <f aca="false">LN(D7883)</f>
        <v>-1.55405051035454</v>
      </c>
    </row>
    <row r="7884" customFormat="false" ht="15.75" hidden="false" customHeight="false" outlineLevel="0" collapsed="false">
      <c r="A7884" s="1" t="s">
        <v>1178</v>
      </c>
      <c r="B7884" s="1" t="n">
        <v>336.14</v>
      </c>
      <c r="C7884" s="1" t="n">
        <f aca="false">1/B7884</f>
        <v>0.00297495091330993</v>
      </c>
      <c r="D7884" s="1" t="n">
        <v>0.21011</v>
      </c>
      <c r="E7884" s="1" t="n">
        <f aca="false">LN(D7884)</f>
        <v>-1.56012407588118</v>
      </c>
    </row>
    <row r="7885" customFormat="false" ht="15.75" hidden="false" customHeight="false" outlineLevel="0" collapsed="false">
      <c r="A7885" s="1" t="s">
        <v>1178</v>
      </c>
      <c r="B7885" s="1" t="n">
        <v>336.85</v>
      </c>
      <c r="C7885" s="1" t="n">
        <f aca="false">1/B7885</f>
        <v>0.00296868042155262</v>
      </c>
      <c r="D7885" s="1" t="n">
        <v>0.20883</v>
      </c>
      <c r="E7885" s="1" t="n">
        <f aca="false">LN(D7885)</f>
        <v>-1.56623475513345</v>
      </c>
    </row>
    <row r="7886" customFormat="false" ht="15.75" hidden="false" customHeight="false" outlineLevel="0" collapsed="false">
      <c r="A7886" s="1" t="s">
        <v>1178</v>
      </c>
      <c r="B7886" s="1" t="n">
        <v>337.55</v>
      </c>
      <c r="C7886" s="1" t="n">
        <f aca="false">1/B7886</f>
        <v>0.00296252407050807</v>
      </c>
      <c r="D7886" s="1" t="n">
        <v>0.20756</v>
      </c>
      <c r="E7886" s="1" t="n">
        <f aca="false">LN(D7886)</f>
        <v>-1.5723348244826</v>
      </c>
    </row>
    <row r="7887" customFormat="false" ht="15.75" hidden="false" customHeight="false" outlineLevel="0" collapsed="false">
      <c r="A7887" s="1" t="s">
        <v>1178</v>
      </c>
      <c r="B7887" s="1" t="n">
        <v>338.25</v>
      </c>
      <c r="C7887" s="1" t="n">
        <f aca="false">1/B7887</f>
        <v>0.00295639320029564</v>
      </c>
      <c r="D7887" s="1" t="n">
        <v>0.20631</v>
      </c>
      <c r="E7887" s="1" t="n">
        <f aca="false">LN(D7887)</f>
        <v>-1.57837538698228</v>
      </c>
    </row>
    <row r="7888" customFormat="false" ht="15.75" hidden="false" customHeight="false" outlineLevel="0" collapsed="false">
      <c r="A7888" s="1" t="s">
        <v>1178</v>
      </c>
      <c r="B7888" s="1" t="n">
        <v>338.96</v>
      </c>
      <c r="C7888" s="1" t="n">
        <f aca="false">1/B7888</f>
        <v>0.00295020061364173</v>
      </c>
      <c r="D7888" s="1" t="n">
        <v>0.20506</v>
      </c>
      <c r="E7888" s="1" t="n">
        <f aca="false">LN(D7888)</f>
        <v>-1.58445265974019</v>
      </c>
    </row>
    <row r="7889" customFormat="false" ht="15.75" hidden="false" customHeight="false" outlineLevel="0" collapsed="false">
      <c r="A7889" s="1" t="s">
        <v>1178</v>
      </c>
      <c r="B7889" s="1" t="n">
        <v>339.66</v>
      </c>
      <c r="C7889" s="1" t="n">
        <f aca="false">1/B7889</f>
        <v>0.00294412059117941</v>
      </c>
      <c r="D7889" s="1" t="n">
        <v>0.20382</v>
      </c>
      <c r="E7889" s="1" t="n">
        <f aca="false">LN(D7889)</f>
        <v>-1.59051802758159</v>
      </c>
    </row>
    <row r="7890" customFormat="false" ht="15.75" hidden="false" customHeight="false" outlineLevel="0" collapsed="false">
      <c r="A7890" s="1" t="s">
        <v>1178</v>
      </c>
      <c r="B7890" s="1" t="n">
        <v>340.37</v>
      </c>
      <c r="C7890" s="1" t="n">
        <f aca="false">1/B7890</f>
        <v>0.00293797925786644</v>
      </c>
      <c r="D7890" s="1" t="n">
        <v>0.20259</v>
      </c>
      <c r="E7890" s="1" t="n">
        <f aca="false">LN(D7890)</f>
        <v>-1.59657104672728</v>
      </c>
    </row>
    <row r="7891" customFormat="false" ht="15.75" hidden="false" customHeight="false" outlineLevel="0" collapsed="false">
      <c r="A7891" s="1" t="s">
        <v>1178</v>
      </c>
      <c r="B7891" s="1" t="n">
        <v>341.07</v>
      </c>
      <c r="C7891" s="1" t="n">
        <f aca="false">1/B7891</f>
        <v>0.00293194945319143</v>
      </c>
      <c r="D7891" s="1" t="n">
        <v>0.20137</v>
      </c>
      <c r="E7891" s="1" t="n">
        <f aca="false">LN(D7891)</f>
        <v>-1.60261126709182</v>
      </c>
    </row>
    <row r="7892" customFormat="false" ht="15.75" hidden="false" customHeight="false" outlineLevel="0" collapsed="false">
      <c r="A7892" s="1" t="s">
        <v>1178</v>
      </c>
      <c r="B7892" s="1" t="n">
        <v>341.45</v>
      </c>
      <c r="C7892" s="1" t="n">
        <f aca="false">1/B7892</f>
        <v>0.00292868648411188</v>
      </c>
      <c r="D7892" s="1" t="n">
        <v>0.20072</v>
      </c>
      <c r="E7892" s="1" t="n">
        <f aca="false">LN(D7892)</f>
        <v>-1.60584437692397</v>
      </c>
    </row>
    <row r="7893" customFormat="false" ht="15.75" hidden="false" customHeight="false" outlineLevel="0" collapsed="false">
      <c r="A7893" s="1" t="s">
        <v>1180</v>
      </c>
      <c r="B7893" s="1" t="n">
        <v>162.68</v>
      </c>
      <c r="C7893" s="1" t="n">
        <f aca="false">1/B7893</f>
        <v>0.00614703712810425</v>
      </c>
      <c r="D7893" s="1" t="n">
        <v>13.412</v>
      </c>
      <c r="E7893" s="1" t="n">
        <f aca="false">LN(D7893)</f>
        <v>2.59614982860398</v>
      </c>
    </row>
    <row r="7894" customFormat="false" ht="15.75" hidden="false" customHeight="false" outlineLevel="0" collapsed="false">
      <c r="A7894" s="1" t="s">
        <v>1180</v>
      </c>
      <c r="B7894" s="1" t="n">
        <v>163.45</v>
      </c>
      <c r="C7894" s="1" t="n">
        <f aca="false">1/B7894</f>
        <v>0.00611807892321811</v>
      </c>
      <c r="D7894" s="1" t="n">
        <v>11.722</v>
      </c>
      <c r="E7894" s="1" t="n">
        <f aca="false">LN(D7894)</f>
        <v>2.46146741805424</v>
      </c>
    </row>
    <row r="7895" customFormat="false" ht="15.75" hidden="false" customHeight="false" outlineLevel="0" collapsed="false">
      <c r="A7895" s="1" t="s">
        <v>1180</v>
      </c>
      <c r="B7895" s="1" t="n">
        <v>164.22</v>
      </c>
      <c r="C7895" s="1" t="n">
        <f aca="false">1/B7895</f>
        <v>0.00608939227865059</v>
      </c>
      <c r="D7895" s="1" t="n">
        <v>10.431</v>
      </c>
      <c r="E7895" s="1" t="n">
        <f aca="false">LN(D7895)</f>
        <v>2.34478214169383</v>
      </c>
    </row>
    <row r="7896" customFormat="false" ht="15.75" hidden="false" customHeight="false" outlineLevel="0" collapsed="false">
      <c r="A7896" s="1" t="s">
        <v>1180</v>
      </c>
      <c r="B7896" s="1" t="n">
        <v>164.99</v>
      </c>
      <c r="C7896" s="1" t="n">
        <f aca="false">1/B7896</f>
        <v>0.00606097339232681</v>
      </c>
      <c r="D7896" s="1" t="n">
        <v>9.4109</v>
      </c>
      <c r="E7896" s="1" t="n">
        <f aca="false">LN(D7896)</f>
        <v>2.24186859195684</v>
      </c>
    </row>
    <row r="7897" customFormat="false" ht="15.75" hidden="false" customHeight="false" outlineLevel="0" collapsed="false">
      <c r="A7897" s="1" t="s">
        <v>1180</v>
      </c>
      <c r="B7897" s="1" t="n">
        <v>165.76</v>
      </c>
      <c r="C7897" s="1" t="n">
        <f aca="false">1/B7897</f>
        <v>0.00603281853281853</v>
      </c>
      <c r="D7897" s="1" t="n">
        <v>8.5829</v>
      </c>
      <c r="E7897" s="1" t="n">
        <f aca="false">LN(D7897)</f>
        <v>2.14977185173031</v>
      </c>
    </row>
    <row r="7898" customFormat="false" ht="15.75" hidden="false" customHeight="false" outlineLevel="0" collapsed="false">
      <c r="A7898" s="1" t="s">
        <v>1180</v>
      </c>
      <c r="B7898" s="1" t="n">
        <v>166.53</v>
      </c>
      <c r="C7898" s="1" t="n">
        <f aca="false">1/B7898</f>
        <v>0.00600492403771092</v>
      </c>
      <c r="D7898" s="1" t="n">
        <v>7.8965</v>
      </c>
      <c r="E7898" s="1" t="n">
        <f aca="false">LN(D7898)</f>
        <v>2.06641962332797</v>
      </c>
    </row>
    <row r="7899" customFormat="false" ht="15.75" hidden="false" customHeight="false" outlineLevel="0" collapsed="false">
      <c r="A7899" s="1" t="s">
        <v>1180</v>
      </c>
      <c r="B7899" s="1" t="n">
        <v>167.3</v>
      </c>
      <c r="C7899" s="1" t="n">
        <f aca="false">1/B7899</f>
        <v>0.00597728631201434</v>
      </c>
      <c r="D7899" s="1" t="n">
        <v>7.3173</v>
      </c>
      <c r="E7899" s="1" t="n">
        <f aca="false">LN(D7899)</f>
        <v>1.9902414074714</v>
      </c>
    </row>
    <row r="7900" customFormat="false" ht="15.75" hidden="false" customHeight="false" outlineLevel="0" collapsed="false">
      <c r="A7900" s="1" t="s">
        <v>1180</v>
      </c>
      <c r="B7900" s="1" t="n">
        <v>168.07</v>
      </c>
      <c r="C7900" s="1" t="n">
        <f aca="false">1/B7900</f>
        <v>0.00594990182661986</v>
      </c>
      <c r="D7900" s="1" t="n">
        <v>6.8214</v>
      </c>
      <c r="E7900" s="1" t="n">
        <f aca="false">LN(D7900)</f>
        <v>1.92006472938098</v>
      </c>
    </row>
    <row r="7901" customFormat="false" ht="15.75" hidden="false" customHeight="false" outlineLevel="0" collapsed="false">
      <c r="A7901" s="1" t="s">
        <v>1180</v>
      </c>
      <c r="B7901" s="1" t="n">
        <v>168.84</v>
      </c>
      <c r="C7901" s="1" t="n">
        <f aca="false">1/B7901</f>
        <v>0.00592276711679697</v>
      </c>
      <c r="D7901" s="1" t="n">
        <v>6.3915</v>
      </c>
      <c r="E7901" s="1" t="n">
        <f aca="false">LN(D7901)</f>
        <v>1.85496898262594</v>
      </c>
    </row>
    <row r="7902" customFormat="false" ht="15.75" hidden="false" customHeight="false" outlineLevel="0" collapsed="false">
      <c r="A7902" s="1" t="s">
        <v>1180</v>
      </c>
      <c r="B7902" s="1" t="n">
        <v>169.61</v>
      </c>
      <c r="C7902" s="1" t="n">
        <f aca="false">1/B7902</f>
        <v>0.00589587878073227</v>
      </c>
      <c r="D7902" s="1" t="n">
        <v>6.0148</v>
      </c>
      <c r="E7902" s="1" t="n">
        <f aca="false">LN(D7902)</f>
        <v>1.79422309866603</v>
      </c>
    </row>
    <row r="7903" customFormat="false" ht="15.75" hidden="false" customHeight="false" outlineLevel="0" collapsed="false">
      <c r="A7903" s="1" t="s">
        <v>1180</v>
      </c>
      <c r="B7903" s="1" t="n">
        <v>170.39</v>
      </c>
      <c r="C7903" s="1" t="n">
        <f aca="false">1/B7903</f>
        <v>0.00586888901930865</v>
      </c>
      <c r="D7903" s="1" t="n">
        <v>5.6816</v>
      </c>
      <c r="E7903" s="1" t="n">
        <f aca="false">LN(D7903)</f>
        <v>1.73723288320669</v>
      </c>
    </row>
    <row r="7904" customFormat="false" ht="15.75" hidden="false" customHeight="false" outlineLevel="0" collapsed="false">
      <c r="A7904" s="1" t="s">
        <v>1180</v>
      </c>
      <c r="B7904" s="1" t="n">
        <v>171.16</v>
      </c>
      <c r="C7904" s="1" t="n">
        <f aca="false">1/B7904</f>
        <v>0.00584248656228091</v>
      </c>
      <c r="D7904" s="1" t="n">
        <v>5.3846</v>
      </c>
      <c r="E7904" s="1" t="n">
        <f aca="false">LN(D7904)</f>
        <v>1.68354302744088</v>
      </c>
    </row>
    <row r="7905" customFormat="false" ht="15.75" hidden="false" customHeight="false" outlineLevel="0" collapsed="false">
      <c r="A7905" s="1" t="s">
        <v>1180</v>
      </c>
      <c r="B7905" s="1" t="n">
        <v>171.93</v>
      </c>
      <c r="C7905" s="1" t="n">
        <f aca="false">1/B7905</f>
        <v>0.00581632059559123</v>
      </c>
      <c r="D7905" s="1" t="n">
        <v>5.1178</v>
      </c>
      <c r="E7905" s="1" t="n">
        <f aca="false">LN(D7905)</f>
        <v>1.63272465920929</v>
      </c>
    </row>
    <row r="7906" customFormat="false" ht="15.75" hidden="false" customHeight="false" outlineLevel="0" collapsed="false">
      <c r="A7906" s="1" t="s">
        <v>1180</v>
      </c>
      <c r="B7906" s="1" t="n">
        <v>172.7</v>
      </c>
      <c r="C7906" s="1" t="n">
        <f aca="false">1/B7906</f>
        <v>0.00579038795599305</v>
      </c>
      <c r="D7906" s="1" t="n">
        <v>4.8768</v>
      </c>
      <c r="E7906" s="1" t="n">
        <f aca="false">LN(D7906)</f>
        <v>1.58448926707014</v>
      </c>
    </row>
    <row r="7907" customFormat="false" ht="15.75" hidden="false" customHeight="false" outlineLevel="0" collapsed="false">
      <c r="A7907" s="1" t="s">
        <v>1180</v>
      </c>
      <c r="B7907" s="1" t="n">
        <v>173.47</v>
      </c>
      <c r="C7907" s="1" t="n">
        <f aca="false">1/B7907</f>
        <v>0.00576468553640399</v>
      </c>
      <c r="D7907" s="1" t="n">
        <v>4.6578</v>
      </c>
      <c r="E7907" s="1" t="n">
        <f aca="false">LN(D7907)</f>
        <v>1.53854323365755</v>
      </c>
    </row>
    <row r="7908" customFormat="false" ht="15.75" hidden="false" customHeight="false" outlineLevel="0" collapsed="false">
      <c r="A7908" s="1" t="s">
        <v>1180</v>
      </c>
      <c r="B7908" s="1" t="n">
        <v>174.24</v>
      </c>
      <c r="C7908" s="1" t="n">
        <f aca="false">1/B7908</f>
        <v>0.00573921028466483</v>
      </c>
      <c r="D7908" s="1" t="n">
        <v>4.4577</v>
      </c>
      <c r="E7908" s="1" t="n">
        <f aca="false">LN(D7908)</f>
        <v>1.49463293794827</v>
      </c>
    </row>
    <row r="7909" customFormat="false" ht="15.75" hidden="false" customHeight="false" outlineLevel="0" collapsed="false">
      <c r="A7909" s="1" t="s">
        <v>1180</v>
      </c>
      <c r="B7909" s="1" t="n">
        <v>175.01</v>
      </c>
      <c r="C7909" s="1" t="n">
        <f aca="false">1/B7909</f>
        <v>0.0057139592023313</v>
      </c>
      <c r="D7909" s="1" t="n">
        <v>4.2741</v>
      </c>
      <c r="E7909" s="1" t="n">
        <f aca="false">LN(D7909)</f>
        <v>1.45257355390916</v>
      </c>
    </row>
    <row r="7910" customFormat="false" ht="15.75" hidden="false" customHeight="false" outlineLevel="0" collapsed="false">
      <c r="A7910" s="1" t="s">
        <v>1180</v>
      </c>
      <c r="B7910" s="1" t="n">
        <v>175.78</v>
      </c>
      <c r="C7910" s="1" t="n">
        <f aca="false">1/B7910</f>
        <v>0.00568892934349755</v>
      </c>
      <c r="D7910" s="1" t="n">
        <v>4.105</v>
      </c>
      <c r="E7910" s="1" t="n">
        <f aca="false">LN(D7910)</f>
        <v>1.41220574290439</v>
      </c>
    </row>
    <row r="7911" customFormat="false" ht="15.75" hidden="false" customHeight="false" outlineLevel="0" collapsed="false">
      <c r="A7911" s="1" t="s">
        <v>1180</v>
      </c>
      <c r="B7911" s="1" t="n">
        <v>176.55</v>
      </c>
      <c r="C7911" s="1" t="n">
        <f aca="false">1/B7911</f>
        <v>0.00566411781365052</v>
      </c>
      <c r="D7911" s="1" t="n">
        <v>3.9486</v>
      </c>
      <c r="E7911" s="1" t="n">
        <f aca="false">LN(D7911)</f>
        <v>1.37336108570799</v>
      </c>
    </row>
    <row r="7912" customFormat="false" ht="15.75" hidden="false" customHeight="false" outlineLevel="0" collapsed="false">
      <c r="A7912" s="1" t="s">
        <v>1180</v>
      </c>
      <c r="B7912" s="1" t="n">
        <v>177.32</v>
      </c>
      <c r="C7912" s="1" t="n">
        <f aca="false">1/B7912</f>
        <v>0.00563952176855403</v>
      </c>
      <c r="D7912" s="1" t="n">
        <v>3.8035</v>
      </c>
      <c r="E7912" s="1" t="n">
        <f aca="false">LN(D7912)</f>
        <v>1.33592169545522</v>
      </c>
    </row>
    <row r="7913" customFormat="false" ht="15.75" hidden="false" customHeight="false" outlineLevel="0" collapsed="false">
      <c r="A7913" s="1" t="s">
        <v>1180</v>
      </c>
      <c r="B7913" s="1" t="n">
        <v>178.09</v>
      </c>
      <c r="C7913" s="1" t="n">
        <f aca="false">1/B7913</f>
        <v>0.00561513841316188</v>
      </c>
      <c r="D7913" s="1" t="n">
        <v>3.6684</v>
      </c>
      <c r="E7913" s="1" t="n">
        <f aca="false">LN(D7913)</f>
        <v>1.29975559970265</v>
      </c>
    </row>
    <row r="7914" customFormat="false" ht="15.75" hidden="false" customHeight="false" outlineLevel="0" collapsed="false">
      <c r="A7914" s="1" t="s">
        <v>1180</v>
      </c>
      <c r="B7914" s="1" t="n">
        <v>178.86</v>
      </c>
      <c r="C7914" s="1" t="n">
        <f aca="false">1/B7914</f>
        <v>0.0055909650005591</v>
      </c>
      <c r="D7914" s="1" t="n">
        <v>3.5423</v>
      </c>
      <c r="E7914" s="1" t="n">
        <f aca="false">LN(D7914)</f>
        <v>1.26477623368476</v>
      </c>
    </row>
    <row r="7915" customFormat="false" ht="15.75" hidden="false" customHeight="false" outlineLevel="0" collapsed="false">
      <c r="A7915" s="1" t="s">
        <v>1180</v>
      </c>
      <c r="B7915" s="1" t="n">
        <v>179.63</v>
      </c>
      <c r="C7915" s="1" t="n">
        <f aca="false">1/B7915</f>
        <v>0.00556699883093025</v>
      </c>
      <c r="D7915" s="1" t="n">
        <v>3.4243</v>
      </c>
      <c r="E7915" s="1" t="n">
        <f aca="false">LN(D7915)</f>
        <v>1.2308970712638</v>
      </c>
    </row>
    <row r="7916" customFormat="false" ht="15.75" hidden="false" customHeight="false" outlineLevel="0" collapsed="false">
      <c r="A7916" s="1" t="s">
        <v>1180</v>
      </c>
      <c r="B7916" s="1" t="n">
        <v>180.4</v>
      </c>
      <c r="C7916" s="1" t="n">
        <f aca="false">1/B7916</f>
        <v>0.00554323725055432</v>
      </c>
      <c r="D7916" s="1" t="n">
        <v>3.3135</v>
      </c>
      <c r="E7916" s="1" t="n">
        <f aca="false">LN(D7916)</f>
        <v>1.19800503254614</v>
      </c>
    </row>
    <row r="7917" customFormat="false" ht="15.75" hidden="false" customHeight="false" outlineLevel="0" collapsed="false">
      <c r="A7917" s="1" t="s">
        <v>1180</v>
      </c>
      <c r="B7917" s="1" t="n">
        <v>181.17</v>
      </c>
      <c r="C7917" s="1" t="n">
        <f aca="false">1/B7917</f>
        <v>0.00551967765082519</v>
      </c>
      <c r="D7917" s="1" t="n">
        <v>3.2094</v>
      </c>
      <c r="E7917" s="1" t="n">
        <f aca="false">LN(D7917)</f>
        <v>1.16608400378312</v>
      </c>
    </row>
    <row r="7918" customFormat="false" ht="15.75" hidden="false" customHeight="false" outlineLevel="0" collapsed="false">
      <c r="A7918" s="1" t="s">
        <v>1180</v>
      </c>
      <c r="B7918" s="1" t="n">
        <v>181.94</v>
      </c>
      <c r="C7918" s="1" t="n">
        <f aca="false">1/B7918</f>
        <v>0.00549631746729691</v>
      </c>
      <c r="D7918" s="1" t="n">
        <v>3.1112</v>
      </c>
      <c r="E7918" s="1" t="n">
        <f aca="false">LN(D7918)</f>
        <v>1.1350085038594</v>
      </c>
    </row>
    <row r="7919" customFormat="false" ht="15.75" hidden="false" customHeight="false" outlineLevel="0" collapsed="false">
      <c r="A7919" s="1" t="s">
        <v>1180</v>
      </c>
      <c r="B7919" s="1" t="n">
        <v>182.71</v>
      </c>
      <c r="C7919" s="1" t="n">
        <f aca="false">1/B7919</f>
        <v>0.00547315417875322</v>
      </c>
      <c r="D7919" s="1" t="n">
        <v>3.0186</v>
      </c>
      <c r="E7919" s="1" t="n">
        <f aca="false">LN(D7919)</f>
        <v>1.10479314774319</v>
      </c>
    </row>
    <row r="7920" customFormat="false" ht="15.75" hidden="false" customHeight="false" outlineLevel="0" collapsed="false">
      <c r="A7920" s="1" t="s">
        <v>1180</v>
      </c>
      <c r="B7920" s="1" t="n">
        <v>183.48</v>
      </c>
      <c r="C7920" s="1" t="n">
        <f aca="false">1/B7920</f>
        <v>0.00545018530630041</v>
      </c>
      <c r="D7920" s="1" t="n">
        <v>2.9309</v>
      </c>
      <c r="E7920" s="1" t="n">
        <f aca="false">LN(D7920)</f>
        <v>1.07530954309827</v>
      </c>
    </row>
    <row r="7921" customFormat="false" ht="15.75" hidden="false" customHeight="false" outlineLevel="0" collapsed="false">
      <c r="A7921" s="1" t="s">
        <v>1180</v>
      </c>
      <c r="B7921" s="1" t="n">
        <v>184.25</v>
      </c>
      <c r="C7921" s="1" t="n">
        <f aca="false">1/B7921</f>
        <v>0.00542740841248304</v>
      </c>
      <c r="D7921" s="1" t="n">
        <v>2.8478</v>
      </c>
      <c r="E7921" s="1" t="n">
        <f aca="false">LN(D7921)</f>
        <v>1.04654676636476</v>
      </c>
    </row>
    <row r="7922" customFormat="false" ht="15.75" hidden="false" customHeight="false" outlineLevel="0" collapsed="false">
      <c r="A7922" s="1" t="s">
        <v>1180</v>
      </c>
      <c r="B7922" s="1" t="n">
        <v>185.03</v>
      </c>
      <c r="C7922" s="1" t="n">
        <f aca="false">1/B7922</f>
        <v>0.00540452899529806</v>
      </c>
      <c r="D7922" s="1" t="n">
        <v>2.769</v>
      </c>
      <c r="E7922" s="1" t="n">
        <f aca="false">LN(D7922)</f>
        <v>1.01848624418883</v>
      </c>
    </row>
    <row r="7923" customFormat="false" ht="15.75" hidden="false" customHeight="false" outlineLevel="0" collapsed="false">
      <c r="A7923" s="1" t="s">
        <v>1180</v>
      </c>
      <c r="B7923" s="1" t="n">
        <v>185.8</v>
      </c>
      <c r="C7923" s="1" t="n">
        <f aca="false">1/B7923</f>
        <v>0.00538213132400431</v>
      </c>
      <c r="D7923" s="1" t="n">
        <v>2.6941</v>
      </c>
      <c r="E7923" s="1" t="n">
        <f aca="false">LN(D7923)</f>
        <v>0.99106419682413</v>
      </c>
    </row>
    <row r="7924" customFormat="false" ht="15.75" hidden="false" customHeight="false" outlineLevel="0" collapsed="false">
      <c r="A7924" s="1" t="s">
        <v>1180</v>
      </c>
      <c r="B7924" s="1" t="n">
        <v>186.57</v>
      </c>
      <c r="C7924" s="1" t="n">
        <f aca="false">1/B7924</f>
        <v>0.00535991852923836</v>
      </c>
      <c r="D7924" s="1" t="n">
        <v>2.6228</v>
      </c>
      <c r="E7924" s="1" t="n">
        <f aca="false">LN(D7924)</f>
        <v>0.964242449407327</v>
      </c>
    </row>
    <row r="7925" customFormat="false" ht="15.75" hidden="false" customHeight="false" outlineLevel="0" collapsed="false">
      <c r="A7925" s="1" t="s">
        <v>1180</v>
      </c>
      <c r="B7925" s="1" t="n">
        <v>187.34</v>
      </c>
      <c r="C7925" s="1" t="n">
        <f aca="false">1/B7925</f>
        <v>0.00533788833137611</v>
      </c>
      <c r="D7925" s="1" t="n">
        <v>2.5549</v>
      </c>
      <c r="E7925" s="1" t="n">
        <f aca="false">LN(D7925)</f>
        <v>0.938013083946471</v>
      </c>
    </row>
    <row r="7926" customFormat="false" ht="15.75" hidden="false" customHeight="false" outlineLevel="0" collapsed="false">
      <c r="A7926" s="1" t="s">
        <v>1180</v>
      </c>
      <c r="B7926" s="1" t="n">
        <v>188.11</v>
      </c>
      <c r="C7926" s="1" t="n">
        <f aca="false">1/B7926</f>
        <v>0.00531603848811865</v>
      </c>
      <c r="D7926" s="1" t="n">
        <v>2.49</v>
      </c>
      <c r="E7926" s="1" t="n">
        <f aca="false">LN(D7926)</f>
        <v>0.912282710476616</v>
      </c>
    </row>
    <row r="7927" customFormat="false" ht="15.75" hidden="false" customHeight="false" outlineLevel="0" collapsed="false">
      <c r="A7927" s="1" t="s">
        <v>1180</v>
      </c>
      <c r="B7927" s="1" t="n">
        <v>188.88</v>
      </c>
      <c r="C7927" s="1" t="n">
        <f aca="false">1/B7927</f>
        <v>0.00529436679373147</v>
      </c>
      <c r="D7927" s="1" t="n">
        <v>2.4281</v>
      </c>
      <c r="E7927" s="1" t="n">
        <f aca="false">LN(D7927)</f>
        <v>0.887109058510575</v>
      </c>
    </row>
    <row r="7928" customFormat="false" ht="15.75" hidden="false" customHeight="false" outlineLevel="0" collapsed="false">
      <c r="A7928" s="1" t="s">
        <v>1180</v>
      </c>
      <c r="B7928" s="1" t="n">
        <v>189.65</v>
      </c>
      <c r="C7928" s="1" t="n">
        <f aca="false">1/B7928</f>
        <v>0.00527287107830214</v>
      </c>
      <c r="D7928" s="1" t="n">
        <v>2.3689</v>
      </c>
      <c r="E7928" s="1" t="n">
        <f aca="false">LN(D7928)</f>
        <v>0.862425712381944</v>
      </c>
    </row>
    <row r="7929" customFormat="false" ht="15.75" hidden="false" customHeight="false" outlineLevel="0" collapsed="false">
      <c r="A7929" s="1" t="s">
        <v>1180</v>
      </c>
      <c r="B7929" s="1" t="n">
        <v>190.42</v>
      </c>
      <c r="C7929" s="1" t="n">
        <f aca="false">1/B7929</f>
        <v>0.00525154920701607</v>
      </c>
      <c r="D7929" s="1" t="n">
        <v>2.3122</v>
      </c>
      <c r="E7929" s="1" t="n">
        <f aca="false">LN(D7929)</f>
        <v>0.838199452259084</v>
      </c>
    </row>
    <row r="7930" customFormat="false" ht="15.75" hidden="false" customHeight="false" outlineLevel="0" collapsed="false">
      <c r="A7930" s="1" t="s">
        <v>1180</v>
      </c>
      <c r="B7930" s="1" t="n">
        <v>191.19</v>
      </c>
      <c r="C7930" s="1" t="n">
        <f aca="false">1/B7930</f>
        <v>0.00523039907944976</v>
      </c>
      <c r="D7930" s="1" t="n">
        <v>2.2578</v>
      </c>
      <c r="E7930" s="1" t="n">
        <f aca="false">LN(D7930)</f>
        <v>0.81439088784531</v>
      </c>
    </row>
    <row r="7931" customFormat="false" ht="15.75" hidden="false" customHeight="false" outlineLevel="0" collapsed="false">
      <c r="A7931" s="1" t="s">
        <v>1180</v>
      </c>
      <c r="B7931" s="1" t="n">
        <v>191.96</v>
      </c>
      <c r="C7931" s="1" t="n">
        <f aca="false">1/B7931</f>
        <v>0.00520941862888102</v>
      </c>
      <c r="D7931" s="1" t="n">
        <v>2.2057</v>
      </c>
      <c r="E7931" s="1" t="n">
        <f aca="false">LN(D7931)</f>
        <v>0.791044918836405</v>
      </c>
    </row>
    <row r="7932" customFormat="false" ht="15.75" hidden="false" customHeight="false" outlineLevel="0" collapsed="false">
      <c r="A7932" s="1" t="s">
        <v>1180</v>
      </c>
      <c r="B7932" s="1" t="n">
        <v>192.73</v>
      </c>
      <c r="C7932" s="1" t="n">
        <f aca="false">1/B7932</f>
        <v>0.00518860582161573</v>
      </c>
      <c r="D7932" s="1" t="n">
        <v>2.1557</v>
      </c>
      <c r="E7932" s="1" t="n">
        <f aca="false">LN(D7932)</f>
        <v>0.768115496797251</v>
      </c>
    </row>
    <row r="7933" customFormat="false" ht="15.75" hidden="false" customHeight="false" outlineLevel="0" collapsed="false">
      <c r="A7933" s="1" t="s">
        <v>1180</v>
      </c>
      <c r="B7933" s="1" t="n">
        <v>193.5</v>
      </c>
      <c r="C7933" s="1" t="n">
        <f aca="false">1/B7933</f>
        <v>0.00516795865633075</v>
      </c>
      <c r="D7933" s="1" t="n">
        <v>2.1076</v>
      </c>
      <c r="E7933" s="1" t="n">
        <f aca="false">LN(D7933)</f>
        <v>0.745549859352994</v>
      </c>
    </row>
    <row r="7934" customFormat="false" ht="15.75" hidden="false" customHeight="false" outlineLevel="0" collapsed="false">
      <c r="A7934" s="1" t="s">
        <v>1180</v>
      </c>
      <c r="B7934" s="1" t="n">
        <v>194.27</v>
      </c>
      <c r="C7934" s="1" t="n">
        <f aca="false">1/B7934</f>
        <v>0.00514747516343234</v>
      </c>
      <c r="D7934" s="1" t="n">
        <v>2.0614</v>
      </c>
      <c r="E7934" s="1" t="n">
        <f aca="false">LN(D7934)</f>
        <v>0.723385363620555</v>
      </c>
    </row>
    <row r="7935" customFormat="false" ht="15.75" hidden="false" customHeight="false" outlineLevel="0" collapsed="false">
      <c r="A7935" s="1" t="s">
        <v>1180</v>
      </c>
      <c r="B7935" s="1" t="n">
        <v>195.04</v>
      </c>
      <c r="C7935" s="1" t="n">
        <f aca="false">1/B7935</f>
        <v>0.00512715340442986</v>
      </c>
      <c r="D7935" s="1" t="n">
        <v>2.0169</v>
      </c>
      <c r="E7935" s="1" t="n">
        <f aca="false">LN(D7935)</f>
        <v>0.701561679160964</v>
      </c>
    </row>
    <row r="7936" customFormat="false" ht="15.75" hidden="false" customHeight="false" outlineLevel="0" collapsed="false">
      <c r="A7936" s="1" t="s">
        <v>1180</v>
      </c>
      <c r="B7936" s="1" t="n">
        <v>195.81</v>
      </c>
      <c r="C7936" s="1" t="n">
        <f aca="false">1/B7936</f>
        <v>0.00510699147132424</v>
      </c>
      <c r="D7936" s="1" t="n">
        <v>1.974</v>
      </c>
      <c r="E7936" s="1" t="n">
        <f aca="false">LN(D7936)</f>
        <v>0.68006194101129</v>
      </c>
    </row>
    <row r="7937" customFormat="false" ht="15.75" hidden="false" customHeight="false" outlineLevel="0" collapsed="false">
      <c r="A7937" s="1" t="s">
        <v>1180</v>
      </c>
      <c r="B7937" s="1" t="n">
        <v>196.58</v>
      </c>
      <c r="C7937" s="1" t="n">
        <f aca="false">1/B7937</f>
        <v>0.00508698748601078</v>
      </c>
      <c r="D7937" s="1" t="n">
        <v>1.9328</v>
      </c>
      <c r="E7937" s="1" t="n">
        <f aca="false">LN(D7937)</f>
        <v>0.658969728758359</v>
      </c>
    </row>
    <row r="7938" customFormat="false" ht="15.75" hidden="false" customHeight="false" outlineLevel="0" collapsed="false">
      <c r="A7938" s="1" t="s">
        <v>1180</v>
      </c>
      <c r="B7938" s="1" t="n">
        <v>197.35</v>
      </c>
      <c r="C7938" s="1" t="n">
        <f aca="false">1/B7938</f>
        <v>0.00506713959969597</v>
      </c>
      <c r="D7938" s="1" t="n">
        <v>1.8929</v>
      </c>
      <c r="E7938" s="1" t="n">
        <f aca="false">LN(D7938)</f>
        <v>0.638110044630037</v>
      </c>
    </row>
    <row r="7939" customFormat="false" ht="15.75" hidden="false" customHeight="false" outlineLevel="0" collapsed="false">
      <c r="A7939" s="1" t="s">
        <v>1180</v>
      </c>
      <c r="B7939" s="1" t="n">
        <v>198.12</v>
      </c>
      <c r="C7939" s="1" t="n">
        <f aca="false">1/B7939</f>
        <v>0.00504744599232788</v>
      </c>
      <c r="D7939" s="1" t="n">
        <v>1.8545</v>
      </c>
      <c r="E7939" s="1" t="n">
        <f aca="false">LN(D7939)</f>
        <v>0.617615117947508</v>
      </c>
    </row>
    <row r="7940" customFormat="false" ht="15.75" hidden="false" customHeight="false" outlineLevel="0" collapsed="false">
      <c r="A7940" s="1" t="s">
        <v>1180</v>
      </c>
      <c r="B7940" s="1" t="n">
        <v>198.9</v>
      </c>
      <c r="C7940" s="1" t="n">
        <f aca="false">1/B7940</f>
        <v>0.00502765208647562</v>
      </c>
      <c r="D7940" s="1" t="n">
        <v>1.8174</v>
      </c>
      <c r="E7940" s="1" t="n">
        <f aca="false">LN(D7940)</f>
        <v>0.597406908279109</v>
      </c>
    </row>
    <row r="7941" customFormat="false" ht="15.75" hidden="false" customHeight="false" outlineLevel="0" collapsed="false">
      <c r="A7941" s="1" t="s">
        <v>1180</v>
      </c>
      <c r="B7941" s="1" t="n">
        <v>199.67</v>
      </c>
      <c r="C7941" s="1" t="n">
        <f aca="false">1/B7941</f>
        <v>0.00500826363499775</v>
      </c>
      <c r="D7941" s="1" t="n">
        <v>1.7816</v>
      </c>
      <c r="E7941" s="1" t="n">
        <f aca="false">LN(D7941)</f>
        <v>0.577511836961021</v>
      </c>
    </row>
    <row r="7942" customFormat="false" ht="15.75" hidden="false" customHeight="false" outlineLevel="0" collapsed="false">
      <c r="A7942" s="1" t="s">
        <v>1180</v>
      </c>
      <c r="B7942" s="1" t="n">
        <v>200.44</v>
      </c>
      <c r="C7942" s="1" t="n">
        <f aca="false">1/B7942</f>
        <v>0.00498902414687687</v>
      </c>
      <c r="D7942" s="1" t="n">
        <v>1.7469</v>
      </c>
      <c r="E7942" s="1" t="n">
        <f aca="false">LN(D7942)</f>
        <v>0.557842788529047</v>
      </c>
    </row>
    <row r="7943" customFormat="false" ht="15.75" hidden="false" customHeight="false" outlineLevel="0" collapsed="false">
      <c r="A7943" s="1" t="s">
        <v>1180</v>
      </c>
      <c r="B7943" s="1" t="n">
        <v>201.21</v>
      </c>
      <c r="C7943" s="1" t="n">
        <f aca="false">1/B7943</f>
        <v>0.00496993191193281</v>
      </c>
      <c r="D7943" s="1" t="n">
        <v>1.7134</v>
      </c>
      <c r="E7943" s="1" t="n">
        <f aca="false">LN(D7943)</f>
        <v>0.538479700547807</v>
      </c>
    </row>
    <row r="7944" customFormat="false" ht="15.75" hidden="false" customHeight="false" outlineLevel="0" collapsed="false">
      <c r="A7944" s="1" t="s">
        <v>1180</v>
      </c>
      <c r="B7944" s="1" t="n">
        <v>201.98</v>
      </c>
      <c r="C7944" s="1" t="n">
        <f aca="false">1/B7944</f>
        <v>0.00495098524606397</v>
      </c>
      <c r="D7944" s="1" t="n">
        <v>1.681</v>
      </c>
      <c r="E7944" s="1" t="n">
        <f aca="false">LN(D7944)</f>
        <v>0.519388854426478</v>
      </c>
    </row>
    <row r="7945" customFormat="false" ht="15.75" hidden="false" customHeight="false" outlineLevel="0" collapsed="false">
      <c r="A7945" s="1" t="s">
        <v>1180</v>
      </c>
      <c r="B7945" s="1" t="n">
        <v>202.75</v>
      </c>
      <c r="C7945" s="1" t="n">
        <f aca="false">1/B7945</f>
        <v>0.00493218249075216</v>
      </c>
      <c r="D7945" s="1" t="n">
        <v>1.6496</v>
      </c>
      <c r="E7945" s="1" t="n">
        <f aca="false">LN(D7945)</f>
        <v>0.500532834280558</v>
      </c>
    </row>
    <row r="7946" customFormat="false" ht="15.75" hidden="false" customHeight="false" outlineLevel="0" collapsed="false">
      <c r="A7946" s="1" t="s">
        <v>1180</v>
      </c>
      <c r="B7946" s="1" t="n">
        <v>203.52</v>
      </c>
      <c r="C7946" s="1" t="n">
        <f aca="false">1/B7946</f>
        <v>0.00491352201257862</v>
      </c>
      <c r="D7946" s="1" t="n">
        <v>1.6192</v>
      </c>
      <c r="E7946" s="1" t="n">
        <f aca="false">LN(D7946)</f>
        <v>0.481932200111009</v>
      </c>
    </row>
    <row r="7947" customFormat="false" ht="15.75" hidden="false" customHeight="false" outlineLevel="0" collapsed="false">
      <c r="A7947" s="1" t="s">
        <v>1180</v>
      </c>
      <c r="B7947" s="1" t="n">
        <v>204.29</v>
      </c>
      <c r="C7947" s="1" t="n">
        <f aca="false">1/B7947</f>
        <v>0.00489500220275099</v>
      </c>
      <c r="D7947" s="1" t="n">
        <v>1.5897</v>
      </c>
      <c r="E7947" s="1" t="n">
        <f aca="false">LN(D7947)</f>
        <v>0.463545319184689</v>
      </c>
    </row>
    <row r="7948" customFormat="false" ht="15.75" hidden="false" customHeight="false" outlineLevel="0" collapsed="false">
      <c r="A7948" s="1" t="s">
        <v>1180</v>
      </c>
      <c r="B7948" s="1" t="n">
        <v>205.06</v>
      </c>
      <c r="C7948" s="1" t="n">
        <f aca="false">1/B7948</f>
        <v>0.00487662147664098</v>
      </c>
      <c r="D7948" s="1" t="n">
        <v>1.5612</v>
      </c>
      <c r="E7948" s="1" t="n">
        <f aca="false">LN(D7948)</f>
        <v>0.445454756324323</v>
      </c>
    </row>
    <row r="7949" customFormat="false" ht="15.75" hidden="false" customHeight="false" outlineLevel="0" collapsed="false">
      <c r="A7949" s="1" t="s">
        <v>1180</v>
      </c>
      <c r="B7949" s="1" t="n">
        <v>205.83</v>
      </c>
      <c r="C7949" s="1" t="n">
        <f aca="false">1/B7949</f>
        <v>0.00485837827333236</v>
      </c>
      <c r="D7949" s="1" t="n">
        <v>1.5334</v>
      </c>
      <c r="E7949" s="1" t="n">
        <f aca="false">LN(D7949)</f>
        <v>0.427487492142657</v>
      </c>
    </row>
    <row r="7950" customFormat="false" ht="15.75" hidden="false" customHeight="false" outlineLevel="0" collapsed="false">
      <c r="A7950" s="1" t="s">
        <v>1180</v>
      </c>
      <c r="B7950" s="1" t="n">
        <v>206.6</v>
      </c>
      <c r="C7950" s="1" t="n">
        <f aca="false">1/B7950</f>
        <v>0.00484027105517909</v>
      </c>
      <c r="D7950" s="1" t="n">
        <v>1.5065</v>
      </c>
      <c r="E7950" s="1" t="n">
        <f aca="false">LN(D7950)</f>
        <v>0.409789079588219</v>
      </c>
    </row>
    <row r="7951" customFormat="false" ht="15.75" hidden="false" customHeight="false" outlineLevel="0" collapsed="false">
      <c r="A7951" s="1" t="s">
        <v>1180</v>
      </c>
      <c r="B7951" s="1" t="n">
        <v>207.37</v>
      </c>
      <c r="C7951" s="1" t="n">
        <f aca="false">1/B7951</f>
        <v>0.00482229830737329</v>
      </c>
      <c r="D7951" s="1" t="n">
        <v>1.4804</v>
      </c>
      <c r="E7951" s="1" t="n">
        <f aca="false">LN(D7951)</f>
        <v>0.392312321529864</v>
      </c>
    </row>
    <row r="7952" customFormat="false" ht="15.75" hidden="false" customHeight="false" outlineLevel="0" collapsed="false">
      <c r="A7952" s="1" t="s">
        <v>1180</v>
      </c>
      <c r="B7952" s="1" t="n">
        <v>208.14</v>
      </c>
      <c r="C7952" s="1" t="n">
        <f aca="false">1/B7952</f>
        <v>0.00480445853752282</v>
      </c>
      <c r="D7952" s="1" t="n">
        <v>1.4551</v>
      </c>
      <c r="E7952" s="1" t="n">
        <f aca="false">LN(D7952)</f>
        <v>0.375074626784096</v>
      </c>
    </row>
    <row r="7953" customFormat="false" ht="15.75" hidden="false" customHeight="false" outlineLevel="0" collapsed="false">
      <c r="A7953" s="1" t="s">
        <v>1180</v>
      </c>
      <c r="B7953" s="1" t="n">
        <v>208.91</v>
      </c>
      <c r="C7953" s="1" t="n">
        <f aca="false">1/B7953</f>
        <v>0.00478675027523814</v>
      </c>
      <c r="D7953" s="1" t="n">
        <v>1.4305</v>
      </c>
      <c r="E7953" s="1" t="n">
        <f aca="false">LN(D7953)</f>
        <v>0.358024033508028</v>
      </c>
    </row>
    <row r="7954" customFormat="false" ht="15.75" hidden="false" customHeight="false" outlineLevel="0" collapsed="false">
      <c r="A7954" s="1" t="s">
        <v>1180</v>
      </c>
      <c r="B7954" s="1" t="n">
        <v>209.68</v>
      </c>
      <c r="C7954" s="1" t="n">
        <f aca="false">1/B7954</f>
        <v>0.00476917207172835</v>
      </c>
      <c r="D7954" s="1" t="n">
        <v>1.4065</v>
      </c>
      <c r="E7954" s="1" t="n">
        <f aca="false">LN(D7954)</f>
        <v>0.341104348947775</v>
      </c>
    </row>
    <row r="7955" customFormat="false" ht="15.75" hidden="false" customHeight="false" outlineLevel="0" collapsed="false">
      <c r="A7955" s="1" t="s">
        <v>1180</v>
      </c>
      <c r="B7955" s="1" t="n">
        <v>210.45</v>
      </c>
      <c r="C7955" s="1" t="n">
        <f aca="false">1/B7955</f>
        <v>0.00475172249940604</v>
      </c>
      <c r="D7955" s="1" t="n">
        <v>1.3832</v>
      </c>
      <c r="E7955" s="1" t="n">
        <f aca="false">LN(D7955)</f>
        <v>0.324399655386944</v>
      </c>
    </row>
    <row r="7956" customFormat="false" ht="15.75" hidden="false" customHeight="false" outlineLevel="0" collapsed="false">
      <c r="A7956" s="1" t="s">
        <v>1180</v>
      </c>
      <c r="B7956" s="1" t="n">
        <v>211.22</v>
      </c>
      <c r="C7956" s="1" t="n">
        <f aca="false">1/B7956</f>
        <v>0.00473440015150081</v>
      </c>
      <c r="D7956" s="1" t="n">
        <v>1.3606</v>
      </c>
      <c r="E7956" s="1" t="n">
        <f aca="false">LN(D7956)</f>
        <v>0.307925778928823</v>
      </c>
    </row>
    <row r="7957" customFormat="false" ht="15.75" hidden="false" customHeight="false" outlineLevel="0" collapsed="false">
      <c r="A7957" s="1" t="s">
        <v>1180</v>
      </c>
      <c r="B7957" s="1" t="n">
        <v>211.99</v>
      </c>
      <c r="C7957" s="1" t="n">
        <f aca="false">1/B7957</f>
        <v>0.00471720364168121</v>
      </c>
      <c r="D7957" s="1" t="n">
        <v>1.3386</v>
      </c>
      <c r="E7957" s="1" t="n">
        <f aca="false">LN(D7957)</f>
        <v>0.291624291684405</v>
      </c>
    </row>
    <row r="7958" customFormat="false" ht="15.75" hidden="false" customHeight="false" outlineLevel="0" collapsed="false">
      <c r="A7958" s="1" t="s">
        <v>1180</v>
      </c>
      <c r="B7958" s="1" t="n">
        <v>212.76</v>
      </c>
      <c r="C7958" s="1" t="n">
        <f aca="false">1/B7958</f>
        <v>0.0047001316036849</v>
      </c>
      <c r="D7958" s="1" t="n">
        <v>1.3171</v>
      </c>
      <c r="E7958" s="1" t="n">
        <f aca="false">LN(D7958)</f>
        <v>0.275432350022864</v>
      </c>
    </row>
    <row r="7959" customFormat="false" ht="15.75" hidden="false" customHeight="false" outlineLevel="0" collapsed="false">
      <c r="A7959" s="1" t="s">
        <v>1180</v>
      </c>
      <c r="B7959" s="1" t="n">
        <v>213.54</v>
      </c>
      <c r="C7959" s="1" t="n">
        <f aca="false">1/B7959</f>
        <v>0.00468296337922637</v>
      </c>
      <c r="D7959" s="1" t="n">
        <v>1.2963</v>
      </c>
      <c r="E7959" s="1" t="n">
        <f aca="false">LN(D7959)</f>
        <v>0.25951405262386</v>
      </c>
    </row>
    <row r="7960" customFormat="false" ht="15.75" hidden="false" customHeight="false" outlineLevel="0" collapsed="false">
      <c r="A7960" s="1" t="s">
        <v>1180</v>
      </c>
      <c r="B7960" s="1" t="n">
        <v>214.31</v>
      </c>
      <c r="C7960" s="1" t="n">
        <f aca="false">1/B7960</f>
        <v>0.00466613783771173</v>
      </c>
      <c r="D7960" s="1" t="n">
        <v>1.276</v>
      </c>
      <c r="E7960" s="1" t="n">
        <f aca="false">LN(D7960)</f>
        <v>0.243730184922598</v>
      </c>
    </row>
    <row r="7961" customFormat="false" ht="15.75" hidden="false" customHeight="false" outlineLevel="0" collapsed="false">
      <c r="A7961" s="1" t="s">
        <v>1180</v>
      </c>
      <c r="B7961" s="1" t="n">
        <v>215.08</v>
      </c>
      <c r="C7961" s="1" t="n">
        <f aca="false">1/B7961</f>
        <v>0.00464943276920216</v>
      </c>
      <c r="D7961" s="1" t="n">
        <v>1.2562</v>
      </c>
      <c r="E7961" s="1" t="n">
        <f aca="false">LN(D7961)</f>
        <v>0.228091291038143</v>
      </c>
    </row>
    <row r="7962" customFormat="false" ht="15.75" hidden="false" customHeight="false" outlineLevel="0" collapsed="false">
      <c r="A7962" s="1" t="s">
        <v>1180</v>
      </c>
      <c r="B7962" s="1" t="n">
        <v>215.85</v>
      </c>
      <c r="C7962" s="1" t="n">
        <f aca="false">1/B7962</f>
        <v>0.00463284688441047</v>
      </c>
      <c r="D7962" s="1" t="n">
        <v>1.2369</v>
      </c>
      <c r="E7962" s="1" t="n">
        <f aca="false">LN(D7962)</f>
        <v>0.212608249398827</v>
      </c>
    </row>
    <row r="7963" customFormat="false" ht="15.75" hidden="false" customHeight="false" outlineLevel="0" collapsed="false">
      <c r="A7963" s="1" t="s">
        <v>1180</v>
      </c>
      <c r="B7963" s="1" t="n">
        <v>216.62</v>
      </c>
      <c r="C7963" s="1" t="n">
        <f aca="false">1/B7963</f>
        <v>0.00461637891238113</v>
      </c>
      <c r="D7963" s="1" t="n">
        <v>1.2181</v>
      </c>
      <c r="E7963" s="1" t="n">
        <f aca="false">LN(D7963)</f>
        <v>0.197292267723776</v>
      </c>
    </row>
    <row r="7964" customFormat="false" ht="15.75" hidden="false" customHeight="false" outlineLevel="0" collapsed="false">
      <c r="A7964" s="1" t="s">
        <v>1180</v>
      </c>
      <c r="B7964" s="1" t="n">
        <v>217.39</v>
      </c>
      <c r="C7964" s="1" t="n">
        <f aca="false">1/B7964</f>
        <v>0.0046000276001656</v>
      </c>
      <c r="D7964" s="1" t="n">
        <v>1.1997</v>
      </c>
      <c r="E7964" s="1" t="n">
        <f aca="false">LN(D7964)</f>
        <v>0.182071525538745</v>
      </c>
    </row>
    <row r="7965" customFormat="false" ht="15.75" hidden="false" customHeight="false" outlineLevel="0" collapsed="false">
      <c r="A7965" s="1" t="s">
        <v>1180</v>
      </c>
      <c r="B7965" s="1" t="n">
        <v>218.16</v>
      </c>
      <c r="C7965" s="1" t="n">
        <f aca="false">1/B7965</f>
        <v>0.00458379171250458</v>
      </c>
      <c r="D7965" s="1" t="n">
        <v>1.1819</v>
      </c>
      <c r="E7965" s="1" t="n">
        <f aca="false">LN(D7965)</f>
        <v>0.167123313036058</v>
      </c>
    </row>
    <row r="7966" customFormat="false" ht="15.75" hidden="false" customHeight="false" outlineLevel="0" collapsed="false">
      <c r="A7966" s="1" t="s">
        <v>1180</v>
      </c>
      <c r="B7966" s="1" t="n">
        <v>218.93</v>
      </c>
      <c r="C7966" s="1" t="n">
        <f aca="false">1/B7966</f>
        <v>0.00456767003151692</v>
      </c>
      <c r="D7966" s="1" t="n">
        <v>1.1644</v>
      </c>
      <c r="E7966" s="1" t="n">
        <f aca="false">LN(D7966)</f>
        <v>0.152205932889331</v>
      </c>
    </row>
    <row r="7967" customFormat="false" ht="15.75" hidden="false" customHeight="false" outlineLevel="0" collapsed="false">
      <c r="A7967" s="1" t="s">
        <v>1180</v>
      </c>
      <c r="B7967" s="1" t="n">
        <v>219.7</v>
      </c>
      <c r="C7967" s="1" t="n">
        <f aca="false">1/B7967</f>
        <v>0.00455166135639508</v>
      </c>
      <c r="D7967" s="1" t="n">
        <v>1.1474</v>
      </c>
      <c r="E7967" s="1" t="n">
        <f aca="false">LN(D7967)</f>
        <v>0.137498513185634</v>
      </c>
    </row>
    <row r="7968" customFormat="false" ht="15.75" hidden="false" customHeight="false" outlineLevel="0" collapsed="false">
      <c r="A7968" s="1" t="s">
        <v>1180</v>
      </c>
      <c r="B7968" s="1" t="n">
        <v>220.47</v>
      </c>
      <c r="C7968" s="1" t="n">
        <f aca="false">1/B7968</f>
        <v>0.004535764503107</v>
      </c>
      <c r="D7968" s="1" t="n">
        <v>1.1308</v>
      </c>
      <c r="E7968" s="1" t="n">
        <f aca="false">LN(D7968)</f>
        <v>0.122925346837298</v>
      </c>
    </row>
    <row r="7969" customFormat="false" ht="15.75" hidden="false" customHeight="false" outlineLevel="0" collapsed="false">
      <c r="A7969" s="1" t="s">
        <v>1180</v>
      </c>
      <c r="B7969" s="1" t="n">
        <v>221.24</v>
      </c>
      <c r="C7969" s="1" t="n">
        <f aca="false">1/B7969</f>
        <v>0.00451997830410414</v>
      </c>
      <c r="D7969" s="1" t="n">
        <v>1.1146</v>
      </c>
      <c r="E7969" s="1" t="n">
        <f aca="false">LN(D7969)</f>
        <v>0.108495596153299</v>
      </c>
    </row>
    <row r="7970" customFormat="false" ht="15.75" hidden="false" customHeight="false" outlineLevel="0" collapsed="false">
      <c r="A7970" s="1" t="s">
        <v>1180</v>
      </c>
      <c r="B7970" s="1" t="n">
        <v>222.01</v>
      </c>
      <c r="C7970" s="1" t="n">
        <f aca="false">1/B7970</f>
        <v>0.00450430160803567</v>
      </c>
      <c r="D7970" s="1" t="n">
        <v>1.0988</v>
      </c>
      <c r="E7970" s="1" t="n">
        <f aca="false">LN(D7970)</f>
        <v>0.0942186752389817</v>
      </c>
    </row>
    <row r="7971" customFormat="false" ht="15.75" hidden="false" customHeight="false" outlineLevel="0" collapsed="false">
      <c r="A7971" s="1" t="s">
        <v>1180</v>
      </c>
      <c r="B7971" s="1" t="n">
        <v>222.78</v>
      </c>
      <c r="C7971" s="1" t="n">
        <f aca="false">1/B7971</f>
        <v>0.00448873327946853</v>
      </c>
      <c r="D7971" s="1" t="n">
        <v>1.0833</v>
      </c>
      <c r="E7971" s="1" t="n">
        <f aca="false">LN(D7971)</f>
        <v>0.0800119379693846</v>
      </c>
    </row>
    <row r="7972" customFormat="false" ht="15.75" hidden="false" customHeight="false" outlineLevel="0" collapsed="false">
      <c r="A7972" s="1" t="s">
        <v>1180</v>
      </c>
      <c r="B7972" s="1" t="n">
        <v>223.55</v>
      </c>
      <c r="C7972" s="1" t="n">
        <f aca="false">1/B7972</f>
        <v>0.00447327219861328</v>
      </c>
      <c r="D7972" s="1" t="n">
        <v>1.0682</v>
      </c>
      <c r="E7972" s="1" t="n">
        <f aca="false">LN(D7972)</f>
        <v>0.0659749889235329</v>
      </c>
    </row>
    <row r="7973" customFormat="false" ht="15.75" hidden="false" customHeight="false" outlineLevel="0" collapsed="false">
      <c r="A7973" s="1" t="s">
        <v>1180</v>
      </c>
      <c r="B7973" s="1" t="n">
        <v>224.32</v>
      </c>
      <c r="C7973" s="1" t="n">
        <f aca="false">1/B7973</f>
        <v>0.00445791726105564</v>
      </c>
      <c r="D7973" s="1" t="n">
        <v>1.0534</v>
      </c>
      <c r="E7973" s="1" t="n">
        <f aca="false">LN(D7973)</f>
        <v>0.0520230280671518</v>
      </c>
    </row>
    <row r="7974" customFormat="false" ht="15.75" hidden="false" customHeight="false" outlineLevel="0" collapsed="false">
      <c r="A7974" s="1" t="s">
        <v>1180</v>
      </c>
      <c r="B7974" s="1" t="n">
        <v>225.09</v>
      </c>
      <c r="C7974" s="1" t="n">
        <f aca="false">1/B7974</f>
        <v>0.00444266737749345</v>
      </c>
      <c r="D7974" s="1" t="n">
        <v>1.039</v>
      </c>
      <c r="E7974" s="1" t="n">
        <f aca="false">LN(D7974)</f>
        <v>0.0382587121170903</v>
      </c>
    </row>
    <row r="7975" customFormat="false" ht="15.75" hidden="false" customHeight="false" outlineLevel="0" collapsed="false">
      <c r="A7975" s="1" t="s">
        <v>1180</v>
      </c>
      <c r="B7975" s="1" t="n">
        <v>225.86</v>
      </c>
      <c r="C7975" s="1" t="n">
        <f aca="false">1/B7975</f>
        <v>0.00442752147347915</v>
      </c>
      <c r="D7975" s="1" t="n">
        <v>1.0249</v>
      </c>
      <c r="E7975" s="1" t="n">
        <f aca="false">LN(D7975)</f>
        <v>0.0245950468553801</v>
      </c>
    </row>
    <row r="7976" customFormat="false" ht="15.75" hidden="false" customHeight="false" outlineLevel="0" collapsed="false">
      <c r="A7976" s="1" t="s">
        <v>1180</v>
      </c>
      <c r="B7976" s="1" t="n">
        <v>226.63</v>
      </c>
      <c r="C7976" s="1" t="n">
        <f aca="false">1/B7976</f>
        <v>0.00441247848916737</v>
      </c>
      <c r="D7976" s="1" t="n">
        <v>1.0111</v>
      </c>
      <c r="E7976" s="1" t="n">
        <f aca="false">LN(D7976)</f>
        <v>0.0110388471152164</v>
      </c>
    </row>
    <row r="7977" customFormat="false" ht="15.75" hidden="false" customHeight="false" outlineLevel="0" collapsed="false">
      <c r="A7977" s="1" t="s">
        <v>1180</v>
      </c>
      <c r="B7977" s="1" t="n">
        <v>227.4</v>
      </c>
      <c r="C7977" s="1" t="n">
        <f aca="false">1/B7977</f>
        <v>0.00439753737906772</v>
      </c>
      <c r="D7977" s="1" t="n">
        <v>0.99763</v>
      </c>
      <c r="E7977" s="1" t="n">
        <f aca="false">LN(D7977)</f>
        <v>-0.00237281289525336</v>
      </c>
    </row>
    <row r="7978" customFormat="false" ht="15.75" hidden="false" customHeight="false" outlineLevel="0" collapsed="false">
      <c r="A7978" s="1" t="s">
        <v>1180</v>
      </c>
      <c r="B7978" s="1" t="n">
        <v>228.18</v>
      </c>
      <c r="C7978" s="1" t="n">
        <f aca="false">1/B7978</f>
        <v>0.0043825050398808</v>
      </c>
      <c r="D7978" s="1" t="n">
        <v>0.98444</v>
      </c>
      <c r="E7978" s="1" t="n">
        <f aca="false">LN(D7978)</f>
        <v>-0.0156823274021072</v>
      </c>
    </row>
    <row r="7979" customFormat="false" ht="15.75" hidden="false" customHeight="false" outlineLevel="0" collapsed="false">
      <c r="A7979" s="1" t="s">
        <v>1180</v>
      </c>
      <c r="B7979" s="1" t="n">
        <v>228.95</v>
      </c>
      <c r="C7979" s="1" t="n">
        <f aca="false">1/B7979</f>
        <v>0.00436776588774842</v>
      </c>
      <c r="D7979" s="1" t="n">
        <v>0.97153</v>
      </c>
      <c r="E7979" s="1" t="n">
        <f aca="false">LN(D7979)</f>
        <v>-0.0288831305590753</v>
      </c>
    </row>
    <row r="7980" customFormat="false" ht="15.75" hidden="false" customHeight="false" outlineLevel="0" collapsed="false">
      <c r="A7980" s="1" t="s">
        <v>1180</v>
      </c>
      <c r="B7980" s="1" t="n">
        <v>229.72</v>
      </c>
      <c r="C7980" s="1" t="n">
        <f aca="false">1/B7980</f>
        <v>0.00435312554414069</v>
      </c>
      <c r="D7980" s="1" t="n">
        <v>0.9589</v>
      </c>
      <c r="E7980" s="1" t="n">
        <f aca="false">LN(D7980)</f>
        <v>-0.0419684848225016</v>
      </c>
    </row>
    <row r="7981" customFormat="false" ht="15.75" hidden="false" customHeight="false" outlineLevel="0" collapsed="false">
      <c r="A7981" s="1" t="s">
        <v>1180</v>
      </c>
      <c r="B7981" s="1" t="n">
        <v>230.49</v>
      </c>
      <c r="C7981" s="1" t="n">
        <f aca="false">1/B7981</f>
        <v>0.00433858301878606</v>
      </c>
      <c r="D7981" s="1" t="n">
        <v>0.94653</v>
      </c>
      <c r="E7981" s="1" t="n">
        <f aca="false">LN(D7981)</f>
        <v>-0.0549526131139806</v>
      </c>
    </row>
    <row r="7982" customFormat="false" ht="15.75" hidden="false" customHeight="false" outlineLevel="0" collapsed="false">
      <c r="A7982" s="1" t="s">
        <v>1180</v>
      </c>
      <c r="B7982" s="1" t="n">
        <v>231.26</v>
      </c>
      <c r="C7982" s="1" t="n">
        <f aca="false">1/B7982</f>
        <v>0.00432413733460175</v>
      </c>
      <c r="D7982" s="1" t="n">
        <v>0.93443</v>
      </c>
      <c r="E7982" s="1" t="n">
        <f aca="false">LN(D7982)</f>
        <v>-0.0678185612591828</v>
      </c>
    </row>
    <row r="7983" customFormat="false" ht="15.75" hidden="false" customHeight="false" outlineLevel="0" collapsed="false">
      <c r="A7983" s="1" t="s">
        <v>1180</v>
      </c>
      <c r="B7983" s="1" t="n">
        <v>232.03</v>
      </c>
      <c r="C7983" s="1" t="n">
        <f aca="false">1/B7983</f>
        <v>0.0043097875274749</v>
      </c>
      <c r="D7983" s="1" t="n">
        <v>0.92258</v>
      </c>
      <c r="E7983" s="1" t="n">
        <f aca="false">LN(D7983)</f>
        <v>-0.0805811859602832</v>
      </c>
    </row>
    <row r="7984" customFormat="false" ht="15.75" hidden="false" customHeight="false" outlineLevel="0" collapsed="false">
      <c r="A7984" s="1" t="s">
        <v>1180</v>
      </c>
      <c r="B7984" s="1" t="n">
        <v>232.8</v>
      </c>
      <c r="C7984" s="1" t="n">
        <f aca="false">1/B7984</f>
        <v>0.00429553264604811</v>
      </c>
      <c r="D7984" s="1" t="n">
        <v>0.91097</v>
      </c>
      <c r="E7984" s="1" t="n">
        <f aca="false">LN(D7984)</f>
        <v>-0.093245313109636</v>
      </c>
    </row>
    <row r="7985" customFormat="false" ht="15.75" hidden="false" customHeight="false" outlineLevel="0" collapsed="false">
      <c r="A7985" s="1" t="s">
        <v>1180</v>
      </c>
      <c r="B7985" s="1" t="n">
        <v>233.57</v>
      </c>
      <c r="C7985" s="1" t="n">
        <f aca="false">1/B7985</f>
        <v>0.00428137175150918</v>
      </c>
      <c r="D7985" s="1" t="n">
        <v>0.8996</v>
      </c>
      <c r="E7985" s="1" t="n">
        <f aca="false">LN(D7985)</f>
        <v>-0.105805058896977</v>
      </c>
    </row>
    <row r="7986" customFormat="false" ht="15.75" hidden="false" customHeight="false" outlineLevel="0" collapsed="false">
      <c r="A7986" s="1" t="s">
        <v>1180</v>
      </c>
      <c r="B7986" s="1" t="n">
        <v>234.34</v>
      </c>
      <c r="C7986" s="1" t="n">
        <f aca="false">1/B7986</f>
        <v>0.004267303917385</v>
      </c>
      <c r="D7986" s="1" t="n">
        <v>0.88846</v>
      </c>
      <c r="E7986" s="1" t="n">
        <f aca="false">LN(D7986)</f>
        <v>-0.118265652096965</v>
      </c>
    </row>
    <row r="7987" customFormat="false" ht="15.75" hidden="false" customHeight="false" outlineLevel="0" collapsed="false">
      <c r="A7987" s="1" t="s">
        <v>1180</v>
      </c>
      <c r="B7987" s="1" t="n">
        <v>235.11</v>
      </c>
      <c r="C7987" s="1" t="n">
        <f aca="false">1/B7987</f>
        <v>0.00425332822933946</v>
      </c>
      <c r="D7987" s="1" t="n">
        <v>0.87754</v>
      </c>
      <c r="E7987" s="1" t="n">
        <f aca="false">LN(D7987)</f>
        <v>-0.130632740635453</v>
      </c>
    </row>
    <row r="7988" customFormat="false" ht="15.75" hidden="false" customHeight="false" outlineLevel="0" collapsed="false">
      <c r="A7988" s="1" t="s">
        <v>1180</v>
      </c>
      <c r="B7988" s="1" t="n">
        <v>235.88</v>
      </c>
      <c r="C7988" s="1" t="n">
        <f aca="false">1/B7988</f>
        <v>0.00423944378497541</v>
      </c>
      <c r="D7988" s="1" t="n">
        <v>0.86685</v>
      </c>
      <c r="E7988" s="1" t="n">
        <f aca="false">LN(D7988)</f>
        <v>-0.14288932755024</v>
      </c>
    </row>
    <row r="7989" customFormat="false" ht="15.75" hidden="false" customHeight="false" outlineLevel="0" collapsed="false">
      <c r="A7989" s="1" t="s">
        <v>1180</v>
      </c>
      <c r="B7989" s="1" t="n">
        <v>236.65</v>
      </c>
      <c r="C7989" s="1" t="n">
        <f aca="false">1/B7989</f>
        <v>0.0042256496936404</v>
      </c>
      <c r="D7989" s="1" t="n">
        <v>0.85636</v>
      </c>
      <c r="E7989" s="1" t="n">
        <f aca="false">LN(D7989)</f>
        <v>-0.155064430503615</v>
      </c>
    </row>
    <row r="7990" customFormat="false" ht="15.75" hidden="false" customHeight="false" outlineLevel="0" collapsed="false">
      <c r="A7990" s="1" t="s">
        <v>1180</v>
      </c>
      <c r="B7990" s="1" t="n">
        <v>237.42</v>
      </c>
      <c r="C7990" s="1" t="n">
        <f aca="false">1/B7990</f>
        <v>0.00421194507623621</v>
      </c>
      <c r="D7990" s="1" t="n">
        <v>0.84608</v>
      </c>
      <c r="E7990" s="1" t="n">
        <f aca="false">LN(D7990)</f>
        <v>-0.167141361198925</v>
      </c>
    </row>
    <row r="7991" customFormat="false" ht="15.75" hidden="false" customHeight="false" outlineLevel="0" collapsed="false">
      <c r="A7991" s="1" t="s">
        <v>1180</v>
      </c>
      <c r="B7991" s="1" t="n">
        <v>238.19</v>
      </c>
      <c r="C7991" s="1" t="n">
        <f aca="false">1/B7991</f>
        <v>0.00419832906503212</v>
      </c>
      <c r="D7991" s="1" t="n">
        <v>0.836</v>
      </c>
      <c r="E7991" s="1" t="n">
        <f aca="false">LN(D7991)</f>
        <v>-0.179126665897435</v>
      </c>
    </row>
    <row r="7992" customFormat="false" ht="15.75" hidden="false" customHeight="false" outlineLevel="0" collapsed="false">
      <c r="A7992" s="1" t="s">
        <v>1180</v>
      </c>
      <c r="B7992" s="1" t="n">
        <v>238.96</v>
      </c>
      <c r="C7992" s="1" t="n">
        <f aca="false">1/B7992</f>
        <v>0.00418480080348175</v>
      </c>
      <c r="D7992" s="1" t="n">
        <v>0.82611</v>
      </c>
      <c r="E7992" s="1" t="n">
        <f aca="false">LN(D7992)</f>
        <v>-0.191027342414918</v>
      </c>
    </row>
    <row r="7993" customFormat="false" ht="15.75" hidden="false" customHeight="false" outlineLevel="0" collapsed="false">
      <c r="A7993" s="1" t="s">
        <v>1180</v>
      </c>
      <c r="B7993" s="1" t="n">
        <v>239.73</v>
      </c>
      <c r="C7993" s="1" t="n">
        <f aca="false">1/B7993</f>
        <v>0.00417135944604347</v>
      </c>
      <c r="D7993" s="1" t="n">
        <v>0.81642</v>
      </c>
      <c r="E7993" s="1" t="n">
        <f aca="false">LN(D7993)</f>
        <v>-0.202826350551315</v>
      </c>
    </row>
    <row r="7994" customFormat="false" ht="15.75" hidden="false" customHeight="false" outlineLevel="0" collapsed="false">
      <c r="A7994" s="1" t="s">
        <v>1180</v>
      </c>
      <c r="B7994" s="1" t="n">
        <v>240.5</v>
      </c>
      <c r="C7994" s="1" t="n">
        <f aca="false">1/B7994</f>
        <v>0.00415800415800416</v>
      </c>
      <c r="D7994" s="1" t="n">
        <v>0.8069</v>
      </c>
      <c r="E7994" s="1" t="n">
        <f aca="false">LN(D7994)</f>
        <v>-0.214555534127676</v>
      </c>
    </row>
    <row r="7995" customFormat="false" ht="15.75" hidden="false" customHeight="false" outlineLevel="0" collapsed="false">
      <c r="A7995" s="1" t="s">
        <v>1180</v>
      </c>
      <c r="B7995" s="1" t="n">
        <v>241.27</v>
      </c>
      <c r="C7995" s="1" t="n">
        <f aca="false">1/B7995</f>
        <v>0.0041447341153065</v>
      </c>
      <c r="D7995" s="1" t="n">
        <v>0.79757</v>
      </c>
      <c r="E7995" s="1" t="n">
        <f aca="false">LN(D7995)</f>
        <v>-0.226185673880405</v>
      </c>
    </row>
    <row r="7996" customFormat="false" ht="15.75" hidden="false" customHeight="false" outlineLevel="0" collapsed="false">
      <c r="A7996" s="1" t="s">
        <v>1180</v>
      </c>
      <c r="B7996" s="1" t="n">
        <v>242.04</v>
      </c>
      <c r="C7996" s="1" t="n">
        <f aca="false">1/B7996</f>
        <v>0.00413154850437944</v>
      </c>
      <c r="D7996" s="1" t="n">
        <v>0.78841</v>
      </c>
      <c r="E7996" s="1" t="n">
        <f aca="false">LN(D7996)</f>
        <v>-0.237737019867219</v>
      </c>
    </row>
    <row r="7997" customFormat="false" ht="15.75" hidden="false" customHeight="false" outlineLevel="0" collapsed="false">
      <c r="A7997" s="1" t="s">
        <v>1180</v>
      </c>
      <c r="B7997" s="1" t="n">
        <v>242.82</v>
      </c>
      <c r="C7997" s="1" t="n">
        <f aca="false">1/B7997</f>
        <v>0.00411827691293963</v>
      </c>
      <c r="D7997" s="1" t="n">
        <v>0.77942</v>
      </c>
      <c r="E7997" s="1" t="n">
        <f aca="false">LN(D7997)</f>
        <v>-0.249205225642069</v>
      </c>
    </row>
    <row r="7998" customFormat="false" ht="15.75" hidden="false" customHeight="false" outlineLevel="0" collapsed="false">
      <c r="A7998" s="1" t="s">
        <v>1180</v>
      </c>
      <c r="B7998" s="1" t="n">
        <v>243.59</v>
      </c>
      <c r="C7998" s="1" t="n">
        <f aca="false">1/B7998</f>
        <v>0.00410525883656965</v>
      </c>
      <c r="D7998" s="1" t="n">
        <v>0.7706</v>
      </c>
      <c r="E7998" s="1" t="n">
        <f aca="false">LN(D7998)</f>
        <v>-0.26058584679008</v>
      </c>
    </row>
    <row r="7999" customFormat="false" ht="15.75" hidden="false" customHeight="false" outlineLevel="0" collapsed="false">
      <c r="A7999" s="1" t="s">
        <v>1180</v>
      </c>
      <c r="B7999" s="1" t="n">
        <v>244.36</v>
      </c>
      <c r="C7999" s="1" t="n">
        <f aca="false">1/B7999</f>
        <v>0.00409232280242266</v>
      </c>
      <c r="D7999" s="1" t="n">
        <v>0.76194</v>
      </c>
      <c r="E7999" s="1" t="n">
        <f aca="false">LN(D7999)</f>
        <v>-0.27188746655314</v>
      </c>
    </row>
    <row r="8000" customFormat="false" ht="15.75" hidden="false" customHeight="false" outlineLevel="0" collapsed="false">
      <c r="A8000" s="1" t="s">
        <v>1180</v>
      </c>
      <c r="B8000" s="1" t="n">
        <v>245.13</v>
      </c>
      <c r="C8000" s="1" t="n">
        <f aca="false">1/B8000</f>
        <v>0.00407946803736793</v>
      </c>
      <c r="D8000" s="1" t="n">
        <v>0.75343</v>
      </c>
      <c r="E8000" s="1" t="n">
        <f aca="false">LN(D8000)</f>
        <v>-0.28311916503197</v>
      </c>
    </row>
    <row r="8001" customFormat="false" ht="15.75" hidden="false" customHeight="false" outlineLevel="0" collapsed="false">
      <c r="A8001" s="1" t="s">
        <v>1180</v>
      </c>
      <c r="B8001" s="1" t="n">
        <v>245.9</v>
      </c>
      <c r="C8001" s="1" t="n">
        <f aca="false">1/B8001</f>
        <v>0.00406669377795852</v>
      </c>
      <c r="D8001" s="1" t="n">
        <v>0.74508</v>
      </c>
      <c r="E8001" s="1" t="n">
        <f aca="false">LN(D8001)</f>
        <v>-0.294263683817335</v>
      </c>
    </row>
    <row r="8002" customFormat="false" ht="15.75" hidden="false" customHeight="false" outlineLevel="0" collapsed="false">
      <c r="A8002" s="1" t="s">
        <v>1180</v>
      </c>
      <c r="B8002" s="1" t="n">
        <v>246.67</v>
      </c>
      <c r="C8002" s="1" t="n">
        <f aca="false">1/B8002</f>
        <v>0.00405399927028013</v>
      </c>
      <c r="D8002" s="1" t="n">
        <v>0.73687</v>
      </c>
      <c r="E8002" s="1" t="n">
        <f aca="false">LN(D8002)</f>
        <v>-0.305343793124888</v>
      </c>
    </row>
    <row r="8003" customFormat="false" ht="15.75" hidden="false" customHeight="false" outlineLevel="0" collapsed="false">
      <c r="A8003" s="1" t="s">
        <v>1180</v>
      </c>
      <c r="B8003" s="1" t="n">
        <v>247.44</v>
      </c>
      <c r="C8003" s="1" t="n">
        <f aca="false">1/B8003</f>
        <v>0.00404138376980278</v>
      </c>
      <c r="D8003" s="1" t="n">
        <v>0.72881</v>
      </c>
      <c r="E8003" s="1" t="n">
        <f aca="false">LN(D8003)</f>
        <v>-0.316342211945013</v>
      </c>
    </row>
    <row r="8004" customFormat="false" ht="15.75" hidden="false" customHeight="false" outlineLevel="0" collapsed="false">
      <c r="A8004" s="1" t="s">
        <v>1180</v>
      </c>
      <c r="B8004" s="1" t="n">
        <v>248.21</v>
      </c>
      <c r="C8004" s="1" t="n">
        <f aca="false">1/B8004</f>
        <v>0.00402884654123524</v>
      </c>
      <c r="D8004" s="1" t="n">
        <v>0.7209</v>
      </c>
      <c r="E8004" s="1" t="n">
        <f aca="false">LN(D8004)</f>
        <v>-0.327254847571604</v>
      </c>
    </row>
    <row r="8005" customFormat="false" ht="15.75" hidden="false" customHeight="false" outlineLevel="0" collapsed="false">
      <c r="A8005" s="1" t="s">
        <v>1180</v>
      </c>
      <c r="B8005" s="1" t="n">
        <v>248.98</v>
      </c>
      <c r="C8005" s="1" t="n">
        <f aca="false">1/B8005</f>
        <v>0.0040163868583822</v>
      </c>
      <c r="D8005" s="1" t="n">
        <v>0.71312</v>
      </c>
      <c r="E8005" s="1" t="n">
        <f aca="false">LN(D8005)</f>
        <v>-0.338105569783891</v>
      </c>
    </row>
    <row r="8006" customFormat="false" ht="15.75" hidden="false" customHeight="false" outlineLevel="0" collapsed="false">
      <c r="A8006" s="1" t="s">
        <v>1180</v>
      </c>
      <c r="B8006" s="1" t="n">
        <v>249.75</v>
      </c>
      <c r="C8006" s="1" t="n">
        <f aca="false">1/B8006</f>
        <v>0.004004004004004</v>
      </c>
      <c r="D8006" s="1" t="n">
        <v>0.70547</v>
      </c>
      <c r="E8006" s="1" t="n">
        <f aca="false">LN(D8006)</f>
        <v>-0.348891031626708</v>
      </c>
    </row>
    <row r="8007" customFormat="false" ht="15.75" hidden="false" customHeight="false" outlineLevel="0" collapsed="false">
      <c r="A8007" s="1" t="s">
        <v>1180</v>
      </c>
      <c r="B8007" s="1" t="n">
        <v>250.52</v>
      </c>
      <c r="C8007" s="1" t="n">
        <f aca="false">1/B8007</f>
        <v>0.00399169726967907</v>
      </c>
      <c r="D8007" s="1" t="n">
        <v>0.69796</v>
      </c>
      <c r="E8007" s="1" t="n">
        <f aca="false">LN(D8007)</f>
        <v>-0.359593484452108</v>
      </c>
    </row>
    <row r="8008" customFormat="false" ht="15.75" hidden="false" customHeight="false" outlineLevel="0" collapsed="false">
      <c r="A8008" s="1" t="s">
        <v>1180</v>
      </c>
      <c r="B8008" s="1" t="n">
        <v>251.29</v>
      </c>
      <c r="C8008" s="1" t="n">
        <f aca="false">1/B8008</f>
        <v>0.00397946595566875</v>
      </c>
      <c r="D8008" s="1" t="n">
        <v>0.69057</v>
      </c>
      <c r="E8008" s="1" t="n">
        <f aca="false">LN(D8008)</f>
        <v>-0.370237935456344</v>
      </c>
    </row>
    <row r="8009" customFormat="false" ht="15.75" hidden="false" customHeight="false" outlineLevel="0" collapsed="false">
      <c r="A8009" s="1" t="s">
        <v>1180</v>
      </c>
      <c r="B8009" s="1" t="n">
        <v>252.06</v>
      </c>
      <c r="C8009" s="1" t="n">
        <f aca="false">1/B8009</f>
        <v>0.00396730937078473</v>
      </c>
      <c r="D8009" s="1" t="n">
        <v>0.68331</v>
      </c>
      <c r="E8009" s="1" t="n">
        <f aca="false">LN(D8009)</f>
        <v>-0.380806642442256</v>
      </c>
    </row>
    <row r="8010" customFormat="false" ht="15.75" hidden="false" customHeight="false" outlineLevel="0" collapsed="false">
      <c r="A8010" s="1" t="s">
        <v>1180</v>
      </c>
      <c r="B8010" s="1" t="n">
        <v>252.83</v>
      </c>
      <c r="C8010" s="1" t="n">
        <f aca="false">1/B8010</f>
        <v>0.00395522683225883</v>
      </c>
      <c r="D8010" s="1" t="n">
        <v>0.67617</v>
      </c>
      <c r="E8010" s="1" t="n">
        <f aca="false">LN(D8010)</f>
        <v>-0.391310755264848</v>
      </c>
    </row>
    <row r="8011" customFormat="false" ht="15.75" hidden="false" customHeight="false" outlineLevel="0" collapsed="false">
      <c r="A8011" s="1" t="s">
        <v>1180</v>
      </c>
      <c r="B8011" s="1" t="n">
        <v>253.6</v>
      </c>
      <c r="C8011" s="1" t="n">
        <f aca="false">1/B8011</f>
        <v>0.00394321766561514</v>
      </c>
      <c r="D8011" s="1" t="n">
        <v>0.66915</v>
      </c>
      <c r="E8011" s="1" t="n">
        <f aca="false">LN(D8011)</f>
        <v>-0.401747028739754</v>
      </c>
    </row>
    <row r="8012" customFormat="false" ht="15.75" hidden="false" customHeight="false" outlineLevel="0" collapsed="false">
      <c r="A8012" s="1" t="s">
        <v>1180</v>
      </c>
      <c r="B8012" s="1" t="n">
        <v>254.37</v>
      </c>
      <c r="C8012" s="1" t="n">
        <f aca="false">1/B8012</f>
        <v>0.00393128120454456</v>
      </c>
      <c r="D8012" s="1" t="n">
        <v>0.66224</v>
      </c>
      <c r="E8012" s="1" t="n">
        <f aca="false">LN(D8012)</f>
        <v>-0.412127250981715</v>
      </c>
    </row>
    <row r="8013" customFormat="false" ht="15.75" hidden="false" customHeight="false" outlineLevel="0" collapsed="false">
      <c r="A8013" s="1" t="s">
        <v>1180</v>
      </c>
      <c r="B8013" s="1" t="n">
        <v>255.14</v>
      </c>
      <c r="C8013" s="1" t="n">
        <f aca="false">1/B8013</f>
        <v>0.00391941679078153</v>
      </c>
      <c r="D8013" s="1" t="n">
        <v>0.65545</v>
      </c>
      <c r="E8013" s="1" t="n">
        <f aca="false">LN(D8013)</f>
        <v>-0.422433256338319</v>
      </c>
    </row>
    <row r="8014" customFormat="false" ht="15.75" hidden="false" customHeight="false" outlineLevel="0" collapsed="false">
      <c r="A8014" s="1" t="s">
        <v>1180</v>
      </c>
      <c r="B8014" s="1" t="n">
        <v>255.91</v>
      </c>
      <c r="C8014" s="1" t="n">
        <f aca="false">1/B8014</f>
        <v>0.00390762377398304</v>
      </c>
      <c r="D8014" s="1" t="n">
        <v>0.64877</v>
      </c>
      <c r="E8014" s="1" t="n">
        <f aca="false">LN(D8014)</f>
        <v>-0.43267701646085</v>
      </c>
    </row>
    <row r="8015" customFormat="false" ht="15.75" hidden="false" customHeight="false" outlineLevel="0" collapsed="false">
      <c r="A8015" s="1" t="s">
        <v>1180</v>
      </c>
      <c r="B8015" s="1" t="n">
        <v>256.69</v>
      </c>
      <c r="C8015" s="1" t="n">
        <f aca="false">1/B8015</f>
        <v>0.00389574973703689</v>
      </c>
      <c r="D8015" s="1" t="n">
        <v>0.6422</v>
      </c>
      <c r="E8015" s="1" t="n">
        <f aca="false">LN(D8015)</f>
        <v>-0.442855497326724</v>
      </c>
    </row>
    <row r="8016" customFormat="false" ht="15.75" hidden="false" customHeight="false" outlineLevel="0" collapsed="false">
      <c r="A8016" s="1" t="s">
        <v>1180</v>
      </c>
      <c r="B8016" s="1" t="n">
        <v>257.46</v>
      </c>
      <c r="C8016" s="1" t="n">
        <f aca="false">1/B8016</f>
        <v>0.00388409850073798</v>
      </c>
      <c r="D8016" s="1" t="n">
        <v>0.63573</v>
      </c>
      <c r="E8016" s="1" t="n">
        <f aca="false">LN(D8016)</f>
        <v>-0.452981334081553</v>
      </c>
    </row>
    <row r="8017" customFormat="false" ht="15.75" hidden="false" customHeight="false" outlineLevel="0" collapsed="false">
      <c r="A8017" s="1" t="s">
        <v>1180</v>
      </c>
      <c r="B8017" s="1" t="n">
        <v>258.23</v>
      </c>
      <c r="C8017" s="1" t="n">
        <f aca="false">1/B8017</f>
        <v>0.00387251674863494</v>
      </c>
      <c r="D8017" s="1" t="n">
        <v>0.62937</v>
      </c>
      <c r="E8017" s="1" t="n">
        <f aca="false">LN(D8017)</f>
        <v>-0.463035959930142</v>
      </c>
    </row>
    <row r="8018" customFormat="false" ht="15.75" hidden="false" customHeight="false" outlineLevel="0" collapsed="false">
      <c r="A8018" s="1" t="s">
        <v>1180</v>
      </c>
      <c r="B8018" s="1" t="n">
        <v>259</v>
      </c>
      <c r="C8018" s="1" t="n">
        <f aca="false">1/B8018</f>
        <v>0.00386100386100386</v>
      </c>
      <c r="D8018" s="1" t="n">
        <v>0.62311</v>
      </c>
      <c r="E8018" s="1" t="n">
        <f aca="false">LN(D8018)</f>
        <v>-0.473032210772425</v>
      </c>
    </row>
    <row r="8019" customFormat="false" ht="15.75" hidden="false" customHeight="false" outlineLevel="0" collapsed="false">
      <c r="A8019" s="1" t="s">
        <v>1180</v>
      </c>
      <c r="B8019" s="1" t="n">
        <v>259.77</v>
      </c>
      <c r="C8019" s="1" t="n">
        <f aca="false">1/B8019</f>
        <v>0.00384955922546868</v>
      </c>
      <c r="D8019" s="1" t="n">
        <v>0.61694</v>
      </c>
      <c r="E8019" s="1" t="n">
        <f aca="false">LN(D8019)</f>
        <v>-0.482983504537902</v>
      </c>
    </row>
    <row r="8020" customFormat="false" ht="15.75" hidden="false" customHeight="false" outlineLevel="0" collapsed="false">
      <c r="A8020" s="1" t="s">
        <v>1180</v>
      </c>
      <c r="B8020" s="1" t="n">
        <v>260.54</v>
      </c>
      <c r="C8020" s="1" t="n">
        <f aca="false">1/B8020</f>
        <v>0.00383818223689261</v>
      </c>
      <c r="D8020" s="1" t="n">
        <v>0.61087</v>
      </c>
      <c r="E8020" s="1" t="n">
        <f aca="false">LN(D8020)</f>
        <v>-0.492871108405876</v>
      </c>
    </row>
    <row r="8021" customFormat="false" ht="15.75" hidden="false" customHeight="false" outlineLevel="0" collapsed="false">
      <c r="A8021" s="1" t="s">
        <v>1180</v>
      </c>
      <c r="B8021" s="1" t="n">
        <v>261.31</v>
      </c>
      <c r="C8021" s="1" t="n">
        <f aca="false">1/B8021</f>
        <v>0.00382687229727144</v>
      </c>
      <c r="D8021" s="1" t="n">
        <v>0.6049</v>
      </c>
      <c r="E8021" s="1" t="n">
        <f aca="false">LN(D8021)</f>
        <v>-0.502692123869269</v>
      </c>
    </row>
    <row r="8022" customFormat="false" ht="15.75" hidden="false" customHeight="false" outlineLevel="0" collapsed="false">
      <c r="A8022" s="1" t="s">
        <v>1180</v>
      </c>
      <c r="B8022" s="1" t="n">
        <v>262.08</v>
      </c>
      <c r="C8022" s="1" t="n">
        <f aca="false">1/B8022</f>
        <v>0.00381562881562882</v>
      </c>
      <c r="D8022" s="1" t="n">
        <v>0.59902</v>
      </c>
      <c r="E8022" s="1" t="n">
        <f aca="false">LN(D8022)</f>
        <v>-0.512460292442451</v>
      </c>
    </row>
    <row r="8023" customFormat="false" ht="15.75" hidden="false" customHeight="false" outlineLevel="0" collapsed="false">
      <c r="A8023" s="1" t="s">
        <v>1180</v>
      </c>
      <c r="B8023" s="1" t="n">
        <v>262.85</v>
      </c>
      <c r="C8023" s="1" t="n">
        <f aca="false">1/B8023</f>
        <v>0.00380445120791326</v>
      </c>
      <c r="D8023" s="1" t="n">
        <v>0.59322</v>
      </c>
      <c r="E8023" s="1" t="n">
        <f aca="false">LN(D8023)</f>
        <v>-0.522189953845041</v>
      </c>
    </row>
    <row r="8024" customFormat="false" ht="15.75" hidden="false" customHeight="false" outlineLevel="0" collapsed="false">
      <c r="A8024" s="1" t="s">
        <v>1180</v>
      </c>
      <c r="B8024" s="1" t="n">
        <v>263.62</v>
      </c>
      <c r="C8024" s="1" t="n">
        <f aca="false">1/B8024</f>
        <v>0.00379333889689705</v>
      </c>
      <c r="D8024" s="1" t="n">
        <v>0.58752</v>
      </c>
      <c r="E8024" s="1" t="n">
        <f aca="false">LN(D8024)</f>
        <v>-0.531844990990066</v>
      </c>
    </row>
    <row r="8025" customFormat="false" ht="15.75" hidden="false" customHeight="false" outlineLevel="0" collapsed="false">
      <c r="A8025" s="1" t="s">
        <v>1180</v>
      </c>
      <c r="B8025" s="1" t="n">
        <v>264.39</v>
      </c>
      <c r="C8025" s="1" t="n">
        <f aca="false">1/B8025</f>
        <v>0.00378229131207686</v>
      </c>
      <c r="D8025" s="1" t="n">
        <v>0.5819</v>
      </c>
      <c r="E8025" s="1" t="n">
        <f aca="false">LN(D8025)</f>
        <v>-0.541456667319513</v>
      </c>
    </row>
    <row r="8026" customFormat="false" ht="15.75" hidden="false" customHeight="false" outlineLevel="0" collapsed="false">
      <c r="A8026" s="1" t="s">
        <v>1180</v>
      </c>
      <c r="B8026" s="1" t="n">
        <v>265.16</v>
      </c>
      <c r="C8026" s="1" t="n">
        <f aca="false">1/B8026</f>
        <v>0.0037713078895761</v>
      </c>
      <c r="D8026" s="1" t="n">
        <v>0.57636</v>
      </c>
      <c r="E8026" s="1" t="n">
        <f aca="false">LN(D8026)</f>
        <v>-0.551022813517404</v>
      </c>
    </row>
    <row r="8027" customFormat="false" ht="15.75" hidden="false" customHeight="false" outlineLevel="0" collapsed="false">
      <c r="A8027" s="1" t="s">
        <v>1180</v>
      </c>
      <c r="B8027" s="1" t="n">
        <v>265.93</v>
      </c>
      <c r="C8027" s="1" t="n">
        <f aca="false">1/B8027</f>
        <v>0.00376038807204904</v>
      </c>
      <c r="D8027" s="1" t="n">
        <v>0.57091</v>
      </c>
      <c r="E8027" s="1" t="n">
        <f aca="false">LN(D8027)</f>
        <v>-0.560523699962843</v>
      </c>
    </row>
    <row r="8028" customFormat="false" ht="15.75" hidden="false" customHeight="false" outlineLevel="0" collapsed="false">
      <c r="A8028" s="1" t="s">
        <v>1180</v>
      </c>
      <c r="B8028" s="1" t="n">
        <v>266.7</v>
      </c>
      <c r="C8028" s="1" t="n">
        <f aca="false">1/B8028</f>
        <v>0.00374953130858643</v>
      </c>
      <c r="D8028" s="1" t="n">
        <v>0.56554</v>
      </c>
      <c r="E8028" s="1" t="n">
        <f aca="false">LN(D8028)</f>
        <v>-0.569974252063646</v>
      </c>
    </row>
    <row r="8029" customFormat="false" ht="15.75" hidden="false" customHeight="false" outlineLevel="0" collapsed="false">
      <c r="A8029" s="1" t="s">
        <v>1180</v>
      </c>
      <c r="B8029" s="1" t="n">
        <v>267.47</v>
      </c>
      <c r="C8029" s="1" t="n">
        <f aca="false">1/B8029</f>
        <v>0.00373873705462295</v>
      </c>
      <c r="D8029" s="1" t="n">
        <v>0.56024</v>
      </c>
      <c r="E8029" s="1" t="n">
        <f aca="false">LN(D8029)</f>
        <v>-0.579390015634875</v>
      </c>
    </row>
    <row r="8030" customFormat="false" ht="15.75" hidden="false" customHeight="false" outlineLevel="0" collapsed="false">
      <c r="A8030" s="1" t="s">
        <v>1180</v>
      </c>
      <c r="B8030" s="1" t="n">
        <v>268.24</v>
      </c>
      <c r="C8030" s="1" t="n">
        <f aca="false">1/B8030</f>
        <v>0.00372800477184611</v>
      </c>
      <c r="D8030" s="1" t="n">
        <v>0.55503</v>
      </c>
      <c r="E8030" s="1" t="n">
        <f aca="false">LN(D8030)</f>
        <v>-0.588733112642516</v>
      </c>
    </row>
    <row r="8031" customFormat="false" ht="15.75" hidden="false" customHeight="false" outlineLevel="0" collapsed="false">
      <c r="A8031" s="1" t="s">
        <v>1180</v>
      </c>
      <c r="B8031" s="1" t="n">
        <v>269.01</v>
      </c>
      <c r="C8031" s="1" t="n">
        <f aca="false">1/B8031</f>
        <v>0.00371733392810676</v>
      </c>
      <c r="D8031" s="1" t="n">
        <v>0.54989</v>
      </c>
      <c r="E8031" s="1" t="n">
        <f aca="false">LN(D8031)</f>
        <v>-0.598037020758288</v>
      </c>
    </row>
    <row r="8032" customFormat="false" ht="15.75" hidden="false" customHeight="false" outlineLevel="0" collapsed="false">
      <c r="A8032" s="1" t="s">
        <v>1180</v>
      </c>
      <c r="B8032" s="1" t="n">
        <v>269.78</v>
      </c>
      <c r="C8032" s="1" t="n">
        <f aca="false">1/B8032</f>
        <v>0.00370672399733116</v>
      </c>
      <c r="D8032" s="1" t="n">
        <v>0.54482</v>
      </c>
      <c r="E8032" s="1" t="n">
        <f aca="false">LN(D8032)</f>
        <v>-0.607299814101126</v>
      </c>
    </row>
    <row r="8033" customFormat="false" ht="15.75" hidden="false" customHeight="false" outlineLevel="0" collapsed="false">
      <c r="A8033" s="1" t="s">
        <v>1180</v>
      </c>
      <c r="B8033" s="1" t="n">
        <v>270.55</v>
      </c>
      <c r="C8033" s="1" t="n">
        <f aca="false">1/B8033</f>
        <v>0.00369617445943449</v>
      </c>
      <c r="D8033" s="1" t="n">
        <v>0.53982</v>
      </c>
      <c r="E8033" s="1" t="n">
        <f aca="false">LN(D8033)</f>
        <v>-0.616519528325055</v>
      </c>
    </row>
    <row r="8034" customFormat="false" ht="15.75" hidden="false" customHeight="false" outlineLevel="0" collapsed="false">
      <c r="A8034" s="1" t="s">
        <v>1180</v>
      </c>
      <c r="B8034" s="1" t="n">
        <v>271.33</v>
      </c>
      <c r="C8034" s="1" t="n">
        <f aca="false">1/B8034</f>
        <v>0.00368554896251797</v>
      </c>
      <c r="D8034" s="1" t="n">
        <v>0.5349</v>
      </c>
      <c r="E8034" s="1" t="n">
        <f aca="false">LN(D8034)</f>
        <v>-0.625675465444933</v>
      </c>
    </row>
    <row r="8035" customFormat="false" ht="15.75" hidden="false" customHeight="false" outlineLevel="0" collapsed="false">
      <c r="A8035" s="1" t="s">
        <v>1180</v>
      </c>
      <c r="B8035" s="1" t="n">
        <v>272.1</v>
      </c>
      <c r="C8035" s="1" t="n">
        <f aca="false">1/B8035</f>
        <v>0.00367511944138184</v>
      </c>
      <c r="D8035" s="1" t="n">
        <v>0.53004</v>
      </c>
      <c r="E8035" s="1" t="n">
        <f aca="false">LN(D8035)</f>
        <v>-0.634802803585702</v>
      </c>
    </row>
    <row r="8036" customFormat="false" ht="15.75" hidden="false" customHeight="false" outlineLevel="0" collapsed="false">
      <c r="A8036" s="1" t="s">
        <v>1180</v>
      </c>
      <c r="B8036" s="1" t="n">
        <v>272.87</v>
      </c>
      <c r="C8036" s="1" t="n">
        <f aca="false">1/B8036</f>
        <v>0.00366474878147103</v>
      </c>
      <c r="D8036" s="1" t="n">
        <v>0.52525</v>
      </c>
      <c r="E8036" s="1" t="n">
        <f aca="false">LN(D8036)</f>
        <v>-0.643880939257027</v>
      </c>
    </row>
    <row r="8037" customFormat="false" ht="15.75" hidden="false" customHeight="false" outlineLevel="0" collapsed="false">
      <c r="A8037" s="1" t="s">
        <v>1180</v>
      </c>
      <c r="B8037" s="1" t="n">
        <v>273.64</v>
      </c>
      <c r="C8037" s="1" t="n">
        <f aca="false">1/B8037</f>
        <v>0.00365443648589388</v>
      </c>
      <c r="D8037" s="1" t="n">
        <v>0.52053</v>
      </c>
      <c r="E8037" s="1" t="n">
        <f aca="false">LN(D8037)</f>
        <v>-0.652907755700447</v>
      </c>
    </row>
    <row r="8038" customFormat="false" ht="15.75" hidden="false" customHeight="false" outlineLevel="0" collapsed="false">
      <c r="A8038" s="1" t="s">
        <v>1180</v>
      </c>
      <c r="B8038" s="1" t="n">
        <v>274.41</v>
      </c>
      <c r="C8038" s="1" t="n">
        <f aca="false">1/B8038</f>
        <v>0.00364418206333588</v>
      </c>
      <c r="D8038" s="1" t="n">
        <v>0.51588</v>
      </c>
      <c r="E8038" s="1" t="n">
        <f aca="false">LN(D8038)</f>
        <v>-0.661881098685947</v>
      </c>
    </row>
    <row r="8039" customFormat="false" ht="15.75" hidden="false" customHeight="false" outlineLevel="0" collapsed="false">
      <c r="A8039" s="1" t="s">
        <v>1180</v>
      </c>
      <c r="B8039" s="1" t="n">
        <v>275.18</v>
      </c>
      <c r="C8039" s="1" t="n">
        <f aca="false">1/B8039</f>
        <v>0.00363398502798168</v>
      </c>
      <c r="D8039" s="1" t="n">
        <v>0.51128</v>
      </c>
      <c r="E8039" s="1" t="n">
        <f aca="false">LN(D8039)</f>
        <v>-0.670837893640111</v>
      </c>
    </row>
    <row r="8040" customFormat="false" ht="15.75" hidden="false" customHeight="false" outlineLevel="0" collapsed="false">
      <c r="A8040" s="1" t="s">
        <v>1180</v>
      </c>
      <c r="B8040" s="1" t="n">
        <v>275.95</v>
      </c>
      <c r="C8040" s="1" t="n">
        <f aca="false">1/B8040</f>
        <v>0.0036238448994383</v>
      </c>
      <c r="D8040" s="1" t="n">
        <v>0.50675</v>
      </c>
      <c r="E8040" s="1" t="n">
        <f aca="false">LN(D8040)</f>
        <v>-0.679737493650028</v>
      </c>
    </row>
    <row r="8041" customFormat="false" ht="15.75" hidden="false" customHeight="false" outlineLevel="0" collapsed="false">
      <c r="A8041" s="1" t="s">
        <v>1180</v>
      </c>
      <c r="B8041" s="1" t="n">
        <v>276.72</v>
      </c>
      <c r="C8041" s="1" t="n">
        <f aca="false">1/B8041</f>
        <v>0.00361376120265973</v>
      </c>
      <c r="D8041" s="1" t="n">
        <v>0.50228</v>
      </c>
      <c r="E8041" s="1" t="n">
        <f aca="false">LN(D8041)</f>
        <v>-0.688597545861374</v>
      </c>
    </row>
    <row r="8042" customFormat="false" ht="15.75" hidden="false" customHeight="false" outlineLevel="0" collapsed="false">
      <c r="A8042" s="1" t="s">
        <v>1180</v>
      </c>
      <c r="B8042" s="1" t="n">
        <v>277.49</v>
      </c>
      <c r="C8042" s="1" t="n">
        <f aca="false">1/B8042</f>
        <v>0.00360373346787272</v>
      </c>
      <c r="D8042" s="1" t="n">
        <v>0.49787</v>
      </c>
      <c r="E8042" s="1" t="n">
        <f aca="false">LN(D8042)</f>
        <v>-0.697416280212153</v>
      </c>
    </row>
    <row r="8043" customFormat="false" ht="15.75" hidden="false" customHeight="false" outlineLevel="0" collapsed="false">
      <c r="A8043" s="1" t="s">
        <v>1180</v>
      </c>
      <c r="B8043" s="1" t="n">
        <v>278.26</v>
      </c>
      <c r="C8043" s="1" t="n">
        <f aca="false">1/B8043</f>
        <v>0.00359376123050385</v>
      </c>
      <c r="D8043" s="1" t="n">
        <v>0.49352</v>
      </c>
      <c r="E8043" s="1" t="n">
        <f aca="false">LN(D8043)</f>
        <v>-0.706191894080754</v>
      </c>
    </row>
    <row r="8044" customFormat="false" ht="15.75" hidden="false" customHeight="false" outlineLevel="0" collapsed="false">
      <c r="A8044" s="1" t="s">
        <v>1180</v>
      </c>
      <c r="B8044" s="1" t="n">
        <v>279.03</v>
      </c>
      <c r="C8044" s="1" t="n">
        <f aca="false">1/B8044</f>
        <v>0.00358384403110777</v>
      </c>
      <c r="D8044" s="1" t="n">
        <v>0.48923</v>
      </c>
      <c r="E8044" s="1" t="n">
        <f aca="false">LN(D8044)</f>
        <v>-0.714922552437786</v>
      </c>
    </row>
    <row r="8045" customFormat="false" ht="15.75" hidden="false" customHeight="false" outlineLevel="0" collapsed="false">
      <c r="A8045" s="1" t="s">
        <v>1180</v>
      </c>
      <c r="B8045" s="1" t="n">
        <v>279.8</v>
      </c>
      <c r="C8045" s="1" t="n">
        <f aca="false">1/B8045</f>
        <v>0.00357398141529664</v>
      </c>
      <c r="D8045" s="1" t="n">
        <v>0.48499</v>
      </c>
      <c r="E8045" s="1" t="n">
        <f aca="false">LN(D8045)</f>
        <v>-0.72362700681392</v>
      </c>
    </row>
    <row r="8046" customFormat="false" ht="15.75" hidden="false" customHeight="false" outlineLevel="0" collapsed="false">
      <c r="A8046" s="1" t="s">
        <v>1180</v>
      </c>
      <c r="B8046" s="1" t="n">
        <v>280.57</v>
      </c>
      <c r="C8046" s="1" t="n">
        <f aca="false">1/B8046</f>
        <v>0.00356417293367074</v>
      </c>
      <c r="D8046" s="1" t="n">
        <v>0.48081</v>
      </c>
      <c r="E8046" s="1" t="n">
        <f aca="false">LN(D8046)</f>
        <v>-0.732283097308543</v>
      </c>
    </row>
    <row r="8047" customFormat="false" ht="15.75" hidden="false" customHeight="false" outlineLevel="0" collapsed="false">
      <c r="A8047" s="1" t="s">
        <v>1180</v>
      </c>
      <c r="B8047" s="1" t="n">
        <v>281.34</v>
      </c>
      <c r="C8047" s="1" t="n">
        <f aca="false">1/B8047</f>
        <v>0.0035544181417502</v>
      </c>
      <c r="D8047" s="1" t="n">
        <v>0.47668</v>
      </c>
      <c r="E8047" s="1" t="n">
        <f aca="false">LN(D8047)</f>
        <v>-0.740909872759532</v>
      </c>
    </row>
    <row r="8048" customFormat="false" ht="15.75" hidden="false" customHeight="false" outlineLevel="0" collapsed="false">
      <c r="A8048" s="1" t="s">
        <v>1180</v>
      </c>
      <c r="B8048" s="1" t="n">
        <v>282.11</v>
      </c>
      <c r="C8048" s="1" t="n">
        <f aca="false">1/B8048</f>
        <v>0.00354471659990784</v>
      </c>
      <c r="D8048" s="1" t="n">
        <v>0.47261</v>
      </c>
      <c r="E8048" s="1" t="n">
        <f aca="false">LN(D8048)</f>
        <v>-0.749484754910236</v>
      </c>
    </row>
    <row r="8049" customFormat="false" ht="15.75" hidden="false" customHeight="false" outlineLevel="0" collapsed="false">
      <c r="A8049" s="1" t="s">
        <v>1180</v>
      </c>
      <c r="B8049" s="1" t="n">
        <v>282.88</v>
      </c>
      <c r="C8049" s="1" t="n">
        <f aca="false">1/B8049</f>
        <v>0.00353506787330317</v>
      </c>
      <c r="D8049" s="1" t="n">
        <v>0.46859</v>
      </c>
      <c r="E8049" s="1" t="n">
        <f aca="false">LN(D8049)</f>
        <v>-0.758027093298332</v>
      </c>
    </row>
    <row r="8050" customFormat="false" ht="15.75" hidden="false" customHeight="false" outlineLevel="0" collapsed="false">
      <c r="A8050" s="1" t="s">
        <v>1180</v>
      </c>
      <c r="B8050" s="1" t="n">
        <v>283.65</v>
      </c>
      <c r="C8050" s="1" t="n">
        <f aca="false">1/B8050</f>
        <v>0.00352547153181738</v>
      </c>
      <c r="D8050" s="1" t="n">
        <v>0.46462</v>
      </c>
      <c r="E8050" s="1" t="n">
        <f aca="false">LN(D8050)</f>
        <v>-0.766535411789318</v>
      </c>
    </row>
    <row r="8051" customFormat="false" ht="15.75" hidden="false" customHeight="false" outlineLevel="0" collapsed="false">
      <c r="A8051" s="1" t="s">
        <v>1180</v>
      </c>
      <c r="B8051" s="1" t="n">
        <v>284.42</v>
      </c>
      <c r="C8051" s="1" t="n">
        <f aca="false">1/B8051</f>
        <v>0.00351592714998945</v>
      </c>
      <c r="D8051" s="1" t="n">
        <v>0.46069</v>
      </c>
      <c r="E8051" s="1" t="n">
        <f aca="false">LN(D8051)</f>
        <v>-0.77502991337526</v>
      </c>
    </row>
    <row r="8052" customFormat="false" ht="15.75" hidden="false" customHeight="false" outlineLevel="0" collapsed="false">
      <c r="A8052" s="1" t="s">
        <v>1180</v>
      </c>
      <c r="B8052" s="1" t="n">
        <v>285.19</v>
      </c>
      <c r="C8052" s="1" t="n">
        <f aca="false">1/B8052</f>
        <v>0.00350643430695326</v>
      </c>
      <c r="D8052" s="1" t="n">
        <v>0.45682</v>
      </c>
      <c r="E8052" s="1" t="n">
        <f aca="false">LN(D8052)</f>
        <v>-0.783465838761649</v>
      </c>
    </row>
    <row r="8053" customFormat="false" ht="15.75" hidden="false" customHeight="false" outlineLevel="0" collapsed="false">
      <c r="A8053" s="1" t="s">
        <v>1180</v>
      </c>
      <c r="B8053" s="1" t="n">
        <v>285.97</v>
      </c>
      <c r="C8053" s="1" t="n">
        <f aca="false">1/B8053</f>
        <v>0.00349687030108053</v>
      </c>
      <c r="D8053" s="1" t="n">
        <v>0.453</v>
      </c>
      <c r="E8053" s="1" t="n">
        <f aca="false">LN(D8053)</f>
        <v>-0.791863153499103</v>
      </c>
    </row>
    <row r="8054" customFormat="false" ht="15.75" hidden="false" customHeight="false" outlineLevel="0" collapsed="false">
      <c r="A8054" s="1" t="s">
        <v>1180</v>
      </c>
      <c r="B8054" s="1" t="n">
        <v>286.74</v>
      </c>
      <c r="C8054" s="1" t="n">
        <f aca="false">1/B8054</f>
        <v>0.0034874799469903</v>
      </c>
      <c r="D8054" s="1" t="n">
        <v>0.44922</v>
      </c>
      <c r="E8054" s="1" t="n">
        <f aca="false">LN(D8054)</f>
        <v>-0.800242533511488</v>
      </c>
    </row>
    <row r="8055" customFormat="false" ht="15.75" hidden="false" customHeight="false" outlineLevel="0" collapsed="false">
      <c r="A8055" s="1" t="s">
        <v>1180</v>
      </c>
      <c r="B8055" s="1" t="n">
        <v>287.51</v>
      </c>
      <c r="C8055" s="1" t="n">
        <f aca="false">1/B8055</f>
        <v>0.00347813989078641</v>
      </c>
      <c r="D8055" s="1" t="n">
        <v>0.44549</v>
      </c>
      <c r="E8055" s="1" t="n">
        <f aca="false">LN(D8055)</f>
        <v>-0.808580479012317</v>
      </c>
    </row>
    <row r="8056" customFormat="false" ht="15.75" hidden="false" customHeight="false" outlineLevel="0" collapsed="false">
      <c r="A8056" s="1" t="s">
        <v>1180</v>
      </c>
      <c r="B8056" s="1" t="n">
        <v>288.28</v>
      </c>
      <c r="C8056" s="1" t="n">
        <f aca="false">1/B8056</f>
        <v>0.00346884972942972</v>
      </c>
      <c r="D8056" s="1" t="n">
        <v>0.44181</v>
      </c>
      <c r="E8056" s="1" t="n">
        <f aca="false">LN(D8056)</f>
        <v>-0.816875353575957</v>
      </c>
    </row>
    <row r="8057" customFormat="false" ht="15.75" hidden="false" customHeight="false" outlineLevel="0" collapsed="false">
      <c r="A8057" s="1" t="s">
        <v>1180</v>
      </c>
      <c r="B8057" s="1" t="n">
        <v>289.05</v>
      </c>
      <c r="C8057" s="1" t="n">
        <f aca="false">1/B8057</f>
        <v>0.00345960906417575</v>
      </c>
      <c r="D8057" s="1" t="n">
        <v>0.43817</v>
      </c>
      <c r="E8057" s="1" t="n">
        <f aca="false">LN(D8057)</f>
        <v>-0.825148316053941</v>
      </c>
    </row>
    <row r="8058" customFormat="false" ht="15.75" hidden="false" customHeight="false" outlineLevel="0" collapsed="false">
      <c r="A8058" s="1" t="s">
        <v>1180</v>
      </c>
      <c r="B8058" s="1" t="n">
        <v>289.82</v>
      </c>
      <c r="C8058" s="1" t="n">
        <f aca="false">1/B8058</f>
        <v>0.00345041750051756</v>
      </c>
      <c r="D8058" s="1" t="n">
        <v>0.43457</v>
      </c>
      <c r="E8058" s="1" t="n">
        <f aca="false">LN(D8058)</f>
        <v>-0.833398242534595</v>
      </c>
    </row>
    <row r="8059" customFormat="false" ht="15.75" hidden="false" customHeight="false" outlineLevel="0" collapsed="false">
      <c r="A8059" s="1" t="s">
        <v>1180</v>
      </c>
      <c r="B8059" s="1" t="n">
        <v>290.59</v>
      </c>
      <c r="C8059" s="1" t="n">
        <f aca="false">1/B8059</f>
        <v>0.00344127464812967</v>
      </c>
      <c r="D8059" s="1" t="n">
        <v>0.43102</v>
      </c>
      <c r="E8059" s="1" t="n">
        <f aca="false">LN(D8059)</f>
        <v>-0.841600786242711</v>
      </c>
    </row>
    <row r="8060" customFormat="false" ht="15.75" hidden="false" customHeight="false" outlineLevel="0" collapsed="false">
      <c r="A8060" s="1" t="s">
        <v>1180</v>
      </c>
      <c r="B8060" s="1" t="n">
        <v>291.36</v>
      </c>
      <c r="C8060" s="1" t="n">
        <f aca="false">1/B8060</f>
        <v>0.00343218012081274</v>
      </c>
      <c r="D8060" s="1" t="n">
        <v>0.42751</v>
      </c>
      <c r="E8060" s="1" t="n">
        <f aca="false">LN(D8060)</f>
        <v>-0.849777599066041</v>
      </c>
    </row>
    <row r="8061" customFormat="false" ht="15.75" hidden="false" customHeight="false" outlineLevel="0" collapsed="false">
      <c r="A8061" s="1" t="s">
        <v>1180</v>
      </c>
      <c r="B8061" s="1" t="n">
        <v>292.13</v>
      </c>
      <c r="C8061" s="1" t="n">
        <f aca="false">1/B8061</f>
        <v>0.00342313353643926</v>
      </c>
      <c r="D8061" s="1" t="n">
        <v>0.42404</v>
      </c>
      <c r="E8061" s="1" t="n">
        <f aca="false">LN(D8061)</f>
        <v>-0.85792748857724</v>
      </c>
    </row>
    <row r="8062" customFormat="false" ht="15.75" hidden="false" customHeight="false" outlineLevel="0" collapsed="false">
      <c r="A8062" s="1" t="s">
        <v>1180</v>
      </c>
      <c r="B8062" s="1" t="n">
        <v>292.9</v>
      </c>
      <c r="C8062" s="1" t="n">
        <f aca="false">1/B8062</f>
        <v>0.00341413451689997</v>
      </c>
      <c r="D8062" s="1" t="n">
        <v>0.42061</v>
      </c>
      <c r="E8062" s="1" t="n">
        <f aca="false">LN(D8062)</f>
        <v>-0.866049240437446</v>
      </c>
    </row>
    <row r="8063" customFormat="false" ht="15.75" hidden="false" customHeight="false" outlineLevel="0" collapsed="false">
      <c r="A8063" s="1" t="s">
        <v>1180</v>
      </c>
      <c r="B8063" s="1" t="n">
        <v>293.67</v>
      </c>
      <c r="C8063" s="1" t="n">
        <f aca="false">1/B8063</f>
        <v>0.00340518268805121</v>
      </c>
      <c r="D8063" s="1" t="n">
        <v>0.41722</v>
      </c>
      <c r="E8063" s="1" t="n">
        <f aca="false">LN(D8063)</f>
        <v>-0.874141618365997</v>
      </c>
    </row>
    <row r="8064" customFormat="false" ht="15.75" hidden="false" customHeight="false" outlineLevel="0" collapsed="false">
      <c r="A8064" s="1" t="s">
        <v>1180</v>
      </c>
      <c r="B8064" s="1" t="n">
        <v>294.44</v>
      </c>
      <c r="C8064" s="1" t="n">
        <f aca="false">1/B8064</f>
        <v>0.00339627767966309</v>
      </c>
      <c r="D8064" s="1" t="n">
        <v>0.41387</v>
      </c>
      <c r="E8064" s="1" t="n">
        <f aca="false">LN(D8064)</f>
        <v>-0.882203364130015</v>
      </c>
    </row>
    <row r="8065" customFormat="false" ht="15.75" hidden="false" customHeight="false" outlineLevel="0" collapsed="false">
      <c r="A8065" s="1" t="s">
        <v>1180</v>
      </c>
      <c r="B8065" s="1" t="n">
        <v>295.21</v>
      </c>
      <c r="C8065" s="1" t="n">
        <f aca="false">1/B8065</f>
        <v>0.00338741912536838</v>
      </c>
      <c r="D8065" s="1" t="n">
        <v>0.41056</v>
      </c>
      <c r="E8065" s="1" t="n">
        <f aca="false">LN(D8065)</f>
        <v>-0.890233197554866</v>
      </c>
    </row>
    <row r="8066" customFormat="false" ht="15.75" hidden="false" customHeight="false" outlineLevel="0" collapsed="false">
      <c r="A8066" s="1" t="s">
        <v>1180</v>
      </c>
      <c r="B8066" s="1" t="n">
        <v>295.98</v>
      </c>
      <c r="C8066" s="1" t="n">
        <f aca="false">1/B8066</f>
        <v>0.00337860666261234</v>
      </c>
      <c r="D8066" s="1" t="n">
        <v>0.40729</v>
      </c>
      <c r="E8066" s="1" t="n">
        <f aca="false">LN(D8066)</f>
        <v>-0.8982298165565</v>
      </c>
    </row>
    <row r="8067" customFormat="false" ht="15.75" hidden="false" customHeight="false" outlineLevel="0" collapsed="false">
      <c r="A8067" s="1" t="s">
        <v>1180</v>
      </c>
      <c r="B8067" s="1" t="n">
        <v>296.49</v>
      </c>
      <c r="C8067" s="1" t="n">
        <f aca="false">1/B8067</f>
        <v>0.00337279503524571</v>
      </c>
      <c r="D8067" s="1" t="n">
        <v>0.40516</v>
      </c>
      <c r="E8067" s="1" t="n">
        <f aca="false">LN(D8067)</f>
        <v>-0.903473228163541</v>
      </c>
    </row>
    <row r="8068" customFormat="false" ht="15.75" hidden="false" customHeight="false" outlineLevel="0" collapsed="false">
      <c r="A8068" s="1" t="s">
        <v>1488</v>
      </c>
      <c r="B8068" s="1" t="n">
        <v>120</v>
      </c>
      <c r="C8068" s="1" t="n">
        <f aca="false">1/B8068</f>
        <v>0.00833333333333333</v>
      </c>
      <c r="D8068" s="1" t="n">
        <v>0.40286</v>
      </c>
      <c r="E8068" s="1" t="n">
        <f aca="false">LN(D8068)</f>
        <v>-0.909166171931859</v>
      </c>
    </row>
    <row r="8069" customFormat="false" ht="15.75" hidden="false" customHeight="false" outlineLevel="0" collapsed="false">
      <c r="A8069" s="1" t="s">
        <v>1488</v>
      </c>
      <c r="B8069" s="1" t="n">
        <v>120.84</v>
      </c>
      <c r="C8069" s="1" t="n">
        <f aca="false">1/B8069</f>
        <v>0.00827540549486925</v>
      </c>
      <c r="D8069" s="1" t="n">
        <v>0.39433</v>
      </c>
      <c r="E8069" s="1" t="n">
        <f aca="false">LN(D8069)</f>
        <v>-0.930567156792964</v>
      </c>
    </row>
    <row r="8070" customFormat="false" ht="15.75" hidden="false" customHeight="false" outlineLevel="0" collapsed="false">
      <c r="A8070" s="1" t="s">
        <v>1488</v>
      </c>
      <c r="B8070" s="1" t="n">
        <v>121.68</v>
      </c>
      <c r="C8070" s="1" t="n">
        <f aca="false">1/B8070</f>
        <v>0.00821827744904668</v>
      </c>
      <c r="D8070" s="1" t="n">
        <v>0.38609</v>
      </c>
      <c r="E8070" s="1" t="n">
        <f aca="false">LN(D8070)</f>
        <v>-0.951684776073258</v>
      </c>
    </row>
    <row r="8071" customFormat="false" ht="15.75" hidden="false" customHeight="false" outlineLevel="0" collapsed="false">
      <c r="A8071" s="1" t="s">
        <v>1488</v>
      </c>
      <c r="B8071" s="1" t="n">
        <v>122.52</v>
      </c>
      <c r="C8071" s="1" t="n">
        <f aca="false">1/B8071</f>
        <v>0.00816193274567418</v>
      </c>
      <c r="D8071" s="1" t="n">
        <v>0.37811</v>
      </c>
      <c r="E8071" s="1" t="n">
        <f aca="false">LN(D8071)</f>
        <v>-0.972570120405371</v>
      </c>
    </row>
    <row r="8072" customFormat="false" ht="15.75" hidden="false" customHeight="false" outlineLevel="0" collapsed="false">
      <c r="A8072" s="1" t="s">
        <v>1488</v>
      </c>
      <c r="B8072" s="1" t="n">
        <v>123.35</v>
      </c>
      <c r="C8072" s="1" t="n">
        <f aca="false">1/B8072</f>
        <v>0.00810701256586948</v>
      </c>
      <c r="D8072" s="1" t="n">
        <v>0.37039</v>
      </c>
      <c r="E8072" s="1" t="n">
        <f aca="false">LN(D8072)</f>
        <v>-0.993198774414734</v>
      </c>
    </row>
    <row r="8073" customFormat="false" ht="15.75" hidden="false" customHeight="false" outlineLevel="0" collapsed="false">
      <c r="A8073" s="1" t="s">
        <v>1488</v>
      </c>
      <c r="B8073" s="1" t="n">
        <v>124.19</v>
      </c>
      <c r="C8073" s="1" t="n">
        <f aca="false">1/B8073</f>
        <v>0.00805217811417989</v>
      </c>
      <c r="D8073" s="1" t="n">
        <v>0.36292</v>
      </c>
      <c r="E8073" s="1" t="n">
        <f aca="false">LN(D8073)</f>
        <v>-1.01357285468071</v>
      </c>
    </row>
    <row r="8074" customFormat="false" ht="15.75" hidden="false" customHeight="false" outlineLevel="0" collapsed="false">
      <c r="A8074" s="1" t="s">
        <v>1488</v>
      </c>
      <c r="B8074" s="1" t="n">
        <v>125.03</v>
      </c>
      <c r="C8074" s="1" t="n">
        <f aca="false">1/B8074</f>
        <v>0.00799808046068943</v>
      </c>
      <c r="D8074" s="1" t="n">
        <v>0.35569</v>
      </c>
      <c r="E8074" s="1" t="n">
        <f aca="false">LN(D8074)</f>
        <v>-1.03369571400178</v>
      </c>
    </row>
    <row r="8075" customFormat="false" ht="15.75" hidden="false" customHeight="false" outlineLevel="0" collapsed="false">
      <c r="A8075" s="1" t="s">
        <v>1488</v>
      </c>
      <c r="B8075" s="1" t="n">
        <v>125.87</v>
      </c>
      <c r="C8075" s="1" t="n">
        <f aca="false">1/B8075</f>
        <v>0.00794470485421467</v>
      </c>
      <c r="D8075" s="1" t="n">
        <v>0.34869</v>
      </c>
      <c r="E8075" s="1" t="n">
        <f aca="false">LN(D8075)</f>
        <v>-1.05357200365841</v>
      </c>
    </row>
    <row r="8076" customFormat="false" ht="15.75" hidden="false" customHeight="false" outlineLevel="0" collapsed="false">
      <c r="A8076" s="1" t="s">
        <v>1488</v>
      </c>
      <c r="B8076" s="1" t="n">
        <v>126.71</v>
      </c>
      <c r="C8076" s="1" t="n">
        <f aca="false">1/B8076</f>
        <v>0.00789203693473286</v>
      </c>
      <c r="D8076" s="1" t="n">
        <v>0.3419</v>
      </c>
      <c r="E8076" s="1" t="n">
        <f aca="false">LN(D8076)</f>
        <v>-1.07323698233688</v>
      </c>
    </row>
    <row r="8077" customFormat="false" ht="15.75" hidden="false" customHeight="false" outlineLevel="0" collapsed="false">
      <c r="A8077" s="1" t="s">
        <v>1488</v>
      </c>
      <c r="B8077" s="1" t="n">
        <v>127.55</v>
      </c>
      <c r="C8077" s="1" t="n">
        <f aca="false">1/B8077</f>
        <v>0.00784006272050176</v>
      </c>
      <c r="D8077" s="1" t="n">
        <v>0.33532</v>
      </c>
      <c r="E8077" s="1" t="n">
        <f aca="false">LN(D8077)</f>
        <v>-1.09266997921248</v>
      </c>
    </row>
    <row r="8078" customFormat="false" ht="15.75" hidden="false" customHeight="false" outlineLevel="0" collapsed="false">
      <c r="A8078" s="1" t="s">
        <v>1488</v>
      </c>
      <c r="B8078" s="1" t="n">
        <v>128.38</v>
      </c>
      <c r="C8078" s="1" t="n">
        <f aca="false">1/B8078</f>
        <v>0.00778937529210157</v>
      </c>
      <c r="D8078" s="1" t="n">
        <v>0.32895</v>
      </c>
      <c r="E8078" s="1" t="n">
        <f aca="false">LN(D8078)</f>
        <v>-1.11184951545013</v>
      </c>
    </row>
    <row r="8079" customFormat="false" ht="15.75" hidden="false" customHeight="false" outlineLevel="0" collapsed="false">
      <c r="A8079" s="1" t="s">
        <v>1488</v>
      </c>
      <c r="B8079" s="1" t="n">
        <v>129.22</v>
      </c>
      <c r="C8079" s="1" t="n">
        <f aca="false">1/B8079</f>
        <v>0.00773874013310633</v>
      </c>
      <c r="D8079" s="1" t="n">
        <v>0.32277</v>
      </c>
      <c r="E8079" s="1" t="n">
        <f aca="false">LN(D8079)</f>
        <v>-1.13081528370821</v>
      </c>
    </row>
    <row r="8080" customFormat="false" ht="15.75" hidden="false" customHeight="false" outlineLevel="0" collapsed="false">
      <c r="A8080" s="1" t="s">
        <v>1488</v>
      </c>
      <c r="B8080" s="1" t="n">
        <v>130.06</v>
      </c>
      <c r="C8080" s="1" t="n">
        <f aca="false">1/B8080</f>
        <v>0.00768875903429187</v>
      </c>
      <c r="D8080" s="1" t="n">
        <v>0.31677</v>
      </c>
      <c r="E8080" s="1" t="n">
        <f aca="false">LN(D8080)</f>
        <v>-1.1495793204956</v>
      </c>
    </row>
    <row r="8081" customFormat="false" ht="15.75" hidden="false" customHeight="false" outlineLevel="0" collapsed="false">
      <c r="A8081" s="1" t="s">
        <v>1488</v>
      </c>
      <c r="B8081" s="1" t="n">
        <v>130.9</v>
      </c>
      <c r="C8081" s="1" t="n">
        <f aca="false">1/B8081</f>
        <v>0.00763941940412529</v>
      </c>
      <c r="D8081" s="1" t="n">
        <v>0.31095</v>
      </c>
      <c r="E8081" s="1" t="n">
        <f aca="false">LN(D8081)</f>
        <v>-1.16812315143224</v>
      </c>
    </row>
    <row r="8082" customFormat="false" ht="15.75" hidden="false" customHeight="false" outlineLevel="0" collapsed="false">
      <c r="A8082" s="1" t="s">
        <v>1488</v>
      </c>
      <c r="B8082" s="1" t="n">
        <v>131.74</v>
      </c>
      <c r="C8082" s="1" t="n">
        <f aca="false">1/B8082</f>
        <v>0.00759070897221801</v>
      </c>
      <c r="D8082" s="1" t="n">
        <v>0.30529</v>
      </c>
      <c r="E8082" s="1" t="n">
        <f aca="false">LN(D8082)</f>
        <v>-1.18649313444529</v>
      </c>
    </row>
    <row r="8083" customFormat="false" ht="15.75" hidden="false" customHeight="false" outlineLevel="0" collapsed="false">
      <c r="A8083" s="1" t="s">
        <v>1488</v>
      </c>
      <c r="B8083" s="1" t="n">
        <v>132.58</v>
      </c>
      <c r="C8083" s="1" t="n">
        <f aca="false">1/B8083</f>
        <v>0.00754261577915221</v>
      </c>
      <c r="D8083" s="1" t="n">
        <v>0.29981</v>
      </c>
      <c r="E8083" s="1" t="n">
        <f aca="false">LN(D8083)</f>
        <v>-1.20460633829954</v>
      </c>
    </row>
    <row r="8084" customFormat="false" ht="15.75" hidden="false" customHeight="false" outlineLevel="0" collapsed="false">
      <c r="A8084" s="1" t="s">
        <v>1488</v>
      </c>
      <c r="B8084" s="1" t="n">
        <v>133.41</v>
      </c>
      <c r="C8084" s="1" t="n">
        <f aca="false">1/B8084</f>
        <v>0.0074956899782625</v>
      </c>
      <c r="D8084" s="1" t="n">
        <v>0.29448</v>
      </c>
      <c r="E8084" s="1" t="n">
        <f aca="false">LN(D8084)</f>
        <v>-1.22254418991137</v>
      </c>
    </row>
    <row r="8085" customFormat="false" ht="15.75" hidden="false" customHeight="false" outlineLevel="0" collapsed="false">
      <c r="A8085" s="1" t="s">
        <v>1488</v>
      </c>
      <c r="B8085" s="1" t="n">
        <v>134.25</v>
      </c>
      <c r="C8085" s="1" t="n">
        <f aca="false">1/B8085</f>
        <v>0.0074487895716946</v>
      </c>
      <c r="D8085" s="1" t="n">
        <v>0.2893</v>
      </c>
      <c r="E8085" s="1" t="n">
        <f aca="false">LN(D8085)</f>
        <v>-1.24029106700005</v>
      </c>
    </row>
    <row r="8086" customFormat="false" ht="15.75" hidden="false" customHeight="false" outlineLevel="0" collapsed="false">
      <c r="A8086" s="1" t="s">
        <v>1488</v>
      </c>
      <c r="B8086" s="1" t="n">
        <v>135.09</v>
      </c>
      <c r="C8086" s="1" t="n">
        <f aca="false">1/B8086</f>
        <v>0.00740247242579021</v>
      </c>
      <c r="D8086" s="1" t="n">
        <v>0.28426</v>
      </c>
      <c r="E8086" s="1" t="n">
        <f aca="false">LN(D8086)</f>
        <v>-1.25786596667127</v>
      </c>
    </row>
    <row r="8087" customFormat="false" ht="15.75" hidden="false" customHeight="false" outlineLevel="0" collapsed="false">
      <c r="A8087" s="1" t="s">
        <v>1488</v>
      </c>
      <c r="B8087" s="1" t="n">
        <v>135.93</v>
      </c>
      <c r="C8087" s="1" t="n">
        <f aca="false">1/B8087</f>
        <v>0.0073567277275068</v>
      </c>
      <c r="D8087" s="1" t="n">
        <v>0.27937</v>
      </c>
      <c r="E8087" s="1" t="n">
        <f aca="false">LN(D8087)</f>
        <v>-1.27521821086618</v>
      </c>
    </row>
    <row r="8088" customFormat="false" ht="15.75" hidden="false" customHeight="false" outlineLevel="0" collapsed="false">
      <c r="A8088" s="1" t="s">
        <v>1488</v>
      </c>
      <c r="B8088" s="1" t="n">
        <v>136.77</v>
      </c>
      <c r="C8088" s="1" t="n">
        <f aca="false">1/B8088</f>
        <v>0.00731154492944359</v>
      </c>
      <c r="D8088" s="1" t="n">
        <v>0.27461</v>
      </c>
      <c r="E8088" s="1" t="n">
        <f aca="false">LN(D8088)</f>
        <v>-1.29240336970536</v>
      </c>
    </row>
    <row r="8089" customFormat="false" ht="15.75" hidden="false" customHeight="false" outlineLevel="0" collapsed="false">
      <c r="A8089" s="1" t="s">
        <v>1488</v>
      </c>
      <c r="B8089" s="1" t="n">
        <v>137.61</v>
      </c>
      <c r="C8089" s="1" t="n">
        <f aca="false">1/B8089</f>
        <v>0.00726691374173389</v>
      </c>
      <c r="D8089" s="1" t="n">
        <v>0.26998</v>
      </c>
      <c r="E8089" s="1" t="n">
        <f aca="false">LN(D8089)</f>
        <v>-1.30940739680146</v>
      </c>
    </row>
    <row r="8090" customFormat="false" ht="15.75" hidden="false" customHeight="false" outlineLevel="0" collapsed="false">
      <c r="A8090" s="1" t="s">
        <v>1488</v>
      </c>
      <c r="B8090" s="1" t="n">
        <v>138.44</v>
      </c>
      <c r="C8090" s="1" t="n">
        <f aca="false">1/B8090</f>
        <v>0.00722334585379948</v>
      </c>
      <c r="D8090" s="1" t="n">
        <v>0.26547</v>
      </c>
      <c r="E8090" s="1" t="n">
        <f aca="false">LN(D8090)</f>
        <v>-1.32625343903477</v>
      </c>
    </row>
    <row r="8091" customFormat="false" ht="15.75" hidden="false" customHeight="false" outlineLevel="0" collapsed="false">
      <c r="A8091" s="1" t="s">
        <v>1488</v>
      </c>
      <c r="B8091" s="1" t="n">
        <v>139.28</v>
      </c>
      <c r="C8091" s="1" t="n">
        <f aca="false">1/B8091</f>
        <v>0.00717978173463527</v>
      </c>
      <c r="D8091" s="1" t="n">
        <v>0.26108</v>
      </c>
      <c r="E8091" s="1" t="n">
        <f aca="false">LN(D8091)</f>
        <v>-1.34292840521512</v>
      </c>
    </row>
    <row r="8092" customFormat="false" ht="15.75" hidden="false" customHeight="false" outlineLevel="0" collapsed="false">
      <c r="A8092" s="1" t="s">
        <v>1488</v>
      </c>
      <c r="B8092" s="1" t="n">
        <v>140.12</v>
      </c>
      <c r="C8092" s="1" t="n">
        <f aca="false">1/B8092</f>
        <v>0.00713673993719669</v>
      </c>
      <c r="D8092" s="1" t="n">
        <v>0.25681</v>
      </c>
      <c r="E8092" s="1" t="n">
        <f aca="false">LN(D8092)</f>
        <v>-1.35941876711454</v>
      </c>
    </row>
    <row r="8093" customFormat="false" ht="15.75" hidden="false" customHeight="false" outlineLevel="0" collapsed="false">
      <c r="A8093" s="1" t="s">
        <v>1488</v>
      </c>
      <c r="B8093" s="1" t="n">
        <v>140.96</v>
      </c>
      <c r="C8093" s="1" t="n">
        <f aca="false">1/B8093</f>
        <v>0.00709421112372304</v>
      </c>
      <c r="D8093" s="1" t="n">
        <v>0.25265</v>
      </c>
      <c r="E8093" s="1" t="n">
        <f aca="false">LN(D8093)</f>
        <v>-1.37575014724422</v>
      </c>
    </row>
    <row r="8094" customFormat="false" ht="15.75" hidden="false" customHeight="false" outlineLevel="0" collapsed="false">
      <c r="A8094" s="1" t="s">
        <v>1488</v>
      </c>
      <c r="B8094" s="1" t="n">
        <v>141.8</v>
      </c>
      <c r="C8094" s="1" t="n">
        <f aca="false">1/B8094</f>
        <v>0.00705218617771509</v>
      </c>
      <c r="D8094" s="1" t="n">
        <v>0.24859</v>
      </c>
      <c r="E8094" s="1" t="n">
        <f aca="false">LN(D8094)</f>
        <v>-1.39195032597605</v>
      </c>
    </row>
    <row r="8095" customFormat="false" ht="15.75" hidden="false" customHeight="false" outlineLevel="0" collapsed="false">
      <c r="A8095" s="1" t="s">
        <v>1488</v>
      </c>
      <c r="B8095" s="1" t="n">
        <v>142.64</v>
      </c>
      <c r="C8095" s="1" t="n">
        <f aca="false">1/B8095</f>
        <v>0.00701065619742008</v>
      </c>
      <c r="D8095" s="1" t="n">
        <v>0.24464</v>
      </c>
      <c r="E8095" s="1" t="n">
        <f aca="false">LN(D8095)</f>
        <v>-1.40796753680139</v>
      </c>
    </row>
    <row r="8096" customFormat="false" ht="15.75" hidden="false" customHeight="false" outlineLevel="0" collapsed="false">
      <c r="A8096" s="1" t="s">
        <v>1488</v>
      </c>
      <c r="B8096" s="1" t="n">
        <v>143.47</v>
      </c>
      <c r="C8096" s="1" t="n">
        <f aca="false">1/B8096</f>
        <v>0.00697009827838573</v>
      </c>
      <c r="D8096" s="1" t="n">
        <v>0.24079</v>
      </c>
      <c r="E8096" s="1" t="n">
        <f aca="false">LN(D8096)</f>
        <v>-1.423830094649</v>
      </c>
    </row>
    <row r="8097" customFormat="false" ht="15.75" hidden="false" customHeight="false" outlineLevel="0" collapsed="false">
      <c r="A8097" s="1" t="s">
        <v>1488</v>
      </c>
      <c r="B8097" s="1" t="n">
        <v>144.31</v>
      </c>
      <c r="C8097" s="1" t="n">
        <f aca="false">1/B8097</f>
        <v>0.00692952671332548</v>
      </c>
      <c r="D8097" s="1" t="n">
        <v>0.23703</v>
      </c>
      <c r="E8097" s="1" t="n">
        <f aca="false">LN(D8097)</f>
        <v>-1.43956856357939</v>
      </c>
    </row>
    <row r="8098" customFormat="false" ht="15.75" hidden="false" customHeight="false" outlineLevel="0" collapsed="false">
      <c r="A8098" s="1" t="s">
        <v>1488</v>
      </c>
      <c r="B8098" s="1" t="n">
        <v>144.92</v>
      </c>
      <c r="C8098" s="1" t="n">
        <f aca="false">1/B8098</f>
        <v>0.00690035881865857</v>
      </c>
      <c r="D8098" s="1" t="n">
        <v>0.23437</v>
      </c>
      <c r="E8098" s="1" t="n">
        <f aca="false">LN(D8098)</f>
        <v>-1.45085421581835</v>
      </c>
    </row>
    <row r="8099" customFormat="false" ht="15.75" hidden="false" customHeight="false" outlineLevel="0" collapsed="false">
      <c r="A8099" s="1" t="s">
        <v>1489</v>
      </c>
      <c r="B8099" s="1" t="n">
        <v>118.02</v>
      </c>
      <c r="C8099" s="1" t="n">
        <f aca="false">1/B8099</f>
        <v>0.00847314014573801</v>
      </c>
      <c r="D8099" s="1" t="n">
        <v>2.0567</v>
      </c>
      <c r="E8099" s="1" t="n">
        <f aca="false">LN(D8099)</f>
        <v>0.721102756573277</v>
      </c>
    </row>
    <row r="8100" customFormat="false" ht="15.75" hidden="false" customHeight="false" outlineLevel="0" collapsed="false">
      <c r="A8100" s="1" t="s">
        <v>1489</v>
      </c>
      <c r="B8100" s="1" t="n">
        <v>118.61</v>
      </c>
      <c r="C8100" s="1" t="n">
        <f aca="false">1/B8100</f>
        <v>0.00843099232779698</v>
      </c>
      <c r="D8100" s="1" t="n">
        <v>2.0048</v>
      </c>
      <c r="E8100" s="1" t="n">
        <f aca="false">LN(D8100)</f>
        <v>0.695544305159667</v>
      </c>
    </row>
    <row r="8101" customFormat="false" ht="15.75" hidden="false" customHeight="false" outlineLevel="0" collapsed="false">
      <c r="A8101" s="1" t="s">
        <v>1489</v>
      </c>
      <c r="B8101" s="1" t="n">
        <v>119.21</v>
      </c>
      <c r="C8101" s="1" t="n">
        <f aca="false">1/B8101</f>
        <v>0.00838855800687862</v>
      </c>
      <c r="D8101" s="1" t="n">
        <v>1.9547</v>
      </c>
      <c r="E8101" s="1" t="n">
        <f aca="false">LN(D8101)</f>
        <v>0.670236728976839</v>
      </c>
    </row>
    <row r="8102" customFormat="false" ht="15.75" hidden="false" customHeight="false" outlineLevel="0" collapsed="false">
      <c r="A8102" s="1" t="s">
        <v>1489</v>
      </c>
      <c r="B8102" s="1" t="n">
        <v>119.8</v>
      </c>
      <c r="C8102" s="1" t="n">
        <f aca="false">1/B8102</f>
        <v>0.00834724540901502</v>
      </c>
      <c r="D8102" s="1" t="n">
        <v>1.9063</v>
      </c>
      <c r="E8102" s="1" t="n">
        <f aca="false">LN(D8102)</f>
        <v>0.645164190537794</v>
      </c>
    </row>
    <row r="8103" customFormat="false" ht="15.75" hidden="false" customHeight="false" outlineLevel="0" collapsed="false">
      <c r="A8103" s="1" t="s">
        <v>1489</v>
      </c>
      <c r="B8103" s="1" t="n">
        <v>120.4</v>
      </c>
      <c r="C8103" s="1" t="n">
        <f aca="false">1/B8103</f>
        <v>0.00830564784053156</v>
      </c>
      <c r="D8103" s="1" t="n">
        <v>1.8595</v>
      </c>
      <c r="E8103" s="1" t="n">
        <f aca="false">LN(D8103)</f>
        <v>0.620307634382988</v>
      </c>
    </row>
    <row r="8104" customFormat="false" ht="15.75" hidden="false" customHeight="false" outlineLevel="0" collapsed="false">
      <c r="A8104" s="1" t="s">
        <v>1489</v>
      </c>
      <c r="B8104" s="1" t="n">
        <v>120.99</v>
      </c>
      <c r="C8104" s="1" t="n">
        <f aca="false">1/B8104</f>
        <v>0.00826514587982478</v>
      </c>
      <c r="D8104" s="1" t="n">
        <v>1.8144</v>
      </c>
      <c r="E8104" s="1" t="n">
        <f aca="false">LN(D8104)</f>
        <v>0.595754834551296</v>
      </c>
    </row>
    <row r="8105" customFormat="false" ht="15.75" hidden="false" customHeight="false" outlineLevel="0" collapsed="false">
      <c r="A8105" s="1" t="s">
        <v>1489</v>
      </c>
      <c r="B8105" s="1" t="n">
        <v>121.59</v>
      </c>
      <c r="C8105" s="1" t="n">
        <f aca="false">1/B8105</f>
        <v>0.00822436055596677</v>
      </c>
      <c r="D8105" s="1" t="n">
        <v>1.7707</v>
      </c>
      <c r="E8105" s="1" t="n">
        <f aca="false">LN(D8105)</f>
        <v>0.571374948630034</v>
      </c>
    </row>
    <row r="8106" customFormat="false" ht="15.75" hidden="false" customHeight="false" outlineLevel="0" collapsed="false">
      <c r="A8106" s="1" t="s">
        <v>1489</v>
      </c>
      <c r="B8106" s="1" t="n">
        <v>122.18</v>
      </c>
      <c r="C8106" s="1" t="n">
        <f aca="false">1/B8106</f>
        <v>0.00818464560484531</v>
      </c>
      <c r="D8106" s="1" t="n">
        <v>1.7285</v>
      </c>
      <c r="E8106" s="1" t="n">
        <f aca="false">LN(D8106)</f>
        <v>0.547253980379542</v>
      </c>
    </row>
    <row r="8107" customFormat="false" ht="15.75" hidden="false" customHeight="false" outlineLevel="0" collapsed="false">
      <c r="A8107" s="1" t="s">
        <v>1489</v>
      </c>
      <c r="B8107" s="1" t="n">
        <v>122.78</v>
      </c>
      <c r="C8107" s="1" t="n">
        <f aca="false">1/B8107</f>
        <v>0.00814464896562958</v>
      </c>
      <c r="D8107" s="1" t="n">
        <v>1.6877</v>
      </c>
      <c r="E8107" s="1" t="n">
        <f aca="false">LN(D8107)</f>
        <v>0.523366655260302</v>
      </c>
    </row>
    <row r="8108" customFormat="false" ht="15.75" hidden="false" customHeight="false" outlineLevel="0" collapsed="false">
      <c r="A8108" s="1" t="s">
        <v>1489</v>
      </c>
      <c r="B8108" s="1" t="n">
        <v>123.37</v>
      </c>
      <c r="C8108" s="1" t="n">
        <f aca="false">1/B8108</f>
        <v>0.00810569830590905</v>
      </c>
      <c r="D8108" s="1" t="n">
        <v>1.6483</v>
      </c>
      <c r="E8108" s="1" t="n">
        <f aca="false">LN(D8108)</f>
        <v>0.499744453755173</v>
      </c>
    </row>
    <row r="8109" customFormat="false" ht="15.75" hidden="false" customHeight="false" outlineLevel="0" collapsed="false">
      <c r="A8109" s="1" t="s">
        <v>1489</v>
      </c>
      <c r="B8109" s="1" t="n">
        <v>123.97</v>
      </c>
      <c r="C8109" s="1" t="n">
        <f aca="false">1/B8109</f>
        <v>0.00806646769379689</v>
      </c>
      <c r="D8109" s="1" t="n">
        <v>1.6102</v>
      </c>
      <c r="E8109" s="1" t="n">
        <f aca="false">LN(D8109)</f>
        <v>0.476358394883743</v>
      </c>
    </row>
    <row r="8110" customFormat="false" ht="15.75" hidden="false" customHeight="false" outlineLevel="0" collapsed="false">
      <c r="A8110" s="1" t="s">
        <v>1489</v>
      </c>
      <c r="B8110" s="1" t="n">
        <v>124.56</v>
      </c>
      <c r="C8110" s="1" t="n">
        <f aca="false">1/B8110</f>
        <v>0.00802825947334618</v>
      </c>
      <c r="D8110" s="1" t="n">
        <v>1.5733</v>
      </c>
      <c r="E8110" s="1" t="n">
        <f aca="false">LN(D8110)</f>
        <v>0.453175324264241</v>
      </c>
    </row>
    <row r="8111" customFormat="false" ht="15.75" hidden="false" customHeight="false" outlineLevel="0" collapsed="false">
      <c r="A8111" s="1" t="s">
        <v>1489</v>
      </c>
      <c r="B8111" s="1" t="n">
        <v>125.16</v>
      </c>
      <c r="C8111" s="1" t="n">
        <f aca="false">1/B8111</f>
        <v>0.00798977309044423</v>
      </c>
      <c r="D8111" s="1" t="n">
        <v>1.5376</v>
      </c>
      <c r="E8111" s="1" t="n">
        <f aca="false">LN(D8111)</f>
        <v>0.430222759233891</v>
      </c>
    </row>
    <row r="8112" customFormat="false" ht="15.75" hidden="false" customHeight="false" outlineLevel="0" collapsed="false">
      <c r="A8112" s="1" t="s">
        <v>1489</v>
      </c>
      <c r="B8112" s="1" t="n">
        <v>125.75</v>
      </c>
      <c r="C8112" s="1" t="n">
        <f aca="false">1/B8112</f>
        <v>0.00795228628230616</v>
      </c>
      <c r="D8112" s="1" t="n">
        <v>1.5031</v>
      </c>
      <c r="E8112" s="1" t="n">
        <f aca="false">LN(D8112)</f>
        <v>0.407529642157043</v>
      </c>
    </row>
    <row r="8113" customFormat="false" ht="15.75" hidden="false" customHeight="false" outlineLevel="0" collapsed="false">
      <c r="A8113" s="1" t="s">
        <v>1489</v>
      </c>
      <c r="B8113" s="1" t="n">
        <v>126.35</v>
      </c>
      <c r="C8113" s="1" t="n">
        <f aca="false">1/B8113</f>
        <v>0.00791452314998021</v>
      </c>
      <c r="D8113" s="1" t="n">
        <v>1.4697</v>
      </c>
      <c r="E8113" s="1" t="n">
        <f aca="false">LN(D8113)</f>
        <v>0.385058298330502</v>
      </c>
    </row>
    <row r="8114" customFormat="false" ht="15.75" hidden="false" customHeight="false" outlineLevel="0" collapsed="false">
      <c r="A8114" s="1" t="s">
        <v>1489</v>
      </c>
      <c r="B8114" s="1" t="n">
        <v>126.94</v>
      </c>
      <c r="C8114" s="1" t="n">
        <f aca="false">1/B8114</f>
        <v>0.00787773751378604</v>
      </c>
      <c r="D8114" s="1" t="n">
        <v>1.4373</v>
      </c>
      <c r="E8114" s="1" t="n">
        <f aca="false">LN(D8114)</f>
        <v>0.362766353575049</v>
      </c>
    </row>
    <row r="8115" customFormat="false" ht="15.75" hidden="false" customHeight="false" outlineLevel="0" collapsed="false">
      <c r="A8115" s="1" t="s">
        <v>1489</v>
      </c>
      <c r="B8115" s="1" t="n">
        <v>127.54</v>
      </c>
      <c r="C8115" s="1" t="n">
        <f aca="false">1/B8115</f>
        <v>0.00784067743453034</v>
      </c>
      <c r="D8115" s="1" t="n">
        <v>1.406</v>
      </c>
      <c r="E8115" s="1" t="n">
        <f aca="false">LN(D8115)</f>
        <v>0.340748793388473</v>
      </c>
    </row>
    <row r="8116" customFormat="false" ht="15.75" hidden="false" customHeight="false" outlineLevel="0" collapsed="false">
      <c r="A8116" s="1" t="s">
        <v>1489</v>
      </c>
      <c r="B8116" s="1" t="n">
        <v>128.13</v>
      </c>
      <c r="C8116" s="1" t="n">
        <f aca="false">1/B8116</f>
        <v>0.00780457348005931</v>
      </c>
      <c r="D8116" s="1" t="n">
        <v>1.3756</v>
      </c>
      <c r="E8116" s="1" t="n">
        <f aca="false">LN(D8116)</f>
        <v>0.318889999575974</v>
      </c>
    </row>
    <row r="8117" customFormat="false" ht="15.75" hidden="false" customHeight="false" outlineLevel="0" collapsed="false">
      <c r="A8117" s="1" t="s">
        <v>1489</v>
      </c>
      <c r="B8117" s="1" t="n">
        <v>128.73</v>
      </c>
      <c r="C8117" s="1" t="n">
        <f aca="false">1/B8117</f>
        <v>0.00776819700147596</v>
      </c>
      <c r="D8117" s="1" t="n">
        <v>1.3463</v>
      </c>
      <c r="E8117" s="1" t="n">
        <f aca="false">LN(D8117)</f>
        <v>0.297360089003052</v>
      </c>
    </row>
    <row r="8118" customFormat="false" ht="15.75" hidden="false" customHeight="false" outlineLevel="0" collapsed="false">
      <c r="A8118" s="1" t="s">
        <v>1489</v>
      </c>
      <c r="B8118" s="1" t="n">
        <v>129.32</v>
      </c>
      <c r="C8118" s="1" t="n">
        <f aca="false">1/B8118</f>
        <v>0.00773275595422208</v>
      </c>
      <c r="D8118" s="1" t="n">
        <v>1.3178</v>
      </c>
      <c r="E8118" s="1" t="n">
        <f aca="false">LN(D8118)</f>
        <v>0.275963679497583</v>
      </c>
    </row>
    <row r="8119" customFormat="false" ht="15.75" hidden="false" customHeight="false" outlineLevel="0" collapsed="false">
      <c r="A8119" s="1" t="s">
        <v>1489</v>
      </c>
      <c r="B8119" s="1" t="n">
        <v>129.92</v>
      </c>
      <c r="C8119" s="1" t="n">
        <f aca="false">1/B8119</f>
        <v>0.00769704433497537</v>
      </c>
      <c r="D8119" s="1" t="n">
        <v>1.2902</v>
      </c>
      <c r="E8119" s="1" t="n">
        <f aca="false">LN(D8119)</f>
        <v>0.254797245116004</v>
      </c>
    </row>
    <row r="8120" customFormat="false" ht="15.75" hidden="false" customHeight="false" outlineLevel="0" collapsed="false">
      <c r="A8120" s="1" t="s">
        <v>1489</v>
      </c>
      <c r="B8120" s="1" t="n">
        <v>130.51</v>
      </c>
      <c r="C8120" s="1" t="n">
        <f aca="false">1/B8120</f>
        <v>0.00766224810359359</v>
      </c>
      <c r="D8120" s="1" t="n">
        <v>1.2634</v>
      </c>
      <c r="E8120" s="1" t="n">
        <f aca="false">LN(D8120)</f>
        <v>0.233806499482463</v>
      </c>
    </row>
    <row r="8121" customFormat="false" ht="15.75" hidden="false" customHeight="false" outlineLevel="0" collapsed="false">
      <c r="A8121" s="1" t="s">
        <v>1489</v>
      </c>
      <c r="B8121" s="1" t="n">
        <v>131.11</v>
      </c>
      <c r="C8121" s="1" t="n">
        <f aca="false">1/B8121</f>
        <v>0.00762718328121425</v>
      </c>
      <c r="D8121" s="1" t="n">
        <v>1.2374</v>
      </c>
      <c r="E8121" s="1" t="n">
        <f aca="false">LN(D8121)</f>
        <v>0.213012404114751</v>
      </c>
    </row>
    <row r="8122" customFormat="false" ht="15.75" hidden="false" customHeight="false" outlineLevel="0" collapsed="false">
      <c r="A8122" s="1" t="s">
        <v>1489</v>
      </c>
      <c r="B8122" s="1" t="n">
        <v>131.7</v>
      </c>
      <c r="C8122" s="1" t="n">
        <f aca="false">1/B8122</f>
        <v>0.00759301442672741</v>
      </c>
      <c r="D8122" s="1" t="n">
        <v>1.2123</v>
      </c>
      <c r="E8122" s="1" t="n">
        <f aca="false">LN(D8122)</f>
        <v>0.192519381770401</v>
      </c>
    </row>
    <row r="8123" customFormat="false" ht="15.75" hidden="false" customHeight="false" outlineLevel="0" collapsed="false">
      <c r="A8123" s="1" t="s">
        <v>1489</v>
      </c>
      <c r="B8123" s="1" t="n">
        <v>132.3</v>
      </c>
      <c r="C8123" s="1" t="n">
        <f aca="false">1/B8123</f>
        <v>0.00755857898715041</v>
      </c>
      <c r="D8123" s="1" t="n">
        <v>1.1878</v>
      </c>
      <c r="E8123" s="1" t="n">
        <f aca="false">LN(D8123)</f>
        <v>0.172102856599623</v>
      </c>
    </row>
    <row r="8124" customFormat="false" ht="15.75" hidden="false" customHeight="false" outlineLevel="0" collapsed="false">
      <c r="A8124" s="1" t="s">
        <v>1489</v>
      </c>
      <c r="B8124" s="1" t="n">
        <v>132.89</v>
      </c>
      <c r="C8124" s="1" t="n">
        <f aca="false">1/B8124</f>
        <v>0.00752502069380691</v>
      </c>
      <c r="D8124" s="1" t="n">
        <v>1.1641</v>
      </c>
      <c r="E8124" s="1" t="n">
        <f aca="false">LN(D8124)</f>
        <v>0.151948256272058</v>
      </c>
    </row>
    <row r="8125" customFormat="false" ht="15.75" hidden="false" customHeight="false" outlineLevel="0" collapsed="false">
      <c r="A8125" s="1" t="s">
        <v>1489</v>
      </c>
      <c r="B8125" s="1" t="n">
        <v>133.49</v>
      </c>
      <c r="C8125" s="1" t="n">
        <f aca="false">1/B8125</f>
        <v>0.00749119784253502</v>
      </c>
      <c r="D8125" s="1" t="n">
        <v>1.1411</v>
      </c>
      <c r="E8125" s="1" t="n">
        <f aca="false">LN(D8125)</f>
        <v>0.131992709458497</v>
      </c>
    </row>
    <row r="8126" customFormat="false" ht="15.75" hidden="false" customHeight="false" outlineLevel="0" collapsed="false">
      <c r="A8126" s="1" t="s">
        <v>1489</v>
      </c>
      <c r="B8126" s="1" t="n">
        <v>134.08</v>
      </c>
      <c r="C8126" s="1" t="n">
        <f aca="false">1/B8126</f>
        <v>0.0074582338902148</v>
      </c>
      <c r="D8126" s="1" t="n">
        <v>1.1188</v>
      </c>
      <c r="E8126" s="1" t="n">
        <f aca="false">LN(D8126)</f>
        <v>0.112256682345668</v>
      </c>
    </row>
    <row r="8127" customFormat="false" ht="15.75" hidden="false" customHeight="false" outlineLevel="0" collapsed="false">
      <c r="A8127" s="1" t="s">
        <v>1489</v>
      </c>
      <c r="B8127" s="1" t="n">
        <v>134.68</v>
      </c>
      <c r="C8127" s="1" t="n">
        <f aca="false">1/B8127</f>
        <v>0.00742500742500743</v>
      </c>
      <c r="D8127" s="1" t="n">
        <v>1.0971</v>
      </c>
      <c r="E8127" s="1" t="n">
        <f aca="false">LN(D8127)</f>
        <v>0.0926703348413081</v>
      </c>
    </row>
    <row r="8128" customFormat="false" ht="15.75" hidden="false" customHeight="false" outlineLevel="0" collapsed="false">
      <c r="A8128" s="1" t="s">
        <v>1489</v>
      </c>
      <c r="B8128" s="1" t="n">
        <v>135.27</v>
      </c>
      <c r="C8128" s="1" t="n">
        <f aca="false">1/B8128</f>
        <v>0.00739262216308124</v>
      </c>
      <c r="D8128" s="1" t="n">
        <v>1.0761</v>
      </c>
      <c r="E8128" s="1" t="n">
        <f aca="false">LN(D8128)</f>
        <v>0.0733433942242096</v>
      </c>
    </row>
    <row r="8129" customFormat="false" ht="15.75" hidden="false" customHeight="false" outlineLevel="0" collapsed="false">
      <c r="A8129" s="1" t="s">
        <v>1489</v>
      </c>
      <c r="B8129" s="1" t="n">
        <v>135.87</v>
      </c>
      <c r="C8129" s="1" t="n">
        <f aca="false">1/B8129</f>
        <v>0.00735997644807537</v>
      </c>
      <c r="D8129" s="1" t="n">
        <v>1.0556</v>
      </c>
      <c r="E8129" s="1" t="n">
        <f aca="false">LN(D8129)</f>
        <v>0.054109325647032</v>
      </c>
    </row>
    <row r="8130" customFormat="false" ht="15.75" hidden="false" customHeight="false" outlineLevel="0" collapsed="false">
      <c r="A8130" s="1" t="s">
        <v>1489</v>
      </c>
      <c r="B8130" s="1" t="n">
        <v>136.46</v>
      </c>
      <c r="C8130" s="1" t="n">
        <f aca="false">1/B8130</f>
        <v>0.00732815477062876</v>
      </c>
      <c r="D8130" s="1" t="n">
        <v>1.0357</v>
      </c>
      <c r="E8130" s="1" t="n">
        <f aca="false">LN(D8130)</f>
        <v>0.0350775266126962</v>
      </c>
    </row>
    <row r="8131" customFormat="false" ht="15.75" hidden="false" customHeight="false" outlineLevel="0" collapsed="false">
      <c r="A8131" s="1" t="s">
        <v>1489</v>
      </c>
      <c r="B8131" s="1" t="n">
        <v>137.06</v>
      </c>
      <c r="C8131" s="1" t="n">
        <f aca="false">1/B8131</f>
        <v>0.00729607471180505</v>
      </c>
      <c r="D8131" s="1" t="n">
        <v>1.0164</v>
      </c>
      <c r="E8131" s="1" t="n">
        <f aca="false">LN(D8131)</f>
        <v>0.0162669724638719</v>
      </c>
    </row>
    <row r="8132" customFormat="false" ht="15.75" hidden="false" customHeight="false" outlineLevel="0" collapsed="false">
      <c r="A8132" s="1" t="s">
        <v>1489</v>
      </c>
      <c r="B8132" s="1" t="n">
        <v>137.65</v>
      </c>
      <c r="C8132" s="1" t="n">
        <f aca="false">1/B8132</f>
        <v>0.00726480203414457</v>
      </c>
      <c r="D8132" s="1" t="n">
        <v>0.99765</v>
      </c>
      <c r="E8132" s="1" t="n">
        <f aca="false">LN(D8132)</f>
        <v>-0.00235276558359716</v>
      </c>
    </row>
    <row r="8133" customFormat="false" ht="15.75" hidden="false" customHeight="false" outlineLevel="0" collapsed="false">
      <c r="A8133" s="1" t="s">
        <v>1489</v>
      </c>
      <c r="B8133" s="1" t="n">
        <v>138.25</v>
      </c>
      <c r="C8133" s="1" t="n">
        <f aca="false">1/B8133</f>
        <v>0.00723327305605787</v>
      </c>
      <c r="D8133" s="1" t="n">
        <v>0.97939</v>
      </c>
      <c r="E8133" s="1" t="n">
        <f aca="false">LN(D8133)</f>
        <v>-0.0208253500989027</v>
      </c>
    </row>
    <row r="8134" customFormat="false" ht="15.75" hidden="false" customHeight="false" outlineLevel="0" collapsed="false">
      <c r="A8134" s="1" t="s">
        <v>1489</v>
      </c>
      <c r="B8134" s="1" t="n">
        <v>138.84</v>
      </c>
      <c r="C8134" s="1" t="n">
        <f aca="false">1/B8134</f>
        <v>0.00720253529242293</v>
      </c>
      <c r="D8134" s="1" t="n">
        <v>0.96164</v>
      </c>
      <c r="E8134" s="1" t="n">
        <f aca="false">LN(D8134)</f>
        <v>-0.0391151187285687</v>
      </c>
    </row>
    <row r="8135" customFormat="false" ht="15.75" hidden="false" customHeight="false" outlineLevel="0" collapsed="false">
      <c r="A8135" s="1" t="s">
        <v>1489</v>
      </c>
      <c r="B8135" s="1" t="n">
        <v>139.44</v>
      </c>
      <c r="C8135" s="1" t="n">
        <f aca="false">1/B8135</f>
        <v>0.00717154331612163</v>
      </c>
      <c r="D8135" s="1" t="n">
        <v>0.94436</v>
      </c>
      <c r="E8135" s="1" t="n">
        <f aca="false">LN(D8135)</f>
        <v>-0.0572478296021246</v>
      </c>
    </row>
    <row r="8136" customFormat="false" ht="15.75" hidden="false" customHeight="false" outlineLevel="0" collapsed="false">
      <c r="A8136" s="1" t="s">
        <v>1489</v>
      </c>
      <c r="B8136" s="1" t="n">
        <v>140.03</v>
      </c>
      <c r="C8136" s="1" t="n">
        <f aca="false">1/B8136</f>
        <v>0.00714132685853032</v>
      </c>
      <c r="D8136" s="1" t="n">
        <v>0.92756</v>
      </c>
      <c r="E8136" s="1" t="n">
        <f aca="false">LN(D8136)</f>
        <v>-0.0751977965659022</v>
      </c>
    </row>
    <row r="8137" customFormat="false" ht="15.75" hidden="false" customHeight="false" outlineLevel="0" collapsed="false">
      <c r="A8137" s="1" t="s">
        <v>1489</v>
      </c>
      <c r="B8137" s="1" t="n">
        <v>140.63</v>
      </c>
      <c r="C8137" s="1" t="n">
        <f aca="false">1/B8137</f>
        <v>0.00711085828059447</v>
      </c>
      <c r="D8137" s="1" t="n">
        <v>0.91121</v>
      </c>
      <c r="E8137" s="1" t="n">
        <f aca="false">LN(D8137)</f>
        <v>-0.0929818923703152</v>
      </c>
    </row>
    <row r="8138" customFormat="false" ht="15.75" hidden="false" customHeight="false" outlineLevel="0" collapsed="false">
      <c r="A8138" s="1" t="s">
        <v>1489</v>
      </c>
      <c r="B8138" s="1" t="n">
        <v>141.22</v>
      </c>
      <c r="C8138" s="1" t="n">
        <f aca="false">1/B8138</f>
        <v>0.00708114997875655</v>
      </c>
      <c r="D8138" s="1" t="n">
        <v>0.89529</v>
      </c>
      <c r="E8138" s="1" t="n">
        <f aca="false">LN(D8138)</f>
        <v>-0.110607590844816</v>
      </c>
    </row>
    <row r="8139" customFormat="false" ht="15.75" hidden="false" customHeight="false" outlineLevel="0" collapsed="false">
      <c r="A8139" s="1" t="s">
        <v>1489</v>
      </c>
      <c r="B8139" s="1" t="n">
        <v>141.82</v>
      </c>
      <c r="C8139" s="1" t="n">
        <f aca="false">1/B8139</f>
        <v>0.00705119165138909</v>
      </c>
      <c r="D8139" s="1" t="n">
        <v>0.87979</v>
      </c>
      <c r="E8139" s="1" t="n">
        <f aca="false">LN(D8139)</f>
        <v>-0.128072036351709</v>
      </c>
    </row>
    <row r="8140" customFormat="false" ht="15.75" hidden="false" customHeight="false" outlineLevel="0" collapsed="false">
      <c r="A8140" s="1" t="s">
        <v>1489</v>
      </c>
      <c r="B8140" s="1" t="n">
        <v>142.41</v>
      </c>
      <c r="C8140" s="1" t="n">
        <f aca="false">1/B8140</f>
        <v>0.00702197879362404</v>
      </c>
      <c r="D8140" s="1" t="n">
        <v>0.8647</v>
      </c>
      <c r="E8140" s="1" t="n">
        <f aca="false">LN(D8140)</f>
        <v>-0.145372653015752</v>
      </c>
    </row>
    <row r="8141" customFormat="false" ht="15.75" hidden="false" customHeight="false" outlineLevel="0" collapsed="false">
      <c r="A8141" s="1" t="s">
        <v>1489</v>
      </c>
      <c r="B8141" s="1" t="n">
        <v>143.01</v>
      </c>
      <c r="C8141" s="1" t="n">
        <f aca="false">1/B8141</f>
        <v>0.00699251800573387</v>
      </c>
      <c r="D8141" s="1" t="n">
        <v>0.85</v>
      </c>
      <c r="E8141" s="1" t="n">
        <f aca="false">LN(D8141)</f>
        <v>-0.162518929497775</v>
      </c>
    </row>
    <row r="8142" customFormat="false" ht="15.75" hidden="false" customHeight="false" outlineLevel="0" collapsed="false">
      <c r="A8142" s="1" t="s">
        <v>1489</v>
      </c>
      <c r="B8142" s="1" t="n">
        <v>143.6</v>
      </c>
      <c r="C8142" s="1" t="n">
        <f aca="false">1/B8142</f>
        <v>0.00696378830083566</v>
      </c>
      <c r="D8142" s="1" t="n">
        <v>0.83568</v>
      </c>
      <c r="E8142" s="1" t="n">
        <f aca="false">LN(D8142)</f>
        <v>-0.179509514294148</v>
      </c>
    </row>
    <row r="8143" customFormat="false" ht="15.75" hidden="false" customHeight="false" outlineLevel="0" collapsed="false">
      <c r="A8143" s="1" t="s">
        <v>1489</v>
      </c>
      <c r="B8143" s="1" t="n">
        <v>144.2</v>
      </c>
      <c r="C8143" s="1" t="n">
        <f aca="false">1/B8143</f>
        <v>0.00693481276005548</v>
      </c>
      <c r="D8143" s="1" t="n">
        <v>0.82173</v>
      </c>
      <c r="E8143" s="1" t="n">
        <f aca="false">LN(D8143)</f>
        <v>-0.196343405036393</v>
      </c>
    </row>
    <row r="8144" customFormat="false" ht="15.75" hidden="false" customHeight="false" outlineLevel="0" collapsed="false">
      <c r="A8144" s="1" t="s">
        <v>1489</v>
      </c>
      <c r="B8144" s="1" t="n">
        <v>144.79</v>
      </c>
      <c r="C8144" s="1" t="n">
        <f aca="false">1/B8144</f>
        <v>0.00690655432004973</v>
      </c>
      <c r="D8144" s="1" t="n">
        <v>0.80814</v>
      </c>
      <c r="E8144" s="1" t="n">
        <f aca="false">LN(D8144)</f>
        <v>-0.213019968143359</v>
      </c>
    </row>
    <row r="8145" customFormat="false" ht="15.75" hidden="false" customHeight="false" outlineLevel="0" collapsed="false">
      <c r="A8145" s="1" t="s">
        <v>1489</v>
      </c>
      <c r="B8145" s="1" t="n">
        <v>145.39</v>
      </c>
      <c r="C8145" s="1" t="n">
        <f aca="false">1/B8145</f>
        <v>0.00687805213563519</v>
      </c>
      <c r="D8145" s="1" t="n">
        <v>0.79488</v>
      </c>
      <c r="E8145" s="1" t="n">
        <f aca="false">LN(D8145)</f>
        <v>-0.229564119117132</v>
      </c>
    </row>
    <row r="8146" customFormat="false" ht="15.75" hidden="false" customHeight="false" outlineLevel="0" collapsed="false">
      <c r="A8146" s="1" t="s">
        <v>1489</v>
      </c>
      <c r="B8146" s="1" t="n">
        <v>145.98</v>
      </c>
      <c r="C8146" s="1" t="n">
        <f aca="false">1/B8146</f>
        <v>0.006850253459378</v>
      </c>
      <c r="D8146" s="1" t="n">
        <v>0.78196</v>
      </c>
      <c r="E8146" s="1" t="n">
        <f aca="false">LN(D8146)</f>
        <v>-0.245951690640218</v>
      </c>
    </row>
    <row r="8147" customFormat="false" ht="15.75" hidden="false" customHeight="false" outlineLevel="0" collapsed="false">
      <c r="A8147" s="1" t="s">
        <v>1489</v>
      </c>
      <c r="B8147" s="1" t="n">
        <v>146.58</v>
      </c>
      <c r="C8147" s="1" t="n">
        <f aca="false">1/B8147</f>
        <v>0.00682221312593805</v>
      </c>
      <c r="D8147" s="1" t="n">
        <v>0.76936</v>
      </c>
      <c r="E8147" s="1" t="n">
        <f aca="false">LN(D8147)</f>
        <v>-0.262196278577911</v>
      </c>
    </row>
    <row r="8148" customFormat="false" ht="15.75" hidden="false" customHeight="false" outlineLevel="0" collapsed="false">
      <c r="A8148" s="1" t="s">
        <v>1489</v>
      </c>
      <c r="B8148" s="1" t="n">
        <v>147.17</v>
      </c>
      <c r="C8148" s="1" t="n">
        <f aca="false">1/B8148</f>
        <v>0.00679486308350887</v>
      </c>
      <c r="D8148" s="1" t="n">
        <v>0.75707</v>
      </c>
      <c r="E8148" s="1" t="n">
        <f aca="false">LN(D8148)</f>
        <v>-0.27829955954239</v>
      </c>
    </row>
    <row r="8149" customFormat="false" ht="15.75" hidden="false" customHeight="false" outlineLevel="0" collapsed="false">
      <c r="A8149" s="1" t="s">
        <v>1489</v>
      </c>
      <c r="B8149" s="1" t="n">
        <v>147.77</v>
      </c>
      <c r="C8149" s="1" t="n">
        <f aca="false">1/B8149</f>
        <v>0.00676727346552074</v>
      </c>
      <c r="D8149" s="1" t="n">
        <v>0.74509</v>
      </c>
      <c r="E8149" s="1" t="n">
        <f aca="false">LN(D8149)</f>
        <v>-0.294250262529831</v>
      </c>
    </row>
    <row r="8150" customFormat="false" ht="15.75" hidden="false" customHeight="false" outlineLevel="0" collapsed="false">
      <c r="A8150" s="1" t="s">
        <v>1489</v>
      </c>
      <c r="B8150" s="1" t="n">
        <v>148.36</v>
      </c>
      <c r="C8150" s="1" t="n">
        <f aca="false">1/B8150</f>
        <v>0.00674036128336479</v>
      </c>
      <c r="D8150" s="1" t="n">
        <v>0.73339</v>
      </c>
      <c r="E8150" s="1" t="n">
        <f aca="false">LN(D8150)</f>
        <v>-0.31007765856195</v>
      </c>
    </row>
    <row r="8151" customFormat="false" ht="15.75" hidden="false" customHeight="false" outlineLevel="0" collapsed="false">
      <c r="A8151" s="1" t="s">
        <v>1489</v>
      </c>
      <c r="B8151" s="1" t="n">
        <v>148.96</v>
      </c>
      <c r="C8151" s="1" t="n">
        <f aca="false">1/B8151</f>
        <v>0.00671321160042965</v>
      </c>
      <c r="D8151" s="1" t="n">
        <v>0.72198</v>
      </c>
      <c r="E8151" s="1" t="n">
        <f aca="false">LN(D8151)</f>
        <v>-0.325757841304011</v>
      </c>
    </row>
    <row r="8152" customFormat="false" ht="15.75" hidden="false" customHeight="false" outlineLevel="0" collapsed="false">
      <c r="A8152" s="1" t="s">
        <v>1489</v>
      </c>
      <c r="B8152" s="1" t="n">
        <v>149.55</v>
      </c>
      <c r="C8152" s="1" t="n">
        <f aca="false">1/B8152</f>
        <v>0.00668672684720829</v>
      </c>
      <c r="D8152" s="1" t="n">
        <v>0.71084</v>
      </c>
      <c r="E8152" s="1" t="n">
        <f aca="false">LN(D8152)</f>
        <v>-0.341307909664851</v>
      </c>
    </row>
    <row r="8153" customFormat="false" ht="15.75" hidden="false" customHeight="false" outlineLevel="0" collapsed="false">
      <c r="A8153" s="1" t="s">
        <v>1489</v>
      </c>
      <c r="B8153" s="1" t="n">
        <v>150.15</v>
      </c>
      <c r="C8153" s="1" t="n">
        <f aca="false">1/B8153</f>
        <v>0.00666000666000666</v>
      </c>
      <c r="D8153" s="1" t="n">
        <v>0.69996</v>
      </c>
      <c r="E8153" s="1" t="n">
        <f aca="false">LN(D8153)</f>
        <v>-0.35673208842859</v>
      </c>
    </row>
    <row r="8154" customFormat="false" ht="15.75" hidden="false" customHeight="false" outlineLevel="0" collapsed="false">
      <c r="A8154" s="1" t="s">
        <v>1489</v>
      </c>
      <c r="B8154" s="1" t="n">
        <v>150.74</v>
      </c>
      <c r="C8154" s="1" t="n">
        <f aca="false">1/B8154</f>
        <v>0.00663393923311662</v>
      </c>
      <c r="D8154" s="1" t="n">
        <v>0.68934</v>
      </c>
      <c r="E8154" s="1" t="n">
        <f aca="false">LN(D8154)</f>
        <v>-0.372020660888809</v>
      </c>
    </row>
    <row r="8155" customFormat="false" ht="15.75" hidden="false" customHeight="false" outlineLevel="0" collapsed="false">
      <c r="A8155" s="1" t="s">
        <v>1489</v>
      </c>
      <c r="B8155" s="1" t="n">
        <v>151.34</v>
      </c>
      <c r="C8155" s="1" t="n">
        <f aca="false">1/B8155</f>
        <v>0.00660763843002511</v>
      </c>
      <c r="D8155" s="1" t="n">
        <v>0.67897</v>
      </c>
      <c r="E8155" s="1" t="n">
        <f aca="false">LN(D8155)</f>
        <v>-0.387178335021024</v>
      </c>
    </row>
    <row r="8156" customFormat="false" ht="15.75" hidden="false" customHeight="false" outlineLevel="0" collapsed="false">
      <c r="A8156" s="1" t="s">
        <v>1489</v>
      </c>
      <c r="B8156" s="1" t="n">
        <v>151.93</v>
      </c>
      <c r="C8156" s="1" t="n">
        <f aca="false">1/B8156</f>
        <v>0.00658197854274995</v>
      </c>
      <c r="D8156" s="1" t="n">
        <v>0.66884</v>
      </c>
      <c r="E8156" s="1" t="n">
        <f aca="false">LN(D8156)</f>
        <v>-0.402210410387669</v>
      </c>
    </row>
    <row r="8157" customFormat="false" ht="15.75" hidden="false" customHeight="false" outlineLevel="0" collapsed="false">
      <c r="A8157" s="1" t="s">
        <v>1489</v>
      </c>
      <c r="B8157" s="1" t="n">
        <v>152.53</v>
      </c>
      <c r="C8157" s="1" t="n">
        <f aca="false">1/B8157</f>
        <v>0.0065560873270832</v>
      </c>
      <c r="D8157" s="1" t="n">
        <v>0.65895</v>
      </c>
      <c r="E8157" s="1" t="n">
        <f aca="false">LN(D8157)</f>
        <v>-0.417107619892239</v>
      </c>
    </row>
    <row r="8158" customFormat="false" ht="15.75" hidden="false" customHeight="false" outlineLevel="0" collapsed="false">
      <c r="A8158" s="1" t="s">
        <v>1489</v>
      </c>
      <c r="B8158" s="1" t="n">
        <v>153.12</v>
      </c>
      <c r="C8158" s="1" t="n">
        <f aca="false">1/B8158</f>
        <v>0.00653082549634274</v>
      </c>
      <c r="D8158" s="1" t="n">
        <v>0.64928</v>
      </c>
      <c r="E8158" s="1" t="n">
        <f aca="false">LN(D8158)</f>
        <v>-0.431891222344687</v>
      </c>
    </row>
    <row r="8159" customFormat="false" ht="15.75" hidden="false" customHeight="false" outlineLevel="0" collapsed="false">
      <c r="A8159" s="1" t="s">
        <v>1489</v>
      </c>
      <c r="B8159" s="1" t="n">
        <v>153.72</v>
      </c>
      <c r="C8159" s="1" t="n">
        <f aca="false">1/B8159</f>
        <v>0.00650533437418683</v>
      </c>
      <c r="D8159" s="1" t="n">
        <v>0.63983</v>
      </c>
      <c r="E8159" s="1" t="n">
        <f aca="false">LN(D8159)</f>
        <v>-0.446552762912988</v>
      </c>
    </row>
    <row r="8160" customFormat="false" ht="15.75" hidden="false" customHeight="false" outlineLevel="0" collapsed="false">
      <c r="A8160" s="1" t="s">
        <v>1489</v>
      </c>
      <c r="B8160" s="1" t="n">
        <v>154.31</v>
      </c>
      <c r="C8160" s="1" t="n">
        <f aca="false">1/B8160</f>
        <v>0.00648046140885231</v>
      </c>
      <c r="D8160" s="1" t="n">
        <v>0.63059</v>
      </c>
      <c r="E8160" s="1" t="n">
        <f aca="false">LN(D8160)</f>
        <v>-0.461099389910013</v>
      </c>
    </row>
    <row r="8161" customFormat="false" ht="15.75" hidden="false" customHeight="false" outlineLevel="0" collapsed="false">
      <c r="A8161" s="1" t="s">
        <v>1489</v>
      </c>
      <c r="B8161" s="1" t="n">
        <v>154.91</v>
      </c>
      <c r="C8161" s="1" t="n">
        <f aca="false">1/B8161</f>
        <v>0.00645536117745788</v>
      </c>
      <c r="D8161" s="1" t="n">
        <v>0.62156</v>
      </c>
      <c r="E8161" s="1" t="n">
        <f aca="false">LN(D8161)</f>
        <v>-0.475522832063604</v>
      </c>
    </row>
    <row r="8162" customFormat="false" ht="15.75" hidden="false" customHeight="false" outlineLevel="0" collapsed="false">
      <c r="A8162" s="1" t="s">
        <v>1489</v>
      </c>
      <c r="B8162" s="1" t="n">
        <v>155.5</v>
      </c>
      <c r="C8162" s="1" t="n">
        <f aca="false">1/B8162</f>
        <v>0.00643086816720257</v>
      </c>
      <c r="D8162" s="1" t="n">
        <v>0.61273</v>
      </c>
      <c r="E8162" s="1" t="n">
        <f aca="false">LN(D8162)</f>
        <v>-0.489830896845485</v>
      </c>
    </row>
    <row r="8163" customFormat="false" ht="15.75" hidden="false" customHeight="false" outlineLevel="0" collapsed="false">
      <c r="A8163" s="1" t="s">
        <v>1489</v>
      </c>
      <c r="B8163" s="1" t="n">
        <v>156.1</v>
      </c>
      <c r="C8163" s="1" t="n">
        <f aca="false">1/B8163</f>
        <v>0.00640614990390775</v>
      </c>
      <c r="D8163" s="1" t="n">
        <v>0.60409</v>
      </c>
      <c r="E8163" s="1" t="n">
        <f aca="false">LN(D8163)</f>
        <v>-0.50403208552519</v>
      </c>
    </row>
    <row r="8164" customFormat="false" ht="15.75" hidden="false" customHeight="false" outlineLevel="0" collapsed="false">
      <c r="A8164" s="1" t="s">
        <v>1489</v>
      </c>
      <c r="B8164" s="1" t="n">
        <v>156.69</v>
      </c>
      <c r="C8164" s="1" t="n">
        <f aca="false">1/B8164</f>
        <v>0.00638202820856468</v>
      </c>
      <c r="D8164" s="1" t="n">
        <v>0.59565</v>
      </c>
      <c r="E8164" s="1" t="n">
        <f aca="false">LN(D8164)</f>
        <v>-0.518102032736767</v>
      </c>
    </row>
    <row r="8165" customFormat="false" ht="15.75" hidden="false" customHeight="false" outlineLevel="0" collapsed="false">
      <c r="A8165" s="1" t="s">
        <v>1489</v>
      </c>
      <c r="B8165" s="1" t="n">
        <v>157.29</v>
      </c>
      <c r="C8165" s="1" t="n">
        <f aca="false">1/B8165</f>
        <v>0.00635768326021998</v>
      </c>
      <c r="D8165" s="1" t="n">
        <v>0.58738</v>
      </c>
      <c r="E8165" s="1" t="n">
        <f aca="false">LN(D8165)</f>
        <v>-0.532083309145931</v>
      </c>
    </row>
    <row r="8166" customFormat="false" ht="15.75" hidden="false" customHeight="false" outlineLevel="0" collapsed="false">
      <c r="A8166" s="1" t="s">
        <v>1489</v>
      </c>
      <c r="B8166" s="1" t="n">
        <v>157.88</v>
      </c>
      <c r="C8166" s="1" t="n">
        <f aca="false">1/B8166</f>
        <v>0.00633392449961996</v>
      </c>
      <c r="D8166" s="1" t="n">
        <v>0.5793</v>
      </c>
      <c r="E8166" s="1" t="n">
        <f aca="false">LN(D8166)</f>
        <v>-0.545934800879559</v>
      </c>
    </row>
    <row r="8167" customFormat="false" ht="15.75" hidden="false" customHeight="false" outlineLevel="0" collapsed="false">
      <c r="A8167" s="1" t="s">
        <v>1489</v>
      </c>
      <c r="B8167" s="1" t="n">
        <v>158.48</v>
      </c>
      <c r="C8167" s="1" t="n">
        <f aca="false">1/B8167</f>
        <v>0.00630994447248864</v>
      </c>
      <c r="D8167" s="1" t="n">
        <v>0.57139</v>
      </c>
      <c r="E8167" s="1" t="n">
        <f aca="false">LN(D8167)</f>
        <v>-0.55968329021365</v>
      </c>
    </row>
    <row r="8168" customFormat="false" ht="15.75" hidden="false" customHeight="false" outlineLevel="0" collapsed="false">
      <c r="A8168" s="1" t="s">
        <v>1489</v>
      </c>
      <c r="B8168" s="1" t="n">
        <v>159.07</v>
      </c>
      <c r="C8168" s="1" t="n">
        <f aca="false">1/B8168</f>
        <v>0.00628654051675363</v>
      </c>
      <c r="D8168" s="1" t="n">
        <v>0.56364</v>
      </c>
      <c r="E8168" s="1" t="n">
        <f aca="false">LN(D8168)</f>
        <v>-0.573339529155233</v>
      </c>
    </row>
    <row r="8169" customFormat="false" ht="15.75" hidden="false" customHeight="false" outlineLevel="0" collapsed="false">
      <c r="A8169" s="1" t="s">
        <v>1489</v>
      </c>
      <c r="B8169" s="1" t="n">
        <v>159.67</v>
      </c>
      <c r="C8169" s="1" t="n">
        <f aca="false">1/B8169</f>
        <v>0.00626291726686291</v>
      </c>
      <c r="D8169" s="1" t="n">
        <v>0.55606</v>
      </c>
      <c r="E8169" s="1" t="n">
        <f aca="false">LN(D8169)</f>
        <v>-0.586879076884751</v>
      </c>
    </row>
    <row r="8170" customFormat="false" ht="15.75" hidden="false" customHeight="false" outlineLevel="0" collapsed="false">
      <c r="A8170" s="1" t="s">
        <v>1489</v>
      </c>
      <c r="B8170" s="1" t="n">
        <v>160.26</v>
      </c>
      <c r="C8170" s="1" t="n">
        <f aca="false">1/B8170</f>
        <v>0.00623986022713091</v>
      </c>
      <c r="D8170" s="1" t="n">
        <v>0.54864</v>
      </c>
      <c r="E8170" s="1" t="n">
        <f aca="false">LN(D8170)</f>
        <v>-0.600312790267527</v>
      </c>
    </row>
    <row r="8171" customFormat="false" ht="15.75" hidden="false" customHeight="false" outlineLevel="0" collapsed="false">
      <c r="A8171" s="1" t="s">
        <v>1489</v>
      </c>
      <c r="B8171" s="1" t="n">
        <v>160.86</v>
      </c>
      <c r="C8171" s="1" t="n">
        <f aca="false">1/B8171</f>
        <v>0.0062165858510506</v>
      </c>
      <c r="D8171" s="1" t="n">
        <v>0.54137</v>
      </c>
      <c r="E8171" s="1" t="n">
        <f aca="false">LN(D8171)</f>
        <v>-0.613652315232319</v>
      </c>
    </row>
    <row r="8172" customFormat="false" ht="15.75" hidden="false" customHeight="false" outlineLevel="0" collapsed="false">
      <c r="A8172" s="1" t="s">
        <v>1489</v>
      </c>
      <c r="B8172" s="1" t="n">
        <v>161.45</v>
      </c>
      <c r="C8172" s="1" t="n">
        <f aca="false">1/B8172</f>
        <v>0.0061938680706101</v>
      </c>
      <c r="D8172" s="1" t="n">
        <v>0.53426</v>
      </c>
      <c r="E8172" s="1" t="n">
        <f aca="false">LN(D8172)</f>
        <v>-0.626872667129325</v>
      </c>
    </row>
    <row r="8173" customFormat="false" ht="15.75" hidden="false" customHeight="false" outlineLevel="0" collapsed="false">
      <c r="A8173" s="1" t="s">
        <v>1489</v>
      </c>
      <c r="B8173" s="1" t="n">
        <v>162.05</v>
      </c>
      <c r="C8173" s="1" t="n">
        <f aca="false">1/B8173</f>
        <v>0.00617093489663684</v>
      </c>
      <c r="D8173" s="1" t="n">
        <v>0.52729</v>
      </c>
      <c r="E8173" s="1" t="n">
        <f aca="false">LN(D8173)</f>
        <v>-0.640004597161859</v>
      </c>
    </row>
    <row r="8174" customFormat="false" ht="15.75" hidden="false" customHeight="false" outlineLevel="0" collapsed="false">
      <c r="A8174" s="1" t="s">
        <v>1489</v>
      </c>
      <c r="B8174" s="1" t="n">
        <v>162.64</v>
      </c>
      <c r="C8174" s="1" t="n">
        <f aca="false">1/B8174</f>
        <v>0.00614854894244958</v>
      </c>
      <c r="D8174" s="1" t="n">
        <v>0.52046</v>
      </c>
      <c r="E8174" s="1" t="n">
        <f aca="false">LN(D8174)</f>
        <v>-0.653042243063641</v>
      </c>
    </row>
    <row r="8175" customFormat="false" ht="15.75" hidden="false" customHeight="false" outlineLevel="0" collapsed="false">
      <c r="A8175" s="1" t="s">
        <v>1489</v>
      </c>
      <c r="B8175" s="1" t="n">
        <v>163.24</v>
      </c>
      <c r="C8175" s="1" t="n">
        <f aca="false">1/B8175</f>
        <v>0.00612594952217594</v>
      </c>
      <c r="D8175" s="1" t="n">
        <v>0.51376</v>
      </c>
      <c r="E8175" s="1" t="n">
        <f aca="false">LN(D8175)</f>
        <v>-0.665999048640933</v>
      </c>
    </row>
    <row r="8176" customFormat="false" ht="15.75" hidden="false" customHeight="false" outlineLevel="0" collapsed="false">
      <c r="A8176" s="1" t="s">
        <v>1489</v>
      </c>
      <c r="B8176" s="1" t="n">
        <v>163.83</v>
      </c>
      <c r="C8176" s="1" t="n">
        <f aca="false">1/B8176</f>
        <v>0.0061038881767686</v>
      </c>
      <c r="D8176" s="1" t="n">
        <v>0.50721</v>
      </c>
      <c r="E8176" s="1" t="n">
        <f aca="false">LN(D8176)</f>
        <v>-0.678830159965152</v>
      </c>
    </row>
    <row r="8177" customFormat="false" ht="15.75" hidden="false" customHeight="false" outlineLevel="0" collapsed="false">
      <c r="A8177" s="1" t="s">
        <v>1489</v>
      </c>
      <c r="B8177" s="1" t="n">
        <v>164.43</v>
      </c>
      <c r="C8177" s="1" t="n">
        <f aca="false">1/B8177</f>
        <v>0.00608161527701758</v>
      </c>
      <c r="D8177" s="1" t="n">
        <v>0.50078</v>
      </c>
      <c r="E8177" s="1" t="n">
        <f aca="false">LN(D8177)</f>
        <v>-0.691588396095952</v>
      </c>
    </row>
    <row r="8178" customFormat="false" ht="15.75" hidden="false" customHeight="false" outlineLevel="0" collapsed="false">
      <c r="A8178" s="1" t="s">
        <v>1489</v>
      </c>
      <c r="B8178" s="1" t="n">
        <v>165.02</v>
      </c>
      <c r="C8178" s="1" t="n">
        <f aca="false">1/B8178</f>
        <v>0.00605987153072355</v>
      </c>
      <c r="D8178" s="1" t="n">
        <v>0.49448</v>
      </c>
      <c r="E8178" s="1" t="n">
        <f aca="false">LN(D8178)</f>
        <v>-0.704248573631119</v>
      </c>
    </row>
    <row r="8179" customFormat="false" ht="15.75" hidden="false" customHeight="false" outlineLevel="0" collapsed="false">
      <c r="A8179" s="1" t="s">
        <v>1489</v>
      </c>
      <c r="B8179" s="1" t="n">
        <v>165.62</v>
      </c>
      <c r="C8179" s="1" t="n">
        <f aca="false">1/B8179</f>
        <v>0.00603791812583021</v>
      </c>
      <c r="D8179" s="1" t="n">
        <v>0.4883</v>
      </c>
      <c r="E8179" s="1" t="n">
        <f aca="false">LN(D8179)</f>
        <v>-0.716825307914522</v>
      </c>
    </row>
    <row r="8180" customFormat="false" ht="15.75" hidden="false" customHeight="false" outlineLevel="0" collapsed="false">
      <c r="A8180" s="1" t="s">
        <v>1489</v>
      </c>
      <c r="B8180" s="1" t="n">
        <v>166.21</v>
      </c>
      <c r="C8180" s="1" t="n">
        <f aca="false">1/B8180</f>
        <v>0.00601648516936406</v>
      </c>
      <c r="D8180" s="1" t="n">
        <v>0.48224</v>
      </c>
      <c r="E8180" s="1" t="n">
        <f aca="false">LN(D8180)</f>
        <v>-0.729313363544006</v>
      </c>
    </row>
    <row r="8181" customFormat="false" ht="15.75" hidden="false" customHeight="false" outlineLevel="0" collapsed="false">
      <c r="A8181" s="1" t="s">
        <v>1489</v>
      </c>
      <c r="B8181" s="1" t="n">
        <v>166.81</v>
      </c>
      <c r="C8181" s="1" t="n">
        <f aca="false">1/B8181</f>
        <v>0.00599484443378694</v>
      </c>
      <c r="D8181" s="1" t="n">
        <v>0.4763</v>
      </c>
      <c r="E8181" s="1" t="n">
        <f aca="false">LN(D8181)</f>
        <v>-0.741707371175322</v>
      </c>
    </row>
    <row r="8182" customFormat="false" ht="15.75" hidden="false" customHeight="false" outlineLevel="0" collapsed="false">
      <c r="A8182" s="1" t="s">
        <v>1489</v>
      </c>
      <c r="B8182" s="1" t="n">
        <v>167.4</v>
      </c>
      <c r="C8182" s="1" t="n">
        <f aca="false">1/B8182</f>
        <v>0.00597371565113501</v>
      </c>
      <c r="D8182" s="1" t="n">
        <v>0.47048</v>
      </c>
      <c r="E8182" s="1" t="n">
        <f aca="false">LN(D8182)</f>
        <v>-0.754001828830437</v>
      </c>
    </row>
    <row r="8183" customFormat="false" ht="15.75" hidden="false" customHeight="false" outlineLevel="0" collapsed="false">
      <c r="A8183" s="1" t="s">
        <v>1489</v>
      </c>
      <c r="B8183" s="1" t="n">
        <v>168</v>
      </c>
      <c r="C8183" s="1" t="n">
        <f aca="false">1/B8183</f>
        <v>0.00595238095238095</v>
      </c>
      <c r="D8183" s="1" t="n">
        <v>0.46476</v>
      </c>
      <c r="E8183" s="1" t="n">
        <f aca="false">LN(D8183)</f>
        <v>-0.766234135667476</v>
      </c>
    </row>
    <row r="8184" customFormat="false" ht="15.75" hidden="false" customHeight="false" outlineLevel="0" collapsed="false">
      <c r="A8184" s="1" t="s">
        <v>1489</v>
      </c>
      <c r="B8184" s="1" t="n">
        <v>168.59</v>
      </c>
      <c r="C8184" s="1" t="n">
        <f aca="false">1/B8184</f>
        <v>0.00593154991399253</v>
      </c>
      <c r="D8184" s="1" t="n">
        <v>0.45915</v>
      </c>
      <c r="E8184" s="1" t="n">
        <f aca="false">LN(D8184)</f>
        <v>-0.778378324922606</v>
      </c>
    </row>
    <row r="8185" customFormat="false" ht="15.75" hidden="false" customHeight="false" outlineLevel="0" collapsed="false">
      <c r="A8185" s="1" t="s">
        <v>1489</v>
      </c>
      <c r="B8185" s="1" t="n">
        <v>169.19</v>
      </c>
      <c r="C8185" s="1" t="n">
        <f aca="false">1/B8185</f>
        <v>0.00591051480583959</v>
      </c>
      <c r="D8185" s="1" t="n">
        <v>0.45365</v>
      </c>
      <c r="E8185" s="1" t="n">
        <f aca="false">LN(D8185)</f>
        <v>-0.790429303366499</v>
      </c>
    </row>
    <row r="8186" customFormat="false" ht="15.75" hidden="false" customHeight="false" outlineLevel="0" collapsed="false">
      <c r="A8186" s="1" t="s">
        <v>1489</v>
      </c>
      <c r="B8186" s="1" t="n">
        <v>169.78</v>
      </c>
      <c r="C8186" s="1" t="n">
        <f aca="false">1/B8186</f>
        <v>0.0058899752621039</v>
      </c>
      <c r="D8186" s="1" t="n">
        <v>0.44825</v>
      </c>
      <c r="E8186" s="1" t="n">
        <f aca="false">LN(D8186)</f>
        <v>-0.802404166496895</v>
      </c>
    </row>
    <row r="8187" customFormat="false" ht="15.75" hidden="false" customHeight="false" outlineLevel="0" collapsed="false">
      <c r="A8187" s="1" t="s">
        <v>1489</v>
      </c>
      <c r="B8187" s="1" t="n">
        <v>170.38</v>
      </c>
      <c r="C8187" s="1" t="n">
        <f aca="false">1/B8187</f>
        <v>0.00586923347810776</v>
      </c>
      <c r="D8187" s="1" t="n">
        <v>0.44295</v>
      </c>
      <c r="E8187" s="1" t="n">
        <f aca="false">LN(D8187)</f>
        <v>-0.814298382124096</v>
      </c>
    </row>
    <row r="8188" customFormat="false" ht="15.75" hidden="false" customHeight="false" outlineLevel="0" collapsed="false">
      <c r="A8188" s="1" t="s">
        <v>1489</v>
      </c>
      <c r="B8188" s="1" t="n">
        <v>170.97</v>
      </c>
      <c r="C8188" s="1" t="n">
        <f aca="false">1/B8188</f>
        <v>0.00584897935310288</v>
      </c>
      <c r="D8188" s="1" t="n">
        <v>0.43775</v>
      </c>
      <c r="E8188" s="1" t="n">
        <f aca="false">LN(D8188)</f>
        <v>-0.826107307816176</v>
      </c>
    </row>
    <row r="8189" customFormat="false" ht="15.75" hidden="false" customHeight="false" outlineLevel="0" collapsed="false">
      <c r="A8189" s="1" t="s">
        <v>1489</v>
      </c>
      <c r="B8189" s="1" t="n">
        <v>171.57</v>
      </c>
      <c r="C8189" s="1" t="n">
        <f aca="false">1/B8189</f>
        <v>0.00582852480037303</v>
      </c>
      <c r="D8189" s="1" t="n">
        <v>0.43264</v>
      </c>
      <c r="E8189" s="1" t="n">
        <f aca="false">LN(D8189)</f>
        <v>-0.837849305567592</v>
      </c>
    </row>
    <row r="8190" customFormat="false" ht="15.75" hidden="false" customHeight="false" outlineLevel="0" collapsed="false">
      <c r="A8190" s="1" t="s">
        <v>1489</v>
      </c>
      <c r="B8190" s="1" t="n">
        <v>172.16</v>
      </c>
      <c r="C8190" s="1" t="n">
        <f aca="false">1/B8190</f>
        <v>0.00580855018587361</v>
      </c>
      <c r="D8190" s="1" t="n">
        <v>0.42763</v>
      </c>
      <c r="E8190" s="1" t="n">
        <f aca="false">LN(D8190)</f>
        <v>-0.849496943265148</v>
      </c>
    </row>
    <row r="8191" customFormat="false" ht="15.75" hidden="false" customHeight="false" outlineLevel="0" collapsed="false">
      <c r="A8191" s="1" t="s">
        <v>1489</v>
      </c>
      <c r="B8191" s="1" t="n">
        <v>172.76</v>
      </c>
      <c r="C8191" s="1" t="n">
        <f aca="false">1/B8191</f>
        <v>0.00578837693910628</v>
      </c>
      <c r="D8191" s="1" t="n">
        <v>0.4227</v>
      </c>
      <c r="E8191" s="1" t="n">
        <f aca="false">LN(D8191)</f>
        <v>-0.861092571409393</v>
      </c>
    </row>
    <row r="8192" customFormat="false" ht="15.75" hidden="false" customHeight="false" outlineLevel="0" collapsed="false">
      <c r="A8192" s="1" t="s">
        <v>1489</v>
      </c>
      <c r="B8192" s="1" t="n">
        <v>173.35</v>
      </c>
      <c r="C8192" s="1" t="n">
        <f aca="false">1/B8192</f>
        <v>0.00576867608883761</v>
      </c>
      <c r="D8192" s="1" t="n">
        <v>0.41787</v>
      </c>
      <c r="E8192" s="1" t="n">
        <f aca="false">LN(D8192)</f>
        <v>-0.872584899614087</v>
      </c>
    </row>
    <row r="8193" customFormat="false" ht="15.75" hidden="false" customHeight="false" outlineLevel="0" collapsed="false">
      <c r="A8193" s="1" t="s">
        <v>1489</v>
      </c>
      <c r="B8193" s="1" t="n">
        <v>173.95</v>
      </c>
      <c r="C8193" s="1" t="n">
        <f aca="false">1/B8193</f>
        <v>0.00574877838459327</v>
      </c>
      <c r="D8193" s="1" t="n">
        <v>0.41312</v>
      </c>
      <c r="E8193" s="1" t="n">
        <f aca="false">LN(D8193)</f>
        <v>-0.884017171323859</v>
      </c>
    </row>
    <row r="8194" customFormat="false" ht="15.75" hidden="false" customHeight="false" outlineLevel="0" collapsed="false">
      <c r="A8194" s="1" t="s">
        <v>1489</v>
      </c>
      <c r="B8194" s="1" t="n">
        <v>174.54</v>
      </c>
      <c r="C8194" s="1" t="n">
        <f aca="false">1/B8194</f>
        <v>0.00572934570872006</v>
      </c>
      <c r="D8194" s="1" t="n">
        <v>0.40845</v>
      </c>
      <c r="E8194" s="1" t="n">
        <f aca="false">LN(D8194)</f>
        <v>-0.895385771194259</v>
      </c>
    </row>
    <row r="8195" customFormat="false" ht="15.75" hidden="false" customHeight="false" outlineLevel="0" collapsed="false">
      <c r="A8195" s="1" t="s">
        <v>1489</v>
      </c>
      <c r="B8195" s="1" t="n">
        <v>175.14</v>
      </c>
      <c r="C8195" s="1" t="n">
        <f aca="false">1/B8195</f>
        <v>0.00570971793993377</v>
      </c>
      <c r="D8195" s="1" t="n">
        <v>0.40386</v>
      </c>
      <c r="E8195" s="1" t="n">
        <f aca="false">LN(D8195)</f>
        <v>-0.90668699573146</v>
      </c>
    </row>
    <row r="8196" customFormat="false" ht="15.75" hidden="false" customHeight="false" outlineLevel="0" collapsed="false">
      <c r="A8196" s="1" t="s">
        <v>1489</v>
      </c>
      <c r="B8196" s="1" t="n">
        <v>175.73</v>
      </c>
      <c r="C8196" s="1" t="n">
        <f aca="false">1/B8196</f>
        <v>0.00569054799977238</v>
      </c>
      <c r="D8196" s="1" t="n">
        <v>0.39936</v>
      </c>
      <c r="E8196" s="1" t="n">
        <f aca="false">LN(D8196)</f>
        <v>-0.917892013241129</v>
      </c>
    </row>
    <row r="8197" customFormat="false" ht="15.75" hidden="false" customHeight="false" outlineLevel="0" collapsed="false">
      <c r="A8197" s="1" t="s">
        <v>1489</v>
      </c>
      <c r="B8197" s="1" t="n">
        <v>176.33</v>
      </c>
      <c r="C8197" s="1" t="n">
        <f aca="false">1/B8197</f>
        <v>0.00567118471048602</v>
      </c>
      <c r="D8197" s="1" t="n">
        <v>0.39493</v>
      </c>
      <c r="E8197" s="1" t="n">
        <f aca="false">LN(D8197)</f>
        <v>-0.929046744975356</v>
      </c>
    </row>
    <row r="8198" customFormat="false" ht="15.75" hidden="false" customHeight="false" outlineLevel="0" collapsed="false">
      <c r="A8198" s="1" t="s">
        <v>1489</v>
      </c>
      <c r="B8198" s="1" t="n">
        <v>176.92</v>
      </c>
      <c r="C8198" s="1" t="n">
        <f aca="false">1/B8198</f>
        <v>0.0056522722134298</v>
      </c>
      <c r="D8198" s="1" t="n">
        <v>0.39057</v>
      </c>
      <c r="E8198" s="1" t="n">
        <f aca="false">LN(D8198)</f>
        <v>-0.940148068404722</v>
      </c>
    </row>
    <row r="8199" customFormat="false" ht="15.75" hidden="false" customHeight="false" outlineLevel="0" collapsed="false">
      <c r="A8199" s="1" t="s">
        <v>1489</v>
      </c>
      <c r="B8199" s="1" t="n">
        <v>177.52</v>
      </c>
      <c r="C8199" s="1" t="n">
        <f aca="false">1/B8199</f>
        <v>0.00563316809373592</v>
      </c>
      <c r="D8199" s="1" t="n">
        <v>0.38629</v>
      </c>
      <c r="E8199" s="1" t="n">
        <f aca="false">LN(D8199)</f>
        <v>-0.951166896261585</v>
      </c>
    </row>
    <row r="8200" customFormat="false" ht="15.75" hidden="false" customHeight="false" outlineLevel="0" collapsed="false">
      <c r="A8200" s="1" t="s">
        <v>1489</v>
      </c>
      <c r="B8200" s="1" t="n">
        <v>178.11</v>
      </c>
      <c r="C8200" s="1" t="n">
        <f aca="false">1/B8200</f>
        <v>0.00561450788838358</v>
      </c>
      <c r="D8200" s="1" t="n">
        <v>0.38209</v>
      </c>
      <c r="E8200" s="1" t="n">
        <f aca="false">LN(D8200)</f>
        <v>-0.962099096031136</v>
      </c>
    </row>
    <row r="8201" customFormat="false" ht="15.75" hidden="false" customHeight="false" outlineLevel="0" collapsed="false">
      <c r="A8201" s="1" t="s">
        <v>1489</v>
      </c>
      <c r="B8201" s="1" t="n">
        <v>178.71</v>
      </c>
      <c r="C8201" s="1" t="n">
        <f aca="false">1/B8201</f>
        <v>0.00559565776957081</v>
      </c>
      <c r="D8201" s="1" t="n">
        <v>0.37795</v>
      </c>
      <c r="E8201" s="1" t="n">
        <f aca="false">LN(D8201)</f>
        <v>-0.972993367243951</v>
      </c>
    </row>
    <row r="8202" customFormat="false" ht="15.75" hidden="false" customHeight="false" outlineLevel="0" collapsed="false">
      <c r="A8202" s="1" t="s">
        <v>1489</v>
      </c>
      <c r="B8202" s="1" t="n">
        <v>179.3</v>
      </c>
      <c r="C8202" s="1" t="n">
        <f aca="false">1/B8202</f>
        <v>0.00557724484104852</v>
      </c>
      <c r="D8202" s="1" t="n">
        <v>0.37388</v>
      </c>
      <c r="E8202" s="1" t="n">
        <f aca="false">LN(D8202)</f>
        <v>-0.983820388667754</v>
      </c>
    </row>
    <row r="8203" customFormat="false" ht="15.75" hidden="false" customHeight="false" outlineLevel="0" collapsed="false">
      <c r="A8203" s="1" t="s">
        <v>1489</v>
      </c>
      <c r="B8203" s="1" t="n">
        <v>179.9</v>
      </c>
      <c r="C8203" s="1" t="n">
        <f aca="false">1/B8203</f>
        <v>0.00555864369093941</v>
      </c>
      <c r="D8203" s="1" t="n">
        <v>0.36988</v>
      </c>
      <c r="E8203" s="1" t="n">
        <f aca="false">LN(D8203)</f>
        <v>-0.994576650272699</v>
      </c>
    </row>
    <row r="8204" customFormat="false" ht="15.75" hidden="false" customHeight="false" outlineLevel="0" collapsed="false">
      <c r="A8204" s="1" t="s">
        <v>1489</v>
      </c>
      <c r="B8204" s="1" t="n">
        <v>180.49</v>
      </c>
      <c r="C8204" s="1" t="n">
        <f aca="false">1/B8204</f>
        <v>0.00554047315640756</v>
      </c>
      <c r="D8204" s="1" t="n">
        <v>0.36594</v>
      </c>
      <c r="E8204" s="1" t="n">
        <f aca="false">LN(D8204)</f>
        <v>-1.00528589344572</v>
      </c>
    </row>
    <row r="8205" customFormat="false" ht="15.75" hidden="false" customHeight="false" outlineLevel="0" collapsed="false">
      <c r="A8205" s="1" t="s">
        <v>1489</v>
      </c>
      <c r="B8205" s="1" t="n">
        <v>181.09</v>
      </c>
      <c r="C8205" s="1" t="n">
        <f aca="false">1/B8205</f>
        <v>0.00552211607487989</v>
      </c>
      <c r="D8205" s="1" t="n">
        <v>0.36207</v>
      </c>
      <c r="E8205" s="1" t="n">
        <f aca="false">LN(D8205)</f>
        <v>-1.01591771568422</v>
      </c>
    </row>
    <row r="8206" customFormat="false" ht="15.75" hidden="false" customHeight="false" outlineLevel="0" collapsed="false">
      <c r="A8206" s="1" t="s">
        <v>1489</v>
      </c>
      <c r="B8206" s="1" t="n">
        <v>181.68</v>
      </c>
      <c r="C8206" s="1" t="n">
        <f aca="false">1/B8206</f>
        <v>0.0055041831792162</v>
      </c>
      <c r="D8206" s="1" t="n">
        <v>0.35826</v>
      </c>
      <c r="E8206" s="1" t="n">
        <f aca="false">LN(D8206)</f>
        <v>-1.02649629919518</v>
      </c>
    </row>
    <row r="8207" customFormat="false" ht="15.75" hidden="false" customHeight="false" outlineLevel="0" collapsed="false">
      <c r="A8207" s="1" t="s">
        <v>1489</v>
      </c>
      <c r="B8207" s="1" t="n">
        <v>182.28</v>
      </c>
      <c r="C8207" s="1" t="n">
        <f aca="false">1/B8207</f>
        <v>0.0054860653938995</v>
      </c>
      <c r="D8207" s="1" t="n">
        <v>0.35451</v>
      </c>
      <c r="E8207" s="1" t="n">
        <f aca="false">LN(D8207)</f>
        <v>-1.0370187246631</v>
      </c>
    </row>
    <row r="8208" customFormat="false" ht="15.75" hidden="false" customHeight="false" outlineLevel="0" collapsed="false">
      <c r="A8208" s="1" t="s">
        <v>1489</v>
      </c>
      <c r="B8208" s="1" t="n">
        <v>182.87</v>
      </c>
      <c r="C8208" s="1" t="n">
        <f aca="false">1/B8208</f>
        <v>0.00546836550555039</v>
      </c>
      <c r="D8208" s="1" t="n">
        <v>0.35083</v>
      </c>
      <c r="E8208" s="1" t="n">
        <f aca="false">LN(D8208)</f>
        <v>-1.0474535033265</v>
      </c>
    </row>
    <row r="8209" customFormat="false" ht="15.75" hidden="false" customHeight="false" outlineLevel="0" collapsed="false">
      <c r="A8209" s="1" t="s">
        <v>1489</v>
      </c>
      <c r="B8209" s="1" t="n">
        <v>183.47</v>
      </c>
      <c r="C8209" s="1" t="n">
        <f aca="false">1/B8209</f>
        <v>0.00545048236768954</v>
      </c>
      <c r="D8209" s="1" t="n">
        <v>0.3472</v>
      </c>
      <c r="E8209" s="1" t="n">
        <f aca="false">LN(D8209)</f>
        <v>-1.05785429619594</v>
      </c>
    </row>
    <row r="8210" customFormat="false" ht="15.75" hidden="false" customHeight="false" outlineLevel="0" collapsed="false">
      <c r="A8210" s="1" t="s">
        <v>1489</v>
      </c>
      <c r="B8210" s="1" t="n">
        <v>184.06</v>
      </c>
      <c r="C8210" s="1" t="n">
        <f aca="false">1/B8210</f>
        <v>0.00543301097468217</v>
      </c>
      <c r="D8210" s="1" t="n">
        <v>0.34362</v>
      </c>
      <c r="E8210" s="1" t="n">
        <f aca="false">LN(D8210)</f>
        <v>-1.06821888334832</v>
      </c>
    </row>
    <row r="8211" customFormat="false" ht="15.75" hidden="false" customHeight="false" outlineLevel="0" collapsed="false">
      <c r="A8211" s="1" t="s">
        <v>1489</v>
      </c>
      <c r="B8211" s="1" t="n">
        <v>184.66</v>
      </c>
      <c r="C8211" s="1" t="n">
        <f aca="false">1/B8211</f>
        <v>0.00541535795516084</v>
      </c>
      <c r="D8211" s="1" t="n">
        <v>0.3401</v>
      </c>
      <c r="E8211" s="1" t="n">
        <f aca="false">LN(D8211)</f>
        <v>-1.07851558696899</v>
      </c>
    </row>
    <row r="8212" customFormat="false" ht="15.75" hidden="false" customHeight="false" outlineLevel="0" collapsed="false">
      <c r="A8212" s="1" t="s">
        <v>1489</v>
      </c>
      <c r="B8212" s="1" t="n">
        <v>185.25</v>
      </c>
      <c r="C8212" s="1" t="n">
        <f aca="false">1/B8212</f>
        <v>0.00539811066126856</v>
      </c>
      <c r="D8212" s="1" t="n">
        <v>0.33664</v>
      </c>
      <c r="E8212" s="1" t="n">
        <f aca="false">LN(D8212)</f>
        <v>-1.08874116887285</v>
      </c>
    </row>
    <row r="8213" customFormat="false" ht="15.75" hidden="false" customHeight="false" outlineLevel="0" collapsed="false">
      <c r="A8213" s="1" t="s">
        <v>1489</v>
      </c>
      <c r="B8213" s="1" t="n">
        <v>185.85</v>
      </c>
      <c r="C8213" s="1" t="n">
        <f aca="false">1/B8213</f>
        <v>0.00538068334678504</v>
      </c>
      <c r="D8213" s="1" t="n">
        <v>0.33323</v>
      </c>
      <c r="E8213" s="1" t="n">
        <f aca="false">LN(D8213)</f>
        <v>-1.09892233672804</v>
      </c>
    </row>
    <row r="8214" customFormat="false" ht="15.75" hidden="false" customHeight="false" outlineLevel="0" collapsed="false">
      <c r="A8214" s="1" t="s">
        <v>1489</v>
      </c>
      <c r="B8214" s="1" t="n">
        <v>186.44</v>
      </c>
      <c r="C8214" s="1" t="n">
        <f aca="false">1/B8214</f>
        <v>0.00536365586783952</v>
      </c>
      <c r="D8214" s="1" t="n">
        <v>0.32987</v>
      </c>
      <c r="E8214" s="1" t="n">
        <f aca="false">LN(D8214)</f>
        <v>-1.10905664153006</v>
      </c>
    </row>
    <row r="8215" customFormat="false" ht="15.75" hidden="false" customHeight="false" outlineLevel="0" collapsed="false">
      <c r="A8215" s="1" t="s">
        <v>1489</v>
      </c>
      <c r="B8215" s="1" t="n">
        <v>187.04</v>
      </c>
      <c r="C8215" s="1" t="n">
        <f aca="false">1/B8215</f>
        <v>0.0053464499572284</v>
      </c>
      <c r="D8215" s="1" t="n">
        <v>0.32656</v>
      </c>
      <c r="E8215" s="1" t="n">
        <f aca="false">LN(D8215)</f>
        <v>-1.1191415799206</v>
      </c>
    </row>
    <row r="8216" customFormat="false" ht="15.75" hidden="false" customHeight="false" outlineLevel="0" collapsed="false">
      <c r="A8216" s="1" t="s">
        <v>1489</v>
      </c>
      <c r="B8216" s="1" t="n">
        <v>187.63</v>
      </c>
      <c r="C8216" s="1" t="n">
        <f aca="false">1/B8216</f>
        <v>0.00532963811757182</v>
      </c>
      <c r="D8216" s="1" t="n">
        <v>0.32331</v>
      </c>
      <c r="E8216" s="1" t="n">
        <f aca="false">LN(D8216)</f>
        <v>-1.12914366370529</v>
      </c>
    </row>
    <row r="8217" customFormat="false" ht="15.75" hidden="false" customHeight="false" outlineLevel="0" collapsed="false">
      <c r="A8217" s="1" t="s">
        <v>1489</v>
      </c>
      <c r="B8217" s="1" t="n">
        <v>188.23</v>
      </c>
      <c r="C8217" s="1" t="n">
        <f aca="false">1/B8217</f>
        <v>0.00531264941826489</v>
      </c>
      <c r="D8217" s="1" t="n">
        <v>0.3201</v>
      </c>
      <c r="E8217" s="1" t="n">
        <f aca="false">LN(D8217)</f>
        <v>-1.13912183200632</v>
      </c>
    </row>
    <row r="8218" customFormat="false" ht="15.75" hidden="false" customHeight="false" outlineLevel="0" collapsed="false">
      <c r="A8218" s="1" t="s">
        <v>1489</v>
      </c>
      <c r="B8218" s="1" t="n">
        <v>188.82</v>
      </c>
      <c r="C8218" s="1" t="n">
        <f aca="false">1/B8218</f>
        <v>0.00529604914733609</v>
      </c>
      <c r="D8218" s="1" t="n">
        <v>0.31693</v>
      </c>
      <c r="E8218" s="1" t="n">
        <f aca="false">LN(D8218)</f>
        <v>-1.1490743496785</v>
      </c>
    </row>
    <row r="8219" customFormat="false" ht="15.75" hidden="false" customHeight="false" outlineLevel="0" collapsed="false">
      <c r="A8219" s="1" t="s">
        <v>1489</v>
      </c>
      <c r="B8219" s="1" t="n">
        <v>189.42</v>
      </c>
      <c r="C8219" s="1" t="n">
        <f aca="false">1/B8219</f>
        <v>0.0052792735719565</v>
      </c>
      <c r="D8219" s="1" t="n">
        <v>0.31382</v>
      </c>
      <c r="E8219" s="1" t="n">
        <f aca="false">LN(D8219)</f>
        <v>-1.15893570585121</v>
      </c>
    </row>
    <row r="8220" customFormat="false" ht="15.75" hidden="false" customHeight="false" outlineLevel="0" collapsed="false">
      <c r="A8220" s="1" t="s">
        <v>1489</v>
      </c>
      <c r="B8220" s="1" t="n">
        <v>190.01</v>
      </c>
      <c r="C8220" s="1" t="n">
        <f aca="false">1/B8220</f>
        <v>0.00526288090100521</v>
      </c>
      <c r="D8220" s="1" t="n">
        <v>0.31075</v>
      </c>
      <c r="E8220" s="1" t="n">
        <f aca="false">LN(D8220)</f>
        <v>-1.16876654859132</v>
      </c>
    </row>
    <row r="8221" customFormat="false" ht="15.75" hidden="false" customHeight="false" outlineLevel="0" collapsed="false">
      <c r="A8221" s="1" t="s">
        <v>1489</v>
      </c>
      <c r="B8221" s="1" t="n">
        <v>190.61</v>
      </c>
      <c r="C8221" s="1" t="n">
        <f aca="false">1/B8221</f>
        <v>0.00524631446408898</v>
      </c>
      <c r="D8221" s="1" t="n">
        <v>0.30772</v>
      </c>
      <c r="E8221" s="1" t="n">
        <f aca="false">LN(D8221)</f>
        <v>-1.1785650003914</v>
      </c>
    </row>
    <row r="8222" customFormat="false" ht="15.75" hidden="false" customHeight="false" outlineLevel="0" collapsed="false">
      <c r="A8222" s="1" t="s">
        <v>1489</v>
      </c>
      <c r="B8222" s="1" t="n">
        <v>190.9</v>
      </c>
      <c r="C8222" s="1" t="n">
        <f aca="false">1/B8222</f>
        <v>0.00523834468308015</v>
      </c>
      <c r="D8222" s="1" t="n">
        <v>0.30622</v>
      </c>
      <c r="E8222" s="1" t="n">
        <f aca="false">LN(D8222)</f>
        <v>-1.18345148110519</v>
      </c>
    </row>
    <row r="8223" customFormat="false" ht="15.75" hidden="false" customHeight="false" outlineLevel="0" collapsed="false">
      <c r="A8223" s="1" t="s">
        <v>1490</v>
      </c>
      <c r="B8223" s="1" t="n">
        <v>129.82</v>
      </c>
      <c r="C8223" s="1" t="n">
        <f aca="false">1/B8223</f>
        <v>0.00770297334771222</v>
      </c>
      <c r="D8223" s="1" t="n">
        <v>2.0767</v>
      </c>
      <c r="E8223" s="1" t="n">
        <f aca="false">LN(D8223)</f>
        <v>0.730780095366796</v>
      </c>
    </row>
    <row r="8224" customFormat="false" ht="15.75" hidden="false" customHeight="false" outlineLevel="0" collapsed="false">
      <c r="A8224" s="1" t="s">
        <v>1490</v>
      </c>
      <c r="B8224" s="1" t="n">
        <v>130.31</v>
      </c>
      <c r="C8224" s="1" t="n">
        <f aca="false">1/B8224</f>
        <v>0.00767400813444862</v>
      </c>
      <c r="D8224" s="1" t="n">
        <v>2.0181</v>
      </c>
      <c r="E8224" s="1" t="n">
        <f aca="false">LN(D8224)</f>
        <v>0.702156474717533</v>
      </c>
    </row>
    <row r="8225" customFormat="false" ht="15.75" hidden="false" customHeight="false" outlineLevel="0" collapsed="false">
      <c r="A8225" s="1" t="s">
        <v>1490</v>
      </c>
      <c r="B8225" s="1" t="n">
        <v>130.8</v>
      </c>
      <c r="C8225" s="1" t="n">
        <f aca="false">1/B8225</f>
        <v>0.00764525993883792</v>
      </c>
      <c r="D8225" s="1" t="n">
        <v>1.9626</v>
      </c>
      <c r="E8225" s="1" t="n">
        <f aca="false">LN(D8225)</f>
        <v>0.674270124790256</v>
      </c>
    </row>
    <row r="8226" customFormat="false" ht="15.75" hidden="false" customHeight="false" outlineLevel="0" collapsed="false">
      <c r="A8226" s="1" t="s">
        <v>1490</v>
      </c>
      <c r="B8226" s="1" t="n">
        <v>131.3</v>
      </c>
      <c r="C8226" s="1" t="n">
        <f aca="false">1/B8226</f>
        <v>0.00761614623000762</v>
      </c>
      <c r="D8226" s="1" t="n">
        <v>1.9099</v>
      </c>
      <c r="E8226" s="1" t="n">
        <f aca="false">LN(D8226)</f>
        <v>0.647050884666972</v>
      </c>
    </row>
    <row r="8227" customFormat="false" ht="15.75" hidden="false" customHeight="false" outlineLevel="0" collapsed="false">
      <c r="A8227" s="1" t="s">
        <v>1490</v>
      </c>
      <c r="B8227" s="1" t="n">
        <v>131.79</v>
      </c>
      <c r="C8227" s="1" t="n">
        <f aca="false">1/B8227</f>
        <v>0.00758782912208817</v>
      </c>
      <c r="D8227" s="1" t="n">
        <v>1.8599</v>
      </c>
      <c r="E8227" s="1" t="n">
        <f aca="false">LN(D8227)</f>
        <v>0.620522722838944</v>
      </c>
    </row>
    <row r="8228" customFormat="false" ht="15.75" hidden="false" customHeight="false" outlineLevel="0" collapsed="false">
      <c r="A8228" s="1" t="s">
        <v>1490</v>
      </c>
      <c r="B8228" s="1" t="n">
        <v>132.28</v>
      </c>
      <c r="C8228" s="1" t="n">
        <f aca="false">1/B8228</f>
        <v>0.00755972180223768</v>
      </c>
      <c r="D8228" s="1" t="n">
        <v>1.8123</v>
      </c>
      <c r="E8228" s="1" t="n">
        <f aca="false">LN(D8228)</f>
        <v>0.594596756830668</v>
      </c>
    </row>
    <row r="8229" customFormat="false" ht="15.75" hidden="false" customHeight="false" outlineLevel="0" collapsed="false">
      <c r="A8229" s="1" t="s">
        <v>1490</v>
      </c>
      <c r="B8229" s="1" t="n">
        <v>132.77</v>
      </c>
      <c r="C8229" s="1" t="n">
        <f aca="false">1/B8229</f>
        <v>0.00753182194772915</v>
      </c>
      <c r="D8229" s="1" t="n">
        <v>1.7669</v>
      </c>
      <c r="E8229" s="1" t="n">
        <f aca="false">LN(D8229)</f>
        <v>0.569226598640467</v>
      </c>
    </row>
    <row r="8230" customFormat="false" ht="15.75" hidden="false" customHeight="false" outlineLevel="0" collapsed="false">
      <c r="A8230" s="1" t="s">
        <v>1490</v>
      </c>
      <c r="B8230" s="1" t="n">
        <v>133.26</v>
      </c>
      <c r="C8230" s="1" t="n">
        <f aca="false">1/B8230</f>
        <v>0.0075041272699985</v>
      </c>
      <c r="D8230" s="1" t="n">
        <v>1.7236</v>
      </c>
      <c r="E8230" s="1" t="n">
        <f aca="false">LN(D8230)</f>
        <v>0.544415126759546</v>
      </c>
    </row>
    <row r="8231" customFormat="false" ht="15.75" hidden="false" customHeight="false" outlineLevel="0" collapsed="false">
      <c r="A8231" s="1" t="s">
        <v>1490</v>
      </c>
      <c r="B8231" s="1" t="n">
        <v>133.76</v>
      </c>
      <c r="C8231" s="1" t="n">
        <f aca="false">1/B8231</f>
        <v>0.00747607655502392</v>
      </c>
      <c r="D8231" s="1" t="n">
        <v>1.6823</v>
      </c>
      <c r="E8231" s="1" t="n">
        <f aca="false">LN(D8231)</f>
        <v>0.520161904742978</v>
      </c>
    </row>
    <row r="8232" customFormat="false" ht="15.75" hidden="false" customHeight="false" outlineLevel="0" collapsed="false">
      <c r="A8232" s="1" t="s">
        <v>1490</v>
      </c>
      <c r="B8232" s="1" t="n">
        <v>134.25</v>
      </c>
      <c r="C8232" s="1" t="n">
        <f aca="false">1/B8232</f>
        <v>0.0074487895716946</v>
      </c>
      <c r="D8232" s="1" t="n">
        <v>1.6427</v>
      </c>
      <c r="E8232" s="1" t="n">
        <f aca="false">LN(D8232)</f>
        <v>0.496341229565017</v>
      </c>
    </row>
    <row r="8233" customFormat="false" ht="15.75" hidden="false" customHeight="false" outlineLevel="0" collapsed="false">
      <c r="A8233" s="1" t="s">
        <v>1490</v>
      </c>
      <c r="B8233" s="1" t="n">
        <v>134.74</v>
      </c>
      <c r="C8233" s="1" t="n">
        <f aca="false">1/B8233</f>
        <v>0.00742170105388155</v>
      </c>
      <c r="D8233" s="1" t="n">
        <v>1.6049</v>
      </c>
      <c r="E8233" s="1" t="n">
        <f aca="false">LN(D8233)</f>
        <v>0.473061449344973</v>
      </c>
    </row>
    <row r="8234" customFormat="false" ht="15.75" hidden="false" customHeight="false" outlineLevel="0" collapsed="false">
      <c r="A8234" s="1" t="s">
        <v>1490</v>
      </c>
      <c r="B8234" s="1" t="n">
        <v>135.23</v>
      </c>
      <c r="C8234" s="1" t="n">
        <f aca="false">1/B8234</f>
        <v>0.00739480884419138</v>
      </c>
      <c r="D8234" s="1" t="n">
        <v>1.5686</v>
      </c>
      <c r="E8234" s="1" t="n">
        <f aca="false">LN(D8234)</f>
        <v>0.450183501796429</v>
      </c>
    </row>
    <row r="8235" customFormat="false" ht="15.75" hidden="false" customHeight="false" outlineLevel="0" collapsed="false">
      <c r="A8235" s="1" t="s">
        <v>1490</v>
      </c>
      <c r="B8235" s="1" t="n">
        <v>135.72</v>
      </c>
      <c r="C8235" s="1" t="n">
        <f aca="false">1/B8235</f>
        <v>0.00736811081638668</v>
      </c>
      <c r="D8235" s="1" t="n">
        <v>1.5338</v>
      </c>
      <c r="E8235" s="1" t="n">
        <f aca="false">LN(D8235)</f>
        <v>0.427748316348622</v>
      </c>
    </row>
    <row r="8236" customFormat="false" ht="15.75" hidden="false" customHeight="false" outlineLevel="0" collapsed="false">
      <c r="A8236" s="1" t="s">
        <v>1490</v>
      </c>
      <c r="B8236" s="1" t="n">
        <v>136.22</v>
      </c>
      <c r="C8236" s="1" t="n">
        <f aca="false">1/B8236</f>
        <v>0.00734106592277199</v>
      </c>
      <c r="D8236" s="1" t="n">
        <v>1.5004</v>
      </c>
      <c r="E8236" s="1" t="n">
        <f aca="false">LN(D8236)</f>
        <v>0.405731739225595</v>
      </c>
    </row>
    <row r="8237" customFormat="false" ht="15.75" hidden="false" customHeight="false" outlineLevel="0" collapsed="false">
      <c r="A8237" s="1" t="s">
        <v>1490</v>
      </c>
      <c r="B8237" s="1" t="n">
        <v>136.71</v>
      </c>
      <c r="C8237" s="1" t="n">
        <f aca="false">1/B8237</f>
        <v>0.00731475385853266</v>
      </c>
      <c r="D8237" s="1" t="n">
        <v>1.4683</v>
      </c>
      <c r="E8237" s="1" t="n">
        <f aca="false">LN(D8237)</f>
        <v>0.384105268986755</v>
      </c>
    </row>
    <row r="8238" customFormat="false" ht="15.75" hidden="false" customHeight="false" outlineLevel="0" collapsed="false">
      <c r="A8238" s="1" t="s">
        <v>1490</v>
      </c>
      <c r="B8238" s="1" t="n">
        <v>137.2</v>
      </c>
      <c r="C8238" s="1" t="n">
        <f aca="false">1/B8238</f>
        <v>0.00728862973760933</v>
      </c>
      <c r="D8238" s="1" t="n">
        <v>1.4375</v>
      </c>
      <c r="E8238" s="1" t="n">
        <f aca="false">LN(D8238)</f>
        <v>0.362905493689368</v>
      </c>
    </row>
    <row r="8239" customFormat="false" ht="15.75" hidden="false" customHeight="false" outlineLevel="0" collapsed="false">
      <c r="A8239" s="1" t="s">
        <v>1490</v>
      </c>
      <c r="B8239" s="1" t="n">
        <v>137.69</v>
      </c>
      <c r="C8239" s="1" t="n">
        <f aca="false">1/B8239</f>
        <v>0.00726269155348972</v>
      </c>
      <c r="D8239" s="1" t="n">
        <v>1.4078</v>
      </c>
      <c r="E8239" s="1" t="n">
        <f aca="false">LN(D8239)</f>
        <v>0.342028202191894</v>
      </c>
    </row>
    <row r="8240" customFormat="false" ht="15.75" hidden="false" customHeight="false" outlineLevel="0" collapsed="false">
      <c r="A8240" s="1" t="s">
        <v>1490</v>
      </c>
      <c r="B8240" s="1" t="n">
        <v>138.18</v>
      </c>
      <c r="C8240" s="1" t="n">
        <f aca="false">1/B8240</f>
        <v>0.00723693732812274</v>
      </c>
      <c r="D8240" s="1" t="n">
        <v>1.3791</v>
      </c>
      <c r="E8240" s="1" t="n">
        <f aca="false">LN(D8240)</f>
        <v>0.321431112498155</v>
      </c>
    </row>
    <row r="8241" customFormat="false" ht="15.75" hidden="false" customHeight="false" outlineLevel="0" collapsed="false">
      <c r="A8241" s="1" t="s">
        <v>1490</v>
      </c>
      <c r="B8241" s="1" t="n">
        <v>138.68</v>
      </c>
      <c r="C8241" s="1" t="n">
        <f aca="false">1/B8241</f>
        <v>0.00721084511104701</v>
      </c>
      <c r="D8241" s="1" t="n">
        <v>1.3516</v>
      </c>
      <c r="E8241" s="1" t="n">
        <f aca="false">LN(D8241)</f>
        <v>0.301289075857998</v>
      </c>
    </row>
    <row r="8242" customFormat="false" ht="15.75" hidden="false" customHeight="false" outlineLevel="0" collapsed="false">
      <c r="A8242" s="1" t="s">
        <v>1490</v>
      </c>
      <c r="B8242" s="1" t="n">
        <v>139.17</v>
      </c>
      <c r="C8242" s="1" t="n">
        <f aca="false">1/B8242</f>
        <v>0.0071854566357692</v>
      </c>
      <c r="D8242" s="1" t="n">
        <v>1.325</v>
      </c>
      <c r="E8242" s="1" t="n">
        <f aca="false">LN(D8242)</f>
        <v>0.281412459438185</v>
      </c>
    </row>
    <row r="8243" customFormat="false" ht="15.75" hidden="false" customHeight="false" outlineLevel="0" collapsed="false">
      <c r="A8243" s="1" t="s">
        <v>1490</v>
      </c>
      <c r="B8243" s="1" t="n">
        <v>139.66</v>
      </c>
      <c r="C8243" s="1" t="n">
        <f aca="false">1/B8243</f>
        <v>0.00716024631247315</v>
      </c>
      <c r="D8243" s="1" t="n">
        <v>1.2993</v>
      </c>
      <c r="E8243" s="1" t="n">
        <f aca="false">LN(D8243)</f>
        <v>0.261825657906554</v>
      </c>
    </row>
    <row r="8244" customFormat="false" ht="15.75" hidden="false" customHeight="false" outlineLevel="0" collapsed="false">
      <c r="A8244" s="1" t="s">
        <v>1490</v>
      </c>
      <c r="B8244" s="1" t="n">
        <v>140.15</v>
      </c>
      <c r="C8244" s="1" t="n">
        <f aca="false">1/B8244</f>
        <v>0.00713521227256511</v>
      </c>
      <c r="D8244" s="1" t="n">
        <v>1.2745</v>
      </c>
      <c r="E8244" s="1" t="n">
        <f aca="false">LN(D8244)</f>
        <v>0.242553944834033</v>
      </c>
    </row>
    <row r="8245" customFormat="false" ht="15.75" hidden="false" customHeight="false" outlineLevel="0" collapsed="false">
      <c r="A8245" s="1" t="s">
        <v>1490</v>
      </c>
      <c r="B8245" s="1" t="n">
        <v>140.64</v>
      </c>
      <c r="C8245" s="1" t="n">
        <f aca="false">1/B8245</f>
        <v>0.00711035267349261</v>
      </c>
      <c r="D8245" s="1" t="n">
        <v>1.2505</v>
      </c>
      <c r="E8245" s="1" t="n">
        <f aca="false">LN(D8245)</f>
        <v>0.223543471335537</v>
      </c>
    </row>
    <row r="8246" customFormat="false" ht="15.75" hidden="false" customHeight="false" outlineLevel="0" collapsed="false">
      <c r="A8246" s="1" t="s">
        <v>1490</v>
      </c>
      <c r="B8246" s="1" t="n">
        <v>141.14</v>
      </c>
      <c r="C8246" s="1" t="n">
        <f aca="false">1/B8246</f>
        <v>0.00708516366728072</v>
      </c>
      <c r="D8246" s="1" t="n">
        <v>1.2273</v>
      </c>
      <c r="E8246" s="1" t="n">
        <f aca="false">LN(D8246)</f>
        <v>0.204816634621326</v>
      </c>
    </row>
    <row r="8247" customFormat="false" ht="15.75" hidden="false" customHeight="false" outlineLevel="0" collapsed="false">
      <c r="A8247" s="1" t="s">
        <v>1490</v>
      </c>
      <c r="B8247" s="1" t="n">
        <v>141.63</v>
      </c>
      <c r="C8247" s="1" t="n">
        <f aca="false">1/B8247</f>
        <v>0.00706065099202147</v>
      </c>
      <c r="D8247" s="1" t="n">
        <v>1.2049</v>
      </c>
      <c r="E8247" s="1" t="n">
        <f aca="false">LN(D8247)</f>
        <v>0.186396575947094</v>
      </c>
    </row>
    <row r="8248" customFormat="false" ht="15.75" hidden="false" customHeight="false" outlineLevel="0" collapsed="false">
      <c r="A8248" s="1" t="s">
        <v>1490</v>
      </c>
      <c r="B8248" s="1" t="n">
        <v>142.12</v>
      </c>
      <c r="C8248" s="1" t="n">
        <f aca="false">1/B8248</f>
        <v>0.00703630734590487</v>
      </c>
      <c r="D8248" s="1" t="n">
        <v>1.1832</v>
      </c>
      <c r="E8248" s="1" t="n">
        <f aca="false">LN(D8248)</f>
        <v>0.168222632414453</v>
      </c>
    </row>
    <row r="8249" customFormat="false" ht="15.75" hidden="false" customHeight="false" outlineLevel="0" collapsed="false">
      <c r="A8249" s="1" t="s">
        <v>1490</v>
      </c>
      <c r="B8249" s="1" t="n">
        <v>142.61</v>
      </c>
      <c r="C8249" s="1" t="n">
        <f aca="false">1/B8249</f>
        <v>0.00701213098660683</v>
      </c>
      <c r="D8249" s="1" t="n">
        <v>1.1621</v>
      </c>
      <c r="E8249" s="1" t="n">
        <f aca="false">LN(D8249)</f>
        <v>0.150228713246691</v>
      </c>
    </row>
    <row r="8250" customFormat="false" ht="15.75" hidden="false" customHeight="false" outlineLevel="0" collapsed="false">
      <c r="A8250" s="1" t="s">
        <v>1490</v>
      </c>
      <c r="B8250" s="1" t="n">
        <v>143.1</v>
      </c>
      <c r="C8250" s="1" t="n">
        <f aca="false">1/B8250</f>
        <v>0.00698812019566737</v>
      </c>
      <c r="D8250" s="1" t="n">
        <v>1.1417</v>
      </c>
      <c r="E8250" s="1" t="n">
        <f aca="false">LN(D8250)</f>
        <v>0.132518379700144</v>
      </c>
    </row>
    <row r="8251" customFormat="false" ht="15.75" hidden="false" customHeight="false" outlineLevel="0" collapsed="false">
      <c r="A8251" s="1" t="s">
        <v>1490</v>
      </c>
      <c r="B8251" s="1" t="n">
        <v>143.6</v>
      </c>
      <c r="C8251" s="1" t="n">
        <f aca="false">1/B8251</f>
        <v>0.00696378830083566</v>
      </c>
      <c r="D8251" s="1" t="n">
        <v>1.122</v>
      </c>
      <c r="E8251" s="1" t="n">
        <f aca="false">LN(D8251)</f>
        <v>0.115112807100505</v>
      </c>
    </row>
    <row r="8252" customFormat="false" ht="15.75" hidden="false" customHeight="false" outlineLevel="0" collapsed="false">
      <c r="A8252" s="1" t="s">
        <v>1490</v>
      </c>
      <c r="B8252" s="1" t="n">
        <v>144.09</v>
      </c>
      <c r="C8252" s="1" t="n">
        <f aca="false">1/B8252</f>
        <v>0.00694010687764592</v>
      </c>
      <c r="D8252" s="1" t="n">
        <v>1.1028</v>
      </c>
      <c r="E8252" s="1" t="n">
        <f aca="false">LN(D8252)</f>
        <v>0.0978524001675046</v>
      </c>
    </row>
    <row r="8253" customFormat="false" ht="15.75" hidden="false" customHeight="false" outlineLevel="0" collapsed="false">
      <c r="A8253" s="1" t="s">
        <v>1490</v>
      </c>
      <c r="B8253" s="1" t="n">
        <v>144.58</v>
      </c>
      <c r="C8253" s="1" t="n">
        <f aca="false">1/B8253</f>
        <v>0.00691658597316365</v>
      </c>
      <c r="D8253" s="1" t="n">
        <v>1.0842</v>
      </c>
      <c r="E8253" s="1" t="n">
        <f aca="false">LN(D8253)</f>
        <v>0.0808423878441008</v>
      </c>
    </row>
    <row r="8254" customFormat="false" ht="15.75" hidden="false" customHeight="false" outlineLevel="0" collapsed="false">
      <c r="A8254" s="1" t="s">
        <v>1490</v>
      </c>
      <c r="B8254" s="1" t="n">
        <v>145.07</v>
      </c>
      <c r="C8254" s="1" t="n">
        <f aca="false">1/B8254</f>
        <v>0.00689322396084649</v>
      </c>
      <c r="D8254" s="1" t="n">
        <v>1.0661</v>
      </c>
      <c r="E8254" s="1" t="n">
        <f aca="false">LN(D8254)</f>
        <v>0.0640071299742924</v>
      </c>
    </row>
    <row r="8255" customFormat="false" ht="15.75" hidden="false" customHeight="false" outlineLevel="0" collapsed="false">
      <c r="A8255" s="1" t="s">
        <v>1490</v>
      </c>
      <c r="B8255" s="1" t="n">
        <v>145.56</v>
      </c>
      <c r="C8255" s="1" t="n">
        <f aca="false">1/B8255</f>
        <v>0.00687001923605386</v>
      </c>
      <c r="D8255" s="1" t="n">
        <v>1.0486</v>
      </c>
      <c r="E8255" s="1" t="n">
        <f aca="false">LN(D8255)</f>
        <v>0.0474559411562953</v>
      </c>
    </row>
    <row r="8256" customFormat="false" ht="15.75" hidden="false" customHeight="false" outlineLevel="0" collapsed="false">
      <c r="A8256" s="1" t="s">
        <v>1490</v>
      </c>
      <c r="B8256" s="1" t="n">
        <v>146.05</v>
      </c>
      <c r="C8256" s="1" t="n">
        <f aca="false">1/B8256</f>
        <v>0.00684697021567956</v>
      </c>
      <c r="D8256" s="1" t="n">
        <v>1.0315</v>
      </c>
      <c r="E8256" s="1" t="n">
        <f aca="false">LN(D8256)</f>
        <v>0.0310140535291695</v>
      </c>
    </row>
    <row r="8257" customFormat="false" ht="15.75" hidden="false" customHeight="false" outlineLevel="0" collapsed="false">
      <c r="A8257" s="1" t="s">
        <v>1490</v>
      </c>
      <c r="B8257" s="1" t="n">
        <v>146.55</v>
      </c>
      <c r="C8257" s="1" t="n">
        <f aca="false">1/B8257</f>
        <v>0.00682360968952576</v>
      </c>
      <c r="D8257" s="1" t="n">
        <v>1.0149</v>
      </c>
      <c r="E8257" s="1" t="n">
        <f aca="false">LN(D8257)</f>
        <v>0.0147900854726353</v>
      </c>
    </row>
    <row r="8258" customFormat="false" ht="15.75" hidden="false" customHeight="false" outlineLevel="0" collapsed="false">
      <c r="A8258" s="1" t="s">
        <v>1490</v>
      </c>
      <c r="B8258" s="1" t="n">
        <v>147.04</v>
      </c>
      <c r="C8258" s="1" t="n">
        <f aca="false">1/B8258</f>
        <v>0.00680087051142546</v>
      </c>
      <c r="D8258" s="1" t="n">
        <v>0.99881</v>
      </c>
      <c r="E8258" s="1" t="n">
        <f aca="false">LN(D8258)</f>
        <v>-0.0011907086122215</v>
      </c>
    </row>
    <row r="8259" customFormat="false" ht="15.75" hidden="false" customHeight="false" outlineLevel="0" collapsed="false">
      <c r="A8259" s="1" t="s">
        <v>1490</v>
      </c>
      <c r="B8259" s="1" t="n">
        <v>147.53</v>
      </c>
      <c r="C8259" s="1" t="n">
        <f aca="false">1/B8259</f>
        <v>0.00677828238324409</v>
      </c>
      <c r="D8259" s="1" t="n">
        <v>0.98312</v>
      </c>
      <c r="E8259" s="1" t="n">
        <f aca="false">LN(D8259)</f>
        <v>-0.0170240910057953</v>
      </c>
    </row>
    <row r="8260" customFormat="false" ht="15.75" hidden="false" customHeight="false" outlineLevel="0" collapsed="false">
      <c r="A8260" s="1" t="s">
        <v>1490</v>
      </c>
      <c r="B8260" s="1" t="n">
        <v>148.02</v>
      </c>
      <c r="C8260" s="1" t="n">
        <f aca="false">1/B8260</f>
        <v>0.00675584380489123</v>
      </c>
      <c r="D8260" s="1" t="n">
        <v>0.96786</v>
      </c>
      <c r="E8260" s="1" t="n">
        <f aca="false">LN(D8260)</f>
        <v>-0.0326678302643856</v>
      </c>
    </row>
    <row r="8261" customFormat="false" ht="15.75" hidden="false" customHeight="false" outlineLevel="0" collapsed="false">
      <c r="A8261" s="1" t="s">
        <v>1490</v>
      </c>
      <c r="B8261" s="1" t="n">
        <v>148.51</v>
      </c>
      <c r="C8261" s="1" t="n">
        <f aca="false">1/B8261</f>
        <v>0.00673355329607434</v>
      </c>
      <c r="D8261" s="1" t="n">
        <v>0.953</v>
      </c>
      <c r="E8261" s="1" t="n">
        <f aca="false">LN(D8261)</f>
        <v>-0.048140375327935</v>
      </c>
    </row>
    <row r="8262" customFormat="false" ht="15.75" hidden="false" customHeight="false" outlineLevel="0" collapsed="false">
      <c r="A8262" s="1" t="s">
        <v>1490</v>
      </c>
      <c r="B8262" s="1" t="n">
        <v>149.01</v>
      </c>
      <c r="C8262" s="1" t="n">
        <f aca="false">1/B8262</f>
        <v>0.00671095899604053</v>
      </c>
      <c r="D8262" s="1" t="n">
        <v>0.93853</v>
      </c>
      <c r="E8262" s="1" t="n">
        <f aca="false">LN(D8262)</f>
        <v>-0.0634404575634354</v>
      </c>
    </row>
    <row r="8263" customFormat="false" ht="15.75" hidden="false" customHeight="false" outlineLevel="0" collapsed="false">
      <c r="A8263" s="1" t="s">
        <v>1490</v>
      </c>
      <c r="B8263" s="1" t="n">
        <v>149.5</v>
      </c>
      <c r="C8263" s="1" t="n">
        <f aca="false">1/B8263</f>
        <v>0.00668896321070234</v>
      </c>
      <c r="D8263" s="1" t="n">
        <v>0.92443</v>
      </c>
      <c r="E8263" s="1" t="n">
        <f aca="false">LN(D8263)</f>
        <v>-0.0785779476251738</v>
      </c>
    </row>
    <row r="8264" customFormat="false" ht="15.75" hidden="false" customHeight="false" outlineLevel="0" collapsed="false">
      <c r="A8264" s="1" t="s">
        <v>1490</v>
      </c>
      <c r="B8264" s="1" t="n">
        <v>149.99</v>
      </c>
      <c r="C8264" s="1" t="n">
        <f aca="false">1/B8264</f>
        <v>0.00666711114074272</v>
      </c>
      <c r="D8264" s="1" t="n">
        <v>0.91069</v>
      </c>
      <c r="E8264" s="1" t="n">
        <f aca="false">LN(D8264)</f>
        <v>-0.093552725033052</v>
      </c>
    </row>
    <row r="8265" customFormat="false" ht="15.75" hidden="false" customHeight="false" outlineLevel="0" collapsed="false">
      <c r="A8265" s="1" t="s">
        <v>1490</v>
      </c>
      <c r="B8265" s="1" t="n">
        <v>150.48</v>
      </c>
      <c r="C8265" s="1" t="n">
        <f aca="false">1/B8265</f>
        <v>0.00664540138224349</v>
      </c>
      <c r="D8265" s="1" t="n">
        <v>0.8973</v>
      </c>
      <c r="E8265" s="1" t="n">
        <f aca="false">LN(D8265)</f>
        <v>-0.108365024678125</v>
      </c>
    </row>
    <row r="8266" customFormat="false" ht="15.75" hidden="false" customHeight="false" outlineLevel="0" collapsed="false">
      <c r="A8266" s="1" t="s">
        <v>1490</v>
      </c>
      <c r="B8266" s="1" t="n">
        <v>150.97</v>
      </c>
      <c r="C8266" s="1" t="n">
        <f aca="false">1/B8266</f>
        <v>0.00662383254951315</v>
      </c>
      <c r="D8266" s="1" t="n">
        <v>0.88424</v>
      </c>
      <c r="E8266" s="1" t="n">
        <f aca="false">LN(D8266)</f>
        <v>-0.123026759979437</v>
      </c>
    </row>
    <row r="8267" customFormat="false" ht="15.75" hidden="false" customHeight="false" outlineLevel="0" collapsed="false">
      <c r="A8267" s="1" t="s">
        <v>1490</v>
      </c>
      <c r="B8267" s="1" t="n">
        <v>151.47</v>
      </c>
      <c r="C8267" s="1" t="n">
        <f aca="false">1/B8267</f>
        <v>0.00660196738628111</v>
      </c>
      <c r="D8267" s="1" t="n">
        <v>0.8715</v>
      </c>
      <c r="E8267" s="1" t="n">
        <f aca="false">LN(D8267)</f>
        <v>-0.137539414022061</v>
      </c>
    </row>
    <row r="8268" customFormat="false" ht="15.75" hidden="false" customHeight="false" outlineLevel="0" collapsed="false">
      <c r="A8268" s="1" t="s">
        <v>1490</v>
      </c>
      <c r="B8268" s="1" t="n">
        <v>151.96</v>
      </c>
      <c r="C8268" s="1" t="n">
        <f aca="false">1/B8268</f>
        <v>0.00658067912608581</v>
      </c>
      <c r="D8268" s="1" t="n">
        <v>0.85907</v>
      </c>
      <c r="E8268" s="1" t="n">
        <f aca="false">LN(D8268)</f>
        <v>-0.151904870213247</v>
      </c>
    </row>
    <row r="8269" customFormat="false" ht="15.75" hidden="false" customHeight="false" outlineLevel="0" collapsed="false">
      <c r="A8269" s="1" t="s">
        <v>1490</v>
      </c>
      <c r="B8269" s="1" t="n">
        <v>152.45</v>
      </c>
      <c r="C8269" s="1" t="n">
        <f aca="false">1/B8269</f>
        <v>0.00655952771400459</v>
      </c>
      <c r="D8269" s="1" t="n">
        <v>0.84694</v>
      </c>
      <c r="E8269" s="1" t="n">
        <f aca="false">LN(D8269)</f>
        <v>-0.166125425091887</v>
      </c>
    </row>
    <row r="8270" customFormat="false" ht="15.75" hidden="false" customHeight="false" outlineLevel="0" collapsed="false">
      <c r="A8270" s="1" t="s">
        <v>1490</v>
      </c>
      <c r="B8270" s="1" t="n">
        <v>152.94</v>
      </c>
      <c r="C8270" s="1" t="n">
        <f aca="false">1/B8270</f>
        <v>0.00653851183470642</v>
      </c>
      <c r="D8270" s="1" t="n">
        <v>0.8351</v>
      </c>
      <c r="E8270" s="1" t="n">
        <f aca="false">LN(D8270)</f>
        <v>-0.180203800822953</v>
      </c>
    </row>
    <row r="8271" customFormat="false" ht="15.75" hidden="false" customHeight="false" outlineLevel="0" collapsed="false">
      <c r="A8271" s="1" t="s">
        <v>1490</v>
      </c>
      <c r="B8271" s="1" t="n">
        <v>153.43</v>
      </c>
      <c r="C8271" s="1" t="n">
        <f aca="false">1/B8271</f>
        <v>0.00651763018966304</v>
      </c>
      <c r="D8271" s="1" t="n">
        <v>0.82354</v>
      </c>
      <c r="E8271" s="1" t="n">
        <f aca="false">LN(D8271)</f>
        <v>-0.194143157380753</v>
      </c>
    </row>
    <row r="8272" customFormat="false" ht="15.75" hidden="false" customHeight="false" outlineLevel="0" collapsed="false">
      <c r="A8272" s="1" t="s">
        <v>1490</v>
      </c>
      <c r="B8272" s="1" t="n">
        <v>153.93</v>
      </c>
      <c r="C8272" s="1" t="n">
        <f aca="false">1/B8272</f>
        <v>0.00649645942961086</v>
      </c>
      <c r="D8272" s="1" t="n">
        <v>0.81224</v>
      </c>
      <c r="E8272" s="1" t="n">
        <f aca="false">LN(D8272)</f>
        <v>-0.20795941598917</v>
      </c>
    </row>
    <row r="8273" customFormat="false" ht="15.75" hidden="false" customHeight="false" outlineLevel="0" collapsed="false">
      <c r="A8273" s="1" t="s">
        <v>1490</v>
      </c>
      <c r="B8273" s="1" t="n">
        <v>154.42</v>
      </c>
      <c r="C8273" s="1" t="n">
        <f aca="false">1/B8273</f>
        <v>0.00647584509778526</v>
      </c>
      <c r="D8273" s="1" t="n">
        <v>0.80121</v>
      </c>
      <c r="E8273" s="1" t="n">
        <f aca="false">LN(D8273)</f>
        <v>-0.221632193990282</v>
      </c>
    </row>
    <row r="8274" customFormat="false" ht="15.75" hidden="false" customHeight="false" outlineLevel="0" collapsed="false">
      <c r="A8274" s="1" t="s">
        <v>1490</v>
      </c>
      <c r="B8274" s="1" t="n">
        <v>154.91</v>
      </c>
      <c r="C8274" s="1" t="n">
        <f aca="false">1/B8274</f>
        <v>0.00645536117745788</v>
      </c>
      <c r="D8274" s="1" t="n">
        <v>0.79043</v>
      </c>
      <c r="E8274" s="1" t="n">
        <f aca="false">LN(D8274)</f>
        <v>-0.235178177803182</v>
      </c>
    </row>
    <row r="8275" customFormat="false" ht="15.75" hidden="false" customHeight="false" outlineLevel="0" collapsed="false">
      <c r="A8275" s="1" t="s">
        <v>1490</v>
      </c>
      <c r="B8275" s="1" t="n">
        <v>155.4</v>
      </c>
      <c r="C8275" s="1" t="n">
        <f aca="false">1/B8275</f>
        <v>0.00643500643500644</v>
      </c>
      <c r="D8275" s="1" t="n">
        <v>0.77989</v>
      </c>
      <c r="E8275" s="1" t="n">
        <f aca="false">LN(D8275)</f>
        <v>-0.248602394884576</v>
      </c>
    </row>
    <row r="8276" customFormat="false" ht="15.75" hidden="false" customHeight="false" outlineLevel="0" collapsed="false">
      <c r="A8276" s="1" t="s">
        <v>1490</v>
      </c>
      <c r="B8276" s="1" t="n">
        <v>155.89</v>
      </c>
      <c r="C8276" s="1" t="n">
        <f aca="false">1/B8276</f>
        <v>0.00641477965231894</v>
      </c>
      <c r="D8276" s="1" t="n">
        <v>0.76958</v>
      </c>
      <c r="E8276" s="1" t="n">
        <f aca="false">LN(D8276)</f>
        <v>-0.261910367494309</v>
      </c>
    </row>
    <row r="8277" customFormat="false" ht="15.75" hidden="false" customHeight="false" outlineLevel="0" collapsed="false">
      <c r="A8277" s="1" t="s">
        <v>1490</v>
      </c>
      <c r="B8277" s="1" t="n">
        <v>156.39</v>
      </c>
      <c r="C8277" s="1" t="n">
        <f aca="false">1/B8277</f>
        <v>0.00639427073342285</v>
      </c>
      <c r="D8277" s="1" t="n">
        <v>0.7595</v>
      </c>
      <c r="E8277" s="1" t="n">
        <f aca="false">LN(D8277)</f>
        <v>-0.27509495694631</v>
      </c>
    </row>
    <row r="8278" customFormat="false" ht="15.75" hidden="false" customHeight="false" outlineLevel="0" collapsed="false">
      <c r="A8278" s="1" t="s">
        <v>1490</v>
      </c>
      <c r="B8278" s="1" t="n">
        <v>156.88</v>
      </c>
      <c r="C8278" s="1" t="n">
        <f aca="false">1/B8278</f>
        <v>0.00637429882712902</v>
      </c>
      <c r="D8278" s="1" t="n">
        <v>0.74965</v>
      </c>
      <c r="E8278" s="1" t="n">
        <f aca="false">LN(D8278)</f>
        <v>-0.288148848041225</v>
      </c>
    </row>
    <row r="8279" customFormat="false" ht="15.75" hidden="false" customHeight="false" outlineLevel="0" collapsed="false">
      <c r="A8279" s="1" t="s">
        <v>1490</v>
      </c>
      <c r="B8279" s="1" t="n">
        <v>157.37</v>
      </c>
      <c r="C8279" s="1" t="n">
        <f aca="false">1/B8279</f>
        <v>0.00635445129313084</v>
      </c>
      <c r="D8279" s="1" t="n">
        <v>0.74</v>
      </c>
      <c r="E8279" s="1" t="n">
        <f aca="false">LN(D8279)</f>
        <v>-0.301105092783922</v>
      </c>
    </row>
    <row r="8280" customFormat="false" ht="15.75" hidden="false" customHeight="false" outlineLevel="0" collapsed="false">
      <c r="A8280" s="1" t="s">
        <v>1490</v>
      </c>
      <c r="B8280" s="1" t="n">
        <v>157.86</v>
      </c>
      <c r="C8280" s="1" t="n">
        <f aca="false">1/B8280</f>
        <v>0.00633472697326745</v>
      </c>
      <c r="D8280" s="1" t="n">
        <v>0.73057</v>
      </c>
      <c r="E8280" s="1" t="n">
        <f aca="false">LN(D8280)</f>
        <v>-0.313930227604734</v>
      </c>
    </row>
    <row r="8281" customFormat="false" ht="15.75" hidden="false" customHeight="false" outlineLevel="0" collapsed="false">
      <c r="A8281" s="1" t="s">
        <v>1490</v>
      </c>
      <c r="B8281" s="1" t="n">
        <v>158.35</v>
      </c>
      <c r="C8281" s="1" t="n">
        <f aca="false">1/B8281</f>
        <v>0.00631512472371329</v>
      </c>
      <c r="D8281" s="1" t="n">
        <v>0.72133</v>
      </c>
      <c r="E8281" s="1" t="n">
        <f aca="false">LN(D8281)</f>
        <v>-0.32665854876664</v>
      </c>
    </row>
    <row r="8282" customFormat="false" ht="15.75" hidden="false" customHeight="false" outlineLevel="0" collapsed="false">
      <c r="A8282" s="1" t="s">
        <v>1490</v>
      </c>
      <c r="B8282" s="1" t="n">
        <v>158.85</v>
      </c>
      <c r="C8282" s="1" t="n">
        <f aca="false">1/B8282</f>
        <v>0.00629524708844822</v>
      </c>
      <c r="D8282" s="1" t="n">
        <v>0.71229</v>
      </c>
      <c r="E8282" s="1" t="n">
        <f aca="false">LN(D8282)</f>
        <v>-0.339270147124876</v>
      </c>
    </row>
    <row r="8283" customFormat="false" ht="15.75" hidden="false" customHeight="false" outlineLevel="0" collapsed="false">
      <c r="A8283" s="1" t="s">
        <v>1490</v>
      </c>
      <c r="B8283" s="1" t="n">
        <v>159.34</v>
      </c>
      <c r="C8283" s="1" t="n">
        <f aca="false">1/B8283</f>
        <v>0.0062758880381574</v>
      </c>
      <c r="D8283" s="1" t="n">
        <v>0.70343</v>
      </c>
      <c r="E8283" s="1" t="n">
        <f aca="false">LN(D8283)</f>
        <v>-0.351786909865956</v>
      </c>
    </row>
    <row r="8284" customFormat="false" ht="15.75" hidden="false" customHeight="false" outlineLevel="0" collapsed="false">
      <c r="A8284" s="1" t="s">
        <v>1490</v>
      </c>
      <c r="B8284" s="1" t="n">
        <v>159.83</v>
      </c>
      <c r="C8284" s="1" t="n">
        <f aca="false">1/B8284</f>
        <v>0.00625664768816868</v>
      </c>
      <c r="D8284" s="1" t="n">
        <v>0.69476</v>
      </c>
      <c r="E8284" s="1" t="n">
        <f aca="false">LN(D8284)</f>
        <v>-0.364188816796325</v>
      </c>
    </row>
    <row r="8285" customFormat="false" ht="15.75" hidden="false" customHeight="false" outlineLevel="0" collapsed="false">
      <c r="A8285" s="1" t="s">
        <v>1490</v>
      </c>
      <c r="B8285" s="1" t="n">
        <v>160.32</v>
      </c>
      <c r="C8285" s="1" t="n">
        <f aca="false">1/B8285</f>
        <v>0.0062375249500998</v>
      </c>
      <c r="D8285" s="1" t="n">
        <v>0.68626</v>
      </c>
      <c r="E8285" s="1" t="n">
        <f aca="false">LN(D8285)</f>
        <v>-0.376498714315568</v>
      </c>
    </row>
    <row r="8286" customFormat="false" ht="15.75" hidden="false" customHeight="false" outlineLevel="0" collapsed="false">
      <c r="A8286" s="1" t="s">
        <v>1490</v>
      </c>
      <c r="B8286" s="1" t="n">
        <v>160.81</v>
      </c>
      <c r="C8286" s="1" t="n">
        <f aca="false">1/B8286</f>
        <v>0.00621851874883403</v>
      </c>
      <c r="D8286" s="1" t="n">
        <v>0.67794</v>
      </c>
      <c r="E8286" s="1" t="n">
        <f aca="false">LN(D8286)</f>
        <v>-0.388696490532927</v>
      </c>
    </row>
    <row r="8287" customFormat="false" ht="15.75" hidden="false" customHeight="false" outlineLevel="0" collapsed="false">
      <c r="A8287" s="1" t="s">
        <v>1490</v>
      </c>
      <c r="B8287" s="1" t="n">
        <v>161.31</v>
      </c>
      <c r="C8287" s="1" t="n">
        <f aca="false">1/B8287</f>
        <v>0.00619924369226954</v>
      </c>
      <c r="D8287" s="1" t="n">
        <v>0.66978</v>
      </c>
      <c r="E8287" s="1" t="n">
        <f aca="false">LN(D8287)</f>
        <v>-0.400805978727441</v>
      </c>
    </row>
    <row r="8288" customFormat="false" ht="15.75" hidden="false" customHeight="false" outlineLevel="0" collapsed="false">
      <c r="A8288" s="1" t="s">
        <v>1490</v>
      </c>
      <c r="B8288" s="1" t="n">
        <v>161.8</v>
      </c>
      <c r="C8288" s="1" t="n">
        <f aca="false">1/B8288</f>
        <v>0.00618046971569839</v>
      </c>
      <c r="D8288" s="1" t="n">
        <v>0.66179</v>
      </c>
      <c r="E8288" s="1" t="n">
        <f aca="false">LN(D8288)</f>
        <v>-0.412806993914015</v>
      </c>
    </row>
    <row r="8289" customFormat="false" ht="15.75" hidden="false" customHeight="false" outlineLevel="0" collapsed="false">
      <c r="A8289" s="1" t="s">
        <v>1490</v>
      </c>
      <c r="B8289" s="1" t="n">
        <v>162.29</v>
      </c>
      <c r="C8289" s="1" t="n">
        <f aca="false">1/B8289</f>
        <v>0.00616180910715386</v>
      </c>
      <c r="D8289" s="1" t="n">
        <v>0.65395</v>
      </c>
      <c r="E8289" s="1" t="n">
        <f aca="false">LN(D8289)</f>
        <v>-0.424724383046976</v>
      </c>
    </row>
    <row r="8290" customFormat="false" ht="15.75" hidden="false" customHeight="false" outlineLevel="0" collapsed="false">
      <c r="A8290" s="1" t="s">
        <v>1490</v>
      </c>
      <c r="B8290" s="1" t="n">
        <v>162.78</v>
      </c>
      <c r="C8290" s="1" t="n">
        <f aca="false">1/B8290</f>
        <v>0.00614326084285539</v>
      </c>
      <c r="D8290" s="1" t="n">
        <v>0.64627</v>
      </c>
      <c r="E8290" s="1" t="n">
        <f aca="false">LN(D8290)</f>
        <v>-0.436537905862742</v>
      </c>
    </row>
    <row r="8291" customFormat="false" ht="15.75" hidden="false" customHeight="false" outlineLevel="0" collapsed="false">
      <c r="A8291" s="1" t="s">
        <v>1490</v>
      </c>
      <c r="B8291" s="1" t="n">
        <v>163.27</v>
      </c>
      <c r="C8291" s="1" t="n">
        <f aca="false">1/B8291</f>
        <v>0.00612482391131255</v>
      </c>
      <c r="D8291" s="1" t="n">
        <v>0.63874</v>
      </c>
      <c r="E8291" s="1" t="n">
        <f aca="false">LN(D8291)</f>
        <v>-0.448257793164072</v>
      </c>
    </row>
    <row r="8292" customFormat="false" ht="15.75" hidden="false" customHeight="false" outlineLevel="0" collapsed="false">
      <c r="A8292" s="1" t="s">
        <v>1490</v>
      </c>
      <c r="B8292" s="1" t="n">
        <v>163.77</v>
      </c>
      <c r="C8292" s="1" t="n">
        <f aca="false">1/B8292</f>
        <v>0.00610612444281614</v>
      </c>
      <c r="D8292" s="1" t="n">
        <v>0.63135</v>
      </c>
      <c r="E8292" s="1" t="n">
        <f aca="false">LN(D8292)</f>
        <v>-0.459894895097448</v>
      </c>
    </row>
    <row r="8293" customFormat="false" ht="15.75" hidden="false" customHeight="false" outlineLevel="0" collapsed="false">
      <c r="A8293" s="1" t="s">
        <v>1490</v>
      </c>
      <c r="B8293" s="1" t="n">
        <v>164.26</v>
      </c>
      <c r="C8293" s="1" t="n">
        <f aca="false">1/B8293</f>
        <v>0.00608790941190795</v>
      </c>
      <c r="D8293" s="1" t="n">
        <v>0.6241</v>
      </c>
      <c r="E8293" s="1" t="n">
        <f aca="false">LN(D8293)</f>
        <v>-0.47144466704214</v>
      </c>
    </row>
    <row r="8294" customFormat="false" ht="15.75" hidden="false" customHeight="false" outlineLevel="0" collapsed="false">
      <c r="A8294" s="1" t="s">
        <v>1490</v>
      </c>
      <c r="B8294" s="1" t="n">
        <v>164.75</v>
      </c>
      <c r="C8294" s="1" t="n">
        <f aca="false">1/B8294</f>
        <v>0.00606980273141123</v>
      </c>
      <c r="D8294" s="1" t="n">
        <v>0.61698</v>
      </c>
      <c r="E8294" s="1" t="n">
        <f aca="false">LN(D8294)</f>
        <v>-0.482918670512983</v>
      </c>
    </row>
    <row r="8295" customFormat="false" ht="15.75" hidden="false" customHeight="false" outlineLevel="0" collapsed="false">
      <c r="A8295" s="1" t="s">
        <v>1490</v>
      </c>
      <c r="B8295" s="1" t="n">
        <v>165.24</v>
      </c>
      <c r="C8295" s="1" t="n">
        <f aca="false">1/B8295</f>
        <v>0.00605180343742435</v>
      </c>
      <c r="D8295" s="1" t="n">
        <v>0.61</v>
      </c>
      <c r="E8295" s="1" t="n">
        <f aca="false">LN(D8295)</f>
        <v>-0.49429632181478</v>
      </c>
    </row>
    <row r="8296" customFormat="false" ht="15.75" hidden="false" customHeight="false" outlineLevel="0" collapsed="false">
      <c r="A8296" s="1" t="s">
        <v>1490</v>
      </c>
      <c r="B8296" s="1" t="n">
        <v>165.73</v>
      </c>
      <c r="C8296" s="1" t="n">
        <f aca="false">1/B8296</f>
        <v>0.00603391057744524</v>
      </c>
      <c r="D8296" s="1" t="n">
        <v>0.60315</v>
      </c>
      <c r="E8296" s="1" t="n">
        <f aca="false">LN(D8296)</f>
        <v>-0.505589356970744</v>
      </c>
    </row>
    <row r="8297" customFormat="false" ht="15.75" hidden="false" customHeight="false" outlineLevel="0" collapsed="false">
      <c r="A8297" s="1" t="s">
        <v>1490</v>
      </c>
      <c r="B8297" s="1" t="n">
        <v>166.23</v>
      </c>
      <c r="C8297" s="1" t="n">
        <f aca="false">1/B8297</f>
        <v>0.00601576129459183</v>
      </c>
      <c r="D8297" s="1" t="n">
        <v>0.59643</v>
      </c>
      <c r="E8297" s="1" t="n">
        <f aca="false">LN(D8297)</f>
        <v>-0.516793395545782</v>
      </c>
    </row>
    <row r="8298" customFormat="false" ht="15.75" hidden="false" customHeight="false" outlineLevel="0" collapsed="false">
      <c r="A8298" s="1" t="s">
        <v>1490</v>
      </c>
      <c r="B8298" s="1" t="n">
        <v>166.72</v>
      </c>
      <c r="C8298" s="1" t="n">
        <f aca="false">1/B8298</f>
        <v>0.00599808061420346</v>
      </c>
      <c r="D8298" s="1" t="n">
        <v>0.58983</v>
      </c>
      <c r="E8298" s="1" t="n">
        <f aca="false">LN(D8298)</f>
        <v>-0.527920919194628</v>
      </c>
    </row>
    <row r="8299" customFormat="false" ht="15.75" hidden="false" customHeight="false" outlineLevel="0" collapsed="false">
      <c r="A8299" s="1" t="s">
        <v>1490</v>
      </c>
      <c r="B8299" s="1" t="n">
        <v>167.21</v>
      </c>
      <c r="C8299" s="1" t="n">
        <f aca="false">1/B8299</f>
        <v>0.00598050355839962</v>
      </c>
      <c r="D8299" s="1" t="n">
        <v>0.58334</v>
      </c>
      <c r="E8299" s="1" t="n">
        <f aca="false">LN(D8299)</f>
        <v>-0.538985072226564</v>
      </c>
    </row>
    <row r="8300" customFormat="false" ht="15.75" hidden="false" customHeight="false" outlineLevel="0" collapsed="false">
      <c r="A8300" s="1" t="s">
        <v>1490</v>
      </c>
      <c r="B8300" s="1" t="n">
        <v>167.7</v>
      </c>
      <c r="C8300" s="1" t="n">
        <f aca="false">1/B8300</f>
        <v>0.00596302921884317</v>
      </c>
      <c r="D8300" s="1" t="n">
        <v>0.57698</v>
      </c>
      <c r="E8300" s="1" t="n">
        <f aca="false">LN(D8300)</f>
        <v>-0.549947675119841</v>
      </c>
    </row>
    <row r="8301" customFormat="false" ht="15.75" hidden="false" customHeight="false" outlineLevel="0" collapsed="false">
      <c r="A8301" s="1" t="s">
        <v>1490</v>
      </c>
      <c r="B8301" s="1" t="n">
        <v>168.19</v>
      </c>
      <c r="C8301" s="1" t="n">
        <f aca="false">1/B8301</f>
        <v>0.00594565669778227</v>
      </c>
      <c r="D8301" s="1" t="n">
        <v>0.57073</v>
      </c>
      <c r="E8301" s="1" t="n">
        <f aca="false">LN(D8301)</f>
        <v>-0.560839035798118</v>
      </c>
    </row>
    <row r="8302" customFormat="false" ht="15.75" hidden="false" customHeight="false" outlineLevel="0" collapsed="false">
      <c r="A8302" s="1" t="s">
        <v>1490</v>
      </c>
      <c r="B8302" s="1" t="n">
        <v>168.69</v>
      </c>
      <c r="C8302" s="1" t="n">
        <f aca="false">1/B8302</f>
        <v>0.00592803367123125</v>
      </c>
      <c r="D8302" s="1" t="n">
        <v>0.56458</v>
      </c>
      <c r="E8302" s="1" t="n">
        <f aca="false">LN(D8302)</f>
        <v>-0.571673187098705</v>
      </c>
    </row>
    <row r="8303" customFormat="false" ht="15.75" hidden="false" customHeight="false" outlineLevel="0" collapsed="false">
      <c r="A8303" s="1" t="s">
        <v>1490</v>
      </c>
      <c r="B8303" s="1" t="n">
        <v>169.18</v>
      </c>
      <c r="C8303" s="1" t="n">
        <f aca="false">1/B8303</f>
        <v>0.00591086416834141</v>
      </c>
      <c r="D8303" s="1" t="n">
        <v>0.55855</v>
      </c>
      <c r="E8303" s="1" t="n">
        <f aca="false">LN(D8303)</f>
        <v>-0.58241113896528</v>
      </c>
    </row>
    <row r="8304" customFormat="false" ht="15.75" hidden="false" customHeight="false" outlineLevel="0" collapsed="false">
      <c r="A8304" s="1" t="s">
        <v>1490</v>
      </c>
      <c r="B8304" s="1" t="n">
        <v>169.67</v>
      </c>
      <c r="C8304" s="1" t="n">
        <f aca="false">1/B8304</f>
        <v>0.00589379383509165</v>
      </c>
      <c r="D8304" s="1" t="n">
        <v>0.55262</v>
      </c>
      <c r="E8304" s="1" t="n">
        <f aca="false">LN(D8304)</f>
        <v>-0.593084674603419</v>
      </c>
    </row>
    <row r="8305" customFormat="false" ht="15.75" hidden="false" customHeight="false" outlineLevel="0" collapsed="false">
      <c r="A8305" s="1" t="s">
        <v>1490</v>
      </c>
      <c r="B8305" s="1" t="n">
        <v>170.16</v>
      </c>
      <c r="C8305" s="1" t="n">
        <f aca="false">1/B8305</f>
        <v>0.00587682181476258</v>
      </c>
      <c r="D8305" s="1" t="n">
        <v>0.54679</v>
      </c>
      <c r="E8305" s="1" t="n">
        <f aca="false">LN(D8305)</f>
        <v>-0.603690462521959</v>
      </c>
    </row>
    <row r="8306" customFormat="false" ht="15.75" hidden="false" customHeight="false" outlineLevel="0" collapsed="false">
      <c r="A8306" s="1" t="s">
        <v>1490</v>
      </c>
      <c r="B8306" s="1" t="n">
        <v>170.65</v>
      </c>
      <c r="C8306" s="1" t="n">
        <f aca="false">1/B8306</f>
        <v>0.00585994726047466</v>
      </c>
      <c r="D8306" s="1" t="n">
        <v>0.54107</v>
      </c>
      <c r="E8306" s="1" t="n">
        <f aca="false">LN(D8306)</f>
        <v>-0.614206618487338</v>
      </c>
    </row>
    <row r="8307" customFormat="false" ht="15.75" hidden="false" customHeight="false" outlineLevel="0" collapsed="false">
      <c r="A8307" s="1" t="s">
        <v>1490</v>
      </c>
      <c r="B8307" s="1" t="n">
        <v>171.15</v>
      </c>
      <c r="C8307" s="1" t="n">
        <f aca="false">1/B8307</f>
        <v>0.0058428279287175</v>
      </c>
      <c r="D8307" s="1" t="n">
        <v>0.53544</v>
      </c>
      <c r="E8307" s="1" t="n">
        <f aca="false">LN(D8307)</f>
        <v>-0.62466644018975</v>
      </c>
    </row>
    <row r="8308" customFormat="false" ht="15.75" hidden="false" customHeight="false" outlineLevel="0" collapsed="false">
      <c r="A8308" s="1" t="s">
        <v>1490</v>
      </c>
      <c r="B8308" s="1" t="n">
        <v>171.64</v>
      </c>
      <c r="C8308" s="1" t="n">
        <f aca="false">1/B8308</f>
        <v>0.00582614775110697</v>
      </c>
      <c r="D8308" s="1" t="n">
        <v>0.5299</v>
      </c>
      <c r="E8308" s="1" t="n">
        <f aca="false">LN(D8308)</f>
        <v>-0.635066969483421</v>
      </c>
    </row>
    <row r="8309" customFormat="false" ht="15.75" hidden="false" customHeight="false" outlineLevel="0" collapsed="false">
      <c r="A8309" s="1" t="s">
        <v>1490</v>
      </c>
      <c r="B8309" s="1" t="n">
        <v>172.13</v>
      </c>
      <c r="C8309" s="1" t="n">
        <f aca="false">1/B8309</f>
        <v>0.00580956253994074</v>
      </c>
      <c r="D8309" s="1" t="n">
        <v>0.52446</v>
      </c>
      <c r="E8309" s="1" t="n">
        <f aca="false">LN(D8309)</f>
        <v>-0.645386117161685</v>
      </c>
    </row>
    <row r="8310" customFormat="false" ht="15.75" hidden="false" customHeight="false" outlineLevel="0" collapsed="false">
      <c r="A8310" s="1" t="s">
        <v>1490</v>
      </c>
      <c r="B8310" s="1" t="n">
        <v>172.62</v>
      </c>
      <c r="C8310" s="1" t="n">
        <f aca="false">1/B8310</f>
        <v>0.00579307148650214</v>
      </c>
      <c r="D8310" s="1" t="n">
        <v>0.5191</v>
      </c>
      <c r="E8310" s="1" t="n">
        <f aca="false">LN(D8310)</f>
        <v>-0.655658736148954</v>
      </c>
    </row>
    <row r="8311" customFormat="false" ht="15.75" hidden="false" customHeight="false" outlineLevel="0" collapsed="false">
      <c r="A8311" s="1" t="s">
        <v>1490</v>
      </c>
      <c r="B8311" s="1" t="n">
        <v>173.11</v>
      </c>
      <c r="C8311" s="1" t="n">
        <f aca="false">1/B8311</f>
        <v>0.00577667379123101</v>
      </c>
      <c r="D8311" s="1" t="n">
        <v>0.51384</v>
      </c>
      <c r="E8311" s="1" t="n">
        <f aca="false">LN(D8311)</f>
        <v>-0.6658433460326</v>
      </c>
    </row>
    <row r="8312" customFormat="false" ht="15.75" hidden="false" customHeight="false" outlineLevel="0" collapsed="false">
      <c r="A8312" s="1" t="s">
        <v>1490</v>
      </c>
      <c r="B8312" s="1" t="n">
        <v>173.61</v>
      </c>
      <c r="C8312" s="1" t="n">
        <f aca="false">1/B8312</f>
        <v>0.00576003686423593</v>
      </c>
      <c r="D8312" s="1" t="n">
        <v>0.50866</v>
      </c>
      <c r="E8312" s="1" t="n">
        <f aca="false">LN(D8312)</f>
        <v>-0.675975462051626</v>
      </c>
    </row>
    <row r="8313" customFormat="false" ht="15.75" hidden="false" customHeight="false" outlineLevel="0" collapsed="false">
      <c r="A8313" s="1" t="s">
        <v>1490</v>
      </c>
      <c r="B8313" s="1" t="n">
        <v>174.1</v>
      </c>
      <c r="C8313" s="1" t="n">
        <f aca="false">1/B8313</f>
        <v>0.00574382538770821</v>
      </c>
      <c r="D8313" s="1" t="n">
        <v>0.50357</v>
      </c>
      <c r="E8313" s="1" t="n">
        <f aca="false">LN(D8313)</f>
        <v>-0.686032549674538</v>
      </c>
    </row>
    <row r="8314" customFormat="false" ht="15.75" hidden="false" customHeight="false" outlineLevel="0" collapsed="false">
      <c r="A8314" s="1" t="s">
        <v>1490</v>
      </c>
      <c r="B8314" s="1" t="n">
        <v>174.59</v>
      </c>
      <c r="C8314" s="1" t="n">
        <f aca="false">1/B8314</f>
        <v>0.00572770490864311</v>
      </c>
      <c r="D8314" s="1" t="n">
        <v>0.49856</v>
      </c>
      <c r="E8314" s="1" t="n">
        <f aca="false">LN(D8314)</f>
        <v>-0.696031335739808</v>
      </c>
    </row>
    <row r="8315" customFormat="false" ht="15.75" hidden="false" customHeight="false" outlineLevel="0" collapsed="false">
      <c r="A8315" s="1" t="s">
        <v>1490</v>
      </c>
      <c r="B8315" s="1" t="n">
        <v>175.08</v>
      </c>
      <c r="C8315" s="1" t="n">
        <f aca="false">1/B8315</f>
        <v>0.0057116746630112</v>
      </c>
      <c r="D8315" s="1" t="n">
        <v>0.49362</v>
      </c>
      <c r="E8315" s="1" t="n">
        <f aca="false">LN(D8315)</f>
        <v>-0.705989288573243</v>
      </c>
    </row>
    <row r="8316" customFormat="false" ht="15.75" hidden="false" customHeight="false" outlineLevel="0" collapsed="false">
      <c r="A8316" s="1" t="s">
        <v>1490</v>
      </c>
      <c r="B8316" s="1" t="n">
        <v>175.57</v>
      </c>
      <c r="C8316" s="1" t="n">
        <f aca="false">1/B8316</f>
        <v>0.00569573389531241</v>
      </c>
      <c r="D8316" s="1" t="n">
        <v>0.48877</v>
      </c>
      <c r="E8316" s="1" t="n">
        <f aca="false">LN(D8316)</f>
        <v>-0.715863247803679</v>
      </c>
    </row>
    <row r="8317" customFormat="false" ht="15.75" hidden="false" customHeight="false" outlineLevel="0" collapsed="false">
      <c r="A8317" s="1" t="s">
        <v>1490</v>
      </c>
      <c r="B8317" s="1" t="n">
        <v>176.06</v>
      </c>
      <c r="C8317" s="1" t="n">
        <f aca="false">1/B8317</f>
        <v>0.00567988185845734</v>
      </c>
      <c r="D8317" s="1" t="n">
        <v>0.48399</v>
      </c>
      <c r="E8317" s="1" t="n">
        <f aca="false">LN(D8317)</f>
        <v>-0.725691033635975</v>
      </c>
    </row>
    <row r="8318" customFormat="false" ht="15.75" hidden="false" customHeight="false" outlineLevel="0" collapsed="false">
      <c r="A8318" s="1" t="s">
        <v>1490</v>
      </c>
      <c r="B8318" s="1" t="n">
        <v>176.56</v>
      </c>
      <c r="C8318" s="1" t="n">
        <f aca="false">1/B8318</f>
        <v>0.00566379700951518</v>
      </c>
      <c r="D8318" s="1" t="n">
        <v>0.47929</v>
      </c>
      <c r="E8318" s="1" t="n">
        <f aca="false">LN(D8318)</f>
        <v>-0.735449436793852</v>
      </c>
    </row>
    <row r="8319" customFormat="false" ht="15.75" hidden="false" customHeight="false" outlineLevel="0" collapsed="false">
      <c r="A8319" s="1" t="s">
        <v>1490</v>
      </c>
      <c r="B8319" s="1" t="n">
        <v>177.05</v>
      </c>
      <c r="C8319" s="1" t="n">
        <f aca="false">1/B8319</f>
        <v>0.00564812199943519</v>
      </c>
      <c r="D8319" s="1" t="n">
        <v>0.47466</v>
      </c>
      <c r="E8319" s="1" t="n">
        <f aca="false">LN(D8319)</f>
        <v>-0.745156520720777</v>
      </c>
    </row>
    <row r="8320" customFormat="false" ht="15.75" hidden="false" customHeight="false" outlineLevel="0" collapsed="false">
      <c r="A8320" s="1" t="s">
        <v>1490</v>
      </c>
      <c r="B8320" s="1" t="n">
        <v>177.54</v>
      </c>
      <c r="C8320" s="1" t="n">
        <f aca="false">1/B8320</f>
        <v>0.00563253351357441</v>
      </c>
      <c r="D8320" s="1" t="n">
        <v>0.4701</v>
      </c>
      <c r="E8320" s="1" t="n">
        <f aca="false">LN(D8320)</f>
        <v>-0.754809840952052</v>
      </c>
    </row>
    <row r="8321" customFormat="false" ht="15.75" hidden="false" customHeight="false" outlineLevel="0" collapsed="false">
      <c r="A8321" s="1" t="s">
        <v>1490</v>
      </c>
      <c r="B8321" s="1" t="n">
        <v>178.03</v>
      </c>
      <c r="C8321" s="1" t="n">
        <f aca="false">1/B8321</f>
        <v>0.0056170308374993</v>
      </c>
      <c r="D8321" s="1" t="n">
        <v>0.46561</v>
      </c>
      <c r="E8321" s="1" t="n">
        <f aca="false">LN(D8321)</f>
        <v>-0.76440690513232</v>
      </c>
    </row>
    <row r="8322" customFormat="false" ht="15.75" hidden="false" customHeight="false" outlineLevel="0" collapsed="false">
      <c r="A8322" s="1" t="s">
        <v>1490</v>
      </c>
      <c r="B8322" s="1" t="n">
        <v>178.52</v>
      </c>
      <c r="C8322" s="1" t="n">
        <f aca="false">1/B8322</f>
        <v>0.00560161326462021</v>
      </c>
      <c r="D8322" s="1" t="n">
        <v>0.46119</v>
      </c>
      <c r="E8322" s="1" t="n">
        <f aca="false">LN(D8322)</f>
        <v>-0.773945173389519</v>
      </c>
    </row>
    <row r="8323" customFormat="false" ht="15.75" hidden="false" customHeight="false" outlineLevel="0" collapsed="false">
      <c r="A8323" s="1" t="s">
        <v>1490</v>
      </c>
      <c r="B8323" s="1" t="n">
        <v>179.02</v>
      </c>
      <c r="C8323" s="1" t="n">
        <f aca="false">1/B8323</f>
        <v>0.00558596804826276</v>
      </c>
      <c r="D8323" s="1" t="n">
        <v>0.45684</v>
      </c>
      <c r="E8323" s="1" t="n">
        <f aca="false">LN(D8323)</f>
        <v>-0.783422058799731</v>
      </c>
    </row>
    <row r="8324" customFormat="false" ht="15.75" hidden="false" customHeight="false" outlineLevel="0" collapsed="false">
      <c r="A8324" s="1" t="s">
        <v>1490</v>
      </c>
      <c r="B8324" s="1" t="n">
        <v>179.51</v>
      </c>
      <c r="C8324" s="1" t="n">
        <f aca="false">1/B8324</f>
        <v>0.00557072029413403</v>
      </c>
      <c r="D8324" s="1" t="n">
        <v>0.45255</v>
      </c>
      <c r="E8324" s="1" t="n">
        <f aca="false">LN(D8324)</f>
        <v>-0.792857024708957</v>
      </c>
    </row>
    <row r="8325" customFormat="false" ht="15.75" hidden="false" customHeight="false" outlineLevel="0" collapsed="false">
      <c r="A8325" s="1" t="s">
        <v>1490</v>
      </c>
      <c r="B8325" s="1" t="n">
        <v>180</v>
      </c>
      <c r="C8325" s="1" t="n">
        <f aca="false">1/B8325</f>
        <v>0.00555555555555556</v>
      </c>
      <c r="D8325" s="1" t="n">
        <v>0.44833</v>
      </c>
      <c r="E8325" s="1" t="n">
        <f aca="false">LN(D8325)</f>
        <v>-0.802225710586185</v>
      </c>
    </row>
    <row r="8326" customFormat="false" ht="15.75" hidden="false" customHeight="false" outlineLevel="0" collapsed="false">
      <c r="A8326" s="1" t="s">
        <v>1490</v>
      </c>
      <c r="B8326" s="1" t="n">
        <v>180.49</v>
      </c>
      <c r="C8326" s="1" t="n">
        <f aca="false">1/B8326</f>
        <v>0.00554047315640756</v>
      </c>
      <c r="D8326" s="1" t="n">
        <v>0.44417</v>
      </c>
      <c r="E8326" s="1" t="n">
        <f aca="false">LN(D8326)</f>
        <v>-0.811547906947976</v>
      </c>
    </row>
    <row r="8327" customFormat="false" ht="15.75" hidden="false" customHeight="false" outlineLevel="0" collapsed="false">
      <c r="A8327" s="1" t="s">
        <v>1490</v>
      </c>
      <c r="B8327" s="1" t="n">
        <v>180.98</v>
      </c>
      <c r="C8327" s="1" t="n">
        <f aca="false">1/B8327</f>
        <v>0.00552547242789259</v>
      </c>
      <c r="D8327" s="1" t="n">
        <v>0.44007</v>
      </c>
      <c r="E8327" s="1" t="n">
        <f aca="false">LN(D8327)</f>
        <v>-0.820821473814356</v>
      </c>
    </row>
    <row r="8328" customFormat="false" ht="15.75" hidden="false" customHeight="false" outlineLevel="0" collapsed="false">
      <c r="A8328" s="1" t="s">
        <v>1490</v>
      </c>
      <c r="B8328" s="1" t="n">
        <v>181.48</v>
      </c>
      <c r="C8328" s="1" t="n">
        <f aca="false">1/B8328</f>
        <v>0.00551024906325766</v>
      </c>
      <c r="D8328" s="1" t="n">
        <v>0.43603</v>
      </c>
      <c r="E8328" s="1" t="n">
        <f aca="false">LN(D8328)</f>
        <v>-0.83004423066077</v>
      </c>
    </row>
    <row r="8329" customFormat="false" ht="15.75" hidden="false" customHeight="false" outlineLevel="0" collapsed="false">
      <c r="A8329" s="1" t="s">
        <v>1490</v>
      </c>
      <c r="B8329" s="1" t="n">
        <v>181.97</v>
      </c>
      <c r="C8329" s="1" t="n">
        <f aca="false">1/B8329</f>
        <v>0.00549541133153817</v>
      </c>
      <c r="D8329" s="1" t="n">
        <v>0.43204</v>
      </c>
      <c r="E8329" s="1" t="n">
        <f aca="false">LN(D8329)</f>
        <v>-0.839237102431864</v>
      </c>
    </row>
    <row r="8330" customFormat="false" ht="15.75" hidden="false" customHeight="false" outlineLevel="0" collapsed="false">
      <c r="A8330" s="1" t="s">
        <v>1490</v>
      </c>
      <c r="B8330" s="1" t="n">
        <v>182.46</v>
      </c>
      <c r="C8330" s="1" t="n">
        <f aca="false">1/B8330</f>
        <v>0.00548065329387263</v>
      </c>
      <c r="D8330" s="1" t="n">
        <v>0.42812</v>
      </c>
      <c r="E8330" s="1" t="n">
        <f aca="false">LN(D8330)</f>
        <v>-0.848351748865962</v>
      </c>
    </row>
    <row r="8331" customFormat="false" ht="15.75" hidden="false" customHeight="false" outlineLevel="0" collapsed="false">
      <c r="A8331" s="1" t="s">
        <v>1490</v>
      </c>
      <c r="B8331" s="1" t="n">
        <v>182.95</v>
      </c>
      <c r="C8331" s="1" t="n">
        <f aca="false">1/B8331</f>
        <v>0.00546597430992074</v>
      </c>
      <c r="D8331" s="1" t="n">
        <v>0.42425</v>
      </c>
      <c r="E8331" s="1" t="n">
        <f aca="false">LN(D8331)</f>
        <v>-0.857432374867801</v>
      </c>
    </row>
    <row r="8332" customFormat="false" ht="15.75" hidden="false" customHeight="false" outlineLevel="0" collapsed="false">
      <c r="A8332" s="1" t="s">
        <v>1490</v>
      </c>
      <c r="B8332" s="1" t="n">
        <v>183.44</v>
      </c>
      <c r="C8332" s="1" t="n">
        <f aca="false">1/B8332</f>
        <v>0.00545137374618404</v>
      </c>
      <c r="D8332" s="1" t="n">
        <v>0.42044</v>
      </c>
      <c r="E8332" s="1" t="n">
        <f aca="false">LN(D8332)</f>
        <v>-0.866453497026983</v>
      </c>
    </row>
    <row r="8333" customFormat="false" ht="15.75" hidden="false" customHeight="false" outlineLevel="0" collapsed="false">
      <c r="A8333" s="1" t="s">
        <v>1490</v>
      </c>
      <c r="B8333" s="1" t="n">
        <v>183.94</v>
      </c>
      <c r="C8333" s="1" t="n">
        <f aca="false">1/B8333</f>
        <v>0.00543655539849951</v>
      </c>
      <c r="D8333" s="1" t="n">
        <v>0.41668</v>
      </c>
      <c r="E8333" s="1" t="n">
        <f aca="false">LN(D8333)</f>
        <v>-0.875436737865889</v>
      </c>
    </row>
    <row r="8334" customFormat="false" ht="15.75" hidden="false" customHeight="false" outlineLevel="0" collapsed="false">
      <c r="A8334" s="1" t="s">
        <v>1490</v>
      </c>
      <c r="B8334" s="1" t="n">
        <v>184.43</v>
      </c>
      <c r="C8334" s="1" t="n">
        <f aca="false">1/B8334</f>
        <v>0.00542211137016754</v>
      </c>
      <c r="D8334" s="1" t="n">
        <v>0.41297</v>
      </c>
      <c r="E8334" s="1" t="n">
        <f aca="false">LN(D8334)</f>
        <v>-0.884380327884642</v>
      </c>
    </row>
    <row r="8335" customFormat="false" ht="15.75" hidden="false" customHeight="false" outlineLevel="0" collapsed="false">
      <c r="A8335" s="1" t="s">
        <v>1490</v>
      </c>
      <c r="B8335" s="1" t="n">
        <v>184.92</v>
      </c>
      <c r="C8335" s="1" t="n">
        <f aca="false">1/B8335</f>
        <v>0.00540774388924941</v>
      </c>
      <c r="D8335" s="1" t="n">
        <v>0.40931</v>
      </c>
      <c r="E8335" s="1" t="n">
        <f aca="false">LN(D8335)</f>
        <v>-0.893282463825235</v>
      </c>
    </row>
    <row r="8336" customFormat="false" ht="15.75" hidden="false" customHeight="false" outlineLevel="0" collapsed="false">
      <c r="A8336" s="1" t="s">
        <v>1490</v>
      </c>
      <c r="B8336" s="1" t="n">
        <v>185.41</v>
      </c>
      <c r="C8336" s="1" t="n">
        <f aca="false">1/B8336</f>
        <v>0.0053934523488485</v>
      </c>
      <c r="D8336" s="1" t="n">
        <v>0.40571</v>
      </c>
      <c r="E8336" s="1" t="n">
        <f aca="false">LN(D8336)</f>
        <v>-0.902116660318273</v>
      </c>
    </row>
    <row r="8337" customFormat="false" ht="15.75" hidden="false" customHeight="false" outlineLevel="0" collapsed="false">
      <c r="A8337" s="1" t="s">
        <v>1490</v>
      </c>
      <c r="B8337" s="1" t="n">
        <v>185.9</v>
      </c>
      <c r="C8337" s="1" t="n">
        <f aca="false">1/B8337</f>
        <v>0.00537923614846692</v>
      </c>
      <c r="D8337" s="1" t="n">
        <v>0.40215</v>
      </c>
      <c r="E8337" s="1" t="n">
        <f aca="false">LN(D8337)</f>
        <v>-0.910930125632059</v>
      </c>
    </row>
    <row r="8338" customFormat="false" ht="15.75" hidden="false" customHeight="false" outlineLevel="0" collapsed="false">
      <c r="A8338" s="1" t="s">
        <v>1490</v>
      </c>
      <c r="B8338" s="1" t="n">
        <v>186.4</v>
      </c>
      <c r="C8338" s="1" t="n">
        <f aca="false">1/B8338</f>
        <v>0.00536480686695279</v>
      </c>
      <c r="D8338" s="1" t="n">
        <v>0.39864</v>
      </c>
      <c r="E8338" s="1" t="n">
        <f aca="false">LN(D8338)</f>
        <v>-0.919696525008988</v>
      </c>
    </row>
    <row r="8339" customFormat="false" ht="15.75" hidden="false" customHeight="false" outlineLevel="0" collapsed="false">
      <c r="A8339" s="1" t="s">
        <v>1490</v>
      </c>
      <c r="B8339" s="1" t="n">
        <v>186.89</v>
      </c>
      <c r="C8339" s="1" t="n">
        <f aca="false">1/B8339</f>
        <v>0.00535074107763925</v>
      </c>
      <c r="D8339" s="1" t="n">
        <v>0.39518</v>
      </c>
      <c r="E8339" s="1" t="n">
        <f aca="false">LN(D8339)</f>
        <v>-0.928413921676466</v>
      </c>
    </row>
    <row r="8340" customFormat="false" ht="15.75" hidden="false" customHeight="false" outlineLevel="0" collapsed="false">
      <c r="A8340" s="1" t="s">
        <v>1490</v>
      </c>
      <c r="B8340" s="1" t="n">
        <v>187.38</v>
      </c>
      <c r="C8340" s="1" t="n">
        <f aca="false">1/B8340</f>
        <v>0.005336748852599</v>
      </c>
      <c r="D8340" s="1" t="n">
        <v>0.39177</v>
      </c>
      <c r="E8340" s="1" t="n">
        <f aca="false">LN(D8340)</f>
        <v>-0.937080346081712</v>
      </c>
    </row>
    <row r="8341" customFormat="false" ht="15.75" hidden="false" customHeight="false" outlineLevel="0" collapsed="false">
      <c r="A8341" s="1" t="s">
        <v>1490</v>
      </c>
      <c r="B8341" s="1" t="n">
        <v>187.87</v>
      </c>
      <c r="C8341" s="1" t="n">
        <f aca="false">1/B8341</f>
        <v>0.00532282961622398</v>
      </c>
      <c r="D8341" s="1" t="n">
        <v>0.3884</v>
      </c>
      <c r="E8341" s="1" t="n">
        <f aca="false">LN(D8341)</f>
        <v>-0.945719542564967</v>
      </c>
    </row>
    <row r="8342" customFormat="false" ht="15.75" hidden="false" customHeight="false" outlineLevel="0" collapsed="false">
      <c r="A8342" s="1" t="s">
        <v>1490</v>
      </c>
      <c r="B8342" s="1" t="n">
        <v>188.36</v>
      </c>
      <c r="C8342" s="1" t="n">
        <f aca="false">1/B8342</f>
        <v>0.00530898279889573</v>
      </c>
      <c r="D8342" s="1" t="n">
        <v>0.38508</v>
      </c>
      <c r="E8342" s="1" t="n">
        <f aca="false">LN(D8342)</f>
        <v>-0.954304174072371</v>
      </c>
    </row>
    <row r="8343" customFormat="false" ht="15.75" hidden="false" customHeight="false" outlineLevel="0" collapsed="false">
      <c r="A8343" s="1" t="s">
        <v>1490</v>
      </c>
      <c r="B8343" s="1" t="n">
        <v>188.86</v>
      </c>
      <c r="C8343" s="1" t="n">
        <f aca="false">1/B8343</f>
        <v>0.0052949274594938</v>
      </c>
      <c r="D8343" s="1" t="n">
        <v>0.3818</v>
      </c>
      <c r="E8343" s="1" t="n">
        <f aca="false">LN(D8343)</f>
        <v>-0.96285836769049</v>
      </c>
    </row>
    <row r="8344" customFormat="false" ht="15.75" hidden="false" customHeight="false" outlineLevel="0" collapsed="false">
      <c r="A8344" s="1" t="s">
        <v>1490</v>
      </c>
      <c r="B8344" s="1" t="n">
        <v>189.35</v>
      </c>
      <c r="C8344" s="1" t="n">
        <f aca="false">1/B8344</f>
        <v>0.00528122524425667</v>
      </c>
      <c r="D8344" s="1" t="n">
        <v>0.37856</v>
      </c>
      <c r="E8344" s="1" t="n">
        <f aca="false">LN(D8344)</f>
        <v>-0.971380698192115</v>
      </c>
    </row>
    <row r="8345" customFormat="false" ht="15.75" hidden="false" customHeight="false" outlineLevel="0" collapsed="false">
      <c r="A8345" s="1" t="s">
        <v>1490</v>
      </c>
      <c r="B8345" s="1" t="n">
        <v>189.84</v>
      </c>
      <c r="C8345" s="1" t="n">
        <f aca="false">1/B8345</f>
        <v>0.00526759376316898</v>
      </c>
      <c r="D8345" s="1" t="n">
        <v>0.37537</v>
      </c>
      <c r="E8345" s="1" t="n">
        <f aca="false">LN(D8345)</f>
        <v>-0.979843072780675</v>
      </c>
    </row>
    <row r="8346" customFormat="false" ht="15.75" hidden="false" customHeight="false" outlineLevel="0" collapsed="false">
      <c r="A8346" s="1" t="s">
        <v>1490</v>
      </c>
      <c r="B8346" s="1" t="n">
        <v>190.33</v>
      </c>
      <c r="C8346" s="1" t="n">
        <f aca="false">1/B8346</f>
        <v>0.00525403246992066</v>
      </c>
      <c r="D8346" s="1" t="n">
        <v>0.37221</v>
      </c>
      <c r="E8346" s="1" t="n">
        <f aca="false">LN(D8346)</f>
        <v>-0.988297067859247</v>
      </c>
    </row>
    <row r="8347" customFormat="false" ht="15.75" hidden="false" customHeight="false" outlineLevel="0" collapsed="false">
      <c r="A8347" s="1" t="s">
        <v>1490</v>
      </c>
      <c r="B8347" s="1" t="n">
        <v>190.82</v>
      </c>
      <c r="C8347" s="1" t="n">
        <f aca="false">1/B8347</f>
        <v>0.00524054082381302</v>
      </c>
      <c r="D8347" s="1" t="n">
        <v>0.3691</v>
      </c>
      <c r="E8347" s="1" t="n">
        <f aca="false">LN(D8347)</f>
        <v>-0.996687668946184</v>
      </c>
    </row>
    <row r="8348" customFormat="false" ht="15.75" hidden="false" customHeight="false" outlineLevel="0" collapsed="false">
      <c r="A8348" s="1" t="s">
        <v>1490</v>
      </c>
      <c r="B8348" s="1" t="n">
        <v>191.32</v>
      </c>
      <c r="C8348" s="1" t="n">
        <f aca="false">1/B8348</f>
        <v>0.00522684507631194</v>
      </c>
      <c r="D8348" s="1" t="n">
        <v>0.36603</v>
      </c>
      <c r="E8348" s="1" t="n">
        <f aca="false">LN(D8348)</f>
        <v>-1.00503998172678</v>
      </c>
    </row>
    <row r="8349" customFormat="false" ht="15.75" hidden="false" customHeight="false" outlineLevel="0" collapsed="false">
      <c r="A8349" s="1" t="s">
        <v>1490</v>
      </c>
      <c r="B8349" s="1" t="n">
        <v>191.81</v>
      </c>
      <c r="C8349" s="1" t="n">
        <f aca="false">1/B8349</f>
        <v>0.00521349251863824</v>
      </c>
      <c r="D8349" s="1" t="n">
        <v>0.36299</v>
      </c>
      <c r="E8349" s="1" t="n">
        <f aca="false">LN(D8349)</f>
        <v>-1.01337999330611</v>
      </c>
    </row>
    <row r="8350" customFormat="false" ht="15.75" hidden="false" customHeight="false" outlineLevel="0" collapsed="false">
      <c r="A8350" s="1" t="s">
        <v>1490</v>
      </c>
      <c r="B8350" s="1" t="n">
        <v>192.3</v>
      </c>
      <c r="C8350" s="1" t="n">
        <f aca="false">1/B8350</f>
        <v>0.00520020800832033</v>
      </c>
      <c r="D8350" s="1" t="n">
        <v>0.36</v>
      </c>
      <c r="E8350" s="1" t="n">
        <f aca="false">LN(D8350)</f>
        <v>-1.02165124753198</v>
      </c>
    </row>
    <row r="8351" customFormat="false" ht="15.75" hidden="false" customHeight="false" outlineLevel="0" collapsed="false">
      <c r="A8351" s="1" t="s">
        <v>1490</v>
      </c>
      <c r="B8351" s="1" t="n">
        <v>192.79</v>
      </c>
      <c r="C8351" s="1" t="n">
        <f aca="false">1/B8351</f>
        <v>0.00518699102650553</v>
      </c>
      <c r="D8351" s="1" t="n">
        <v>0.35704</v>
      </c>
      <c r="E8351" s="1" t="n">
        <f aca="false">LN(D8351)</f>
        <v>-1.02990745866112</v>
      </c>
    </row>
    <row r="8352" customFormat="false" ht="15.75" hidden="false" customHeight="false" outlineLevel="0" collapsed="false">
      <c r="A8352" s="1" t="s">
        <v>1490</v>
      </c>
      <c r="B8352" s="1" t="n">
        <v>193.28</v>
      </c>
      <c r="C8352" s="1" t="n">
        <f aca="false">1/B8352</f>
        <v>0.00517384105960265</v>
      </c>
      <c r="D8352" s="1" t="n">
        <v>0.35412</v>
      </c>
      <c r="E8352" s="1" t="n">
        <f aca="false">LN(D8352)</f>
        <v>-1.03811944023929</v>
      </c>
    </row>
    <row r="8353" customFormat="false" ht="15.75" hidden="false" customHeight="false" outlineLevel="0" collapsed="false">
      <c r="A8353" s="1" t="s">
        <v>1490</v>
      </c>
      <c r="B8353" s="1" t="n">
        <v>193.78</v>
      </c>
      <c r="C8353" s="1" t="n">
        <f aca="false">1/B8353</f>
        <v>0.00516049127876974</v>
      </c>
      <c r="D8353" s="1" t="n">
        <v>0.35123</v>
      </c>
      <c r="E8353" s="1" t="n">
        <f aca="false">LN(D8353)</f>
        <v>-1.04631399945708</v>
      </c>
    </row>
    <row r="8354" customFormat="false" ht="15.75" hidden="false" customHeight="false" outlineLevel="0" collapsed="false">
      <c r="A8354" s="1" t="s">
        <v>1490</v>
      </c>
      <c r="B8354" s="1" t="n">
        <v>194.27</v>
      </c>
      <c r="C8354" s="1" t="n">
        <f aca="false">1/B8354</f>
        <v>0.00514747516343234</v>
      </c>
      <c r="D8354" s="1" t="n">
        <v>0.34838</v>
      </c>
      <c r="E8354" s="1" t="n">
        <f aca="false">LN(D8354)</f>
        <v>-1.05446144093282</v>
      </c>
    </row>
    <row r="8355" customFormat="false" ht="15.75" hidden="false" customHeight="false" outlineLevel="0" collapsed="false">
      <c r="A8355" s="1" t="s">
        <v>1490</v>
      </c>
      <c r="B8355" s="1" t="n">
        <v>194.6</v>
      </c>
      <c r="C8355" s="1" t="n">
        <f aca="false">1/B8355</f>
        <v>0.00513874614594039</v>
      </c>
      <c r="D8355" s="1" t="n">
        <v>0.34649</v>
      </c>
      <c r="E8355" s="1" t="n">
        <f aca="false">LN(D8355)</f>
        <v>-1.0599013207975</v>
      </c>
    </row>
    <row r="8356" customFormat="false" ht="15.75" hidden="false" customHeight="false" outlineLevel="0" collapsed="false">
      <c r="A8356" s="1" t="s">
        <v>1491</v>
      </c>
      <c r="B8356" s="1" t="n">
        <v>173.75</v>
      </c>
      <c r="C8356" s="1" t="n">
        <f aca="false">1/B8356</f>
        <v>0.00575539568345324</v>
      </c>
      <c r="D8356" s="1" t="n">
        <v>1.2646</v>
      </c>
      <c r="E8356" s="1" t="n">
        <f aca="false">LN(D8356)</f>
        <v>0.234755866642376</v>
      </c>
    </row>
    <row r="8357" customFormat="false" ht="15.75" hidden="false" customHeight="false" outlineLevel="0" collapsed="false">
      <c r="A8357" s="1" t="s">
        <v>1491</v>
      </c>
      <c r="B8357" s="1" t="n">
        <v>174.38</v>
      </c>
      <c r="C8357" s="1" t="n">
        <f aca="false">1/B8357</f>
        <v>0.00573460259204037</v>
      </c>
      <c r="D8357" s="1" t="n">
        <v>1.2427</v>
      </c>
      <c r="E8357" s="1" t="n">
        <f aca="false">LN(D8357)</f>
        <v>0.217286431829812</v>
      </c>
    </row>
    <row r="8358" customFormat="false" ht="15.75" hidden="false" customHeight="false" outlineLevel="0" collapsed="false">
      <c r="A8358" s="1" t="s">
        <v>1491</v>
      </c>
      <c r="B8358" s="1" t="n">
        <v>175</v>
      </c>
      <c r="C8358" s="1" t="n">
        <f aca="false">1/B8358</f>
        <v>0.00571428571428571</v>
      </c>
      <c r="D8358" s="1" t="n">
        <v>1.2215</v>
      </c>
      <c r="E8358" s="1" t="n">
        <f aca="false">LN(D8358)</f>
        <v>0.200079611715658</v>
      </c>
    </row>
    <row r="8359" customFormat="false" ht="15.75" hidden="false" customHeight="false" outlineLevel="0" collapsed="false">
      <c r="A8359" s="1" t="s">
        <v>1491</v>
      </c>
      <c r="B8359" s="1" t="n">
        <v>175.63</v>
      </c>
      <c r="C8359" s="1" t="n">
        <f aca="false">1/B8359</f>
        <v>0.00569378807720777</v>
      </c>
      <c r="D8359" s="1" t="n">
        <v>1.2009</v>
      </c>
      <c r="E8359" s="1" t="n">
        <f aca="false">LN(D8359)</f>
        <v>0.183071275684501</v>
      </c>
    </row>
    <row r="8360" customFormat="false" ht="15.75" hidden="false" customHeight="false" outlineLevel="0" collapsed="false">
      <c r="A8360" s="1" t="s">
        <v>1491</v>
      </c>
      <c r="B8360" s="1" t="n">
        <v>176.26</v>
      </c>
      <c r="C8360" s="1" t="n">
        <f aca="false">1/B8360</f>
        <v>0.00567343696811528</v>
      </c>
      <c r="D8360" s="1" t="n">
        <v>1.1809</v>
      </c>
      <c r="E8360" s="1" t="n">
        <f aca="false">LN(D8360)</f>
        <v>0.166276859625099</v>
      </c>
    </row>
    <row r="8361" customFormat="false" ht="15.75" hidden="false" customHeight="false" outlineLevel="0" collapsed="false">
      <c r="A8361" s="1" t="s">
        <v>1491</v>
      </c>
      <c r="B8361" s="1" t="n">
        <v>176.89</v>
      </c>
      <c r="C8361" s="1" t="n">
        <f aca="false">1/B8361</f>
        <v>0.00565323082141444</v>
      </c>
      <c r="D8361" s="1" t="n">
        <v>1.1614</v>
      </c>
      <c r="E8361" s="1" t="n">
        <f aca="false">LN(D8361)</f>
        <v>0.149626173955812</v>
      </c>
    </row>
    <row r="8362" customFormat="false" ht="15.75" hidden="false" customHeight="false" outlineLevel="0" collapsed="false">
      <c r="A8362" s="1" t="s">
        <v>1491</v>
      </c>
      <c r="B8362" s="1" t="n">
        <v>177.51</v>
      </c>
      <c r="C8362" s="1" t="n">
        <f aca="false">1/B8362</f>
        <v>0.00563348543744015</v>
      </c>
      <c r="D8362" s="1" t="n">
        <v>1.1425</v>
      </c>
      <c r="E8362" s="1" t="n">
        <f aca="false">LN(D8362)</f>
        <v>0.133218843786223</v>
      </c>
    </row>
    <row r="8363" customFormat="false" ht="15.75" hidden="false" customHeight="false" outlineLevel="0" collapsed="false">
      <c r="A8363" s="1" t="s">
        <v>1491</v>
      </c>
      <c r="B8363" s="1" t="n">
        <v>178.14</v>
      </c>
      <c r="C8363" s="1" t="n">
        <f aca="false">1/B8363</f>
        <v>0.00561356236667789</v>
      </c>
      <c r="D8363" s="1" t="n">
        <v>1.1241</v>
      </c>
      <c r="E8363" s="1" t="n">
        <f aca="false">LN(D8363)</f>
        <v>0.116982715485614</v>
      </c>
    </row>
    <row r="8364" customFormat="false" ht="15.75" hidden="false" customHeight="false" outlineLevel="0" collapsed="false">
      <c r="A8364" s="1" t="s">
        <v>1491</v>
      </c>
      <c r="B8364" s="1" t="n">
        <v>178.77</v>
      </c>
      <c r="C8364" s="1" t="n">
        <f aca="false">1/B8364</f>
        <v>0.00559377971695475</v>
      </c>
      <c r="D8364" s="1" t="n">
        <v>1.1062</v>
      </c>
      <c r="E8364" s="1" t="n">
        <f aca="false">LN(D8364)</f>
        <v>0.100930718578441</v>
      </c>
    </row>
    <row r="8365" customFormat="false" ht="15.75" hidden="false" customHeight="false" outlineLevel="0" collapsed="false">
      <c r="A8365" s="1" t="s">
        <v>1491</v>
      </c>
      <c r="B8365" s="1" t="n">
        <v>179.39</v>
      </c>
      <c r="C8365" s="1" t="n">
        <f aca="false">1/B8365</f>
        <v>0.00557444673616144</v>
      </c>
      <c r="D8365" s="1" t="n">
        <v>1.0887</v>
      </c>
      <c r="E8365" s="1" t="n">
        <f aca="false">LN(D8365)</f>
        <v>0.0849843239049973</v>
      </c>
    </row>
    <row r="8366" customFormat="false" ht="15.75" hidden="false" customHeight="false" outlineLevel="0" collapsed="false">
      <c r="A8366" s="1" t="s">
        <v>1491</v>
      </c>
      <c r="B8366" s="1" t="n">
        <v>180.02</v>
      </c>
      <c r="C8366" s="1" t="n">
        <f aca="false">1/B8366</f>
        <v>0.00555493834018442</v>
      </c>
      <c r="D8366" s="1" t="n">
        <v>1.0717</v>
      </c>
      <c r="E8366" s="1" t="n">
        <f aca="false">LN(D8366)</f>
        <v>0.0692461727368144</v>
      </c>
    </row>
    <row r="8367" customFormat="false" ht="15.75" hidden="false" customHeight="false" outlineLevel="0" collapsed="false">
      <c r="A8367" s="1" t="s">
        <v>1491</v>
      </c>
      <c r="B8367" s="1" t="n">
        <v>180.65</v>
      </c>
      <c r="C8367" s="1" t="n">
        <f aca="false">1/B8367</f>
        <v>0.00553556601162469</v>
      </c>
      <c r="D8367" s="1" t="n">
        <v>1.0552</v>
      </c>
      <c r="E8367" s="1" t="n">
        <f aca="false">LN(D8367)</f>
        <v>0.0537303224209677</v>
      </c>
    </row>
    <row r="8368" customFormat="false" ht="15.75" hidden="false" customHeight="false" outlineLevel="0" collapsed="false">
      <c r="A8368" s="1" t="s">
        <v>1491</v>
      </c>
      <c r="B8368" s="1" t="n">
        <v>181.27</v>
      </c>
      <c r="C8368" s="1" t="n">
        <f aca="false">1/B8368</f>
        <v>0.00551663264743201</v>
      </c>
      <c r="D8368" s="1" t="n">
        <v>1.039</v>
      </c>
      <c r="E8368" s="1" t="n">
        <f aca="false">LN(D8368)</f>
        <v>0.0382587121170903</v>
      </c>
    </row>
    <row r="8369" customFormat="false" ht="15.75" hidden="false" customHeight="false" outlineLevel="0" collapsed="false">
      <c r="A8369" s="1" t="s">
        <v>1491</v>
      </c>
      <c r="B8369" s="1" t="n">
        <v>181.9</v>
      </c>
      <c r="C8369" s="1" t="n">
        <f aca="false">1/B8369</f>
        <v>0.00549752611324904</v>
      </c>
      <c r="D8369" s="1" t="n">
        <v>1.0233</v>
      </c>
      <c r="E8369" s="1" t="n">
        <f aca="false">LN(D8369)</f>
        <v>0.0230326991105728</v>
      </c>
    </row>
    <row r="8370" customFormat="false" ht="15.75" hidden="false" customHeight="false" outlineLevel="0" collapsed="false">
      <c r="A8370" s="1" t="s">
        <v>1491</v>
      </c>
      <c r="B8370" s="1" t="n">
        <v>182.53</v>
      </c>
      <c r="C8370" s="1" t="n">
        <f aca="false">1/B8370</f>
        <v>0.00547855147099107</v>
      </c>
      <c r="D8370" s="1" t="n">
        <v>1.008</v>
      </c>
      <c r="E8370" s="1" t="n">
        <f aca="false">LN(D8370)</f>
        <v>0.00796816964917688</v>
      </c>
    </row>
    <row r="8371" customFormat="false" ht="15.75" hidden="false" customHeight="false" outlineLevel="0" collapsed="false">
      <c r="A8371" s="1" t="s">
        <v>1491</v>
      </c>
      <c r="B8371" s="1" t="n">
        <v>183.16</v>
      </c>
      <c r="C8371" s="1" t="n">
        <f aca="false">1/B8371</f>
        <v>0.00545970735968552</v>
      </c>
      <c r="D8371" s="1" t="n">
        <v>0.99305</v>
      </c>
      <c r="E8371" s="1" t="n">
        <f aca="false">LN(D8371)</f>
        <v>-0.0069742637373365</v>
      </c>
    </row>
    <row r="8372" customFormat="false" ht="15.75" hidden="false" customHeight="false" outlineLevel="0" collapsed="false">
      <c r="A8372" s="1" t="s">
        <v>1491</v>
      </c>
      <c r="B8372" s="1" t="n">
        <v>183.78</v>
      </c>
      <c r="C8372" s="1" t="n">
        <f aca="false">1/B8372</f>
        <v>0.00544128849711612</v>
      </c>
      <c r="D8372" s="1" t="n">
        <v>0.97847</v>
      </c>
      <c r="E8372" s="1" t="n">
        <f aca="false">LN(D8372)</f>
        <v>-0.0217651517882106</v>
      </c>
    </row>
    <row r="8373" customFormat="false" ht="15.75" hidden="false" customHeight="false" outlineLevel="0" collapsed="false">
      <c r="A8373" s="1" t="s">
        <v>1491</v>
      </c>
      <c r="B8373" s="1" t="n">
        <v>184.41</v>
      </c>
      <c r="C8373" s="1" t="n">
        <f aca="false">1/B8373</f>
        <v>0.00542269941977116</v>
      </c>
      <c r="D8373" s="1" t="n">
        <v>0.96424</v>
      </c>
      <c r="E8373" s="1" t="n">
        <f aca="false">LN(D8373)</f>
        <v>-0.0364150527020489</v>
      </c>
    </row>
    <row r="8374" customFormat="false" ht="15.75" hidden="false" customHeight="false" outlineLevel="0" collapsed="false">
      <c r="A8374" s="1" t="s">
        <v>1491</v>
      </c>
      <c r="B8374" s="1" t="n">
        <v>185.04</v>
      </c>
      <c r="C8374" s="1" t="n">
        <f aca="false">1/B8374</f>
        <v>0.00540423692174665</v>
      </c>
      <c r="D8374" s="1" t="n">
        <v>0.95035</v>
      </c>
      <c r="E8374" s="1" t="n">
        <f aca="false">LN(D8374)</f>
        <v>-0.0509249411852904</v>
      </c>
    </row>
    <row r="8375" customFormat="false" ht="15.75" hidden="false" customHeight="false" outlineLevel="0" collapsed="false">
      <c r="A8375" s="1" t="s">
        <v>1491</v>
      </c>
      <c r="B8375" s="1" t="n">
        <v>185.66</v>
      </c>
      <c r="C8375" s="1" t="n">
        <f aca="false">1/B8375</f>
        <v>0.00538618980932888</v>
      </c>
      <c r="D8375" s="1" t="n">
        <v>0.93678</v>
      </c>
      <c r="E8375" s="1" t="n">
        <f aca="false">LN(D8375)</f>
        <v>-0.0653068162006532</v>
      </c>
    </row>
    <row r="8376" customFormat="false" ht="15.75" hidden="false" customHeight="false" outlineLevel="0" collapsed="false">
      <c r="A8376" s="1" t="s">
        <v>1491</v>
      </c>
      <c r="B8376" s="1" t="n">
        <v>186.29</v>
      </c>
      <c r="C8376" s="1" t="n">
        <f aca="false">1/B8376</f>
        <v>0.00536797466315959</v>
      </c>
      <c r="D8376" s="1" t="n">
        <v>0.92353</v>
      </c>
      <c r="E8376" s="1" t="n">
        <f aca="false">LN(D8376)</f>
        <v>-0.0795519947594814</v>
      </c>
    </row>
    <row r="8377" customFormat="false" ht="15.75" hidden="false" customHeight="false" outlineLevel="0" collapsed="false">
      <c r="A8377" s="1" t="s">
        <v>1491</v>
      </c>
      <c r="B8377" s="1" t="n">
        <v>186.92</v>
      </c>
      <c r="C8377" s="1" t="n">
        <f aca="false">1/B8377</f>
        <v>0.00534988230258934</v>
      </c>
      <c r="D8377" s="1" t="n">
        <v>0.91059</v>
      </c>
      <c r="E8377" s="1" t="n">
        <f aca="false">LN(D8377)</f>
        <v>-0.0936625379120168</v>
      </c>
    </row>
    <row r="8378" customFormat="false" ht="15.75" hidden="false" customHeight="false" outlineLevel="0" collapsed="false">
      <c r="A8378" s="1" t="s">
        <v>1491</v>
      </c>
      <c r="B8378" s="1" t="n">
        <v>187.55</v>
      </c>
      <c r="C8378" s="1" t="n">
        <f aca="false">1/B8378</f>
        <v>0.00533191149026926</v>
      </c>
      <c r="D8378" s="1" t="n">
        <v>0.89795</v>
      </c>
      <c r="E8378" s="1" t="n">
        <f aca="false">LN(D8378)</f>
        <v>-0.107640891517392</v>
      </c>
    </row>
    <row r="8379" customFormat="false" ht="15.75" hidden="false" customHeight="false" outlineLevel="0" collapsed="false">
      <c r="A8379" s="1" t="s">
        <v>1491</v>
      </c>
      <c r="B8379" s="1" t="n">
        <v>188.17</v>
      </c>
      <c r="C8379" s="1" t="n">
        <f aca="false">1/B8379</f>
        <v>0.00531434341287134</v>
      </c>
      <c r="D8379" s="1" t="n">
        <v>0.88559</v>
      </c>
      <c r="E8379" s="1" t="n">
        <f aca="false">LN(D8379)</f>
        <v>-0.121501189431047</v>
      </c>
    </row>
    <row r="8380" customFormat="false" ht="15.75" hidden="false" customHeight="false" outlineLevel="0" collapsed="false">
      <c r="A8380" s="1" t="s">
        <v>1491</v>
      </c>
      <c r="B8380" s="1" t="n">
        <v>188.8</v>
      </c>
      <c r="C8380" s="1" t="n">
        <f aca="false">1/B8380</f>
        <v>0.00529661016949153</v>
      </c>
      <c r="D8380" s="1" t="n">
        <v>0.8735</v>
      </c>
      <c r="E8380" s="1" t="n">
        <f aca="false">LN(D8380)</f>
        <v>-0.135247149408026</v>
      </c>
    </row>
    <row r="8381" customFormat="false" ht="15.75" hidden="false" customHeight="false" outlineLevel="0" collapsed="false">
      <c r="A8381" s="1" t="s">
        <v>1491</v>
      </c>
      <c r="B8381" s="1" t="n">
        <v>189.43</v>
      </c>
      <c r="C8381" s="1" t="n">
        <f aca="false">1/B8381</f>
        <v>0.00527899487937497</v>
      </c>
      <c r="D8381" s="1" t="n">
        <v>0.86169</v>
      </c>
      <c r="E8381" s="1" t="n">
        <f aca="false">LN(D8381)</f>
        <v>-0.14885970177068</v>
      </c>
    </row>
    <row r="8382" customFormat="false" ht="15.75" hidden="false" customHeight="false" outlineLevel="0" collapsed="false">
      <c r="A8382" s="1" t="s">
        <v>1491</v>
      </c>
      <c r="B8382" s="1" t="n">
        <v>190.05</v>
      </c>
      <c r="C8382" s="1" t="n">
        <f aca="false">1/B8382</f>
        <v>0.00526177321757432</v>
      </c>
      <c r="D8382" s="1" t="n">
        <v>0.85013</v>
      </c>
      <c r="E8382" s="1" t="n">
        <f aca="false">LN(D8382)</f>
        <v>-0.162366000015614</v>
      </c>
    </row>
    <row r="8383" customFormat="false" ht="15.75" hidden="false" customHeight="false" outlineLevel="0" collapsed="false">
      <c r="A8383" s="1" t="s">
        <v>1491</v>
      </c>
      <c r="B8383" s="1" t="n">
        <v>190.68</v>
      </c>
      <c r="C8383" s="1" t="n">
        <f aca="false">1/B8383</f>
        <v>0.0052443885043004</v>
      </c>
      <c r="D8383" s="1" t="n">
        <v>0.83882</v>
      </c>
      <c r="E8383" s="1" t="n">
        <f aca="false">LN(D8383)</f>
        <v>-0.175759136652551</v>
      </c>
    </row>
    <row r="8384" customFormat="false" ht="15.75" hidden="false" customHeight="false" outlineLevel="0" collapsed="false">
      <c r="A8384" s="1" t="s">
        <v>1491</v>
      </c>
      <c r="B8384" s="1" t="n">
        <v>191.31</v>
      </c>
      <c r="C8384" s="1" t="n">
        <f aca="false">1/B8384</f>
        <v>0.0052271182896869</v>
      </c>
      <c r="D8384" s="1" t="n">
        <v>0.82776</v>
      </c>
      <c r="E8384" s="1" t="n">
        <f aca="false">LN(D8384)</f>
        <v>-0.189032021685442</v>
      </c>
    </row>
    <row r="8385" customFormat="false" ht="15.75" hidden="false" customHeight="false" outlineLevel="0" collapsed="false">
      <c r="A8385" s="1" t="s">
        <v>1491</v>
      </c>
      <c r="B8385" s="1" t="n">
        <v>191.94</v>
      </c>
      <c r="C8385" s="1" t="n">
        <f aca="false">1/B8385</f>
        <v>0.0052099614462853</v>
      </c>
      <c r="D8385" s="1" t="n">
        <v>0.81693</v>
      </c>
      <c r="E8385" s="1" t="n">
        <f aca="false">LN(D8385)</f>
        <v>-0.202201867107382</v>
      </c>
    </row>
    <row r="8386" customFormat="false" ht="15.75" hidden="false" customHeight="false" outlineLevel="0" collapsed="false">
      <c r="A8386" s="1" t="s">
        <v>1491</v>
      </c>
      <c r="B8386" s="1" t="n">
        <v>192.56</v>
      </c>
      <c r="C8386" s="1" t="n">
        <f aca="false">1/B8386</f>
        <v>0.00519318653926049</v>
      </c>
      <c r="D8386" s="1" t="n">
        <v>0.80633</v>
      </c>
      <c r="E8386" s="1" t="n">
        <f aca="false">LN(D8386)</f>
        <v>-0.215262190988409</v>
      </c>
    </row>
    <row r="8387" customFormat="false" ht="15.75" hidden="false" customHeight="false" outlineLevel="0" collapsed="false">
      <c r="A8387" s="1" t="s">
        <v>1491</v>
      </c>
      <c r="B8387" s="1" t="n">
        <v>193.19</v>
      </c>
      <c r="C8387" s="1" t="n">
        <f aca="false">1/B8387</f>
        <v>0.00517625135876598</v>
      </c>
      <c r="D8387" s="1" t="n">
        <v>0.79595</v>
      </c>
      <c r="E8387" s="1" t="n">
        <f aca="false">LN(D8387)</f>
        <v>-0.228218909180992</v>
      </c>
    </row>
    <row r="8388" customFormat="false" ht="15.75" hidden="false" customHeight="false" outlineLevel="0" collapsed="false">
      <c r="A8388" s="1" t="s">
        <v>1491</v>
      </c>
      <c r="B8388" s="1" t="n">
        <v>193.82</v>
      </c>
      <c r="C8388" s="1" t="n">
        <f aca="false">1/B8388</f>
        <v>0.00515942627179858</v>
      </c>
      <c r="D8388" s="1" t="n">
        <v>0.78579</v>
      </c>
      <c r="E8388" s="1" t="n">
        <f aca="false">LN(D8388)</f>
        <v>-0.241065697823201</v>
      </c>
    </row>
    <row r="8389" customFormat="false" ht="15.75" hidden="false" customHeight="false" outlineLevel="0" collapsed="false">
      <c r="A8389" s="1" t="s">
        <v>1491</v>
      </c>
      <c r="B8389" s="1" t="n">
        <v>194.44</v>
      </c>
      <c r="C8389" s="1" t="n">
        <f aca="false">1/B8389</f>
        <v>0.00514297469656449</v>
      </c>
      <c r="D8389" s="1" t="n">
        <v>0.77583</v>
      </c>
      <c r="E8389" s="1" t="n">
        <f aca="false">LN(D8389)</f>
        <v>-0.253821854963679</v>
      </c>
    </row>
    <row r="8390" customFormat="false" ht="15.75" hidden="false" customHeight="false" outlineLevel="0" collapsed="false">
      <c r="A8390" s="1" t="s">
        <v>1491</v>
      </c>
      <c r="B8390" s="1" t="n">
        <v>195.07</v>
      </c>
      <c r="C8390" s="1" t="n">
        <f aca="false">1/B8390</f>
        <v>0.0051263648946532</v>
      </c>
      <c r="D8390" s="1" t="n">
        <v>0.76608</v>
      </c>
      <c r="E8390" s="1" t="n">
        <f aca="false">LN(D8390)</f>
        <v>-0.266468676052583</v>
      </c>
    </row>
    <row r="8391" customFormat="false" ht="15.75" hidden="false" customHeight="false" outlineLevel="0" collapsed="false">
      <c r="A8391" s="1" t="s">
        <v>1491</v>
      </c>
      <c r="B8391" s="1" t="n">
        <v>195.7</v>
      </c>
      <c r="C8391" s="1" t="n">
        <f aca="false">1/B8391</f>
        <v>0.00510986203372509</v>
      </c>
      <c r="D8391" s="1" t="n">
        <v>0.75652</v>
      </c>
      <c r="E8391" s="1" t="n">
        <f aca="false">LN(D8391)</f>
        <v>-0.279026308561883</v>
      </c>
    </row>
    <row r="8392" customFormat="false" ht="15.75" hidden="false" customHeight="false" outlineLevel="0" collapsed="false">
      <c r="A8392" s="1" t="s">
        <v>1491</v>
      </c>
      <c r="B8392" s="1" t="n">
        <v>196.32</v>
      </c>
      <c r="C8392" s="1" t="n">
        <f aca="false">1/B8392</f>
        <v>0.00509372453137734</v>
      </c>
      <c r="D8392" s="1" t="n">
        <v>0.74715</v>
      </c>
      <c r="E8392" s="1" t="n">
        <f aca="false">LN(D8392)</f>
        <v>-0.291489310794735</v>
      </c>
    </row>
    <row r="8393" customFormat="false" ht="15.75" hidden="false" customHeight="false" outlineLevel="0" collapsed="false">
      <c r="A8393" s="1" t="s">
        <v>1491</v>
      </c>
      <c r="B8393" s="1" t="n">
        <v>196.95</v>
      </c>
      <c r="C8393" s="1" t="n">
        <f aca="false">1/B8393</f>
        <v>0.00507743082000508</v>
      </c>
      <c r="D8393" s="1" t="n">
        <v>0.73797</v>
      </c>
      <c r="E8393" s="1" t="n">
        <f aca="false">LN(D8393)</f>
        <v>-0.303852105614419</v>
      </c>
    </row>
    <row r="8394" customFormat="false" ht="15.75" hidden="false" customHeight="false" outlineLevel="0" collapsed="false">
      <c r="A8394" s="1" t="s">
        <v>1491</v>
      </c>
      <c r="B8394" s="1" t="n">
        <v>197.58</v>
      </c>
      <c r="C8394" s="1" t="n">
        <f aca="false">1/B8394</f>
        <v>0.0050612410162972</v>
      </c>
      <c r="D8394" s="1" t="n">
        <v>0.72897</v>
      </c>
      <c r="E8394" s="1" t="n">
        <f aca="false">LN(D8394)</f>
        <v>-0.316122700083631</v>
      </c>
    </row>
    <row r="8395" customFormat="false" ht="15.75" hidden="false" customHeight="false" outlineLevel="0" collapsed="false">
      <c r="A8395" s="1" t="s">
        <v>1491</v>
      </c>
      <c r="B8395" s="1" t="n">
        <v>198.21</v>
      </c>
      <c r="C8395" s="1" t="n">
        <f aca="false">1/B8395</f>
        <v>0.00504515412945865</v>
      </c>
      <c r="D8395" s="1" t="n">
        <v>0.72014</v>
      </c>
      <c r="E8395" s="1" t="n">
        <f aca="false">LN(D8395)</f>
        <v>-0.328309641429462</v>
      </c>
    </row>
    <row r="8396" customFormat="false" ht="15.75" hidden="false" customHeight="false" outlineLevel="0" collapsed="false">
      <c r="A8396" s="1" t="s">
        <v>1491</v>
      </c>
      <c r="B8396" s="1" t="n">
        <v>198.83</v>
      </c>
      <c r="C8396" s="1" t="n">
        <f aca="false">1/B8396</f>
        <v>0.00502942211939848</v>
      </c>
      <c r="D8396" s="1" t="n">
        <v>0.71148</v>
      </c>
      <c r="E8396" s="1" t="n">
        <f aca="false">LN(D8396)</f>
        <v>-0.34040797147486</v>
      </c>
    </row>
    <row r="8397" customFormat="false" ht="15.75" hidden="false" customHeight="false" outlineLevel="0" collapsed="false">
      <c r="A8397" s="1" t="s">
        <v>1491</v>
      </c>
      <c r="B8397" s="1" t="n">
        <v>199.46</v>
      </c>
      <c r="C8397" s="1" t="n">
        <f aca="false">1/B8397</f>
        <v>0.00501353654868144</v>
      </c>
      <c r="D8397" s="1" t="n">
        <v>0.70298</v>
      </c>
      <c r="E8397" s="1" t="n">
        <f aca="false">LN(D8397)</f>
        <v>-0.3524268370783</v>
      </c>
    </row>
    <row r="8398" customFormat="false" ht="15.75" hidden="false" customHeight="false" outlineLevel="0" collapsed="false">
      <c r="A8398" s="1" t="s">
        <v>1491</v>
      </c>
      <c r="B8398" s="1" t="n">
        <v>200.09</v>
      </c>
      <c r="C8398" s="1" t="n">
        <f aca="false">1/B8398</f>
        <v>0.00499775101204458</v>
      </c>
      <c r="D8398" s="1" t="n">
        <v>0.69465</v>
      </c>
      <c r="E8398" s="1" t="n">
        <f aca="false">LN(D8398)</f>
        <v>-0.364347157387266</v>
      </c>
    </row>
    <row r="8399" customFormat="false" ht="15.75" hidden="false" customHeight="false" outlineLevel="0" collapsed="false">
      <c r="A8399" s="1" t="s">
        <v>1491</v>
      </c>
      <c r="B8399" s="1" t="n">
        <v>200.71</v>
      </c>
      <c r="C8399" s="1" t="n">
        <f aca="false">1/B8399</f>
        <v>0.00498231278959693</v>
      </c>
      <c r="D8399" s="1" t="n">
        <v>0.68647</v>
      </c>
      <c r="E8399" s="1" t="n">
        <f aca="false">LN(D8399)</f>
        <v>-0.376192754656148</v>
      </c>
    </row>
    <row r="8400" customFormat="false" ht="15.75" hidden="false" customHeight="false" outlineLevel="0" collapsed="false">
      <c r="A8400" s="1" t="s">
        <v>1491</v>
      </c>
      <c r="B8400" s="1" t="n">
        <v>201.34</v>
      </c>
      <c r="C8400" s="1" t="n">
        <f aca="false">1/B8400</f>
        <v>0.0049667229561935</v>
      </c>
      <c r="D8400" s="1" t="n">
        <v>0.67844</v>
      </c>
      <c r="E8400" s="1" t="n">
        <f aca="false">LN(D8400)</f>
        <v>-0.387959233978499</v>
      </c>
    </row>
    <row r="8401" customFormat="false" ht="15.75" hidden="false" customHeight="false" outlineLevel="0" collapsed="false">
      <c r="A8401" s="1" t="s">
        <v>1491</v>
      </c>
      <c r="B8401" s="1" t="n">
        <v>201.97</v>
      </c>
      <c r="C8401" s="1" t="n">
        <f aca="false">1/B8401</f>
        <v>0.00495123038074962</v>
      </c>
      <c r="D8401" s="1" t="n">
        <v>0.67056</v>
      </c>
      <c r="E8401" s="1" t="n">
        <f aca="false">LN(D8401)</f>
        <v>-0.399642094805376</v>
      </c>
    </row>
    <row r="8402" customFormat="false" ht="15.75" hidden="false" customHeight="false" outlineLevel="0" collapsed="false">
      <c r="A8402" s="1" t="s">
        <v>1491</v>
      </c>
      <c r="B8402" s="1" t="n">
        <v>202.6</v>
      </c>
      <c r="C8402" s="1" t="n">
        <f aca="false">1/B8402</f>
        <v>0.00493583415597236</v>
      </c>
      <c r="D8402" s="1" t="n">
        <v>0.66282</v>
      </c>
      <c r="E8402" s="1" t="n">
        <f aca="false">LN(D8402)</f>
        <v>-0.411251818869898</v>
      </c>
    </row>
    <row r="8403" customFormat="false" ht="15.75" hidden="false" customHeight="false" outlineLevel="0" collapsed="false">
      <c r="A8403" s="1" t="s">
        <v>1491</v>
      </c>
      <c r="B8403" s="1" t="n">
        <v>203.22</v>
      </c>
      <c r="C8403" s="1" t="n">
        <f aca="false">1/B8403</f>
        <v>0.00492077551422104</v>
      </c>
      <c r="D8403" s="1" t="n">
        <v>0.65523</v>
      </c>
      <c r="E8403" s="1" t="n">
        <f aca="false">LN(D8403)</f>
        <v>-0.422768959945708</v>
      </c>
    </row>
    <row r="8404" customFormat="false" ht="15.75" hidden="false" customHeight="false" outlineLevel="0" collapsed="false">
      <c r="A8404" s="1" t="s">
        <v>1491</v>
      </c>
      <c r="B8404" s="1" t="n">
        <v>203.85</v>
      </c>
      <c r="C8404" s="1" t="n">
        <f aca="false">1/B8404</f>
        <v>0.0049055678194751</v>
      </c>
      <c r="D8404" s="1" t="n">
        <v>0.64776</v>
      </c>
      <c r="E8404" s="1" t="n">
        <f aca="false">LN(D8404)</f>
        <v>-0.434235021604278</v>
      </c>
    </row>
    <row r="8405" customFormat="false" ht="15.75" hidden="false" customHeight="false" outlineLevel="0" collapsed="false">
      <c r="A8405" s="1" t="s">
        <v>1491</v>
      </c>
      <c r="B8405" s="1" t="n">
        <v>204.48</v>
      </c>
      <c r="C8405" s="1" t="n">
        <f aca="false">1/B8405</f>
        <v>0.00489045383411581</v>
      </c>
      <c r="D8405" s="1" t="n">
        <v>0.64044</v>
      </c>
      <c r="E8405" s="1" t="n">
        <f aca="false">LN(D8405)</f>
        <v>-0.445599838848283</v>
      </c>
    </row>
    <row r="8406" customFormat="false" ht="15.75" hidden="false" customHeight="false" outlineLevel="0" collapsed="false">
      <c r="A8406" s="1" t="s">
        <v>1491</v>
      </c>
      <c r="B8406" s="1" t="n">
        <v>205.1</v>
      </c>
      <c r="C8406" s="1" t="n">
        <f aca="false">1/B8406</f>
        <v>0.00487567040468064</v>
      </c>
      <c r="D8406" s="1" t="n">
        <v>0.63324</v>
      </c>
      <c r="E8406" s="1" t="n">
        <f aca="false">LN(D8406)</f>
        <v>-0.45690578177656</v>
      </c>
    </row>
    <row r="8407" customFormat="false" ht="15.75" hidden="false" customHeight="false" outlineLevel="0" collapsed="false">
      <c r="A8407" s="1" t="s">
        <v>1491</v>
      </c>
      <c r="B8407" s="1" t="n">
        <v>205.73</v>
      </c>
      <c r="C8407" s="1" t="n">
        <f aca="false">1/B8407</f>
        <v>0.00486073980459826</v>
      </c>
      <c r="D8407" s="1" t="n">
        <v>0.62616</v>
      </c>
      <c r="E8407" s="1" t="n">
        <f aca="false">LN(D8407)</f>
        <v>-0.468149349485554</v>
      </c>
    </row>
    <row r="8408" customFormat="false" ht="15.75" hidden="false" customHeight="false" outlineLevel="0" collapsed="false">
      <c r="A8408" s="1" t="s">
        <v>1491</v>
      </c>
      <c r="B8408" s="1" t="n">
        <v>206.36</v>
      </c>
      <c r="C8408" s="1" t="n">
        <f aca="false">1/B8408</f>
        <v>0.00484590036828843</v>
      </c>
      <c r="D8408" s="1" t="n">
        <v>0.61921</v>
      </c>
      <c r="E8408" s="1" t="n">
        <f aca="false">LN(D8408)</f>
        <v>-0.479310806966226</v>
      </c>
    </row>
    <row r="8409" customFormat="false" ht="15.75" hidden="false" customHeight="false" outlineLevel="0" collapsed="false">
      <c r="A8409" s="1" t="s">
        <v>1491</v>
      </c>
      <c r="B8409" s="1" t="n">
        <v>206.99</v>
      </c>
      <c r="C8409" s="1" t="n">
        <f aca="false">1/B8409</f>
        <v>0.00483115126334606</v>
      </c>
      <c r="D8409" s="1" t="n">
        <v>0.61238</v>
      </c>
      <c r="E8409" s="1" t="n">
        <f aca="false">LN(D8409)</f>
        <v>-0.490402274125112</v>
      </c>
    </row>
    <row r="8410" customFormat="false" ht="15.75" hidden="false" customHeight="false" outlineLevel="0" collapsed="false">
      <c r="A8410" s="1" t="s">
        <v>1491</v>
      </c>
      <c r="B8410" s="1" t="n">
        <v>207.61</v>
      </c>
      <c r="C8410" s="1" t="n">
        <f aca="false">1/B8410</f>
        <v>0.00481672366456336</v>
      </c>
      <c r="D8410" s="1" t="n">
        <v>0.60566</v>
      </c>
      <c r="E8410" s="1" t="n">
        <f aca="false">LN(D8410)</f>
        <v>-0.501436506469305</v>
      </c>
    </row>
    <row r="8411" customFormat="false" ht="15.75" hidden="false" customHeight="false" outlineLevel="0" collapsed="false">
      <c r="A8411" s="1" t="s">
        <v>1491</v>
      </c>
      <c r="B8411" s="1" t="n">
        <v>208.24</v>
      </c>
      <c r="C8411" s="1" t="n">
        <f aca="false">1/B8411</f>
        <v>0.00480215136381099</v>
      </c>
      <c r="D8411" s="1" t="n">
        <v>0.59906</v>
      </c>
      <c r="E8411" s="1" t="n">
        <f aca="false">LN(D8411)</f>
        <v>-0.512393518938153</v>
      </c>
    </row>
    <row r="8412" customFormat="false" ht="15.75" hidden="false" customHeight="false" outlineLevel="0" collapsed="false">
      <c r="A8412" s="1" t="s">
        <v>1491</v>
      </c>
      <c r="B8412" s="1" t="n">
        <v>208.87</v>
      </c>
      <c r="C8412" s="1" t="n">
        <f aca="false">1/B8412</f>
        <v>0.00478766696988558</v>
      </c>
      <c r="D8412" s="1" t="n">
        <v>0.59256</v>
      </c>
      <c r="E8412" s="1" t="n">
        <f aca="false">LN(D8412)</f>
        <v>-0.523303145277103</v>
      </c>
    </row>
    <row r="8413" customFormat="false" ht="15.75" hidden="false" customHeight="false" outlineLevel="0" collapsed="false">
      <c r="A8413" s="1" t="s">
        <v>1491</v>
      </c>
      <c r="B8413" s="1" t="n">
        <v>209.49</v>
      </c>
      <c r="C8413" s="1" t="n">
        <f aca="false">1/B8413</f>
        <v>0.00477349754164877</v>
      </c>
      <c r="D8413" s="1" t="n">
        <v>0.58618</v>
      </c>
      <c r="E8413" s="1" t="n">
        <f aca="false">LN(D8413)</f>
        <v>-0.534128369335826</v>
      </c>
    </row>
    <row r="8414" customFormat="false" ht="15.75" hidden="false" customHeight="false" outlineLevel="0" collapsed="false">
      <c r="A8414" s="1" t="s">
        <v>1491</v>
      </c>
      <c r="B8414" s="1" t="n">
        <v>210.12</v>
      </c>
      <c r="C8414" s="1" t="n">
        <f aca="false">1/B8414</f>
        <v>0.00475918522748905</v>
      </c>
      <c r="D8414" s="1" t="n">
        <v>0.5799</v>
      </c>
      <c r="E8414" s="1" t="n">
        <f aca="false">LN(D8414)</f>
        <v>-0.544899604099742</v>
      </c>
    </row>
    <row r="8415" customFormat="false" ht="15.75" hidden="false" customHeight="false" outlineLevel="0" collapsed="false">
      <c r="A8415" s="1" t="s">
        <v>1491</v>
      </c>
      <c r="B8415" s="1" t="n">
        <v>210.75</v>
      </c>
      <c r="C8415" s="1" t="n">
        <f aca="false">1/B8415</f>
        <v>0.00474495848161329</v>
      </c>
      <c r="D8415" s="1" t="n">
        <v>0.57372</v>
      </c>
      <c r="E8415" s="1" t="n">
        <f aca="false">LN(D8415)</f>
        <v>-0.555613806556125</v>
      </c>
    </row>
    <row r="8416" customFormat="false" ht="15.75" hidden="false" customHeight="false" outlineLevel="0" collapsed="false">
      <c r="A8416" s="1" t="s">
        <v>1491</v>
      </c>
      <c r="B8416" s="1" t="n">
        <v>211.37</v>
      </c>
      <c r="C8416" s="1" t="n">
        <f aca="false">1/B8416</f>
        <v>0.00473104035577423</v>
      </c>
      <c r="D8416" s="1" t="n">
        <v>0.56765</v>
      </c>
      <c r="E8416" s="1" t="n">
        <f aca="false">LN(D8416)</f>
        <v>-0.566250247371594</v>
      </c>
    </row>
    <row r="8417" customFormat="false" ht="15.75" hidden="false" customHeight="false" outlineLevel="0" collapsed="false">
      <c r="A8417" s="1" t="s">
        <v>1491</v>
      </c>
      <c r="B8417" s="1" t="n">
        <v>212</v>
      </c>
      <c r="C8417" s="1" t="n">
        <f aca="false">1/B8417</f>
        <v>0.00471698113207547</v>
      </c>
      <c r="D8417" s="1" t="n">
        <v>0.56167</v>
      </c>
      <c r="E8417" s="1" t="n">
        <f aca="false">LN(D8417)</f>
        <v>-0.576840790163294</v>
      </c>
    </row>
    <row r="8418" customFormat="false" ht="15.75" hidden="false" customHeight="false" outlineLevel="0" collapsed="false">
      <c r="A8418" s="1" t="s">
        <v>1491</v>
      </c>
      <c r="B8418" s="1" t="n">
        <v>212.63</v>
      </c>
      <c r="C8418" s="1" t="n">
        <f aca="false">1/B8418</f>
        <v>0.00470300522033579</v>
      </c>
      <c r="D8418" s="1" t="n">
        <v>0.55578</v>
      </c>
      <c r="E8418" s="1" t="n">
        <f aca="false">LN(D8418)</f>
        <v>-0.587382746488146</v>
      </c>
    </row>
    <row r="8419" customFormat="false" ht="15.75" hidden="false" customHeight="false" outlineLevel="0" collapsed="false">
      <c r="A8419" s="1" t="s">
        <v>1491</v>
      </c>
      <c r="B8419" s="1" t="n">
        <v>213.26</v>
      </c>
      <c r="C8419" s="1" t="n">
        <f aca="false">1/B8419</f>
        <v>0.00468911188220951</v>
      </c>
      <c r="D8419" s="1" t="n">
        <v>0.54999</v>
      </c>
      <c r="E8419" s="1" t="n">
        <f aca="false">LN(D8419)</f>
        <v>-0.597855182739094</v>
      </c>
    </row>
    <row r="8420" customFormat="false" ht="15.75" hidden="false" customHeight="false" outlineLevel="0" collapsed="false">
      <c r="A8420" s="1" t="s">
        <v>1491</v>
      </c>
      <c r="B8420" s="1" t="n">
        <v>213.88</v>
      </c>
      <c r="C8420" s="1" t="n">
        <f aca="false">1/B8420</f>
        <v>0.00467551898260707</v>
      </c>
      <c r="D8420" s="1" t="n">
        <v>0.54429</v>
      </c>
      <c r="E8420" s="1" t="n">
        <f aca="false">LN(D8420)</f>
        <v>-0.608273085931956</v>
      </c>
    </row>
    <row r="8421" customFormat="false" ht="15.75" hidden="false" customHeight="false" outlineLevel="0" collapsed="false">
      <c r="A8421" s="1" t="s">
        <v>1491</v>
      </c>
      <c r="B8421" s="1" t="n">
        <v>214.51</v>
      </c>
      <c r="C8421" s="1" t="n">
        <f aca="false">1/B8421</f>
        <v>0.00466178732926204</v>
      </c>
      <c r="D8421" s="1" t="n">
        <v>0.53868</v>
      </c>
      <c r="E8421" s="1" t="n">
        <f aca="false">LN(D8421)</f>
        <v>-0.618633576400296</v>
      </c>
    </row>
    <row r="8422" customFormat="false" ht="15.75" hidden="false" customHeight="false" outlineLevel="0" collapsed="false">
      <c r="A8422" s="1" t="s">
        <v>1491</v>
      </c>
      <c r="B8422" s="1" t="n">
        <v>215.14</v>
      </c>
      <c r="C8422" s="1" t="n">
        <f aca="false">1/B8422</f>
        <v>0.00464813609742493</v>
      </c>
      <c r="D8422" s="1" t="n">
        <v>0.53316</v>
      </c>
      <c r="E8422" s="1" t="n">
        <f aca="false">LN(D8422)</f>
        <v>-0.62893371224632</v>
      </c>
    </row>
    <row r="8423" customFormat="false" ht="15.75" hidden="false" customHeight="false" outlineLevel="0" collapsed="false">
      <c r="A8423" s="1" t="s">
        <v>1491</v>
      </c>
      <c r="B8423" s="1" t="n">
        <v>215.76</v>
      </c>
      <c r="C8423" s="1" t="n">
        <f aca="false">1/B8423</f>
        <v>0.0046347793845013</v>
      </c>
      <c r="D8423" s="1" t="n">
        <v>0.52772</v>
      </c>
      <c r="E8423" s="1" t="n">
        <f aca="false">LN(D8423)</f>
        <v>-0.639189438966561</v>
      </c>
    </row>
    <row r="8424" customFormat="false" ht="15.75" hidden="false" customHeight="false" outlineLevel="0" collapsed="false">
      <c r="A8424" s="1" t="s">
        <v>1491</v>
      </c>
      <c r="B8424" s="1" t="n">
        <v>216.39</v>
      </c>
      <c r="C8424" s="1" t="n">
        <f aca="false">1/B8424</f>
        <v>0.00462128564166551</v>
      </c>
      <c r="D8424" s="1" t="n">
        <v>0.52236</v>
      </c>
      <c r="E8424" s="1" t="n">
        <f aca="false">LN(D8424)</f>
        <v>-0.649398273629931</v>
      </c>
    </row>
    <row r="8425" customFormat="false" ht="15.75" hidden="false" customHeight="false" outlineLevel="0" collapsed="false">
      <c r="A8425" s="1" t="s">
        <v>1491</v>
      </c>
      <c r="B8425" s="1" t="n">
        <v>217.02</v>
      </c>
      <c r="C8425" s="1" t="n">
        <f aca="false">1/B8425</f>
        <v>0.00460787024237397</v>
      </c>
      <c r="D8425" s="1" t="n">
        <v>0.51708</v>
      </c>
      <c r="E8425" s="1" t="n">
        <f aca="false">LN(D8425)</f>
        <v>-0.65955767756639</v>
      </c>
    </row>
    <row r="8426" customFormat="false" ht="15.75" hidden="false" customHeight="false" outlineLevel="0" collapsed="false">
      <c r="A8426" s="1" t="s">
        <v>1491</v>
      </c>
      <c r="B8426" s="1" t="n">
        <v>217.65</v>
      </c>
      <c r="C8426" s="1" t="n">
        <f aca="false">1/B8426</f>
        <v>0.00459453250631748</v>
      </c>
      <c r="D8426" s="1" t="n">
        <v>0.51189</v>
      </c>
      <c r="E8426" s="1" t="n">
        <f aca="false">LN(D8426)</f>
        <v>-0.669645520774854</v>
      </c>
    </row>
    <row r="8427" customFormat="false" ht="15.75" hidden="false" customHeight="false" outlineLevel="0" collapsed="false">
      <c r="A8427" s="1" t="s">
        <v>1491</v>
      </c>
      <c r="B8427" s="1" t="n">
        <v>218.27</v>
      </c>
      <c r="C8427" s="1" t="n">
        <f aca="false">1/B8427</f>
        <v>0.00458148165116599</v>
      </c>
      <c r="D8427" s="1" t="n">
        <v>0.50677</v>
      </c>
      <c r="E8427" s="1" t="n">
        <f aca="false">LN(D8427)</f>
        <v>-0.679698027235941</v>
      </c>
    </row>
    <row r="8428" customFormat="false" ht="15.75" hidden="false" customHeight="false" outlineLevel="0" collapsed="false">
      <c r="A8428" s="1" t="s">
        <v>1491</v>
      </c>
      <c r="B8428" s="1" t="n">
        <v>218.9</v>
      </c>
      <c r="C8428" s="1" t="n">
        <f aca="false">1/B8428</f>
        <v>0.00456829602558246</v>
      </c>
      <c r="D8428" s="1" t="n">
        <v>0.50172</v>
      </c>
      <c r="E8428" s="1" t="n">
        <f aca="false">LN(D8428)</f>
        <v>-0.689713083825663</v>
      </c>
    </row>
    <row r="8429" customFormat="false" ht="15.75" hidden="false" customHeight="false" outlineLevel="0" collapsed="false">
      <c r="A8429" s="1" t="s">
        <v>1491</v>
      </c>
      <c r="B8429" s="1" t="n">
        <v>219.53</v>
      </c>
      <c r="C8429" s="1" t="n">
        <f aca="false">1/B8429</f>
        <v>0.00455518607935134</v>
      </c>
      <c r="D8429" s="1" t="n">
        <v>0.49675</v>
      </c>
      <c r="E8429" s="1" t="n">
        <f aca="false">LN(D8429)</f>
        <v>-0.699668397550211</v>
      </c>
    </row>
    <row r="8430" customFormat="false" ht="15.75" hidden="false" customHeight="false" outlineLevel="0" collapsed="false">
      <c r="A8430" s="1" t="s">
        <v>1491</v>
      </c>
      <c r="B8430" s="1" t="n">
        <v>220.15</v>
      </c>
      <c r="C8430" s="1" t="n">
        <f aca="false">1/B8430</f>
        <v>0.00454235748353395</v>
      </c>
      <c r="D8430" s="1" t="n">
        <v>0.49186</v>
      </c>
      <c r="E8430" s="1" t="n">
        <f aca="false">LN(D8430)</f>
        <v>-0.7095611558282</v>
      </c>
    </row>
    <row r="8431" customFormat="false" ht="15.75" hidden="false" customHeight="false" outlineLevel="0" collapsed="false">
      <c r="A8431" s="1" t="s">
        <v>1491</v>
      </c>
      <c r="B8431" s="1" t="n">
        <v>220.78</v>
      </c>
      <c r="C8431" s="1" t="n">
        <f aca="false">1/B8431</f>
        <v>0.00452939577860313</v>
      </c>
      <c r="D8431" s="1" t="n">
        <v>0.48703</v>
      </c>
      <c r="E8431" s="1" t="n">
        <f aca="false">LN(D8431)</f>
        <v>-0.71942955615414</v>
      </c>
    </row>
    <row r="8432" customFormat="false" ht="15.75" hidden="false" customHeight="false" outlineLevel="0" collapsed="false">
      <c r="A8432" s="1" t="s">
        <v>1491</v>
      </c>
      <c r="B8432" s="1" t="n">
        <v>221.41</v>
      </c>
      <c r="C8432" s="1" t="n">
        <f aca="false">1/B8432</f>
        <v>0.0045165078361411</v>
      </c>
      <c r="D8432" s="1" t="n">
        <v>0.48227</v>
      </c>
      <c r="E8432" s="1" t="n">
        <f aca="false">LN(D8432)</f>
        <v>-0.729251155790827</v>
      </c>
    </row>
    <row r="8433" customFormat="false" ht="15.75" hidden="false" customHeight="false" outlineLevel="0" collapsed="false">
      <c r="A8433" s="1" t="s">
        <v>1491</v>
      </c>
      <c r="B8433" s="1" t="n">
        <v>222.04</v>
      </c>
      <c r="C8433" s="1" t="n">
        <f aca="false">1/B8433</f>
        <v>0.00450369302828319</v>
      </c>
      <c r="D8433" s="1" t="n">
        <v>0.47758</v>
      </c>
      <c r="E8433" s="1" t="n">
        <f aca="false">LN(D8433)</f>
        <v>-0.739023593827472</v>
      </c>
    </row>
    <row r="8434" customFormat="false" ht="15.75" hidden="false" customHeight="false" outlineLevel="0" collapsed="false">
      <c r="A8434" s="1" t="s">
        <v>1491</v>
      </c>
      <c r="B8434" s="1" t="n">
        <v>222.66</v>
      </c>
      <c r="C8434" s="1" t="n">
        <f aca="false">1/B8434</f>
        <v>0.00449115242971346</v>
      </c>
      <c r="D8434" s="1" t="n">
        <v>0.47295</v>
      </c>
      <c r="E8434" s="1" t="n">
        <f aca="false">LN(D8434)</f>
        <v>-0.748765604322958</v>
      </c>
    </row>
    <row r="8435" customFormat="false" ht="15.75" hidden="false" customHeight="false" outlineLevel="0" collapsed="false">
      <c r="A8435" s="1" t="s">
        <v>1491</v>
      </c>
      <c r="B8435" s="1" t="n">
        <v>223.29</v>
      </c>
      <c r="C8435" s="1" t="n">
        <f aca="false">1/B8435</f>
        <v>0.00447848089927896</v>
      </c>
      <c r="D8435" s="1" t="n">
        <v>0.46839</v>
      </c>
      <c r="E8435" s="1" t="n">
        <f aca="false">LN(D8435)</f>
        <v>-0.758453996760599</v>
      </c>
    </row>
    <row r="8436" customFormat="false" ht="15.75" hidden="false" customHeight="false" outlineLevel="0" collapsed="false">
      <c r="A8436" s="1" t="s">
        <v>1491</v>
      </c>
      <c r="B8436" s="1" t="n">
        <v>223.92</v>
      </c>
      <c r="C8436" s="1" t="n">
        <f aca="false">1/B8436</f>
        <v>0.00446588067166845</v>
      </c>
      <c r="D8436" s="1" t="n">
        <v>0.4639</v>
      </c>
      <c r="E8436" s="1" t="n">
        <f aca="false">LN(D8436)</f>
        <v>-0.768086267224439</v>
      </c>
    </row>
    <row r="8437" customFormat="false" ht="15.75" hidden="false" customHeight="false" outlineLevel="0" collapsed="false">
      <c r="A8437" s="1" t="s">
        <v>1491</v>
      </c>
      <c r="B8437" s="1" t="n">
        <v>224.54</v>
      </c>
      <c r="C8437" s="1" t="n">
        <f aca="false">1/B8437</f>
        <v>0.00445354947893471</v>
      </c>
      <c r="D8437" s="1" t="n">
        <v>0.45946</v>
      </c>
      <c r="E8437" s="1" t="n">
        <f aca="false">LN(D8437)</f>
        <v>-0.777703392118112</v>
      </c>
    </row>
    <row r="8438" customFormat="false" ht="15.75" hidden="false" customHeight="false" outlineLevel="0" collapsed="false">
      <c r="A8438" s="1" t="s">
        <v>1491</v>
      </c>
      <c r="B8438" s="1" t="n">
        <v>225.17</v>
      </c>
      <c r="C8438" s="1" t="n">
        <f aca="false">1/B8438</f>
        <v>0.00444108895501177</v>
      </c>
      <c r="D8438" s="1" t="n">
        <v>0.45509</v>
      </c>
      <c r="E8438" s="1" t="n">
        <f aca="false">LN(D8438)</f>
        <v>-0.78726007739366</v>
      </c>
    </row>
    <row r="8439" customFormat="false" ht="15.75" hidden="false" customHeight="false" outlineLevel="0" collapsed="false">
      <c r="A8439" s="1" t="s">
        <v>1491</v>
      </c>
      <c r="B8439" s="1" t="n">
        <v>225.8</v>
      </c>
      <c r="C8439" s="1" t="n">
        <f aca="false">1/B8439</f>
        <v>0.00442869796279894</v>
      </c>
      <c r="D8439" s="1" t="n">
        <v>0.45077</v>
      </c>
      <c r="E8439" s="1" t="n">
        <f aca="false">LN(D8439)</f>
        <v>-0.79679804738943</v>
      </c>
    </row>
    <row r="8440" customFormat="false" ht="15.75" hidden="false" customHeight="false" outlineLevel="0" collapsed="false">
      <c r="A8440" s="1" t="s">
        <v>1491</v>
      </c>
      <c r="B8440" s="1" t="n">
        <v>226.42</v>
      </c>
      <c r="C8440" s="1" t="n">
        <f aca="false">1/B8440</f>
        <v>0.00441657097429556</v>
      </c>
      <c r="D8440" s="1" t="n">
        <v>0.44652</v>
      </c>
      <c r="E8440" s="1" t="n">
        <f aca="false">LN(D8440)</f>
        <v>-0.806271086835606</v>
      </c>
    </row>
    <row r="8441" customFormat="false" ht="15.75" hidden="false" customHeight="false" outlineLevel="0" collapsed="false">
      <c r="A8441" s="1" t="s">
        <v>1491</v>
      </c>
      <c r="B8441" s="1" t="n">
        <v>227.05</v>
      </c>
      <c r="C8441" s="1" t="n">
        <f aca="false">1/B8441</f>
        <v>0.00440431622990531</v>
      </c>
      <c r="D8441" s="1" t="n">
        <v>0.44232</v>
      </c>
      <c r="E8441" s="1" t="n">
        <f aca="false">LN(D8441)</f>
        <v>-0.81572167695246</v>
      </c>
    </row>
    <row r="8442" customFormat="false" ht="15.75" hidden="false" customHeight="false" outlineLevel="0" collapsed="false">
      <c r="A8442" s="1" t="s">
        <v>1491</v>
      </c>
      <c r="B8442" s="1" t="n">
        <v>227.68</v>
      </c>
      <c r="C8442" s="1" t="n">
        <f aca="false">1/B8442</f>
        <v>0.00439212930428672</v>
      </c>
      <c r="D8442" s="1" t="n">
        <v>0.43817</v>
      </c>
      <c r="E8442" s="1" t="n">
        <f aca="false">LN(D8442)</f>
        <v>-0.825148316053941</v>
      </c>
    </row>
    <row r="8443" customFormat="false" ht="15.75" hidden="false" customHeight="false" outlineLevel="0" collapsed="false">
      <c r="A8443" s="1" t="s">
        <v>1491</v>
      </c>
      <c r="B8443" s="1" t="n">
        <v>228.31</v>
      </c>
      <c r="C8443" s="1" t="n">
        <f aca="false">1/B8443</f>
        <v>0.0043800096360212</v>
      </c>
      <c r="D8443" s="1" t="n">
        <v>0.43408</v>
      </c>
      <c r="E8443" s="1" t="n">
        <f aca="false">LN(D8443)</f>
        <v>-0.834526430071515</v>
      </c>
    </row>
    <row r="8444" customFormat="false" ht="15.75" hidden="false" customHeight="false" outlineLevel="0" collapsed="false">
      <c r="A8444" s="1" t="s">
        <v>1491</v>
      </c>
      <c r="B8444" s="1" t="n">
        <v>228.93</v>
      </c>
      <c r="C8444" s="1" t="n">
        <f aca="false">1/B8444</f>
        <v>0.00436814746865854</v>
      </c>
      <c r="D8444" s="1" t="n">
        <v>0.43005</v>
      </c>
      <c r="E8444" s="1" t="n">
        <f aca="false">LN(D8444)</f>
        <v>-0.843853797984649</v>
      </c>
    </row>
    <row r="8445" customFormat="false" ht="15.75" hidden="false" customHeight="false" outlineLevel="0" collapsed="false">
      <c r="A8445" s="1" t="s">
        <v>1491</v>
      </c>
      <c r="B8445" s="1" t="n">
        <v>229.56</v>
      </c>
      <c r="C8445" s="1" t="n">
        <f aca="false">1/B8445</f>
        <v>0.0043561596096881</v>
      </c>
      <c r="D8445" s="1" t="n">
        <v>0.42606</v>
      </c>
      <c r="E8445" s="1" t="n">
        <f aca="false">LN(D8445)</f>
        <v>-0.85317509756008</v>
      </c>
    </row>
    <row r="8446" customFormat="false" ht="15.75" hidden="false" customHeight="false" outlineLevel="0" collapsed="false">
      <c r="A8446" s="1" t="s">
        <v>1491</v>
      </c>
      <c r="B8446" s="1" t="n">
        <v>230.19</v>
      </c>
      <c r="C8446" s="1" t="n">
        <f aca="false">1/B8446</f>
        <v>0.00434423736912985</v>
      </c>
      <c r="D8446" s="1" t="n">
        <v>0.42213</v>
      </c>
      <c r="E8446" s="1" t="n">
        <f aca="false">LN(D8446)</f>
        <v>-0.862441955513863</v>
      </c>
    </row>
    <row r="8447" customFormat="false" ht="15.75" hidden="false" customHeight="false" outlineLevel="0" collapsed="false">
      <c r="A8447" s="1" t="s">
        <v>1491</v>
      </c>
      <c r="B8447" s="1" t="n">
        <v>230.81</v>
      </c>
      <c r="C8447" s="1" t="n">
        <f aca="false">1/B8447</f>
        <v>0.00433256791300204</v>
      </c>
      <c r="D8447" s="1" t="n">
        <v>0.41825</v>
      </c>
      <c r="E8447" s="1" t="n">
        <f aca="false">LN(D8447)</f>
        <v>-0.871675939115204</v>
      </c>
    </row>
    <row r="8448" customFormat="false" ht="15.75" hidden="false" customHeight="false" outlineLevel="0" collapsed="false">
      <c r="A8448" s="1" t="s">
        <v>1491</v>
      </c>
      <c r="B8448" s="1" t="n">
        <v>231.44</v>
      </c>
      <c r="C8448" s="1" t="n">
        <f aca="false">1/B8448</f>
        <v>0.00432077428275147</v>
      </c>
      <c r="D8448" s="1" t="n">
        <v>0.41442</v>
      </c>
      <c r="E8448" s="1" t="n">
        <f aca="false">LN(D8448)</f>
        <v>-0.880875326653201</v>
      </c>
    </row>
    <row r="8449" customFormat="false" ht="15.75" hidden="false" customHeight="false" outlineLevel="0" collapsed="false">
      <c r="A8449" s="1" t="s">
        <v>1491</v>
      </c>
      <c r="B8449" s="1" t="n">
        <v>232.07</v>
      </c>
      <c r="C8449" s="1" t="n">
        <f aca="false">1/B8449</f>
        <v>0.00430904468479338</v>
      </c>
      <c r="D8449" s="1" t="n">
        <v>0.41063</v>
      </c>
      <c r="E8449" s="1" t="n">
        <f aca="false">LN(D8449)</f>
        <v>-0.890062713257274</v>
      </c>
    </row>
    <row r="8450" customFormat="false" ht="15.75" hidden="false" customHeight="false" outlineLevel="0" collapsed="false">
      <c r="A8450" s="1" t="s">
        <v>1491</v>
      </c>
      <c r="B8450" s="1" t="n">
        <v>232.7</v>
      </c>
      <c r="C8450" s="1" t="n">
        <f aca="false">1/B8450</f>
        <v>0.00429737859905458</v>
      </c>
      <c r="D8450" s="1" t="n">
        <v>0.4069</v>
      </c>
      <c r="E8450" s="1" t="n">
        <f aca="false">LN(D8450)</f>
        <v>-0.899187823974493</v>
      </c>
    </row>
    <row r="8451" customFormat="false" ht="15.75" hidden="false" customHeight="false" outlineLevel="0" collapsed="false">
      <c r="A8451" s="1" t="s">
        <v>1491</v>
      </c>
      <c r="B8451" s="1" t="n">
        <v>233.32</v>
      </c>
      <c r="C8451" s="1" t="n">
        <f aca="false">1/B8451</f>
        <v>0.00428595919766844</v>
      </c>
      <c r="D8451" s="1" t="n">
        <v>0.40321</v>
      </c>
      <c r="E8451" s="1" t="n">
        <f aca="false">LN(D8451)</f>
        <v>-0.908297760945231</v>
      </c>
    </row>
    <row r="8452" customFormat="false" ht="15.75" hidden="false" customHeight="false" outlineLevel="0" collapsed="false">
      <c r="A8452" s="1" t="s">
        <v>1491</v>
      </c>
      <c r="B8452" s="1" t="n">
        <v>233.64</v>
      </c>
      <c r="C8452" s="1" t="n">
        <f aca="false">1/B8452</f>
        <v>0.00428008902585174</v>
      </c>
      <c r="D8452" s="1" t="n">
        <v>0.40137</v>
      </c>
      <c r="E8452" s="1" t="n">
        <f aca="false">LN(D8452)</f>
        <v>-0.912871583828499</v>
      </c>
    </row>
    <row r="8453" customFormat="false" ht="15.75" hidden="false" customHeight="false" outlineLevel="0" collapsed="false">
      <c r="A8453" s="1" t="s">
        <v>1492</v>
      </c>
      <c r="B8453" s="1" t="n">
        <v>173.1</v>
      </c>
      <c r="C8453" s="1" t="n">
        <f aca="false">1/B8453</f>
        <v>0.00577700751010976</v>
      </c>
      <c r="D8453" s="1" t="n">
        <v>0.59673</v>
      </c>
      <c r="E8453" s="1" t="n">
        <f aca="false">LN(D8453)</f>
        <v>-0.516290529197058</v>
      </c>
    </row>
    <row r="8454" customFormat="false" ht="15.75" hidden="false" customHeight="false" outlineLevel="0" collapsed="false">
      <c r="A8454" s="1" t="s">
        <v>1492</v>
      </c>
      <c r="B8454" s="1" t="n">
        <v>173.52</v>
      </c>
      <c r="C8454" s="1" t="n">
        <f aca="false">1/B8454</f>
        <v>0.0057630244352236</v>
      </c>
      <c r="D8454" s="1" t="n">
        <v>0.59177</v>
      </c>
      <c r="E8454" s="1" t="n">
        <f aca="false">LN(D8454)</f>
        <v>-0.524637233102573</v>
      </c>
    </row>
    <row r="8455" customFormat="false" ht="15.75" hidden="false" customHeight="false" outlineLevel="0" collapsed="false">
      <c r="A8455" s="1" t="s">
        <v>1492</v>
      </c>
      <c r="B8455" s="1" t="n">
        <v>173.94</v>
      </c>
      <c r="C8455" s="1" t="n">
        <f aca="false">1/B8455</f>
        <v>0.00574910888812234</v>
      </c>
      <c r="D8455" s="1" t="n">
        <v>0.58686</v>
      </c>
      <c r="E8455" s="1" t="n">
        <f aca="false">LN(D8455)</f>
        <v>-0.53296898845168</v>
      </c>
    </row>
    <row r="8456" customFormat="false" ht="15.75" hidden="false" customHeight="false" outlineLevel="0" collapsed="false">
      <c r="A8456" s="1" t="s">
        <v>1492</v>
      </c>
      <c r="B8456" s="1" t="n">
        <v>174.36</v>
      </c>
      <c r="C8456" s="1" t="n">
        <f aca="false">1/B8456</f>
        <v>0.00573526038082129</v>
      </c>
      <c r="D8456" s="1" t="n">
        <v>0.58202</v>
      </c>
      <c r="E8456" s="1" t="n">
        <f aca="false">LN(D8456)</f>
        <v>-0.541250467579969</v>
      </c>
    </row>
    <row r="8457" customFormat="false" ht="15.75" hidden="false" customHeight="false" outlineLevel="0" collapsed="false">
      <c r="A8457" s="1" t="s">
        <v>1492</v>
      </c>
      <c r="B8457" s="1" t="n">
        <v>174.78</v>
      </c>
      <c r="C8457" s="1" t="n">
        <f aca="false">1/B8457</f>
        <v>0.00572147843002632</v>
      </c>
      <c r="D8457" s="1" t="n">
        <v>0.57724</v>
      </c>
      <c r="E8457" s="1" t="n">
        <f aca="false">LN(D8457)</f>
        <v>-0.54949715441426</v>
      </c>
    </row>
    <row r="8458" customFormat="false" ht="15.75" hidden="false" customHeight="false" outlineLevel="0" collapsed="false">
      <c r="A8458" s="1" t="s">
        <v>1492</v>
      </c>
      <c r="B8458" s="1" t="n">
        <v>175.2</v>
      </c>
      <c r="C8458" s="1" t="n">
        <f aca="false">1/B8458</f>
        <v>0.00570776255707763</v>
      </c>
      <c r="D8458" s="1" t="n">
        <v>0.57252</v>
      </c>
      <c r="E8458" s="1" t="n">
        <f aca="false">LN(D8458)</f>
        <v>-0.557707609666121</v>
      </c>
    </row>
    <row r="8459" customFormat="false" ht="15.75" hidden="false" customHeight="false" outlineLevel="0" collapsed="false">
      <c r="A8459" s="1" t="s">
        <v>1492</v>
      </c>
      <c r="B8459" s="1" t="n">
        <v>175.62</v>
      </c>
      <c r="C8459" s="1" t="n">
        <f aca="false">1/B8459</f>
        <v>0.00569411228789432</v>
      </c>
      <c r="D8459" s="1" t="n">
        <v>0.56785</v>
      </c>
      <c r="E8459" s="1" t="n">
        <f aca="false">LN(D8459)</f>
        <v>-0.565897979644482</v>
      </c>
    </row>
    <row r="8460" customFormat="false" ht="15.75" hidden="false" customHeight="false" outlineLevel="0" collapsed="false">
      <c r="A8460" s="1" t="s">
        <v>1492</v>
      </c>
      <c r="B8460" s="1" t="n">
        <v>176.04</v>
      </c>
      <c r="C8460" s="1" t="n">
        <f aca="false">1/B8460</f>
        <v>0.00568052715291979</v>
      </c>
      <c r="D8460" s="1" t="n">
        <v>0.56325</v>
      </c>
      <c r="E8460" s="1" t="n">
        <f aca="false">LN(D8460)</f>
        <v>-0.574031699669783</v>
      </c>
    </row>
    <row r="8461" customFormat="false" ht="15.75" hidden="false" customHeight="false" outlineLevel="0" collapsed="false">
      <c r="A8461" s="1" t="s">
        <v>1492</v>
      </c>
      <c r="B8461" s="1" t="n">
        <v>176.46</v>
      </c>
      <c r="C8461" s="1" t="n">
        <f aca="false">1/B8461</f>
        <v>0.00566700668706789</v>
      </c>
      <c r="D8461" s="1" t="n">
        <v>0.55869</v>
      </c>
      <c r="E8461" s="1" t="n">
        <f aca="false">LN(D8461)</f>
        <v>-0.582160521370613</v>
      </c>
    </row>
    <row r="8462" customFormat="false" ht="15.75" hidden="false" customHeight="false" outlineLevel="0" collapsed="false">
      <c r="A8462" s="1" t="s">
        <v>1492</v>
      </c>
      <c r="B8462" s="1" t="n">
        <v>176.88</v>
      </c>
      <c r="C8462" s="1" t="n">
        <f aca="false">1/B8462</f>
        <v>0.00565355042966983</v>
      </c>
      <c r="D8462" s="1" t="n">
        <v>0.5542</v>
      </c>
      <c r="E8462" s="1" t="n">
        <f aca="false">LN(D8462)</f>
        <v>-0.590229646553259</v>
      </c>
    </row>
    <row r="8463" customFormat="false" ht="15.75" hidden="false" customHeight="false" outlineLevel="0" collapsed="false">
      <c r="A8463" s="1" t="s">
        <v>1492</v>
      </c>
      <c r="B8463" s="1" t="n">
        <v>177.3</v>
      </c>
      <c r="C8463" s="1" t="n">
        <f aca="false">1/B8463</f>
        <v>0.00564015792442188</v>
      </c>
      <c r="D8463" s="1" t="n">
        <v>0.54975</v>
      </c>
      <c r="E8463" s="1" t="n">
        <f aca="false">LN(D8463)</f>
        <v>-0.598291649547267</v>
      </c>
    </row>
    <row r="8464" customFormat="false" ht="15.75" hidden="false" customHeight="false" outlineLevel="0" collapsed="false">
      <c r="A8464" s="1" t="s">
        <v>1492</v>
      </c>
      <c r="B8464" s="1" t="n">
        <v>177.72</v>
      </c>
      <c r="C8464" s="1" t="n">
        <f aca="false">1/B8464</f>
        <v>0.00562682871933378</v>
      </c>
      <c r="D8464" s="1" t="n">
        <v>0.54536</v>
      </c>
      <c r="E8464" s="1" t="n">
        <f aca="false">LN(D8464)</f>
        <v>-0.606309151927607</v>
      </c>
    </row>
    <row r="8465" customFormat="false" ht="15.75" hidden="false" customHeight="false" outlineLevel="0" collapsed="false">
      <c r="A8465" s="1" t="s">
        <v>1492</v>
      </c>
      <c r="B8465" s="1" t="n">
        <v>178.14</v>
      </c>
      <c r="C8465" s="1" t="n">
        <f aca="false">1/B8465</f>
        <v>0.00561356236667789</v>
      </c>
      <c r="D8465" s="1" t="n">
        <v>0.54102</v>
      </c>
      <c r="E8465" s="1" t="n">
        <f aca="false">LN(D8465)</f>
        <v>-0.614299032242267</v>
      </c>
    </row>
    <row r="8466" customFormat="false" ht="15.75" hidden="false" customHeight="false" outlineLevel="0" collapsed="false">
      <c r="A8466" s="1" t="s">
        <v>1492</v>
      </c>
      <c r="B8466" s="1" t="n">
        <v>178.56</v>
      </c>
      <c r="C8466" s="1" t="n">
        <f aca="false">1/B8466</f>
        <v>0.00560035842293907</v>
      </c>
      <c r="D8466" s="1" t="n">
        <v>0.53673</v>
      </c>
      <c r="E8466" s="1" t="n">
        <f aca="false">LN(D8466)</f>
        <v>-0.622260104212296</v>
      </c>
    </row>
    <row r="8467" customFormat="false" ht="15.75" hidden="false" customHeight="false" outlineLevel="0" collapsed="false">
      <c r="A8467" s="1" t="s">
        <v>1492</v>
      </c>
      <c r="B8467" s="1" t="n">
        <v>178.98</v>
      </c>
      <c r="C8467" s="1" t="n">
        <f aca="false">1/B8467</f>
        <v>0.00558721644876523</v>
      </c>
      <c r="D8467" s="1" t="n">
        <v>0.53249</v>
      </c>
      <c r="E8467" s="1" t="n">
        <f aca="false">LN(D8467)</f>
        <v>-0.630191160917614</v>
      </c>
    </row>
    <row r="8468" customFormat="false" ht="15.75" hidden="false" customHeight="false" outlineLevel="0" collapsed="false">
      <c r="A8468" s="1" t="s">
        <v>1492</v>
      </c>
      <c r="B8468" s="1" t="n">
        <v>179.4</v>
      </c>
      <c r="C8468" s="1" t="n">
        <f aca="false">1/B8468</f>
        <v>0.00557413600891862</v>
      </c>
      <c r="D8468" s="1" t="n">
        <v>0.52831</v>
      </c>
      <c r="E8468" s="1" t="n">
        <f aca="false">LN(D8468)</f>
        <v>-0.638072046351981</v>
      </c>
    </row>
    <row r="8469" customFormat="false" ht="15.75" hidden="false" customHeight="false" outlineLevel="0" collapsed="false">
      <c r="A8469" s="1" t="s">
        <v>1492</v>
      </c>
      <c r="B8469" s="1" t="n">
        <v>179.82</v>
      </c>
      <c r="C8469" s="1" t="n">
        <f aca="false">1/B8469</f>
        <v>0.00556111667222778</v>
      </c>
      <c r="D8469" s="1" t="n">
        <v>0.52417</v>
      </c>
      <c r="E8469" s="1" t="n">
        <f aca="false">LN(D8469)</f>
        <v>-0.645939219795394</v>
      </c>
    </row>
    <row r="8470" customFormat="false" ht="15.75" hidden="false" customHeight="false" outlineLevel="0" collapsed="false">
      <c r="A8470" s="1" t="s">
        <v>1492</v>
      </c>
      <c r="B8470" s="1" t="n">
        <v>180.24</v>
      </c>
      <c r="C8470" s="1" t="n">
        <f aca="false">1/B8470</f>
        <v>0.00554815801154017</v>
      </c>
      <c r="D8470" s="1" t="n">
        <v>0.52007</v>
      </c>
      <c r="E8470" s="1" t="n">
        <f aca="false">LN(D8470)</f>
        <v>-0.653791861081886</v>
      </c>
    </row>
    <row r="8471" customFormat="false" ht="15.75" hidden="false" customHeight="false" outlineLevel="0" collapsed="false">
      <c r="A8471" s="1" t="s">
        <v>1492</v>
      </c>
      <c r="B8471" s="1" t="n">
        <v>180.66</v>
      </c>
      <c r="C8471" s="1" t="n">
        <f aca="false">1/B8471</f>
        <v>0.00553525960367541</v>
      </c>
      <c r="D8471" s="1" t="n">
        <v>0.51603</v>
      </c>
      <c r="E8471" s="1" t="n">
        <f aca="false">LN(D8471)</f>
        <v>-0.661590375655728</v>
      </c>
    </row>
    <row r="8472" customFormat="false" ht="15.75" hidden="false" customHeight="false" outlineLevel="0" collapsed="false">
      <c r="A8472" s="1" t="s">
        <v>1492</v>
      </c>
      <c r="B8472" s="1" t="n">
        <v>181.08</v>
      </c>
      <c r="C8472" s="1" t="n">
        <f aca="false">1/B8472</f>
        <v>0.00552242102937928</v>
      </c>
      <c r="D8472" s="1" t="n">
        <v>0.51203</v>
      </c>
      <c r="E8472" s="1" t="n">
        <f aca="false">LN(D8472)</f>
        <v>-0.669372061909176</v>
      </c>
    </row>
    <row r="8473" customFormat="false" ht="15.75" hidden="false" customHeight="false" outlineLevel="0" collapsed="false">
      <c r="A8473" s="1" t="s">
        <v>1492</v>
      </c>
      <c r="B8473" s="1" t="n">
        <v>181.5</v>
      </c>
      <c r="C8473" s="1" t="n">
        <f aca="false">1/B8473</f>
        <v>0.00550964187327824</v>
      </c>
      <c r="D8473" s="1" t="n">
        <v>0.50807</v>
      </c>
      <c r="E8473" s="1" t="n">
        <f aca="false">LN(D8473)</f>
        <v>-0.677136045620961</v>
      </c>
    </row>
    <row r="8474" customFormat="false" ht="15.75" hidden="false" customHeight="false" outlineLevel="0" collapsed="false">
      <c r="A8474" s="1" t="s">
        <v>1492</v>
      </c>
      <c r="B8474" s="1" t="n">
        <v>181.92</v>
      </c>
      <c r="C8474" s="1" t="n">
        <f aca="false">1/B8474</f>
        <v>0.00549692172383465</v>
      </c>
      <c r="D8474" s="1" t="n">
        <v>0.50416</v>
      </c>
      <c r="E8474" s="1" t="n">
        <f aca="false">LN(D8474)</f>
        <v>-0.684861600973172</v>
      </c>
    </row>
    <row r="8475" customFormat="false" ht="15.75" hidden="false" customHeight="false" outlineLevel="0" collapsed="false">
      <c r="A8475" s="1" t="s">
        <v>1492</v>
      </c>
      <c r="B8475" s="1" t="n">
        <v>182.34</v>
      </c>
      <c r="C8475" s="1" t="n">
        <f aca="false">1/B8475</f>
        <v>0.00548426017330262</v>
      </c>
      <c r="D8475" s="1" t="n">
        <v>0.50029</v>
      </c>
      <c r="E8475" s="1" t="n">
        <f aca="false">LN(D8475)</f>
        <v>-0.692567348694936</v>
      </c>
    </row>
    <row r="8476" customFormat="false" ht="15.75" hidden="false" customHeight="false" outlineLevel="0" collapsed="false">
      <c r="A8476" s="1" t="s">
        <v>1492</v>
      </c>
      <c r="B8476" s="1" t="n">
        <v>182.76</v>
      </c>
      <c r="C8476" s="1" t="n">
        <f aca="false">1/B8476</f>
        <v>0.0054716568176844</v>
      </c>
      <c r="D8476" s="1" t="n">
        <v>0.49647</v>
      </c>
      <c r="E8476" s="1" t="n">
        <f aca="false">LN(D8476)</f>
        <v>-0.700232220283175</v>
      </c>
    </row>
    <row r="8477" customFormat="false" ht="15.75" hidden="false" customHeight="false" outlineLevel="0" collapsed="false">
      <c r="A8477" s="1" t="s">
        <v>1492</v>
      </c>
      <c r="B8477" s="1" t="n">
        <v>183.18</v>
      </c>
      <c r="C8477" s="1" t="n">
        <f aca="false">1/B8477</f>
        <v>0.00545911125668741</v>
      </c>
      <c r="D8477" s="1" t="n">
        <v>0.49269</v>
      </c>
      <c r="E8477" s="1" t="n">
        <f aca="false">LN(D8477)</f>
        <v>-0.707875105964558</v>
      </c>
    </row>
    <row r="8478" customFormat="false" ht="15.75" hidden="false" customHeight="false" outlineLevel="0" collapsed="false">
      <c r="A8478" s="1" t="s">
        <v>1492</v>
      </c>
      <c r="B8478" s="1" t="n">
        <v>183.6</v>
      </c>
      <c r="C8478" s="1" t="n">
        <f aca="false">1/B8478</f>
        <v>0.00544662309368192</v>
      </c>
      <c r="D8478" s="1" t="n">
        <v>0.48895</v>
      </c>
      <c r="E8478" s="1" t="n">
        <f aca="false">LN(D8478)</f>
        <v>-0.715495044223853</v>
      </c>
    </row>
    <row r="8479" customFormat="false" ht="15.75" hidden="false" customHeight="false" outlineLevel="0" collapsed="false">
      <c r="A8479" s="1" t="s">
        <v>1492</v>
      </c>
      <c r="B8479" s="1" t="n">
        <v>184.02</v>
      </c>
      <c r="C8479" s="1" t="n">
        <f aca="false">1/B8479</f>
        <v>0.00543419193565917</v>
      </c>
      <c r="D8479" s="1" t="n">
        <v>0.48525</v>
      </c>
      <c r="E8479" s="1" t="n">
        <f aca="false">LN(D8479)</f>
        <v>-0.723091056933017</v>
      </c>
    </row>
    <row r="8480" customFormat="false" ht="15.75" hidden="false" customHeight="false" outlineLevel="0" collapsed="false">
      <c r="A8480" s="1" t="s">
        <v>1492</v>
      </c>
      <c r="B8480" s="1" t="n">
        <v>184.44</v>
      </c>
      <c r="C8480" s="1" t="n">
        <f aca="false">1/B8480</f>
        <v>0.0054218173931902</v>
      </c>
      <c r="D8480" s="1" t="n">
        <v>0.48159</v>
      </c>
      <c r="E8480" s="1" t="n">
        <f aca="false">LN(D8480)</f>
        <v>-0.730662149322704</v>
      </c>
    </row>
    <row r="8481" customFormat="false" ht="15.75" hidden="false" customHeight="false" outlineLevel="0" collapsed="false">
      <c r="A8481" s="1" t="s">
        <v>1492</v>
      </c>
      <c r="B8481" s="1" t="n">
        <v>184.86</v>
      </c>
      <c r="C8481" s="1" t="n">
        <f aca="false">1/B8481</f>
        <v>0.00540949908038516</v>
      </c>
      <c r="D8481" s="1" t="n">
        <v>0.47797</v>
      </c>
      <c r="E8481" s="1" t="n">
        <f aca="false">LN(D8481)</f>
        <v>-0.738207309966543</v>
      </c>
    </row>
    <row r="8482" customFormat="false" ht="15.75" hidden="false" customHeight="false" outlineLevel="0" collapsed="false">
      <c r="A8482" s="1" t="s">
        <v>1492</v>
      </c>
      <c r="B8482" s="1" t="n">
        <v>185.28</v>
      </c>
      <c r="C8482" s="1" t="n">
        <f aca="false">1/B8482</f>
        <v>0.00539723661485319</v>
      </c>
      <c r="D8482" s="1" t="n">
        <v>0.47439</v>
      </c>
      <c r="E8482" s="1" t="n">
        <f aca="false">LN(D8482)</f>
        <v>-0.745725510778802</v>
      </c>
    </row>
    <row r="8483" customFormat="false" ht="15.75" hidden="false" customHeight="false" outlineLevel="0" collapsed="false">
      <c r="A8483" s="1" t="s">
        <v>1492</v>
      </c>
      <c r="B8483" s="1" t="n">
        <v>185.7</v>
      </c>
      <c r="C8483" s="1" t="n">
        <f aca="false">1/B8483</f>
        <v>0.0053850296176629</v>
      </c>
      <c r="D8483" s="1" t="n">
        <v>0.47085</v>
      </c>
      <c r="E8483" s="1" t="n">
        <f aca="false">LN(D8483)</f>
        <v>-0.753215707026065</v>
      </c>
    </row>
    <row r="8484" customFormat="false" ht="15.75" hidden="false" customHeight="false" outlineLevel="0" collapsed="false">
      <c r="A8484" s="1" t="s">
        <v>1492</v>
      </c>
      <c r="B8484" s="1" t="n">
        <v>186.11</v>
      </c>
      <c r="C8484" s="1" t="n">
        <f aca="false">1/B8484</f>
        <v>0.00537316640696362</v>
      </c>
      <c r="D8484" s="1" t="n">
        <v>0.46734</v>
      </c>
      <c r="E8484" s="1" t="n">
        <f aca="false">LN(D8484)</f>
        <v>-0.760698234822225</v>
      </c>
    </row>
    <row r="8485" customFormat="false" ht="15.75" hidden="false" customHeight="false" outlineLevel="0" collapsed="false">
      <c r="A8485" s="1" t="s">
        <v>1492</v>
      </c>
      <c r="B8485" s="1" t="n">
        <v>186.53</v>
      </c>
      <c r="C8485" s="1" t="n">
        <f aca="false">1/B8485</f>
        <v>0.00536106792473061</v>
      </c>
      <c r="D8485" s="1" t="n">
        <v>0.46387</v>
      </c>
      <c r="E8485" s="1" t="n">
        <f aca="false">LN(D8485)</f>
        <v>-0.768150938425298</v>
      </c>
    </row>
    <row r="8486" customFormat="false" ht="15.75" hidden="false" customHeight="false" outlineLevel="0" collapsed="false">
      <c r="A8486" s="1" t="s">
        <v>1492</v>
      </c>
      <c r="B8486" s="1" t="n">
        <v>186.95</v>
      </c>
      <c r="C8486" s="1" t="n">
        <f aca="false">1/B8486</f>
        <v>0.00534902380315592</v>
      </c>
      <c r="D8486" s="1" t="n">
        <v>0.46044</v>
      </c>
      <c r="E8486" s="1" t="n">
        <f aca="false">LN(D8486)</f>
        <v>-0.775572724935276</v>
      </c>
    </row>
    <row r="8487" customFormat="false" ht="15.75" hidden="false" customHeight="false" outlineLevel="0" collapsed="false">
      <c r="A8487" s="1" t="s">
        <v>1492</v>
      </c>
      <c r="B8487" s="1" t="n">
        <v>187.37</v>
      </c>
      <c r="C8487" s="1" t="n">
        <f aca="false">1/B8487</f>
        <v>0.0053370336766825</v>
      </c>
      <c r="D8487" s="1" t="n">
        <v>0.45705</v>
      </c>
      <c r="E8487" s="1" t="n">
        <f aca="false">LN(D8487)</f>
        <v>-0.782962484882309</v>
      </c>
    </row>
    <row r="8488" customFormat="false" ht="15.75" hidden="false" customHeight="false" outlineLevel="0" collapsed="false">
      <c r="A8488" s="1" t="s">
        <v>1492</v>
      </c>
      <c r="B8488" s="1" t="n">
        <v>187.79</v>
      </c>
      <c r="C8488" s="1" t="n">
        <f aca="false">1/B8488</f>
        <v>0.00532509718302359</v>
      </c>
      <c r="D8488" s="1" t="n">
        <v>0.45369</v>
      </c>
      <c r="E8488" s="1" t="n">
        <f aca="false">LN(D8488)</f>
        <v>-0.790341133551378</v>
      </c>
    </row>
    <row r="8489" customFormat="false" ht="15.75" hidden="false" customHeight="false" outlineLevel="0" collapsed="false">
      <c r="A8489" s="1" t="s">
        <v>1492</v>
      </c>
      <c r="B8489" s="1" t="n">
        <v>188.21</v>
      </c>
      <c r="C8489" s="1" t="n">
        <f aca="false">1/B8489</f>
        <v>0.00531321396312629</v>
      </c>
      <c r="D8489" s="1" t="n">
        <v>0.45036</v>
      </c>
      <c r="E8489" s="1" t="n">
        <f aca="false">LN(D8489)</f>
        <v>-0.797708016047207</v>
      </c>
    </row>
    <row r="8490" customFormat="false" ht="15.75" hidden="false" customHeight="false" outlineLevel="0" collapsed="false">
      <c r="A8490" s="1" t="s">
        <v>1492</v>
      </c>
      <c r="B8490" s="1" t="n">
        <v>188.63</v>
      </c>
      <c r="C8490" s="1" t="n">
        <f aca="false">1/B8490</f>
        <v>0.00530138366113556</v>
      </c>
      <c r="D8490" s="1" t="n">
        <v>0.44707</v>
      </c>
      <c r="E8490" s="1" t="n">
        <f aca="false">LN(D8490)</f>
        <v>-0.805040097076425</v>
      </c>
    </row>
    <row r="8491" customFormat="false" ht="15.75" hidden="false" customHeight="false" outlineLevel="0" collapsed="false">
      <c r="A8491" s="1" t="s">
        <v>1492</v>
      </c>
      <c r="B8491" s="1" t="n">
        <v>189.05</v>
      </c>
      <c r="C8491" s="1" t="n">
        <f aca="false">1/B8491</f>
        <v>0.00528960592435864</v>
      </c>
      <c r="D8491" s="1" t="n">
        <v>0.44381</v>
      </c>
      <c r="E8491" s="1" t="n">
        <f aca="false">LN(D8491)</f>
        <v>-0.812358736065125</v>
      </c>
    </row>
    <row r="8492" customFormat="false" ht="15.75" hidden="false" customHeight="false" outlineLevel="0" collapsed="false">
      <c r="A8492" s="1" t="s">
        <v>1492</v>
      </c>
      <c r="B8492" s="1" t="n">
        <v>189.47</v>
      </c>
      <c r="C8492" s="1" t="n">
        <f aca="false">1/B8492</f>
        <v>0.00527788040323006</v>
      </c>
      <c r="D8492" s="1" t="n">
        <v>0.44059</v>
      </c>
      <c r="E8492" s="1" t="n">
        <f aca="false">LN(D8492)</f>
        <v>-0.819640541194655</v>
      </c>
    </row>
    <row r="8493" customFormat="false" ht="15.75" hidden="false" customHeight="false" outlineLevel="0" collapsed="false">
      <c r="A8493" s="1" t="s">
        <v>1492</v>
      </c>
      <c r="B8493" s="1" t="n">
        <v>189.89</v>
      </c>
      <c r="C8493" s="1" t="n">
        <f aca="false">1/B8493</f>
        <v>0.00526620675127706</v>
      </c>
      <c r="D8493" s="1" t="n">
        <v>0.4374</v>
      </c>
      <c r="E8493" s="1" t="n">
        <f aca="false">LN(D8493)</f>
        <v>-0.826907170739469</v>
      </c>
    </row>
    <row r="8494" customFormat="false" ht="15.75" hidden="false" customHeight="false" outlineLevel="0" collapsed="false">
      <c r="A8494" s="1" t="s">
        <v>1492</v>
      </c>
      <c r="B8494" s="1" t="n">
        <v>190.31</v>
      </c>
      <c r="C8494" s="1" t="n">
        <f aca="false">1/B8494</f>
        <v>0.00525458462508539</v>
      </c>
      <c r="D8494" s="1" t="n">
        <v>0.43424</v>
      </c>
      <c r="E8494" s="1" t="n">
        <f aca="false">LN(D8494)</f>
        <v>-0.834157902335633</v>
      </c>
    </row>
    <row r="8495" customFormat="false" ht="15.75" hidden="false" customHeight="false" outlineLevel="0" collapsed="false">
      <c r="A8495" s="1" t="s">
        <v>1492</v>
      </c>
      <c r="B8495" s="1" t="n">
        <v>190.73</v>
      </c>
      <c r="C8495" s="1" t="n">
        <f aca="false">1/B8495</f>
        <v>0.00524301368426572</v>
      </c>
      <c r="D8495" s="1" t="n">
        <v>0.43111</v>
      </c>
      <c r="E8495" s="1" t="n">
        <f aca="false">LN(D8495)</f>
        <v>-0.841392001023946</v>
      </c>
    </row>
    <row r="8496" customFormat="false" ht="15.75" hidden="false" customHeight="false" outlineLevel="0" collapsed="false">
      <c r="A8496" s="1" t="s">
        <v>1492</v>
      </c>
      <c r="B8496" s="1" t="n">
        <v>191.15</v>
      </c>
      <c r="C8496" s="1" t="n">
        <f aca="false">1/B8496</f>
        <v>0.00523149359142035</v>
      </c>
      <c r="D8496" s="1" t="n">
        <v>0.42801</v>
      </c>
      <c r="E8496" s="1" t="n">
        <f aca="false">LN(D8496)</f>
        <v>-0.848608719187304</v>
      </c>
    </row>
    <row r="8497" customFormat="false" ht="15.75" hidden="false" customHeight="false" outlineLevel="0" collapsed="false">
      <c r="A8497" s="1" t="s">
        <v>1492</v>
      </c>
      <c r="B8497" s="1" t="n">
        <v>191.57</v>
      </c>
      <c r="C8497" s="1" t="n">
        <f aca="false">1/B8497</f>
        <v>0.00522002401211046</v>
      </c>
      <c r="D8497" s="1" t="n">
        <v>0.42494</v>
      </c>
      <c r="E8497" s="1" t="n">
        <f aca="false">LN(D8497)</f>
        <v>-0.855807296494644</v>
      </c>
    </row>
    <row r="8498" customFormat="false" ht="15.75" hidden="false" customHeight="false" outlineLevel="0" collapsed="false">
      <c r="A8498" s="1" t="s">
        <v>1492</v>
      </c>
      <c r="B8498" s="1" t="n">
        <v>191.99</v>
      </c>
      <c r="C8498" s="1" t="n">
        <f aca="false">1/B8498</f>
        <v>0.00520860461482369</v>
      </c>
      <c r="D8498" s="1" t="n">
        <v>0.42191</v>
      </c>
      <c r="E8498" s="1" t="n">
        <f aca="false">LN(D8498)</f>
        <v>-0.862963257833616</v>
      </c>
    </row>
    <row r="8499" customFormat="false" ht="15.75" hidden="false" customHeight="false" outlineLevel="0" collapsed="false">
      <c r="A8499" s="1" t="s">
        <v>1492</v>
      </c>
      <c r="B8499" s="1" t="n">
        <v>192.41</v>
      </c>
      <c r="C8499" s="1" t="n">
        <f aca="false">1/B8499</f>
        <v>0.00519723507094226</v>
      </c>
      <c r="D8499" s="1" t="n">
        <v>0.4189</v>
      </c>
      <c r="E8499" s="1" t="n">
        <f aca="false">LN(D8499)</f>
        <v>-0.870123051029148</v>
      </c>
    </row>
    <row r="8500" customFormat="false" ht="15.75" hidden="false" customHeight="false" outlineLevel="0" collapsed="false">
      <c r="A8500" s="1" t="s">
        <v>1492</v>
      </c>
      <c r="B8500" s="1" t="n">
        <v>192.83</v>
      </c>
      <c r="C8500" s="1" t="n">
        <f aca="false">1/B8500</f>
        <v>0.0051859150547114</v>
      </c>
      <c r="D8500" s="1" t="n">
        <v>0.41592</v>
      </c>
      <c r="E8500" s="1" t="n">
        <f aca="false">LN(D8500)</f>
        <v>-0.877262344906677</v>
      </c>
    </row>
    <row r="8501" customFormat="false" ht="15.75" hidden="false" customHeight="false" outlineLevel="0" collapsed="false">
      <c r="A8501" s="1" t="s">
        <v>1492</v>
      </c>
      <c r="B8501" s="1" t="n">
        <v>193.25</v>
      </c>
      <c r="C8501" s="1" t="n">
        <f aca="false">1/B8501</f>
        <v>0.00517464424320828</v>
      </c>
      <c r="D8501" s="1" t="n">
        <v>0.41297</v>
      </c>
      <c r="E8501" s="1" t="n">
        <f aca="false">LN(D8501)</f>
        <v>-0.884380327884642</v>
      </c>
    </row>
    <row r="8502" customFormat="false" ht="15.75" hidden="false" customHeight="false" outlineLevel="0" collapsed="false">
      <c r="A8502" s="1" t="s">
        <v>1492</v>
      </c>
      <c r="B8502" s="1" t="n">
        <v>193.67</v>
      </c>
      <c r="C8502" s="1" t="n">
        <f aca="false">1/B8502</f>
        <v>0.00516342231631125</v>
      </c>
      <c r="D8502" s="1" t="n">
        <v>0.41005</v>
      </c>
      <c r="E8502" s="1" t="n">
        <f aca="false">LN(D8502)</f>
        <v>-0.891476175499717</v>
      </c>
    </row>
    <row r="8503" customFormat="false" ht="15.75" hidden="false" customHeight="false" outlineLevel="0" collapsed="false">
      <c r="A8503" s="1" t="s">
        <v>1492</v>
      </c>
      <c r="B8503" s="1" t="n">
        <v>194.09</v>
      </c>
      <c r="C8503" s="1" t="n">
        <f aca="false">1/B8503</f>
        <v>0.00515224895666959</v>
      </c>
      <c r="D8503" s="1" t="n">
        <v>0.40716</v>
      </c>
      <c r="E8503" s="1" t="n">
        <f aca="false">LN(D8503)</f>
        <v>-0.898549050397998</v>
      </c>
    </row>
    <row r="8504" customFormat="false" ht="15.75" hidden="false" customHeight="false" outlineLevel="0" collapsed="false">
      <c r="A8504" s="1" t="s">
        <v>1492</v>
      </c>
      <c r="B8504" s="1" t="n">
        <v>194.51</v>
      </c>
      <c r="C8504" s="1" t="n">
        <f aca="false">1/B8504</f>
        <v>0.00514112384967354</v>
      </c>
      <c r="D8504" s="1" t="n">
        <v>0.40429</v>
      </c>
      <c r="E8504" s="1" t="n">
        <f aca="false">LN(D8504)</f>
        <v>-0.90562283674964</v>
      </c>
    </row>
    <row r="8505" customFormat="false" ht="15.75" hidden="false" customHeight="false" outlineLevel="0" collapsed="false">
      <c r="A8505" s="1" t="s">
        <v>1492</v>
      </c>
      <c r="B8505" s="1" t="n">
        <v>194.81</v>
      </c>
      <c r="C8505" s="1" t="n">
        <f aca="false">1/B8505</f>
        <v>0.00513320671423438</v>
      </c>
      <c r="D8505" s="1" t="n">
        <v>0.40225</v>
      </c>
      <c r="E8505" s="1" t="n">
        <f aca="false">LN(D8505)</f>
        <v>-0.910681493109644</v>
      </c>
    </row>
    <row r="8506" customFormat="false" ht="15.75" hidden="false" customHeight="false" outlineLevel="0" collapsed="false">
      <c r="A8506" s="1" t="s">
        <v>1182</v>
      </c>
      <c r="B8506" s="1" t="n">
        <v>166</v>
      </c>
      <c r="C8506" s="1" t="n">
        <f aca="false">1/B8506</f>
        <v>0.00602409638554217</v>
      </c>
      <c r="D8506" s="1" t="n">
        <v>4.9631</v>
      </c>
      <c r="E8506" s="1" t="n">
        <f aca="false">LN(D8506)</f>
        <v>1.60203054550568</v>
      </c>
    </row>
    <row r="8507" customFormat="false" ht="15.75" hidden="false" customHeight="false" outlineLevel="0" collapsed="false">
      <c r="A8507" s="1" t="s">
        <v>1182</v>
      </c>
      <c r="B8507" s="1" t="n">
        <v>194.21</v>
      </c>
      <c r="C8507" s="1" t="n">
        <f aca="false">1/B8507</f>
        <v>0.0051490654446218</v>
      </c>
      <c r="D8507" s="1" t="n">
        <v>2.0444</v>
      </c>
      <c r="E8507" s="1" t="n">
        <f aca="false">LN(D8507)</f>
        <v>0.715104347911987</v>
      </c>
    </row>
    <row r="8508" customFormat="false" ht="15.75" hidden="false" customHeight="false" outlineLevel="0" collapsed="false">
      <c r="A8508" s="1" t="s">
        <v>1182</v>
      </c>
      <c r="B8508" s="1" t="n">
        <v>194.93</v>
      </c>
      <c r="C8508" s="1" t="n">
        <f aca="false">1/B8508</f>
        <v>0.00513004668342482</v>
      </c>
      <c r="D8508" s="1" t="n">
        <v>2.0106</v>
      </c>
      <c r="E8508" s="1" t="n">
        <f aca="false">LN(D8508)</f>
        <v>0.698433184989183</v>
      </c>
    </row>
    <row r="8509" customFormat="false" ht="15.75" hidden="false" customHeight="false" outlineLevel="0" collapsed="false">
      <c r="A8509" s="1" t="s">
        <v>1182</v>
      </c>
      <c r="B8509" s="1" t="n">
        <v>195.66</v>
      </c>
      <c r="C8509" s="1" t="n">
        <f aca="false">1/B8509</f>
        <v>0.00511090667484412</v>
      </c>
      <c r="D8509" s="1" t="n">
        <v>1.9776</v>
      </c>
      <c r="E8509" s="1" t="n">
        <f aca="false">LN(D8509)</f>
        <v>0.681883988281235</v>
      </c>
    </row>
    <row r="8510" customFormat="false" ht="15.75" hidden="false" customHeight="false" outlineLevel="0" collapsed="false">
      <c r="A8510" s="1" t="s">
        <v>1182</v>
      </c>
      <c r="B8510" s="1" t="n">
        <v>196.38</v>
      </c>
      <c r="C8510" s="1" t="n">
        <f aca="false">1/B8510</f>
        <v>0.00509216824523882</v>
      </c>
      <c r="D8510" s="1" t="n">
        <v>1.9456</v>
      </c>
      <c r="E8510" s="1" t="n">
        <f aca="false">LN(D8510)</f>
        <v>0.665570412789711</v>
      </c>
    </row>
    <row r="8511" customFormat="false" ht="15.75" hidden="false" customHeight="false" outlineLevel="0" collapsed="false">
      <c r="A8511" s="1" t="s">
        <v>1182</v>
      </c>
      <c r="B8511" s="1" t="n">
        <v>197.1</v>
      </c>
      <c r="C8511" s="1" t="n">
        <f aca="false">1/B8511</f>
        <v>0.00507356671740233</v>
      </c>
      <c r="D8511" s="1" t="n">
        <v>1.9143</v>
      </c>
      <c r="E8511" s="1" t="n">
        <f aca="false">LN(D8511)</f>
        <v>0.649352020560274</v>
      </c>
    </row>
    <row r="8512" customFormat="false" ht="15.75" hidden="false" customHeight="false" outlineLevel="0" collapsed="false">
      <c r="A8512" s="1" t="s">
        <v>1182</v>
      </c>
      <c r="B8512" s="1" t="n">
        <v>197.83</v>
      </c>
      <c r="C8512" s="1" t="n">
        <f aca="false">1/B8512</f>
        <v>0.00505484506899863</v>
      </c>
      <c r="D8512" s="1" t="n">
        <v>1.8839</v>
      </c>
      <c r="E8512" s="1" t="n">
        <f aca="false">LN(D8512)</f>
        <v>0.633344096189192</v>
      </c>
    </row>
    <row r="8513" customFormat="false" ht="15.75" hidden="false" customHeight="false" outlineLevel="0" collapsed="false">
      <c r="A8513" s="1" t="s">
        <v>1182</v>
      </c>
      <c r="B8513" s="1" t="n">
        <v>198.55</v>
      </c>
      <c r="C8513" s="1" t="n">
        <f aca="false">1/B8513</f>
        <v>0.00503651473180559</v>
      </c>
      <c r="D8513" s="1" t="n">
        <v>1.8543</v>
      </c>
      <c r="E8513" s="1" t="n">
        <f aca="false">LN(D8513)</f>
        <v>0.6175072663512</v>
      </c>
    </row>
    <row r="8514" customFormat="false" ht="15.75" hidden="false" customHeight="false" outlineLevel="0" collapsed="false">
      <c r="A8514" s="1" t="s">
        <v>1182</v>
      </c>
      <c r="B8514" s="1" t="n">
        <v>199.27</v>
      </c>
      <c r="C8514" s="1" t="n">
        <f aca="false">1/B8514</f>
        <v>0.00501831685652632</v>
      </c>
      <c r="D8514" s="1" t="n">
        <v>1.8254</v>
      </c>
      <c r="E8514" s="1" t="n">
        <f aca="false">LN(D8514)</f>
        <v>0.60179914110064</v>
      </c>
    </row>
    <row r="8515" customFormat="false" ht="15.75" hidden="false" customHeight="false" outlineLevel="0" collapsed="false">
      <c r="A8515" s="1" t="s">
        <v>1182</v>
      </c>
      <c r="B8515" s="1" t="n">
        <v>200</v>
      </c>
      <c r="C8515" s="1" t="n">
        <f aca="false">1/B8515</f>
        <v>0.005</v>
      </c>
      <c r="D8515" s="1" t="n">
        <v>1.7972</v>
      </c>
      <c r="E8515" s="1" t="n">
        <f aca="false">LN(D8515)</f>
        <v>0.586229898213868</v>
      </c>
    </row>
    <row r="8516" customFormat="false" ht="15.75" hidden="false" customHeight="false" outlineLevel="0" collapsed="false">
      <c r="A8516" s="1" t="s">
        <v>1182</v>
      </c>
      <c r="B8516" s="1" t="n">
        <v>200.72</v>
      </c>
      <c r="C8516" s="1" t="n">
        <f aca="false">1/B8516</f>
        <v>0.0049820645675568</v>
      </c>
      <c r="D8516" s="1" t="n">
        <v>1.7697</v>
      </c>
      <c r="E8516" s="1" t="n">
        <f aca="false">LN(D8516)</f>
        <v>0.570810040695002</v>
      </c>
    </row>
    <row r="8517" customFormat="false" ht="15.75" hidden="false" customHeight="false" outlineLevel="0" collapsed="false">
      <c r="A8517" s="1" t="s">
        <v>1182</v>
      </c>
      <c r="B8517" s="1" t="n">
        <v>201.44</v>
      </c>
      <c r="C8517" s="1" t="n">
        <f aca="false">1/B8517</f>
        <v>0.00496425734710087</v>
      </c>
      <c r="D8517" s="1" t="n">
        <v>1.7429</v>
      </c>
      <c r="E8517" s="1" t="n">
        <f aca="false">LN(D8517)</f>
        <v>0.555550392545499</v>
      </c>
    </row>
    <row r="8518" customFormat="false" ht="15.75" hidden="false" customHeight="false" outlineLevel="0" collapsed="false">
      <c r="A8518" s="1" t="s">
        <v>1182</v>
      </c>
      <c r="B8518" s="1" t="n">
        <v>202.17</v>
      </c>
      <c r="C8518" s="1" t="n">
        <f aca="false">1/B8518</f>
        <v>0.00494633229460355</v>
      </c>
      <c r="D8518" s="1" t="n">
        <v>1.7167</v>
      </c>
      <c r="E8518" s="1" t="n">
        <f aca="false">LN(D8518)</f>
        <v>0.540403843294746</v>
      </c>
    </row>
    <row r="8519" customFormat="false" ht="15.75" hidden="false" customHeight="false" outlineLevel="0" collapsed="false">
      <c r="A8519" s="1" t="s">
        <v>1182</v>
      </c>
      <c r="B8519" s="1" t="n">
        <v>202.89</v>
      </c>
      <c r="C8519" s="1" t="n">
        <f aca="false">1/B8519</f>
        <v>0.00492877914140667</v>
      </c>
      <c r="D8519" s="1" t="n">
        <v>1.6912</v>
      </c>
      <c r="E8519" s="1" t="n">
        <f aca="false">LN(D8519)</f>
        <v>0.525438336133836</v>
      </c>
    </row>
    <row r="8520" customFormat="false" ht="15.75" hidden="false" customHeight="false" outlineLevel="0" collapsed="false">
      <c r="A8520" s="1" t="s">
        <v>1182</v>
      </c>
      <c r="B8520" s="1" t="n">
        <v>203.61</v>
      </c>
      <c r="C8520" s="1" t="n">
        <f aca="false">1/B8520</f>
        <v>0.00491135013015078</v>
      </c>
      <c r="D8520" s="1" t="n">
        <v>1.6662</v>
      </c>
      <c r="E8520" s="1" t="n">
        <f aca="false">LN(D8520)</f>
        <v>0.510545584558672</v>
      </c>
    </row>
    <row r="8521" customFormat="false" ht="15.75" hidden="false" customHeight="false" outlineLevel="0" collapsed="false">
      <c r="A8521" s="1" t="s">
        <v>1182</v>
      </c>
      <c r="B8521" s="1" t="n">
        <v>204.34</v>
      </c>
      <c r="C8521" s="1" t="n">
        <f aca="false">1/B8521</f>
        <v>0.00489380444357443</v>
      </c>
      <c r="D8521" s="1" t="n">
        <v>1.6419</v>
      </c>
      <c r="E8521" s="1" t="n">
        <f aca="false">LN(D8521)</f>
        <v>0.495854107835845</v>
      </c>
    </row>
    <row r="8522" customFormat="false" ht="15.75" hidden="false" customHeight="false" outlineLevel="0" collapsed="false">
      <c r="A8522" s="1" t="s">
        <v>1182</v>
      </c>
      <c r="B8522" s="1" t="n">
        <v>205.06</v>
      </c>
      <c r="C8522" s="1" t="n">
        <f aca="false">1/B8522</f>
        <v>0.00487662147664098</v>
      </c>
      <c r="D8522" s="1" t="n">
        <v>1.6181</v>
      </c>
      <c r="E8522" s="1" t="n">
        <f aca="false">LN(D8522)</f>
        <v>0.481252621423625</v>
      </c>
    </row>
    <row r="8523" customFormat="false" ht="15.75" hidden="false" customHeight="false" outlineLevel="0" collapsed="false">
      <c r="A8523" s="1" t="s">
        <v>1182</v>
      </c>
      <c r="B8523" s="1" t="n">
        <v>205.78</v>
      </c>
      <c r="C8523" s="1" t="n">
        <f aca="false">1/B8523</f>
        <v>0.00485955875206531</v>
      </c>
      <c r="D8523" s="1" t="n">
        <v>1.5948</v>
      </c>
      <c r="E8523" s="1" t="n">
        <f aca="false">LN(D8523)</f>
        <v>0.466748336525063</v>
      </c>
    </row>
    <row r="8524" customFormat="false" ht="15.75" hidden="false" customHeight="false" outlineLevel="0" collapsed="false">
      <c r="A8524" s="1" t="s">
        <v>1182</v>
      </c>
      <c r="B8524" s="1" t="n">
        <v>206.51</v>
      </c>
      <c r="C8524" s="1" t="n">
        <f aca="false">1/B8524</f>
        <v>0.00484238051426081</v>
      </c>
      <c r="D8524" s="1" t="n">
        <v>1.5721</v>
      </c>
      <c r="E8524" s="1" t="n">
        <f aca="false">LN(D8524)</f>
        <v>0.452412305215331</v>
      </c>
    </row>
    <row r="8525" customFormat="false" ht="15.75" hidden="false" customHeight="false" outlineLevel="0" collapsed="false">
      <c r="A8525" s="1" t="s">
        <v>1182</v>
      </c>
      <c r="B8525" s="1" t="n">
        <v>207.23</v>
      </c>
      <c r="C8525" s="1" t="n">
        <f aca="false">1/B8525</f>
        <v>0.00482555614534575</v>
      </c>
      <c r="D8525" s="1" t="n">
        <v>1.5498</v>
      </c>
      <c r="E8525" s="1" t="n">
        <f aca="false">LN(D8525)</f>
        <v>0.438125890347713</v>
      </c>
    </row>
    <row r="8526" customFormat="false" ht="15.75" hidden="false" customHeight="false" outlineLevel="0" collapsed="false">
      <c r="A8526" s="1" t="s">
        <v>1182</v>
      </c>
      <c r="B8526" s="1" t="n">
        <v>207.95</v>
      </c>
      <c r="C8526" s="1" t="n">
        <f aca="false">1/B8526</f>
        <v>0.00480884828083674</v>
      </c>
      <c r="D8526" s="1" t="n">
        <v>1.5281</v>
      </c>
      <c r="E8526" s="1" t="n">
        <f aca="false">LN(D8526)</f>
        <v>0.424025133629074</v>
      </c>
    </row>
    <row r="8527" customFormat="false" ht="15.75" hidden="false" customHeight="false" outlineLevel="0" collapsed="false">
      <c r="A8527" s="1" t="s">
        <v>1182</v>
      </c>
      <c r="B8527" s="1" t="n">
        <v>208.68</v>
      </c>
      <c r="C8527" s="1" t="n">
        <f aca="false">1/B8527</f>
        <v>0.00479202606862181</v>
      </c>
      <c r="D8527" s="1" t="n">
        <v>1.5068</v>
      </c>
      <c r="E8527" s="1" t="n">
        <f aca="false">LN(D8527)</f>
        <v>0.409988196835749</v>
      </c>
    </row>
    <row r="8528" customFormat="false" ht="15.75" hidden="false" customHeight="false" outlineLevel="0" collapsed="false">
      <c r="A8528" s="1" t="s">
        <v>1182</v>
      </c>
      <c r="B8528" s="1" t="n">
        <v>209.4</v>
      </c>
      <c r="C8528" s="1" t="n">
        <f aca="false">1/B8528</f>
        <v>0.00477554918815664</v>
      </c>
      <c r="D8528" s="1" t="n">
        <v>1.486</v>
      </c>
      <c r="E8528" s="1" t="n">
        <f aca="false">LN(D8528)</f>
        <v>0.396087946295567</v>
      </c>
    </row>
    <row r="8529" customFormat="false" ht="15.75" hidden="false" customHeight="false" outlineLevel="0" collapsed="false">
      <c r="A8529" s="1" t="s">
        <v>1182</v>
      </c>
      <c r="B8529" s="1" t="n">
        <v>210.12</v>
      </c>
      <c r="C8529" s="1" t="n">
        <f aca="false">1/B8529</f>
        <v>0.00475918522748905</v>
      </c>
      <c r="D8529" s="1" t="n">
        <v>1.4656</v>
      </c>
      <c r="E8529" s="1" t="n">
        <f aca="false">LN(D8529)</f>
        <v>0.382264714937729</v>
      </c>
    </row>
    <row r="8530" customFormat="false" ht="15.75" hidden="false" customHeight="false" outlineLevel="0" collapsed="false">
      <c r="A8530" s="1" t="s">
        <v>1182</v>
      </c>
      <c r="B8530" s="1" t="n">
        <v>210.85</v>
      </c>
      <c r="C8530" s="1" t="n">
        <f aca="false">1/B8530</f>
        <v>0.00474270808631729</v>
      </c>
      <c r="D8530" s="1" t="n">
        <v>1.4457</v>
      </c>
      <c r="E8530" s="1" t="n">
        <f aca="false">LN(D8530)</f>
        <v>0.36859363333226</v>
      </c>
    </row>
    <row r="8531" customFormat="false" ht="15.75" hidden="false" customHeight="false" outlineLevel="0" collapsed="false">
      <c r="A8531" s="1" t="s">
        <v>1182</v>
      </c>
      <c r="B8531" s="1" t="n">
        <v>211.57</v>
      </c>
      <c r="C8531" s="1" t="n">
        <f aca="false">1/B8531</f>
        <v>0.00472656803894692</v>
      </c>
      <c r="D8531" s="1" t="n">
        <v>1.4261</v>
      </c>
      <c r="E8531" s="1" t="n">
        <f aca="false">LN(D8531)</f>
        <v>0.354943445760584</v>
      </c>
    </row>
    <row r="8532" customFormat="false" ht="15.75" hidden="false" customHeight="false" outlineLevel="0" collapsed="false">
      <c r="A8532" s="1" t="s">
        <v>1182</v>
      </c>
      <c r="B8532" s="1" t="n">
        <v>212.29</v>
      </c>
      <c r="C8532" s="1" t="n">
        <f aca="false">1/B8532</f>
        <v>0.00471053747232559</v>
      </c>
      <c r="D8532" s="1" t="n">
        <v>1.407</v>
      </c>
      <c r="E8532" s="1" t="n">
        <f aca="false">LN(D8532)</f>
        <v>0.341459778132252</v>
      </c>
    </row>
    <row r="8533" customFormat="false" ht="15.75" hidden="false" customHeight="false" outlineLevel="0" collapsed="false">
      <c r="A8533" s="1" t="s">
        <v>1182</v>
      </c>
      <c r="B8533" s="1" t="n">
        <v>213.02</v>
      </c>
      <c r="C8533" s="1" t="n">
        <f aca="false">1/B8533</f>
        <v>0.00469439489249836</v>
      </c>
      <c r="D8533" s="1" t="n">
        <v>1.3883</v>
      </c>
      <c r="E8533" s="1" t="n">
        <f aca="false">LN(D8533)</f>
        <v>0.32807997705862</v>
      </c>
    </row>
    <row r="8534" customFormat="false" ht="15.75" hidden="false" customHeight="false" outlineLevel="0" collapsed="false">
      <c r="A8534" s="1" t="s">
        <v>1182</v>
      </c>
      <c r="B8534" s="1" t="n">
        <v>213.74</v>
      </c>
      <c r="C8534" s="1" t="n">
        <f aca="false">1/B8534</f>
        <v>0.00467858145410312</v>
      </c>
      <c r="D8534" s="1" t="n">
        <v>1.3699</v>
      </c>
      <c r="E8534" s="1" t="n">
        <f aca="false">LN(D8534)</f>
        <v>0.314737744475207</v>
      </c>
    </row>
    <row r="8535" customFormat="false" ht="15.75" hidden="false" customHeight="false" outlineLevel="0" collapsed="false">
      <c r="A8535" s="1" t="s">
        <v>1182</v>
      </c>
      <c r="B8535" s="1" t="n">
        <v>214.46</v>
      </c>
      <c r="C8535" s="1" t="n">
        <f aca="false">1/B8535</f>
        <v>0.0046628741956542</v>
      </c>
      <c r="D8535" s="1" t="n">
        <v>1.352</v>
      </c>
      <c r="E8535" s="1" t="n">
        <f aca="false">LN(D8535)</f>
        <v>0.301584977620772</v>
      </c>
    </row>
    <row r="8536" customFormat="false" ht="15.75" hidden="false" customHeight="false" outlineLevel="0" collapsed="false">
      <c r="A8536" s="1" t="s">
        <v>1182</v>
      </c>
      <c r="B8536" s="1" t="n">
        <v>215.19</v>
      </c>
      <c r="C8536" s="1" t="n">
        <f aca="false">1/B8536</f>
        <v>0.00464705608996701</v>
      </c>
      <c r="D8536" s="1" t="n">
        <v>1.3343</v>
      </c>
      <c r="E8536" s="1" t="n">
        <f aca="false">LN(D8536)</f>
        <v>0.288406809766238</v>
      </c>
    </row>
    <row r="8537" customFormat="false" ht="15.75" hidden="false" customHeight="false" outlineLevel="0" collapsed="false">
      <c r="A8537" s="1" t="s">
        <v>1182</v>
      </c>
      <c r="B8537" s="1" t="n">
        <v>215.91</v>
      </c>
      <c r="C8537" s="1" t="n">
        <f aca="false">1/B8537</f>
        <v>0.00463155944606549</v>
      </c>
      <c r="D8537" s="1" t="n">
        <v>1.3171</v>
      </c>
      <c r="E8537" s="1" t="n">
        <f aca="false">LN(D8537)</f>
        <v>0.275432350022864</v>
      </c>
    </row>
    <row r="8538" customFormat="false" ht="15.75" hidden="false" customHeight="false" outlineLevel="0" collapsed="false">
      <c r="A8538" s="1" t="s">
        <v>1182</v>
      </c>
      <c r="B8538" s="1" t="n">
        <v>216.63</v>
      </c>
      <c r="C8538" s="1" t="n">
        <f aca="false">1/B8538</f>
        <v>0.00461616581267599</v>
      </c>
      <c r="D8538" s="1" t="n">
        <v>1.3001</v>
      </c>
      <c r="E8538" s="1" t="n">
        <f aca="false">LN(D8538)</f>
        <v>0.262441184585986</v>
      </c>
    </row>
    <row r="8539" customFormat="false" ht="15.75" hidden="false" customHeight="false" outlineLevel="0" collapsed="false">
      <c r="A8539" s="1" t="s">
        <v>1182</v>
      </c>
      <c r="B8539" s="1" t="n">
        <v>217.36</v>
      </c>
      <c r="C8539" s="1" t="n">
        <f aca="false">1/B8539</f>
        <v>0.00460066249539934</v>
      </c>
      <c r="D8539" s="1" t="n">
        <v>1.2835</v>
      </c>
      <c r="E8539" s="1" t="n">
        <f aca="false">LN(D8539)</f>
        <v>0.249590721329058</v>
      </c>
    </row>
    <row r="8540" customFormat="false" ht="15.75" hidden="false" customHeight="false" outlineLevel="0" collapsed="false">
      <c r="A8540" s="1" t="s">
        <v>1182</v>
      </c>
      <c r="B8540" s="1" t="n">
        <v>218.08</v>
      </c>
      <c r="C8540" s="1" t="n">
        <f aca="false">1/B8540</f>
        <v>0.00458547322083639</v>
      </c>
      <c r="D8540" s="1" t="n">
        <v>1.2672</v>
      </c>
      <c r="E8540" s="1" t="n">
        <f aca="false">LN(D8540)</f>
        <v>0.236809742078024</v>
      </c>
    </row>
    <row r="8541" customFormat="false" ht="15.75" hidden="false" customHeight="false" outlineLevel="0" collapsed="false">
      <c r="A8541" s="1" t="s">
        <v>1182</v>
      </c>
      <c r="B8541" s="1" t="n">
        <v>218.8</v>
      </c>
      <c r="C8541" s="1" t="n">
        <f aca="false">1/B8541</f>
        <v>0.00457038391224863</v>
      </c>
      <c r="D8541" s="1" t="n">
        <v>1.2512</v>
      </c>
      <c r="E8541" s="1" t="n">
        <f aca="false">LN(D8541)</f>
        <v>0.22410309080891</v>
      </c>
    </row>
    <row r="8542" customFormat="false" ht="15.75" hidden="false" customHeight="false" outlineLevel="0" collapsed="false">
      <c r="A8542" s="1" t="s">
        <v>1182</v>
      </c>
      <c r="B8542" s="1" t="n">
        <v>219.53</v>
      </c>
      <c r="C8542" s="1" t="n">
        <f aca="false">1/B8542</f>
        <v>0.00455518607935134</v>
      </c>
      <c r="D8542" s="1" t="n">
        <v>1.2356</v>
      </c>
      <c r="E8542" s="1" t="n">
        <f aca="false">LN(D8542)</f>
        <v>0.21155668206229</v>
      </c>
    </row>
    <row r="8543" customFormat="false" ht="15.75" hidden="false" customHeight="false" outlineLevel="0" collapsed="false">
      <c r="A8543" s="1" t="s">
        <v>1182</v>
      </c>
      <c r="B8543" s="1" t="n">
        <v>220.25</v>
      </c>
      <c r="C8543" s="1" t="n">
        <f aca="false">1/B8543</f>
        <v>0.00454029511918275</v>
      </c>
      <c r="D8543" s="1" t="n">
        <v>1.2202</v>
      </c>
      <c r="E8543" s="1" t="n">
        <f aca="false">LN(D8543)</f>
        <v>0.199014779735615</v>
      </c>
    </row>
    <row r="8544" customFormat="false" ht="15.75" hidden="false" customHeight="false" outlineLevel="0" collapsed="false">
      <c r="A8544" s="1" t="s">
        <v>1182</v>
      </c>
      <c r="B8544" s="1" t="n">
        <v>220.97</v>
      </c>
      <c r="C8544" s="1" t="n">
        <f aca="false">1/B8544</f>
        <v>0.00452550119925782</v>
      </c>
      <c r="D8544" s="1" t="n">
        <v>1.2051</v>
      </c>
      <c r="E8544" s="1" t="n">
        <f aca="false">LN(D8544)</f>
        <v>0.186562551051209</v>
      </c>
    </row>
    <row r="8545" customFormat="false" ht="15.75" hidden="false" customHeight="false" outlineLevel="0" collapsed="false">
      <c r="A8545" s="1" t="s">
        <v>1182</v>
      </c>
      <c r="B8545" s="1" t="n">
        <v>221.7</v>
      </c>
      <c r="C8545" s="1" t="n">
        <f aca="false">1/B8545</f>
        <v>0.004510599909788</v>
      </c>
      <c r="D8545" s="1" t="n">
        <v>1.1902</v>
      </c>
      <c r="E8545" s="1" t="n">
        <f aca="false">LN(D8545)</f>
        <v>0.174121360228615</v>
      </c>
    </row>
    <row r="8546" customFormat="false" ht="15.75" hidden="false" customHeight="false" outlineLevel="0" collapsed="false">
      <c r="A8546" s="1" t="s">
        <v>1182</v>
      </c>
      <c r="B8546" s="1" t="n">
        <v>222.42</v>
      </c>
      <c r="C8546" s="1" t="n">
        <f aca="false">1/B8546</f>
        <v>0.00449599856128046</v>
      </c>
      <c r="D8546" s="1" t="n">
        <v>1.1757</v>
      </c>
      <c r="E8546" s="1" t="n">
        <f aca="false">LN(D8546)</f>
        <v>0.161863714891558</v>
      </c>
    </row>
    <row r="8547" customFormat="false" ht="15.75" hidden="false" customHeight="false" outlineLevel="0" collapsed="false">
      <c r="A8547" s="1" t="s">
        <v>1182</v>
      </c>
      <c r="B8547" s="1" t="n">
        <v>223.14</v>
      </c>
      <c r="C8547" s="1" t="n">
        <f aca="false">1/B8547</f>
        <v>0.00448149144035135</v>
      </c>
      <c r="D8547" s="1" t="n">
        <v>1.1614</v>
      </c>
      <c r="E8547" s="1" t="n">
        <f aca="false">LN(D8547)</f>
        <v>0.149626173955812</v>
      </c>
    </row>
    <row r="8548" customFormat="false" ht="15.75" hidden="false" customHeight="false" outlineLevel="0" collapsed="false">
      <c r="A8548" s="1" t="s">
        <v>1182</v>
      </c>
      <c r="B8548" s="1" t="n">
        <v>223.87</v>
      </c>
      <c r="C8548" s="1" t="n">
        <f aca="false">1/B8548</f>
        <v>0.00446687809889668</v>
      </c>
      <c r="D8548" s="1" t="n">
        <v>1.1474</v>
      </c>
      <c r="E8548" s="1" t="n">
        <f aca="false">LN(D8548)</f>
        <v>0.137498513185634</v>
      </c>
    </row>
    <row r="8549" customFormat="false" ht="15.75" hidden="false" customHeight="false" outlineLevel="0" collapsed="false">
      <c r="A8549" s="1" t="s">
        <v>1182</v>
      </c>
      <c r="B8549" s="1" t="n">
        <v>224.59</v>
      </c>
      <c r="C8549" s="1" t="n">
        <f aca="false">1/B8549</f>
        <v>0.00445255799456788</v>
      </c>
      <c r="D8549" s="1" t="n">
        <v>1.1336</v>
      </c>
      <c r="E8549" s="1" t="n">
        <f aca="false">LN(D8549)</f>
        <v>0.125398409394334</v>
      </c>
    </row>
    <row r="8550" customFormat="false" ht="15.75" hidden="false" customHeight="false" outlineLevel="0" collapsed="false">
      <c r="A8550" s="1" t="s">
        <v>1182</v>
      </c>
      <c r="B8550" s="1" t="n">
        <v>225.31</v>
      </c>
      <c r="C8550" s="1" t="n">
        <f aca="false">1/B8550</f>
        <v>0.00443832941280902</v>
      </c>
      <c r="D8550" s="1" t="n">
        <v>1.1201</v>
      </c>
      <c r="E8550" s="1" t="n">
        <f aca="false">LN(D8550)</f>
        <v>0.113417967035557</v>
      </c>
    </row>
    <row r="8551" customFormat="false" ht="15.75" hidden="false" customHeight="false" outlineLevel="0" collapsed="false">
      <c r="A8551" s="1" t="s">
        <v>1182</v>
      </c>
      <c r="B8551" s="1" t="n">
        <v>226.04</v>
      </c>
      <c r="C8551" s="1" t="n">
        <f aca="false">1/B8551</f>
        <v>0.00442399575296408</v>
      </c>
      <c r="D8551" s="1" t="n">
        <v>1.1068</v>
      </c>
      <c r="E8551" s="1" t="n">
        <f aca="false">LN(D8551)</f>
        <v>0.101472968930634</v>
      </c>
    </row>
    <row r="8552" customFormat="false" ht="15.75" hidden="false" customHeight="false" outlineLevel="0" collapsed="false">
      <c r="A8552" s="1" t="s">
        <v>1182</v>
      </c>
      <c r="B8552" s="1" t="n">
        <v>226.76</v>
      </c>
      <c r="C8552" s="1" t="n">
        <f aca="false">1/B8552</f>
        <v>0.0044099488445934</v>
      </c>
      <c r="D8552" s="1" t="n">
        <v>1.0937</v>
      </c>
      <c r="E8552" s="1" t="n">
        <f aca="false">LN(D8552)</f>
        <v>0.0895664433590429</v>
      </c>
    </row>
    <row r="8553" customFormat="false" ht="15.75" hidden="false" customHeight="false" outlineLevel="0" collapsed="false">
      <c r="A8553" s="1" t="s">
        <v>1182</v>
      </c>
      <c r="B8553" s="1" t="n">
        <v>227.48</v>
      </c>
      <c r="C8553" s="1" t="n">
        <f aca="false">1/B8553</f>
        <v>0.00439599085633902</v>
      </c>
      <c r="D8553" s="1" t="n">
        <v>1.0808</v>
      </c>
      <c r="E8553" s="1" t="n">
        <f aca="false">LN(D8553)</f>
        <v>0.077701507663852</v>
      </c>
    </row>
    <row r="8554" customFormat="false" ht="15.75" hidden="false" customHeight="false" outlineLevel="0" collapsed="false">
      <c r="A8554" s="1" t="s">
        <v>1182</v>
      </c>
      <c r="B8554" s="1" t="n">
        <v>228.21</v>
      </c>
      <c r="C8554" s="1" t="n">
        <f aca="false">1/B8554</f>
        <v>0.00438192892511283</v>
      </c>
      <c r="D8554" s="1" t="n">
        <v>1.0682</v>
      </c>
      <c r="E8554" s="1" t="n">
        <f aca="false">LN(D8554)</f>
        <v>0.0659749889235329</v>
      </c>
    </row>
    <row r="8555" customFormat="false" ht="15.75" hidden="false" customHeight="false" outlineLevel="0" collapsed="false">
      <c r="A8555" s="1" t="s">
        <v>1182</v>
      </c>
      <c r="B8555" s="1" t="n">
        <v>228.93</v>
      </c>
      <c r="C8555" s="1" t="n">
        <f aca="false">1/B8555</f>
        <v>0.00436814746865854</v>
      </c>
      <c r="D8555" s="1" t="n">
        <v>1.0558</v>
      </c>
      <c r="E8555" s="1" t="n">
        <f aca="false">LN(D8555)</f>
        <v>0.0542987734073789</v>
      </c>
    </row>
    <row r="8556" customFormat="false" ht="15.75" hidden="false" customHeight="false" outlineLevel="0" collapsed="false">
      <c r="A8556" s="1" t="s">
        <v>1182</v>
      </c>
      <c r="B8556" s="1" t="n">
        <v>229.65</v>
      </c>
      <c r="C8556" s="1" t="n">
        <f aca="false">1/B8556</f>
        <v>0.00435445242760723</v>
      </c>
      <c r="D8556" s="1" t="n">
        <v>1.0436</v>
      </c>
      <c r="E8556" s="1" t="n">
        <f aca="false">LN(D8556)</f>
        <v>0.0426762742804364</v>
      </c>
    </row>
    <row r="8557" customFormat="false" ht="15.75" hidden="false" customHeight="false" outlineLevel="0" collapsed="false">
      <c r="A8557" s="1" t="s">
        <v>1182</v>
      </c>
      <c r="B8557" s="1" t="n">
        <v>230.38</v>
      </c>
      <c r="C8557" s="1" t="n">
        <f aca="false">1/B8557</f>
        <v>0.00434065457070926</v>
      </c>
      <c r="D8557" s="1" t="n">
        <v>1.0316</v>
      </c>
      <c r="E8557" s="1" t="n">
        <f aca="false">LN(D8557)</f>
        <v>0.0311109950250527</v>
      </c>
    </row>
    <row r="8558" customFormat="false" ht="15.75" hidden="false" customHeight="false" outlineLevel="0" collapsed="false">
      <c r="A8558" s="1" t="s">
        <v>1182</v>
      </c>
      <c r="B8558" s="1" t="n">
        <v>231.1</v>
      </c>
      <c r="C8558" s="1" t="n">
        <f aca="false">1/B8558</f>
        <v>0.0043271311120727</v>
      </c>
      <c r="D8558" s="1" t="n">
        <v>1.0198</v>
      </c>
      <c r="E8558" s="1" t="n">
        <f aca="false">LN(D8558)</f>
        <v>0.0196065296389183</v>
      </c>
    </row>
    <row r="8559" customFormat="false" ht="15.75" hidden="false" customHeight="false" outlineLevel="0" collapsed="false">
      <c r="A8559" s="1" t="s">
        <v>1182</v>
      </c>
      <c r="B8559" s="1" t="n">
        <v>231.82</v>
      </c>
      <c r="C8559" s="1" t="n">
        <f aca="false">1/B8559</f>
        <v>0.00431369165732033</v>
      </c>
      <c r="D8559" s="1" t="n">
        <v>1.0082</v>
      </c>
      <c r="E8559" s="1" t="n">
        <f aca="false">LN(D8559)</f>
        <v>0.0081665626663934</v>
      </c>
    </row>
    <row r="8560" customFormat="false" ht="15.75" hidden="false" customHeight="false" outlineLevel="0" collapsed="false">
      <c r="A8560" s="1" t="s">
        <v>1182</v>
      </c>
      <c r="B8560" s="1" t="n">
        <v>232.55</v>
      </c>
      <c r="C8560" s="1" t="n">
        <f aca="false">1/B8560</f>
        <v>0.00430015050526768</v>
      </c>
      <c r="D8560" s="1" t="n">
        <v>0.99681</v>
      </c>
      <c r="E8560" s="1" t="n">
        <f aca="false">LN(D8560)</f>
        <v>-0.00319509889654085</v>
      </c>
    </row>
    <row r="8561" customFormat="false" ht="15.75" hidden="false" customHeight="false" outlineLevel="0" collapsed="false">
      <c r="A8561" s="1" t="s">
        <v>1182</v>
      </c>
      <c r="B8561" s="1" t="n">
        <v>233.27</v>
      </c>
      <c r="C8561" s="1" t="n">
        <f aca="false">1/B8561</f>
        <v>0.00428687786684957</v>
      </c>
      <c r="D8561" s="1" t="n">
        <v>0.98559</v>
      </c>
      <c r="E8561" s="1" t="n">
        <f aca="false">LN(D8561)</f>
        <v>-0.0145148323582499</v>
      </c>
    </row>
    <row r="8562" customFormat="false" ht="15.75" hidden="false" customHeight="false" outlineLevel="0" collapsed="false">
      <c r="A8562" s="1" t="s">
        <v>1182</v>
      </c>
      <c r="B8562" s="1" t="n">
        <v>233.99</v>
      </c>
      <c r="C8562" s="1" t="n">
        <f aca="false">1/B8562</f>
        <v>0.004273686909697</v>
      </c>
      <c r="D8562" s="1" t="n">
        <v>0.97454</v>
      </c>
      <c r="E8562" s="1" t="n">
        <f aca="false">LN(D8562)</f>
        <v>-0.0257897141863034</v>
      </c>
    </row>
    <row r="8563" customFormat="false" ht="15.75" hidden="false" customHeight="false" outlineLevel="0" collapsed="false">
      <c r="A8563" s="1" t="s">
        <v>1182</v>
      </c>
      <c r="B8563" s="1" t="n">
        <v>234.72</v>
      </c>
      <c r="C8563" s="1" t="n">
        <f aca="false">1/B8563</f>
        <v>0.00426039536468984</v>
      </c>
      <c r="D8563" s="1" t="n">
        <v>0.96368</v>
      </c>
      <c r="E8563" s="1" t="n">
        <f aca="false">LN(D8563)</f>
        <v>-0.0369959896867261</v>
      </c>
    </row>
    <row r="8564" customFormat="false" ht="15.75" hidden="false" customHeight="false" outlineLevel="0" collapsed="false">
      <c r="A8564" s="1" t="s">
        <v>1182</v>
      </c>
      <c r="B8564" s="1" t="n">
        <v>235.44</v>
      </c>
      <c r="C8564" s="1" t="n">
        <f aca="false">1/B8564</f>
        <v>0.00424736663268773</v>
      </c>
      <c r="D8564" s="1" t="n">
        <v>0.95299</v>
      </c>
      <c r="E8564" s="1" t="n">
        <f aca="false">LN(D8564)</f>
        <v>-0.0481508685624221</v>
      </c>
    </row>
    <row r="8565" customFormat="false" ht="15.75" hidden="false" customHeight="false" outlineLevel="0" collapsed="false">
      <c r="A8565" s="1" t="s">
        <v>1182</v>
      </c>
      <c r="B8565" s="1" t="n">
        <v>236.16</v>
      </c>
      <c r="C8565" s="1" t="n">
        <f aca="false">1/B8565</f>
        <v>0.00423441734417344</v>
      </c>
      <c r="D8565" s="1" t="n">
        <v>0.94246</v>
      </c>
      <c r="E8565" s="1" t="n">
        <f aca="false">LN(D8565)</f>
        <v>-0.0592618008788894</v>
      </c>
    </row>
    <row r="8566" customFormat="false" ht="15.75" hidden="false" customHeight="false" outlineLevel="0" collapsed="false">
      <c r="A8566" s="1" t="s">
        <v>1182</v>
      </c>
      <c r="B8566" s="1" t="n">
        <v>236.89</v>
      </c>
      <c r="C8566" s="1" t="n">
        <f aca="false">1/B8566</f>
        <v>0.00422136856768964</v>
      </c>
      <c r="D8566" s="1" t="n">
        <v>0.93211</v>
      </c>
      <c r="E8566" s="1" t="n">
        <f aca="false">LN(D8566)</f>
        <v>-0.0703044455099639</v>
      </c>
    </row>
    <row r="8567" customFormat="false" ht="15.75" hidden="false" customHeight="false" outlineLevel="0" collapsed="false">
      <c r="A8567" s="1" t="s">
        <v>1182</v>
      </c>
      <c r="B8567" s="1" t="n">
        <v>237.61</v>
      </c>
      <c r="C8567" s="1" t="n">
        <f aca="false">1/B8567</f>
        <v>0.00420857708008922</v>
      </c>
      <c r="D8567" s="1" t="n">
        <v>0.92191</v>
      </c>
      <c r="E8567" s="1" t="n">
        <f aca="false">LN(D8567)</f>
        <v>-0.0813076740729517</v>
      </c>
    </row>
    <row r="8568" customFormat="false" ht="15.75" hidden="false" customHeight="false" outlineLevel="0" collapsed="false">
      <c r="A8568" s="1" t="s">
        <v>1182</v>
      </c>
      <c r="B8568" s="1" t="n">
        <v>238.33</v>
      </c>
      <c r="C8568" s="1" t="n">
        <f aca="false">1/B8568</f>
        <v>0.00419586287920111</v>
      </c>
      <c r="D8568" s="1" t="n">
        <v>0.91187</v>
      </c>
      <c r="E8568" s="1" t="n">
        <f aca="false">LN(D8568)</f>
        <v>-0.0922578429277963</v>
      </c>
    </row>
    <row r="8569" customFormat="false" ht="15.75" hidden="false" customHeight="false" outlineLevel="0" collapsed="false">
      <c r="A8569" s="1" t="s">
        <v>1182</v>
      </c>
      <c r="B8569" s="1" t="n">
        <v>239.06</v>
      </c>
      <c r="C8569" s="1" t="n">
        <f aca="false">1/B8569</f>
        <v>0.00418305028026437</v>
      </c>
      <c r="D8569" s="1" t="n">
        <v>0.90199</v>
      </c>
      <c r="E8569" s="1" t="n">
        <f aca="false">LN(D8569)</f>
        <v>-0.10315184545547</v>
      </c>
    </row>
    <row r="8570" customFormat="false" ht="15.75" hidden="false" customHeight="false" outlineLevel="0" collapsed="false">
      <c r="A8570" s="1" t="s">
        <v>1182</v>
      </c>
      <c r="B8570" s="1" t="n">
        <v>239.78</v>
      </c>
      <c r="C8570" s="1" t="n">
        <f aca="false">1/B8570</f>
        <v>0.00417048961548086</v>
      </c>
      <c r="D8570" s="1" t="n">
        <v>0.89226</v>
      </c>
      <c r="E8570" s="1" t="n">
        <f aca="false">LN(D8570)</f>
        <v>-0.11399770905349</v>
      </c>
    </row>
    <row r="8571" customFormat="false" ht="15.75" hidden="false" customHeight="false" outlineLevel="0" collapsed="false">
      <c r="A8571" s="1" t="s">
        <v>1182</v>
      </c>
      <c r="B8571" s="1" t="n">
        <v>240.5</v>
      </c>
      <c r="C8571" s="1" t="n">
        <f aca="false">1/B8571</f>
        <v>0.00415800415800416</v>
      </c>
      <c r="D8571" s="1" t="n">
        <v>0.88268</v>
      </c>
      <c r="E8571" s="1" t="n">
        <f aca="false">LN(D8571)</f>
        <v>-0.124792544967257</v>
      </c>
    </row>
    <row r="8572" customFormat="false" ht="15.75" hidden="false" customHeight="false" outlineLevel="0" collapsed="false">
      <c r="A8572" s="1" t="s">
        <v>1182</v>
      </c>
      <c r="B8572" s="1" t="n">
        <v>241.23</v>
      </c>
      <c r="C8572" s="1" t="n">
        <f aca="false">1/B8572</f>
        <v>0.00414542138208349</v>
      </c>
      <c r="D8572" s="1" t="n">
        <v>0.87324</v>
      </c>
      <c r="E8572" s="1" t="n">
        <f aca="false">LN(D8572)</f>
        <v>-0.135544846835142</v>
      </c>
    </row>
    <row r="8573" customFormat="false" ht="15.75" hidden="false" customHeight="false" outlineLevel="0" collapsed="false">
      <c r="A8573" s="1" t="s">
        <v>1182</v>
      </c>
      <c r="B8573" s="1" t="n">
        <v>241.95</v>
      </c>
      <c r="C8573" s="1" t="n">
        <f aca="false">1/B8573</f>
        <v>0.00413308534821244</v>
      </c>
      <c r="D8573" s="1" t="n">
        <v>0.86395</v>
      </c>
      <c r="E8573" s="1" t="n">
        <f aca="false">LN(D8573)</f>
        <v>-0.146240382223006</v>
      </c>
    </row>
    <row r="8574" customFormat="false" ht="15.75" hidden="false" customHeight="false" outlineLevel="0" collapsed="false">
      <c r="A8574" s="1" t="s">
        <v>1182</v>
      </c>
      <c r="B8574" s="1" t="n">
        <v>242.67</v>
      </c>
      <c r="C8574" s="1" t="n">
        <f aca="false">1/B8574</f>
        <v>0.00412082251617423</v>
      </c>
      <c r="D8574" s="1" t="n">
        <v>0.85479</v>
      </c>
      <c r="E8574" s="1" t="n">
        <f aca="false">LN(D8574)</f>
        <v>-0.156899454248532</v>
      </c>
    </row>
    <row r="8575" customFormat="false" ht="15.75" hidden="false" customHeight="false" outlineLevel="0" collapsed="false">
      <c r="A8575" s="1" t="s">
        <v>1182</v>
      </c>
      <c r="B8575" s="1" t="n">
        <v>243.4</v>
      </c>
      <c r="C8575" s="1" t="n">
        <f aca="false">1/B8575</f>
        <v>0.00410846343467543</v>
      </c>
      <c r="D8575" s="1" t="n">
        <v>0.84577</v>
      </c>
      <c r="E8575" s="1" t="n">
        <f aca="false">LN(D8575)</f>
        <v>-0.167507823950906</v>
      </c>
    </row>
    <row r="8576" customFormat="false" ht="15.75" hidden="false" customHeight="false" outlineLevel="0" collapsed="false">
      <c r="A8576" s="1" t="s">
        <v>1182</v>
      </c>
      <c r="B8576" s="1" t="n">
        <v>244.12</v>
      </c>
      <c r="C8576" s="1" t="n">
        <f aca="false">1/B8576</f>
        <v>0.00409634605931509</v>
      </c>
      <c r="D8576" s="1" t="n">
        <v>0.83688</v>
      </c>
      <c r="E8576" s="1" t="n">
        <f aca="false">LN(D8576)</f>
        <v>-0.178074587946632</v>
      </c>
    </row>
    <row r="8577" customFormat="false" ht="15.75" hidden="false" customHeight="false" outlineLevel="0" collapsed="false">
      <c r="A8577" s="1" t="s">
        <v>1182</v>
      </c>
      <c r="B8577" s="1" t="n">
        <v>244.84</v>
      </c>
      <c r="C8577" s="1" t="n">
        <f aca="false">1/B8577</f>
        <v>0.0040842999509884</v>
      </c>
      <c r="D8577" s="1" t="n">
        <v>0.82813</v>
      </c>
      <c r="E8577" s="1" t="n">
        <f aca="false">LN(D8577)</f>
        <v>-0.188585132089928</v>
      </c>
    </row>
    <row r="8578" customFormat="false" ht="15.75" hidden="false" customHeight="false" outlineLevel="0" collapsed="false">
      <c r="A8578" s="1" t="s">
        <v>1182</v>
      </c>
      <c r="B8578" s="1" t="n">
        <v>245.57</v>
      </c>
      <c r="C8578" s="1" t="n">
        <f aca="false">1/B8578</f>
        <v>0.00407215865130106</v>
      </c>
      <c r="D8578" s="1" t="n">
        <v>0.8195</v>
      </c>
      <c r="E8578" s="1" t="n">
        <f aca="false">LN(D8578)</f>
        <v>-0.199060880798253</v>
      </c>
    </row>
    <row r="8579" customFormat="false" ht="15.75" hidden="false" customHeight="false" outlineLevel="0" collapsed="false">
      <c r="A8579" s="1" t="s">
        <v>1182</v>
      </c>
      <c r="B8579" s="1" t="n">
        <v>246.29</v>
      </c>
      <c r="C8579" s="1" t="n">
        <f aca="false">1/B8579</f>
        <v>0.00406025417191116</v>
      </c>
      <c r="D8579" s="1" t="n">
        <v>0.81099</v>
      </c>
      <c r="E8579" s="1" t="n">
        <f aca="false">LN(D8579)</f>
        <v>-0.209499555398972</v>
      </c>
    </row>
    <row r="8580" customFormat="false" ht="15.75" hidden="false" customHeight="false" outlineLevel="0" collapsed="false">
      <c r="A8580" s="1" t="s">
        <v>1182</v>
      </c>
      <c r="B8580" s="1" t="n">
        <v>247.01</v>
      </c>
      <c r="C8580" s="1" t="n">
        <f aca="false">1/B8580</f>
        <v>0.00404841909234444</v>
      </c>
      <c r="D8580" s="1" t="n">
        <v>0.80261</v>
      </c>
      <c r="E8580" s="1" t="n">
        <f aca="false">LN(D8580)</f>
        <v>-0.219886361720336</v>
      </c>
    </row>
    <row r="8581" customFormat="false" ht="15.75" hidden="false" customHeight="false" outlineLevel="0" collapsed="false">
      <c r="A8581" s="1" t="s">
        <v>1182</v>
      </c>
      <c r="B8581" s="1" t="n">
        <v>247.74</v>
      </c>
      <c r="C8581" s="1" t="n">
        <f aca="false">1/B8581</f>
        <v>0.00403648986841043</v>
      </c>
      <c r="D8581" s="1" t="n">
        <v>0.79435</v>
      </c>
      <c r="E8581" s="1" t="n">
        <f aca="false">LN(D8581)</f>
        <v>-0.230231108816105</v>
      </c>
    </row>
    <row r="8582" customFormat="false" ht="15.75" hidden="false" customHeight="false" outlineLevel="0" collapsed="false">
      <c r="A8582" s="1" t="s">
        <v>1182</v>
      </c>
      <c r="B8582" s="1" t="n">
        <v>248.46</v>
      </c>
      <c r="C8582" s="1" t="n">
        <f aca="false">1/B8582</f>
        <v>0.00402479272317476</v>
      </c>
      <c r="D8582" s="1" t="n">
        <v>0.78621</v>
      </c>
      <c r="E8582" s="1" t="n">
        <f aca="false">LN(D8582)</f>
        <v>-0.240531346665449</v>
      </c>
    </row>
    <row r="8583" customFormat="false" ht="15.75" hidden="false" customHeight="false" outlineLevel="0" collapsed="false">
      <c r="A8583" s="1" t="s">
        <v>1182</v>
      </c>
      <c r="B8583" s="1" t="n">
        <v>249.18</v>
      </c>
      <c r="C8583" s="1" t="n">
        <f aca="false">1/B8583</f>
        <v>0.0040131631752147</v>
      </c>
      <c r="D8583" s="1" t="n">
        <v>0.77818</v>
      </c>
      <c r="E8583" s="1" t="n">
        <f aca="false">LN(D8583)</f>
        <v>-0.250797419096047</v>
      </c>
    </row>
    <row r="8584" customFormat="false" ht="15.75" hidden="false" customHeight="false" outlineLevel="0" collapsed="false">
      <c r="A8584" s="1" t="s">
        <v>1182</v>
      </c>
      <c r="B8584" s="1" t="n">
        <v>249.91</v>
      </c>
      <c r="C8584" s="1" t="n">
        <f aca="false">1/B8584</f>
        <v>0.00400144051858669</v>
      </c>
      <c r="D8584" s="1" t="n">
        <v>0.77027</v>
      </c>
      <c r="E8584" s="1" t="n">
        <f aca="false">LN(D8584)</f>
        <v>-0.261014176246874</v>
      </c>
    </row>
    <row r="8585" customFormat="false" ht="15.75" hidden="false" customHeight="false" outlineLevel="0" collapsed="false">
      <c r="A8585" s="1" t="s">
        <v>1182</v>
      </c>
      <c r="B8585" s="1" t="n">
        <v>250.63</v>
      </c>
      <c r="C8585" s="1" t="n">
        <f aca="false">1/B8585</f>
        <v>0.00398994533774887</v>
      </c>
      <c r="D8585" s="1" t="n">
        <v>0.76247</v>
      </c>
      <c r="E8585" s="1" t="n">
        <f aca="false">LN(D8585)</f>
        <v>-0.271192115536871</v>
      </c>
    </row>
    <row r="8586" customFormat="false" ht="15.75" hidden="false" customHeight="false" outlineLevel="0" collapsed="false">
      <c r="A8586" s="1" t="s">
        <v>1182</v>
      </c>
      <c r="B8586" s="1" t="n">
        <v>251.35</v>
      </c>
      <c r="C8586" s="1" t="n">
        <f aca="false">1/B8586</f>
        <v>0.00397851601352695</v>
      </c>
      <c r="D8586" s="1" t="n">
        <v>0.75477</v>
      </c>
      <c r="E8586" s="1" t="n">
        <f aca="false">LN(D8586)</f>
        <v>-0.281342211905601</v>
      </c>
    </row>
    <row r="8587" customFormat="false" ht="15.75" hidden="false" customHeight="false" outlineLevel="0" collapsed="false">
      <c r="A8587" s="1" t="s">
        <v>1182</v>
      </c>
      <c r="B8587" s="1" t="n">
        <v>252.08</v>
      </c>
      <c r="C8587" s="1" t="n">
        <f aca="false">1/B8587</f>
        <v>0.00396699460488734</v>
      </c>
      <c r="D8587" s="1" t="n">
        <v>0.74718</v>
      </c>
      <c r="E8587" s="1" t="n">
        <f aca="false">LN(D8587)</f>
        <v>-0.291449159021025</v>
      </c>
    </row>
    <row r="8588" customFormat="false" ht="15.75" hidden="false" customHeight="false" outlineLevel="0" collapsed="false">
      <c r="A8588" s="1" t="s">
        <v>1182</v>
      </c>
      <c r="B8588" s="1" t="n">
        <v>252.8</v>
      </c>
      <c r="C8588" s="1" t="n">
        <f aca="false">1/B8588</f>
        <v>0.00395569620253164</v>
      </c>
      <c r="D8588" s="1" t="n">
        <v>0.7397</v>
      </c>
      <c r="E8588" s="1" t="n">
        <f aca="false">LN(D8588)</f>
        <v>-0.301510580388315</v>
      </c>
    </row>
    <row r="8589" customFormat="false" ht="15.75" hidden="false" customHeight="false" outlineLevel="0" collapsed="false">
      <c r="A8589" s="1" t="s">
        <v>1182</v>
      </c>
      <c r="B8589" s="1" t="n">
        <v>253.52</v>
      </c>
      <c r="C8589" s="1" t="n">
        <f aca="false">1/B8589</f>
        <v>0.00394446197538656</v>
      </c>
      <c r="D8589" s="1" t="n">
        <v>0.73232</v>
      </c>
      <c r="E8589" s="1" t="n">
        <f aca="false">LN(D8589)</f>
        <v>-0.311537702076805</v>
      </c>
    </row>
    <row r="8590" customFormat="false" ht="15.75" hidden="false" customHeight="false" outlineLevel="0" collapsed="false">
      <c r="A8590" s="1" t="s">
        <v>1182</v>
      </c>
      <c r="B8590" s="1" t="n">
        <v>254.25</v>
      </c>
      <c r="C8590" s="1" t="n">
        <f aca="false">1/B8590</f>
        <v>0.00393313667649951</v>
      </c>
      <c r="D8590" s="1" t="n">
        <v>0.72504</v>
      </c>
      <c r="E8590" s="1" t="n">
        <f aca="false">LN(D8590)</f>
        <v>-0.321528453235611</v>
      </c>
    </row>
    <row r="8591" customFormat="false" ht="15.75" hidden="false" customHeight="false" outlineLevel="0" collapsed="false">
      <c r="A8591" s="1" t="s">
        <v>1182</v>
      </c>
      <c r="B8591" s="1" t="n">
        <v>254.97</v>
      </c>
      <c r="C8591" s="1" t="n">
        <f aca="false">1/B8591</f>
        <v>0.00392203004275013</v>
      </c>
      <c r="D8591" s="1" t="n">
        <v>0.71786</v>
      </c>
      <c r="E8591" s="1" t="n">
        <f aca="false">LN(D8591)</f>
        <v>-0.331480715018592</v>
      </c>
    </row>
    <row r="8592" customFormat="false" ht="15.75" hidden="false" customHeight="false" outlineLevel="0" collapsed="false">
      <c r="A8592" s="1" t="s">
        <v>1182</v>
      </c>
      <c r="B8592" s="1" t="n">
        <v>255.69</v>
      </c>
      <c r="C8592" s="1" t="n">
        <f aca="false">1/B8592</f>
        <v>0.00391098595956041</v>
      </c>
      <c r="D8592" s="1" t="n">
        <v>0.71078</v>
      </c>
      <c r="E8592" s="1" t="n">
        <f aca="false">LN(D8592)</f>
        <v>-0.341392320407575</v>
      </c>
    </row>
    <row r="8593" customFormat="false" ht="15.75" hidden="false" customHeight="false" outlineLevel="0" collapsed="false">
      <c r="A8593" s="1" t="s">
        <v>1182</v>
      </c>
      <c r="B8593" s="1" t="n">
        <v>256.42</v>
      </c>
      <c r="C8593" s="1" t="n">
        <f aca="false">1/B8593</f>
        <v>0.00389985180563139</v>
      </c>
      <c r="D8593" s="1" t="n">
        <v>0.70379</v>
      </c>
      <c r="E8593" s="1" t="n">
        <f aca="false">LN(D8593)</f>
        <v>-0.351275262777579</v>
      </c>
    </row>
    <row r="8594" customFormat="false" ht="15.75" hidden="false" customHeight="false" outlineLevel="0" collapsed="false">
      <c r="A8594" s="1" t="s">
        <v>1182</v>
      </c>
      <c r="B8594" s="1" t="n">
        <v>257.14</v>
      </c>
      <c r="C8594" s="1" t="n">
        <f aca="false">1/B8594</f>
        <v>0.00388893209924555</v>
      </c>
      <c r="D8594" s="1" t="n">
        <v>0.69689</v>
      </c>
      <c r="E8594" s="1" t="n">
        <f aca="false">LN(D8594)</f>
        <v>-0.361127699901629</v>
      </c>
    </row>
    <row r="8595" customFormat="false" ht="15.75" hidden="false" customHeight="false" outlineLevel="0" collapsed="false">
      <c r="A8595" s="1" t="s">
        <v>1182</v>
      </c>
      <c r="B8595" s="1" t="n">
        <v>257.86</v>
      </c>
      <c r="C8595" s="1" t="n">
        <f aca="false">1/B8595</f>
        <v>0.00387807337314822</v>
      </c>
      <c r="D8595" s="1" t="n">
        <v>0.69009</v>
      </c>
      <c r="E8595" s="1" t="n">
        <f aca="false">LN(D8595)</f>
        <v>-0.3709332551141</v>
      </c>
    </row>
    <row r="8596" customFormat="false" ht="15.75" hidden="false" customHeight="false" outlineLevel="0" collapsed="false">
      <c r="A8596" s="1" t="s">
        <v>1182</v>
      </c>
      <c r="B8596" s="1" t="n">
        <v>258.59</v>
      </c>
      <c r="C8596" s="1" t="n">
        <f aca="false">1/B8596</f>
        <v>0.00386712556556711</v>
      </c>
      <c r="D8596" s="1" t="n">
        <v>0.68338</v>
      </c>
      <c r="E8596" s="1" t="n">
        <f aca="false">LN(D8596)</f>
        <v>-0.380704205166705</v>
      </c>
    </row>
    <row r="8597" customFormat="false" ht="15.75" hidden="false" customHeight="false" outlineLevel="0" collapsed="false">
      <c r="A8597" s="1" t="s">
        <v>1182</v>
      </c>
      <c r="B8597" s="1" t="n">
        <v>259.31</v>
      </c>
      <c r="C8597" s="1" t="n">
        <f aca="false">1/B8597</f>
        <v>0.00385638810689908</v>
      </c>
      <c r="D8597" s="1" t="n">
        <v>0.67675</v>
      </c>
      <c r="E8597" s="1" t="n">
        <f aca="false">LN(D8597)</f>
        <v>-0.390453350487727</v>
      </c>
    </row>
    <row r="8598" customFormat="false" ht="15.75" hidden="false" customHeight="false" outlineLevel="0" collapsed="false">
      <c r="A8598" s="1" t="s">
        <v>1182</v>
      </c>
      <c r="B8598" s="1" t="n">
        <v>260.03</v>
      </c>
      <c r="C8598" s="1" t="n">
        <f aca="false">1/B8598</f>
        <v>0.00384571011037188</v>
      </c>
      <c r="D8598" s="1" t="n">
        <v>0.67021</v>
      </c>
      <c r="E8598" s="1" t="n">
        <f aca="false">LN(D8598)</f>
        <v>-0.400164182871114</v>
      </c>
    </row>
    <row r="8599" customFormat="false" ht="15.75" hidden="false" customHeight="false" outlineLevel="0" collapsed="false">
      <c r="A8599" s="1" t="s">
        <v>1182</v>
      </c>
      <c r="B8599" s="1" t="n">
        <v>260.76</v>
      </c>
      <c r="C8599" s="1" t="n">
        <f aca="false">1/B8599</f>
        <v>0.00383494400981746</v>
      </c>
      <c r="D8599" s="1" t="n">
        <v>0.66376</v>
      </c>
      <c r="E8599" s="1" t="n">
        <f aca="false">LN(D8599)</f>
        <v>-0.409834640626107</v>
      </c>
    </row>
    <row r="8600" customFormat="false" ht="15.75" hidden="false" customHeight="false" outlineLevel="0" collapsed="false">
      <c r="A8600" s="1" t="s">
        <v>1182</v>
      </c>
      <c r="B8600" s="1" t="n">
        <v>261.48</v>
      </c>
      <c r="C8600" s="1" t="n">
        <f aca="false">1/B8600</f>
        <v>0.00382438427413186</v>
      </c>
      <c r="D8600" s="1" t="n">
        <v>0.65739</v>
      </c>
      <c r="E8600" s="1" t="n">
        <f aca="false">LN(D8600)</f>
        <v>-0.419477829306715</v>
      </c>
    </row>
    <row r="8601" customFormat="false" ht="15.75" hidden="false" customHeight="false" outlineLevel="0" collapsed="false">
      <c r="A8601" s="1" t="s">
        <v>1182</v>
      </c>
      <c r="B8601" s="1" t="n">
        <v>262.2</v>
      </c>
      <c r="C8601" s="1" t="n">
        <f aca="false">1/B8601</f>
        <v>0.003813882532418</v>
      </c>
      <c r="D8601" s="1" t="n">
        <v>0.6511</v>
      </c>
      <c r="E8601" s="1" t="n">
        <f aca="false">LN(D8601)</f>
        <v>-0.429092038739321</v>
      </c>
    </row>
    <row r="8602" customFormat="false" ht="15.75" hidden="false" customHeight="false" outlineLevel="0" collapsed="false">
      <c r="A8602" s="1" t="s">
        <v>1182</v>
      </c>
      <c r="B8602" s="1" t="n">
        <v>262.93</v>
      </c>
      <c r="C8602" s="1" t="n">
        <f aca="false">1/B8602</f>
        <v>0.00380329365230289</v>
      </c>
      <c r="D8602" s="1" t="n">
        <v>0.64489</v>
      </c>
      <c r="E8602" s="1" t="n">
        <f aca="false">LN(D8602)</f>
        <v>-0.438675519366072</v>
      </c>
    </row>
    <row r="8603" customFormat="false" ht="15.75" hidden="false" customHeight="false" outlineLevel="0" collapsed="false">
      <c r="A8603" s="1" t="s">
        <v>1182</v>
      </c>
      <c r="B8603" s="1" t="n">
        <v>263.65</v>
      </c>
      <c r="C8603" s="1" t="n">
        <f aca="false">1/B8603</f>
        <v>0.00379290726341741</v>
      </c>
      <c r="D8603" s="1" t="n">
        <v>0.63877</v>
      </c>
      <c r="E8603" s="1" t="n">
        <f aca="false">LN(D8603)</f>
        <v>-0.448210826799808</v>
      </c>
    </row>
    <row r="8604" customFormat="false" ht="15.75" hidden="false" customHeight="false" outlineLevel="0" collapsed="false">
      <c r="A8604" s="1" t="s">
        <v>1182</v>
      </c>
      <c r="B8604" s="1" t="n">
        <v>264.37</v>
      </c>
      <c r="C8604" s="1" t="n">
        <f aca="false">1/B8604</f>
        <v>0.00378257744827325</v>
      </c>
      <c r="D8604" s="1" t="n">
        <v>0.63272</v>
      </c>
      <c r="E8604" s="1" t="n">
        <f aca="false">LN(D8604)</f>
        <v>-0.457727292770975</v>
      </c>
    </row>
    <row r="8605" customFormat="false" ht="15.75" hidden="false" customHeight="false" outlineLevel="0" collapsed="false">
      <c r="A8605" s="1" t="s">
        <v>1182</v>
      </c>
      <c r="B8605" s="1" t="n">
        <v>265.1</v>
      </c>
      <c r="C8605" s="1" t="n">
        <f aca="false">1/B8605</f>
        <v>0.00377216144851</v>
      </c>
      <c r="D8605" s="1" t="n">
        <v>0.62675</v>
      </c>
      <c r="E8605" s="1" t="n">
        <f aca="false">LN(D8605)</f>
        <v>-0.467207541943734</v>
      </c>
    </row>
    <row r="8606" customFormat="false" ht="15.75" hidden="false" customHeight="false" outlineLevel="0" collapsed="false">
      <c r="A8606" s="1" t="s">
        <v>1182</v>
      </c>
      <c r="B8606" s="1" t="n">
        <v>265.82</v>
      </c>
      <c r="C8606" s="1" t="n">
        <f aca="false">1/B8606</f>
        <v>0.00376194417274848</v>
      </c>
      <c r="D8606" s="1" t="n">
        <v>0.62085</v>
      </c>
      <c r="E8606" s="1" t="n">
        <f aca="false">LN(D8606)</f>
        <v>-0.476665772119286</v>
      </c>
    </row>
    <row r="8607" customFormat="false" ht="15.75" hidden="false" customHeight="false" outlineLevel="0" collapsed="false">
      <c r="A8607" s="1" t="s">
        <v>1182</v>
      </c>
      <c r="B8607" s="1" t="n">
        <v>266.54</v>
      </c>
      <c r="C8607" s="1" t="n">
        <f aca="false">1/B8607</f>
        <v>0.00375178209649584</v>
      </c>
      <c r="D8607" s="1" t="n">
        <v>0.61502</v>
      </c>
      <c r="E8607" s="1" t="n">
        <f aca="false">LN(D8607)</f>
        <v>-0.48610049137919</v>
      </c>
    </row>
    <row r="8608" customFormat="false" ht="15.75" hidden="false" customHeight="false" outlineLevel="0" collapsed="false">
      <c r="A8608" s="1" t="s">
        <v>1182</v>
      </c>
      <c r="B8608" s="1" t="n">
        <v>267.27</v>
      </c>
      <c r="C8608" s="1" t="n">
        <f aca="false">1/B8608</f>
        <v>0.00374153477756576</v>
      </c>
      <c r="D8608" s="1" t="n">
        <v>0.60927</v>
      </c>
      <c r="E8608" s="1" t="n">
        <f aca="false">LN(D8608)</f>
        <v>-0.495493759769009</v>
      </c>
    </row>
    <row r="8609" customFormat="false" ht="15.75" hidden="false" customHeight="false" outlineLevel="0" collapsed="false">
      <c r="A8609" s="1" t="s">
        <v>1182</v>
      </c>
      <c r="B8609" s="1" t="n">
        <v>267.99</v>
      </c>
      <c r="C8609" s="1" t="n">
        <f aca="false">1/B8609</f>
        <v>0.0037314825180044</v>
      </c>
      <c r="D8609" s="1" t="n">
        <v>0.60359</v>
      </c>
      <c r="E8609" s="1" t="n">
        <f aca="false">LN(D8609)</f>
        <v>-0.50486011948877</v>
      </c>
    </row>
    <row r="8610" customFormat="false" ht="15.75" hidden="false" customHeight="false" outlineLevel="0" collapsed="false">
      <c r="A8610" s="1" t="s">
        <v>1182</v>
      </c>
      <c r="B8610" s="1" t="n">
        <v>268.71</v>
      </c>
      <c r="C8610" s="1" t="n">
        <f aca="false">1/B8610</f>
        <v>0.00372148412787019</v>
      </c>
      <c r="D8610" s="1" t="n">
        <v>0.59798</v>
      </c>
      <c r="E8610" s="1" t="n">
        <f aca="false">LN(D8610)</f>
        <v>-0.514197970406849</v>
      </c>
    </row>
    <row r="8611" customFormat="false" ht="15.75" hidden="false" customHeight="false" outlineLevel="0" collapsed="false">
      <c r="A8611" s="1" t="s">
        <v>1182</v>
      </c>
      <c r="B8611" s="1" t="n">
        <v>269.44</v>
      </c>
      <c r="C8611" s="1" t="n">
        <f aca="false">1/B8611</f>
        <v>0.00371140142517815</v>
      </c>
      <c r="D8611" s="1" t="n">
        <v>0.59244</v>
      </c>
      <c r="E8611" s="1" t="n">
        <f aca="false">LN(D8611)</f>
        <v>-0.523505676923365</v>
      </c>
    </row>
    <row r="8612" customFormat="false" ht="15.75" hidden="false" customHeight="false" outlineLevel="0" collapsed="false">
      <c r="A8612" s="1" t="s">
        <v>1182</v>
      </c>
      <c r="B8612" s="1" t="n">
        <v>270.16</v>
      </c>
      <c r="C8612" s="1" t="n">
        <f aca="false">1/B8612</f>
        <v>0.0037015102161682</v>
      </c>
      <c r="D8612" s="1" t="n">
        <v>0.58697</v>
      </c>
      <c r="E8612" s="1" t="n">
        <f aca="false">LN(D8612)</f>
        <v>-0.532781567785448</v>
      </c>
    </row>
    <row r="8613" customFormat="false" ht="15.75" hidden="false" customHeight="false" outlineLevel="0" collapsed="false">
      <c r="A8613" s="1" t="s">
        <v>1182</v>
      </c>
      <c r="B8613" s="1" t="n">
        <v>270.88</v>
      </c>
      <c r="C8613" s="1" t="n">
        <f aca="false">1/B8613</f>
        <v>0.00369167158889545</v>
      </c>
      <c r="D8613" s="1" t="n">
        <v>0.58157</v>
      </c>
      <c r="E8613" s="1" t="n">
        <f aca="false">LN(D8613)</f>
        <v>-0.542023935936408</v>
      </c>
    </row>
    <row r="8614" customFormat="false" ht="15.75" hidden="false" customHeight="false" outlineLevel="0" collapsed="false">
      <c r="A8614" s="1" t="s">
        <v>1182</v>
      </c>
      <c r="B8614" s="1" t="n">
        <v>271.61</v>
      </c>
      <c r="C8614" s="1" t="n">
        <f aca="false">1/B8614</f>
        <v>0.00368174956739443</v>
      </c>
      <c r="D8614" s="1" t="n">
        <v>0.57623</v>
      </c>
      <c r="E8614" s="1" t="n">
        <f aca="false">LN(D8614)</f>
        <v>-0.551248392431937</v>
      </c>
    </row>
    <row r="8615" customFormat="false" ht="15.75" hidden="false" customHeight="false" outlineLevel="0" collapsed="false">
      <c r="A8615" s="1" t="s">
        <v>1182</v>
      </c>
      <c r="B8615" s="1" t="n">
        <v>272.33</v>
      </c>
      <c r="C8615" s="1" t="n">
        <f aca="false">1/B8615</f>
        <v>0.00367201556934601</v>
      </c>
      <c r="D8615" s="1" t="n">
        <v>0.57095</v>
      </c>
      <c r="E8615" s="1" t="n">
        <f aca="false">LN(D8615)</f>
        <v>-0.56045363883448</v>
      </c>
    </row>
    <row r="8616" customFormat="false" ht="15.75" hidden="false" customHeight="false" outlineLevel="0" collapsed="false">
      <c r="A8616" s="1" t="s">
        <v>1182</v>
      </c>
      <c r="B8616" s="1" t="n">
        <v>273.05</v>
      </c>
      <c r="C8616" s="1" t="n">
        <f aca="false">1/B8616</f>
        <v>0.00366233290606116</v>
      </c>
      <c r="D8616" s="1" t="n">
        <v>0.56574</v>
      </c>
      <c r="E8616" s="1" t="n">
        <f aca="false">LN(D8616)</f>
        <v>-0.569620670276496</v>
      </c>
    </row>
    <row r="8617" customFormat="false" ht="15.75" hidden="false" customHeight="false" outlineLevel="0" collapsed="false">
      <c r="A8617" s="1" t="s">
        <v>1182</v>
      </c>
      <c r="B8617" s="1" t="n">
        <v>273.78</v>
      </c>
      <c r="C8617" s="1" t="n">
        <f aca="false">1/B8617</f>
        <v>0.00365256775513186</v>
      </c>
      <c r="D8617" s="1" t="n">
        <v>0.56059</v>
      </c>
      <c r="E8617" s="1" t="n">
        <f aca="false">LN(D8617)</f>
        <v>-0.57876547844123</v>
      </c>
    </row>
    <row r="8618" customFormat="false" ht="15.75" hidden="false" customHeight="false" outlineLevel="0" collapsed="false">
      <c r="A8618" s="1" t="s">
        <v>1182</v>
      </c>
      <c r="B8618" s="1" t="n">
        <v>274.5</v>
      </c>
      <c r="C8618" s="1" t="n">
        <f aca="false">1/B8618</f>
        <v>0.00364298724954463</v>
      </c>
      <c r="D8618" s="1" t="n">
        <v>0.5555</v>
      </c>
      <c r="E8618" s="1" t="n">
        <f aca="false">LN(D8618)</f>
        <v>-0.587886669902452</v>
      </c>
    </row>
    <row r="8619" customFormat="false" ht="15.75" hidden="false" customHeight="false" outlineLevel="0" collapsed="false">
      <c r="A8619" s="1" t="s">
        <v>1182</v>
      </c>
      <c r="B8619" s="1" t="n">
        <v>275.22</v>
      </c>
      <c r="C8619" s="1" t="n">
        <f aca="false">1/B8619</f>
        <v>0.00363345687086694</v>
      </c>
      <c r="D8619" s="1" t="n">
        <v>0.55048</v>
      </c>
      <c r="E8619" s="1" t="n">
        <f aca="false">LN(D8619)</f>
        <v>-0.596964654087913</v>
      </c>
    </row>
    <row r="8620" customFormat="false" ht="15.75" hidden="false" customHeight="false" outlineLevel="0" collapsed="false">
      <c r="A8620" s="1" t="s">
        <v>1182</v>
      </c>
      <c r="B8620" s="1" t="n">
        <v>275.95</v>
      </c>
      <c r="C8620" s="1" t="n">
        <f aca="false">1/B8620</f>
        <v>0.0036238448994383</v>
      </c>
      <c r="D8620" s="1" t="n">
        <v>0.54551</v>
      </c>
      <c r="E8620" s="1" t="n">
        <f aca="false">LN(D8620)</f>
        <v>-0.606034142071354</v>
      </c>
    </row>
    <row r="8621" customFormat="false" ht="15.75" hidden="false" customHeight="false" outlineLevel="0" collapsed="false">
      <c r="A8621" s="1" t="s">
        <v>1182</v>
      </c>
      <c r="B8621" s="1" t="n">
        <v>276.67</v>
      </c>
      <c r="C8621" s="1" t="n">
        <f aca="false">1/B8621</f>
        <v>0.00361441428416525</v>
      </c>
      <c r="D8621" s="1" t="n">
        <v>0.5406</v>
      </c>
      <c r="E8621" s="1" t="n">
        <f aca="false">LN(D8621)</f>
        <v>-0.61507564513979</v>
      </c>
    </row>
    <row r="8622" customFormat="false" ht="15.75" hidden="false" customHeight="false" outlineLevel="0" collapsed="false">
      <c r="A8622" s="1" t="s">
        <v>1182</v>
      </c>
      <c r="B8622" s="1" t="n">
        <v>277.39</v>
      </c>
      <c r="C8622" s="1" t="n">
        <f aca="false">1/B8622</f>
        <v>0.00360503262554526</v>
      </c>
      <c r="D8622" s="1" t="n">
        <v>0.53575</v>
      </c>
      <c r="E8622" s="1" t="n">
        <f aca="false">LN(D8622)</f>
        <v>-0.624087644628451</v>
      </c>
    </row>
    <row r="8623" customFormat="false" ht="15.75" hidden="false" customHeight="false" outlineLevel="0" collapsed="false">
      <c r="A8623" s="1" t="s">
        <v>1182</v>
      </c>
      <c r="B8623" s="1" t="n">
        <v>278.12</v>
      </c>
      <c r="C8623" s="1" t="n">
        <f aca="false">1/B8623</f>
        <v>0.00359557025744283</v>
      </c>
      <c r="D8623" s="1" t="n">
        <v>0.53095</v>
      </c>
      <c r="E8623" s="1" t="n">
        <f aca="false">LN(D8623)</f>
        <v>-0.633087424132282</v>
      </c>
    </row>
    <row r="8624" customFormat="false" ht="15.75" hidden="false" customHeight="false" outlineLevel="0" collapsed="false">
      <c r="A8624" s="1" t="s">
        <v>1182</v>
      </c>
      <c r="B8624" s="1" t="n">
        <v>278.84</v>
      </c>
      <c r="C8624" s="1" t="n">
        <f aca="false">1/B8624</f>
        <v>0.00358628604217472</v>
      </c>
      <c r="D8624" s="1" t="n">
        <v>0.52622</v>
      </c>
      <c r="E8624" s="1" t="n">
        <f aca="false">LN(D8624)</f>
        <v>-0.642035902736405</v>
      </c>
    </row>
    <row r="8625" customFormat="false" ht="15.75" hidden="false" customHeight="false" outlineLevel="0" collapsed="false">
      <c r="A8625" s="1" t="s">
        <v>1182</v>
      </c>
      <c r="B8625" s="1" t="n">
        <v>279.56</v>
      </c>
      <c r="C8625" s="1" t="n">
        <f aca="false">1/B8625</f>
        <v>0.00357704964944913</v>
      </c>
      <c r="D8625" s="1" t="n">
        <v>0.52153</v>
      </c>
      <c r="E8625" s="1" t="n">
        <f aca="false">LN(D8625)</f>
        <v>-0.650988479829637</v>
      </c>
    </row>
    <row r="8626" customFormat="false" ht="15.75" hidden="false" customHeight="false" outlineLevel="0" collapsed="false">
      <c r="A8626" s="1" t="s">
        <v>1182</v>
      </c>
      <c r="B8626" s="1" t="n">
        <v>280.29</v>
      </c>
      <c r="C8626" s="1" t="n">
        <f aca="false">1/B8626</f>
        <v>0.00356773341895894</v>
      </c>
      <c r="D8626" s="1" t="n">
        <v>0.5169</v>
      </c>
      <c r="E8626" s="1" t="n">
        <f aca="false">LN(D8626)</f>
        <v>-0.659905846780143</v>
      </c>
    </row>
    <row r="8627" customFormat="false" ht="15.75" hidden="false" customHeight="false" outlineLevel="0" collapsed="false">
      <c r="A8627" s="1" t="s">
        <v>1182</v>
      </c>
      <c r="B8627" s="1" t="n">
        <v>281.01</v>
      </c>
      <c r="C8627" s="1" t="n">
        <f aca="false">1/B8627</f>
        <v>0.00355859222091741</v>
      </c>
      <c r="D8627" s="1" t="n">
        <v>0.51233</v>
      </c>
      <c r="E8627" s="1" t="n">
        <f aca="false">LN(D8627)</f>
        <v>-0.668786330313688</v>
      </c>
    </row>
    <row r="8628" customFormat="false" ht="15.75" hidden="false" customHeight="false" outlineLevel="0" collapsed="false">
      <c r="A8628" s="1" t="s">
        <v>1182</v>
      </c>
      <c r="B8628" s="1" t="n">
        <v>281.73</v>
      </c>
      <c r="C8628" s="1" t="n">
        <f aca="false">1/B8628</f>
        <v>0.00354949774606893</v>
      </c>
      <c r="D8628" s="1" t="n">
        <v>0.5078</v>
      </c>
      <c r="E8628" s="1" t="n">
        <f aca="false">LN(D8628)</f>
        <v>-0.677667609711559</v>
      </c>
    </row>
    <row r="8629" customFormat="false" ht="15.75" hidden="false" customHeight="false" outlineLevel="0" collapsed="false">
      <c r="A8629" s="1" t="s">
        <v>1182</v>
      </c>
      <c r="B8629" s="1" t="n">
        <v>282.46</v>
      </c>
      <c r="C8629" s="1" t="n">
        <f aca="false">1/B8629</f>
        <v>0.0035403242937053</v>
      </c>
      <c r="D8629" s="1" t="n">
        <v>0.50333</v>
      </c>
      <c r="E8629" s="1" t="n">
        <f aca="false">LN(D8629)</f>
        <v>-0.686509260379762</v>
      </c>
    </row>
    <row r="8630" customFormat="false" ht="15.75" hidden="false" customHeight="false" outlineLevel="0" collapsed="false">
      <c r="A8630" s="1" t="s">
        <v>1182</v>
      </c>
      <c r="B8630" s="1" t="n">
        <v>283.18</v>
      </c>
      <c r="C8630" s="1" t="n">
        <f aca="false">1/B8630</f>
        <v>0.00353132283353344</v>
      </c>
      <c r="D8630" s="1" t="n">
        <v>0.49891</v>
      </c>
      <c r="E8630" s="1" t="n">
        <f aca="false">LN(D8630)</f>
        <v>-0.695329560219012</v>
      </c>
    </row>
    <row r="8631" customFormat="false" ht="15.75" hidden="false" customHeight="false" outlineLevel="0" collapsed="false">
      <c r="A8631" s="1" t="s">
        <v>1182</v>
      </c>
      <c r="B8631" s="1" t="n">
        <v>283.9</v>
      </c>
      <c r="C8631" s="1" t="n">
        <f aca="false">1/B8631</f>
        <v>0.00352236703064459</v>
      </c>
      <c r="D8631" s="1" t="n">
        <v>0.49454</v>
      </c>
      <c r="E8631" s="1" t="n">
        <f aca="false">LN(D8631)</f>
        <v>-0.704127241403108</v>
      </c>
    </row>
    <row r="8632" customFormat="false" ht="15.75" hidden="false" customHeight="false" outlineLevel="0" collapsed="false">
      <c r="A8632" s="1" t="s">
        <v>1182</v>
      </c>
      <c r="B8632" s="1" t="n">
        <v>284.63</v>
      </c>
      <c r="C8632" s="1" t="n">
        <f aca="false">1/B8632</f>
        <v>0.00351333309911113</v>
      </c>
      <c r="D8632" s="1" t="n">
        <v>0.49021</v>
      </c>
      <c r="E8632" s="1" t="n">
        <f aca="false">LN(D8632)</f>
        <v>-0.712921408259397</v>
      </c>
    </row>
    <row r="8633" customFormat="false" ht="15.75" hidden="false" customHeight="false" outlineLevel="0" collapsed="false">
      <c r="A8633" s="1" t="s">
        <v>1182</v>
      </c>
      <c r="B8633" s="1" t="n">
        <v>285.35</v>
      </c>
      <c r="C8633" s="1" t="n">
        <f aca="false">1/B8633</f>
        <v>0.00350446819695111</v>
      </c>
      <c r="D8633" s="1" t="n">
        <v>0.48594</v>
      </c>
      <c r="E8633" s="1" t="n">
        <f aca="false">LN(D8633)</f>
        <v>-0.721670119493184</v>
      </c>
    </row>
    <row r="8634" customFormat="false" ht="15.75" hidden="false" customHeight="false" outlineLevel="0" collapsed="false">
      <c r="A8634" s="1" t="s">
        <v>1182</v>
      </c>
      <c r="B8634" s="1" t="n">
        <v>286.07</v>
      </c>
      <c r="C8634" s="1" t="n">
        <f aca="false">1/B8634</f>
        <v>0.00349564791834166</v>
      </c>
      <c r="D8634" s="1" t="n">
        <v>0.48171</v>
      </c>
      <c r="E8634" s="1" t="n">
        <f aca="false">LN(D8634)</f>
        <v>-0.730413005752434</v>
      </c>
    </row>
    <row r="8635" customFormat="false" ht="15.75" hidden="false" customHeight="false" outlineLevel="0" collapsed="false">
      <c r="A8635" s="1" t="s">
        <v>1182</v>
      </c>
      <c r="B8635" s="1" t="n">
        <v>286.8</v>
      </c>
      <c r="C8635" s="1" t="n">
        <f aca="false">1/B8635</f>
        <v>0.00348675034867503</v>
      </c>
      <c r="D8635" s="1" t="n">
        <v>0.47753</v>
      </c>
      <c r="E8635" s="1" t="n">
        <f aca="false">LN(D8635)</f>
        <v>-0.739128293809769</v>
      </c>
    </row>
    <row r="8636" customFormat="false" ht="15.75" hidden="false" customHeight="false" outlineLevel="0" collapsed="false">
      <c r="A8636" s="1" t="s">
        <v>1182</v>
      </c>
      <c r="B8636" s="1" t="n">
        <v>287.52</v>
      </c>
      <c r="C8636" s="1" t="n">
        <f aca="false">1/B8636</f>
        <v>0.00347801892042293</v>
      </c>
      <c r="D8636" s="1" t="n">
        <v>0.4734</v>
      </c>
      <c r="E8636" s="1" t="n">
        <f aca="false">LN(D8636)</f>
        <v>-0.747814581902254</v>
      </c>
    </row>
    <row r="8637" customFormat="false" ht="15.75" hidden="false" customHeight="false" outlineLevel="0" collapsed="false">
      <c r="A8637" s="1" t="s">
        <v>1182</v>
      </c>
      <c r="B8637" s="1" t="n">
        <v>288.24</v>
      </c>
      <c r="C8637" s="1" t="n">
        <f aca="false">1/B8637</f>
        <v>0.00346933111296142</v>
      </c>
      <c r="D8637" s="1" t="n">
        <v>0.46932</v>
      </c>
      <c r="E8637" s="1" t="n">
        <f aca="false">LN(D8637)</f>
        <v>-0.756470440426714</v>
      </c>
    </row>
    <row r="8638" customFormat="false" ht="15.75" hidden="false" customHeight="false" outlineLevel="0" collapsed="false">
      <c r="A8638" s="1" t="s">
        <v>1182</v>
      </c>
      <c r="B8638" s="1" t="n">
        <v>288.97</v>
      </c>
      <c r="C8638" s="1" t="n">
        <f aca="false">1/B8638</f>
        <v>0.00346056684084853</v>
      </c>
      <c r="D8638" s="1" t="n">
        <v>0.46527</v>
      </c>
      <c r="E8638" s="1" t="n">
        <f aca="false">LN(D8638)</f>
        <v>-0.765137396742666</v>
      </c>
    </row>
    <row r="8639" customFormat="false" ht="15.75" hidden="false" customHeight="false" outlineLevel="0" collapsed="false">
      <c r="A8639" s="1" t="s">
        <v>1182</v>
      </c>
      <c r="B8639" s="1" t="n">
        <v>289.69</v>
      </c>
      <c r="C8639" s="1" t="n">
        <f aca="false">1/B8639</f>
        <v>0.00345196589457696</v>
      </c>
      <c r="D8639" s="1" t="n">
        <v>0.46128</v>
      </c>
      <c r="E8639" s="1" t="n">
        <f aca="false">LN(D8639)</f>
        <v>-0.773750045092045</v>
      </c>
    </row>
    <row r="8640" customFormat="false" ht="15.75" hidden="false" customHeight="false" outlineLevel="0" collapsed="false">
      <c r="A8640" s="1" t="s">
        <v>1182</v>
      </c>
      <c r="B8640" s="1" t="n">
        <v>290.41</v>
      </c>
      <c r="C8640" s="1" t="n">
        <f aca="false">1/B8640</f>
        <v>0.00344340759615716</v>
      </c>
      <c r="D8640" s="1" t="n">
        <v>0.45732</v>
      </c>
      <c r="E8640" s="1" t="n">
        <f aca="false">LN(D8640)</f>
        <v>-0.782371914308368</v>
      </c>
    </row>
    <row r="8641" customFormat="false" ht="15.75" hidden="false" customHeight="false" outlineLevel="0" collapsed="false">
      <c r="A8641" s="1" t="s">
        <v>1182</v>
      </c>
      <c r="B8641" s="1" t="n">
        <v>291.14</v>
      </c>
      <c r="C8641" s="1" t="n">
        <f aca="false">1/B8641</f>
        <v>0.00343477364841657</v>
      </c>
      <c r="D8641" s="1" t="n">
        <v>0.45341</v>
      </c>
      <c r="E8641" s="1" t="n">
        <f aca="false">LN(D8641)</f>
        <v>-0.790958485571867</v>
      </c>
    </row>
    <row r="8642" customFormat="false" ht="15.75" hidden="false" customHeight="false" outlineLevel="0" collapsed="false">
      <c r="A8642" s="1" t="s">
        <v>1182</v>
      </c>
      <c r="B8642" s="1" t="n">
        <v>291.86</v>
      </c>
      <c r="C8642" s="1" t="n">
        <f aca="false">1/B8642</f>
        <v>0.00342630028095662</v>
      </c>
      <c r="D8642" s="1" t="n">
        <v>0.44954</v>
      </c>
      <c r="E8642" s="1" t="n">
        <f aca="false">LN(D8642)</f>
        <v>-0.799530441265456</v>
      </c>
    </row>
    <row r="8643" customFormat="false" ht="15.75" hidden="false" customHeight="false" outlineLevel="0" collapsed="false">
      <c r="A8643" s="1" t="s">
        <v>1182</v>
      </c>
      <c r="B8643" s="1" t="n">
        <v>292.58</v>
      </c>
      <c r="C8643" s="1" t="n">
        <f aca="false">1/B8643</f>
        <v>0.00341786861713036</v>
      </c>
      <c r="D8643" s="1" t="n">
        <v>0.44572</v>
      </c>
      <c r="E8643" s="1" t="n">
        <f aca="false">LN(D8643)</f>
        <v>-0.808064326803284</v>
      </c>
    </row>
    <row r="8644" customFormat="false" ht="15.75" hidden="false" customHeight="false" outlineLevel="0" collapsed="false">
      <c r="A8644" s="1" t="s">
        <v>1182</v>
      </c>
      <c r="B8644" s="1" t="n">
        <v>293.31</v>
      </c>
      <c r="C8644" s="1" t="n">
        <f aca="false">1/B8644</f>
        <v>0.00340936210834953</v>
      </c>
      <c r="D8644" s="1" t="n">
        <v>0.44193</v>
      </c>
      <c r="E8644" s="1" t="n">
        <f aca="false">LN(D8644)</f>
        <v>-0.81660378048718</v>
      </c>
    </row>
    <row r="8645" customFormat="false" ht="15.75" hidden="false" customHeight="false" outlineLevel="0" collapsed="false">
      <c r="A8645" s="1" t="s">
        <v>1182</v>
      </c>
      <c r="B8645" s="1" t="n">
        <v>294.03</v>
      </c>
      <c r="C8645" s="1" t="n">
        <f aca="false">1/B8645</f>
        <v>0.0034010135020236</v>
      </c>
      <c r="D8645" s="1" t="n">
        <v>0.43819</v>
      </c>
      <c r="E8645" s="1" t="n">
        <f aca="false">LN(D8645)</f>
        <v>-0.825102672711015</v>
      </c>
    </row>
    <row r="8646" customFormat="false" ht="15.75" hidden="false" customHeight="false" outlineLevel="0" collapsed="false">
      <c r="A8646" s="1" t="s">
        <v>1182</v>
      </c>
      <c r="B8646" s="1" t="n">
        <v>294.75</v>
      </c>
      <c r="C8646" s="1" t="n">
        <f aca="false">1/B8646</f>
        <v>0.00339270568278202</v>
      </c>
      <c r="D8646" s="1" t="n">
        <v>0.43448</v>
      </c>
      <c r="E8646" s="1" t="n">
        <f aca="false">LN(D8646)</f>
        <v>-0.833605365255547</v>
      </c>
    </row>
    <row r="8647" customFormat="false" ht="15.75" hidden="false" customHeight="false" outlineLevel="0" collapsed="false">
      <c r="A8647" s="1" t="s">
        <v>1182</v>
      </c>
      <c r="B8647" s="1" t="n">
        <v>295.48</v>
      </c>
      <c r="C8647" s="1" t="n">
        <f aca="false">1/B8647</f>
        <v>0.00338432381210234</v>
      </c>
      <c r="D8647" s="1" t="n">
        <v>0.43082</v>
      </c>
      <c r="E8647" s="1" t="n">
        <f aca="false">LN(D8647)</f>
        <v>-0.842064909522184</v>
      </c>
    </row>
    <row r="8648" customFormat="false" ht="15.75" hidden="false" customHeight="false" outlineLevel="0" collapsed="false">
      <c r="A8648" s="1" t="s">
        <v>1182</v>
      </c>
      <c r="B8648" s="1" t="n">
        <v>296.2</v>
      </c>
      <c r="C8648" s="1" t="n">
        <f aca="false">1/B8648</f>
        <v>0.00337609723160027</v>
      </c>
      <c r="D8648" s="1" t="n">
        <v>0.42719</v>
      </c>
      <c r="E8648" s="1" t="n">
        <f aca="false">LN(D8648)</f>
        <v>-0.85052639984983</v>
      </c>
    </row>
    <row r="8649" customFormat="false" ht="15.75" hidden="false" customHeight="false" outlineLevel="0" collapsed="false">
      <c r="A8649" s="1" t="s">
        <v>1182</v>
      </c>
      <c r="B8649" s="1" t="n">
        <v>296.92</v>
      </c>
      <c r="C8649" s="1" t="n">
        <f aca="false">1/B8649</f>
        <v>0.00336791054829584</v>
      </c>
      <c r="D8649" s="1" t="n">
        <v>0.4236</v>
      </c>
      <c r="E8649" s="1" t="n">
        <f aca="false">LN(D8649)</f>
        <v>-0.858965665254886</v>
      </c>
    </row>
    <row r="8650" customFormat="false" ht="15.75" hidden="false" customHeight="false" outlineLevel="0" collapsed="false">
      <c r="A8650" s="1" t="s">
        <v>1182</v>
      </c>
      <c r="B8650" s="1" t="n">
        <v>297.65</v>
      </c>
      <c r="C8650" s="1" t="n">
        <f aca="false">1/B8650</f>
        <v>0.00335965059633798</v>
      </c>
      <c r="D8650" s="1" t="n">
        <v>0.42005</v>
      </c>
      <c r="E8650" s="1" t="n">
        <f aca="false">LN(D8650)</f>
        <v>-0.867381527171281</v>
      </c>
    </row>
    <row r="8651" customFormat="false" ht="15.75" hidden="false" customHeight="false" outlineLevel="0" collapsed="false">
      <c r="A8651" s="1" t="s">
        <v>1182</v>
      </c>
      <c r="B8651" s="1" t="n">
        <v>298.37</v>
      </c>
      <c r="C8651" s="1" t="n">
        <f aca="false">1/B8651</f>
        <v>0.00335154338572913</v>
      </c>
      <c r="D8651" s="1" t="n">
        <v>0.41654</v>
      </c>
      <c r="E8651" s="1" t="n">
        <f aca="false">LN(D8651)</f>
        <v>-0.875772783571267</v>
      </c>
    </row>
    <row r="8652" customFormat="false" ht="15.75" hidden="false" customHeight="false" outlineLevel="0" collapsed="false">
      <c r="A8652" s="1" t="s">
        <v>1182</v>
      </c>
      <c r="B8652" s="1" t="n">
        <v>299.09</v>
      </c>
      <c r="C8652" s="1" t="n">
        <f aca="false">1/B8652</f>
        <v>0.00334347520813133</v>
      </c>
      <c r="D8652" s="1" t="n">
        <v>0.41306</v>
      </c>
      <c r="E8652" s="1" t="n">
        <f aca="false">LN(D8652)</f>
        <v>-0.884162418122633</v>
      </c>
    </row>
    <row r="8653" customFormat="false" ht="15.75" hidden="false" customHeight="false" outlineLevel="0" collapsed="false">
      <c r="A8653" s="1" t="s">
        <v>1182</v>
      </c>
      <c r="B8653" s="1" t="n">
        <v>299.82</v>
      </c>
      <c r="C8653" s="1" t="n">
        <f aca="false">1/B8653</f>
        <v>0.00333533453405377</v>
      </c>
      <c r="D8653" s="1" t="n">
        <v>0.40962</v>
      </c>
      <c r="E8653" s="1" t="n">
        <f aca="false">LN(D8653)</f>
        <v>-0.892525378323893</v>
      </c>
    </row>
    <row r="8654" customFormat="false" ht="15.75" hidden="false" customHeight="false" outlineLevel="0" collapsed="false">
      <c r="A8654" s="1" t="s">
        <v>1182</v>
      </c>
      <c r="B8654" s="1" t="n">
        <v>300.54</v>
      </c>
      <c r="C8654" s="1" t="n">
        <f aca="false">1/B8654</f>
        <v>0.00332734411392826</v>
      </c>
      <c r="D8654" s="1" t="n">
        <v>0.40622</v>
      </c>
      <c r="E8654" s="1" t="n">
        <f aca="false">LN(D8654)</f>
        <v>-0.900860394218797</v>
      </c>
    </row>
    <row r="8655" customFormat="false" ht="15.75" hidden="false" customHeight="false" outlineLevel="0" collapsed="false">
      <c r="A8655" s="1" t="s">
        <v>1182</v>
      </c>
      <c r="B8655" s="1" t="n">
        <v>300.61</v>
      </c>
      <c r="C8655" s="1" t="n">
        <f aca="false">1/B8655</f>
        <v>0.00332656930907155</v>
      </c>
      <c r="D8655" s="1" t="n">
        <v>0.40588</v>
      </c>
      <c r="E8655" s="1" t="n">
        <f aca="false">LN(D8655)</f>
        <v>-0.901697729571255</v>
      </c>
    </row>
    <row r="8656" customFormat="false" ht="15.75" hidden="false" customHeight="false" outlineLevel="0" collapsed="false">
      <c r="A8656" s="1" t="s">
        <v>1184</v>
      </c>
      <c r="B8656" s="1" t="n">
        <v>120</v>
      </c>
      <c r="C8656" s="1" t="n">
        <f aca="false">1/B8656</f>
        <v>0.00833333333333333</v>
      </c>
      <c r="D8656" s="1" t="n">
        <v>21.028</v>
      </c>
      <c r="E8656" s="1" t="n">
        <f aca="false">LN(D8656)</f>
        <v>3.0458548829572</v>
      </c>
    </row>
    <row r="8657" customFormat="false" ht="15.75" hidden="false" customHeight="false" outlineLevel="0" collapsed="false">
      <c r="A8657" s="1" t="s">
        <v>1184</v>
      </c>
      <c r="B8657" s="1" t="n">
        <v>120.58</v>
      </c>
      <c r="C8657" s="1" t="n">
        <f aca="false">1/B8657</f>
        <v>0.00829324929507381</v>
      </c>
      <c r="D8657" s="1" t="n">
        <v>20.12</v>
      </c>
      <c r="E8657" s="1" t="n">
        <f aca="false">LN(D8657)</f>
        <v>3.00171434523154</v>
      </c>
    </row>
    <row r="8658" customFormat="false" ht="15.75" hidden="false" customHeight="false" outlineLevel="0" collapsed="false">
      <c r="A8658" s="1" t="s">
        <v>1184</v>
      </c>
      <c r="B8658" s="1" t="n">
        <v>121.17</v>
      </c>
      <c r="C8658" s="1" t="n">
        <f aca="false">1/B8658</f>
        <v>0.00825286787158538</v>
      </c>
      <c r="D8658" s="1" t="n">
        <v>19.267</v>
      </c>
      <c r="E8658" s="1" t="n">
        <f aca="false">LN(D8658)</f>
        <v>2.95839378789862</v>
      </c>
    </row>
    <row r="8659" customFormat="false" ht="15.75" hidden="false" customHeight="false" outlineLevel="0" collapsed="false">
      <c r="A8659" s="1" t="s">
        <v>1184</v>
      </c>
      <c r="B8659" s="1" t="n">
        <v>121.75</v>
      </c>
      <c r="C8659" s="1" t="n">
        <f aca="false">1/B8659</f>
        <v>0.00821355236139631</v>
      </c>
      <c r="D8659" s="1" t="n">
        <v>18.464</v>
      </c>
      <c r="E8659" s="1" t="n">
        <f aca="false">LN(D8659)</f>
        <v>2.91582289032569</v>
      </c>
    </row>
    <row r="8660" customFormat="false" ht="15.75" hidden="false" customHeight="false" outlineLevel="0" collapsed="false">
      <c r="A8660" s="1" t="s">
        <v>1184</v>
      </c>
      <c r="B8660" s="1" t="n">
        <v>122.33</v>
      </c>
      <c r="C8660" s="1" t="n">
        <f aca="false">1/B8660</f>
        <v>0.00817460966238862</v>
      </c>
      <c r="D8660" s="1" t="n">
        <v>17.708</v>
      </c>
      <c r="E8660" s="1" t="n">
        <f aca="false">LN(D8660)</f>
        <v>2.87401651486989</v>
      </c>
    </row>
    <row r="8661" customFormat="false" ht="15.75" hidden="false" customHeight="false" outlineLevel="0" collapsed="false">
      <c r="A8661" s="1" t="s">
        <v>1184</v>
      </c>
      <c r="B8661" s="1" t="n">
        <v>122.92</v>
      </c>
      <c r="C8661" s="1" t="n">
        <f aca="false">1/B8661</f>
        <v>0.00813537260006508</v>
      </c>
      <c r="D8661" s="1" t="n">
        <v>16.995</v>
      </c>
      <c r="E8661" s="1" t="n">
        <f aca="false">LN(D8661)</f>
        <v>2.83291918314808</v>
      </c>
    </row>
    <row r="8662" customFormat="false" ht="15.75" hidden="false" customHeight="false" outlineLevel="0" collapsed="false">
      <c r="A8662" s="1" t="s">
        <v>1184</v>
      </c>
      <c r="B8662" s="1" t="n">
        <v>123.5</v>
      </c>
      <c r="C8662" s="1" t="n">
        <f aca="false">1/B8662</f>
        <v>0.00809716599190283</v>
      </c>
      <c r="D8662" s="1" t="n">
        <v>16.322</v>
      </c>
      <c r="E8662" s="1" t="n">
        <f aca="false">LN(D8662)</f>
        <v>2.79251389104705</v>
      </c>
    </row>
    <row r="8663" customFormat="false" ht="15.75" hidden="false" customHeight="false" outlineLevel="0" collapsed="false">
      <c r="A8663" s="1" t="s">
        <v>1184</v>
      </c>
      <c r="B8663" s="1" t="n">
        <v>124.08</v>
      </c>
      <c r="C8663" s="1" t="n">
        <f aca="false">1/B8663</f>
        <v>0.00805931656995487</v>
      </c>
      <c r="D8663" s="1" t="n">
        <v>15.686</v>
      </c>
      <c r="E8663" s="1" t="n">
        <f aca="false">LN(D8663)</f>
        <v>2.75276859479047</v>
      </c>
    </row>
    <row r="8664" customFormat="false" ht="15.75" hidden="false" customHeight="false" outlineLevel="0" collapsed="false">
      <c r="A8664" s="1" t="s">
        <v>1184</v>
      </c>
      <c r="B8664" s="1" t="n">
        <v>124.67</v>
      </c>
      <c r="C8664" s="1" t="n">
        <f aca="false">1/B8664</f>
        <v>0.00802117590438758</v>
      </c>
      <c r="D8664" s="1" t="n">
        <v>15.084</v>
      </c>
      <c r="E8664" s="1" t="n">
        <f aca="false">LN(D8664)</f>
        <v>2.71363457939611</v>
      </c>
    </row>
    <row r="8665" customFormat="false" ht="15.75" hidden="false" customHeight="false" outlineLevel="0" collapsed="false">
      <c r="A8665" s="1" t="s">
        <v>1184</v>
      </c>
      <c r="B8665" s="1" t="n">
        <v>125.25</v>
      </c>
      <c r="C8665" s="1" t="n">
        <f aca="false">1/B8665</f>
        <v>0.00798403193612774</v>
      </c>
      <c r="D8665" s="1" t="n">
        <v>14.514</v>
      </c>
      <c r="E8665" s="1" t="n">
        <f aca="false">LN(D8665)</f>
        <v>2.67511370085595</v>
      </c>
    </row>
    <row r="8666" customFormat="false" ht="15.75" hidden="false" customHeight="false" outlineLevel="0" collapsed="false">
      <c r="A8666" s="1" t="s">
        <v>1184</v>
      </c>
      <c r="B8666" s="1" t="n">
        <v>125.83</v>
      </c>
      <c r="C8666" s="1" t="n">
        <f aca="false">1/B8666</f>
        <v>0.00794723039020901</v>
      </c>
      <c r="D8666" s="1" t="n">
        <v>13.974</v>
      </c>
      <c r="E8666" s="1" t="n">
        <f aca="false">LN(D8666)</f>
        <v>2.63719846013026</v>
      </c>
    </row>
    <row r="8667" customFormat="false" ht="15.75" hidden="false" customHeight="false" outlineLevel="0" collapsed="false">
      <c r="A8667" s="1" t="s">
        <v>1184</v>
      </c>
      <c r="B8667" s="1" t="n">
        <v>126.42</v>
      </c>
      <c r="C8667" s="1" t="n">
        <f aca="false">1/B8667</f>
        <v>0.00791014080050625</v>
      </c>
      <c r="D8667" s="1" t="n">
        <v>13.462</v>
      </c>
      <c r="E8667" s="1" t="n">
        <f aca="false">LN(D8667)</f>
        <v>2.59987090158852</v>
      </c>
    </row>
    <row r="8668" customFormat="false" ht="15.75" hidden="false" customHeight="false" outlineLevel="0" collapsed="false">
      <c r="A8668" s="1" t="s">
        <v>1184</v>
      </c>
      <c r="B8668" s="1" t="n">
        <v>127</v>
      </c>
      <c r="C8668" s="1" t="n">
        <f aca="false">1/B8668</f>
        <v>0.0078740157480315</v>
      </c>
      <c r="D8668" s="1" t="n">
        <v>12.976</v>
      </c>
      <c r="E8668" s="1" t="n">
        <f aca="false">LN(D8668)</f>
        <v>2.56310149737306</v>
      </c>
    </row>
    <row r="8669" customFormat="false" ht="15.75" hidden="false" customHeight="false" outlineLevel="0" collapsed="false">
      <c r="A8669" s="1" t="s">
        <v>1184</v>
      </c>
      <c r="B8669" s="1" t="n">
        <v>127.58</v>
      </c>
      <c r="C8669" s="1" t="n">
        <f aca="false">1/B8669</f>
        <v>0.00783821915660762</v>
      </c>
      <c r="D8669" s="1" t="n">
        <v>12.514</v>
      </c>
      <c r="E8669" s="1" t="n">
        <f aca="false">LN(D8669)</f>
        <v>2.52684801757617</v>
      </c>
    </row>
    <row r="8670" customFormat="false" ht="15.75" hidden="false" customHeight="false" outlineLevel="0" collapsed="false">
      <c r="A8670" s="1" t="s">
        <v>1184</v>
      </c>
      <c r="B8670" s="1" t="n">
        <v>128.17</v>
      </c>
      <c r="C8670" s="1" t="n">
        <f aca="false">1/B8670</f>
        <v>0.0078021377857533</v>
      </c>
      <c r="D8670" s="1" t="n">
        <v>12.075</v>
      </c>
      <c r="E8670" s="1" t="n">
        <f aca="false">LN(D8670)</f>
        <v>2.49113719953864</v>
      </c>
    </row>
    <row r="8671" customFormat="false" ht="15.75" hidden="false" customHeight="false" outlineLevel="0" collapsed="false">
      <c r="A8671" s="1" t="s">
        <v>1184</v>
      </c>
      <c r="B8671" s="1" t="n">
        <v>128.75</v>
      </c>
      <c r="C8671" s="1" t="n">
        <f aca="false">1/B8671</f>
        <v>0.00776699029126214</v>
      </c>
      <c r="D8671" s="1" t="n">
        <v>11.657</v>
      </c>
      <c r="E8671" s="1" t="n">
        <f aca="false">LN(D8671)</f>
        <v>2.4559068579377</v>
      </c>
    </row>
    <row r="8672" customFormat="false" ht="15.75" hidden="false" customHeight="false" outlineLevel="0" collapsed="false">
      <c r="A8672" s="1" t="s">
        <v>1184</v>
      </c>
      <c r="B8672" s="1" t="n">
        <v>129.33</v>
      </c>
      <c r="C8672" s="1" t="n">
        <f aca="false">1/B8672</f>
        <v>0.00773215804531045</v>
      </c>
      <c r="D8672" s="1" t="n">
        <v>11.259</v>
      </c>
      <c r="E8672" s="1" t="n">
        <f aca="false">LN(D8672)</f>
        <v>2.42116780882099</v>
      </c>
    </row>
    <row r="8673" customFormat="false" ht="15.75" hidden="false" customHeight="false" outlineLevel="0" collapsed="false">
      <c r="A8673" s="1" t="s">
        <v>1184</v>
      </c>
      <c r="B8673" s="1" t="n">
        <v>129.92</v>
      </c>
      <c r="C8673" s="1" t="n">
        <f aca="false">1/B8673</f>
        <v>0.00769704433497537</v>
      </c>
      <c r="D8673" s="1" t="n">
        <v>10.88</v>
      </c>
      <c r="E8673" s="1" t="n">
        <f aca="false">LN(D8673)</f>
        <v>2.3869262414278</v>
      </c>
    </row>
    <row r="8674" customFormat="false" ht="15.75" hidden="false" customHeight="false" outlineLevel="0" collapsed="false">
      <c r="A8674" s="1" t="s">
        <v>1184</v>
      </c>
      <c r="B8674" s="1" t="n">
        <v>130.5</v>
      </c>
      <c r="C8674" s="1" t="n">
        <f aca="false">1/B8674</f>
        <v>0.00766283524904215</v>
      </c>
      <c r="D8674" s="1" t="n">
        <v>10.519</v>
      </c>
      <c r="E8674" s="1" t="n">
        <f aca="false">LN(D8674)</f>
        <v>2.35318314575714</v>
      </c>
    </row>
    <row r="8675" customFormat="false" ht="15.75" hidden="false" customHeight="false" outlineLevel="0" collapsed="false">
      <c r="A8675" s="1" t="s">
        <v>1184</v>
      </c>
      <c r="B8675" s="1" t="n">
        <v>131.08</v>
      </c>
      <c r="C8675" s="1" t="n">
        <f aca="false">1/B8675</f>
        <v>0.00762892889838267</v>
      </c>
      <c r="D8675" s="1" t="n">
        <v>10.174</v>
      </c>
      <c r="E8675" s="1" t="n">
        <f aca="false">LN(D8675)</f>
        <v>2.31983544640057</v>
      </c>
    </row>
    <row r="8676" customFormat="false" ht="15.75" hidden="false" customHeight="false" outlineLevel="0" collapsed="false">
      <c r="A8676" s="1" t="s">
        <v>1184</v>
      </c>
      <c r="B8676" s="1" t="n">
        <v>131.67</v>
      </c>
      <c r="C8676" s="1" t="n">
        <f aca="false">1/B8676</f>
        <v>0.0075947444368497</v>
      </c>
      <c r="D8676" s="1" t="n">
        <v>9.8447</v>
      </c>
      <c r="E8676" s="1" t="n">
        <f aca="false">LN(D8676)</f>
        <v>2.28693323930582</v>
      </c>
    </row>
    <row r="8677" customFormat="false" ht="15.75" hidden="false" customHeight="false" outlineLevel="0" collapsed="false">
      <c r="A8677" s="1" t="s">
        <v>1184</v>
      </c>
      <c r="B8677" s="1" t="n">
        <v>132.25</v>
      </c>
      <c r="C8677" s="1" t="n">
        <f aca="false">1/B8677</f>
        <v>0.00756143667296786</v>
      </c>
      <c r="D8677" s="1" t="n">
        <v>9.5302</v>
      </c>
      <c r="E8677" s="1" t="n">
        <f aca="false">LN(D8677)</f>
        <v>2.25446570380477</v>
      </c>
    </row>
    <row r="8678" customFormat="false" ht="15.75" hidden="false" customHeight="false" outlineLevel="0" collapsed="false">
      <c r="A8678" s="1" t="s">
        <v>1184</v>
      </c>
      <c r="B8678" s="1" t="n">
        <v>132.83</v>
      </c>
      <c r="C8678" s="1" t="n">
        <f aca="false">1/B8678</f>
        <v>0.00752841978468719</v>
      </c>
      <c r="D8678" s="1" t="n">
        <v>9.2295</v>
      </c>
      <c r="E8678" s="1" t="n">
        <f aca="false">LN(D8678)</f>
        <v>2.22240487586652</v>
      </c>
    </row>
    <row r="8679" customFormat="false" ht="15.75" hidden="false" customHeight="false" outlineLevel="0" collapsed="false">
      <c r="A8679" s="1" t="s">
        <v>1184</v>
      </c>
      <c r="B8679" s="1" t="n">
        <v>133.42</v>
      </c>
      <c r="C8679" s="1" t="n">
        <f aca="false">1/B8679</f>
        <v>0.00749512816669165</v>
      </c>
      <c r="D8679" s="1" t="n">
        <v>8.9421</v>
      </c>
      <c r="E8679" s="1" t="n">
        <f aca="false">LN(D8679)</f>
        <v>2.19077046092975</v>
      </c>
    </row>
    <row r="8680" customFormat="false" ht="15.75" hidden="false" customHeight="false" outlineLevel="0" collapsed="false">
      <c r="A8680" s="1" t="s">
        <v>1184</v>
      </c>
      <c r="B8680" s="1" t="n">
        <v>134</v>
      </c>
      <c r="C8680" s="1" t="n">
        <f aca="false">1/B8680</f>
        <v>0.00746268656716418</v>
      </c>
      <c r="D8680" s="1" t="n">
        <v>8.667</v>
      </c>
      <c r="E8680" s="1" t="n">
        <f aca="false">LN(D8680)</f>
        <v>2.15952271015221</v>
      </c>
    </row>
    <row r="8681" customFormat="false" ht="15.75" hidden="false" customHeight="false" outlineLevel="0" collapsed="false">
      <c r="A8681" s="1" t="s">
        <v>1184</v>
      </c>
      <c r="B8681" s="1" t="n">
        <v>134.58</v>
      </c>
      <c r="C8681" s="1" t="n">
        <f aca="false">1/B8681</f>
        <v>0.00743052459503641</v>
      </c>
      <c r="D8681" s="1" t="n">
        <v>8.4036</v>
      </c>
      <c r="E8681" s="1" t="n">
        <f aca="false">LN(D8681)</f>
        <v>2.12866018546734</v>
      </c>
    </row>
    <row r="8682" customFormat="false" ht="15.75" hidden="false" customHeight="false" outlineLevel="0" collapsed="false">
      <c r="A8682" s="1" t="s">
        <v>1184</v>
      </c>
      <c r="B8682" s="1" t="n">
        <v>135.17</v>
      </c>
      <c r="C8682" s="1" t="n">
        <f aca="false">1/B8682</f>
        <v>0.00739809129244655</v>
      </c>
      <c r="D8682" s="1" t="n">
        <v>8.1513</v>
      </c>
      <c r="E8682" s="1" t="n">
        <f aca="false">LN(D8682)</f>
        <v>2.09817742373498</v>
      </c>
    </row>
    <row r="8683" customFormat="false" ht="15.75" hidden="false" customHeight="false" outlineLevel="0" collapsed="false">
      <c r="A8683" s="1" t="s">
        <v>1184</v>
      </c>
      <c r="B8683" s="1" t="n">
        <v>135.75</v>
      </c>
      <c r="C8683" s="1" t="n">
        <f aca="false">1/B8683</f>
        <v>0.00736648250460405</v>
      </c>
      <c r="D8683" s="1" t="n">
        <v>7.9095</v>
      </c>
      <c r="E8683" s="1" t="n">
        <f aca="false">LN(D8683)</f>
        <v>2.0680645686565</v>
      </c>
    </row>
    <row r="8684" customFormat="false" ht="15.75" hidden="false" customHeight="false" outlineLevel="0" collapsed="false">
      <c r="A8684" s="1" t="s">
        <v>1184</v>
      </c>
      <c r="B8684" s="1" t="n">
        <v>136.33</v>
      </c>
      <c r="C8684" s="1" t="n">
        <f aca="false">1/B8684</f>
        <v>0.0073351426685249</v>
      </c>
      <c r="D8684" s="1" t="n">
        <v>7.6777</v>
      </c>
      <c r="E8684" s="1" t="n">
        <f aca="false">LN(D8684)</f>
        <v>2.03832002314007</v>
      </c>
    </row>
    <row r="8685" customFormat="false" ht="15.75" hidden="false" customHeight="false" outlineLevel="0" collapsed="false">
      <c r="A8685" s="1" t="s">
        <v>1184</v>
      </c>
      <c r="B8685" s="1" t="n">
        <v>136.92</v>
      </c>
      <c r="C8685" s="1" t="n">
        <f aca="false">1/B8685</f>
        <v>0.00730353491089687</v>
      </c>
      <c r="D8685" s="1" t="n">
        <v>7.4553</v>
      </c>
      <c r="E8685" s="1" t="n">
        <f aca="false">LN(D8685)</f>
        <v>2.00892518885573</v>
      </c>
    </row>
    <row r="8686" customFormat="false" ht="15.75" hidden="false" customHeight="false" outlineLevel="0" collapsed="false">
      <c r="A8686" s="1" t="s">
        <v>1184</v>
      </c>
      <c r="B8686" s="1" t="n">
        <v>137.5</v>
      </c>
      <c r="C8686" s="1" t="n">
        <f aca="false">1/B8686</f>
        <v>0.00727272727272727</v>
      </c>
      <c r="D8686" s="1" t="n">
        <v>7.2419</v>
      </c>
      <c r="E8686" s="1" t="n">
        <f aca="false">LN(D8686)</f>
        <v>1.97988360290788</v>
      </c>
    </row>
    <row r="8687" customFormat="false" ht="15.75" hidden="false" customHeight="false" outlineLevel="0" collapsed="false">
      <c r="A8687" s="1" t="s">
        <v>1184</v>
      </c>
      <c r="B8687" s="1" t="n">
        <v>138.08</v>
      </c>
      <c r="C8687" s="1" t="n">
        <f aca="false">1/B8687</f>
        <v>0.00724217844727694</v>
      </c>
      <c r="D8687" s="1" t="n">
        <v>7.0369</v>
      </c>
      <c r="E8687" s="1" t="n">
        <f aca="false">LN(D8687)</f>
        <v>1.95116773228233</v>
      </c>
    </row>
    <row r="8688" customFormat="false" ht="15.75" hidden="false" customHeight="false" outlineLevel="0" collapsed="false">
      <c r="A8688" s="1" t="s">
        <v>1184</v>
      </c>
      <c r="B8688" s="1" t="n">
        <v>138.67</v>
      </c>
      <c r="C8688" s="1" t="n">
        <f aca="false">1/B8688</f>
        <v>0.00721136511141559</v>
      </c>
      <c r="D8688" s="1" t="n">
        <v>6.84</v>
      </c>
      <c r="E8688" s="1" t="n">
        <f aca="false">LN(D8688)</f>
        <v>1.92278773163446</v>
      </c>
    </row>
    <row r="8689" customFormat="false" ht="15.75" hidden="false" customHeight="false" outlineLevel="0" collapsed="false">
      <c r="A8689" s="1" t="s">
        <v>1184</v>
      </c>
      <c r="B8689" s="1" t="n">
        <v>139.25</v>
      </c>
      <c r="C8689" s="1" t="n">
        <f aca="false">1/B8689</f>
        <v>0.00718132854578097</v>
      </c>
      <c r="D8689" s="1" t="n">
        <v>6.6508</v>
      </c>
      <c r="E8689" s="1" t="n">
        <f aca="false">LN(D8689)</f>
        <v>1.89473714818409</v>
      </c>
    </row>
    <row r="8690" customFormat="false" ht="15.75" hidden="false" customHeight="false" outlineLevel="0" collapsed="false">
      <c r="A8690" s="1" t="s">
        <v>1184</v>
      </c>
      <c r="B8690" s="1" t="n">
        <v>139.83</v>
      </c>
      <c r="C8690" s="1" t="n">
        <f aca="false">1/B8690</f>
        <v>0.00715154115711936</v>
      </c>
      <c r="D8690" s="1" t="n">
        <v>6.4689</v>
      </c>
      <c r="E8690" s="1" t="n">
        <f aca="false">LN(D8690)</f>
        <v>1.86700607860259</v>
      </c>
    </row>
    <row r="8691" customFormat="false" ht="15.75" hidden="false" customHeight="false" outlineLevel="0" collapsed="false">
      <c r="A8691" s="1" t="s">
        <v>1184</v>
      </c>
      <c r="B8691" s="1" t="n">
        <v>140.42</v>
      </c>
      <c r="C8691" s="1" t="n">
        <f aca="false">1/B8691</f>
        <v>0.00712149266486256</v>
      </c>
      <c r="D8691" s="1" t="n">
        <v>6.294</v>
      </c>
      <c r="E8691" s="1" t="n">
        <f aca="false">LN(D8691)</f>
        <v>1.83959679864222</v>
      </c>
    </row>
    <row r="8692" customFormat="false" ht="15.75" hidden="false" customHeight="false" outlineLevel="0" collapsed="false">
      <c r="A8692" s="1" t="s">
        <v>1184</v>
      </c>
      <c r="B8692" s="1" t="n">
        <v>141</v>
      </c>
      <c r="C8692" s="1" t="n">
        <f aca="false">1/B8692</f>
        <v>0.00709219858156028</v>
      </c>
      <c r="D8692" s="1" t="n">
        <v>6.1257</v>
      </c>
      <c r="E8692" s="1" t="n">
        <f aca="false">LN(D8692)</f>
        <v>1.81249303561496</v>
      </c>
    </row>
    <row r="8693" customFormat="false" ht="15.75" hidden="false" customHeight="false" outlineLevel="0" collapsed="false">
      <c r="A8693" s="1" t="s">
        <v>1184</v>
      </c>
      <c r="B8693" s="1" t="n">
        <v>141.58</v>
      </c>
      <c r="C8693" s="1" t="n">
        <f aca="false">1/B8693</f>
        <v>0.00706314451193671</v>
      </c>
      <c r="D8693" s="1" t="n">
        <v>5.9636</v>
      </c>
      <c r="E8693" s="1" t="n">
        <f aca="false">LN(D8693)</f>
        <v>1.78567432557211</v>
      </c>
    </row>
    <row r="8694" customFormat="false" ht="15.75" hidden="false" customHeight="false" outlineLevel="0" collapsed="false">
      <c r="A8694" s="1" t="s">
        <v>1184</v>
      </c>
      <c r="B8694" s="1" t="n">
        <v>142.17</v>
      </c>
      <c r="C8694" s="1" t="n">
        <f aca="false">1/B8694</f>
        <v>0.00703383273545755</v>
      </c>
      <c r="D8694" s="1" t="n">
        <v>5.8076</v>
      </c>
      <c r="E8694" s="1" t="n">
        <f aca="false">LN(D8694)</f>
        <v>1.7591674046274</v>
      </c>
    </row>
    <row r="8695" customFormat="false" ht="15.75" hidden="false" customHeight="false" outlineLevel="0" collapsed="false">
      <c r="A8695" s="1" t="s">
        <v>1184</v>
      </c>
      <c r="B8695" s="1" t="n">
        <v>142.75</v>
      </c>
      <c r="C8695" s="1" t="n">
        <f aca="false">1/B8695</f>
        <v>0.00700525394045534</v>
      </c>
      <c r="D8695" s="1" t="n">
        <v>5.6573</v>
      </c>
      <c r="E8695" s="1" t="n">
        <f aca="false">LN(D8695)</f>
        <v>1.7329467465971</v>
      </c>
    </row>
    <row r="8696" customFormat="false" ht="15.75" hidden="false" customHeight="false" outlineLevel="0" collapsed="false">
      <c r="A8696" s="1" t="s">
        <v>1184</v>
      </c>
      <c r="B8696" s="1" t="n">
        <v>143.33</v>
      </c>
      <c r="C8696" s="1" t="n">
        <f aca="false">1/B8696</f>
        <v>0.00697690643968464</v>
      </c>
      <c r="D8696" s="1" t="n">
        <v>5.5124</v>
      </c>
      <c r="E8696" s="1" t="n">
        <f aca="false">LN(D8696)</f>
        <v>1.70700010001885</v>
      </c>
    </row>
    <row r="8697" customFormat="false" ht="15.75" hidden="false" customHeight="false" outlineLevel="0" collapsed="false">
      <c r="A8697" s="1" t="s">
        <v>1184</v>
      </c>
      <c r="B8697" s="1" t="n">
        <v>143.92</v>
      </c>
      <c r="C8697" s="1" t="n">
        <f aca="false">1/B8697</f>
        <v>0.00694830461367426</v>
      </c>
      <c r="D8697" s="1" t="n">
        <v>5.3728</v>
      </c>
      <c r="E8697" s="1" t="n">
        <f aca="false">LN(D8697)</f>
        <v>1.68134918790108</v>
      </c>
    </row>
    <row r="8698" customFormat="false" ht="15.75" hidden="false" customHeight="false" outlineLevel="0" collapsed="false">
      <c r="A8698" s="1" t="s">
        <v>1184</v>
      </c>
      <c r="B8698" s="1" t="n">
        <v>144.5</v>
      </c>
      <c r="C8698" s="1" t="n">
        <f aca="false">1/B8698</f>
        <v>0.0069204152249135</v>
      </c>
      <c r="D8698" s="1" t="n">
        <v>5.2381</v>
      </c>
      <c r="E8698" s="1" t="n">
        <f aca="false">LN(D8698)</f>
        <v>1.65595883715949</v>
      </c>
    </row>
    <row r="8699" customFormat="false" ht="15.75" hidden="false" customHeight="false" outlineLevel="0" collapsed="false">
      <c r="A8699" s="1" t="s">
        <v>1184</v>
      </c>
      <c r="B8699" s="1" t="n">
        <v>145.08</v>
      </c>
      <c r="C8699" s="1" t="n">
        <f aca="false">1/B8699</f>
        <v>0.0068927488282327</v>
      </c>
      <c r="D8699" s="1" t="n">
        <v>5.1082</v>
      </c>
      <c r="E8699" s="1" t="n">
        <f aca="false">LN(D8699)</f>
        <v>1.6308470916716</v>
      </c>
    </row>
    <row r="8700" customFormat="false" ht="15.75" hidden="false" customHeight="false" outlineLevel="0" collapsed="false">
      <c r="A8700" s="1" t="s">
        <v>1184</v>
      </c>
      <c r="B8700" s="1" t="n">
        <v>145.67</v>
      </c>
      <c r="C8700" s="1" t="n">
        <f aca="false">1/B8700</f>
        <v>0.00686483146838745</v>
      </c>
      <c r="D8700" s="1" t="n">
        <v>4.9829</v>
      </c>
      <c r="E8700" s="1" t="n">
        <f aca="false">LN(D8700)</f>
        <v>1.60601205086591</v>
      </c>
    </row>
    <row r="8701" customFormat="false" ht="15.75" hidden="false" customHeight="false" outlineLevel="0" collapsed="false">
      <c r="A8701" s="1" t="s">
        <v>1184</v>
      </c>
      <c r="B8701" s="1" t="n">
        <v>146.25</v>
      </c>
      <c r="C8701" s="1" t="n">
        <f aca="false">1/B8701</f>
        <v>0.00683760683760684</v>
      </c>
      <c r="D8701" s="1" t="n">
        <v>4.8619</v>
      </c>
      <c r="E8701" s="1" t="n">
        <f aca="false">LN(D8701)</f>
        <v>1.58142930801479</v>
      </c>
    </row>
    <row r="8702" customFormat="false" ht="15.75" hidden="false" customHeight="false" outlineLevel="0" collapsed="false">
      <c r="A8702" s="1" t="s">
        <v>1184</v>
      </c>
      <c r="B8702" s="1" t="n">
        <v>146.83</v>
      </c>
      <c r="C8702" s="1" t="n">
        <f aca="false">1/B8702</f>
        <v>0.00681059728938228</v>
      </c>
      <c r="D8702" s="1" t="n">
        <v>4.745</v>
      </c>
      <c r="E8702" s="1" t="n">
        <f aca="false">LN(D8702)</f>
        <v>1.55709143206189</v>
      </c>
    </row>
    <row r="8703" customFormat="false" ht="15.75" hidden="false" customHeight="false" outlineLevel="0" collapsed="false">
      <c r="A8703" s="1" t="s">
        <v>1184</v>
      </c>
      <c r="B8703" s="1" t="n">
        <v>147.42</v>
      </c>
      <c r="C8703" s="1" t="n">
        <f aca="false">1/B8703</f>
        <v>0.00678334011667345</v>
      </c>
      <c r="D8703" s="1" t="n">
        <v>4.6321</v>
      </c>
      <c r="E8703" s="1" t="n">
        <f aca="false">LN(D8703)</f>
        <v>1.53301032898412</v>
      </c>
    </row>
    <row r="8704" customFormat="false" ht="15.75" hidden="false" customHeight="false" outlineLevel="0" collapsed="false">
      <c r="A8704" s="1" t="s">
        <v>1184</v>
      </c>
      <c r="B8704" s="1" t="n">
        <v>148</v>
      </c>
      <c r="C8704" s="1" t="n">
        <f aca="false">1/B8704</f>
        <v>0.00675675675675676</v>
      </c>
      <c r="D8704" s="1" t="n">
        <v>4.5231</v>
      </c>
      <c r="E8704" s="1" t="n">
        <f aca="false">LN(D8704)</f>
        <v>1.50919759947085</v>
      </c>
    </row>
    <row r="8705" customFormat="false" ht="15.75" hidden="false" customHeight="false" outlineLevel="0" collapsed="false">
      <c r="A8705" s="1" t="s">
        <v>1184</v>
      </c>
      <c r="B8705" s="1" t="n">
        <v>148.58</v>
      </c>
      <c r="C8705" s="1" t="n">
        <f aca="false">1/B8705</f>
        <v>0.00673038093956118</v>
      </c>
      <c r="D8705" s="1" t="n">
        <v>4.4176</v>
      </c>
      <c r="E8705" s="1" t="n">
        <f aca="false">LN(D8705)</f>
        <v>1.48559656219375</v>
      </c>
    </row>
    <row r="8706" customFormat="false" ht="15.75" hidden="false" customHeight="false" outlineLevel="0" collapsed="false">
      <c r="A8706" s="1" t="s">
        <v>1184</v>
      </c>
      <c r="B8706" s="1" t="n">
        <v>149.17</v>
      </c>
      <c r="C8706" s="1" t="n">
        <f aca="false">1/B8706</f>
        <v>0.00670376080981431</v>
      </c>
      <c r="D8706" s="1" t="n">
        <v>4.3157</v>
      </c>
      <c r="E8706" s="1" t="n">
        <f aca="false">LN(D8706)</f>
        <v>1.46225953617559</v>
      </c>
    </row>
    <row r="8707" customFormat="false" ht="15.75" hidden="false" customHeight="false" outlineLevel="0" collapsed="false">
      <c r="A8707" s="1" t="s">
        <v>1184</v>
      </c>
      <c r="B8707" s="1" t="n">
        <v>149.75</v>
      </c>
      <c r="C8707" s="1" t="n">
        <f aca="false">1/B8707</f>
        <v>0.00667779632721202</v>
      </c>
      <c r="D8707" s="1" t="n">
        <v>4.2171</v>
      </c>
      <c r="E8707" s="1" t="n">
        <f aca="false">LN(D8707)</f>
        <v>1.43914768802369</v>
      </c>
    </row>
    <row r="8708" customFormat="false" ht="15.75" hidden="false" customHeight="false" outlineLevel="0" collapsed="false">
      <c r="A8708" s="1" t="s">
        <v>1184</v>
      </c>
      <c r="B8708" s="1" t="n">
        <v>150.33</v>
      </c>
      <c r="C8708" s="1" t="n">
        <f aca="false">1/B8708</f>
        <v>0.00665203219583583</v>
      </c>
      <c r="D8708" s="1" t="n">
        <v>4.1218</v>
      </c>
      <c r="E8708" s="1" t="n">
        <f aca="false">LN(D8708)</f>
        <v>1.41628996115527</v>
      </c>
    </row>
    <row r="8709" customFormat="false" ht="15.75" hidden="false" customHeight="false" outlineLevel="0" collapsed="false">
      <c r="A8709" s="1" t="s">
        <v>1184</v>
      </c>
      <c r="B8709" s="1" t="n">
        <v>150.92</v>
      </c>
      <c r="C8709" s="1" t="n">
        <f aca="false">1/B8709</f>
        <v>0.0066260270341903</v>
      </c>
      <c r="D8709" s="1" t="n">
        <v>4.0295</v>
      </c>
      <c r="E8709" s="1" t="n">
        <f aca="false">LN(D8709)</f>
        <v>1.39364229878243</v>
      </c>
    </row>
    <row r="8710" customFormat="false" ht="15.75" hidden="false" customHeight="false" outlineLevel="0" collapsed="false">
      <c r="A8710" s="1" t="s">
        <v>1184</v>
      </c>
      <c r="B8710" s="1" t="n">
        <v>151.5</v>
      </c>
      <c r="C8710" s="1" t="n">
        <f aca="false">1/B8710</f>
        <v>0.0066006600660066</v>
      </c>
      <c r="D8710" s="1" t="n">
        <v>3.9402</v>
      </c>
      <c r="E8710" s="1" t="n">
        <f aca="false">LN(D8710)</f>
        <v>1.37123148344285</v>
      </c>
    </row>
    <row r="8711" customFormat="false" ht="15.75" hidden="false" customHeight="false" outlineLevel="0" collapsed="false">
      <c r="A8711" s="1" t="s">
        <v>1184</v>
      </c>
      <c r="B8711" s="1" t="n">
        <v>152.08</v>
      </c>
      <c r="C8711" s="1" t="n">
        <f aca="false">1/B8711</f>
        <v>0.00657548658600736</v>
      </c>
      <c r="D8711" s="1" t="n">
        <v>3.8537</v>
      </c>
      <c r="E8711" s="1" t="n">
        <f aca="false">LN(D8711)</f>
        <v>1.34903372575845</v>
      </c>
    </row>
    <row r="8712" customFormat="false" ht="15.75" hidden="false" customHeight="false" outlineLevel="0" collapsed="false">
      <c r="A8712" s="1" t="s">
        <v>1184</v>
      </c>
      <c r="B8712" s="1" t="n">
        <v>152.67</v>
      </c>
      <c r="C8712" s="1" t="n">
        <f aca="false">1/B8712</f>
        <v>0.00655007532586625</v>
      </c>
      <c r="D8712" s="1" t="n">
        <v>3.7699</v>
      </c>
      <c r="E8712" s="1" t="n">
        <f aca="false">LN(D8712)</f>
        <v>1.32704847590918</v>
      </c>
    </row>
    <row r="8713" customFormat="false" ht="15.75" hidden="false" customHeight="false" outlineLevel="0" collapsed="false">
      <c r="A8713" s="1" t="s">
        <v>1184</v>
      </c>
      <c r="B8713" s="1" t="n">
        <v>153.25</v>
      </c>
      <c r="C8713" s="1" t="n">
        <f aca="false">1/B8713</f>
        <v>0.00652528548123981</v>
      </c>
      <c r="D8713" s="1" t="n">
        <v>3.6887</v>
      </c>
      <c r="E8713" s="1" t="n">
        <f aca="false">LN(D8713)</f>
        <v>1.30527409245593</v>
      </c>
    </row>
    <row r="8714" customFormat="false" ht="15.75" hidden="false" customHeight="false" outlineLevel="0" collapsed="false">
      <c r="A8714" s="1" t="s">
        <v>1184</v>
      </c>
      <c r="B8714" s="1" t="n">
        <v>153.83</v>
      </c>
      <c r="C8714" s="1" t="n">
        <f aca="false">1/B8714</f>
        <v>0.00650068257167002</v>
      </c>
      <c r="D8714" s="1" t="n">
        <v>3.6101</v>
      </c>
      <c r="E8714" s="1" t="n">
        <f aca="false">LN(D8714)</f>
        <v>1.28373547279215</v>
      </c>
    </row>
    <row r="8715" customFormat="false" ht="15.75" hidden="false" customHeight="false" outlineLevel="0" collapsed="false">
      <c r="A8715" s="1" t="s">
        <v>1184</v>
      </c>
      <c r="B8715" s="1" t="n">
        <v>154.42</v>
      </c>
      <c r="C8715" s="1" t="n">
        <f aca="false">1/B8715</f>
        <v>0.00647584509778526</v>
      </c>
      <c r="D8715" s="1" t="n">
        <v>3.5339</v>
      </c>
      <c r="E8715" s="1" t="n">
        <f aca="false">LN(D8715)</f>
        <v>1.26240207694933</v>
      </c>
    </row>
    <row r="8716" customFormat="false" ht="15.75" hidden="false" customHeight="false" outlineLevel="0" collapsed="false">
      <c r="A8716" s="1" t="s">
        <v>1184</v>
      </c>
      <c r="B8716" s="1" t="n">
        <v>155</v>
      </c>
      <c r="C8716" s="1" t="n">
        <f aca="false">1/B8716</f>
        <v>0.00645161290322581</v>
      </c>
      <c r="D8716" s="1" t="n">
        <v>3.46</v>
      </c>
      <c r="E8716" s="1" t="n">
        <f aca="false">LN(D8716)</f>
        <v>1.24126858906963</v>
      </c>
    </row>
    <row r="8717" customFormat="false" ht="15.75" hidden="false" customHeight="false" outlineLevel="0" collapsed="false">
      <c r="A8717" s="1" t="s">
        <v>1184</v>
      </c>
      <c r="B8717" s="1" t="n">
        <v>155.58</v>
      </c>
      <c r="C8717" s="1" t="n">
        <f aca="false">1/B8717</f>
        <v>0.00642756138321121</v>
      </c>
      <c r="D8717" s="1" t="n">
        <v>3.3883</v>
      </c>
      <c r="E8717" s="1" t="n">
        <f aca="false">LN(D8717)</f>
        <v>1.2203283206855</v>
      </c>
    </row>
    <row r="8718" customFormat="false" ht="15.75" hidden="false" customHeight="false" outlineLevel="0" collapsed="false">
      <c r="A8718" s="1" t="s">
        <v>1184</v>
      </c>
      <c r="B8718" s="1" t="n">
        <v>156.17</v>
      </c>
      <c r="C8718" s="1" t="n">
        <f aca="false">1/B8718</f>
        <v>0.00640327847858103</v>
      </c>
      <c r="D8718" s="1" t="n">
        <v>3.3188</v>
      </c>
      <c r="E8718" s="1" t="n">
        <f aca="false">LN(D8718)</f>
        <v>1.19960327180799</v>
      </c>
    </row>
    <row r="8719" customFormat="false" ht="15.75" hidden="false" customHeight="false" outlineLevel="0" collapsed="false">
      <c r="A8719" s="1" t="s">
        <v>1184</v>
      </c>
      <c r="B8719" s="1" t="n">
        <v>156.75</v>
      </c>
      <c r="C8719" s="1" t="n">
        <f aca="false">1/B8719</f>
        <v>0.00637958532695375</v>
      </c>
      <c r="D8719" s="1" t="n">
        <v>3.2513</v>
      </c>
      <c r="E8719" s="1" t="n">
        <f aca="false">LN(D8719)</f>
        <v>1.17905491636297</v>
      </c>
    </row>
    <row r="8720" customFormat="false" ht="15.75" hidden="false" customHeight="false" outlineLevel="0" collapsed="false">
      <c r="A8720" s="1" t="s">
        <v>1184</v>
      </c>
      <c r="B8720" s="1" t="n">
        <v>157.33</v>
      </c>
      <c r="C8720" s="1" t="n">
        <f aca="false">1/B8720</f>
        <v>0.00635606686582343</v>
      </c>
      <c r="D8720" s="1" t="n">
        <v>3.1859</v>
      </c>
      <c r="E8720" s="1" t="n">
        <f aca="false">LN(D8720)</f>
        <v>1.15873482367574</v>
      </c>
    </row>
    <row r="8721" customFormat="false" ht="15.75" hidden="false" customHeight="false" outlineLevel="0" collapsed="false">
      <c r="A8721" s="1" t="s">
        <v>1184</v>
      </c>
      <c r="B8721" s="1" t="n">
        <v>157.92</v>
      </c>
      <c r="C8721" s="1" t="n">
        <f aca="false">1/B8721</f>
        <v>0.0063323201621074</v>
      </c>
      <c r="D8721" s="1" t="n">
        <v>3.1223</v>
      </c>
      <c r="E8721" s="1" t="n">
        <f aca="false">LN(D8721)</f>
        <v>1.13856990972523</v>
      </c>
    </row>
    <row r="8722" customFormat="false" ht="15.75" hidden="false" customHeight="false" outlineLevel="0" collapsed="false">
      <c r="A8722" s="1" t="s">
        <v>1184</v>
      </c>
      <c r="B8722" s="1" t="n">
        <v>158.5</v>
      </c>
      <c r="C8722" s="1" t="n">
        <f aca="false">1/B8722</f>
        <v>0.00630914826498423</v>
      </c>
      <c r="D8722" s="1" t="n">
        <v>3.0606</v>
      </c>
      <c r="E8722" s="1" t="n">
        <f aca="false">LN(D8722)</f>
        <v>1.1186109751748</v>
      </c>
    </row>
    <row r="8723" customFormat="false" ht="15.75" hidden="false" customHeight="false" outlineLevel="0" collapsed="false">
      <c r="A8723" s="1" t="s">
        <v>1184</v>
      </c>
      <c r="B8723" s="1" t="n">
        <v>159.08</v>
      </c>
      <c r="C8723" s="1" t="n">
        <f aca="false">1/B8723</f>
        <v>0.00628614533568016</v>
      </c>
      <c r="D8723" s="1" t="n">
        <v>3.0007</v>
      </c>
      <c r="E8723" s="1" t="n">
        <f aca="false">LN(D8723)</f>
        <v>1.09884559478345</v>
      </c>
    </row>
    <row r="8724" customFormat="false" ht="15.75" hidden="false" customHeight="false" outlineLevel="0" collapsed="false">
      <c r="A8724" s="1" t="s">
        <v>1184</v>
      </c>
      <c r="B8724" s="1" t="n">
        <v>159.67</v>
      </c>
      <c r="C8724" s="1" t="n">
        <f aca="false">1/B8724</f>
        <v>0.00626291726686291</v>
      </c>
      <c r="D8724" s="1" t="n">
        <v>2.9425</v>
      </c>
      <c r="E8724" s="1" t="n">
        <f aca="false">LN(D8724)</f>
        <v>1.07925956015229</v>
      </c>
    </row>
    <row r="8725" customFormat="false" ht="15.75" hidden="false" customHeight="false" outlineLevel="0" collapsed="false">
      <c r="A8725" s="1" t="s">
        <v>1184</v>
      </c>
      <c r="B8725" s="1" t="n">
        <v>160.25</v>
      </c>
      <c r="C8725" s="1" t="n">
        <f aca="false">1/B8725</f>
        <v>0.0062402496099844</v>
      </c>
      <c r="D8725" s="1" t="n">
        <v>2.8859</v>
      </c>
      <c r="E8725" s="1" t="n">
        <f aca="false">LN(D8725)</f>
        <v>1.0598368097167</v>
      </c>
    </row>
    <row r="8726" customFormat="false" ht="15.75" hidden="false" customHeight="false" outlineLevel="0" collapsed="false">
      <c r="A8726" s="1" t="s">
        <v>1184</v>
      </c>
      <c r="B8726" s="1" t="n">
        <v>160.83</v>
      </c>
      <c r="C8726" s="1" t="n">
        <f aca="false">1/B8726</f>
        <v>0.00621774544550146</v>
      </c>
      <c r="D8726" s="1" t="n">
        <v>2.831</v>
      </c>
      <c r="E8726" s="1" t="n">
        <f aca="false">LN(D8726)</f>
        <v>1.04063000612976</v>
      </c>
    </row>
    <row r="8727" customFormat="false" ht="15.75" hidden="false" customHeight="false" outlineLevel="0" collapsed="false">
      <c r="A8727" s="1" t="s">
        <v>1184</v>
      </c>
      <c r="B8727" s="1" t="n">
        <v>161.42</v>
      </c>
      <c r="C8727" s="1" t="n">
        <f aca="false">1/B8727</f>
        <v>0.00619501920455954</v>
      </c>
      <c r="D8727" s="1" t="n">
        <v>2.7775</v>
      </c>
      <c r="E8727" s="1" t="n">
        <f aca="false">LN(D8727)</f>
        <v>1.02155124253165</v>
      </c>
    </row>
    <row r="8728" customFormat="false" ht="15.75" hidden="false" customHeight="false" outlineLevel="0" collapsed="false">
      <c r="A8728" s="1" t="s">
        <v>1184</v>
      </c>
      <c r="B8728" s="1" t="n">
        <v>162</v>
      </c>
      <c r="C8728" s="1" t="n">
        <f aca="false">1/B8728</f>
        <v>0.00617283950617284</v>
      </c>
      <c r="D8728" s="1" t="n">
        <v>2.7256</v>
      </c>
      <c r="E8728" s="1" t="n">
        <f aca="false">LN(D8728)</f>
        <v>1.00268858736462</v>
      </c>
    </row>
    <row r="8729" customFormat="false" ht="15.75" hidden="false" customHeight="false" outlineLevel="0" collapsed="false">
      <c r="A8729" s="1" t="s">
        <v>1184</v>
      </c>
      <c r="B8729" s="1" t="n">
        <v>162.58</v>
      </c>
      <c r="C8729" s="1" t="n">
        <f aca="false">1/B8729</f>
        <v>0.00615081805880182</v>
      </c>
      <c r="D8729" s="1" t="n">
        <v>2.675</v>
      </c>
      <c r="E8729" s="1" t="n">
        <f aca="false">LN(D8729)</f>
        <v>0.98394938034797</v>
      </c>
    </row>
    <row r="8730" customFormat="false" ht="15.75" hidden="false" customHeight="false" outlineLevel="0" collapsed="false">
      <c r="A8730" s="1" t="s">
        <v>1184</v>
      </c>
      <c r="B8730" s="1" t="n">
        <v>163.17</v>
      </c>
      <c r="C8730" s="1" t="n">
        <f aca="false">1/B8730</f>
        <v>0.00612857755714899</v>
      </c>
      <c r="D8730" s="1" t="n">
        <v>2.6259</v>
      </c>
      <c r="E8730" s="1" t="n">
        <f aca="false">LN(D8730)</f>
        <v>0.965423694424365</v>
      </c>
    </row>
    <row r="8731" customFormat="false" ht="15.75" hidden="false" customHeight="false" outlineLevel="0" collapsed="false">
      <c r="A8731" s="1" t="s">
        <v>1184</v>
      </c>
      <c r="B8731" s="1" t="n">
        <v>163.75</v>
      </c>
      <c r="C8731" s="1" t="n">
        <f aca="false">1/B8731</f>
        <v>0.00610687022900763</v>
      </c>
      <c r="D8731" s="1" t="n">
        <v>2.5781</v>
      </c>
      <c r="E8731" s="1" t="n">
        <f aca="false">LN(D8731)</f>
        <v>0.947052693524196</v>
      </c>
    </row>
    <row r="8732" customFormat="false" ht="15.75" hidden="false" customHeight="false" outlineLevel="0" collapsed="false">
      <c r="A8732" s="1" t="s">
        <v>1184</v>
      </c>
      <c r="B8732" s="1" t="n">
        <v>164.33</v>
      </c>
      <c r="C8732" s="1" t="n">
        <f aca="false">1/B8732</f>
        <v>0.00608531613217307</v>
      </c>
      <c r="D8732" s="1" t="n">
        <v>2.5315</v>
      </c>
      <c r="E8732" s="1" t="n">
        <f aca="false">LN(D8732)</f>
        <v>0.928812012427827</v>
      </c>
    </row>
    <row r="8733" customFormat="false" ht="15.75" hidden="false" customHeight="false" outlineLevel="0" collapsed="false">
      <c r="A8733" s="1" t="s">
        <v>1184</v>
      </c>
      <c r="B8733" s="1" t="n">
        <v>164.92</v>
      </c>
      <c r="C8733" s="1" t="n">
        <f aca="false">1/B8733</f>
        <v>0.00606354596167839</v>
      </c>
      <c r="D8733" s="1" t="n">
        <v>2.4862</v>
      </c>
      <c r="E8733" s="1" t="n">
        <f aca="false">LN(D8733)</f>
        <v>0.910755440375478</v>
      </c>
    </row>
    <row r="8734" customFormat="false" ht="15.75" hidden="false" customHeight="false" outlineLevel="0" collapsed="false">
      <c r="A8734" s="1" t="s">
        <v>1184</v>
      </c>
      <c r="B8734" s="1" t="n">
        <v>165.5</v>
      </c>
      <c r="C8734" s="1" t="n">
        <f aca="false">1/B8734</f>
        <v>0.00604229607250755</v>
      </c>
      <c r="D8734" s="1" t="n">
        <v>2.4421</v>
      </c>
      <c r="E8734" s="1" t="n">
        <f aca="false">LN(D8734)</f>
        <v>0.892858324891033</v>
      </c>
    </row>
    <row r="8735" customFormat="false" ht="15.75" hidden="false" customHeight="false" outlineLevel="0" collapsed="false">
      <c r="A8735" s="1" t="s">
        <v>1184</v>
      </c>
      <c r="B8735" s="1" t="n">
        <v>166.08</v>
      </c>
      <c r="C8735" s="1" t="n">
        <f aca="false">1/B8735</f>
        <v>0.00602119460500963</v>
      </c>
      <c r="D8735" s="1" t="n">
        <v>2.3992</v>
      </c>
      <c r="E8735" s="1" t="n">
        <f aca="false">LN(D8735)</f>
        <v>0.875135348452662</v>
      </c>
    </row>
    <row r="8736" customFormat="false" ht="15.75" hidden="false" customHeight="false" outlineLevel="0" collapsed="false">
      <c r="A8736" s="1" t="s">
        <v>1184</v>
      </c>
      <c r="B8736" s="1" t="n">
        <v>166.67</v>
      </c>
      <c r="C8736" s="1" t="n">
        <f aca="false">1/B8736</f>
        <v>0.00599988000239995</v>
      </c>
      <c r="D8736" s="1" t="n">
        <v>2.3574</v>
      </c>
      <c r="E8736" s="1" t="n">
        <f aca="false">LN(D8736)</f>
        <v>0.857559316810332</v>
      </c>
    </row>
    <row r="8737" customFormat="false" ht="15.75" hidden="false" customHeight="false" outlineLevel="0" collapsed="false">
      <c r="A8737" s="1" t="s">
        <v>1184</v>
      </c>
      <c r="B8737" s="1" t="n">
        <v>167.25</v>
      </c>
      <c r="C8737" s="1" t="n">
        <f aca="false">1/B8737</f>
        <v>0.00597907324364723</v>
      </c>
      <c r="D8737" s="1" t="n">
        <v>2.3167</v>
      </c>
      <c r="E8737" s="1" t="n">
        <f aca="false">LN(D8737)</f>
        <v>0.840143759294286</v>
      </c>
    </row>
    <row r="8738" customFormat="false" ht="15.75" hidden="false" customHeight="false" outlineLevel="0" collapsed="false">
      <c r="A8738" s="1" t="s">
        <v>1184</v>
      </c>
      <c r="B8738" s="1" t="n">
        <v>167.83</v>
      </c>
      <c r="C8738" s="1" t="n">
        <f aca="false">1/B8738</f>
        <v>0.00595841029613299</v>
      </c>
      <c r="D8738" s="1" t="n">
        <v>2.277</v>
      </c>
      <c r="E8738" s="1" t="n">
        <f aca="false">LN(D8738)</f>
        <v>0.822858787081603</v>
      </c>
    </row>
    <row r="8739" customFormat="false" ht="15.75" hidden="false" customHeight="false" outlineLevel="0" collapsed="false">
      <c r="A8739" s="1" t="s">
        <v>1184</v>
      </c>
      <c r="B8739" s="1" t="n">
        <v>168.42</v>
      </c>
      <c r="C8739" s="1" t="n">
        <f aca="false">1/B8739</f>
        <v>0.00593753710960694</v>
      </c>
      <c r="D8739" s="1" t="n">
        <v>2.2383</v>
      </c>
      <c r="E8739" s="1" t="n">
        <f aca="false">LN(D8739)</f>
        <v>0.805716649163441</v>
      </c>
    </row>
    <row r="8740" customFormat="false" ht="15.75" hidden="false" customHeight="false" outlineLevel="0" collapsed="false">
      <c r="A8740" s="1" t="s">
        <v>1184</v>
      </c>
      <c r="B8740" s="1" t="n">
        <v>169</v>
      </c>
      <c r="C8740" s="1" t="n">
        <f aca="false">1/B8740</f>
        <v>0.00591715976331361</v>
      </c>
      <c r="D8740" s="1" t="n">
        <v>2.2006</v>
      </c>
      <c r="E8740" s="1" t="n">
        <f aca="false">LN(D8740)</f>
        <v>0.788730050453675</v>
      </c>
    </row>
    <row r="8741" customFormat="false" ht="15.75" hidden="false" customHeight="false" outlineLevel="0" collapsed="false">
      <c r="A8741" s="1" t="s">
        <v>1184</v>
      </c>
      <c r="B8741" s="1" t="n">
        <v>169.58</v>
      </c>
      <c r="C8741" s="1" t="n">
        <f aca="false">1/B8741</f>
        <v>0.00589692180681684</v>
      </c>
      <c r="D8741" s="1" t="n">
        <v>2.1638</v>
      </c>
      <c r="E8741" s="1" t="n">
        <f aca="false">LN(D8741)</f>
        <v>0.771865935271336</v>
      </c>
    </row>
    <row r="8742" customFormat="false" ht="15.75" hidden="false" customHeight="false" outlineLevel="0" collapsed="false">
      <c r="A8742" s="1" t="s">
        <v>1184</v>
      </c>
      <c r="B8742" s="1" t="n">
        <v>170.17</v>
      </c>
      <c r="C8742" s="1" t="n">
        <f aca="false">1/B8742</f>
        <v>0.00587647646471176</v>
      </c>
      <c r="D8742" s="1" t="n">
        <v>2.128</v>
      </c>
      <c r="E8742" s="1" t="n">
        <f aca="false">LN(D8742)</f>
        <v>0.755182571479398</v>
      </c>
    </row>
    <row r="8743" customFormat="false" ht="15.75" hidden="false" customHeight="false" outlineLevel="0" collapsed="false">
      <c r="A8743" s="1" t="s">
        <v>1184</v>
      </c>
      <c r="B8743" s="1" t="n">
        <v>170.75</v>
      </c>
      <c r="C8743" s="1" t="n">
        <f aca="false">1/B8743</f>
        <v>0.00585651537335286</v>
      </c>
      <c r="D8743" s="1" t="n">
        <v>2.0931</v>
      </c>
      <c r="E8743" s="1" t="n">
        <f aca="false">LN(D8743)</f>
        <v>0.738646220631164</v>
      </c>
    </row>
    <row r="8744" customFormat="false" ht="15.75" hidden="false" customHeight="false" outlineLevel="0" collapsed="false">
      <c r="A8744" s="1" t="s">
        <v>1184</v>
      </c>
      <c r="B8744" s="1" t="n">
        <v>171.33</v>
      </c>
      <c r="C8744" s="1" t="n">
        <f aca="false">1/B8744</f>
        <v>0.00583668942975544</v>
      </c>
      <c r="D8744" s="1" t="n">
        <v>2.059</v>
      </c>
      <c r="E8744" s="1" t="n">
        <f aca="false">LN(D8744)</f>
        <v>0.722220428045652</v>
      </c>
    </row>
    <row r="8745" customFormat="false" ht="15.75" hidden="false" customHeight="false" outlineLevel="0" collapsed="false">
      <c r="A8745" s="1" t="s">
        <v>1184</v>
      </c>
      <c r="B8745" s="1" t="n">
        <v>171.92</v>
      </c>
      <c r="C8745" s="1" t="n">
        <f aca="false">1/B8745</f>
        <v>0.00581665891112145</v>
      </c>
      <c r="D8745" s="1" t="n">
        <v>2.0257</v>
      </c>
      <c r="E8745" s="1" t="n">
        <f aca="false">LN(D8745)</f>
        <v>0.705915319837624</v>
      </c>
    </row>
    <row r="8746" customFormat="false" ht="15.75" hidden="false" customHeight="false" outlineLevel="0" collapsed="false">
      <c r="A8746" s="1" t="s">
        <v>1184</v>
      </c>
      <c r="B8746" s="1" t="n">
        <v>172.5</v>
      </c>
      <c r="C8746" s="1" t="n">
        <f aca="false">1/B8746</f>
        <v>0.00579710144927536</v>
      </c>
      <c r="D8746" s="1" t="n">
        <v>1.9933</v>
      </c>
      <c r="E8746" s="1" t="n">
        <f aca="false">LN(D8746)</f>
        <v>0.689791556746583</v>
      </c>
    </row>
    <row r="8747" customFormat="false" ht="15.75" hidden="false" customHeight="false" outlineLevel="0" collapsed="false">
      <c r="A8747" s="1" t="s">
        <v>1184</v>
      </c>
      <c r="B8747" s="1" t="n">
        <v>173.08</v>
      </c>
      <c r="C8747" s="1" t="n">
        <f aca="false">1/B8747</f>
        <v>0.00577767506355443</v>
      </c>
      <c r="D8747" s="1" t="n">
        <v>1.9616</v>
      </c>
      <c r="E8747" s="1" t="n">
        <f aca="false">LN(D8747)</f>
        <v>0.673760466759755</v>
      </c>
    </row>
    <row r="8748" customFormat="false" ht="15.75" hidden="false" customHeight="false" outlineLevel="0" collapsed="false">
      <c r="A8748" s="1" t="s">
        <v>1184</v>
      </c>
      <c r="B8748" s="1" t="n">
        <v>173.67</v>
      </c>
      <c r="C8748" s="1" t="n">
        <f aca="false">1/B8748</f>
        <v>0.00575804687050153</v>
      </c>
      <c r="D8748" s="1" t="n">
        <v>1.9307</v>
      </c>
      <c r="E8748" s="1" t="n">
        <f aca="false">LN(D8748)</f>
        <v>0.657882631459634</v>
      </c>
    </row>
    <row r="8749" customFormat="false" ht="15.75" hidden="false" customHeight="false" outlineLevel="0" collapsed="false">
      <c r="A8749" s="1" t="s">
        <v>1184</v>
      </c>
      <c r="B8749" s="1" t="n">
        <v>174.25</v>
      </c>
      <c r="C8749" s="1" t="n">
        <f aca="false">1/B8749</f>
        <v>0.00573888091822095</v>
      </c>
      <c r="D8749" s="1" t="n">
        <v>1.9005</v>
      </c>
      <c r="E8749" s="1" t="n">
        <f aca="false">LN(D8749)</f>
        <v>0.642117009447166</v>
      </c>
    </row>
    <row r="8750" customFormat="false" ht="15.75" hidden="false" customHeight="false" outlineLevel="0" collapsed="false">
      <c r="A8750" s="1" t="s">
        <v>1184</v>
      </c>
      <c r="B8750" s="1" t="n">
        <v>174.83</v>
      </c>
      <c r="C8750" s="1" t="n">
        <f aca="false">1/B8750</f>
        <v>0.00571984213235715</v>
      </c>
      <c r="D8750" s="1" t="n">
        <v>1.871</v>
      </c>
      <c r="E8750" s="1" t="n">
        <f aca="false">LN(D8750)</f>
        <v>0.626473047291953</v>
      </c>
    </row>
    <row r="8751" customFormat="false" ht="15.75" hidden="false" customHeight="false" outlineLevel="0" collapsed="false">
      <c r="A8751" s="1" t="s">
        <v>1184</v>
      </c>
      <c r="B8751" s="1" t="n">
        <v>175.42</v>
      </c>
      <c r="C8751" s="1" t="n">
        <f aca="false">1/B8751</f>
        <v>0.00570060426405199</v>
      </c>
      <c r="D8751" s="1" t="n">
        <v>1.8422</v>
      </c>
      <c r="E8751" s="1" t="n">
        <f aca="false">LN(D8751)</f>
        <v>0.610960509571998</v>
      </c>
    </row>
    <row r="8752" customFormat="false" ht="15.75" hidden="false" customHeight="false" outlineLevel="0" collapsed="false">
      <c r="A8752" s="1" t="s">
        <v>1184</v>
      </c>
      <c r="B8752" s="1" t="n">
        <v>176</v>
      </c>
      <c r="C8752" s="1" t="n">
        <f aca="false">1/B8752</f>
        <v>0.00568181818181818</v>
      </c>
      <c r="D8752" s="1" t="n">
        <v>1.8141</v>
      </c>
      <c r="E8752" s="1" t="n">
        <f aca="false">LN(D8752)</f>
        <v>0.59558947696514</v>
      </c>
    </row>
    <row r="8753" customFormat="false" ht="15.75" hidden="false" customHeight="false" outlineLevel="0" collapsed="false">
      <c r="A8753" s="1" t="s">
        <v>1184</v>
      </c>
      <c r="B8753" s="1" t="n">
        <v>176.58</v>
      </c>
      <c r="C8753" s="1" t="n">
        <f aca="false">1/B8753</f>
        <v>0.00566315551025031</v>
      </c>
      <c r="D8753" s="1" t="n">
        <v>1.7867</v>
      </c>
      <c r="E8753" s="1" t="n">
        <f aca="false">LN(D8753)</f>
        <v>0.580370342956984</v>
      </c>
    </row>
    <row r="8754" customFormat="false" ht="15.75" hidden="false" customHeight="false" outlineLevel="0" collapsed="false">
      <c r="A8754" s="1" t="s">
        <v>1184</v>
      </c>
      <c r="B8754" s="1" t="n">
        <v>177.17</v>
      </c>
      <c r="C8754" s="1" t="n">
        <f aca="false">1/B8754</f>
        <v>0.00564429643844895</v>
      </c>
      <c r="D8754" s="1" t="n">
        <v>1.7598</v>
      </c>
      <c r="E8754" s="1" t="n">
        <f aca="false">LN(D8754)</f>
        <v>0.565200166229323</v>
      </c>
    </row>
    <row r="8755" customFormat="false" ht="15.75" hidden="false" customHeight="false" outlineLevel="0" collapsed="false">
      <c r="A8755" s="1" t="s">
        <v>1184</v>
      </c>
      <c r="B8755" s="1" t="n">
        <v>177.75</v>
      </c>
      <c r="C8755" s="1" t="n">
        <f aca="false">1/B8755</f>
        <v>0.00562587904360056</v>
      </c>
      <c r="D8755" s="1" t="n">
        <v>1.7336</v>
      </c>
      <c r="E8755" s="1" t="n">
        <f aca="false">LN(D8755)</f>
        <v>0.550200171240012</v>
      </c>
    </row>
    <row r="8756" customFormat="false" ht="15.75" hidden="false" customHeight="false" outlineLevel="0" collapsed="false">
      <c r="A8756" s="1" t="s">
        <v>1184</v>
      </c>
      <c r="B8756" s="1" t="n">
        <v>178.33</v>
      </c>
      <c r="C8756" s="1" t="n">
        <f aca="false">1/B8756</f>
        <v>0.00560758145012056</v>
      </c>
      <c r="D8756" s="1" t="n">
        <v>1.7079</v>
      </c>
      <c r="E8756" s="1" t="n">
        <f aca="false">LN(D8756)</f>
        <v>0.535264545643009</v>
      </c>
    </row>
    <row r="8757" customFormat="false" ht="15.75" hidden="false" customHeight="false" outlineLevel="0" collapsed="false">
      <c r="A8757" s="1" t="s">
        <v>1184</v>
      </c>
      <c r="B8757" s="1" t="n">
        <v>178.92</v>
      </c>
      <c r="C8757" s="1" t="n">
        <f aca="false">1/B8757</f>
        <v>0.00558909009613235</v>
      </c>
      <c r="D8757" s="1" t="n">
        <v>1.6829</v>
      </c>
      <c r="E8757" s="1" t="n">
        <f aca="false">LN(D8757)</f>
        <v>0.520518495736891</v>
      </c>
    </row>
    <row r="8758" customFormat="false" ht="15.75" hidden="false" customHeight="false" outlineLevel="0" collapsed="false">
      <c r="A8758" s="1" t="s">
        <v>1184</v>
      </c>
      <c r="B8758" s="1" t="n">
        <v>179.5</v>
      </c>
      <c r="C8758" s="1" t="n">
        <f aca="false">1/B8758</f>
        <v>0.00557103064066852</v>
      </c>
      <c r="D8758" s="1" t="n">
        <v>1.6584</v>
      </c>
      <c r="E8758" s="1" t="n">
        <f aca="false">LN(D8758)</f>
        <v>0.505853282139433</v>
      </c>
    </row>
    <row r="8759" customFormat="false" ht="15.75" hidden="false" customHeight="false" outlineLevel="0" collapsed="false">
      <c r="A8759" s="1" t="s">
        <v>1184</v>
      </c>
      <c r="B8759" s="1" t="n">
        <v>180.08</v>
      </c>
      <c r="C8759" s="1" t="n">
        <f aca="false">1/B8759</f>
        <v>0.00555308751665926</v>
      </c>
      <c r="D8759" s="1" t="n">
        <v>1.6344</v>
      </c>
      <c r="E8759" s="1" t="n">
        <f aca="false">LN(D8759)</f>
        <v>0.491275764521275</v>
      </c>
    </row>
    <row r="8760" customFormat="false" ht="15.75" hidden="false" customHeight="false" outlineLevel="0" collapsed="false">
      <c r="A8760" s="1" t="s">
        <v>1184</v>
      </c>
      <c r="B8760" s="1" t="n">
        <v>180.67</v>
      </c>
      <c r="C8760" s="1" t="n">
        <f aca="false">1/B8760</f>
        <v>0.00553495322964521</v>
      </c>
      <c r="D8760" s="1" t="n">
        <v>1.6109</v>
      </c>
      <c r="E8760" s="1" t="n">
        <f aca="false">LN(D8760)</f>
        <v>0.476793029021783</v>
      </c>
    </row>
    <row r="8761" customFormat="false" ht="15.75" hidden="false" customHeight="false" outlineLevel="0" collapsed="false">
      <c r="A8761" s="1" t="s">
        <v>1184</v>
      </c>
      <c r="B8761" s="1" t="n">
        <v>181.25</v>
      </c>
      <c r="C8761" s="1" t="n">
        <f aca="false">1/B8761</f>
        <v>0.00551724137931034</v>
      </c>
      <c r="D8761" s="1" t="n">
        <v>1.588</v>
      </c>
      <c r="E8761" s="1" t="n">
        <f aca="false">LN(D8761)</f>
        <v>0.462475362824944</v>
      </c>
    </row>
    <row r="8762" customFormat="false" ht="15.75" hidden="false" customHeight="false" outlineLevel="0" collapsed="false">
      <c r="A8762" s="1" t="s">
        <v>1184</v>
      </c>
      <c r="B8762" s="1" t="n">
        <v>181.83</v>
      </c>
      <c r="C8762" s="1" t="n">
        <f aca="false">1/B8762</f>
        <v>0.00549964252323599</v>
      </c>
      <c r="D8762" s="1" t="n">
        <v>1.5656</v>
      </c>
      <c r="E8762" s="1" t="n">
        <f aca="false">LN(D8762)</f>
        <v>0.448269137099729</v>
      </c>
    </row>
    <row r="8763" customFormat="false" ht="15.75" hidden="false" customHeight="false" outlineLevel="0" collapsed="false">
      <c r="A8763" s="1" t="s">
        <v>1184</v>
      </c>
      <c r="B8763" s="1" t="n">
        <v>182.42</v>
      </c>
      <c r="C8763" s="1" t="n">
        <f aca="false">1/B8763</f>
        <v>0.00548185505975222</v>
      </c>
      <c r="D8763" s="1" t="n">
        <v>1.5436</v>
      </c>
      <c r="E8763" s="1" t="n">
        <f aca="false">LN(D8763)</f>
        <v>0.434117350681327</v>
      </c>
    </row>
    <row r="8764" customFormat="false" ht="15.75" hidden="false" customHeight="false" outlineLevel="0" collapsed="false">
      <c r="A8764" s="1" t="s">
        <v>1184</v>
      </c>
      <c r="B8764" s="1" t="n">
        <v>183</v>
      </c>
      <c r="C8764" s="1" t="n">
        <f aca="false">1/B8764</f>
        <v>0.00546448087431694</v>
      </c>
      <c r="D8764" s="1" t="n">
        <v>1.5221</v>
      </c>
      <c r="E8764" s="1" t="n">
        <f aca="false">LN(D8764)</f>
        <v>0.420090960303484</v>
      </c>
    </row>
    <row r="8765" customFormat="false" ht="15.75" hidden="false" customHeight="false" outlineLevel="0" collapsed="false">
      <c r="A8765" s="1" t="s">
        <v>1184</v>
      </c>
      <c r="B8765" s="1" t="n">
        <v>183.58</v>
      </c>
      <c r="C8765" s="1" t="n">
        <f aca="false">1/B8765</f>
        <v>0.00544721647238261</v>
      </c>
      <c r="D8765" s="1" t="n">
        <v>1.5011</v>
      </c>
      <c r="E8765" s="1" t="n">
        <f aca="false">LN(D8765)</f>
        <v>0.406198172683993</v>
      </c>
    </row>
    <row r="8766" customFormat="false" ht="15.75" hidden="false" customHeight="false" outlineLevel="0" collapsed="false">
      <c r="A8766" s="1" t="s">
        <v>1184</v>
      </c>
      <c r="B8766" s="1" t="n">
        <v>184.17</v>
      </c>
      <c r="C8766" s="1" t="n">
        <f aca="false">1/B8766</f>
        <v>0.00542976597708639</v>
      </c>
      <c r="D8766" s="1" t="n">
        <v>1.4805</v>
      </c>
      <c r="E8766" s="1" t="n">
        <f aca="false">LN(D8766)</f>
        <v>0.392379868559509</v>
      </c>
    </row>
    <row r="8767" customFormat="false" ht="15.75" hidden="false" customHeight="false" outlineLevel="0" collapsed="false">
      <c r="A8767" s="1" t="s">
        <v>1184</v>
      </c>
      <c r="B8767" s="1" t="n">
        <v>184.75</v>
      </c>
      <c r="C8767" s="1" t="n">
        <f aca="false">1/B8767</f>
        <v>0.0054127198917456</v>
      </c>
      <c r="D8767" s="1" t="n">
        <v>1.4603</v>
      </c>
      <c r="E8767" s="1" t="n">
        <f aca="false">LN(D8767)</f>
        <v>0.378641894064289</v>
      </c>
    </row>
    <row r="8768" customFormat="false" ht="15.75" hidden="false" customHeight="false" outlineLevel="0" collapsed="false">
      <c r="A8768" s="1" t="s">
        <v>1184</v>
      </c>
      <c r="B8768" s="1" t="n">
        <v>185.33</v>
      </c>
      <c r="C8768" s="1" t="n">
        <f aca="false">1/B8768</f>
        <v>0.00539578049964927</v>
      </c>
      <c r="D8768" s="1" t="n">
        <v>1.4406</v>
      </c>
      <c r="E8768" s="1" t="n">
        <f aca="false">LN(D8768)</f>
        <v>0.365059693473126</v>
      </c>
    </row>
    <row r="8769" customFormat="false" ht="15.75" hidden="false" customHeight="false" outlineLevel="0" collapsed="false">
      <c r="A8769" s="1" t="s">
        <v>1184</v>
      </c>
      <c r="B8769" s="1" t="n">
        <v>185.92</v>
      </c>
      <c r="C8769" s="1" t="n">
        <f aca="false">1/B8769</f>
        <v>0.00537865748709122</v>
      </c>
      <c r="D8769" s="1" t="n">
        <v>1.4212</v>
      </c>
      <c r="E8769" s="1" t="n">
        <f aca="false">LN(D8769)</f>
        <v>0.351501585164735</v>
      </c>
    </row>
    <row r="8770" customFormat="false" ht="15.75" hidden="false" customHeight="false" outlineLevel="0" collapsed="false">
      <c r="A8770" s="1" t="s">
        <v>1184</v>
      </c>
      <c r="B8770" s="1" t="n">
        <v>186.5</v>
      </c>
      <c r="C8770" s="1" t="n">
        <f aca="false">1/B8770</f>
        <v>0.00536193029490617</v>
      </c>
      <c r="D8770" s="1" t="n">
        <v>1.4023</v>
      </c>
      <c r="E8770" s="1" t="n">
        <f aca="false">LN(D8770)</f>
        <v>0.338113745750468</v>
      </c>
    </row>
    <row r="8771" customFormat="false" ht="15.75" hidden="false" customHeight="false" outlineLevel="0" collapsed="false">
      <c r="A8771" s="1" t="s">
        <v>1184</v>
      </c>
      <c r="B8771" s="1" t="n">
        <v>187.08</v>
      </c>
      <c r="C8771" s="1" t="n">
        <f aca="false">1/B8771</f>
        <v>0.0053453068206115</v>
      </c>
      <c r="D8771" s="1" t="n">
        <v>1.3837</v>
      </c>
      <c r="E8771" s="1" t="n">
        <f aca="false">LN(D8771)</f>
        <v>0.324761070693202</v>
      </c>
    </row>
    <row r="8772" customFormat="false" ht="15.75" hidden="false" customHeight="false" outlineLevel="0" collapsed="false">
      <c r="A8772" s="1" t="s">
        <v>1184</v>
      </c>
      <c r="B8772" s="1" t="n">
        <v>187.67</v>
      </c>
      <c r="C8772" s="1" t="n">
        <f aca="false">1/B8772</f>
        <v>0.00532850215804337</v>
      </c>
      <c r="D8772" s="1" t="n">
        <v>1.3655</v>
      </c>
      <c r="E8772" s="1" t="n">
        <f aca="false">LN(D8772)</f>
        <v>0.311520661931623</v>
      </c>
    </row>
    <row r="8773" customFormat="false" ht="15.75" hidden="false" customHeight="false" outlineLevel="0" collapsed="false">
      <c r="A8773" s="1" t="s">
        <v>1184</v>
      </c>
      <c r="B8773" s="1" t="n">
        <v>188.25</v>
      </c>
      <c r="C8773" s="1" t="n">
        <f aca="false">1/B8773</f>
        <v>0.00531208499335989</v>
      </c>
      <c r="D8773" s="1" t="n">
        <v>1.3477</v>
      </c>
      <c r="E8773" s="1" t="n">
        <f aca="false">LN(D8773)</f>
        <v>0.298399435792976</v>
      </c>
    </row>
    <row r="8774" customFormat="false" ht="15.75" hidden="false" customHeight="false" outlineLevel="0" collapsed="false">
      <c r="A8774" s="1" t="s">
        <v>1184</v>
      </c>
      <c r="B8774" s="1" t="n">
        <v>188.83</v>
      </c>
      <c r="C8774" s="1" t="n">
        <f aca="false">1/B8774</f>
        <v>0.00529576868082402</v>
      </c>
      <c r="D8774" s="1" t="n">
        <v>1.3302</v>
      </c>
      <c r="E8774" s="1" t="n">
        <f aca="false">LN(D8774)</f>
        <v>0.285329306868184</v>
      </c>
    </row>
    <row r="8775" customFormat="false" ht="15.75" hidden="false" customHeight="false" outlineLevel="0" collapsed="false">
      <c r="A8775" s="1" t="s">
        <v>1184</v>
      </c>
      <c r="B8775" s="1" t="n">
        <v>189.42</v>
      </c>
      <c r="C8775" s="1" t="n">
        <f aca="false">1/B8775</f>
        <v>0.0052792735719565</v>
      </c>
      <c r="D8775" s="1" t="n">
        <v>1.3131</v>
      </c>
      <c r="E8775" s="1" t="n">
        <f aca="false">LN(D8775)</f>
        <v>0.272390753882822</v>
      </c>
    </row>
    <row r="8776" customFormat="false" ht="15.75" hidden="false" customHeight="false" outlineLevel="0" collapsed="false">
      <c r="A8776" s="1" t="s">
        <v>1184</v>
      </c>
      <c r="B8776" s="1" t="n">
        <v>190</v>
      </c>
      <c r="C8776" s="1" t="n">
        <f aca="false">1/B8776</f>
        <v>0.00526315789473684</v>
      </c>
      <c r="D8776" s="1" t="n">
        <v>1.2963</v>
      </c>
      <c r="E8776" s="1" t="n">
        <f aca="false">LN(D8776)</f>
        <v>0.25951405262386</v>
      </c>
    </row>
    <row r="8777" customFormat="false" ht="15.75" hidden="false" customHeight="false" outlineLevel="0" collapsed="false">
      <c r="A8777" s="1" t="s">
        <v>1184</v>
      </c>
      <c r="B8777" s="1" t="n">
        <v>190.58</v>
      </c>
      <c r="C8777" s="1" t="n">
        <f aca="false">1/B8777</f>
        <v>0.00524714030853185</v>
      </c>
      <c r="D8777" s="1" t="n">
        <v>1.2799</v>
      </c>
      <c r="E8777" s="1" t="n">
        <f aca="false">LN(D8777)</f>
        <v>0.246781949879609</v>
      </c>
    </row>
    <row r="8778" customFormat="false" ht="15.75" hidden="false" customHeight="false" outlineLevel="0" collapsed="false">
      <c r="A8778" s="1" t="s">
        <v>1184</v>
      </c>
      <c r="B8778" s="1" t="n">
        <v>191.17</v>
      </c>
      <c r="C8778" s="1" t="n">
        <f aca="false">1/B8778</f>
        <v>0.00523094627818172</v>
      </c>
      <c r="D8778" s="1" t="n">
        <v>1.2637</v>
      </c>
      <c r="E8778" s="1" t="n">
        <f aca="false">LN(D8778)</f>
        <v>0.234043925782498</v>
      </c>
    </row>
    <row r="8779" customFormat="false" ht="15.75" hidden="false" customHeight="false" outlineLevel="0" collapsed="false">
      <c r="A8779" s="1" t="s">
        <v>1184</v>
      </c>
      <c r="B8779" s="1" t="n">
        <v>191.75</v>
      </c>
      <c r="C8779" s="1" t="n">
        <f aca="false">1/B8779</f>
        <v>0.00521512385919166</v>
      </c>
      <c r="D8779" s="1" t="n">
        <v>1.2479</v>
      </c>
      <c r="E8779" s="1" t="n">
        <f aca="false">LN(D8779)</f>
        <v>0.221462138531672</v>
      </c>
    </row>
    <row r="8780" customFormat="false" ht="15.75" hidden="false" customHeight="false" outlineLevel="0" collapsed="false">
      <c r="A8780" s="1" t="s">
        <v>1184</v>
      </c>
      <c r="B8780" s="1" t="n">
        <v>192.33</v>
      </c>
      <c r="C8780" s="1" t="n">
        <f aca="false">1/B8780</f>
        <v>0.00519939686996308</v>
      </c>
      <c r="D8780" s="1" t="n">
        <v>1.2324</v>
      </c>
      <c r="E8780" s="1" t="n">
        <f aca="false">LN(D8780)</f>
        <v>0.208963487740376</v>
      </c>
    </row>
    <row r="8781" customFormat="false" ht="15.75" hidden="false" customHeight="false" outlineLevel="0" collapsed="false">
      <c r="A8781" s="1" t="s">
        <v>1184</v>
      </c>
      <c r="B8781" s="1" t="n">
        <v>192.92</v>
      </c>
      <c r="C8781" s="1" t="n">
        <f aca="false">1/B8781</f>
        <v>0.00518349574953349</v>
      </c>
      <c r="D8781" s="1" t="n">
        <v>1.2171</v>
      </c>
      <c r="E8781" s="1" t="n">
        <f aca="false">LN(D8781)</f>
        <v>0.196470979898374</v>
      </c>
    </row>
    <row r="8782" customFormat="false" ht="15.75" hidden="false" customHeight="false" outlineLevel="0" collapsed="false">
      <c r="A8782" s="1" t="s">
        <v>1184</v>
      </c>
      <c r="B8782" s="1" t="n">
        <v>193.5</v>
      </c>
      <c r="C8782" s="1" t="n">
        <f aca="false">1/B8782</f>
        <v>0.00516795865633075</v>
      </c>
      <c r="D8782" s="1" t="n">
        <v>1.2022</v>
      </c>
      <c r="E8782" s="1" t="n">
        <f aca="false">LN(D8782)</f>
        <v>0.184153211622925</v>
      </c>
    </row>
    <row r="8783" customFormat="false" ht="15.75" hidden="false" customHeight="false" outlineLevel="0" collapsed="false">
      <c r="A8783" s="1" t="s">
        <v>1184</v>
      </c>
      <c r="B8783" s="1" t="n">
        <v>194.08</v>
      </c>
      <c r="C8783" s="1" t="n">
        <f aca="false">1/B8783</f>
        <v>0.0051525144270404</v>
      </c>
      <c r="D8783" s="1" t="n">
        <v>1.1875</v>
      </c>
      <c r="E8783" s="1" t="n">
        <f aca="false">LN(D8783)</f>
        <v>0.171850256926659</v>
      </c>
    </row>
    <row r="8784" customFormat="false" ht="15.75" hidden="false" customHeight="false" outlineLevel="0" collapsed="false">
      <c r="A8784" s="1" t="s">
        <v>1184</v>
      </c>
      <c r="B8784" s="1" t="n">
        <v>194.67</v>
      </c>
      <c r="C8784" s="1" t="n">
        <f aca="false">1/B8784</f>
        <v>0.00513689834078184</v>
      </c>
      <c r="D8784" s="1" t="n">
        <v>1.1731</v>
      </c>
      <c r="E8784" s="1" t="n">
        <f aca="false">LN(D8784)</f>
        <v>0.159649817529538</v>
      </c>
    </row>
    <row r="8785" customFormat="false" ht="15.75" hidden="false" customHeight="false" outlineLevel="0" collapsed="false">
      <c r="A8785" s="1" t="s">
        <v>1184</v>
      </c>
      <c r="B8785" s="1" t="n">
        <v>195.25</v>
      </c>
      <c r="C8785" s="1" t="n">
        <f aca="false">1/B8785</f>
        <v>0.00512163892445583</v>
      </c>
      <c r="D8785" s="1" t="n">
        <v>1.159</v>
      </c>
      <c r="E8785" s="1" t="n">
        <f aca="false">LN(D8785)</f>
        <v>0.147557564357615</v>
      </c>
    </row>
    <row r="8786" customFormat="false" ht="15.75" hidden="false" customHeight="false" outlineLevel="0" collapsed="false">
      <c r="A8786" s="1" t="s">
        <v>1184</v>
      </c>
      <c r="B8786" s="1" t="n">
        <v>195.83</v>
      </c>
      <c r="C8786" s="1" t="n">
        <f aca="false">1/B8786</f>
        <v>0.00510646989735995</v>
      </c>
      <c r="D8786" s="1" t="n">
        <v>1.1451</v>
      </c>
      <c r="E8786" s="1" t="n">
        <f aca="false">LN(D8786)</f>
        <v>0.135491969437157</v>
      </c>
    </row>
    <row r="8787" customFormat="false" ht="15.75" hidden="false" customHeight="false" outlineLevel="0" collapsed="false">
      <c r="A8787" s="1" t="s">
        <v>1184</v>
      </c>
      <c r="B8787" s="1" t="n">
        <v>196.42</v>
      </c>
      <c r="C8787" s="1" t="n">
        <f aca="false">1/B8787</f>
        <v>0.00509113124936361</v>
      </c>
      <c r="D8787" s="1" t="n">
        <v>1.1315</v>
      </c>
      <c r="E8787" s="1" t="n">
        <f aca="false">LN(D8787)</f>
        <v>0.123544186091455</v>
      </c>
    </row>
    <row r="8788" customFormat="false" ht="15.75" hidden="false" customHeight="false" outlineLevel="0" collapsed="false">
      <c r="A8788" s="1" t="s">
        <v>1184</v>
      </c>
      <c r="B8788" s="1" t="n">
        <v>197</v>
      </c>
      <c r="C8788" s="1" t="n">
        <f aca="false">1/B8788</f>
        <v>0.00507614213197969</v>
      </c>
      <c r="D8788" s="1" t="n">
        <v>1.1181</v>
      </c>
      <c r="E8788" s="1" t="n">
        <f aca="false">LN(D8788)</f>
        <v>0.111630816171185</v>
      </c>
    </row>
    <row r="8789" customFormat="false" ht="15.75" hidden="false" customHeight="false" outlineLevel="0" collapsed="false">
      <c r="A8789" s="1" t="s">
        <v>1184</v>
      </c>
      <c r="B8789" s="1" t="n">
        <v>197.58</v>
      </c>
      <c r="C8789" s="1" t="n">
        <f aca="false">1/B8789</f>
        <v>0.0050612410162972</v>
      </c>
      <c r="D8789" s="1" t="n">
        <v>1.1049</v>
      </c>
      <c r="E8789" s="1" t="n">
        <f aca="false">LN(D8789)</f>
        <v>0.0997548331369923</v>
      </c>
    </row>
    <row r="8790" customFormat="false" ht="15.75" hidden="false" customHeight="false" outlineLevel="0" collapsed="false">
      <c r="A8790" s="1" t="s">
        <v>1184</v>
      </c>
      <c r="B8790" s="1" t="n">
        <v>198.17</v>
      </c>
      <c r="C8790" s="1" t="n">
        <f aca="false">1/B8790</f>
        <v>0.00504617247817531</v>
      </c>
      <c r="D8790" s="1" t="n">
        <v>1.092</v>
      </c>
      <c r="E8790" s="1" t="n">
        <f aca="false">LN(D8790)</f>
        <v>0.0880108773227134</v>
      </c>
    </row>
    <row r="8791" customFormat="false" ht="15.75" hidden="false" customHeight="false" outlineLevel="0" collapsed="false">
      <c r="A8791" s="1" t="s">
        <v>1184</v>
      </c>
      <c r="B8791" s="1" t="n">
        <v>198.75</v>
      </c>
      <c r="C8791" s="1" t="n">
        <f aca="false">1/B8791</f>
        <v>0.0050314465408805</v>
      </c>
      <c r="D8791" s="1" t="n">
        <v>1.0794</v>
      </c>
      <c r="E8791" s="1" t="n">
        <f aca="false">LN(D8791)</f>
        <v>0.0764053312024053</v>
      </c>
    </row>
    <row r="8792" customFormat="false" ht="15.75" hidden="false" customHeight="false" outlineLevel="0" collapsed="false">
      <c r="A8792" s="1" t="s">
        <v>1184</v>
      </c>
      <c r="B8792" s="1" t="n">
        <v>199.33</v>
      </c>
      <c r="C8792" s="1" t="n">
        <f aca="false">1/B8792</f>
        <v>0.00501680630110871</v>
      </c>
      <c r="D8792" s="1" t="n">
        <v>1.0669</v>
      </c>
      <c r="E8792" s="1" t="n">
        <f aca="false">LN(D8792)</f>
        <v>0.0647572472152785</v>
      </c>
    </row>
    <row r="8793" customFormat="false" ht="15.75" hidden="false" customHeight="false" outlineLevel="0" collapsed="false">
      <c r="A8793" s="1" t="s">
        <v>1184</v>
      </c>
      <c r="B8793" s="1" t="n">
        <v>199.92</v>
      </c>
      <c r="C8793" s="1" t="n">
        <f aca="false">1/B8793</f>
        <v>0.00500200080032013</v>
      </c>
      <c r="D8793" s="1" t="n">
        <v>1.0547</v>
      </c>
      <c r="E8793" s="1" t="n">
        <f aca="false">LN(D8793)</f>
        <v>0.0532563663004315</v>
      </c>
    </row>
    <row r="8794" customFormat="false" ht="15.75" hidden="false" customHeight="false" outlineLevel="0" collapsed="false">
      <c r="A8794" s="1" t="s">
        <v>1184</v>
      </c>
      <c r="B8794" s="1" t="n">
        <v>200.5</v>
      </c>
      <c r="C8794" s="1" t="n">
        <f aca="false">1/B8794</f>
        <v>0.00498753117206983</v>
      </c>
      <c r="D8794" s="1" t="n">
        <v>1.0427</v>
      </c>
      <c r="E8794" s="1" t="n">
        <f aca="false">LN(D8794)</f>
        <v>0.0418135028134104</v>
      </c>
    </row>
    <row r="8795" customFormat="false" ht="15.75" hidden="false" customHeight="false" outlineLevel="0" collapsed="false">
      <c r="A8795" s="1" t="s">
        <v>1184</v>
      </c>
      <c r="B8795" s="1" t="n">
        <v>201.08</v>
      </c>
      <c r="C8795" s="1" t="n">
        <f aca="false">1/B8795</f>
        <v>0.00497314501690869</v>
      </c>
      <c r="D8795" s="1" t="n">
        <v>1.0308</v>
      </c>
      <c r="E8795" s="1" t="n">
        <f aca="false">LN(D8795)</f>
        <v>0.0303351997960729</v>
      </c>
    </row>
    <row r="8796" customFormat="false" ht="15.75" hidden="false" customHeight="false" outlineLevel="0" collapsed="false">
      <c r="A8796" s="1" t="s">
        <v>1184</v>
      </c>
      <c r="B8796" s="1" t="n">
        <v>201.67</v>
      </c>
      <c r="C8796" s="1" t="n">
        <f aca="false">1/B8796</f>
        <v>0.00495859572569048</v>
      </c>
      <c r="D8796" s="1" t="n">
        <v>1.0192</v>
      </c>
      <c r="E8796" s="1" t="n">
        <f aca="false">LN(D8796)</f>
        <v>0.019018005835762</v>
      </c>
    </row>
    <row r="8797" customFormat="false" ht="15.75" hidden="false" customHeight="false" outlineLevel="0" collapsed="false">
      <c r="A8797" s="1" t="s">
        <v>1184</v>
      </c>
      <c r="B8797" s="1" t="n">
        <v>202.25</v>
      </c>
      <c r="C8797" s="1" t="n">
        <f aca="false">1/B8797</f>
        <v>0.00494437577255871</v>
      </c>
      <c r="D8797" s="1" t="n">
        <v>1.0078</v>
      </c>
      <c r="E8797" s="1" t="n">
        <f aca="false">LN(D8797)</f>
        <v>0.00776973726436069</v>
      </c>
    </row>
    <row r="8798" customFormat="false" ht="15.75" hidden="false" customHeight="false" outlineLevel="0" collapsed="false">
      <c r="A8798" s="1" t="s">
        <v>1184</v>
      </c>
      <c r="B8798" s="1" t="n">
        <v>202.83</v>
      </c>
      <c r="C8798" s="1" t="n">
        <f aca="false">1/B8798</f>
        <v>0.00493023714440665</v>
      </c>
      <c r="D8798" s="1" t="n">
        <v>0.9966</v>
      </c>
      <c r="E8798" s="1" t="n">
        <f aca="false">LN(D8798)</f>
        <v>-0.00340579313483282</v>
      </c>
    </row>
    <row r="8799" customFormat="false" ht="15.75" hidden="false" customHeight="false" outlineLevel="0" collapsed="false">
      <c r="A8799" s="1" t="s">
        <v>1184</v>
      </c>
      <c r="B8799" s="1" t="n">
        <v>203.42</v>
      </c>
      <c r="C8799" s="1" t="n">
        <f aca="false">1/B8799</f>
        <v>0.00491593746927539</v>
      </c>
      <c r="D8799" s="1" t="n">
        <v>0.98557</v>
      </c>
      <c r="E8799" s="1" t="n">
        <f aca="false">LN(D8799)</f>
        <v>-0.0145351249778249</v>
      </c>
    </row>
    <row r="8800" customFormat="false" ht="15.75" hidden="false" customHeight="false" outlineLevel="0" collapsed="false">
      <c r="A8800" s="1" t="s">
        <v>1184</v>
      </c>
      <c r="B8800" s="1" t="n">
        <v>204</v>
      </c>
      <c r="C8800" s="1" t="n">
        <f aca="false">1/B8800</f>
        <v>0.00490196078431373</v>
      </c>
      <c r="D8800" s="1" t="n">
        <v>0.97472</v>
      </c>
      <c r="E8800" s="1" t="n">
        <f aca="false">LN(D8800)</f>
        <v>-0.0256050287153947</v>
      </c>
    </row>
    <row r="8801" customFormat="false" ht="15.75" hidden="false" customHeight="false" outlineLevel="0" collapsed="false">
      <c r="A8801" s="1" t="s">
        <v>1184</v>
      </c>
      <c r="B8801" s="1" t="n">
        <v>204.58</v>
      </c>
      <c r="C8801" s="1" t="n">
        <f aca="false">1/B8801</f>
        <v>0.00488806334930101</v>
      </c>
      <c r="D8801" s="1" t="n">
        <v>0.96405</v>
      </c>
      <c r="E8801" s="1" t="n">
        <f aca="false">LN(D8801)</f>
        <v>-0.0366121184967322</v>
      </c>
    </row>
    <row r="8802" customFormat="false" ht="15.75" hidden="false" customHeight="false" outlineLevel="0" collapsed="false">
      <c r="A8802" s="1" t="s">
        <v>1184</v>
      </c>
      <c r="B8802" s="1" t="n">
        <v>205.17</v>
      </c>
      <c r="C8802" s="1" t="n">
        <f aca="false">1/B8802</f>
        <v>0.00487400692108983</v>
      </c>
      <c r="D8802" s="1" t="n">
        <v>0.95356</v>
      </c>
      <c r="E8802" s="1" t="n">
        <f aca="false">LN(D8802)</f>
        <v>-0.0475529298595476</v>
      </c>
    </row>
    <row r="8803" customFormat="false" ht="15.75" hidden="false" customHeight="false" outlineLevel="0" collapsed="false">
      <c r="A8803" s="1" t="s">
        <v>1184</v>
      </c>
      <c r="B8803" s="1" t="n">
        <v>205.75</v>
      </c>
      <c r="C8803" s="1" t="n">
        <f aca="false">1/B8803</f>
        <v>0.00486026731470231</v>
      </c>
      <c r="D8803" s="1" t="n">
        <v>0.94324</v>
      </c>
      <c r="E8803" s="1" t="n">
        <f aca="false">LN(D8803)</f>
        <v>-0.0584345218371698</v>
      </c>
    </row>
    <row r="8804" customFormat="false" ht="15.75" hidden="false" customHeight="false" outlineLevel="0" collapsed="false">
      <c r="A8804" s="1" t="s">
        <v>1184</v>
      </c>
      <c r="B8804" s="1" t="n">
        <v>206.33</v>
      </c>
      <c r="C8804" s="1" t="n">
        <f aca="false">1/B8804</f>
        <v>0.00484660495323026</v>
      </c>
      <c r="D8804" s="1" t="n">
        <v>0.93309</v>
      </c>
      <c r="E8804" s="1" t="n">
        <f aca="false">LN(D8804)</f>
        <v>-0.0692536197645434</v>
      </c>
    </row>
    <row r="8805" customFormat="false" ht="15.75" hidden="false" customHeight="false" outlineLevel="0" collapsed="false">
      <c r="A8805" s="1" t="s">
        <v>1184</v>
      </c>
      <c r="B8805" s="1" t="n">
        <v>206.92</v>
      </c>
      <c r="C8805" s="1" t="n">
        <f aca="false">1/B8805</f>
        <v>0.00483278561763</v>
      </c>
      <c r="D8805" s="1" t="n">
        <v>0.9231</v>
      </c>
      <c r="E8805" s="1" t="n">
        <f aca="false">LN(D8805)</f>
        <v>-0.0800177079860312</v>
      </c>
    </row>
    <row r="8806" customFormat="false" ht="15.75" hidden="false" customHeight="false" outlineLevel="0" collapsed="false">
      <c r="A8806" s="1" t="s">
        <v>1184</v>
      </c>
      <c r="B8806" s="1" t="n">
        <v>207.5</v>
      </c>
      <c r="C8806" s="1" t="n">
        <f aca="false">1/B8806</f>
        <v>0.00481927710843374</v>
      </c>
      <c r="D8806" s="1" t="n">
        <v>0.91327</v>
      </c>
      <c r="E8806" s="1" t="n">
        <f aca="false">LN(D8806)</f>
        <v>-0.0907237137381658</v>
      </c>
    </row>
    <row r="8807" customFormat="false" ht="15.75" hidden="false" customHeight="false" outlineLevel="0" collapsed="false">
      <c r="A8807" s="1" t="s">
        <v>1184</v>
      </c>
      <c r="B8807" s="1" t="n">
        <v>208.08</v>
      </c>
      <c r="C8807" s="1" t="n">
        <f aca="false">1/B8807</f>
        <v>0.00480584390618993</v>
      </c>
      <c r="D8807" s="1" t="n">
        <v>0.9036</v>
      </c>
      <c r="E8807" s="1" t="n">
        <f aca="false">LN(D8807)</f>
        <v>-0.101368494388289</v>
      </c>
    </row>
    <row r="8808" customFormat="false" ht="15.75" hidden="false" customHeight="false" outlineLevel="0" collapsed="false">
      <c r="A8808" s="1" t="s">
        <v>1184</v>
      </c>
      <c r="B8808" s="1" t="n">
        <v>208.67</v>
      </c>
      <c r="C8808" s="1" t="n">
        <f aca="false">1/B8808</f>
        <v>0.00479225571476494</v>
      </c>
      <c r="D8808" s="1" t="n">
        <v>0.89409</v>
      </c>
      <c r="E8808" s="1" t="n">
        <f aca="false">LN(D8808)</f>
        <v>-0.111948837734683</v>
      </c>
    </row>
    <row r="8809" customFormat="false" ht="15.75" hidden="false" customHeight="false" outlineLevel="0" collapsed="false">
      <c r="A8809" s="1" t="s">
        <v>1184</v>
      </c>
      <c r="B8809" s="1" t="n">
        <v>209.25</v>
      </c>
      <c r="C8809" s="1" t="n">
        <f aca="false">1/B8809</f>
        <v>0.004778972520908</v>
      </c>
      <c r="D8809" s="1" t="n">
        <v>0.88472</v>
      </c>
      <c r="E8809" s="1" t="n">
        <f aca="false">LN(D8809)</f>
        <v>-0.122484068215033</v>
      </c>
    </row>
    <row r="8810" customFormat="false" ht="15.75" hidden="false" customHeight="false" outlineLevel="0" collapsed="false">
      <c r="A8810" s="1" t="s">
        <v>1184</v>
      </c>
      <c r="B8810" s="1" t="n">
        <v>209.83</v>
      </c>
      <c r="C8810" s="1" t="n">
        <f aca="false">1/B8810</f>
        <v>0.00476576276032979</v>
      </c>
      <c r="D8810" s="1" t="n">
        <v>0.8755</v>
      </c>
      <c r="E8810" s="1" t="n">
        <f aca="false">LN(D8810)</f>
        <v>-0.132960127256231</v>
      </c>
    </row>
    <row r="8811" customFormat="false" ht="15.75" hidden="false" customHeight="false" outlineLevel="0" collapsed="false">
      <c r="A8811" s="1" t="s">
        <v>1184</v>
      </c>
      <c r="B8811" s="1" t="n">
        <v>210.42</v>
      </c>
      <c r="C8811" s="1" t="n">
        <f aca="false">1/B8811</f>
        <v>0.0047523999619808</v>
      </c>
      <c r="D8811" s="1" t="n">
        <v>0.86642</v>
      </c>
      <c r="E8811" s="1" t="n">
        <f aca="false">LN(D8811)</f>
        <v>-0.143385499535934</v>
      </c>
    </row>
    <row r="8812" customFormat="false" ht="15.75" hidden="false" customHeight="false" outlineLevel="0" collapsed="false">
      <c r="A8812" s="1" t="s">
        <v>1184</v>
      </c>
      <c r="B8812" s="1" t="n">
        <v>211</v>
      </c>
      <c r="C8812" s="1" t="n">
        <f aca="false">1/B8812</f>
        <v>0.004739336492891</v>
      </c>
      <c r="D8812" s="1" t="n">
        <v>0.85749</v>
      </c>
      <c r="E8812" s="1" t="n">
        <f aca="false">LN(D8812)</f>
        <v>-0.153745761817622</v>
      </c>
    </row>
    <row r="8813" customFormat="false" ht="15.75" hidden="false" customHeight="false" outlineLevel="0" collapsed="false">
      <c r="A8813" s="1" t="s">
        <v>1184</v>
      </c>
      <c r="B8813" s="1" t="n">
        <v>211.58</v>
      </c>
      <c r="C8813" s="1" t="n">
        <f aca="false">1/B8813</f>
        <v>0.00472634464505152</v>
      </c>
      <c r="D8813" s="1" t="n">
        <v>0.84869</v>
      </c>
      <c r="E8813" s="1" t="n">
        <f aca="false">LN(D8813)</f>
        <v>-0.164061294802446</v>
      </c>
    </row>
    <row r="8814" customFormat="false" ht="15.75" hidden="false" customHeight="false" outlineLevel="0" collapsed="false">
      <c r="A8814" s="1" t="s">
        <v>1184</v>
      </c>
      <c r="B8814" s="1" t="n">
        <v>212.17</v>
      </c>
      <c r="C8814" s="1" t="n">
        <f aca="false">1/B8814</f>
        <v>0.0047132016778998</v>
      </c>
      <c r="D8814" s="1" t="n">
        <v>0.84002</v>
      </c>
      <c r="E8814" s="1" t="n">
        <f aca="false">LN(D8814)</f>
        <v>-0.17432957790441</v>
      </c>
    </row>
    <row r="8815" customFormat="false" ht="15.75" hidden="false" customHeight="false" outlineLevel="0" collapsed="false">
      <c r="A8815" s="1" t="s">
        <v>1184</v>
      </c>
      <c r="B8815" s="1" t="n">
        <v>212.75</v>
      </c>
      <c r="C8815" s="1" t="n">
        <f aca="false">1/B8815</f>
        <v>0.00470035252643948</v>
      </c>
      <c r="D8815" s="1" t="n">
        <v>0.83149</v>
      </c>
      <c r="E8815" s="1" t="n">
        <f aca="false">LN(D8815)</f>
        <v>-0.184536006879681</v>
      </c>
    </row>
    <row r="8816" customFormat="false" ht="15.75" hidden="false" customHeight="false" outlineLevel="0" collapsed="false">
      <c r="A8816" s="1" t="s">
        <v>1184</v>
      </c>
      <c r="B8816" s="1" t="n">
        <v>213.33</v>
      </c>
      <c r="C8816" s="1" t="n">
        <f aca="false">1/B8816</f>
        <v>0.00468757324333193</v>
      </c>
      <c r="D8816" s="1" t="n">
        <v>0.82309</v>
      </c>
      <c r="E8816" s="1" t="n">
        <f aca="false">LN(D8816)</f>
        <v>-0.19468972826942</v>
      </c>
    </row>
    <row r="8817" customFormat="false" ht="15.75" hidden="false" customHeight="false" outlineLevel="0" collapsed="false">
      <c r="A8817" s="1" t="s">
        <v>1184</v>
      </c>
      <c r="B8817" s="1" t="n">
        <v>213.92</v>
      </c>
      <c r="C8817" s="1" t="n">
        <f aca="false">1/B8817</f>
        <v>0.00467464472700075</v>
      </c>
      <c r="D8817" s="1" t="n">
        <v>0.81481</v>
      </c>
      <c r="E8817" s="1" t="n">
        <f aca="false">LN(D8817)</f>
        <v>-0.204800321754381</v>
      </c>
    </row>
    <row r="8818" customFormat="false" ht="15.75" hidden="false" customHeight="false" outlineLevel="0" collapsed="false">
      <c r="A8818" s="1" t="s">
        <v>1184</v>
      </c>
      <c r="B8818" s="1" t="n">
        <v>214.5</v>
      </c>
      <c r="C8818" s="1" t="n">
        <f aca="false">1/B8818</f>
        <v>0.00466200466200466</v>
      </c>
      <c r="D8818" s="1" t="n">
        <v>0.80666</v>
      </c>
      <c r="E8818" s="1" t="n">
        <f aca="false">LN(D8818)</f>
        <v>-0.214853012996475</v>
      </c>
    </row>
    <row r="8819" customFormat="false" ht="15.75" hidden="false" customHeight="false" outlineLevel="0" collapsed="false">
      <c r="A8819" s="1" t="s">
        <v>1184</v>
      </c>
      <c r="B8819" s="1" t="n">
        <v>215.08</v>
      </c>
      <c r="C8819" s="1" t="n">
        <f aca="false">1/B8819</f>
        <v>0.00464943276920216</v>
      </c>
      <c r="D8819" s="1" t="n">
        <v>0.79862</v>
      </c>
      <c r="E8819" s="1" t="n">
        <f aca="false">LN(D8819)</f>
        <v>-0.224870040839911</v>
      </c>
    </row>
    <row r="8820" customFormat="false" ht="15.75" hidden="false" customHeight="false" outlineLevel="0" collapsed="false">
      <c r="A8820" s="1" t="s">
        <v>1184</v>
      </c>
      <c r="B8820" s="1" t="n">
        <v>215.67</v>
      </c>
      <c r="C8820" s="1" t="n">
        <f aca="false">1/B8820</f>
        <v>0.00463671349747299</v>
      </c>
      <c r="D8820" s="1" t="n">
        <v>0.79071</v>
      </c>
      <c r="E8820" s="1" t="n">
        <f aca="false">LN(D8820)</f>
        <v>-0.234824002963602</v>
      </c>
    </row>
    <row r="8821" customFormat="false" ht="15.75" hidden="false" customHeight="false" outlineLevel="0" collapsed="false">
      <c r="A8821" s="1" t="s">
        <v>1184</v>
      </c>
      <c r="B8821" s="1" t="n">
        <v>216.25</v>
      </c>
      <c r="C8821" s="1" t="n">
        <f aca="false">1/B8821</f>
        <v>0.0046242774566474</v>
      </c>
      <c r="D8821" s="1" t="n">
        <v>0.78291</v>
      </c>
      <c r="E8821" s="1" t="n">
        <f aca="false">LN(D8821)</f>
        <v>-0.244737532126468</v>
      </c>
    </row>
    <row r="8822" customFormat="false" ht="15.75" hidden="false" customHeight="false" outlineLevel="0" collapsed="false">
      <c r="A8822" s="1" t="s">
        <v>1184</v>
      </c>
      <c r="B8822" s="1" t="n">
        <v>216.83</v>
      </c>
      <c r="C8822" s="1" t="n">
        <f aca="false">1/B8822</f>
        <v>0.00461190794631739</v>
      </c>
      <c r="D8822" s="1" t="n">
        <v>0.77522</v>
      </c>
      <c r="E8822" s="1" t="n">
        <f aca="false">LN(D8822)</f>
        <v>-0.254608418944788</v>
      </c>
    </row>
    <row r="8823" customFormat="false" ht="15.75" hidden="false" customHeight="false" outlineLevel="0" collapsed="false">
      <c r="A8823" s="1" t="s">
        <v>1184</v>
      </c>
      <c r="B8823" s="1" t="n">
        <v>217.42</v>
      </c>
      <c r="C8823" s="1" t="n">
        <f aca="false">1/B8823</f>
        <v>0.00459939288013982</v>
      </c>
      <c r="D8823" s="1" t="n">
        <v>0.76765</v>
      </c>
      <c r="E8823" s="1" t="n">
        <f aca="false">LN(D8823)</f>
        <v>-0.264421378877229</v>
      </c>
    </row>
    <row r="8824" customFormat="false" ht="15.75" hidden="false" customHeight="false" outlineLevel="0" collapsed="false">
      <c r="A8824" s="1" t="s">
        <v>1184</v>
      </c>
      <c r="B8824" s="1" t="n">
        <v>218</v>
      </c>
      <c r="C8824" s="1" t="n">
        <f aca="false">1/B8824</f>
        <v>0.00458715596330275</v>
      </c>
      <c r="D8824" s="1" t="n">
        <v>0.76018</v>
      </c>
      <c r="E8824" s="1" t="n">
        <f aca="false">LN(D8824)</f>
        <v>-0.274200031639161</v>
      </c>
    </row>
    <row r="8825" customFormat="false" ht="15.75" hidden="false" customHeight="false" outlineLevel="0" collapsed="false">
      <c r="A8825" s="1" t="s">
        <v>1184</v>
      </c>
      <c r="B8825" s="1" t="n">
        <v>218.58</v>
      </c>
      <c r="C8825" s="1" t="n">
        <f aca="false">1/B8825</f>
        <v>0.00457498398755604</v>
      </c>
      <c r="D8825" s="1" t="n">
        <v>0.75282</v>
      </c>
      <c r="E8825" s="1" t="n">
        <f aca="false">LN(D8825)</f>
        <v>-0.283929123582474</v>
      </c>
    </row>
    <row r="8826" customFormat="false" ht="15.75" hidden="false" customHeight="false" outlineLevel="0" collapsed="false">
      <c r="A8826" s="1" t="s">
        <v>1184</v>
      </c>
      <c r="B8826" s="1" t="n">
        <v>219.17</v>
      </c>
      <c r="C8826" s="1" t="n">
        <f aca="false">1/B8826</f>
        <v>0.00456266824839166</v>
      </c>
      <c r="D8826" s="1" t="n">
        <v>0.74557</v>
      </c>
      <c r="E8826" s="1" t="n">
        <f aca="false">LN(D8826)</f>
        <v>-0.293606252471749</v>
      </c>
    </row>
    <row r="8827" customFormat="false" ht="15.75" hidden="false" customHeight="false" outlineLevel="0" collapsed="false">
      <c r="A8827" s="1" t="s">
        <v>1184</v>
      </c>
      <c r="B8827" s="1" t="n">
        <v>219.75</v>
      </c>
      <c r="C8827" s="1" t="n">
        <f aca="false">1/B8827</f>
        <v>0.00455062571103527</v>
      </c>
      <c r="D8827" s="1" t="n">
        <v>0.73842</v>
      </c>
      <c r="E8827" s="1" t="n">
        <f aca="false">LN(D8827)</f>
        <v>-0.303242510569837</v>
      </c>
    </row>
    <row r="8828" customFormat="false" ht="15.75" hidden="false" customHeight="false" outlineLevel="0" collapsed="false">
      <c r="A8828" s="1" t="s">
        <v>1184</v>
      </c>
      <c r="B8828" s="1" t="n">
        <v>220.33</v>
      </c>
      <c r="C8828" s="1" t="n">
        <f aca="false">1/B8828</f>
        <v>0.00453864657559116</v>
      </c>
      <c r="D8828" s="1" t="n">
        <v>0.73136</v>
      </c>
      <c r="E8828" s="1" t="n">
        <f aca="false">LN(D8828)</f>
        <v>-0.312849464398703</v>
      </c>
    </row>
    <row r="8829" customFormat="false" ht="15.75" hidden="false" customHeight="false" outlineLevel="0" collapsed="false">
      <c r="A8829" s="1" t="s">
        <v>1184</v>
      </c>
      <c r="B8829" s="1" t="n">
        <v>220.92</v>
      </c>
      <c r="C8829" s="1" t="n">
        <f aca="false">1/B8829</f>
        <v>0.00452652543907297</v>
      </c>
      <c r="D8829" s="1" t="n">
        <v>0.72441</v>
      </c>
      <c r="E8829" s="1" t="n">
        <f aca="false">LN(D8829)</f>
        <v>-0.322397748540275</v>
      </c>
    </row>
    <row r="8830" customFormat="false" ht="15.75" hidden="false" customHeight="false" outlineLevel="0" collapsed="false">
      <c r="A8830" s="1" t="s">
        <v>1184</v>
      </c>
      <c r="B8830" s="1" t="n">
        <v>221.5</v>
      </c>
      <c r="C8830" s="1" t="n">
        <f aca="false">1/B8830</f>
        <v>0.00451467268623025</v>
      </c>
      <c r="D8830" s="1" t="n">
        <v>0.71755</v>
      </c>
      <c r="E8830" s="1" t="n">
        <f aca="false">LN(D8830)</f>
        <v>-0.331912647365196</v>
      </c>
    </row>
    <row r="8831" customFormat="false" ht="15.75" hidden="false" customHeight="false" outlineLevel="0" collapsed="false">
      <c r="A8831" s="1" t="s">
        <v>1184</v>
      </c>
      <c r="B8831" s="1" t="n">
        <v>222.08</v>
      </c>
      <c r="C8831" s="1" t="n">
        <f aca="false">1/B8831</f>
        <v>0.0045028818443804</v>
      </c>
      <c r="D8831" s="1" t="n">
        <v>0.71079</v>
      </c>
      <c r="E8831" s="1" t="n">
        <f aca="false">LN(D8831)</f>
        <v>-0.341378251455642</v>
      </c>
    </row>
    <row r="8832" customFormat="false" ht="15.75" hidden="false" customHeight="false" outlineLevel="0" collapsed="false">
      <c r="A8832" s="1" t="s">
        <v>1184</v>
      </c>
      <c r="B8832" s="1" t="n">
        <v>222.67</v>
      </c>
      <c r="C8832" s="1" t="n">
        <f aca="false">1/B8832</f>
        <v>0.00449095073427045</v>
      </c>
      <c r="D8832" s="1" t="n">
        <v>0.70412</v>
      </c>
      <c r="E8832" s="1" t="n">
        <f aca="false">LN(D8832)</f>
        <v>-0.350806482804366</v>
      </c>
    </row>
    <row r="8833" customFormat="false" ht="15.75" hidden="false" customHeight="false" outlineLevel="0" collapsed="false">
      <c r="A8833" s="1" t="s">
        <v>1184</v>
      </c>
      <c r="B8833" s="1" t="n">
        <v>223.25</v>
      </c>
      <c r="C8833" s="1" t="n">
        <f aca="false">1/B8833</f>
        <v>0.00447928331466965</v>
      </c>
      <c r="D8833" s="1" t="n">
        <v>0.69754</v>
      </c>
      <c r="E8833" s="1" t="n">
        <f aca="false">LN(D8833)</f>
        <v>-0.36019541926068</v>
      </c>
    </row>
    <row r="8834" customFormat="false" ht="15.75" hidden="false" customHeight="false" outlineLevel="0" collapsed="false">
      <c r="A8834" s="1" t="s">
        <v>1184</v>
      </c>
      <c r="B8834" s="1" t="n">
        <v>223.83</v>
      </c>
      <c r="C8834" s="1" t="n">
        <f aca="false">1/B8834</f>
        <v>0.00446767636152437</v>
      </c>
      <c r="D8834" s="1" t="n">
        <v>0.69105</v>
      </c>
      <c r="E8834" s="1" t="n">
        <f aca="false">LN(D8834)</f>
        <v>-0.369543098932101</v>
      </c>
    </row>
    <row r="8835" customFormat="false" ht="15.75" hidden="false" customHeight="false" outlineLevel="0" collapsed="false">
      <c r="A8835" s="1" t="s">
        <v>1184</v>
      </c>
      <c r="B8835" s="1" t="n">
        <v>224.42</v>
      </c>
      <c r="C8835" s="1" t="n">
        <f aca="false">1/B8835</f>
        <v>0.0044559308439533</v>
      </c>
      <c r="D8835" s="1" t="n">
        <v>0.68465</v>
      </c>
      <c r="E8835" s="1" t="n">
        <f aca="false">LN(D8835)</f>
        <v>-0.378847520203894</v>
      </c>
    </row>
    <row r="8836" customFormat="false" ht="15.75" hidden="false" customHeight="false" outlineLevel="0" collapsed="false">
      <c r="A8836" s="1" t="s">
        <v>1184</v>
      </c>
      <c r="B8836" s="1" t="n">
        <v>225</v>
      </c>
      <c r="C8836" s="1" t="n">
        <f aca="false">1/B8836</f>
        <v>0.00444444444444444</v>
      </c>
      <c r="D8836" s="1" t="n">
        <v>0.67834</v>
      </c>
      <c r="E8836" s="1" t="n">
        <f aca="false">LN(D8836)</f>
        <v>-0.388106641812018</v>
      </c>
    </row>
    <row r="8837" customFormat="false" ht="15.75" hidden="false" customHeight="false" outlineLevel="0" collapsed="false">
      <c r="A8837" s="1" t="s">
        <v>1184</v>
      </c>
      <c r="B8837" s="1" t="n">
        <v>225.58</v>
      </c>
      <c r="C8837" s="1" t="n">
        <f aca="false">1/B8837</f>
        <v>0.00443301711144605</v>
      </c>
      <c r="D8837" s="1" t="n">
        <v>0.67211</v>
      </c>
      <c r="E8837" s="1" t="n">
        <f aca="false">LN(D8837)</f>
        <v>-0.397333261378621</v>
      </c>
    </row>
    <row r="8838" customFormat="false" ht="15.75" hidden="false" customHeight="false" outlineLevel="0" collapsed="false">
      <c r="A8838" s="1" t="s">
        <v>1184</v>
      </c>
      <c r="B8838" s="1" t="n">
        <v>226.17</v>
      </c>
      <c r="C8838" s="1" t="n">
        <f aca="false">1/B8838</f>
        <v>0.00442145288941946</v>
      </c>
      <c r="D8838" s="1" t="n">
        <v>0.66596</v>
      </c>
      <c r="E8838" s="1" t="n">
        <f aca="false">LN(D8838)</f>
        <v>-0.406525670305486</v>
      </c>
    </row>
    <row r="8839" customFormat="false" ht="15.75" hidden="false" customHeight="false" outlineLevel="0" collapsed="false">
      <c r="A8839" s="1" t="s">
        <v>1184</v>
      </c>
      <c r="B8839" s="1" t="n">
        <v>226.75</v>
      </c>
      <c r="C8839" s="1" t="n">
        <f aca="false">1/B8839</f>
        <v>0.00441014332965821</v>
      </c>
      <c r="D8839" s="1" t="n">
        <v>0.65989</v>
      </c>
      <c r="E8839" s="1" t="n">
        <f aca="false">LN(D8839)</f>
        <v>-0.415682124518765</v>
      </c>
    </row>
    <row r="8840" customFormat="false" ht="15.75" hidden="false" customHeight="false" outlineLevel="0" collapsed="false">
      <c r="A8840" s="1" t="s">
        <v>1184</v>
      </c>
      <c r="B8840" s="1" t="n">
        <v>227.33</v>
      </c>
      <c r="C8840" s="1" t="n">
        <f aca="false">1/B8840</f>
        <v>0.0043988914793472</v>
      </c>
      <c r="D8840" s="1" t="n">
        <v>0.6539</v>
      </c>
      <c r="E8840" s="1" t="n">
        <f aca="false">LN(D8840)</f>
        <v>-0.424800844414907</v>
      </c>
    </row>
    <row r="8841" customFormat="false" ht="15.75" hidden="false" customHeight="false" outlineLevel="0" collapsed="false">
      <c r="A8841" s="1" t="s">
        <v>1184</v>
      </c>
      <c r="B8841" s="1" t="n">
        <v>227.92</v>
      </c>
      <c r="C8841" s="1" t="n">
        <f aca="false">1/B8841</f>
        <v>0.00438750438750439</v>
      </c>
      <c r="D8841" s="1" t="n">
        <v>0.64799</v>
      </c>
      <c r="E8841" s="1" t="n">
        <f aca="false">LN(D8841)</f>
        <v>-0.433880014847704</v>
      </c>
    </row>
    <row r="8842" customFormat="false" ht="15.75" hidden="false" customHeight="false" outlineLevel="0" collapsed="false">
      <c r="A8842" s="1" t="s">
        <v>1184</v>
      </c>
      <c r="B8842" s="1" t="n">
        <v>228.5</v>
      </c>
      <c r="C8842" s="1" t="n">
        <f aca="false">1/B8842</f>
        <v>0.00437636761487965</v>
      </c>
      <c r="D8842" s="1" t="n">
        <v>0.64216</v>
      </c>
      <c r="E8842" s="1" t="n">
        <f aca="false">LN(D8842)</f>
        <v>-0.442917785158816</v>
      </c>
    </row>
    <row r="8843" customFormat="false" ht="15.75" hidden="false" customHeight="false" outlineLevel="0" collapsed="false">
      <c r="A8843" s="1" t="s">
        <v>1184</v>
      </c>
      <c r="B8843" s="1" t="n">
        <v>229.08</v>
      </c>
      <c r="C8843" s="1" t="n">
        <f aca="false">1/B8843</f>
        <v>0.00436528723590012</v>
      </c>
      <c r="D8843" s="1" t="n">
        <v>0.6364</v>
      </c>
      <c r="E8843" s="1" t="n">
        <f aca="false">LN(D8843)</f>
        <v>-0.451927982518505</v>
      </c>
    </row>
    <row r="8844" customFormat="false" ht="15.75" hidden="false" customHeight="false" outlineLevel="0" collapsed="false">
      <c r="A8844" s="1" t="s">
        <v>1184</v>
      </c>
      <c r="B8844" s="1" t="n">
        <v>229.67</v>
      </c>
      <c r="C8844" s="1" t="n">
        <f aca="false">1/B8844</f>
        <v>0.00435407323551182</v>
      </c>
      <c r="D8844" s="1" t="n">
        <v>0.63071</v>
      </c>
      <c r="E8844" s="1" t="n">
        <f aca="false">LN(D8844)</f>
        <v>-0.460909110039464</v>
      </c>
    </row>
    <row r="8845" customFormat="false" ht="15.75" hidden="false" customHeight="false" outlineLevel="0" collapsed="false">
      <c r="A8845" s="1" t="s">
        <v>1184</v>
      </c>
      <c r="B8845" s="1" t="n">
        <v>230.25</v>
      </c>
      <c r="C8845" s="1" t="n">
        <f aca="false">1/B8845</f>
        <v>0.00434310532030402</v>
      </c>
      <c r="D8845" s="1" t="n">
        <v>0.6251</v>
      </c>
      <c r="E8845" s="1" t="n">
        <f aca="false">LN(D8845)</f>
        <v>-0.46984364204437</v>
      </c>
    </row>
    <row r="8846" customFormat="false" ht="15.75" hidden="false" customHeight="false" outlineLevel="0" collapsed="false">
      <c r="A8846" s="1" t="s">
        <v>1184</v>
      </c>
      <c r="B8846" s="1" t="n">
        <v>230.83</v>
      </c>
      <c r="C8846" s="1" t="n">
        <f aca="false">1/B8846</f>
        <v>0.00433219252263571</v>
      </c>
      <c r="D8846" s="1" t="n">
        <v>0.61956</v>
      </c>
      <c r="E8846" s="1" t="n">
        <f aca="false">LN(D8846)</f>
        <v>-0.478745730302579</v>
      </c>
    </row>
    <row r="8847" customFormat="false" ht="15.75" hidden="false" customHeight="false" outlineLevel="0" collapsed="false">
      <c r="A8847" s="1" t="s">
        <v>1184</v>
      </c>
      <c r="B8847" s="1" t="n">
        <v>231.42</v>
      </c>
      <c r="C8847" s="1" t="n">
        <f aca="false">1/B8847</f>
        <v>0.00432114769682828</v>
      </c>
      <c r="D8847" s="1" t="n">
        <v>0.61409</v>
      </c>
      <c r="E8847" s="1" t="n">
        <f aca="false">LN(D8847)</f>
        <v>-0.487613781772204</v>
      </c>
    </row>
    <row r="8848" customFormat="false" ht="15.75" hidden="false" customHeight="false" outlineLevel="0" collapsed="false">
      <c r="A8848" s="1" t="s">
        <v>1184</v>
      </c>
      <c r="B8848" s="1" t="n">
        <v>232</v>
      </c>
      <c r="C8848" s="1" t="n">
        <f aca="false">1/B8848</f>
        <v>0.00431034482758621</v>
      </c>
      <c r="D8848" s="1" t="n">
        <v>0.60868</v>
      </c>
      <c r="E8848" s="1" t="n">
        <f aca="false">LN(D8848)</f>
        <v>-0.496462600930223</v>
      </c>
    </row>
    <row r="8849" customFormat="false" ht="15.75" hidden="false" customHeight="false" outlineLevel="0" collapsed="false">
      <c r="A8849" s="1" t="s">
        <v>1184</v>
      </c>
      <c r="B8849" s="1" t="n">
        <v>232.58</v>
      </c>
      <c r="C8849" s="1" t="n">
        <f aca="false">1/B8849</f>
        <v>0.00429959583799123</v>
      </c>
      <c r="D8849" s="1" t="n">
        <v>0.60335</v>
      </c>
      <c r="E8849" s="1" t="n">
        <f aca="false">LN(D8849)</f>
        <v>-0.505257819462527</v>
      </c>
    </row>
    <row r="8850" customFormat="false" ht="15.75" hidden="false" customHeight="false" outlineLevel="0" collapsed="false">
      <c r="A8850" s="1" t="s">
        <v>1184</v>
      </c>
      <c r="B8850" s="1" t="n">
        <v>233.17</v>
      </c>
      <c r="C8850" s="1" t="n">
        <f aca="false">1/B8850</f>
        <v>0.00428871638718532</v>
      </c>
      <c r="D8850" s="1" t="n">
        <v>0.59808</v>
      </c>
      <c r="E8850" s="1" t="n">
        <f aca="false">LN(D8850)</f>
        <v>-0.514030754714939</v>
      </c>
    </row>
    <row r="8851" customFormat="false" ht="15.75" hidden="false" customHeight="false" outlineLevel="0" collapsed="false">
      <c r="A8851" s="1" t="s">
        <v>1184</v>
      </c>
      <c r="B8851" s="1" t="n">
        <v>233.75</v>
      </c>
      <c r="C8851" s="1" t="n">
        <f aca="false">1/B8851</f>
        <v>0.00427807486631016</v>
      </c>
      <c r="D8851" s="1" t="n">
        <v>0.59287</v>
      </c>
      <c r="E8851" s="1" t="n">
        <f aca="false">LN(D8851)</f>
        <v>-0.522780128300872</v>
      </c>
    </row>
    <row r="8852" customFormat="false" ht="15.75" hidden="false" customHeight="false" outlineLevel="0" collapsed="false">
      <c r="A8852" s="1" t="s">
        <v>1184</v>
      </c>
      <c r="B8852" s="1" t="n">
        <v>234.33</v>
      </c>
      <c r="C8852" s="1" t="n">
        <f aca="false">1/B8852</f>
        <v>0.00426748602398327</v>
      </c>
      <c r="D8852" s="1" t="n">
        <v>0.58773</v>
      </c>
      <c r="E8852" s="1" t="n">
        <f aca="false">LN(D8852)</f>
        <v>-0.531487620214087</v>
      </c>
    </row>
    <row r="8853" customFormat="false" ht="15.75" hidden="false" customHeight="false" outlineLevel="0" collapsed="false">
      <c r="A8853" s="1" t="s">
        <v>1184</v>
      </c>
      <c r="B8853" s="1" t="n">
        <v>234.92</v>
      </c>
      <c r="C8853" s="1" t="n">
        <f aca="false">1/B8853</f>
        <v>0.00425676826153584</v>
      </c>
      <c r="D8853" s="1" t="n">
        <v>0.58265</v>
      </c>
      <c r="E8853" s="1" t="n">
        <f aca="false">LN(D8853)</f>
        <v>-0.540168615962865</v>
      </c>
    </row>
    <row r="8854" customFormat="false" ht="15.75" hidden="false" customHeight="false" outlineLevel="0" collapsed="false">
      <c r="A8854" s="1" t="s">
        <v>1184</v>
      </c>
      <c r="B8854" s="1" t="n">
        <v>235.5</v>
      </c>
      <c r="C8854" s="1" t="n">
        <f aca="false">1/B8854</f>
        <v>0.00424628450106157</v>
      </c>
      <c r="D8854" s="1" t="n">
        <v>0.57764</v>
      </c>
      <c r="E8854" s="1" t="n">
        <f aca="false">LN(D8854)</f>
        <v>-0.548804441723773</v>
      </c>
    </row>
    <row r="8855" customFormat="false" ht="15.75" hidden="false" customHeight="false" outlineLevel="0" collapsed="false">
      <c r="A8855" s="1" t="s">
        <v>1184</v>
      </c>
      <c r="B8855" s="1" t="n">
        <v>236.08</v>
      </c>
      <c r="C8855" s="1" t="n">
        <f aca="false">1/B8855</f>
        <v>0.0042358522534734</v>
      </c>
      <c r="D8855" s="1" t="n">
        <v>0.57268</v>
      </c>
      <c r="E8855" s="1" t="n">
        <f aca="false">LN(D8855)</f>
        <v>-0.55742818249001</v>
      </c>
    </row>
    <row r="8856" customFormat="false" ht="15.75" hidden="false" customHeight="false" outlineLevel="0" collapsed="false">
      <c r="A8856" s="1" t="s">
        <v>1184</v>
      </c>
      <c r="B8856" s="1" t="n">
        <v>236.67</v>
      </c>
      <c r="C8856" s="1" t="n">
        <f aca="false">1/B8856</f>
        <v>0.00422529260151266</v>
      </c>
      <c r="D8856" s="1" t="n">
        <v>0.56779</v>
      </c>
      <c r="E8856" s="1" t="n">
        <f aca="false">LN(D8856)</f>
        <v>-0.56600364693351</v>
      </c>
    </row>
    <row r="8857" customFormat="false" ht="15.75" hidden="false" customHeight="false" outlineLevel="0" collapsed="false">
      <c r="A8857" s="1" t="s">
        <v>1184</v>
      </c>
      <c r="B8857" s="1" t="n">
        <v>237.25</v>
      </c>
      <c r="C8857" s="1" t="n">
        <f aca="false">1/B8857</f>
        <v>0.00421496311907271</v>
      </c>
      <c r="D8857" s="1" t="n">
        <v>0.56295</v>
      </c>
      <c r="E8857" s="1" t="n">
        <f aca="false">LN(D8857)</f>
        <v>-0.574564464732998</v>
      </c>
    </row>
    <row r="8858" customFormat="false" ht="15.75" hidden="false" customHeight="false" outlineLevel="0" collapsed="false">
      <c r="A8858" s="1" t="s">
        <v>1184</v>
      </c>
      <c r="B8858" s="1" t="n">
        <v>237.83</v>
      </c>
      <c r="C8858" s="1" t="n">
        <f aca="false">1/B8858</f>
        <v>0.00420468401799605</v>
      </c>
      <c r="D8858" s="1" t="n">
        <v>0.55817</v>
      </c>
      <c r="E8858" s="1" t="n">
        <f aca="false">LN(D8858)</f>
        <v>-0.583091703501899</v>
      </c>
    </row>
    <row r="8859" customFormat="false" ht="15.75" hidden="false" customHeight="false" outlineLevel="0" collapsed="false">
      <c r="A8859" s="1" t="s">
        <v>1184</v>
      </c>
      <c r="B8859" s="1" t="n">
        <v>238.42</v>
      </c>
      <c r="C8859" s="1" t="n">
        <f aca="false">1/B8859</f>
        <v>0.00419427900343931</v>
      </c>
      <c r="D8859" s="1" t="n">
        <v>0.55345</v>
      </c>
      <c r="E8859" s="1" t="n">
        <f aca="false">LN(D8859)</f>
        <v>-0.591583865150504</v>
      </c>
    </row>
    <row r="8860" customFormat="false" ht="15.75" hidden="false" customHeight="false" outlineLevel="0" collapsed="false">
      <c r="A8860" s="1" t="s">
        <v>1184</v>
      </c>
      <c r="B8860" s="1" t="n">
        <v>239</v>
      </c>
      <c r="C8860" s="1" t="n">
        <f aca="false">1/B8860</f>
        <v>0.00418410041841004</v>
      </c>
      <c r="D8860" s="1" t="n">
        <v>0.54878</v>
      </c>
      <c r="E8860" s="1" t="n">
        <f aca="false">LN(D8860)</f>
        <v>-0.600057646383217</v>
      </c>
    </row>
    <row r="8861" customFormat="false" ht="15.75" hidden="false" customHeight="false" outlineLevel="0" collapsed="false">
      <c r="A8861" s="1" t="s">
        <v>1184</v>
      </c>
      <c r="B8861" s="1" t="n">
        <v>239.58</v>
      </c>
      <c r="C8861" s="1" t="n">
        <f aca="false">1/B8861</f>
        <v>0.00417397111611988</v>
      </c>
      <c r="D8861" s="1" t="n">
        <v>0.54416</v>
      </c>
      <c r="E8861" s="1" t="n">
        <f aca="false">LN(D8861)</f>
        <v>-0.608511957723252</v>
      </c>
    </row>
    <row r="8862" customFormat="false" ht="15.75" hidden="false" customHeight="false" outlineLevel="0" collapsed="false">
      <c r="A8862" s="1" t="s">
        <v>1184</v>
      </c>
      <c r="B8862" s="1" t="n">
        <v>240.17</v>
      </c>
      <c r="C8862" s="1" t="n">
        <f aca="false">1/B8862</f>
        <v>0.00416371736686514</v>
      </c>
      <c r="D8862" s="1" t="n">
        <v>0.5396</v>
      </c>
      <c r="E8862" s="1" t="n">
        <f aca="false">LN(D8862)</f>
        <v>-0.616927154648536</v>
      </c>
    </row>
    <row r="8863" customFormat="false" ht="15.75" hidden="false" customHeight="false" outlineLevel="0" collapsed="false">
      <c r="A8863" s="1" t="s">
        <v>1184</v>
      </c>
      <c r="B8863" s="1" t="n">
        <v>240.75</v>
      </c>
      <c r="C8863" s="1" t="n">
        <f aca="false">1/B8863</f>
        <v>0.00415368639667705</v>
      </c>
      <c r="D8863" s="1" t="n">
        <v>0.5351</v>
      </c>
      <c r="E8863" s="1" t="n">
        <f aca="false">LN(D8863)</f>
        <v>-0.625301633664878</v>
      </c>
    </row>
    <row r="8864" customFormat="false" ht="15.75" hidden="false" customHeight="false" outlineLevel="0" collapsed="false">
      <c r="A8864" s="1" t="s">
        <v>1184</v>
      </c>
      <c r="B8864" s="1" t="n">
        <v>241.33</v>
      </c>
      <c r="C8864" s="1" t="n">
        <f aca="false">1/B8864</f>
        <v>0.0041437036423155</v>
      </c>
      <c r="D8864" s="1" t="n">
        <v>0.53064</v>
      </c>
      <c r="E8864" s="1" t="n">
        <f aca="false">LN(D8864)</f>
        <v>-0.633671453764837</v>
      </c>
    </row>
    <row r="8865" customFormat="false" ht="15.75" hidden="false" customHeight="false" outlineLevel="0" collapsed="false">
      <c r="A8865" s="1" t="s">
        <v>1184</v>
      </c>
      <c r="B8865" s="1" t="n">
        <v>241.92</v>
      </c>
      <c r="C8865" s="1" t="n">
        <f aca="false">1/B8865</f>
        <v>0.00413359788359788</v>
      </c>
      <c r="D8865" s="1" t="n">
        <v>0.52624</v>
      </c>
      <c r="E8865" s="1" t="n">
        <f aca="false">LN(D8865)</f>
        <v>-0.64199789654139</v>
      </c>
    </row>
    <row r="8866" customFormat="false" ht="15.75" hidden="false" customHeight="false" outlineLevel="0" collapsed="false">
      <c r="A8866" s="1" t="s">
        <v>1184</v>
      </c>
      <c r="B8866" s="1" t="n">
        <v>242.5</v>
      </c>
      <c r="C8866" s="1" t="n">
        <f aca="false">1/B8866</f>
        <v>0.00412371134020619</v>
      </c>
      <c r="D8866" s="1" t="n">
        <v>0.52189</v>
      </c>
      <c r="E8866" s="1" t="n">
        <f aca="false">LN(D8866)</f>
        <v>-0.650298441275105</v>
      </c>
    </row>
    <row r="8867" customFormat="false" ht="15.75" hidden="false" customHeight="false" outlineLevel="0" collapsed="false">
      <c r="A8867" s="1" t="s">
        <v>1184</v>
      </c>
      <c r="B8867" s="1" t="n">
        <v>243.08</v>
      </c>
      <c r="C8867" s="1" t="n">
        <f aca="false">1/B8867</f>
        <v>0.0041138719763041</v>
      </c>
      <c r="D8867" s="1" t="n">
        <v>0.51758</v>
      </c>
      <c r="E8867" s="1" t="n">
        <f aca="false">LN(D8867)</f>
        <v>-0.658591176418338</v>
      </c>
    </row>
    <row r="8868" customFormat="false" ht="15.75" hidden="false" customHeight="false" outlineLevel="0" collapsed="false">
      <c r="A8868" s="1" t="s">
        <v>1184</v>
      </c>
      <c r="B8868" s="1" t="n">
        <v>243.67</v>
      </c>
      <c r="C8868" s="1" t="n">
        <f aca="false">1/B8868</f>
        <v>0.00410391102720893</v>
      </c>
      <c r="D8868" s="1" t="n">
        <v>0.51333</v>
      </c>
      <c r="E8868" s="1" t="n">
        <f aca="false">LN(D8868)</f>
        <v>-0.666836365770148</v>
      </c>
    </row>
    <row r="8869" customFormat="false" ht="15.75" hidden="false" customHeight="false" outlineLevel="0" collapsed="false">
      <c r="A8869" s="1" t="s">
        <v>1184</v>
      </c>
      <c r="B8869" s="1" t="n">
        <v>244.25</v>
      </c>
      <c r="C8869" s="1" t="n">
        <f aca="false">1/B8869</f>
        <v>0.00409416581371546</v>
      </c>
      <c r="D8869" s="1" t="n">
        <v>0.50912</v>
      </c>
      <c r="E8869" s="1" t="n">
        <f aca="false">LN(D8869)</f>
        <v>-0.675071533832715</v>
      </c>
    </row>
    <row r="8870" customFormat="false" ht="15.75" hidden="false" customHeight="false" outlineLevel="0" collapsed="false">
      <c r="A8870" s="1" t="s">
        <v>1184</v>
      </c>
      <c r="B8870" s="1" t="n">
        <v>244.83</v>
      </c>
      <c r="C8870" s="1" t="n">
        <f aca="false">1/B8870</f>
        <v>0.0040844667728628</v>
      </c>
      <c r="D8870" s="1" t="n">
        <v>0.50496</v>
      </c>
      <c r="E8870" s="1" t="n">
        <f aca="false">LN(D8870)</f>
        <v>-0.683276060764682</v>
      </c>
    </row>
    <row r="8871" customFormat="false" ht="15.75" hidden="false" customHeight="false" outlineLevel="0" collapsed="false">
      <c r="A8871" s="1" t="s">
        <v>1184</v>
      </c>
      <c r="B8871" s="1" t="n">
        <v>245.42</v>
      </c>
      <c r="C8871" s="1" t="n">
        <f aca="false">1/B8871</f>
        <v>0.00407464754298753</v>
      </c>
      <c r="D8871" s="1" t="n">
        <v>0.50084</v>
      </c>
      <c r="E8871" s="1" t="n">
        <f aca="false">LN(D8871)</f>
        <v>-0.69146859018139</v>
      </c>
    </row>
    <row r="8872" customFormat="false" ht="15.75" hidden="false" customHeight="false" outlineLevel="0" collapsed="false">
      <c r="A8872" s="1" t="s">
        <v>1184</v>
      </c>
      <c r="B8872" s="1" t="n">
        <v>246</v>
      </c>
      <c r="C8872" s="1" t="n">
        <f aca="false">1/B8872</f>
        <v>0.0040650406504065</v>
      </c>
      <c r="D8872" s="1" t="n">
        <v>0.49677</v>
      </c>
      <c r="E8872" s="1" t="n">
        <f aca="false">LN(D8872)</f>
        <v>-0.699628136659635</v>
      </c>
    </row>
    <row r="8873" customFormat="false" ht="15.75" hidden="false" customHeight="false" outlineLevel="0" collapsed="false">
      <c r="A8873" s="1" t="s">
        <v>1184</v>
      </c>
      <c r="B8873" s="1" t="n">
        <v>246.58</v>
      </c>
      <c r="C8873" s="1" t="n">
        <f aca="false">1/B8873</f>
        <v>0.00405547895206424</v>
      </c>
      <c r="D8873" s="1" t="n">
        <v>0.49275</v>
      </c>
      <c r="E8873" s="1" t="n">
        <f aca="false">LN(D8873)</f>
        <v>-0.707753332949307</v>
      </c>
    </row>
    <row r="8874" customFormat="false" ht="15.75" hidden="false" customHeight="false" outlineLevel="0" collapsed="false">
      <c r="A8874" s="1" t="s">
        <v>1184</v>
      </c>
      <c r="B8874" s="1" t="n">
        <v>247.17</v>
      </c>
      <c r="C8874" s="1" t="n">
        <f aca="false">1/B8874</f>
        <v>0.0040457984383218</v>
      </c>
      <c r="D8874" s="1" t="n">
        <v>0.48877</v>
      </c>
      <c r="E8874" s="1" t="n">
        <f aca="false">LN(D8874)</f>
        <v>-0.715863247803679</v>
      </c>
    </row>
    <row r="8875" customFormat="false" ht="15.75" hidden="false" customHeight="false" outlineLevel="0" collapsed="false">
      <c r="A8875" s="1" t="s">
        <v>1184</v>
      </c>
      <c r="B8875" s="1" t="n">
        <v>247.75</v>
      </c>
      <c r="C8875" s="1" t="n">
        <f aca="false">1/B8875</f>
        <v>0.00403632694248234</v>
      </c>
      <c r="D8875" s="1" t="n">
        <v>0.48483</v>
      </c>
      <c r="E8875" s="1" t="n">
        <f aca="false">LN(D8875)</f>
        <v>-0.723956964953475</v>
      </c>
    </row>
    <row r="8876" customFormat="false" ht="15.75" hidden="false" customHeight="false" outlineLevel="0" collapsed="false">
      <c r="A8876" s="1" t="s">
        <v>1184</v>
      </c>
      <c r="B8876" s="1" t="n">
        <v>248.33</v>
      </c>
      <c r="C8876" s="1" t="n">
        <f aca="false">1/B8876</f>
        <v>0.00402689968992872</v>
      </c>
      <c r="D8876" s="1" t="n">
        <v>0.48094</v>
      </c>
      <c r="E8876" s="1" t="n">
        <f aca="false">LN(D8876)</f>
        <v>-0.732012756781812</v>
      </c>
    </row>
    <row r="8877" customFormat="false" ht="15.75" hidden="false" customHeight="false" outlineLevel="0" collapsed="false">
      <c r="A8877" s="1" t="s">
        <v>1184</v>
      </c>
      <c r="B8877" s="1" t="n">
        <v>248.92</v>
      </c>
      <c r="C8877" s="1" t="n">
        <f aca="false">1/B8877</f>
        <v>0.00401735497348546</v>
      </c>
      <c r="D8877" s="1" t="n">
        <v>0.47709</v>
      </c>
      <c r="E8877" s="1" t="n">
        <f aca="false">LN(D8877)</f>
        <v>-0.740050126646203</v>
      </c>
    </row>
    <row r="8878" customFormat="false" ht="15.75" hidden="false" customHeight="false" outlineLevel="0" collapsed="false">
      <c r="A8878" s="1" t="s">
        <v>1184</v>
      </c>
      <c r="B8878" s="1" t="n">
        <v>249.5</v>
      </c>
      <c r="C8878" s="1" t="n">
        <f aca="false">1/B8878</f>
        <v>0.00400801603206413</v>
      </c>
      <c r="D8878" s="1" t="n">
        <v>0.47328</v>
      </c>
      <c r="E8878" s="1" t="n">
        <f aca="false">LN(D8878)</f>
        <v>-0.748068099459702</v>
      </c>
    </row>
    <row r="8879" customFormat="false" ht="15.75" hidden="false" customHeight="false" outlineLevel="0" collapsed="false">
      <c r="A8879" s="1" t="s">
        <v>1184</v>
      </c>
      <c r="B8879" s="1" t="n">
        <v>250.08</v>
      </c>
      <c r="C8879" s="1" t="n">
        <f aca="false">1/B8879</f>
        <v>0.00399872040946897</v>
      </c>
      <c r="D8879" s="1" t="n">
        <v>0.46951</v>
      </c>
      <c r="E8879" s="1" t="n">
        <f aca="false">LN(D8879)</f>
        <v>-0.756065681306119</v>
      </c>
    </row>
    <row r="8880" customFormat="false" ht="15.75" hidden="false" customHeight="false" outlineLevel="0" collapsed="false">
      <c r="A8880" s="1" t="s">
        <v>1184</v>
      </c>
      <c r="B8880" s="1" t="n">
        <v>250.67</v>
      </c>
      <c r="C8880" s="1" t="n">
        <f aca="false">1/B8880</f>
        <v>0.00398930865281047</v>
      </c>
      <c r="D8880" s="1" t="n">
        <v>0.46578</v>
      </c>
      <c r="E8880" s="1" t="n">
        <f aca="false">LN(D8880)</f>
        <v>-0.764041859336493</v>
      </c>
    </row>
    <row r="8881" customFormat="false" ht="15.75" hidden="false" customHeight="false" outlineLevel="0" collapsed="false">
      <c r="A8881" s="1" t="s">
        <v>1184</v>
      </c>
      <c r="B8881" s="1" t="n">
        <v>251.25</v>
      </c>
      <c r="C8881" s="1" t="n">
        <f aca="false">1/B8881</f>
        <v>0.00398009950248756</v>
      </c>
      <c r="D8881" s="1" t="n">
        <v>0.46209</v>
      </c>
      <c r="E8881" s="1" t="n">
        <f aca="false">LN(D8881)</f>
        <v>-0.771995601677661</v>
      </c>
    </row>
    <row r="8882" customFormat="false" ht="15.75" hidden="false" customHeight="false" outlineLevel="0" collapsed="false">
      <c r="A8882" s="1" t="s">
        <v>1184</v>
      </c>
      <c r="B8882" s="1" t="n">
        <v>251.83</v>
      </c>
      <c r="C8882" s="1" t="n">
        <f aca="false">1/B8882</f>
        <v>0.00397093277210817</v>
      </c>
      <c r="D8882" s="1" t="n">
        <v>0.45844</v>
      </c>
      <c r="E8882" s="1" t="n">
        <f aca="false">LN(D8882)</f>
        <v>-0.779925857353639</v>
      </c>
    </row>
    <row r="8883" customFormat="false" ht="15.75" hidden="false" customHeight="false" outlineLevel="0" collapsed="false">
      <c r="A8883" s="1" t="s">
        <v>1184</v>
      </c>
      <c r="B8883" s="1" t="n">
        <v>252.42</v>
      </c>
      <c r="C8883" s="1" t="n">
        <f aca="false">1/B8883</f>
        <v>0.00396165121622692</v>
      </c>
      <c r="D8883" s="1" t="n">
        <v>0.45482</v>
      </c>
      <c r="E8883" s="1" t="n">
        <f aca="false">LN(D8883)</f>
        <v>-0.787853542698854</v>
      </c>
    </row>
    <row r="8884" customFormat="false" ht="15.75" hidden="false" customHeight="false" outlineLevel="0" collapsed="false">
      <c r="A8884" s="1" t="s">
        <v>1184</v>
      </c>
      <c r="B8884" s="1" t="n">
        <v>253</v>
      </c>
      <c r="C8884" s="1" t="n">
        <f aca="false">1/B8884</f>
        <v>0.00395256916996047</v>
      </c>
      <c r="D8884" s="1" t="n">
        <v>0.45125</v>
      </c>
      <c r="E8884" s="1" t="n">
        <f aca="false">LN(D8884)</f>
        <v>-0.795733769335046</v>
      </c>
    </row>
    <row r="8885" customFormat="false" ht="15.75" hidden="false" customHeight="false" outlineLevel="0" collapsed="false">
      <c r="A8885" s="1" t="s">
        <v>1184</v>
      </c>
      <c r="B8885" s="1" t="n">
        <v>253.58</v>
      </c>
      <c r="C8885" s="1" t="n">
        <f aca="false">1/B8885</f>
        <v>0.00394352866945343</v>
      </c>
      <c r="D8885" s="1" t="n">
        <v>0.44771</v>
      </c>
      <c r="E8885" s="1" t="n">
        <f aca="false">LN(D8885)</f>
        <v>-0.803609577598698</v>
      </c>
    </row>
    <row r="8886" customFormat="false" ht="15.75" hidden="false" customHeight="false" outlineLevel="0" collapsed="false">
      <c r="A8886" s="1" t="s">
        <v>1184</v>
      </c>
      <c r="B8886" s="1" t="n">
        <v>254.17</v>
      </c>
      <c r="C8886" s="1" t="n">
        <f aca="false">1/B8886</f>
        <v>0.00393437463115238</v>
      </c>
      <c r="D8886" s="1" t="n">
        <v>0.44421</v>
      </c>
      <c r="E8886" s="1" t="n">
        <f aca="false">LN(D8886)</f>
        <v>-0.8114578553934</v>
      </c>
    </row>
    <row r="8887" customFormat="false" ht="15.75" hidden="false" customHeight="false" outlineLevel="0" collapsed="false">
      <c r="A8887" s="1" t="s">
        <v>1184</v>
      </c>
      <c r="B8887" s="1" t="n">
        <v>254.75</v>
      </c>
      <c r="C8887" s="1" t="n">
        <f aca="false">1/B8887</f>
        <v>0.00392541707556428</v>
      </c>
      <c r="D8887" s="1" t="n">
        <v>0.44075</v>
      </c>
      <c r="E8887" s="1" t="n">
        <f aca="false">LN(D8887)</f>
        <v>-0.819277457704157</v>
      </c>
    </row>
    <row r="8888" customFormat="false" ht="15.75" hidden="false" customHeight="false" outlineLevel="0" collapsed="false">
      <c r="A8888" s="1" t="s">
        <v>1184</v>
      </c>
      <c r="B8888" s="1" t="n">
        <v>255.33</v>
      </c>
      <c r="C8888" s="1" t="n">
        <f aca="false">1/B8888</f>
        <v>0.00391650021540751</v>
      </c>
      <c r="D8888" s="1" t="n">
        <v>0.43732</v>
      </c>
      <c r="E8888" s="1" t="n">
        <f aca="false">LN(D8888)</f>
        <v>-0.827090086415853</v>
      </c>
    </row>
    <row r="8889" customFormat="false" ht="15.75" hidden="false" customHeight="false" outlineLevel="0" collapsed="false">
      <c r="A8889" s="1" t="s">
        <v>1184</v>
      </c>
      <c r="B8889" s="1" t="n">
        <v>255.92</v>
      </c>
      <c r="C8889" s="1" t="n">
        <f aca="false">1/B8889</f>
        <v>0.00390747108471397</v>
      </c>
      <c r="D8889" s="1" t="n">
        <v>0.43392</v>
      </c>
      <c r="E8889" s="1" t="n">
        <f aca="false">LN(D8889)</f>
        <v>-0.834895093670161</v>
      </c>
    </row>
    <row r="8890" customFormat="false" ht="15.75" hidden="false" customHeight="false" outlineLevel="0" collapsed="false">
      <c r="A8890" s="1" t="s">
        <v>1184</v>
      </c>
      <c r="B8890" s="1" t="n">
        <v>256.5</v>
      </c>
      <c r="C8890" s="1" t="n">
        <f aca="false">1/B8890</f>
        <v>0.00389863547758285</v>
      </c>
      <c r="D8890" s="1" t="n">
        <v>0.43056</v>
      </c>
      <c r="E8890" s="1" t="n">
        <f aca="false">LN(D8890)</f>
        <v>-0.842668592003541</v>
      </c>
    </row>
    <row r="8891" customFormat="false" ht="15.75" hidden="false" customHeight="false" outlineLevel="0" collapsed="false">
      <c r="A8891" s="1" t="s">
        <v>1184</v>
      </c>
      <c r="B8891" s="1" t="n">
        <v>257.08</v>
      </c>
      <c r="C8891" s="1" t="n">
        <f aca="false">1/B8891</f>
        <v>0.00388983973860277</v>
      </c>
      <c r="D8891" s="1" t="n">
        <v>0.42724</v>
      </c>
      <c r="E8891" s="1" t="n">
        <f aca="false">LN(D8891)</f>
        <v>-0.850409362760642</v>
      </c>
    </row>
    <row r="8892" customFormat="false" ht="15.75" hidden="false" customHeight="false" outlineLevel="0" collapsed="false">
      <c r="A8892" s="1" t="s">
        <v>1184</v>
      </c>
      <c r="B8892" s="1" t="n">
        <v>257.67</v>
      </c>
      <c r="C8892" s="1" t="n">
        <f aca="false">1/B8892</f>
        <v>0.0038809329762875</v>
      </c>
      <c r="D8892" s="1" t="n">
        <v>0.42394</v>
      </c>
      <c r="E8892" s="1" t="n">
        <f aca="false">LN(D8892)</f>
        <v>-0.858163343197546</v>
      </c>
    </row>
    <row r="8893" customFormat="false" ht="15.75" hidden="false" customHeight="false" outlineLevel="0" collapsed="false">
      <c r="A8893" s="1" t="s">
        <v>1184</v>
      </c>
      <c r="B8893" s="1" t="n">
        <v>258.25</v>
      </c>
      <c r="C8893" s="1" t="n">
        <f aca="false">1/B8893</f>
        <v>0.00387221684414327</v>
      </c>
      <c r="D8893" s="1" t="n">
        <v>0.42068</v>
      </c>
      <c r="E8893" s="1" t="n">
        <f aca="false">LN(D8893)</f>
        <v>-0.865882829330309</v>
      </c>
    </row>
    <row r="8894" customFormat="false" ht="15.75" hidden="false" customHeight="false" outlineLevel="0" collapsed="false">
      <c r="A8894" s="1" t="s">
        <v>1184</v>
      </c>
      <c r="B8894" s="1" t="n">
        <v>258.83</v>
      </c>
      <c r="C8894" s="1" t="n">
        <f aca="false">1/B8894</f>
        <v>0.00386353977514198</v>
      </c>
      <c r="D8894" s="1" t="n">
        <v>0.41746</v>
      </c>
      <c r="E8894" s="1" t="n">
        <f aca="false">LN(D8894)</f>
        <v>-0.873566547664377</v>
      </c>
    </row>
    <row r="8895" customFormat="false" ht="15.75" hidden="false" customHeight="false" outlineLevel="0" collapsed="false">
      <c r="A8895" s="1" t="s">
        <v>1184</v>
      </c>
      <c r="B8895" s="1" t="n">
        <v>259.42</v>
      </c>
      <c r="C8895" s="1" t="n">
        <f aca="false">1/B8895</f>
        <v>0.00385475291033845</v>
      </c>
      <c r="D8895" s="1" t="n">
        <v>0.41426</v>
      </c>
      <c r="E8895" s="1" t="n">
        <f aca="false">LN(D8895)</f>
        <v>-0.88126148295476</v>
      </c>
    </row>
    <row r="8896" customFormat="false" ht="15.75" hidden="false" customHeight="false" outlineLevel="0" collapsed="false">
      <c r="A8896" s="1" t="s">
        <v>1184</v>
      </c>
      <c r="B8896" s="1" t="n">
        <v>260</v>
      </c>
      <c r="C8896" s="1" t="n">
        <f aca="false">1/B8896</f>
        <v>0.00384615384615385</v>
      </c>
      <c r="D8896" s="1" t="n">
        <v>0.4111</v>
      </c>
      <c r="E8896" s="1" t="n">
        <f aca="false">LN(D8896)</f>
        <v>-0.888918785078304</v>
      </c>
    </row>
    <row r="8897" customFormat="false" ht="15.75" hidden="false" customHeight="false" outlineLevel="0" collapsed="false">
      <c r="A8897" s="1" t="s">
        <v>1184</v>
      </c>
      <c r="B8897" s="1" t="n">
        <v>260.58</v>
      </c>
      <c r="C8897" s="1" t="n">
        <f aca="false">1/B8897</f>
        <v>0.00383759306163174</v>
      </c>
      <c r="D8897" s="1" t="n">
        <v>0.40797</v>
      </c>
      <c r="E8897" s="1" t="n">
        <f aca="false">LN(D8897)</f>
        <v>-0.89656163669316</v>
      </c>
    </row>
    <row r="8898" customFormat="false" ht="15.75" hidden="false" customHeight="false" outlineLevel="0" collapsed="false">
      <c r="A8898" s="1" t="s">
        <v>1184</v>
      </c>
      <c r="B8898" s="1" t="n">
        <v>260.87</v>
      </c>
      <c r="C8898" s="1" t="n">
        <f aca="false">1/B8898</f>
        <v>0.00383332694445509</v>
      </c>
      <c r="D8898" s="1" t="n">
        <v>0.40642</v>
      </c>
      <c r="E8898" s="1" t="n">
        <f aca="false">LN(D8898)</f>
        <v>-0.90036817133034</v>
      </c>
    </row>
    <row r="8899" customFormat="false" ht="15.75" hidden="false" customHeight="false" outlineLevel="0" collapsed="false">
      <c r="A8899" s="1" t="s">
        <v>1493</v>
      </c>
      <c r="B8899" s="1" t="n">
        <v>172.52</v>
      </c>
      <c r="C8899" s="1" t="n">
        <f aca="false">1/B8899</f>
        <v>0.00579642939948991</v>
      </c>
      <c r="D8899" s="1" t="n">
        <v>1.1539</v>
      </c>
      <c r="E8899" s="1" t="n">
        <f aca="false">LN(D8899)</f>
        <v>0.143147509218485</v>
      </c>
    </row>
    <row r="8900" customFormat="false" ht="15.75" hidden="false" customHeight="false" outlineLevel="0" collapsed="false">
      <c r="A8900" s="1" t="s">
        <v>1493</v>
      </c>
      <c r="B8900" s="1" t="n">
        <v>173.07</v>
      </c>
      <c r="C8900" s="1" t="n">
        <f aca="false">1/B8900</f>
        <v>0.0057780088981337</v>
      </c>
      <c r="D8900" s="1" t="n">
        <v>1.1376</v>
      </c>
      <c r="E8900" s="1" t="n">
        <f aca="false">LN(D8900)</f>
        <v>0.128920780066839</v>
      </c>
    </row>
    <row r="8901" customFormat="false" ht="15.75" hidden="false" customHeight="false" outlineLevel="0" collapsed="false">
      <c r="A8901" s="1" t="s">
        <v>1493</v>
      </c>
      <c r="B8901" s="1" t="n">
        <v>173.61</v>
      </c>
      <c r="C8901" s="1" t="n">
        <f aca="false">1/B8901</f>
        <v>0.00576003686423593</v>
      </c>
      <c r="D8901" s="1" t="n">
        <v>1.1216</v>
      </c>
      <c r="E8901" s="1" t="n">
        <f aca="false">LN(D8901)</f>
        <v>0.114756237298189</v>
      </c>
    </row>
    <row r="8902" customFormat="false" ht="15.75" hidden="false" customHeight="false" outlineLevel="0" collapsed="false">
      <c r="A8902" s="1" t="s">
        <v>1493</v>
      </c>
      <c r="B8902" s="1" t="n">
        <v>174.16</v>
      </c>
      <c r="C8902" s="1" t="n">
        <f aca="false">1/B8902</f>
        <v>0.00574184657785944</v>
      </c>
      <c r="D8902" s="1" t="n">
        <v>1.106</v>
      </c>
      <c r="E8902" s="1" t="n">
        <f aca="false">LN(D8902)</f>
        <v>0.100749903100143</v>
      </c>
    </row>
    <row r="8903" customFormat="false" ht="15.75" hidden="false" customHeight="false" outlineLevel="0" collapsed="false">
      <c r="A8903" s="1" t="s">
        <v>1493</v>
      </c>
      <c r="B8903" s="1" t="n">
        <v>174.7</v>
      </c>
      <c r="C8903" s="1" t="n">
        <f aca="false">1/B8903</f>
        <v>0.00572409845449342</v>
      </c>
      <c r="D8903" s="1" t="n">
        <v>1.0907</v>
      </c>
      <c r="E8903" s="1" t="n">
        <f aca="false">LN(D8903)</f>
        <v>0.0868196919525602</v>
      </c>
    </row>
    <row r="8904" customFormat="false" ht="15.75" hidden="false" customHeight="false" outlineLevel="0" collapsed="false">
      <c r="A8904" s="1" t="s">
        <v>1493</v>
      </c>
      <c r="B8904" s="1" t="n">
        <v>175.25</v>
      </c>
      <c r="C8904" s="1" t="n">
        <f aca="false">1/B8904</f>
        <v>0.00570613409415121</v>
      </c>
      <c r="D8904" s="1" t="n">
        <v>1.0758</v>
      </c>
      <c r="E8904" s="1" t="n">
        <f aca="false">LN(D8904)</f>
        <v>0.0730645708570052</v>
      </c>
    </row>
    <row r="8905" customFormat="false" ht="15.75" hidden="false" customHeight="false" outlineLevel="0" collapsed="false">
      <c r="A8905" s="1" t="s">
        <v>1493</v>
      </c>
      <c r="B8905" s="1" t="n">
        <v>175.79</v>
      </c>
      <c r="C8905" s="1" t="n">
        <f aca="false">1/B8905</f>
        <v>0.00568860572273736</v>
      </c>
      <c r="D8905" s="1" t="n">
        <v>1.0612</v>
      </c>
      <c r="E8905" s="1" t="n">
        <f aca="false">LN(D8905)</f>
        <v>0.0594003432814475</v>
      </c>
    </row>
    <row r="8906" customFormat="false" ht="15.75" hidden="false" customHeight="false" outlineLevel="0" collapsed="false">
      <c r="A8906" s="1" t="s">
        <v>1493</v>
      </c>
      <c r="B8906" s="1" t="n">
        <v>176.34</v>
      </c>
      <c r="C8906" s="1" t="n">
        <f aca="false">1/B8906</f>
        <v>0.00567086310536464</v>
      </c>
      <c r="D8906" s="1" t="n">
        <v>1.0469</v>
      </c>
      <c r="E8906" s="1" t="n">
        <f aca="false">LN(D8906)</f>
        <v>0.0458334163431722</v>
      </c>
    </row>
    <row r="8907" customFormat="false" ht="15.75" hidden="false" customHeight="false" outlineLevel="0" collapsed="false">
      <c r="A8907" s="1" t="s">
        <v>1493</v>
      </c>
      <c r="B8907" s="1" t="n">
        <v>176.89</v>
      </c>
      <c r="C8907" s="1" t="n">
        <f aca="false">1/B8907</f>
        <v>0.00565323082141444</v>
      </c>
      <c r="D8907" s="1" t="n">
        <v>1.033</v>
      </c>
      <c r="E8907" s="1" t="n">
        <f aca="false">LN(D8907)</f>
        <v>0.0324671901375014</v>
      </c>
    </row>
    <row r="8908" customFormat="false" ht="15.75" hidden="false" customHeight="false" outlineLevel="0" collapsed="false">
      <c r="A8908" s="1" t="s">
        <v>1493</v>
      </c>
      <c r="B8908" s="1" t="n">
        <v>177.43</v>
      </c>
      <c r="C8908" s="1" t="n">
        <f aca="false">1/B8908</f>
        <v>0.00563602547483515</v>
      </c>
      <c r="D8908" s="1" t="n">
        <v>1.0193</v>
      </c>
      <c r="E8908" s="1" t="n">
        <f aca="false">LN(D8908)</f>
        <v>0.0191161171922301</v>
      </c>
    </row>
    <row r="8909" customFormat="false" ht="15.75" hidden="false" customHeight="false" outlineLevel="0" collapsed="false">
      <c r="A8909" s="1" t="s">
        <v>1493</v>
      </c>
      <c r="B8909" s="1" t="n">
        <v>177.98</v>
      </c>
      <c r="C8909" s="1" t="n">
        <f aca="false">1/B8909</f>
        <v>0.00561860883245308</v>
      </c>
      <c r="D8909" s="1" t="n">
        <v>1.0059</v>
      </c>
      <c r="E8909" s="1" t="n">
        <f aca="false">LN(D8909)</f>
        <v>0.00588266315815551</v>
      </c>
    </row>
    <row r="8910" customFormat="false" ht="15.75" hidden="false" customHeight="false" outlineLevel="0" collapsed="false">
      <c r="A8910" s="1" t="s">
        <v>1493</v>
      </c>
      <c r="B8910" s="1" t="n">
        <v>178.52</v>
      </c>
      <c r="C8910" s="1" t="n">
        <f aca="false">1/B8910</f>
        <v>0.00560161326462021</v>
      </c>
      <c r="D8910" s="1" t="n">
        <v>0.9928</v>
      </c>
      <c r="E8910" s="1" t="n">
        <f aca="false">LN(D8910)</f>
        <v>-0.00722604509173958</v>
      </c>
    </row>
    <row r="8911" customFormat="false" ht="15.75" hidden="false" customHeight="false" outlineLevel="0" collapsed="false">
      <c r="A8911" s="1" t="s">
        <v>1493</v>
      </c>
      <c r="B8911" s="1" t="n">
        <v>179.07</v>
      </c>
      <c r="C8911" s="1" t="n">
        <f aca="false">1/B8911</f>
        <v>0.00558440833193723</v>
      </c>
      <c r="D8911" s="1" t="n">
        <v>0.97996</v>
      </c>
      <c r="E8911" s="1" t="n">
        <f aca="false">LN(D8911)</f>
        <v>-0.0202435244770589</v>
      </c>
    </row>
    <row r="8912" customFormat="false" ht="15.75" hidden="false" customHeight="false" outlineLevel="0" collapsed="false">
      <c r="A8912" s="1" t="s">
        <v>1493</v>
      </c>
      <c r="B8912" s="1" t="n">
        <v>179.62</v>
      </c>
      <c r="C8912" s="1" t="n">
        <f aca="false">1/B8912</f>
        <v>0.00556730876294399</v>
      </c>
      <c r="D8912" s="1" t="n">
        <v>0.96739</v>
      </c>
      <c r="E8912" s="1" t="n">
        <f aca="false">LN(D8912)</f>
        <v>-0.0331535556324162</v>
      </c>
    </row>
    <row r="8913" customFormat="false" ht="15.75" hidden="false" customHeight="false" outlineLevel="0" collapsed="false">
      <c r="A8913" s="1" t="s">
        <v>1493</v>
      </c>
      <c r="B8913" s="1" t="n">
        <v>180.16</v>
      </c>
      <c r="C8913" s="1" t="n">
        <f aca="false">1/B8913</f>
        <v>0.005550621669627</v>
      </c>
      <c r="D8913" s="1" t="n">
        <v>0.95507</v>
      </c>
      <c r="E8913" s="1" t="n">
        <f aca="false">LN(D8913)</f>
        <v>-0.0459706427582861</v>
      </c>
    </row>
    <row r="8914" customFormat="false" ht="15.75" hidden="false" customHeight="false" outlineLevel="0" collapsed="false">
      <c r="A8914" s="1" t="s">
        <v>1493</v>
      </c>
      <c r="B8914" s="1" t="n">
        <v>180.71</v>
      </c>
      <c r="C8914" s="1" t="n">
        <f aca="false">1/B8914</f>
        <v>0.00553372807260251</v>
      </c>
      <c r="D8914" s="1" t="n">
        <v>0.943</v>
      </c>
      <c r="E8914" s="1" t="n">
        <f aca="false">LN(D8914)</f>
        <v>-0.0586889963486796</v>
      </c>
    </row>
    <row r="8915" customFormat="false" ht="15.75" hidden="false" customHeight="false" outlineLevel="0" collapsed="false">
      <c r="A8915" s="1" t="s">
        <v>1493</v>
      </c>
      <c r="B8915" s="1" t="n">
        <v>181.25</v>
      </c>
      <c r="C8915" s="1" t="n">
        <f aca="false">1/B8915</f>
        <v>0.00551724137931034</v>
      </c>
      <c r="D8915" s="1" t="n">
        <v>0.93116</v>
      </c>
      <c r="E8915" s="1" t="n">
        <f aca="false">LN(D8915)</f>
        <v>-0.0713241582540306</v>
      </c>
    </row>
    <row r="8916" customFormat="false" ht="15.75" hidden="false" customHeight="false" outlineLevel="0" collapsed="false">
      <c r="A8916" s="1" t="s">
        <v>1493</v>
      </c>
      <c r="B8916" s="1" t="n">
        <v>181.8</v>
      </c>
      <c r="C8916" s="1" t="n">
        <f aca="false">1/B8916</f>
        <v>0.0055005500550055</v>
      </c>
      <c r="D8916" s="1" t="n">
        <v>0.91956</v>
      </c>
      <c r="E8916" s="1" t="n">
        <f aca="false">LN(D8916)</f>
        <v>-0.0838599842118238</v>
      </c>
    </row>
    <row r="8917" customFormat="false" ht="15.75" hidden="false" customHeight="false" outlineLevel="0" collapsed="false">
      <c r="A8917" s="1" t="s">
        <v>1493</v>
      </c>
      <c r="B8917" s="1" t="n">
        <v>182.34</v>
      </c>
      <c r="C8917" s="1" t="n">
        <f aca="false">1/B8917</f>
        <v>0.00548426017330262</v>
      </c>
      <c r="D8917" s="1" t="n">
        <v>0.90818</v>
      </c>
      <c r="E8917" s="1" t="n">
        <f aca="false">LN(D8917)</f>
        <v>-0.0963126821419144</v>
      </c>
    </row>
    <row r="8918" customFormat="false" ht="15.75" hidden="false" customHeight="false" outlineLevel="0" collapsed="false">
      <c r="A8918" s="1" t="s">
        <v>1493</v>
      </c>
      <c r="B8918" s="1" t="n">
        <v>182.89</v>
      </c>
      <c r="C8918" s="1" t="n">
        <f aca="false">1/B8918</f>
        <v>0.00546776751052545</v>
      </c>
      <c r="D8918" s="1" t="n">
        <v>0.89703</v>
      </c>
      <c r="E8918" s="1" t="n">
        <f aca="false">LN(D8918)</f>
        <v>-0.108665972666553</v>
      </c>
    </row>
    <row r="8919" customFormat="false" ht="15.75" hidden="false" customHeight="false" outlineLevel="0" collapsed="false">
      <c r="A8919" s="1" t="s">
        <v>1493</v>
      </c>
      <c r="B8919" s="1" t="n">
        <v>183.44</v>
      </c>
      <c r="C8919" s="1" t="n">
        <f aca="false">1/B8919</f>
        <v>0.00545137374618404</v>
      </c>
      <c r="D8919" s="1" t="n">
        <v>0.88609</v>
      </c>
      <c r="E8919" s="1" t="n">
        <f aca="false">LN(D8919)</f>
        <v>-0.120936753400528</v>
      </c>
    </row>
    <row r="8920" customFormat="false" ht="15.75" hidden="false" customHeight="false" outlineLevel="0" collapsed="false">
      <c r="A8920" s="1" t="s">
        <v>1493</v>
      </c>
      <c r="B8920" s="1" t="n">
        <v>183.98</v>
      </c>
      <c r="C8920" s="1" t="n">
        <f aca="false">1/B8920</f>
        <v>0.00543537341015328</v>
      </c>
      <c r="D8920" s="1" t="n">
        <v>0.87535</v>
      </c>
      <c r="E8920" s="1" t="n">
        <f aca="false">LN(D8920)</f>
        <v>-0.133131472603196</v>
      </c>
    </row>
    <row r="8921" customFormat="false" ht="15.75" hidden="false" customHeight="false" outlineLevel="0" collapsed="false">
      <c r="A8921" s="1" t="s">
        <v>1493</v>
      </c>
      <c r="B8921" s="1" t="n">
        <v>184.53</v>
      </c>
      <c r="C8921" s="1" t="n">
        <f aca="false">1/B8921</f>
        <v>0.00541917303419498</v>
      </c>
      <c r="D8921" s="1" t="n">
        <v>0.86482</v>
      </c>
      <c r="E8921" s="1" t="n">
        <f aca="false">LN(D8921)</f>
        <v>-0.145233886190052</v>
      </c>
    </row>
    <row r="8922" customFormat="false" ht="15.75" hidden="false" customHeight="false" outlineLevel="0" collapsed="false">
      <c r="A8922" s="1" t="s">
        <v>1493</v>
      </c>
      <c r="B8922" s="1" t="n">
        <v>185.07</v>
      </c>
      <c r="C8922" s="1" t="n">
        <f aca="false">1/B8922</f>
        <v>0.00540336089047387</v>
      </c>
      <c r="D8922" s="1" t="n">
        <v>0.85448</v>
      </c>
      <c r="E8922" s="1" t="n">
        <f aca="false">LN(D8922)</f>
        <v>-0.157262182200697</v>
      </c>
    </row>
    <row r="8923" customFormat="false" ht="15.75" hidden="false" customHeight="false" outlineLevel="0" collapsed="false">
      <c r="A8923" s="1" t="s">
        <v>1493</v>
      </c>
      <c r="B8923" s="1" t="n">
        <v>185.62</v>
      </c>
      <c r="C8923" s="1" t="n">
        <f aca="false">1/B8923</f>
        <v>0.0053873505010236</v>
      </c>
      <c r="D8923" s="1" t="n">
        <v>0.84434</v>
      </c>
      <c r="E8923" s="1" t="n">
        <f aca="false">LN(D8923)</f>
        <v>-0.169200021903983</v>
      </c>
    </row>
    <row r="8924" customFormat="false" ht="15.75" hidden="false" customHeight="false" outlineLevel="0" collapsed="false">
      <c r="A8924" s="1" t="s">
        <v>1493</v>
      </c>
      <c r="B8924" s="1" t="n">
        <v>186.17</v>
      </c>
      <c r="C8924" s="1" t="n">
        <f aca="false">1/B8924</f>
        <v>0.0053714347102111</v>
      </c>
      <c r="D8924" s="1" t="n">
        <v>0.83438</v>
      </c>
      <c r="E8924" s="1" t="n">
        <f aca="false">LN(D8924)</f>
        <v>-0.181066344902114</v>
      </c>
    </row>
    <row r="8925" customFormat="false" ht="15.75" hidden="false" customHeight="false" outlineLevel="0" collapsed="false">
      <c r="A8925" s="1" t="s">
        <v>1493</v>
      </c>
      <c r="B8925" s="1" t="n">
        <v>186.71</v>
      </c>
      <c r="C8925" s="1" t="n">
        <f aca="false">1/B8925</f>
        <v>0.00535589952332494</v>
      </c>
      <c r="D8925" s="1" t="n">
        <v>0.8246</v>
      </c>
      <c r="E8925" s="1" t="n">
        <f aca="false">LN(D8925)</f>
        <v>-0.192856858709337</v>
      </c>
    </row>
    <row r="8926" customFormat="false" ht="15.75" hidden="false" customHeight="false" outlineLevel="0" collapsed="false">
      <c r="A8926" s="1" t="s">
        <v>1493</v>
      </c>
      <c r="B8926" s="1" t="n">
        <v>187.26</v>
      </c>
      <c r="C8926" s="1" t="n">
        <f aca="false">1/B8926</f>
        <v>0.00534016874933248</v>
      </c>
      <c r="D8926" s="1" t="n">
        <v>0.815</v>
      </c>
      <c r="E8926" s="1" t="n">
        <f aca="false">LN(D8926)</f>
        <v>-0.204567165741274</v>
      </c>
    </row>
    <row r="8927" customFormat="false" ht="15.75" hidden="false" customHeight="false" outlineLevel="0" collapsed="false">
      <c r="A8927" s="1" t="s">
        <v>1493</v>
      </c>
      <c r="B8927" s="1" t="n">
        <v>187.8</v>
      </c>
      <c r="C8927" s="1" t="n">
        <f aca="false">1/B8927</f>
        <v>0.0053248136315229</v>
      </c>
      <c r="D8927" s="1" t="n">
        <v>0.80556</v>
      </c>
      <c r="E8927" s="1" t="n">
        <f aca="false">LN(D8927)</f>
        <v>-0.216217591243476</v>
      </c>
    </row>
    <row r="8928" customFormat="false" ht="15.75" hidden="false" customHeight="false" outlineLevel="0" collapsed="false">
      <c r="A8928" s="1" t="s">
        <v>1493</v>
      </c>
      <c r="B8928" s="1" t="n">
        <v>188.35</v>
      </c>
      <c r="C8928" s="1" t="n">
        <f aca="false">1/B8928</f>
        <v>0.00530926466684364</v>
      </c>
      <c r="D8928" s="1" t="n">
        <v>0.7963</v>
      </c>
      <c r="E8928" s="1" t="n">
        <f aca="false">LN(D8928)</f>
        <v>-0.227779279718738</v>
      </c>
    </row>
    <row r="8929" customFormat="false" ht="15.75" hidden="false" customHeight="false" outlineLevel="0" collapsed="false">
      <c r="A8929" s="1" t="s">
        <v>1493</v>
      </c>
      <c r="B8929" s="1" t="n">
        <v>188.89</v>
      </c>
      <c r="C8929" s="1" t="n">
        <f aca="false">1/B8929</f>
        <v>0.0052940865053735</v>
      </c>
      <c r="D8929" s="1" t="n">
        <v>0.7872</v>
      </c>
      <c r="E8929" s="1" t="n">
        <f aca="false">LN(D8929)</f>
        <v>-0.239272933244093</v>
      </c>
    </row>
    <row r="8930" customFormat="false" ht="15.75" hidden="false" customHeight="false" outlineLevel="0" collapsed="false">
      <c r="A8930" s="1" t="s">
        <v>1493</v>
      </c>
      <c r="B8930" s="1" t="n">
        <v>189.44</v>
      </c>
      <c r="C8930" s="1" t="n">
        <f aca="false">1/B8930</f>
        <v>0.00527871621621622</v>
      </c>
      <c r="D8930" s="1" t="n">
        <v>0.77826</v>
      </c>
      <c r="E8930" s="1" t="n">
        <f aca="false">LN(D8930)</f>
        <v>-0.2506946204015</v>
      </c>
    </row>
    <row r="8931" customFormat="false" ht="15.75" hidden="false" customHeight="false" outlineLevel="0" collapsed="false">
      <c r="A8931" s="1" t="s">
        <v>1493</v>
      </c>
      <c r="B8931" s="1" t="n">
        <v>189.99</v>
      </c>
      <c r="C8931" s="1" t="n">
        <f aca="false">1/B8931</f>
        <v>0.00526343491762724</v>
      </c>
      <c r="D8931" s="1" t="n">
        <v>0.76947</v>
      </c>
      <c r="E8931" s="1" t="n">
        <f aca="false">LN(D8931)</f>
        <v>-0.262053312817967</v>
      </c>
    </row>
    <row r="8932" customFormat="false" ht="15.75" hidden="false" customHeight="false" outlineLevel="0" collapsed="false">
      <c r="A8932" s="1" t="s">
        <v>1493</v>
      </c>
      <c r="B8932" s="1" t="n">
        <v>190.53</v>
      </c>
      <c r="C8932" s="1" t="n">
        <f aca="false">1/B8932</f>
        <v>0.00524851729386448</v>
      </c>
      <c r="D8932" s="1" t="n">
        <v>0.76083</v>
      </c>
      <c r="E8932" s="1" t="n">
        <f aca="false">LN(D8932)</f>
        <v>-0.273345336351728</v>
      </c>
    </row>
    <row r="8933" customFormat="false" ht="15.75" hidden="false" customHeight="false" outlineLevel="0" collapsed="false">
      <c r="A8933" s="1" t="s">
        <v>1493</v>
      </c>
      <c r="B8933" s="1" t="n">
        <v>191.08</v>
      </c>
      <c r="C8933" s="1" t="n">
        <f aca="false">1/B8933</f>
        <v>0.00523341009001465</v>
      </c>
      <c r="D8933" s="1" t="n">
        <v>0.75234</v>
      </c>
      <c r="E8933" s="1" t="n">
        <f aca="false">LN(D8933)</f>
        <v>-0.284566929551636</v>
      </c>
    </row>
    <row r="8934" customFormat="false" ht="15.75" hidden="false" customHeight="false" outlineLevel="0" collapsed="false">
      <c r="A8934" s="1" t="s">
        <v>1493</v>
      </c>
      <c r="B8934" s="1" t="n">
        <v>191.62</v>
      </c>
      <c r="C8934" s="1" t="n">
        <f aca="false">1/B8934</f>
        <v>0.00521866193507985</v>
      </c>
      <c r="D8934" s="1" t="n">
        <v>0.744</v>
      </c>
      <c r="E8934" s="1" t="n">
        <f aca="false">LN(D8934)</f>
        <v>-0.295714244149045</v>
      </c>
    </row>
    <row r="8935" customFormat="false" ht="15.75" hidden="false" customHeight="false" outlineLevel="0" collapsed="false">
      <c r="A8935" s="1" t="s">
        <v>1493</v>
      </c>
      <c r="B8935" s="1" t="n">
        <v>192.17</v>
      </c>
      <c r="C8935" s="1" t="n">
        <f aca="false">1/B8935</f>
        <v>0.00520372586772129</v>
      </c>
      <c r="D8935" s="1" t="n">
        <v>0.73579</v>
      </c>
      <c r="E8935" s="1" t="n">
        <f aca="false">LN(D8935)</f>
        <v>-0.30681052705345</v>
      </c>
    </row>
    <row r="8936" customFormat="false" ht="15.75" hidden="false" customHeight="false" outlineLevel="0" collapsed="false">
      <c r="A8936" s="1" t="s">
        <v>1493</v>
      </c>
      <c r="B8936" s="1" t="n">
        <v>192.71</v>
      </c>
      <c r="C8936" s="1" t="n">
        <f aca="false">1/B8936</f>
        <v>0.00518914431010326</v>
      </c>
      <c r="D8936" s="1" t="n">
        <v>0.72772</v>
      </c>
      <c r="E8936" s="1" t="n">
        <f aca="false">LN(D8936)</f>
        <v>-0.317838920153534</v>
      </c>
    </row>
    <row r="8937" customFormat="false" ht="15.75" hidden="false" customHeight="false" outlineLevel="0" collapsed="false">
      <c r="A8937" s="1" t="s">
        <v>1493</v>
      </c>
      <c r="B8937" s="1" t="n">
        <v>193.26</v>
      </c>
      <c r="C8937" s="1" t="n">
        <f aca="false">1/B8937</f>
        <v>0.00517437648763324</v>
      </c>
      <c r="D8937" s="1" t="n">
        <v>0.71978</v>
      </c>
      <c r="E8937" s="1" t="n">
        <f aca="false">LN(D8937)</f>
        <v>-0.328809669219202</v>
      </c>
    </row>
    <row r="8938" customFormat="false" ht="15.75" hidden="false" customHeight="false" outlineLevel="0" collapsed="false">
      <c r="A8938" s="1" t="s">
        <v>1493</v>
      </c>
      <c r="B8938" s="1" t="n">
        <v>193.81</v>
      </c>
      <c r="C8938" s="1" t="n">
        <f aca="false">1/B8938</f>
        <v>0.00515969248232805</v>
      </c>
      <c r="D8938" s="1" t="n">
        <v>0.71198</v>
      </c>
      <c r="E8938" s="1" t="n">
        <f aca="false">LN(D8938)</f>
        <v>-0.33970545785233</v>
      </c>
    </row>
    <row r="8939" customFormat="false" ht="15.75" hidden="false" customHeight="false" outlineLevel="0" collapsed="false">
      <c r="A8939" s="1" t="s">
        <v>1493</v>
      </c>
      <c r="B8939" s="1" t="n">
        <v>194.35</v>
      </c>
      <c r="C8939" s="1" t="n">
        <f aca="false">1/B8939</f>
        <v>0.00514535631592488</v>
      </c>
      <c r="D8939" s="1" t="n">
        <v>0.7043</v>
      </c>
      <c r="E8939" s="1" t="n">
        <f aca="false">LN(D8939)</f>
        <v>-0.350550877230772</v>
      </c>
    </row>
    <row r="8940" customFormat="false" ht="15.75" hidden="false" customHeight="false" outlineLevel="0" collapsed="false">
      <c r="A8940" s="1" t="s">
        <v>1493</v>
      </c>
      <c r="B8940" s="1" t="n">
        <v>194.9</v>
      </c>
      <c r="C8940" s="1" t="n">
        <f aca="false">1/B8940</f>
        <v>0.00513083632632119</v>
      </c>
      <c r="D8940" s="1" t="n">
        <v>0.69674</v>
      </c>
      <c r="E8940" s="1" t="n">
        <f aca="false">LN(D8940)</f>
        <v>-0.361342965073273</v>
      </c>
    </row>
    <row r="8941" customFormat="false" ht="15.75" hidden="false" customHeight="false" outlineLevel="0" collapsed="false">
      <c r="A8941" s="1" t="s">
        <v>1493</v>
      </c>
      <c r="B8941" s="1" t="n">
        <v>195.44</v>
      </c>
      <c r="C8941" s="1" t="n">
        <f aca="false">1/B8941</f>
        <v>0.00511665984445354</v>
      </c>
      <c r="D8941" s="1" t="n">
        <v>0.6893</v>
      </c>
      <c r="E8941" s="1" t="n">
        <f aca="false">LN(D8941)</f>
        <v>-0.372078689090531</v>
      </c>
    </row>
    <row r="8942" customFormat="false" ht="15.75" hidden="false" customHeight="false" outlineLevel="0" collapsed="false">
      <c r="A8942" s="1" t="s">
        <v>1493</v>
      </c>
      <c r="B8942" s="1" t="n">
        <v>195.99</v>
      </c>
      <c r="C8942" s="1" t="n">
        <f aca="false">1/B8942</f>
        <v>0.00510230113781315</v>
      </c>
      <c r="D8942" s="1" t="n">
        <v>0.68199</v>
      </c>
      <c r="E8942" s="1" t="n">
        <f aca="false">LN(D8942)</f>
        <v>-0.382740284002772</v>
      </c>
    </row>
    <row r="8943" customFormat="false" ht="15.75" hidden="false" customHeight="false" outlineLevel="0" collapsed="false">
      <c r="A8943" s="1" t="s">
        <v>1493</v>
      </c>
      <c r="B8943" s="1" t="n">
        <v>196.54</v>
      </c>
      <c r="C8943" s="1" t="n">
        <f aca="false">1/B8943</f>
        <v>0.00508802279434212</v>
      </c>
      <c r="D8943" s="1" t="n">
        <v>0.67479</v>
      </c>
      <c r="E8943" s="1" t="n">
        <f aca="false">LN(D8943)</f>
        <v>-0.39335374762582</v>
      </c>
    </row>
    <row r="8944" customFormat="false" ht="15.75" hidden="false" customHeight="false" outlineLevel="0" collapsed="false">
      <c r="A8944" s="1" t="s">
        <v>1493</v>
      </c>
      <c r="B8944" s="1" t="n">
        <v>197.08</v>
      </c>
      <c r="C8944" s="1" t="n">
        <f aca="false">1/B8944</f>
        <v>0.00507408159123199</v>
      </c>
      <c r="D8944" s="1" t="n">
        <v>0.6677</v>
      </c>
      <c r="E8944" s="1" t="n">
        <f aca="false">LN(D8944)</f>
        <v>-0.403916308118314</v>
      </c>
    </row>
    <row r="8945" customFormat="false" ht="15.75" hidden="false" customHeight="false" outlineLevel="0" collapsed="false">
      <c r="A8945" s="1" t="s">
        <v>1493</v>
      </c>
      <c r="B8945" s="1" t="n">
        <v>197.63</v>
      </c>
      <c r="C8945" s="1" t="n">
        <f aca="false">1/B8945</f>
        <v>0.00505996053230785</v>
      </c>
      <c r="D8945" s="1" t="n">
        <v>0.66072</v>
      </c>
      <c r="E8945" s="1" t="n">
        <f aca="false">LN(D8945)</f>
        <v>-0.414425129479676</v>
      </c>
    </row>
    <row r="8946" customFormat="false" ht="15.75" hidden="false" customHeight="false" outlineLevel="0" collapsed="false">
      <c r="A8946" s="1" t="s">
        <v>1493</v>
      </c>
      <c r="B8946" s="1" t="n">
        <v>198.17</v>
      </c>
      <c r="C8946" s="1" t="n">
        <f aca="false">1/B8946</f>
        <v>0.00504617247817531</v>
      </c>
      <c r="D8946" s="1" t="n">
        <v>0.65385</v>
      </c>
      <c r="E8946" s="1" t="n">
        <f aca="false">LN(D8946)</f>
        <v>-0.424877311629626</v>
      </c>
    </row>
    <row r="8947" customFormat="false" ht="15.75" hidden="false" customHeight="false" outlineLevel="0" collapsed="false">
      <c r="A8947" s="1" t="s">
        <v>1493</v>
      </c>
      <c r="B8947" s="1" t="n">
        <v>198.72</v>
      </c>
      <c r="C8947" s="1" t="n">
        <f aca="false">1/B8947</f>
        <v>0.00503220611916264</v>
      </c>
      <c r="D8947" s="1" t="n">
        <v>0.64708</v>
      </c>
      <c r="E8947" s="1" t="n">
        <f aca="false">LN(D8947)</f>
        <v>-0.435285344520644</v>
      </c>
    </row>
    <row r="8948" customFormat="false" ht="15.75" hidden="false" customHeight="false" outlineLevel="0" collapsed="false">
      <c r="A8948" s="1" t="s">
        <v>1493</v>
      </c>
      <c r="B8948" s="1" t="n">
        <v>199.26</v>
      </c>
      <c r="C8948" s="1" t="n">
        <f aca="false">1/B8948</f>
        <v>0.00501856870420556</v>
      </c>
      <c r="D8948" s="1" t="n">
        <v>0.64042</v>
      </c>
      <c r="E8948" s="1" t="n">
        <f aca="false">LN(D8948)</f>
        <v>-0.445631067866289</v>
      </c>
    </row>
    <row r="8949" customFormat="false" ht="15.75" hidden="false" customHeight="false" outlineLevel="0" collapsed="false">
      <c r="A8949" s="1" t="s">
        <v>1493</v>
      </c>
      <c r="B8949" s="1" t="n">
        <v>199.81</v>
      </c>
      <c r="C8949" s="1" t="n">
        <f aca="false">1/B8949</f>
        <v>0.00500475451679095</v>
      </c>
      <c r="D8949" s="1" t="n">
        <v>0.63386</v>
      </c>
      <c r="E8949" s="1" t="n">
        <f aca="false">LN(D8949)</f>
        <v>-0.455927169118553</v>
      </c>
    </row>
    <row r="8950" customFormat="false" ht="15.75" hidden="false" customHeight="false" outlineLevel="0" collapsed="false">
      <c r="A8950" s="1" t="s">
        <v>1493</v>
      </c>
      <c r="B8950" s="1" t="n">
        <v>200.36</v>
      </c>
      <c r="C8950" s="1" t="n">
        <f aca="false">1/B8950</f>
        <v>0.00499101617089239</v>
      </c>
      <c r="D8950" s="1" t="n">
        <v>0.6274</v>
      </c>
      <c r="E8950" s="1" t="n">
        <f aca="false">LN(D8950)</f>
        <v>-0.466170983225559</v>
      </c>
    </row>
    <row r="8951" customFormat="false" ht="15.75" hidden="false" customHeight="false" outlineLevel="0" collapsed="false">
      <c r="A8951" s="1" t="s">
        <v>1493</v>
      </c>
      <c r="B8951" s="1" t="n">
        <v>200.9</v>
      </c>
      <c r="C8951" s="1" t="n">
        <f aca="false">1/B8951</f>
        <v>0.00497760079641613</v>
      </c>
      <c r="D8951" s="1" t="n">
        <v>0.62103</v>
      </c>
      <c r="E8951" s="1" t="n">
        <f aca="false">LN(D8951)</f>
        <v>-0.476375889036765</v>
      </c>
    </row>
    <row r="8952" customFormat="false" ht="15.75" hidden="false" customHeight="false" outlineLevel="0" collapsed="false">
      <c r="A8952" s="1" t="s">
        <v>1493</v>
      </c>
      <c r="B8952" s="1" t="n">
        <v>201.45</v>
      </c>
      <c r="C8952" s="1" t="n">
        <f aca="false">1/B8952</f>
        <v>0.00496401092082403</v>
      </c>
      <c r="D8952" s="1" t="n">
        <v>0.61476</v>
      </c>
      <c r="E8952" s="1" t="n">
        <f aca="false">LN(D8952)</f>
        <v>-0.486523331243026</v>
      </c>
    </row>
    <row r="8953" customFormat="false" ht="15.75" hidden="false" customHeight="false" outlineLevel="0" collapsed="false">
      <c r="A8953" s="1" t="s">
        <v>1493</v>
      </c>
      <c r="B8953" s="1" t="n">
        <v>201.99</v>
      </c>
      <c r="C8953" s="1" t="n">
        <f aca="false">1/B8953</f>
        <v>0.00495074013565028</v>
      </c>
      <c r="D8953" s="1" t="n">
        <v>0.60858</v>
      </c>
      <c r="E8953" s="1" t="n">
        <f aca="false">LN(D8953)</f>
        <v>-0.496626904366178</v>
      </c>
    </row>
    <row r="8954" customFormat="false" ht="15.75" hidden="false" customHeight="false" outlineLevel="0" collapsed="false">
      <c r="A8954" s="1" t="s">
        <v>1493</v>
      </c>
      <c r="B8954" s="1" t="n">
        <v>202.54</v>
      </c>
      <c r="C8954" s="1" t="n">
        <f aca="false">1/B8954</f>
        <v>0.00493729633652612</v>
      </c>
      <c r="D8954" s="1" t="n">
        <v>0.60249</v>
      </c>
      <c r="E8954" s="1" t="n">
        <f aca="false">LN(D8954)</f>
        <v>-0.506684211265441</v>
      </c>
    </row>
    <row r="8955" customFormat="false" ht="15.75" hidden="false" customHeight="false" outlineLevel="0" collapsed="false">
      <c r="A8955" s="1" t="s">
        <v>1493</v>
      </c>
      <c r="B8955" s="1" t="n">
        <v>203.08</v>
      </c>
      <c r="C8955" s="1" t="n">
        <f aca="false">1/B8955</f>
        <v>0.00492416781563916</v>
      </c>
      <c r="D8955" s="1" t="n">
        <v>0.59649</v>
      </c>
      <c r="E8955" s="1" t="n">
        <f aca="false">LN(D8955)</f>
        <v>-0.516692802044038</v>
      </c>
    </row>
    <row r="8956" customFormat="false" ht="15.75" hidden="false" customHeight="false" outlineLevel="0" collapsed="false">
      <c r="A8956" s="1" t="s">
        <v>1493</v>
      </c>
      <c r="B8956" s="1" t="n">
        <v>203.63</v>
      </c>
      <c r="C8956" s="1" t="n">
        <f aca="false">1/B8956</f>
        <v>0.00491086775033148</v>
      </c>
      <c r="D8956" s="1" t="n">
        <v>0.59057</v>
      </c>
      <c r="E8956" s="1" t="n">
        <f aca="false">LN(D8956)</f>
        <v>-0.526667106763346</v>
      </c>
    </row>
    <row r="8957" customFormat="false" ht="15.75" hidden="false" customHeight="false" outlineLevel="0" collapsed="false">
      <c r="A8957" s="1" t="s">
        <v>1493</v>
      </c>
      <c r="B8957" s="1" t="n">
        <v>204.18</v>
      </c>
      <c r="C8957" s="1" t="n">
        <f aca="false">1/B8957</f>
        <v>0.00489763933783916</v>
      </c>
      <c r="D8957" s="1" t="n">
        <v>0.58474</v>
      </c>
      <c r="E8957" s="1" t="n">
        <f aca="false">LN(D8957)</f>
        <v>-0.536587974989431</v>
      </c>
    </row>
    <row r="8958" customFormat="false" ht="15.75" hidden="false" customHeight="false" outlineLevel="0" collapsed="false">
      <c r="A8958" s="1" t="s">
        <v>1493</v>
      </c>
      <c r="B8958" s="1" t="n">
        <v>204.72</v>
      </c>
      <c r="C8958" s="1" t="n">
        <f aca="false">1/B8958</f>
        <v>0.00488472059398202</v>
      </c>
      <c r="D8958" s="1" t="n">
        <v>0.57899</v>
      </c>
      <c r="E8958" s="1" t="n">
        <f aca="false">LN(D8958)</f>
        <v>-0.546470072715457</v>
      </c>
    </row>
    <row r="8959" customFormat="false" ht="15.75" hidden="false" customHeight="false" outlineLevel="0" collapsed="false">
      <c r="A8959" s="1" t="s">
        <v>1493</v>
      </c>
      <c r="B8959" s="1" t="n">
        <v>205.27</v>
      </c>
      <c r="C8959" s="1" t="n">
        <f aca="false">1/B8959</f>
        <v>0.0048716324840454</v>
      </c>
      <c r="D8959" s="1" t="n">
        <v>0.57333</v>
      </c>
      <c r="E8959" s="1" t="n">
        <f aca="false">LN(D8959)</f>
        <v>-0.556293811813137</v>
      </c>
    </row>
    <row r="8960" customFormat="false" ht="15.75" hidden="false" customHeight="false" outlineLevel="0" collapsed="false">
      <c r="A8960" s="1" t="s">
        <v>1493</v>
      </c>
      <c r="B8960" s="1" t="n">
        <v>205.81</v>
      </c>
      <c r="C8960" s="1" t="n">
        <f aca="false">1/B8960</f>
        <v>0.00485885039599631</v>
      </c>
      <c r="D8960" s="1" t="n">
        <v>0.56774</v>
      </c>
      <c r="E8960" s="1" t="n">
        <f aca="false">LN(D8960)</f>
        <v>-0.56609171153776</v>
      </c>
    </row>
    <row r="8961" customFormat="false" ht="15.75" hidden="false" customHeight="false" outlineLevel="0" collapsed="false">
      <c r="A8961" s="1" t="s">
        <v>1493</v>
      </c>
      <c r="B8961" s="1" t="n">
        <v>206.36</v>
      </c>
      <c r="C8961" s="1" t="n">
        <f aca="false">1/B8961</f>
        <v>0.00484590036828843</v>
      </c>
      <c r="D8961" s="1" t="n">
        <v>0.56223</v>
      </c>
      <c r="E8961" s="1" t="n">
        <f aca="false">LN(D8961)</f>
        <v>-0.575844260140439</v>
      </c>
    </row>
    <row r="8962" customFormat="false" ht="15.75" hidden="false" customHeight="false" outlineLevel="0" collapsed="false">
      <c r="A8962" s="1" t="s">
        <v>1493</v>
      </c>
      <c r="B8962" s="1" t="n">
        <v>206.91</v>
      </c>
      <c r="C8962" s="1" t="n">
        <f aca="false">1/B8962</f>
        <v>0.00483301918708617</v>
      </c>
      <c r="D8962" s="1" t="n">
        <v>0.5568</v>
      </c>
      <c r="E8962" s="1" t="n">
        <f aca="false">LN(D8962)</f>
        <v>-0.585549169961927</v>
      </c>
    </row>
    <row r="8963" customFormat="false" ht="15.75" hidden="false" customHeight="false" outlineLevel="0" collapsed="false">
      <c r="A8963" s="1" t="s">
        <v>1493</v>
      </c>
      <c r="B8963" s="1" t="n">
        <v>207.45</v>
      </c>
      <c r="C8963" s="1" t="n">
        <f aca="false">1/B8963</f>
        <v>0.00482043865991805</v>
      </c>
      <c r="D8963" s="1" t="n">
        <v>0.55144</v>
      </c>
      <c r="E8963" s="1" t="n">
        <f aca="false">LN(D8963)</f>
        <v>-0.595222240404741</v>
      </c>
    </row>
    <row r="8964" customFormat="false" ht="15.75" hidden="false" customHeight="false" outlineLevel="0" collapsed="false">
      <c r="A8964" s="1" t="s">
        <v>1493</v>
      </c>
      <c r="B8964" s="1" t="n">
        <v>208</v>
      </c>
      <c r="C8964" s="1" t="n">
        <f aca="false">1/B8964</f>
        <v>0.00480769230769231</v>
      </c>
      <c r="D8964" s="1" t="n">
        <v>0.54616</v>
      </c>
      <c r="E8964" s="1" t="n">
        <f aca="false">LN(D8964)</f>
        <v>-0.604843305872112</v>
      </c>
    </row>
    <row r="8965" customFormat="false" ht="15.75" hidden="false" customHeight="false" outlineLevel="0" collapsed="false">
      <c r="A8965" s="1" t="s">
        <v>1493</v>
      </c>
      <c r="B8965" s="1" t="n">
        <v>208.54</v>
      </c>
      <c r="C8965" s="1" t="n">
        <f aca="false">1/B8965</f>
        <v>0.00479524311882612</v>
      </c>
      <c r="D8965" s="1" t="n">
        <v>0.54095</v>
      </c>
      <c r="E8965" s="1" t="n">
        <f aca="false">LN(D8965)</f>
        <v>-0.614428425848555</v>
      </c>
    </row>
    <row r="8966" customFormat="false" ht="15.75" hidden="false" customHeight="false" outlineLevel="0" collapsed="false">
      <c r="A8966" s="1" t="s">
        <v>1493</v>
      </c>
      <c r="B8966" s="1" t="n">
        <v>209.09</v>
      </c>
      <c r="C8966" s="1" t="n">
        <f aca="false">1/B8966</f>
        <v>0.00478262948969343</v>
      </c>
      <c r="D8966" s="1" t="n">
        <v>0.53581</v>
      </c>
      <c r="E8966" s="1" t="n">
        <f aca="false">LN(D8966)</f>
        <v>-0.623975658365315</v>
      </c>
    </row>
    <row r="8967" customFormat="false" ht="15.75" hidden="false" customHeight="false" outlineLevel="0" collapsed="false">
      <c r="A8967" s="1" t="s">
        <v>1493</v>
      </c>
      <c r="B8967" s="1" t="n">
        <v>209.63</v>
      </c>
      <c r="C8967" s="1" t="n">
        <f aca="false">1/B8967</f>
        <v>0.00477030959309259</v>
      </c>
      <c r="D8967" s="1" t="n">
        <v>0.53073</v>
      </c>
      <c r="E8967" s="1" t="n">
        <f aca="false">LN(D8967)</f>
        <v>-0.633501861633505</v>
      </c>
    </row>
    <row r="8968" customFormat="false" ht="15.75" hidden="false" customHeight="false" outlineLevel="0" collapsed="false">
      <c r="A8968" s="1" t="s">
        <v>1493</v>
      </c>
      <c r="B8968" s="1" t="n">
        <v>210.18</v>
      </c>
      <c r="C8968" s="1" t="n">
        <f aca="false">1/B8968</f>
        <v>0.00475782662479779</v>
      </c>
      <c r="D8968" s="1" t="n">
        <v>0.52573</v>
      </c>
      <c r="E8968" s="1" t="n">
        <f aca="false">LN(D8968)</f>
        <v>-0.642967506016862</v>
      </c>
    </row>
    <row r="8969" customFormat="false" ht="15.75" hidden="false" customHeight="false" outlineLevel="0" collapsed="false">
      <c r="A8969" s="1" t="s">
        <v>1493</v>
      </c>
      <c r="B8969" s="1" t="n">
        <v>210.73</v>
      </c>
      <c r="C8969" s="1" t="n">
        <f aca="false">1/B8969</f>
        <v>0.00474540881696958</v>
      </c>
      <c r="D8969" s="1" t="n">
        <v>0.52079</v>
      </c>
      <c r="E8969" s="1" t="n">
        <f aca="false">LN(D8969)</f>
        <v>-0.652408389501002</v>
      </c>
    </row>
    <row r="8970" customFormat="false" ht="15.75" hidden="false" customHeight="false" outlineLevel="0" collapsed="false">
      <c r="A8970" s="1" t="s">
        <v>1493</v>
      </c>
      <c r="B8970" s="1" t="n">
        <v>211.27</v>
      </c>
      <c r="C8970" s="1" t="n">
        <f aca="false">1/B8970</f>
        <v>0.00473327968949685</v>
      </c>
      <c r="D8970" s="1" t="n">
        <v>0.51592</v>
      </c>
      <c r="E8970" s="1" t="n">
        <f aca="false">LN(D8970)</f>
        <v>-0.661803564280015</v>
      </c>
    </row>
    <row r="8971" customFormat="false" ht="15.75" hidden="false" customHeight="false" outlineLevel="0" collapsed="false">
      <c r="A8971" s="1" t="s">
        <v>1493</v>
      </c>
      <c r="B8971" s="1" t="n">
        <v>211.82</v>
      </c>
      <c r="C8971" s="1" t="n">
        <f aca="false">1/B8971</f>
        <v>0.00472098951940327</v>
      </c>
      <c r="D8971" s="1" t="n">
        <v>0.51111</v>
      </c>
      <c r="E8971" s="1" t="n">
        <f aca="false">LN(D8971)</f>
        <v>-0.671170447756577</v>
      </c>
    </row>
    <row r="8972" customFormat="false" ht="15.75" hidden="false" customHeight="false" outlineLevel="0" collapsed="false">
      <c r="A8972" s="1" t="s">
        <v>1493</v>
      </c>
      <c r="B8972" s="1" t="n">
        <v>212.36</v>
      </c>
      <c r="C8972" s="1" t="n">
        <f aca="false">1/B8972</f>
        <v>0.00470898474288943</v>
      </c>
      <c r="D8972" s="1" t="n">
        <v>0.50636</v>
      </c>
      <c r="E8972" s="1" t="n">
        <f aca="false">LN(D8972)</f>
        <v>-0.680507400213509</v>
      </c>
    </row>
    <row r="8973" customFormat="false" ht="15.75" hidden="false" customHeight="false" outlineLevel="0" collapsed="false">
      <c r="A8973" s="1" t="s">
        <v>1493</v>
      </c>
      <c r="B8973" s="1" t="n">
        <v>212.91</v>
      </c>
      <c r="C8973" s="1" t="n">
        <f aca="false">1/B8973</f>
        <v>0.00469682025268893</v>
      </c>
      <c r="D8973" s="1" t="n">
        <v>0.50167</v>
      </c>
      <c r="E8973" s="1" t="n">
        <f aca="false">LN(D8973)</f>
        <v>-0.689812745971073</v>
      </c>
    </row>
    <row r="8974" customFormat="false" ht="15.75" hidden="false" customHeight="false" outlineLevel="0" collapsed="false">
      <c r="A8974" s="1" t="s">
        <v>1493</v>
      </c>
      <c r="B8974" s="1" t="n">
        <v>213.46</v>
      </c>
      <c r="C8974" s="1" t="n">
        <f aca="false">1/B8974</f>
        <v>0.00468471844842125</v>
      </c>
      <c r="D8974" s="1" t="n">
        <v>0.49705</v>
      </c>
      <c r="E8974" s="1" t="n">
        <f aca="false">LN(D8974)</f>
        <v>-0.699064654323983</v>
      </c>
    </row>
    <row r="8975" customFormat="false" ht="15.75" hidden="false" customHeight="false" outlineLevel="0" collapsed="false">
      <c r="A8975" s="1" t="s">
        <v>1493</v>
      </c>
      <c r="B8975" s="1" t="n">
        <v>214</v>
      </c>
      <c r="C8975" s="1" t="n">
        <f aca="false">1/B8975</f>
        <v>0.00467289719626168</v>
      </c>
      <c r="D8975" s="1" t="n">
        <v>0.49248</v>
      </c>
      <c r="E8975" s="1" t="n">
        <f aca="false">LN(D8975)</f>
        <v>-0.708301428331623</v>
      </c>
    </row>
    <row r="8976" customFormat="false" ht="15.75" hidden="false" customHeight="false" outlineLevel="0" collapsed="false">
      <c r="A8976" s="1" t="s">
        <v>1493</v>
      </c>
      <c r="B8976" s="1" t="n">
        <v>214.55</v>
      </c>
      <c r="C8976" s="1" t="n">
        <f aca="false">1/B8976</f>
        <v>0.00466091820088557</v>
      </c>
      <c r="D8976" s="1" t="n">
        <v>0.48797</v>
      </c>
      <c r="E8976" s="1" t="n">
        <f aca="false">LN(D8976)</f>
        <v>-0.717501350428516</v>
      </c>
    </row>
    <row r="8977" customFormat="false" ht="15.75" hidden="false" customHeight="false" outlineLevel="0" collapsed="false">
      <c r="A8977" s="1" t="s">
        <v>1493</v>
      </c>
      <c r="B8977" s="1" t="n">
        <v>215.09</v>
      </c>
      <c r="C8977" s="1" t="n">
        <f aca="false">1/B8977</f>
        <v>0.00464921660700172</v>
      </c>
      <c r="D8977" s="1" t="n">
        <v>0.48352</v>
      </c>
      <c r="E8977" s="1" t="n">
        <f aca="false">LN(D8977)</f>
        <v>-0.726662599897762</v>
      </c>
    </row>
    <row r="8978" customFormat="false" ht="15.75" hidden="false" customHeight="false" outlineLevel="0" collapsed="false">
      <c r="A8978" s="1" t="s">
        <v>1493</v>
      </c>
      <c r="B8978" s="1" t="n">
        <v>215.64</v>
      </c>
      <c r="C8978" s="1" t="n">
        <f aca="false">1/B8978</f>
        <v>0.0046373585605639</v>
      </c>
      <c r="D8978" s="1" t="n">
        <v>0.47913</v>
      </c>
      <c r="E8978" s="1" t="n">
        <f aca="false">LN(D8978)</f>
        <v>-0.735783319645809</v>
      </c>
    </row>
    <row r="8979" customFormat="false" ht="15.75" hidden="false" customHeight="false" outlineLevel="0" collapsed="false">
      <c r="A8979" s="1" t="s">
        <v>1493</v>
      </c>
      <c r="B8979" s="1" t="n">
        <v>216.18</v>
      </c>
      <c r="C8979" s="1" t="n">
        <f aca="false">1/B8979</f>
        <v>0.00462577481728189</v>
      </c>
      <c r="D8979" s="1" t="n">
        <v>0.47479</v>
      </c>
      <c r="E8979" s="1" t="n">
        <f aca="false">LN(D8979)</f>
        <v>-0.744882677967999</v>
      </c>
    </row>
    <row r="8980" customFormat="false" ht="15.75" hidden="false" customHeight="false" outlineLevel="0" collapsed="false">
      <c r="A8980" s="1" t="s">
        <v>1493</v>
      </c>
      <c r="B8980" s="1" t="n">
        <v>216.73</v>
      </c>
      <c r="C8980" s="1" t="n">
        <f aca="false">1/B8980</f>
        <v>0.00461403589719928</v>
      </c>
      <c r="D8980" s="1" t="n">
        <v>0.4705</v>
      </c>
      <c r="E8980" s="1" t="n">
        <f aca="false">LN(D8980)</f>
        <v>-0.753959319956703</v>
      </c>
    </row>
    <row r="8981" customFormat="false" ht="15.75" hidden="false" customHeight="false" outlineLevel="0" collapsed="false">
      <c r="A8981" s="1" t="s">
        <v>1493</v>
      </c>
      <c r="B8981" s="1" t="n">
        <v>217.28</v>
      </c>
      <c r="C8981" s="1" t="n">
        <f aca="false">1/B8981</f>
        <v>0.00460235640648012</v>
      </c>
      <c r="D8981" s="1" t="n">
        <v>0.46627</v>
      </c>
      <c r="E8981" s="1" t="n">
        <f aca="false">LN(D8981)</f>
        <v>-0.762990413501736</v>
      </c>
    </row>
    <row r="8982" customFormat="false" ht="15.75" hidden="false" customHeight="false" outlineLevel="0" collapsed="false">
      <c r="A8982" s="1" t="s">
        <v>1493</v>
      </c>
      <c r="B8982" s="1" t="n">
        <v>217.82</v>
      </c>
      <c r="C8982" s="1" t="n">
        <f aca="false">1/B8982</f>
        <v>0.00459094665319989</v>
      </c>
      <c r="D8982" s="1" t="n">
        <v>0.46208</v>
      </c>
      <c r="E8982" s="1" t="n">
        <f aca="false">LN(D8982)</f>
        <v>-0.77201724271773</v>
      </c>
    </row>
    <row r="8983" customFormat="false" ht="15.75" hidden="false" customHeight="false" outlineLevel="0" collapsed="false">
      <c r="A8983" s="1" t="s">
        <v>1493</v>
      </c>
      <c r="B8983" s="1" t="n">
        <v>218.37</v>
      </c>
      <c r="C8983" s="1" t="n">
        <f aca="false">1/B8983</f>
        <v>0.00457938361496543</v>
      </c>
      <c r="D8983" s="1" t="n">
        <v>0.45795</v>
      </c>
      <c r="E8983" s="1" t="n">
        <f aca="false">LN(D8983)</f>
        <v>-0.78099527113314</v>
      </c>
    </row>
    <row r="8984" customFormat="false" ht="15.75" hidden="false" customHeight="false" outlineLevel="0" collapsed="false">
      <c r="A8984" s="1" t="s">
        <v>1493</v>
      </c>
      <c r="B8984" s="1" t="n">
        <v>218.91</v>
      </c>
      <c r="C8984" s="1" t="n">
        <f aca="false">1/B8984</f>
        <v>0.00456808734182998</v>
      </c>
      <c r="D8984" s="1" t="n">
        <v>0.45387</v>
      </c>
      <c r="E8984" s="1" t="n">
        <f aca="false">LN(D8984)</f>
        <v>-0.789944465557284</v>
      </c>
    </row>
    <row r="8985" customFormat="false" ht="15.75" hidden="false" customHeight="false" outlineLevel="0" collapsed="false">
      <c r="A8985" s="1" t="s">
        <v>1493</v>
      </c>
      <c r="B8985" s="1" t="n">
        <v>219.46</v>
      </c>
      <c r="C8985" s="1" t="n">
        <f aca="false">1/B8985</f>
        <v>0.00455663902305659</v>
      </c>
      <c r="D8985" s="1" t="n">
        <v>0.44984</v>
      </c>
      <c r="E8985" s="1" t="n">
        <f aca="false">LN(D8985)</f>
        <v>-0.798863314998191</v>
      </c>
    </row>
    <row r="8986" customFormat="false" ht="15.75" hidden="false" customHeight="false" outlineLevel="0" collapsed="false">
      <c r="A8986" s="1" t="s">
        <v>1493</v>
      </c>
      <c r="B8986" s="1" t="n">
        <v>220</v>
      </c>
      <c r="C8986" s="1" t="n">
        <f aca="false">1/B8986</f>
        <v>0.00454545454545455</v>
      </c>
      <c r="D8986" s="1" t="n">
        <v>0.44586</v>
      </c>
      <c r="E8986" s="1" t="n">
        <f aca="false">LN(D8986)</f>
        <v>-0.807750277584704</v>
      </c>
    </row>
    <row r="8987" customFormat="false" ht="15.75" hidden="false" customHeight="false" outlineLevel="0" collapsed="false">
      <c r="A8987" s="1" t="s">
        <v>1493</v>
      </c>
      <c r="B8987" s="1" t="n">
        <v>220.55</v>
      </c>
      <c r="C8987" s="1" t="n">
        <f aca="false">1/B8987</f>
        <v>0.00453411924733621</v>
      </c>
      <c r="D8987" s="1" t="n">
        <v>0.44192</v>
      </c>
      <c r="E8987" s="1" t="n">
        <f aca="false">LN(D8987)</f>
        <v>-0.81662640876121</v>
      </c>
    </row>
    <row r="8988" customFormat="false" ht="15.75" hidden="false" customHeight="false" outlineLevel="0" collapsed="false">
      <c r="A8988" s="1" t="s">
        <v>1493</v>
      </c>
      <c r="B8988" s="1" t="n">
        <v>221.1</v>
      </c>
      <c r="C8988" s="1" t="n">
        <f aca="false">1/B8988</f>
        <v>0.00452284034373587</v>
      </c>
      <c r="D8988" s="1" t="n">
        <v>0.43803</v>
      </c>
      <c r="E8988" s="1" t="n">
        <f aca="false">LN(D8988)</f>
        <v>-0.825467877800555</v>
      </c>
    </row>
    <row r="8989" customFormat="false" ht="15.75" hidden="false" customHeight="false" outlineLevel="0" collapsed="false">
      <c r="A8989" s="1" t="s">
        <v>1493</v>
      </c>
      <c r="B8989" s="1" t="n">
        <v>221.64</v>
      </c>
      <c r="C8989" s="1" t="n">
        <f aca="false">1/B8989</f>
        <v>0.00451182097094387</v>
      </c>
      <c r="D8989" s="1" t="n">
        <v>0.43419</v>
      </c>
      <c r="E8989" s="1" t="n">
        <f aca="false">LN(D8989)</f>
        <v>-0.834273052664514</v>
      </c>
    </row>
    <row r="8990" customFormat="false" ht="15.75" hidden="false" customHeight="false" outlineLevel="0" collapsed="false">
      <c r="A8990" s="1" t="s">
        <v>1493</v>
      </c>
      <c r="B8990" s="1" t="n">
        <v>222.19</v>
      </c>
      <c r="C8990" s="1" t="n">
        <f aca="false">1/B8990</f>
        <v>0.00450065259462622</v>
      </c>
      <c r="D8990" s="1" t="n">
        <v>0.43039</v>
      </c>
      <c r="E8990" s="1" t="n">
        <f aca="false">LN(D8990)</f>
        <v>-0.843063504605224</v>
      </c>
    </row>
    <row r="8991" customFormat="false" ht="15.75" hidden="false" customHeight="false" outlineLevel="0" collapsed="false">
      <c r="A8991" s="1" t="s">
        <v>1493</v>
      </c>
      <c r="B8991" s="1" t="n">
        <v>222.73</v>
      </c>
      <c r="C8991" s="1" t="n">
        <f aca="false">1/B8991</f>
        <v>0.00448974094194765</v>
      </c>
      <c r="D8991" s="1" t="n">
        <v>0.42664</v>
      </c>
      <c r="E8991" s="1" t="n">
        <f aca="false">LN(D8991)</f>
        <v>-0.85181471268979</v>
      </c>
    </row>
    <row r="8992" customFormat="false" ht="15.75" hidden="false" customHeight="false" outlineLevel="0" collapsed="false">
      <c r="A8992" s="1" t="s">
        <v>1493</v>
      </c>
      <c r="B8992" s="1" t="n">
        <v>223.28</v>
      </c>
      <c r="C8992" s="1" t="n">
        <f aca="false">1/B8992</f>
        <v>0.00447868147617341</v>
      </c>
      <c r="D8992" s="1" t="n">
        <v>0.42292</v>
      </c>
      <c r="E8992" s="1" t="n">
        <f aca="false">LN(D8992)</f>
        <v>-0.860572243117811</v>
      </c>
    </row>
    <row r="8993" customFormat="false" ht="15.75" hidden="false" customHeight="false" outlineLevel="0" collapsed="false">
      <c r="A8993" s="1" t="s">
        <v>1493</v>
      </c>
      <c r="B8993" s="1" t="n">
        <v>223.83</v>
      </c>
      <c r="C8993" s="1" t="n">
        <f aca="false">1/B8993</f>
        <v>0.00446767636152437</v>
      </c>
      <c r="D8993" s="1" t="n">
        <v>0.41926</v>
      </c>
      <c r="E8993" s="1" t="n">
        <f aca="false">LN(D8993)</f>
        <v>-0.869264026446401</v>
      </c>
    </row>
    <row r="8994" customFormat="false" ht="15.75" hidden="false" customHeight="false" outlineLevel="0" collapsed="false">
      <c r="A8994" s="1" t="s">
        <v>1493</v>
      </c>
      <c r="B8994" s="1" t="n">
        <v>224.37</v>
      </c>
      <c r="C8994" s="1" t="n">
        <f aca="false">1/B8994</f>
        <v>0.00445692383117173</v>
      </c>
      <c r="D8994" s="1" t="n">
        <v>0.41563</v>
      </c>
      <c r="E8994" s="1" t="n">
        <f aca="false">LN(D8994)</f>
        <v>-0.877959837569191</v>
      </c>
    </row>
    <row r="8995" customFormat="false" ht="15.75" hidden="false" customHeight="false" outlineLevel="0" collapsed="false">
      <c r="A8995" s="1" t="s">
        <v>1493</v>
      </c>
      <c r="B8995" s="1" t="n">
        <v>224.79</v>
      </c>
      <c r="C8995" s="1" t="n">
        <f aca="false">1/B8995</f>
        <v>0.0044485964678144</v>
      </c>
      <c r="D8995" s="1" t="n">
        <v>0.41285</v>
      </c>
      <c r="E8995" s="1" t="n">
        <f aca="false">LN(D8995)</f>
        <v>-0.8846709481187</v>
      </c>
    </row>
    <row r="8996" customFormat="false" ht="15.75" hidden="false" customHeight="false" outlineLevel="0" collapsed="false">
      <c r="A8996" s="1" t="s">
        <v>1494</v>
      </c>
      <c r="B8996" s="1" t="n">
        <v>169.85</v>
      </c>
      <c r="C8996" s="1" t="n">
        <f aca="false">1/B8996</f>
        <v>0.00588754783632617</v>
      </c>
      <c r="D8996" s="1" t="n">
        <v>2.1571</v>
      </c>
      <c r="E8996" s="1" t="n">
        <f aca="false">LN(D8996)</f>
        <v>0.768764727018534</v>
      </c>
    </row>
    <row r="8997" customFormat="false" ht="15.75" hidden="false" customHeight="false" outlineLevel="0" collapsed="false">
      <c r="A8997" s="1" t="s">
        <v>1494</v>
      </c>
      <c r="B8997" s="1" t="n">
        <v>170.33</v>
      </c>
      <c r="C8997" s="1" t="n">
        <f aca="false">1/B8997</f>
        <v>0.00587095637879411</v>
      </c>
      <c r="D8997" s="1" t="n">
        <v>2.1137</v>
      </c>
      <c r="E8997" s="1" t="n">
        <f aca="false">LN(D8997)</f>
        <v>0.748439966308654</v>
      </c>
    </row>
    <row r="8998" customFormat="false" ht="15.75" hidden="false" customHeight="false" outlineLevel="0" collapsed="false">
      <c r="A8998" s="1" t="s">
        <v>1494</v>
      </c>
      <c r="B8998" s="1" t="n">
        <v>170.8</v>
      </c>
      <c r="C8998" s="1" t="n">
        <f aca="false">1/B8998</f>
        <v>0.00585480093676815</v>
      </c>
      <c r="D8998" s="1" t="n">
        <v>2.0718</v>
      </c>
      <c r="E8998" s="1" t="n">
        <f aca="false">LN(D8998)</f>
        <v>0.728417794641865</v>
      </c>
    </row>
    <row r="8999" customFormat="false" ht="15.75" hidden="false" customHeight="false" outlineLevel="0" collapsed="false">
      <c r="A8999" s="1" t="s">
        <v>1494</v>
      </c>
      <c r="B8999" s="1" t="n">
        <v>171.28</v>
      </c>
      <c r="C8999" s="1" t="n">
        <f aca="false">1/B8999</f>
        <v>0.00583839327417095</v>
      </c>
      <c r="D8999" s="1" t="n">
        <v>2.0315</v>
      </c>
      <c r="E8999" s="1" t="n">
        <f aca="false">LN(D8999)</f>
        <v>0.708774436445644</v>
      </c>
    </row>
    <row r="9000" customFormat="false" ht="15.75" hidden="false" customHeight="false" outlineLevel="0" collapsed="false">
      <c r="A9000" s="1" t="s">
        <v>1494</v>
      </c>
      <c r="B9000" s="1" t="n">
        <v>171.75</v>
      </c>
      <c r="C9000" s="1" t="n">
        <f aca="false">1/B9000</f>
        <v>0.00582241630276565</v>
      </c>
      <c r="D9000" s="1" t="n">
        <v>1.9925</v>
      </c>
      <c r="E9000" s="1" t="n">
        <f aca="false">LN(D9000)</f>
        <v>0.689390131682233</v>
      </c>
    </row>
    <row r="9001" customFormat="false" ht="15.75" hidden="false" customHeight="false" outlineLevel="0" collapsed="false">
      <c r="A9001" s="1" t="s">
        <v>1494</v>
      </c>
      <c r="B9001" s="1" t="n">
        <v>172.23</v>
      </c>
      <c r="C9001" s="1" t="n">
        <f aca="false">1/B9001</f>
        <v>0.00580618939789816</v>
      </c>
      <c r="D9001" s="1" t="n">
        <v>1.9548</v>
      </c>
      <c r="E9001" s="1" t="n">
        <f aca="false">LN(D9001)</f>
        <v>0.670287886413863</v>
      </c>
    </row>
    <row r="9002" customFormat="false" ht="15.75" hidden="false" customHeight="false" outlineLevel="0" collapsed="false">
      <c r="A9002" s="1" t="s">
        <v>1494</v>
      </c>
      <c r="B9002" s="1" t="n">
        <v>172.7</v>
      </c>
      <c r="C9002" s="1" t="n">
        <f aca="false">1/B9002</f>
        <v>0.00579038795599305</v>
      </c>
      <c r="D9002" s="1" t="n">
        <v>1.9185</v>
      </c>
      <c r="E9002" s="1" t="n">
        <f aca="false">LN(D9002)</f>
        <v>0.65154363070487</v>
      </c>
    </row>
    <row r="9003" customFormat="false" ht="15.75" hidden="false" customHeight="false" outlineLevel="0" collapsed="false">
      <c r="A9003" s="1" t="s">
        <v>1494</v>
      </c>
      <c r="B9003" s="1" t="n">
        <v>173.18</v>
      </c>
      <c r="C9003" s="1" t="n">
        <f aca="false">1/B9003</f>
        <v>0.00577433883820303</v>
      </c>
      <c r="D9003" s="1" t="n">
        <v>1.8833</v>
      </c>
      <c r="E9003" s="1" t="n">
        <f aca="false">LN(D9003)</f>
        <v>0.633025557218564</v>
      </c>
    </row>
    <row r="9004" customFormat="false" ht="15.75" hidden="false" customHeight="false" outlineLevel="0" collapsed="false">
      <c r="A9004" s="1" t="s">
        <v>1494</v>
      </c>
      <c r="B9004" s="1" t="n">
        <v>173.65</v>
      </c>
      <c r="C9004" s="1" t="n">
        <f aca="false">1/B9004</f>
        <v>0.00575871004894904</v>
      </c>
      <c r="D9004" s="1" t="n">
        <v>1.8492</v>
      </c>
      <c r="E9004" s="1" t="n">
        <f aca="false">LN(D9004)</f>
        <v>0.614753113131933</v>
      </c>
    </row>
    <row r="9005" customFormat="false" ht="15.75" hidden="false" customHeight="false" outlineLevel="0" collapsed="false">
      <c r="A9005" s="1" t="s">
        <v>1494</v>
      </c>
      <c r="B9005" s="1" t="n">
        <v>174.13</v>
      </c>
      <c r="C9005" s="1" t="n">
        <f aca="false">1/B9005</f>
        <v>0.00574283581232413</v>
      </c>
      <c r="D9005" s="1" t="n">
        <v>1.8163</v>
      </c>
      <c r="E9005" s="1" t="n">
        <f aca="false">LN(D9005)</f>
        <v>0.596801464773261</v>
      </c>
    </row>
    <row r="9006" customFormat="false" ht="15.75" hidden="false" customHeight="false" outlineLevel="0" collapsed="false">
      <c r="A9006" s="1" t="s">
        <v>1494</v>
      </c>
      <c r="B9006" s="1" t="n">
        <v>174.6</v>
      </c>
      <c r="C9006" s="1" t="n">
        <f aca="false">1/B9006</f>
        <v>0.00572737686139748</v>
      </c>
      <c r="D9006" s="1" t="n">
        <v>1.7843</v>
      </c>
      <c r="E9006" s="1" t="n">
        <f aca="false">LN(D9006)</f>
        <v>0.579026181455246</v>
      </c>
    </row>
    <row r="9007" customFormat="false" ht="15.75" hidden="false" customHeight="false" outlineLevel="0" collapsed="false">
      <c r="A9007" s="1" t="s">
        <v>1494</v>
      </c>
      <c r="B9007" s="1" t="n">
        <v>175.08</v>
      </c>
      <c r="C9007" s="1" t="n">
        <f aca="false">1/B9007</f>
        <v>0.0057116746630112</v>
      </c>
      <c r="D9007" s="1" t="n">
        <v>1.7534</v>
      </c>
      <c r="E9007" s="1" t="n">
        <f aca="false">LN(D9007)</f>
        <v>0.561556760172348</v>
      </c>
    </row>
    <row r="9008" customFormat="false" ht="15.75" hidden="false" customHeight="false" outlineLevel="0" collapsed="false">
      <c r="A9008" s="1" t="s">
        <v>1494</v>
      </c>
      <c r="B9008" s="1" t="n">
        <v>175.55</v>
      </c>
      <c r="C9008" s="1" t="n">
        <f aca="false">1/B9008</f>
        <v>0.00569638279692395</v>
      </c>
      <c r="D9008" s="1" t="n">
        <v>1.7234</v>
      </c>
      <c r="E9008" s="1" t="n">
        <f aca="false">LN(D9008)</f>
        <v>0.544299083823529</v>
      </c>
    </row>
    <row r="9009" customFormat="false" ht="15.75" hidden="false" customHeight="false" outlineLevel="0" collapsed="false">
      <c r="A9009" s="1" t="s">
        <v>1494</v>
      </c>
      <c r="B9009" s="1" t="n">
        <v>176.03</v>
      </c>
      <c r="C9009" s="1" t="n">
        <f aca="false">1/B9009</f>
        <v>0.00568084985513833</v>
      </c>
      <c r="D9009" s="1" t="n">
        <v>1.6942</v>
      </c>
      <c r="E9009" s="1" t="n">
        <f aca="false">LN(D9009)</f>
        <v>0.527210653015313</v>
      </c>
    </row>
    <row r="9010" customFormat="false" ht="15.75" hidden="false" customHeight="false" outlineLevel="0" collapsed="false">
      <c r="A9010" s="1" t="s">
        <v>1494</v>
      </c>
      <c r="B9010" s="1" t="n">
        <v>176.5</v>
      </c>
      <c r="C9010" s="1" t="n">
        <f aca="false">1/B9010</f>
        <v>0.0056657223796034</v>
      </c>
      <c r="D9010" s="1" t="n">
        <v>1.666</v>
      </c>
      <c r="E9010" s="1" t="n">
        <f aca="false">LN(D9010)</f>
        <v>0.510425543744651</v>
      </c>
    </row>
    <row r="9011" customFormat="false" ht="15.75" hidden="false" customHeight="false" outlineLevel="0" collapsed="false">
      <c r="A9011" s="1" t="s">
        <v>1494</v>
      </c>
      <c r="B9011" s="1" t="n">
        <v>176.98</v>
      </c>
      <c r="C9011" s="1" t="n">
        <f aca="false">1/B9011</f>
        <v>0.00565035597242626</v>
      </c>
      <c r="D9011" s="1" t="n">
        <v>1.6385</v>
      </c>
      <c r="E9011" s="1" t="n">
        <f aca="false">LN(D9011)</f>
        <v>0.493781189156732</v>
      </c>
    </row>
    <row r="9012" customFormat="false" ht="15.75" hidden="false" customHeight="false" outlineLevel="0" collapsed="false">
      <c r="A9012" s="1" t="s">
        <v>1494</v>
      </c>
      <c r="B9012" s="1" t="n">
        <v>177.45</v>
      </c>
      <c r="C9012" s="1" t="n">
        <f aca="false">1/B9012</f>
        <v>0.00563539025077487</v>
      </c>
      <c r="D9012" s="1" t="n">
        <v>1.6118</v>
      </c>
      <c r="E9012" s="1" t="n">
        <f aca="false">LN(D9012)</f>
        <v>0.477351566908274</v>
      </c>
    </row>
    <row r="9013" customFormat="false" ht="15.75" hidden="false" customHeight="false" outlineLevel="0" collapsed="false">
      <c r="A9013" s="1" t="s">
        <v>1494</v>
      </c>
      <c r="B9013" s="1" t="n">
        <v>177.93</v>
      </c>
      <c r="C9013" s="1" t="n">
        <f aca="false">1/B9013</f>
        <v>0.00562018771426966</v>
      </c>
      <c r="D9013" s="1" t="n">
        <v>1.5859</v>
      </c>
      <c r="E9013" s="1" t="n">
        <f aca="false">LN(D9013)</f>
        <v>0.461152069522418</v>
      </c>
    </row>
    <row r="9014" customFormat="false" ht="15.75" hidden="false" customHeight="false" outlineLevel="0" collapsed="false">
      <c r="A9014" s="1" t="s">
        <v>1494</v>
      </c>
      <c r="B9014" s="1" t="n">
        <v>178.4</v>
      </c>
      <c r="C9014" s="1" t="n">
        <f aca="false">1/B9014</f>
        <v>0.00560538116591928</v>
      </c>
      <c r="D9014" s="1" t="n">
        <v>1.5607</v>
      </c>
      <c r="E9014" s="1" t="n">
        <f aca="false">LN(D9014)</f>
        <v>0.445134438566371</v>
      </c>
    </row>
    <row r="9015" customFormat="false" ht="15.75" hidden="false" customHeight="false" outlineLevel="0" collapsed="false">
      <c r="A9015" s="1" t="s">
        <v>1494</v>
      </c>
      <c r="B9015" s="1" t="n">
        <v>178.88</v>
      </c>
      <c r="C9015" s="1" t="n">
        <f aca="false">1/B9015</f>
        <v>0.00559033989266547</v>
      </c>
      <c r="D9015" s="1" t="n">
        <v>1.5362</v>
      </c>
      <c r="E9015" s="1" t="n">
        <f aca="false">LN(D9015)</f>
        <v>0.429311834582445</v>
      </c>
    </row>
    <row r="9016" customFormat="false" ht="15.75" hidden="false" customHeight="false" outlineLevel="0" collapsed="false">
      <c r="A9016" s="1" t="s">
        <v>1494</v>
      </c>
      <c r="B9016" s="1" t="n">
        <v>179.35</v>
      </c>
      <c r="C9016" s="1" t="n">
        <f aca="false">1/B9016</f>
        <v>0.00557568999163647</v>
      </c>
      <c r="D9016" s="1" t="n">
        <v>1.5124</v>
      </c>
      <c r="E9016" s="1" t="n">
        <f aca="false">LN(D9016)</f>
        <v>0.413697793034641</v>
      </c>
    </row>
    <row r="9017" customFormat="false" ht="15.75" hidden="false" customHeight="false" outlineLevel="0" collapsed="false">
      <c r="A9017" s="1" t="s">
        <v>1494</v>
      </c>
      <c r="B9017" s="1" t="n">
        <v>179.83</v>
      </c>
      <c r="C9017" s="1" t="n">
        <f aca="false">1/B9017</f>
        <v>0.00556080742923873</v>
      </c>
      <c r="D9017" s="1" t="n">
        <v>1.4891</v>
      </c>
      <c r="E9017" s="1" t="n">
        <f aca="false">LN(D9017)</f>
        <v>0.398171910614022</v>
      </c>
    </row>
    <row r="9018" customFormat="false" ht="15.75" hidden="false" customHeight="false" outlineLevel="0" collapsed="false">
      <c r="A9018" s="1" t="s">
        <v>1494</v>
      </c>
      <c r="B9018" s="1" t="n">
        <v>180.31</v>
      </c>
      <c r="C9018" s="1" t="n">
        <f aca="false">1/B9018</f>
        <v>0.00554600410404304</v>
      </c>
      <c r="D9018" s="1" t="n">
        <v>1.4665</v>
      </c>
      <c r="E9018" s="1" t="n">
        <f aca="false">LN(D9018)</f>
        <v>0.382878609435369</v>
      </c>
    </row>
    <row r="9019" customFormat="false" ht="15.75" hidden="false" customHeight="false" outlineLevel="0" collapsed="false">
      <c r="A9019" s="1" t="s">
        <v>1494</v>
      </c>
      <c r="B9019" s="1" t="n">
        <v>180.78</v>
      </c>
      <c r="C9019" s="1" t="n">
        <f aca="false">1/B9019</f>
        <v>0.00553158535236199</v>
      </c>
      <c r="D9019" s="1" t="n">
        <v>1.4445</v>
      </c>
      <c r="E9019" s="1" t="n">
        <f aca="false">LN(D9019)</f>
        <v>0.367763240924153</v>
      </c>
    </row>
    <row r="9020" customFormat="false" ht="15.75" hidden="false" customHeight="false" outlineLevel="0" collapsed="false">
      <c r="A9020" s="1" t="s">
        <v>1494</v>
      </c>
      <c r="B9020" s="1" t="n">
        <v>181.26</v>
      </c>
      <c r="C9020" s="1" t="n">
        <f aca="false">1/B9020</f>
        <v>0.0055169369965795</v>
      </c>
      <c r="D9020" s="1" t="n">
        <v>1.423</v>
      </c>
      <c r="E9020" s="1" t="n">
        <f aca="false">LN(D9020)</f>
        <v>0.352767319107715</v>
      </c>
    </row>
    <row r="9021" customFormat="false" ht="15.75" hidden="false" customHeight="false" outlineLevel="0" collapsed="false">
      <c r="A9021" s="1" t="s">
        <v>1494</v>
      </c>
      <c r="B9021" s="1" t="n">
        <v>181.73</v>
      </c>
      <c r="C9021" s="1" t="n">
        <f aca="false">1/B9021</f>
        <v>0.00550266879436527</v>
      </c>
      <c r="D9021" s="1" t="n">
        <v>1.4021</v>
      </c>
      <c r="E9021" s="1" t="n">
        <f aca="false">LN(D9021)</f>
        <v>0.337971112744949</v>
      </c>
    </row>
    <row r="9022" customFormat="false" ht="15.75" hidden="false" customHeight="false" outlineLevel="0" collapsed="false">
      <c r="A9022" s="1" t="s">
        <v>1494</v>
      </c>
      <c r="B9022" s="1" t="n">
        <v>182.21</v>
      </c>
      <c r="C9022" s="1" t="n">
        <f aca="false">1/B9022</f>
        <v>0.00548817298721256</v>
      </c>
      <c r="D9022" s="1" t="n">
        <v>1.3817</v>
      </c>
      <c r="E9022" s="1" t="n">
        <f aca="false">LN(D9022)</f>
        <v>0.323314625080487</v>
      </c>
    </row>
    <row r="9023" customFormat="false" ht="15.75" hidden="false" customHeight="false" outlineLevel="0" collapsed="false">
      <c r="A9023" s="1" t="s">
        <v>1494</v>
      </c>
      <c r="B9023" s="1" t="n">
        <v>182.68</v>
      </c>
      <c r="C9023" s="1" t="n">
        <f aca="false">1/B9023</f>
        <v>0.00547405298883293</v>
      </c>
      <c r="D9023" s="1" t="n">
        <v>1.3618</v>
      </c>
      <c r="E9023" s="1" t="n">
        <f aca="false">LN(D9023)</f>
        <v>0.308807354066729</v>
      </c>
    </row>
    <row r="9024" customFormat="false" ht="15.75" hidden="false" customHeight="false" outlineLevel="0" collapsed="false">
      <c r="A9024" s="1" t="s">
        <v>1494</v>
      </c>
      <c r="B9024" s="1" t="n">
        <v>183.16</v>
      </c>
      <c r="C9024" s="1" t="n">
        <f aca="false">1/B9024</f>
        <v>0.00545970735968552</v>
      </c>
      <c r="D9024" s="1" t="n">
        <v>1.3424</v>
      </c>
      <c r="E9024" s="1" t="n">
        <f aca="false">LN(D9024)</f>
        <v>0.294459056730805</v>
      </c>
    </row>
    <row r="9025" customFormat="false" ht="15.75" hidden="false" customHeight="false" outlineLevel="0" collapsed="false">
      <c r="A9025" s="1" t="s">
        <v>1494</v>
      </c>
      <c r="B9025" s="1" t="n">
        <v>183.63</v>
      </c>
      <c r="C9025" s="1" t="n">
        <f aca="false">1/B9025</f>
        <v>0.00544573326798453</v>
      </c>
      <c r="D9025" s="1" t="n">
        <v>1.3234</v>
      </c>
      <c r="E9025" s="1" t="n">
        <f aca="false">LN(D9025)</f>
        <v>0.280204182595822</v>
      </c>
    </row>
    <row r="9026" customFormat="false" ht="15.75" hidden="false" customHeight="false" outlineLevel="0" collapsed="false">
      <c r="A9026" s="1" t="s">
        <v>1494</v>
      </c>
      <c r="B9026" s="1" t="n">
        <v>184.11</v>
      </c>
      <c r="C9026" s="1" t="n">
        <f aca="false">1/B9026</f>
        <v>0.00543153549508446</v>
      </c>
      <c r="D9026" s="1" t="n">
        <v>1.3049</v>
      </c>
      <c r="E9026" s="1" t="n">
        <f aca="false">LN(D9026)</f>
        <v>0.266126409486064</v>
      </c>
    </row>
    <row r="9027" customFormat="false" ht="15.75" hidden="false" customHeight="false" outlineLevel="0" collapsed="false">
      <c r="A9027" s="1" t="s">
        <v>1494</v>
      </c>
      <c r="B9027" s="1" t="n">
        <v>184.58</v>
      </c>
      <c r="C9027" s="1" t="n">
        <f aca="false">1/B9027</f>
        <v>0.00541770506013653</v>
      </c>
      <c r="D9027" s="1" t="n">
        <v>1.2869</v>
      </c>
      <c r="E9027" s="1" t="n">
        <f aca="false">LN(D9027)</f>
        <v>0.252236225517482</v>
      </c>
    </row>
    <row r="9028" customFormat="false" ht="15.75" hidden="false" customHeight="false" outlineLevel="0" collapsed="false">
      <c r="A9028" s="1" t="s">
        <v>1494</v>
      </c>
      <c r="B9028" s="1" t="n">
        <v>185.06</v>
      </c>
      <c r="C9028" s="1" t="n">
        <f aca="false">1/B9028</f>
        <v>0.00540365286933967</v>
      </c>
      <c r="D9028" s="1" t="n">
        <v>1.2692</v>
      </c>
      <c r="E9028" s="1" t="n">
        <f aca="false">LN(D9028)</f>
        <v>0.238386780726904</v>
      </c>
    </row>
    <row r="9029" customFormat="false" ht="15.75" hidden="false" customHeight="false" outlineLevel="0" collapsed="false">
      <c r="A9029" s="1" t="s">
        <v>1494</v>
      </c>
      <c r="B9029" s="1" t="n">
        <v>185.53</v>
      </c>
      <c r="C9029" s="1" t="n">
        <f aca="false">1/B9029</f>
        <v>0.00538996388724196</v>
      </c>
      <c r="D9029" s="1" t="n">
        <v>1.252</v>
      </c>
      <c r="E9029" s="1" t="n">
        <f aca="false">LN(D9029)</f>
        <v>0.224742272677907</v>
      </c>
    </row>
    <row r="9030" customFormat="false" ht="15.75" hidden="false" customHeight="false" outlineLevel="0" collapsed="false">
      <c r="A9030" s="1" t="s">
        <v>1494</v>
      </c>
      <c r="B9030" s="1" t="n">
        <v>186.01</v>
      </c>
      <c r="C9030" s="1" t="n">
        <f aca="false">1/B9030</f>
        <v>0.00537605505080372</v>
      </c>
      <c r="D9030" s="1" t="n">
        <v>1.2351</v>
      </c>
      <c r="E9030" s="1" t="n">
        <f aca="false">LN(D9030)</f>
        <v>0.211151938461832</v>
      </c>
    </row>
    <row r="9031" customFormat="false" ht="15.75" hidden="false" customHeight="false" outlineLevel="0" collapsed="false">
      <c r="A9031" s="1" t="s">
        <v>1494</v>
      </c>
      <c r="B9031" s="1" t="n">
        <v>186.48</v>
      </c>
      <c r="C9031" s="1" t="n">
        <f aca="false">1/B9031</f>
        <v>0.00536250536250536</v>
      </c>
      <c r="D9031" s="1" t="n">
        <v>1.2187</v>
      </c>
      <c r="E9031" s="1" t="n">
        <f aca="false">LN(D9031)</f>
        <v>0.19778471684732</v>
      </c>
    </row>
    <row r="9032" customFormat="false" ht="15.75" hidden="false" customHeight="false" outlineLevel="0" collapsed="false">
      <c r="A9032" s="1" t="s">
        <v>1494</v>
      </c>
      <c r="B9032" s="1" t="n">
        <v>186.96</v>
      </c>
      <c r="C9032" s="1" t="n">
        <f aca="false">1/B9032</f>
        <v>0.00534873769790329</v>
      </c>
      <c r="D9032" s="1" t="n">
        <v>1.2025</v>
      </c>
      <c r="E9032" s="1" t="n">
        <f aca="false">LN(D9032)</f>
        <v>0.184402722997779</v>
      </c>
    </row>
    <row r="9033" customFormat="false" ht="15.75" hidden="false" customHeight="false" outlineLevel="0" collapsed="false">
      <c r="A9033" s="1" t="s">
        <v>1494</v>
      </c>
      <c r="B9033" s="1" t="n">
        <v>187.43</v>
      </c>
      <c r="C9033" s="1" t="n">
        <f aca="false">1/B9033</f>
        <v>0.00533532518807021</v>
      </c>
      <c r="D9033" s="1" t="n">
        <v>1.1868</v>
      </c>
      <c r="E9033" s="1" t="n">
        <f aca="false">LN(D9033)</f>
        <v>0.17126060943453</v>
      </c>
    </row>
    <row r="9034" customFormat="false" ht="15.75" hidden="false" customHeight="false" outlineLevel="0" collapsed="false">
      <c r="A9034" s="1" t="s">
        <v>1494</v>
      </c>
      <c r="B9034" s="1" t="n">
        <v>187.91</v>
      </c>
      <c r="C9034" s="1" t="n">
        <f aca="false">1/B9034</f>
        <v>0.00532169655686233</v>
      </c>
      <c r="D9034" s="1" t="n">
        <v>1.1714</v>
      </c>
      <c r="E9034" s="1" t="n">
        <f aca="false">LN(D9034)</f>
        <v>0.158199614673545</v>
      </c>
    </row>
    <row r="9035" customFormat="false" ht="15.75" hidden="false" customHeight="false" outlineLevel="0" collapsed="false">
      <c r="A9035" s="1" t="s">
        <v>1494</v>
      </c>
      <c r="B9035" s="1" t="n">
        <v>188.38</v>
      </c>
      <c r="C9035" s="1" t="n">
        <f aca="false">1/B9035</f>
        <v>0.0053084191527763</v>
      </c>
      <c r="D9035" s="1" t="n">
        <v>1.1563</v>
      </c>
      <c r="E9035" s="1" t="n">
        <f aca="false">LN(D9035)</f>
        <v>0.145225252152779</v>
      </c>
    </row>
    <row r="9036" customFormat="false" ht="15.75" hidden="false" customHeight="false" outlineLevel="0" collapsed="false">
      <c r="A9036" s="1" t="s">
        <v>1494</v>
      </c>
      <c r="B9036" s="1" t="n">
        <v>188.86</v>
      </c>
      <c r="C9036" s="1" t="n">
        <f aca="false">1/B9036</f>
        <v>0.0052949274594938</v>
      </c>
      <c r="D9036" s="1" t="n">
        <v>1.1415</v>
      </c>
      <c r="E9036" s="1" t="n">
        <f aca="false">LN(D9036)</f>
        <v>0.132343186987713</v>
      </c>
    </row>
    <row r="9037" customFormat="false" ht="15.75" hidden="false" customHeight="false" outlineLevel="0" collapsed="false">
      <c r="A9037" s="1" t="s">
        <v>1494</v>
      </c>
      <c r="B9037" s="1" t="n">
        <v>189.34</v>
      </c>
      <c r="C9037" s="1" t="n">
        <f aca="false">1/B9037</f>
        <v>0.0052815041723883</v>
      </c>
      <c r="D9037" s="1" t="n">
        <v>1.1271</v>
      </c>
      <c r="E9037" s="1" t="n">
        <f aca="false">LN(D9037)</f>
        <v>0.119647962265896</v>
      </c>
    </row>
    <row r="9038" customFormat="false" ht="15.75" hidden="false" customHeight="false" outlineLevel="0" collapsed="false">
      <c r="A9038" s="1" t="s">
        <v>1494</v>
      </c>
      <c r="B9038" s="1" t="n">
        <v>189.81</v>
      </c>
      <c r="C9038" s="1" t="n">
        <f aca="false">1/B9038</f>
        <v>0.0052684263210579</v>
      </c>
      <c r="D9038" s="1" t="n">
        <v>1.113</v>
      </c>
      <c r="E9038" s="1" t="n">
        <f aca="false">LN(D9038)</f>
        <v>0.107059072293408</v>
      </c>
    </row>
    <row r="9039" customFormat="false" ht="15.75" hidden="false" customHeight="false" outlineLevel="0" collapsed="false">
      <c r="A9039" s="1" t="s">
        <v>1494</v>
      </c>
      <c r="B9039" s="1" t="n">
        <v>190.29</v>
      </c>
      <c r="C9039" s="1" t="n">
        <f aca="false">1/B9039</f>
        <v>0.00525513689631615</v>
      </c>
      <c r="D9039" s="1" t="n">
        <v>1.0991</v>
      </c>
      <c r="E9039" s="1" t="n">
        <f aca="false">LN(D9039)</f>
        <v>0.0944916630927176</v>
      </c>
    </row>
    <row r="9040" customFormat="false" ht="15.75" hidden="false" customHeight="false" outlineLevel="0" collapsed="false">
      <c r="A9040" s="1" t="s">
        <v>1494</v>
      </c>
      <c r="B9040" s="1" t="n">
        <v>190.76</v>
      </c>
      <c r="C9040" s="1" t="n">
        <f aca="false">1/B9040</f>
        <v>0.00524218913818411</v>
      </c>
      <c r="D9040" s="1" t="n">
        <v>1.0855</v>
      </c>
      <c r="E9040" s="1" t="n">
        <f aca="false">LN(D9040)</f>
        <v>0.0820407103362094</v>
      </c>
    </row>
    <row r="9041" customFormat="false" ht="15.75" hidden="false" customHeight="false" outlineLevel="0" collapsed="false">
      <c r="A9041" s="1" t="s">
        <v>1494</v>
      </c>
      <c r="B9041" s="1" t="n">
        <v>191.24</v>
      </c>
      <c r="C9041" s="1" t="n">
        <f aca="false">1/B9041</f>
        <v>0.00522903158335076</v>
      </c>
      <c r="D9041" s="1" t="n">
        <v>1.0723</v>
      </c>
      <c r="E9041" s="1" t="n">
        <f aca="false">LN(D9041)</f>
        <v>0.0698058742439629</v>
      </c>
    </row>
    <row r="9042" customFormat="false" ht="15.75" hidden="false" customHeight="false" outlineLevel="0" collapsed="false">
      <c r="A9042" s="1" t="s">
        <v>1494</v>
      </c>
      <c r="B9042" s="1" t="n">
        <v>191.71</v>
      </c>
      <c r="C9042" s="1" t="n">
        <f aca="false">1/B9042</f>
        <v>0.00521621198685515</v>
      </c>
      <c r="D9042" s="1" t="n">
        <v>1.0592</v>
      </c>
      <c r="E9042" s="1" t="n">
        <f aca="false">LN(D9042)</f>
        <v>0.0575139062006066</v>
      </c>
    </row>
    <row r="9043" customFormat="false" ht="15.75" hidden="false" customHeight="false" outlineLevel="0" collapsed="false">
      <c r="A9043" s="1" t="s">
        <v>1494</v>
      </c>
      <c r="B9043" s="1" t="n">
        <v>192.19</v>
      </c>
      <c r="C9043" s="1" t="n">
        <f aca="false">1/B9043</f>
        <v>0.00520318434882148</v>
      </c>
      <c r="D9043" s="1" t="n">
        <v>1.0465</v>
      </c>
      <c r="E9043" s="1" t="n">
        <f aca="false">LN(D9043)</f>
        <v>0.0454512629039174</v>
      </c>
    </row>
    <row r="9044" customFormat="false" ht="15.75" hidden="false" customHeight="false" outlineLevel="0" collapsed="false">
      <c r="A9044" s="1" t="s">
        <v>1494</v>
      </c>
      <c r="B9044" s="1" t="n">
        <v>192.66</v>
      </c>
      <c r="C9044" s="1" t="n">
        <f aca="false">1/B9044</f>
        <v>0.00519049102045053</v>
      </c>
      <c r="D9044" s="1" t="n">
        <v>1.034</v>
      </c>
      <c r="E9044" s="1" t="n">
        <f aca="false">LN(D9044)</f>
        <v>0.0334347760862374</v>
      </c>
    </row>
    <row r="9045" customFormat="false" ht="15.75" hidden="false" customHeight="false" outlineLevel="0" collapsed="false">
      <c r="A9045" s="1" t="s">
        <v>1494</v>
      </c>
      <c r="B9045" s="1" t="n">
        <v>193.14</v>
      </c>
      <c r="C9045" s="1" t="n">
        <f aca="false">1/B9045</f>
        <v>0.00517759138448794</v>
      </c>
      <c r="D9045" s="1" t="n">
        <v>1.0217</v>
      </c>
      <c r="E9045" s="1" t="n">
        <f aca="false">LN(D9045)</f>
        <v>0.021467906615241</v>
      </c>
    </row>
    <row r="9046" customFormat="false" ht="15.75" hidden="false" customHeight="false" outlineLevel="0" collapsed="false">
      <c r="A9046" s="1" t="s">
        <v>1494</v>
      </c>
      <c r="B9046" s="1" t="n">
        <v>193.61</v>
      </c>
      <c r="C9046" s="1" t="n">
        <f aca="false">1/B9046</f>
        <v>0.00516502246784773</v>
      </c>
      <c r="D9046" s="1" t="n">
        <v>1.0097</v>
      </c>
      <c r="E9046" s="1" t="n">
        <f aca="false">LN(D9046)</f>
        <v>0.00965325702813835</v>
      </c>
    </row>
    <row r="9047" customFormat="false" ht="15.75" hidden="false" customHeight="false" outlineLevel="0" collapsed="false">
      <c r="A9047" s="1" t="s">
        <v>1494</v>
      </c>
      <c r="B9047" s="1" t="n">
        <v>194.09</v>
      </c>
      <c r="C9047" s="1" t="n">
        <f aca="false">1/B9047</f>
        <v>0.00515224895666959</v>
      </c>
      <c r="D9047" s="1" t="n">
        <v>0.99788</v>
      </c>
      <c r="E9047" s="1" t="n">
        <f aca="false">LN(D9047)</f>
        <v>-0.00212225038110116</v>
      </c>
    </row>
    <row r="9048" customFormat="false" ht="15.75" hidden="false" customHeight="false" outlineLevel="0" collapsed="false">
      <c r="A9048" s="1" t="s">
        <v>1494</v>
      </c>
      <c r="B9048" s="1" t="n">
        <v>194.56</v>
      </c>
      <c r="C9048" s="1" t="n">
        <f aca="false">1/B9048</f>
        <v>0.00513980263157895</v>
      </c>
      <c r="D9048" s="1" t="n">
        <v>0.98631</v>
      </c>
      <c r="E9048" s="1" t="n">
        <f aca="false">LN(D9048)</f>
        <v>-0.0137845721706168</v>
      </c>
    </row>
    <row r="9049" customFormat="false" ht="15.75" hidden="false" customHeight="false" outlineLevel="0" collapsed="false">
      <c r="A9049" s="1" t="s">
        <v>1494</v>
      </c>
      <c r="B9049" s="1" t="n">
        <v>195.04</v>
      </c>
      <c r="C9049" s="1" t="n">
        <f aca="false">1/B9049</f>
        <v>0.00512715340442986</v>
      </c>
      <c r="D9049" s="1" t="n">
        <v>0.97496</v>
      </c>
      <c r="E9049" s="1" t="n">
        <f aca="false">LN(D9049)</f>
        <v>-0.0253588344668901</v>
      </c>
    </row>
    <row r="9050" customFormat="false" ht="15.75" hidden="false" customHeight="false" outlineLevel="0" collapsed="false">
      <c r="A9050" s="1" t="s">
        <v>1494</v>
      </c>
      <c r="B9050" s="1" t="n">
        <v>195.51</v>
      </c>
      <c r="C9050" s="1" t="n">
        <f aca="false">1/B9050</f>
        <v>0.00511482788604164</v>
      </c>
      <c r="D9050" s="1" t="n">
        <v>0.96383</v>
      </c>
      <c r="E9050" s="1" t="n">
        <f aca="false">LN(D9050)</f>
        <v>-0.0368403484705428</v>
      </c>
    </row>
    <row r="9051" customFormat="false" ht="15.75" hidden="false" customHeight="false" outlineLevel="0" collapsed="false">
      <c r="A9051" s="1" t="s">
        <v>1494</v>
      </c>
      <c r="B9051" s="1" t="n">
        <v>195.99</v>
      </c>
      <c r="C9051" s="1" t="n">
        <f aca="false">1/B9051</f>
        <v>0.00510230113781315</v>
      </c>
      <c r="D9051" s="1" t="n">
        <v>0.9529</v>
      </c>
      <c r="E9051" s="1" t="n">
        <f aca="false">LN(D9051)</f>
        <v>-0.0482453126279945</v>
      </c>
    </row>
    <row r="9052" customFormat="false" ht="15.75" hidden="false" customHeight="false" outlineLevel="0" collapsed="false">
      <c r="A9052" s="1" t="s">
        <v>1494</v>
      </c>
      <c r="B9052" s="1" t="n">
        <v>196.46</v>
      </c>
      <c r="C9052" s="1" t="n">
        <f aca="false">1/B9052</f>
        <v>0.00509009467576097</v>
      </c>
      <c r="D9052" s="1" t="n">
        <v>0.94217</v>
      </c>
      <c r="E9052" s="1" t="n">
        <f aca="false">LN(D9052)</f>
        <v>-0.0595695535967055</v>
      </c>
    </row>
    <row r="9053" customFormat="false" ht="15.75" hidden="false" customHeight="false" outlineLevel="0" collapsed="false">
      <c r="A9053" s="1" t="s">
        <v>1494</v>
      </c>
      <c r="B9053" s="1" t="n">
        <v>196.94</v>
      </c>
      <c r="C9053" s="1" t="n">
        <f aca="false">1/B9053</f>
        <v>0.00507768863613283</v>
      </c>
      <c r="D9053" s="1" t="n">
        <v>0.93164</v>
      </c>
      <c r="E9053" s="1" t="n">
        <f aca="false">LN(D9053)</f>
        <v>-0.0708088050109304</v>
      </c>
    </row>
    <row r="9054" customFormat="false" ht="15.75" hidden="false" customHeight="false" outlineLevel="0" collapsed="false">
      <c r="A9054" s="1" t="s">
        <v>1494</v>
      </c>
      <c r="B9054" s="1" t="n">
        <v>197.41</v>
      </c>
      <c r="C9054" s="1" t="n">
        <f aca="false">1/B9054</f>
        <v>0.00506559951370245</v>
      </c>
      <c r="D9054" s="1" t="n">
        <v>0.92129</v>
      </c>
      <c r="E9054" s="1" t="n">
        <f aca="false">LN(D9054)</f>
        <v>-0.0819804171538799</v>
      </c>
    </row>
    <row r="9055" customFormat="false" ht="15.75" hidden="false" customHeight="false" outlineLevel="0" collapsed="false">
      <c r="A9055" s="1" t="s">
        <v>1494</v>
      </c>
      <c r="B9055" s="1" t="n">
        <v>197.89</v>
      </c>
      <c r="C9055" s="1" t="n">
        <f aca="false">1/B9055</f>
        <v>0.00505331244630856</v>
      </c>
      <c r="D9055" s="1" t="n">
        <v>0.91114</v>
      </c>
      <c r="E9055" s="1" t="n">
        <f aca="false">LN(D9055)</f>
        <v>-0.0930587162516052</v>
      </c>
    </row>
    <row r="9056" customFormat="false" ht="15.75" hidden="false" customHeight="false" outlineLevel="0" collapsed="false">
      <c r="A9056" s="1" t="s">
        <v>1494</v>
      </c>
      <c r="B9056" s="1" t="n">
        <v>198.36</v>
      </c>
      <c r="C9056" s="1" t="n">
        <f aca="false">1/B9056</f>
        <v>0.00504133897963299</v>
      </c>
      <c r="D9056" s="1" t="n">
        <v>0.90117</v>
      </c>
      <c r="E9056" s="1" t="n">
        <f aca="false">LN(D9056)</f>
        <v>-0.104061359926206</v>
      </c>
    </row>
    <row r="9057" customFormat="false" ht="15.75" hidden="false" customHeight="false" outlineLevel="0" collapsed="false">
      <c r="A9057" s="1" t="s">
        <v>1494</v>
      </c>
      <c r="B9057" s="1" t="n">
        <v>198.84</v>
      </c>
      <c r="C9057" s="1" t="n">
        <f aca="false">1/B9057</f>
        <v>0.00502916918125126</v>
      </c>
      <c r="D9057" s="1" t="n">
        <v>0.89137</v>
      </c>
      <c r="E9057" s="1" t="n">
        <f aca="false">LN(D9057)</f>
        <v>-0.114995673960859</v>
      </c>
    </row>
    <row r="9058" customFormat="false" ht="15.75" hidden="false" customHeight="false" outlineLevel="0" collapsed="false">
      <c r="A9058" s="1" t="s">
        <v>1494</v>
      </c>
      <c r="B9058" s="1" t="n">
        <v>199.32</v>
      </c>
      <c r="C9058" s="1" t="n">
        <f aca="false">1/B9058</f>
        <v>0.00501705799719045</v>
      </c>
      <c r="D9058" s="1" t="n">
        <v>0.88175</v>
      </c>
      <c r="E9058" s="1" t="n">
        <f aca="false">LN(D9058)</f>
        <v>-0.125846709865976</v>
      </c>
    </row>
    <row r="9059" customFormat="false" ht="15.75" hidden="false" customHeight="false" outlineLevel="0" collapsed="false">
      <c r="A9059" s="1" t="s">
        <v>1494</v>
      </c>
      <c r="B9059" s="1" t="n">
        <v>199.79</v>
      </c>
      <c r="C9059" s="1" t="n">
        <f aca="false">1/B9059</f>
        <v>0.00500525551829421</v>
      </c>
      <c r="D9059" s="1" t="n">
        <v>0.87229</v>
      </c>
      <c r="E9059" s="1" t="n">
        <f aca="false">LN(D9059)</f>
        <v>-0.136633341554566</v>
      </c>
    </row>
    <row r="9060" customFormat="false" ht="15.75" hidden="false" customHeight="false" outlineLevel="0" collapsed="false">
      <c r="A9060" s="1" t="s">
        <v>1494</v>
      </c>
      <c r="B9060" s="1" t="n">
        <v>200.27</v>
      </c>
      <c r="C9060" s="1" t="n">
        <f aca="false">1/B9060</f>
        <v>0.00499325910021471</v>
      </c>
      <c r="D9060" s="1" t="n">
        <v>0.863</v>
      </c>
      <c r="E9060" s="1" t="n">
        <f aca="false">LN(D9060)</f>
        <v>-0.147340587898709</v>
      </c>
    </row>
    <row r="9061" customFormat="false" ht="15.75" hidden="false" customHeight="false" outlineLevel="0" collapsed="false">
      <c r="A9061" s="1" t="s">
        <v>1494</v>
      </c>
      <c r="B9061" s="1" t="n">
        <v>200.74</v>
      </c>
      <c r="C9061" s="1" t="n">
        <f aca="false">1/B9061</f>
        <v>0.00498156819766863</v>
      </c>
      <c r="D9061" s="1" t="n">
        <v>0.85386</v>
      </c>
      <c r="E9061" s="1" t="n">
        <f aca="false">LN(D9061)</f>
        <v>-0.157988033058514</v>
      </c>
    </row>
    <row r="9062" customFormat="false" ht="15.75" hidden="false" customHeight="false" outlineLevel="0" collapsed="false">
      <c r="A9062" s="1" t="s">
        <v>1494</v>
      </c>
      <c r="B9062" s="1" t="n">
        <v>201.22</v>
      </c>
      <c r="C9062" s="1" t="n">
        <f aca="false">1/B9062</f>
        <v>0.00496968492197595</v>
      </c>
      <c r="D9062" s="1" t="n">
        <v>0.84489</v>
      </c>
      <c r="E9062" s="1" t="n">
        <f aca="false">LN(D9062)</f>
        <v>-0.168548837613584</v>
      </c>
    </row>
    <row r="9063" customFormat="false" ht="15.75" hidden="false" customHeight="false" outlineLevel="0" collapsed="false">
      <c r="A9063" s="1" t="s">
        <v>1494</v>
      </c>
      <c r="B9063" s="1" t="n">
        <v>201.69</v>
      </c>
      <c r="C9063" s="1" t="n">
        <f aca="false">1/B9063</f>
        <v>0.00495810402102236</v>
      </c>
      <c r="D9063" s="1" t="n">
        <v>0.83606</v>
      </c>
      <c r="E9063" s="1" t="n">
        <f aca="false">LN(D9063)</f>
        <v>-0.179054898137874</v>
      </c>
    </row>
    <row r="9064" customFormat="false" ht="15.75" hidden="false" customHeight="false" outlineLevel="0" collapsed="false">
      <c r="A9064" s="1" t="s">
        <v>1494</v>
      </c>
      <c r="B9064" s="1" t="n">
        <v>202.17</v>
      </c>
      <c r="C9064" s="1" t="n">
        <f aca="false">1/B9064</f>
        <v>0.00494633229460355</v>
      </c>
      <c r="D9064" s="1" t="n">
        <v>0.82738</v>
      </c>
      <c r="E9064" s="1" t="n">
        <f aca="false">LN(D9064)</f>
        <v>-0.189491197352366</v>
      </c>
    </row>
    <row r="9065" customFormat="false" ht="15.75" hidden="false" customHeight="false" outlineLevel="0" collapsed="false">
      <c r="A9065" s="1" t="s">
        <v>1494</v>
      </c>
      <c r="B9065" s="1" t="n">
        <v>202.64</v>
      </c>
      <c r="C9065" s="1" t="n">
        <f aca="false">1/B9065</f>
        <v>0.00493485984998026</v>
      </c>
      <c r="D9065" s="1" t="n">
        <v>0.81885</v>
      </c>
      <c r="E9065" s="1" t="n">
        <f aca="false">LN(D9065)</f>
        <v>-0.199854362086261</v>
      </c>
    </row>
    <row r="9066" customFormat="false" ht="15.75" hidden="false" customHeight="false" outlineLevel="0" collapsed="false">
      <c r="A9066" s="1" t="s">
        <v>1494</v>
      </c>
      <c r="B9066" s="1" t="n">
        <v>203.12</v>
      </c>
      <c r="C9066" s="1" t="n">
        <f aca="false">1/B9066</f>
        <v>0.00492319810949193</v>
      </c>
      <c r="D9066" s="1" t="n">
        <v>0.81046</v>
      </c>
      <c r="E9066" s="1" t="n">
        <f aca="false">LN(D9066)</f>
        <v>-0.210153291275965</v>
      </c>
    </row>
    <row r="9067" customFormat="false" ht="15.75" hidden="false" customHeight="false" outlineLevel="0" collapsed="false">
      <c r="A9067" s="1" t="s">
        <v>1494</v>
      </c>
      <c r="B9067" s="1" t="n">
        <v>203.59</v>
      </c>
      <c r="C9067" s="1" t="n">
        <f aca="false">1/B9067</f>
        <v>0.00491183260474483</v>
      </c>
      <c r="D9067" s="1" t="n">
        <v>0.80221</v>
      </c>
      <c r="E9067" s="1" t="n">
        <f aca="false">LN(D9067)</f>
        <v>-0.220384860004609</v>
      </c>
    </row>
    <row r="9068" customFormat="false" ht="15.75" hidden="false" customHeight="false" outlineLevel="0" collapsed="false">
      <c r="A9068" s="1" t="s">
        <v>1494</v>
      </c>
      <c r="B9068" s="1" t="n">
        <v>204.07</v>
      </c>
      <c r="C9068" s="1" t="n">
        <f aca="false">1/B9068</f>
        <v>0.00490027931592101</v>
      </c>
      <c r="D9068" s="1" t="n">
        <v>0.79409</v>
      </c>
      <c r="E9068" s="1" t="n">
        <f aca="false">LN(D9068)</f>
        <v>-0.230558474032697</v>
      </c>
    </row>
    <row r="9069" customFormat="false" ht="15.75" hidden="false" customHeight="false" outlineLevel="0" collapsed="false">
      <c r="A9069" s="1" t="s">
        <v>1494</v>
      </c>
      <c r="B9069" s="1" t="n">
        <v>204.54</v>
      </c>
      <c r="C9069" s="1" t="n">
        <f aca="false">1/B9069</f>
        <v>0.0048890192627359</v>
      </c>
      <c r="D9069" s="1" t="n">
        <v>0.7861</v>
      </c>
      <c r="E9069" s="1" t="n">
        <f aca="false">LN(D9069)</f>
        <v>-0.240671268182426</v>
      </c>
    </row>
    <row r="9070" customFormat="false" ht="15.75" hidden="false" customHeight="false" outlineLevel="0" collapsed="false">
      <c r="A9070" s="1" t="s">
        <v>1494</v>
      </c>
      <c r="B9070" s="1" t="n">
        <v>205.02</v>
      </c>
      <c r="C9070" s="1" t="n">
        <f aca="false">1/B9070</f>
        <v>0.00487757291971515</v>
      </c>
      <c r="D9070" s="1" t="n">
        <v>0.77824</v>
      </c>
      <c r="E9070" s="1" t="n">
        <f aca="false">LN(D9070)</f>
        <v>-0.250720319084444</v>
      </c>
    </row>
    <row r="9071" customFormat="false" ht="15.75" hidden="false" customHeight="false" outlineLevel="0" collapsed="false">
      <c r="A9071" s="1" t="s">
        <v>1494</v>
      </c>
      <c r="B9071" s="1" t="n">
        <v>205.49</v>
      </c>
      <c r="C9071" s="1" t="n">
        <f aca="false">1/B9071</f>
        <v>0.00486641685726799</v>
      </c>
      <c r="D9071" s="1" t="n">
        <v>0.77051</v>
      </c>
      <c r="E9071" s="1" t="n">
        <f aca="false">LN(D9071)</f>
        <v>-0.260702645720853</v>
      </c>
    </row>
    <row r="9072" customFormat="false" ht="15.75" hidden="false" customHeight="false" outlineLevel="0" collapsed="false">
      <c r="A9072" s="1" t="s">
        <v>1494</v>
      </c>
      <c r="B9072" s="1" t="n">
        <v>205.97</v>
      </c>
      <c r="C9072" s="1" t="n">
        <f aca="false">1/B9072</f>
        <v>0.00485507598193912</v>
      </c>
      <c r="D9072" s="1" t="n">
        <v>0.7629</v>
      </c>
      <c r="E9072" s="1" t="n">
        <f aca="false">LN(D9072)</f>
        <v>-0.270628317885953</v>
      </c>
    </row>
    <row r="9073" customFormat="false" ht="15.75" hidden="false" customHeight="false" outlineLevel="0" collapsed="false">
      <c r="A9073" s="1" t="s">
        <v>1494</v>
      </c>
      <c r="B9073" s="1" t="n">
        <v>206.44</v>
      </c>
      <c r="C9073" s="1" t="n">
        <f aca="false">1/B9073</f>
        <v>0.00484402247626429</v>
      </c>
      <c r="D9073" s="1" t="n">
        <v>0.75541</v>
      </c>
      <c r="E9073" s="1" t="n">
        <f aca="false">LN(D9073)</f>
        <v>-0.28049463077181</v>
      </c>
    </row>
    <row r="9074" customFormat="false" ht="15.75" hidden="false" customHeight="false" outlineLevel="0" collapsed="false">
      <c r="A9074" s="1" t="s">
        <v>1494</v>
      </c>
      <c r="B9074" s="1" t="n">
        <v>206.92</v>
      </c>
      <c r="C9074" s="1" t="n">
        <f aca="false">1/B9074</f>
        <v>0.00483278561763</v>
      </c>
      <c r="D9074" s="1" t="n">
        <v>0.74803</v>
      </c>
      <c r="E9074" s="1" t="n">
        <f aca="false">LN(D9074)</f>
        <v>-0.29031219486005</v>
      </c>
    </row>
    <row r="9075" customFormat="false" ht="15.75" hidden="false" customHeight="false" outlineLevel="0" collapsed="false">
      <c r="A9075" s="1" t="s">
        <v>1494</v>
      </c>
      <c r="B9075" s="1" t="n">
        <v>207.39</v>
      </c>
      <c r="C9075" s="1" t="n">
        <f aca="false">1/B9075</f>
        <v>0.00482183326100583</v>
      </c>
      <c r="D9075" s="1" t="n">
        <v>0.74078</v>
      </c>
      <c r="E9075" s="1" t="n">
        <f aca="false">LN(D9075)</f>
        <v>-0.300051593854788</v>
      </c>
    </row>
    <row r="9076" customFormat="false" ht="15.75" hidden="false" customHeight="false" outlineLevel="0" collapsed="false">
      <c r="A9076" s="1" t="s">
        <v>1494</v>
      </c>
      <c r="B9076" s="1" t="n">
        <v>207.87</v>
      </c>
      <c r="C9076" s="1" t="n">
        <f aca="false">1/B9076</f>
        <v>0.00481069899456391</v>
      </c>
      <c r="D9076" s="1" t="n">
        <v>0.73363</v>
      </c>
      <c r="E9076" s="1" t="n">
        <f aca="false">LN(D9076)</f>
        <v>-0.309750464655744</v>
      </c>
    </row>
    <row r="9077" customFormat="false" ht="15.75" hidden="false" customHeight="false" outlineLevel="0" collapsed="false">
      <c r="A9077" s="1" t="s">
        <v>1494</v>
      </c>
      <c r="B9077" s="1" t="n">
        <v>208.35</v>
      </c>
      <c r="C9077" s="1" t="n">
        <f aca="false">1/B9077</f>
        <v>0.00479961603071754</v>
      </c>
      <c r="D9077" s="1" t="n">
        <v>0.72659</v>
      </c>
      <c r="E9077" s="1" t="n">
        <f aca="false">LN(D9077)</f>
        <v>-0.319392922020269</v>
      </c>
    </row>
    <row r="9078" customFormat="false" ht="15.75" hidden="false" customHeight="false" outlineLevel="0" collapsed="false">
      <c r="A9078" s="1" t="s">
        <v>1494</v>
      </c>
      <c r="B9078" s="1" t="n">
        <v>208.82</v>
      </c>
      <c r="C9078" s="1" t="n">
        <f aca="false">1/B9078</f>
        <v>0.00478881333205632</v>
      </c>
      <c r="D9078" s="1" t="n">
        <v>0.71966</v>
      </c>
      <c r="E9078" s="1" t="n">
        <f aca="false">LN(D9078)</f>
        <v>-0.328976400726285</v>
      </c>
    </row>
    <row r="9079" customFormat="false" ht="15.75" hidden="false" customHeight="false" outlineLevel="0" collapsed="false">
      <c r="A9079" s="1" t="s">
        <v>1494</v>
      </c>
      <c r="B9079" s="1" t="n">
        <v>209.3</v>
      </c>
      <c r="C9079" s="1" t="n">
        <f aca="false">1/B9079</f>
        <v>0.00477783086478739</v>
      </c>
      <c r="D9079" s="1" t="n">
        <v>0.71284</v>
      </c>
      <c r="E9079" s="1" t="n">
        <f aca="false">LN(D9079)</f>
        <v>-0.338498287677238</v>
      </c>
    </row>
    <row r="9080" customFormat="false" ht="15.75" hidden="false" customHeight="false" outlineLevel="0" collapsed="false">
      <c r="A9080" s="1" t="s">
        <v>1494</v>
      </c>
      <c r="B9080" s="1" t="n">
        <v>209.77</v>
      </c>
      <c r="C9080" s="1" t="n">
        <f aca="false">1/B9080</f>
        <v>0.00476712589979501</v>
      </c>
      <c r="D9080" s="1" t="n">
        <v>0.70611</v>
      </c>
      <c r="E9080" s="1" t="n">
        <f aca="false">LN(D9080)</f>
        <v>-0.347984246260163</v>
      </c>
    </row>
    <row r="9081" customFormat="false" ht="15.75" hidden="false" customHeight="false" outlineLevel="0" collapsed="false">
      <c r="A9081" s="1" t="s">
        <v>1494</v>
      </c>
      <c r="B9081" s="1" t="n">
        <v>210.25</v>
      </c>
      <c r="C9081" s="1" t="n">
        <f aca="false">1/B9081</f>
        <v>0.00475624256837099</v>
      </c>
      <c r="D9081" s="1" t="n">
        <v>0.69949</v>
      </c>
      <c r="E9081" s="1" t="n">
        <f aca="false">LN(D9081)</f>
        <v>-0.35740378090445</v>
      </c>
    </row>
    <row r="9082" customFormat="false" ht="15.75" hidden="false" customHeight="false" outlineLevel="0" collapsed="false">
      <c r="A9082" s="1" t="s">
        <v>1494</v>
      </c>
      <c r="B9082" s="1" t="n">
        <v>210.72</v>
      </c>
      <c r="C9082" s="1" t="n">
        <f aca="false">1/B9082</f>
        <v>0.00474563401670463</v>
      </c>
      <c r="D9082" s="1" t="n">
        <v>0.69297</v>
      </c>
      <c r="E9082" s="1" t="n">
        <f aca="false">LN(D9082)</f>
        <v>-0.366768570772565</v>
      </c>
    </row>
    <row r="9083" customFormat="false" ht="15.75" hidden="false" customHeight="false" outlineLevel="0" collapsed="false">
      <c r="A9083" s="1" t="s">
        <v>1494</v>
      </c>
      <c r="B9083" s="1" t="n">
        <v>211.2</v>
      </c>
      <c r="C9083" s="1" t="n">
        <f aca="false">1/B9083</f>
        <v>0.00473484848484849</v>
      </c>
      <c r="D9083" s="1" t="n">
        <v>0.68654</v>
      </c>
      <c r="E9083" s="1" t="n">
        <f aca="false">LN(D9083)</f>
        <v>-0.376090788901986</v>
      </c>
    </row>
    <row r="9084" customFormat="false" ht="15.75" hidden="false" customHeight="false" outlineLevel="0" collapsed="false">
      <c r="A9084" s="1" t="s">
        <v>1494</v>
      </c>
      <c r="B9084" s="1" t="n">
        <v>211.67</v>
      </c>
      <c r="C9084" s="1" t="n">
        <f aca="false">1/B9084</f>
        <v>0.00472433504984174</v>
      </c>
      <c r="D9084" s="1" t="n">
        <v>0.6802</v>
      </c>
      <c r="E9084" s="1" t="n">
        <f aca="false">LN(D9084)</f>
        <v>-0.385368406409042</v>
      </c>
    </row>
    <row r="9085" customFormat="false" ht="15.75" hidden="false" customHeight="false" outlineLevel="0" collapsed="false">
      <c r="A9085" s="1" t="s">
        <v>1494</v>
      </c>
      <c r="B9085" s="1" t="n">
        <v>212.15</v>
      </c>
      <c r="C9085" s="1" t="n">
        <f aca="false">1/B9085</f>
        <v>0.00471364600518501</v>
      </c>
      <c r="D9085" s="1" t="n">
        <v>0.67396</v>
      </c>
      <c r="E9085" s="1" t="n">
        <f aca="false">LN(D9085)</f>
        <v>-0.394584517011952</v>
      </c>
    </row>
    <row r="9086" customFormat="false" ht="15.75" hidden="false" customHeight="false" outlineLevel="0" collapsed="false">
      <c r="A9086" s="1" t="s">
        <v>1494</v>
      </c>
      <c r="B9086" s="1" t="n">
        <v>212.62</v>
      </c>
      <c r="C9086" s="1" t="n">
        <f aca="false">1/B9086</f>
        <v>0.00470322641331954</v>
      </c>
      <c r="D9086" s="1" t="n">
        <v>0.66781</v>
      </c>
      <c r="E9086" s="1" t="n">
        <f aca="false">LN(D9086)</f>
        <v>-0.403751577041424</v>
      </c>
    </row>
    <row r="9087" customFormat="false" ht="15.75" hidden="false" customHeight="false" outlineLevel="0" collapsed="false">
      <c r="A9087" s="1" t="s">
        <v>1494</v>
      </c>
      <c r="B9087" s="1" t="n">
        <v>213.1</v>
      </c>
      <c r="C9087" s="1" t="n">
        <f aca="false">1/B9087</f>
        <v>0.00469263256687001</v>
      </c>
      <c r="D9087" s="1" t="n">
        <v>0.66175</v>
      </c>
      <c r="E9087" s="1" t="n">
        <f aca="false">LN(D9087)</f>
        <v>-0.412867437874926</v>
      </c>
    </row>
    <row r="9088" customFormat="false" ht="15.75" hidden="false" customHeight="false" outlineLevel="0" collapsed="false">
      <c r="A9088" s="1" t="s">
        <v>1494</v>
      </c>
      <c r="B9088" s="1" t="n">
        <v>213.57</v>
      </c>
      <c r="C9088" s="1" t="n">
        <f aca="false">1/B9088</f>
        <v>0.00468230556726132</v>
      </c>
      <c r="D9088" s="1" t="n">
        <v>0.65577</v>
      </c>
      <c r="E9088" s="1" t="n">
        <f aca="false">LN(D9088)</f>
        <v>-0.421945161272116</v>
      </c>
    </row>
    <row r="9089" customFormat="false" ht="15.75" hidden="false" customHeight="false" outlineLevel="0" collapsed="false">
      <c r="A9089" s="1" t="s">
        <v>1494</v>
      </c>
      <c r="B9089" s="1" t="n">
        <v>214.05</v>
      </c>
      <c r="C9089" s="1" t="n">
        <f aca="false">1/B9089</f>
        <v>0.00467180565288484</v>
      </c>
      <c r="D9089" s="1" t="n">
        <v>0.64988</v>
      </c>
      <c r="E9089" s="1" t="n">
        <f aca="false">LN(D9089)</f>
        <v>-0.430967548520587</v>
      </c>
    </row>
    <row r="9090" customFormat="false" ht="15.75" hidden="false" customHeight="false" outlineLevel="0" collapsed="false">
      <c r="A9090" s="1" t="s">
        <v>1494</v>
      </c>
      <c r="B9090" s="1" t="n">
        <v>214.52</v>
      </c>
      <c r="C9090" s="1" t="n">
        <f aca="false">1/B9090</f>
        <v>0.00466157001678165</v>
      </c>
      <c r="D9090" s="1" t="n">
        <v>0.64407</v>
      </c>
      <c r="E9090" s="1" t="n">
        <f aca="false">LN(D9090)</f>
        <v>-0.439947863132554</v>
      </c>
    </row>
    <row r="9091" customFormat="false" ht="15.75" hidden="false" customHeight="false" outlineLevel="0" collapsed="false">
      <c r="A9091" s="1" t="s">
        <v>1494</v>
      </c>
      <c r="B9091" s="1" t="n">
        <v>215</v>
      </c>
      <c r="C9091" s="1" t="n">
        <f aca="false">1/B9091</f>
        <v>0.00465116279069768</v>
      </c>
      <c r="D9091" s="1" t="n">
        <v>0.63834</v>
      </c>
      <c r="E9091" s="1" t="n">
        <f aca="false">LN(D9091)</f>
        <v>-0.448884222225807</v>
      </c>
    </row>
    <row r="9092" customFormat="false" ht="15.75" hidden="false" customHeight="false" outlineLevel="0" collapsed="false">
      <c r="A9092" s="1" t="s">
        <v>1494</v>
      </c>
      <c r="B9092" s="1" t="n">
        <v>215.47</v>
      </c>
      <c r="C9092" s="1" t="n">
        <f aca="false">1/B9092</f>
        <v>0.00464101731099457</v>
      </c>
      <c r="D9092" s="1" t="n">
        <v>0.63269</v>
      </c>
      <c r="E9092" s="1" t="n">
        <f aca="false">LN(D9092)</f>
        <v>-0.457774708233166</v>
      </c>
    </row>
    <row r="9093" customFormat="false" ht="15.75" hidden="false" customHeight="false" outlineLevel="0" collapsed="false">
      <c r="A9093" s="1" t="s">
        <v>1494</v>
      </c>
      <c r="B9093" s="1" t="n">
        <v>215.95</v>
      </c>
      <c r="C9093" s="1" t="n">
        <f aca="false">1/B9093</f>
        <v>0.00463070155128502</v>
      </c>
      <c r="D9093" s="1" t="n">
        <v>0.62712</v>
      </c>
      <c r="E9093" s="1" t="n">
        <f aca="false">LN(D9093)</f>
        <v>-0.46661736910167</v>
      </c>
    </row>
    <row r="9094" customFormat="false" ht="15.75" hidden="false" customHeight="false" outlineLevel="0" collapsed="false">
      <c r="A9094" s="1" t="s">
        <v>1494</v>
      </c>
      <c r="B9094" s="1" t="n">
        <v>216.42</v>
      </c>
      <c r="C9094" s="1" t="n">
        <f aca="false">1/B9094</f>
        <v>0.00462064504204787</v>
      </c>
      <c r="D9094" s="1" t="n">
        <v>0.62163</v>
      </c>
      <c r="E9094" s="1" t="n">
        <f aca="false">LN(D9094)</f>
        <v>-0.475410218545036</v>
      </c>
    </row>
    <row r="9095" customFormat="false" ht="15.75" hidden="false" customHeight="false" outlineLevel="0" collapsed="false">
      <c r="A9095" s="1" t="s">
        <v>1494</v>
      </c>
      <c r="B9095" s="1" t="n">
        <v>216.9</v>
      </c>
      <c r="C9095" s="1" t="n">
        <f aca="false">1/B9095</f>
        <v>0.00461041954817888</v>
      </c>
      <c r="D9095" s="1" t="n">
        <v>0.61621</v>
      </c>
      <c r="E9095" s="1" t="n">
        <f aca="false">LN(D9095)</f>
        <v>-0.484167464454009</v>
      </c>
    </row>
    <row r="9096" customFormat="false" ht="15.75" hidden="false" customHeight="false" outlineLevel="0" collapsed="false">
      <c r="A9096" s="1" t="s">
        <v>1494</v>
      </c>
      <c r="B9096" s="1" t="n">
        <v>217.37</v>
      </c>
      <c r="C9096" s="1" t="n">
        <f aca="false">1/B9096</f>
        <v>0.00460045084418273</v>
      </c>
      <c r="D9096" s="1" t="n">
        <v>0.61087</v>
      </c>
      <c r="E9096" s="1" t="n">
        <f aca="false">LN(D9096)</f>
        <v>-0.492871108405876</v>
      </c>
    </row>
    <row r="9097" customFormat="false" ht="15.75" hidden="false" customHeight="false" outlineLevel="0" collapsed="false">
      <c r="A9097" s="1" t="s">
        <v>1494</v>
      </c>
      <c r="B9097" s="1" t="n">
        <v>217.85</v>
      </c>
      <c r="C9097" s="1" t="n">
        <f aca="false">1/B9097</f>
        <v>0.0045903144365389</v>
      </c>
      <c r="D9097" s="1" t="n">
        <v>0.60559</v>
      </c>
      <c r="E9097" s="1" t="n">
        <f aca="false">LN(D9097)</f>
        <v>-0.501552089544769</v>
      </c>
    </row>
    <row r="9098" customFormat="false" ht="15.75" hidden="false" customHeight="false" outlineLevel="0" collapsed="false">
      <c r="A9098" s="1" t="s">
        <v>1494</v>
      </c>
      <c r="B9098" s="1" t="n">
        <v>218.33</v>
      </c>
      <c r="C9098" s="1" t="n">
        <f aca="false">1/B9098</f>
        <v>0.0045802225988183</v>
      </c>
      <c r="D9098" s="1" t="n">
        <v>0.60039</v>
      </c>
      <c r="E9098" s="1" t="n">
        <f aca="false">LN(D9098)</f>
        <v>-0.510175834924494</v>
      </c>
    </row>
    <row r="9099" customFormat="false" ht="15.75" hidden="false" customHeight="false" outlineLevel="0" collapsed="false">
      <c r="A9099" s="1" t="s">
        <v>1494</v>
      </c>
      <c r="B9099" s="1" t="n">
        <v>218.8</v>
      </c>
      <c r="C9099" s="1" t="n">
        <f aca="false">1/B9099</f>
        <v>0.00457038391224863</v>
      </c>
      <c r="D9099" s="1" t="n">
        <v>0.59526</v>
      </c>
      <c r="E9099" s="1" t="n">
        <f aca="false">LN(D9099)</f>
        <v>-0.518756994092271</v>
      </c>
    </row>
    <row r="9100" customFormat="false" ht="15.75" hidden="false" customHeight="false" outlineLevel="0" collapsed="false">
      <c r="A9100" s="1" t="s">
        <v>1494</v>
      </c>
      <c r="B9100" s="1" t="n">
        <v>219.28</v>
      </c>
      <c r="C9100" s="1" t="n">
        <f aca="false">1/B9100</f>
        <v>0.00456037942356804</v>
      </c>
      <c r="D9100" s="1" t="n">
        <v>0.5902</v>
      </c>
      <c r="E9100" s="1" t="n">
        <f aca="false">LN(D9100)</f>
        <v>-0.527293816473298</v>
      </c>
    </row>
    <row r="9101" customFormat="false" ht="15.75" hidden="false" customHeight="false" outlineLevel="0" collapsed="false">
      <c r="A9101" s="1" t="s">
        <v>1494</v>
      </c>
      <c r="B9101" s="1" t="n">
        <v>219.75</v>
      </c>
      <c r="C9101" s="1" t="n">
        <f aca="false">1/B9101</f>
        <v>0.00455062571103527</v>
      </c>
      <c r="D9101" s="1" t="n">
        <v>0.5852</v>
      </c>
      <c r="E9101" s="1" t="n">
        <f aca="false">LN(D9101)</f>
        <v>-0.535801609836168</v>
      </c>
    </row>
    <row r="9102" customFormat="false" ht="15.75" hidden="false" customHeight="false" outlineLevel="0" collapsed="false">
      <c r="A9102" s="1" t="s">
        <v>1494</v>
      </c>
      <c r="B9102" s="1" t="n">
        <v>220.23</v>
      </c>
      <c r="C9102" s="1" t="n">
        <f aca="false">1/B9102</f>
        <v>0.0045407074422195</v>
      </c>
      <c r="D9102" s="1" t="n">
        <v>0.58027</v>
      </c>
      <c r="E9102" s="1" t="n">
        <f aca="false">LN(D9102)</f>
        <v>-0.544261766519829</v>
      </c>
    </row>
    <row r="9103" customFormat="false" ht="15.75" hidden="false" customHeight="false" outlineLevel="0" collapsed="false">
      <c r="A9103" s="1" t="s">
        <v>1494</v>
      </c>
      <c r="B9103" s="1" t="n">
        <v>220.7</v>
      </c>
      <c r="C9103" s="1" t="n">
        <f aca="false">1/B9103</f>
        <v>0.00453103760761214</v>
      </c>
      <c r="D9103" s="1" t="n">
        <v>0.5754</v>
      </c>
      <c r="E9103" s="1" t="n">
        <f aca="false">LN(D9103)</f>
        <v>-0.552689827864689</v>
      </c>
    </row>
    <row r="9104" customFormat="false" ht="15.75" hidden="false" customHeight="false" outlineLevel="0" collapsed="false">
      <c r="A9104" s="1" t="s">
        <v>1494</v>
      </c>
      <c r="B9104" s="1" t="n">
        <v>221.18</v>
      </c>
      <c r="C9104" s="1" t="n">
        <f aca="false">1/B9104</f>
        <v>0.00452120444886518</v>
      </c>
      <c r="D9104" s="1" t="n">
        <v>0.57059</v>
      </c>
      <c r="E9104" s="1" t="n">
        <f aca="false">LN(D9104)</f>
        <v>-0.561084365768156</v>
      </c>
    </row>
    <row r="9105" customFormat="false" ht="15.75" hidden="false" customHeight="false" outlineLevel="0" collapsed="false">
      <c r="A9105" s="1" t="s">
        <v>1494</v>
      </c>
      <c r="B9105" s="1" t="n">
        <v>221.65</v>
      </c>
      <c r="C9105" s="1" t="n">
        <f aca="false">1/B9105</f>
        <v>0.00451161741484322</v>
      </c>
      <c r="D9105" s="1" t="n">
        <v>0.56585</v>
      </c>
      <c r="E9105" s="1" t="n">
        <f aca="false">LN(D9105)</f>
        <v>-0.569426253570186</v>
      </c>
    </row>
    <row r="9106" customFormat="false" ht="15.75" hidden="false" customHeight="false" outlineLevel="0" collapsed="false">
      <c r="A9106" s="1" t="s">
        <v>1494</v>
      </c>
      <c r="B9106" s="1" t="n">
        <v>222.13</v>
      </c>
      <c r="C9106" s="1" t="n">
        <f aca="false">1/B9106</f>
        <v>0.00450186827533426</v>
      </c>
      <c r="D9106" s="1" t="n">
        <v>0.56117</v>
      </c>
      <c r="E9106" s="1" t="n">
        <f aca="false">LN(D9106)</f>
        <v>-0.577731389060819</v>
      </c>
    </row>
    <row r="9107" customFormat="false" ht="15.75" hidden="false" customHeight="false" outlineLevel="0" collapsed="false">
      <c r="A9107" s="1" t="s">
        <v>1494</v>
      </c>
      <c r="B9107" s="1" t="n">
        <v>222.6</v>
      </c>
      <c r="C9107" s="1" t="n">
        <f aca="false">1/B9107</f>
        <v>0.00449236298292902</v>
      </c>
      <c r="D9107" s="1" t="n">
        <v>0.55655</v>
      </c>
      <c r="E9107" s="1" t="n">
        <f aca="false">LN(D9107)</f>
        <v>-0.585998265042902</v>
      </c>
    </row>
    <row r="9108" customFormat="false" ht="15.75" hidden="false" customHeight="false" outlineLevel="0" collapsed="false">
      <c r="A9108" s="1" t="s">
        <v>1494</v>
      </c>
      <c r="B9108" s="1" t="n">
        <v>223.08</v>
      </c>
      <c r="C9108" s="1" t="n">
        <f aca="false">1/B9108</f>
        <v>0.0044826967903891</v>
      </c>
      <c r="D9108" s="1" t="n">
        <v>0.55198</v>
      </c>
      <c r="E9108" s="1" t="n">
        <f aca="false">LN(D9108)</f>
        <v>-0.59424346524549</v>
      </c>
    </row>
    <row r="9109" customFormat="false" ht="15.75" hidden="false" customHeight="false" outlineLevel="0" collapsed="false">
      <c r="A9109" s="1" t="s">
        <v>1494</v>
      </c>
      <c r="B9109" s="1" t="n">
        <v>223.55</v>
      </c>
      <c r="C9109" s="1" t="n">
        <f aca="false">1/B9109</f>
        <v>0.00447327219861328</v>
      </c>
      <c r="D9109" s="1" t="n">
        <v>0.54748</v>
      </c>
      <c r="E9109" s="1" t="n">
        <f aca="false">LN(D9109)</f>
        <v>-0.602429347639071</v>
      </c>
    </row>
    <row r="9110" customFormat="false" ht="15.75" hidden="false" customHeight="false" outlineLevel="0" collapsed="false">
      <c r="A9110" s="1" t="s">
        <v>1494</v>
      </c>
      <c r="B9110" s="1" t="n">
        <v>224.03</v>
      </c>
      <c r="C9110" s="1" t="n">
        <f aca="false">1/B9110</f>
        <v>0.00446368789894211</v>
      </c>
      <c r="D9110" s="1" t="n">
        <v>0.54303</v>
      </c>
      <c r="E9110" s="1" t="n">
        <f aca="false">LN(D9110)</f>
        <v>-0.610590711955566</v>
      </c>
    </row>
    <row r="9111" customFormat="false" ht="15.75" hidden="false" customHeight="false" outlineLevel="0" collapsed="false">
      <c r="A9111" s="1" t="s">
        <v>1494</v>
      </c>
      <c r="B9111" s="1" t="n">
        <v>224.5</v>
      </c>
      <c r="C9111" s="1" t="n">
        <f aca="false">1/B9111</f>
        <v>0.0044543429844098</v>
      </c>
      <c r="D9111" s="1" t="n">
        <v>0.53863</v>
      </c>
      <c r="E9111" s="1" t="n">
        <f aca="false">LN(D9111)</f>
        <v>-0.618726400192957</v>
      </c>
    </row>
    <row r="9112" customFormat="false" ht="15.75" hidden="false" customHeight="false" outlineLevel="0" collapsed="false">
      <c r="A9112" s="1" t="s">
        <v>1494</v>
      </c>
      <c r="B9112" s="1" t="n">
        <v>224.98</v>
      </c>
      <c r="C9112" s="1" t="n">
        <f aca="false">1/B9112</f>
        <v>0.00444483954129256</v>
      </c>
      <c r="D9112" s="1" t="n">
        <v>0.53429</v>
      </c>
      <c r="E9112" s="1" t="n">
        <f aca="false">LN(D9112)</f>
        <v>-0.626816516270669</v>
      </c>
    </row>
    <row r="9113" customFormat="false" ht="15.75" hidden="false" customHeight="false" outlineLevel="0" collapsed="false">
      <c r="A9113" s="1" t="s">
        <v>1494</v>
      </c>
      <c r="B9113" s="1" t="n">
        <v>225.45</v>
      </c>
      <c r="C9113" s="1" t="n">
        <f aca="false">1/B9113</f>
        <v>0.00443557329784875</v>
      </c>
      <c r="D9113" s="1" t="n">
        <v>0.53</v>
      </c>
      <c r="E9113" s="1" t="n">
        <f aca="false">LN(D9113)</f>
        <v>-0.63487827243597</v>
      </c>
    </row>
    <row r="9114" customFormat="false" ht="15.75" hidden="false" customHeight="false" outlineLevel="0" collapsed="false">
      <c r="A9114" s="1" t="s">
        <v>1494</v>
      </c>
      <c r="B9114" s="1" t="n">
        <v>225.93</v>
      </c>
      <c r="C9114" s="1" t="n">
        <f aca="false">1/B9114</f>
        <v>0.0044261496923826</v>
      </c>
      <c r="D9114" s="1" t="n">
        <v>0.52577</v>
      </c>
      <c r="E9114" s="1" t="n">
        <f aca="false">LN(D9114)</f>
        <v>-0.642891424228903</v>
      </c>
    </row>
    <row r="9115" customFormat="false" ht="15.75" hidden="false" customHeight="false" outlineLevel="0" collapsed="false">
      <c r="A9115" s="1" t="s">
        <v>1494</v>
      </c>
      <c r="B9115" s="1" t="n">
        <v>226.4</v>
      </c>
      <c r="C9115" s="1" t="n">
        <f aca="false">1/B9115</f>
        <v>0.00441696113074205</v>
      </c>
      <c r="D9115" s="1" t="n">
        <v>0.52159</v>
      </c>
      <c r="E9115" s="1" t="n">
        <f aca="false">LN(D9115)</f>
        <v>-0.650873440332616</v>
      </c>
    </row>
    <row r="9116" customFormat="false" ht="15.75" hidden="false" customHeight="false" outlineLevel="0" collapsed="false">
      <c r="A9116" s="1" t="s">
        <v>1494</v>
      </c>
      <c r="B9116" s="1" t="n">
        <v>226.88</v>
      </c>
      <c r="C9116" s="1" t="n">
        <f aca="false">1/B9116</f>
        <v>0.00440761636107193</v>
      </c>
      <c r="D9116" s="1" t="n">
        <v>0.51745</v>
      </c>
      <c r="E9116" s="1" t="n">
        <f aca="false">LN(D9116)</f>
        <v>-0.658842376867955</v>
      </c>
    </row>
    <row r="9117" customFormat="false" ht="15.75" hidden="false" customHeight="false" outlineLevel="0" collapsed="false">
      <c r="A9117" s="1" t="s">
        <v>1494</v>
      </c>
      <c r="B9117" s="1" t="n">
        <v>227.36</v>
      </c>
      <c r="C9117" s="1" t="n">
        <f aca="false">1/B9117</f>
        <v>0.00439831104855735</v>
      </c>
      <c r="D9117" s="1" t="n">
        <v>0.51337</v>
      </c>
      <c r="E9117" s="1" t="n">
        <f aca="false">LN(D9117)</f>
        <v>-0.666758446222042</v>
      </c>
    </row>
    <row r="9118" customFormat="false" ht="15.75" hidden="false" customHeight="false" outlineLevel="0" collapsed="false">
      <c r="A9118" s="1" t="s">
        <v>1494</v>
      </c>
      <c r="B9118" s="1" t="n">
        <v>227.83</v>
      </c>
      <c r="C9118" s="1" t="n">
        <f aca="false">1/B9118</f>
        <v>0.00438923758943072</v>
      </c>
      <c r="D9118" s="1" t="n">
        <v>0.50934</v>
      </c>
      <c r="E9118" s="1" t="n">
        <f aca="false">LN(D9118)</f>
        <v>-0.674639509004206</v>
      </c>
    </row>
    <row r="9119" customFormat="false" ht="15.75" hidden="false" customHeight="false" outlineLevel="0" collapsed="false">
      <c r="A9119" s="1" t="s">
        <v>1494</v>
      </c>
      <c r="B9119" s="1" t="n">
        <v>228.31</v>
      </c>
      <c r="C9119" s="1" t="n">
        <f aca="false">1/B9119</f>
        <v>0.0043800096360212</v>
      </c>
      <c r="D9119" s="1" t="n">
        <v>0.50535</v>
      </c>
      <c r="E9119" s="1" t="n">
        <f aca="false">LN(D9119)</f>
        <v>-0.682504020461465</v>
      </c>
    </row>
    <row r="9120" customFormat="false" ht="15.75" hidden="false" customHeight="false" outlineLevel="0" collapsed="false">
      <c r="A9120" s="1" t="s">
        <v>1494</v>
      </c>
      <c r="B9120" s="1" t="n">
        <v>228.78</v>
      </c>
      <c r="C9120" s="1" t="n">
        <f aca="false">1/B9120</f>
        <v>0.00437101145205</v>
      </c>
      <c r="D9120" s="1" t="n">
        <v>0.50141</v>
      </c>
      <c r="E9120" s="1" t="n">
        <f aca="false">LN(D9120)</f>
        <v>-0.690331149300464</v>
      </c>
    </row>
    <row r="9121" customFormat="false" ht="15.75" hidden="false" customHeight="false" outlineLevel="0" collapsed="false">
      <c r="A9121" s="1" t="s">
        <v>1494</v>
      </c>
      <c r="B9121" s="1" t="n">
        <v>229.26</v>
      </c>
      <c r="C9121" s="1" t="n">
        <f aca="false">1/B9121</f>
        <v>0.00436185989706011</v>
      </c>
      <c r="D9121" s="1" t="n">
        <v>0.49752</v>
      </c>
      <c r="E9121" s="1" t="n">
        <f aca="false">LN(D9121)</f>
        <v>-0.698119522186503</v>
      </c>
    </row>
    <row r="9122" customFormat="false" ht="15.75" hidden="false" customHeight="false" outlineLevel="0" collapsed="false">
      <c r="A9122" s="1" t="s">
        <v>1494</v>
      </c>
      <c r="B9122" s="1" t="n">
        <v>229.73</v>
      </c>
      <c r="C9122" s="1" t="n">
        <f aca="false">1/B9122</f>
        <v>0.00435293605536935</v>
      </c>
      <c r="D9122" s="1" t="n">
        <v>0.49367</v>
      </c>
      <c r="E9122" s="1" t="n">
        <f aca="false">LN(D9122)</f>
        <v>-0.705888001210781</v>
      </c>
    </row>
    <row r="9123" customFormat="false" ht="15.75" hidden="false" customHeight="false" outlineLevel="0" collapsed="false">
      <c r="A9123" s="1" t="s">
        <v>1494</v>
      </c>
      <c r="B9123" s="1" t="n">
        <v>230.21</v>
      </c>
      <c r="C9123" s="1" t="n">
        <f aca="false">1/B9123</f>
        <v>0.00434385995395508</v>
      </c>
      <c r="D9123" s="1" t="n">
        <v>0.48987</v>
      </c>
      <c r="E9123" s="1" t="n">
        <f aca="false">LN(D9123)</f>
        <v>-0.713615229199809</v>
      </c>
    </row>
    <row r="9124" customFormat="false" ht="15.75" hidden="false" customHeight="false" outlineLevel="0" collapsed="false">
      <c r="A9124" s="1" t="s">
        <v>1494</v>
      </c>
      <c r="B9124" s="1" t="n">
        <v>230.68</v>
      </c>
      <c r="C9124" s="1" t="n">
        <f aca="false">1/B9124</f>
        <v>0.00433500953702098</v>
      </c>
      <c r="D9124" s="1" t="n">
        <v>0.48611</v>
      </c>
      <c r="E9124" s="1" t="n">
        <f aca="false">LN(D9124)</f>
        <v>-0.72132034324354</v>
      </c>
    </row>
    <row r="9125" customFormat="false" ht="15.75" hidden="false" customHeight="false" outlineLevel="0" collapsed="false">
      <c r="A9125" s="1" t="s">
        <v>1494</v>
      </c>
      <c r="B9125" s="1" t="n">
        <v>231.16</v>
      </c>
      <c r="C9125" s="1" t="n">
        <f aca="false">1/B9125</f>
        <v>0.00432600795985465</v>
      </c>
      <c r="D9125" s="1" t="n">
        <v>0.4824</v>
      </c>
      <c r="E9125" s="1" t="n">
        <f aca="false">LN(D9125)</f>
        <v>-0.728981633569161</v>
      </c>
    </row>
    <row r="9126" customFormat="false" ht="15.75" hidden="false" customHeight="false" outlineLevel="0" collapsed="false">
      <c r="A9126" s="1" t="s">
        <v>1494</v>
      </c>
      <c r="B9126" s="1" t="n">
        <v>231.63</v>
      </c>
      <c r="C9126" s="1" t="n">
        <f aca="false">1/B9126</f>
        <v>0.00431723006519017</v>
      </c>
      <c r="D9126" s="1" t="n">
        <v>0.47872</v>
      </c>
      <c r="E9126" s="1" t="n">
        <f aca="false">LN(D9126)</f>
        <v>-0.736639403636079</v>
      </c>
    </row>
    <row r="9127" customFormat="false" ht="15.75" hidden="false" customHeight="false" outlineLevel="0" collapsed="false">
      <c r="A9127" s="1" t="s">
        <v>1494</v>
      </c>
      <c r="B9127" s="1" t="n">
        <v>232.11</v>
      </c>
      <c r="C9127" s="1" t="n">
        <f aca="false">1/B9127</f>
        <v>0.00430830209814312</v>
      </c>
      <c r="D9127" s="1" t="n">
        <v>0.47509</v>
      </c>
      <c r="E9127" s="1" t="n">
        <f aca="false">LN(D9127)</f>
        <v>-0.744251019211157</v>
      </c>
    </row>
    <row r="9128" customFormat="false" ht="15.75" hidden="false" customHeight="false" outlineLevel="0" collapsed="false">
      <c r="A9128" s="1" t="s">
        <v>1494</v>
      </c>
      <c r="B9128" s="1" t="n">
        <v>232.58</v>
      </c>
      <c r="C9128" s="1" t="n">
        <f aca="false">1/B9128</f>
        <v>0.00429959583799123</v>
      </c>
      <c r="D9128" s="1" t="n">
        <v>0.4715</v>
      </c>
      <c r="E9128" s="1" t="n">
        <f aca="false">LN(D9128)</f>
        <v>-0.751836176908625</v>
      </c>
    </row>
    <row r="9129" customFormat="false" ht="15.75" hidden="false" customHeight="false" outlineLevel="0" collapsed="false">
      <c r="A9129" s="1" t="s">
        <v>1494</v>
      </c>
      <c r="B9129" s="1" t="n">
        <v>233.06</v>
      </c>
      <c r="C9129" s="1" t="n">
        <f aca="false">1/B9129</f>
        <v>0.00429074058182442</v>
      </c>
      <c r="D9129" s="1" t="n">
        <v>0.46795</v>
      </c>
      <c r="E9129" s="1" t="n">
        <f aca="false">LN(D9129)</f>
        <v>-0.759393826378872</v>
      </c>
    </row>
    <row r="9130" customFormat="false" ht="15.75" hidden="false" customHeight="false" outlineLevel="0" collapsed="false">
      <c r="A9130" s="1" t="s">
        <v>1494</v>
      </c>
      <c r="B9130" s="1" t="n">
        <v>233.53</v>
      </c>
      <c r="C9130" s="1" t="n">
        <f aca="false">1/B9130</f>
        <v>0.00428210508285873</v>
      </c>
      <c r="D9130" s="1" t="n">
        <v>0.46444</v>
      </c>
      <c r="E9130" s="1" t="n">
        <f aca="false">LN(D9130)</f>
        <v>-0.766922900223332</v>
      </c>
    </row>
    <row r="9131" customFormat="false" ht="15.75" hidden="false" customHeight="false" outlineLevel="0" collapsed="false">
      <c r="A9131" s="1" t="s">
        <v>1494</v>
      </c>
      <c r="B9131" s="1" t="n">
        <v>234.01</v>
      </c>
      <c r="C9131" s="1" t="n">
        <f aca="false">1/B9131</f>
        <v>0.00427332165292082</v>
      </c>
      <c r="D9131" s="1" t="n">
        <v>0.46097</v>
      </c>
      <c r="E9131" s="1" t="n">
        <f aca="false">LN(D9131)</f>
        <v>-0.774422314024927</v>
      </c>
    </row>
    <row r="9132" customFormat="false" ht="15.75" hidden="false" customHeight="false" outlineLevel="0" collapsed="false">
      <c r="A9132" s="1" t="s">
        <v>1494</v>
      </c>
      <c r="B9132" s="1" t="n">
        <v>234.48</v>
      </c>
      <c r="C9132" s="1" t="n">
        <f aca="false">1/B9132</f>
        <v>0.0042647560559536</v>
      </c>
      <c r="D9132" s="1" t="n">
        <v>0.45754</v>
      </c>
      <c r="E9132" s="1" t="n">
        <f aca="false">LN(D9132)</f>
        <v>-0.7818909663945</v>
      </c>
    </row>
    <row r="9133" customFormat="false" ht="15.75" hidden="false" customHeight="false" outlineLevel="0" collapsed="false">
      <c r="A9133" s="1" t="s">
        <v>1494</v>
      </c>
      <c r="B9133" s="1" t="n">
        <v>234.96</v>
      </c>
      <c r="C9133" s="1" t="n">
        <f aca="false">1/B9133</f>
        <v>0.00425604358188628</v>
      </c>
      <c r="D9133" s="1" t="n">
        <v>0.45415</v>
      </c>
      <c r="E9133" s="1" t="n">
        <f aca="false">LN(D9133)</f>
        <v>-0.789327739033914</v>
      </c>
    </row>
    <row r="9134" customFormat="false" ht="15.75" hidden="false" customHeight="false" outlineLevel="0" collapsed="false">
      <c r="A9134" s="1" t="s">
        <v>1494</v>
      </c>
      <c r="B9134" s="1" t="n">
        <v>235.43</v>
      </c>
      <c r="C9134" s="1" t="n">
        <f aca="false">1/B9134</f>
        <v>0.00424754704158349</v>
      </c>
      <c r="D9134" s="1" t="n">
        <v>0.45079</v>
      </c>
      <c r="E9134" s="1" t="n">
        <f aca="false">LN(D9134)</f>
        <v>-0.796753679848715</v>
      </c>
    </row>
    <row r="9135" customFormat="false" ht="15.75" hidden="false" customHeight="false" outlineLevel="0" collapsed="false">
      <c r="A9135" s="1" t="s">
        <v>1494</v>
      </c>
      <c r="B9135" s="1" t="n">
        <v>235.91</v>
      </c>
      <c r="C9135" s="1" t="n">
        <f aca="false">1/B9135</f>
        <v>0.00423890466703404</v>
      </c>
      <c r="D9135" s="1" t="n">
        <v>0.44747</v>
      </c>
      <c r="E9135" s="1" t="n">
        <f aca="false">LN(D9135)</f>
        <v>-0.804145782620594</v>
      </c>
    </row>
    <row r="9136" customFormat="false" ht="15.75" hidden="false" customHeight="false" outlineLevel="0" collapsed="false">
      <c r="A9136" s="1" t="s">
        <v>1494</v>
      </c>
      <c r="B9136" s="1" t="n">
        <v>236.38</v>
      </c>
      <c r="C9136" s="1" t="n">
        <f aca="false">1/B9136</f>
        <v>0.00423047635163719</v>
      </c>
      <c r="D9136" s="1" t="n">
        <v>0.44419</v>
      </c>
      <c r="E9136" s="1" t="n">
        <f aca="false">LN(D9136)</f>
        <v>-0.811502880157028</v>
      </c>
    </row>
    <row r="9137" customFormat="false" ht="15.75" hidden="false" customHeight="false" outlineLevel="0" collapsed="false">
      <c r="A9137" s="1" t="s">
        <v>1494</v>
      </c>
      <c r="B9137" s="1" t="n">
        <v>236.86</v>
      </c>
      <c r="C9137" s="1" t="n">
        <f aca="false">1/B9137</f>
        <v>0.00422190323397788</v>
      </c>
      <c r="D9137" s="1" t="n">
        <v>0.44094</v>
      </c>
      <c r="E9137" s="1" t="n">
        <f aca="false">LN(D9137)</f>
        <v>-0.818846467213302</v>
      </c>
    </row>
    <row r="9138" customFormat="false" ht="15.75" hidden="false" customHeight="false" outlineLevel="0" collapsed="false">
      <c r="A9138" s="1" t="s">
        <v>1494</v>
      </c>
      <c r="B9138" s="1" t="n">
        <v>237.34</v>
      </c>
      <c r="C9138" s="1" t="n">
        <f aca="false">1/B9138</f>
        <v>0.00421336479312379</v>
      </c>
      <c r="D9138" s="1" t="n">
        <v>0.43772</v>
      </c>
      <c r="E9138" s="1" t="n">
        <f aca="false">LN(D9138)</f>
        <v>-0.826175842431895</v>
      </c>
    </row>
    <row r="9139" customFormat="false" ht="15.75" hidden="false" customHeight="false" outlineLevel="0" collapsed="false">
      <c r="A9139" s="1" t="s">
        <v>1494</v>
      </c>
      <c r="B9139" s="1" t="n">
        <v>237.81</v>
      </c>
      <c r="C9139" s="1" t="n">
        <f aca="false">1/B9139</f>
        <v>0.00420503763508683</v>
      </c>
      <c r="D9139" s="1" t="n">
        <v>0.43454</v>
      </c>
      <c r="E9139" s="1" t="n">
        <f aca="false">LN(D9139)</f>
        <v>-0.833467278675042</v>
      </c>
    </row>
    <row r="9140" customFormat="false" ht="15.75" hidden="false" customHeight="false" outlineLevel="0" collapsed="false">
      <c r="A9140" s="1" t="s">
        <v>1494</v>
      </c>
      <c r="B9140" s="1" t="n">
        <v>238.29</v>
      </c>
      <c r="C9140" s="1" t="n">
        <f aca="false">1/B9140</f>
        <v>0.00419656720802384</v>
      </c>
      <c r="D9140" s="1" t="n">
        <v>0.4314</v>
      </c>
      <c r="E9140" s="1" t="n">
        <f aca="false">LN(D9140)</f>
        <v>-0.840719545027081</v>
      </c>
    </row>
    <row r="9141" customFormat="false" ht="15.75" hidden="false" customHeight="false" outlineLevel="0" collapsed="false">
      <c r="A9141" s="1" t="s">
        <v>1494</v>
      </c>
      <c r="B9141" s="1" t="n">
        <v>238.76</v>
      </c>
      <c r="C9141" s="1" t="n">
        <f aca="false">1/B9141</f>
        <v>0.00418830624895292</v>
      </c>
      <c r="D9141" s="1" t="n">
        <v>0.42829</v>
      </c>
      <c r="E9141" s="1" t="n">
        <f aca="false">LN(D9141)</f>
        <v>-0.84795474275386</v>
      </c>
    </row>
    <row r="9142" customFormat="false" ht="15.75" hidden="false" customHeight="false" outlineLevel="0" collapsed="false">
      <c r="A9142" s="1" t="s">
        <v>1494</v>
      </c>
      <c r="B9142" s="1" t="n">
        <v>239.24</v>
      </c>
      <c r="C9142" s="1" t="n">
        <f aca="false">1/B9142</f>
        <v>0.00417990302624979</v>
      </c>
      <c r="D9142" s="1" t="n">
        <v>0.42521</v>
      </c>
      <c r="E9142" s="1" t="n">
        <f aca="false">LN(D9142)</f>
        <v>-0.855172114446587</v>
      </c>
    </row>
    <row r="9143" customFormat="false" ht="15.75" hidden="false" customHeight="false" outlineLevel="0" collapsed="false">
      <c r="A9143" s="1" t="s">
        <v>1494</v>
      </c>
      <c r="B9143" s="1" t="n">
        <v>239.71</v>
      </c>
      <c r="C9143" s="1" t="n">
        <f aca="false">1/B9143</f>
        <v>0.00417170747987151</v>
      </c>
      <c r="D9143" s="1" t="n">
        <v>0.42216</v>
      </c>
      <c r="E9143" s="1" t="n">
        <f aca="false">LN(D9143)</f>
        <v>-0.862370889884725</v>
      </c>
    </row>
    <row r="9144" customFormat="false" ht="15.75" hidden="false" customHeight="false" outlineLevel="0" collapsed="false">
      <c r="A9144" s="1" t="s">
        <v>1494</v>
      </c>
      <c r="B9144" s="1" t="n">
        <v>240.19</v>
      </c>
      <c r="C9144" s="1" t="n">
        <f aca="false">1/B9144</f>
        <v>0.0041633706648903</v>
      </c>
      <c r="D9144" s="1" t="n">
        <v>0.41914</v>
      </c>
      <c r="E9144" s="1" t="n">
        <f aca="false">LN(D9144)</f>
        <v>-0.86955028599034</v>
      </c>
    </row>
    <row r="9145" customFormat="false" ht="15.75" hidden="false" customHeight="false" outlineLevel="0" collapsed="false">
      <c r="A9145" s="1" t="s">
        <v>1494</v>
      </c>
      <c r="B9145" s="1" t="n">
        <v>240.66</v>
      </c>
      <c r="C9145" s="1" t="n">
        <f aca="false">1/B9145</f>
        <v>0.004155239757334</v>
      </c>
      <c r="D9145" s="1" t="n">
        <v>0.41616</v>
      </c>
      <c r="E9145" s="1" t="n">
        <f aca="false">LN(D9145)</f>
        <v>-0.876685477281796</v>
      </c>
    </row>
    <row r="9146" customFormat="false" ht="15.75" hidden="false" customHeight="false" outlineLevel="0" collapsed="false">
      <c r="A9146" s="1" t="s">
        <v>1494</v>
      </c>
      <c r="B9146" s="1" t="n">
        <v>241.14</v>
      </c>
      <c r="C9146" s="1" t="n">
        <f aca="false">1/B9146</f>
        <v>0.00414696856597827</v>
      </c>
      <c r="D9146" s="1" t="n">
        <v>0.4132</v>
      </c>
      <c r="E9146" s="1" t="n">
        <f aca="false">LN(D9146)</f>
        <v>-0.883823541736654</v>
      </c>
    </row>
    <row r="9147" customFormat="false" ht="15.75" hidden="false" customHeight="false" outlineLevel="0" collapsed="false">
      <c r="A9147" s="1" t="s">
        <v>1494</v>
      </c>
      <c r="B9147" s="1" t="n">
        <v>241.61</v>
      </c>
      <c r="C9147" s="1" t="n">
        <f aca="false">1/B9147</f>
        <v>0.00413890153553247</v>
      </c>
      <c r="D9147" s="1" t="n">
        <v>0.41028</v>
      </c>
      <c r="E9147" s="1" t="n">
        <f aca="false">LN(D9147)</f>
        <v>-0.890915425542927</v>
      </c>
    </row>
    <row r="9148" customFormat="false" ht="15.75" hidden="false" customHeight="false" outlineLevel="0" collapsed="false">
      <c r="A9148" s="1" t="s">
        <v>1494</v>
      </c>
      <c r="B9148" s="1" t="n">
        <v>242.09</v>
      </c>
      <c r="C9148" s="1" t="n">
        <f aca="false">1/B9148</f>
        <v>0.00413069519600149</v>
      </c>
      <c r="D9148" s="1" t="n">
        <v>0.40738</v>
      </c>
      <c r="E9148" s="1" t="n">
        <f aca="false">LN(D9148)</f>
        <v>-0.898008868196142</v>
      </c>
    </row>
    <row r="9149" customFormat="false" ht="15.75" hidden="false" customHeight="false" outlineLevel="0" collapsed="false">
      <c r="A9149" s="1" t="s">
        <v>1494</v>
      </c>
      <c r="B9149" s="1" t="n">
        <v>242.56</v>
      </c>
      <c r="C9149" s="1" t="n">
        <f aca="false">1/B9149</f>
        <v>0.00412269129287599</v>
      </c>
      <c r="D9149" s="1" t="n">
        <v>0.40452</v>
      </c>
      <c r="E9149" s="1" t="n">
        <f aca="false">LN(D9149)</f>
        <v>-0.905054099948167</v>
      </c>
    </row>
    <row r="9150" customFormat="false" ht="15.75" hidden="false" customHeight="false" outlineLevel="0" collapsed="false">
      <c r="A9150" s="1" t="s">
        <v>1494</v>
      </c>
      <c r="B9150" s="1" t="n">
        <v>243.04</v>
      </c>
      <c r="C9150" s="1" t="n">
        <f aca="false">1/B9150</f>
        <v>0.00411454904542462</v>
      </c>
      <c r="D9150" s="1" t="n">
        <v>0.40168</v>
      </c>
      <c r="E9150" s="1" t="n">
        <f aca="false">LN(D9150)</f>
        <v>-0.912099527255687</v>
      </c>
    </row>
    <row r="9151" customFormat="false" ht="15.75" hidden="false" customHeight="false" outlineLevel="0" collapsed="false">
      <c r="A9151" s="1" t="s">
        <v>1494</v>
      </c>
      <c r="B9151" s="1" t="n">
        <v>243.51</v>
      </c>
      <c r="C9151" s="1" t="n">
        <f aca="false">1/B9151</f>
        <v>0.00410660753151821</v>
      </c>
      <c r="D9151" s="1" t="n">
        <v>0.39888</v>
      </c>
      <c r="E9151" s="1" t="n">
        <f aca="false">LN(D9151)</f>
        <v>-0.919094659206889</v>
      </c>
    </row>
    <row r="9152" customFormat="false" ht="15.75" hidden="false" customHeight="false" outlineLevel="0" collapsed="false">
      <c r="A9152" s="1" t="s">
        <v>1494</v>
      </c>
      <c r="B9152" s="1" t="n">
        <v>243.99</v>
      </c>
      <c r="C9152" s="1" t="n">
        <f aca="false">1/B9152</f>
        <v>0.00409852862822247</v>
      </c>
      <c r="D9152" s="1" t="n">
        <v>0.3961</v>
      </c>
      <c r="E9152" s="1" t="n">
        <f aca="false">LN(D9152)</f>
        <v>-0.926088574354266</v>
      </c>
    </row>
    <row r="9153" customFormat="false" ht="15.75" hidden="false" customHeight="false" outlineLevel="0" collapsed="false">
      <c r="A9153" s="1" t="s">
        <v>1494</v>
      </c>
      <c r="B9153" s="1" t="n">
        <v>244.46</v>
      </c>
      <c r="C9153" s="1" t="n">
        <f aca="false">1/B9153</f>
        <v>0.00409064877689602</v>
      </c>
      <c r="D9153" s="1" t="n">
        <v>0.39334</v>
      </c>
      <c r="E9153" s="1" t="n">
        <f aca="false">LN(D9153)</f>
        <v>-0.933080901181629</v>
      </c>
    </row>
    <row r="9154" customFormat="false" ht="15.75" hidden="false" customHeight="false" outlineLevel="0" collapsed="false">
      <c r="A9154" s="1" t="s">
        <v>1494</v>
      </c>
      <c r="B9154" s="1" t="n">
        <v>244.94</v>
      </c>
      <c r="C9154" s="1" t="n">
        <f aca="false">1/B9154</f>
        <v>0.00408263248142402</v>
      </c>
      <c r="D9154" s="1" t="n">
        <v>0.39062</v>
      </c>
      <c r="E9154" s="1" t="n">
        <f aca="false">LN(D9154)</f>
        <v>-0.940020058573392</v>
      </c>
    </row>
    <row r="9155" customFormat="false" ht="15.75" hidden="false" customHeight="false" outlineLevel="0" collapsed="false">
      <c r="A9155" s="1" t="s">
        <v>1494</v>
      </c>
      <c r="B9155" s="1" t="n">
        <v>245.41</v>
      </c>
      <c r="C9155" s="1" t="n">
        <f aca="false">1/B9155</f>
        <v>0.00407481357727884</v>
      </c>
      <c r="D9155" s="1" t="n">
        <v>0.38792</v>
      </c>
      <c r="E9155" s="1" t="n">
        <f aca="false">LN(D9155)</f>
        <v>-0.94695614618504</v>
      </c>
    </row>
    <row r="9156" customFormat="false" ht="15.75" hidden="false" customHeight="false" outlineLevel="0" collapsed="false">
      <c r="A9156" s="1" t="s">
        <v>1494</v>
      </c>
      <c r="B9156" s="1" t="n">
        <v>245.89</v>
      </c>
      <c r="C9156" s="1" t="n">
        <f aca="false">1/B9156</f>
        <v>0.00406685916466713</v>
      </c>
      <c r="D9156" s="1" t="n">
        <v>0.38525</v>
      </c>
      <c r="E9156" s="1" t="n">
        <f aca="false">LN(D9156)</f>
        <v>-0.953862804781912</v>
      </c>
    </row>
    <row r="9157" customFormat="false" ht="15.75" hidden="false" customHeight="false" outlineLevel="0" collapsed="false">
      <c r="A9157" s="1" t="s">
        <v>1494</v>
      </c>
      <c r="B9157" s="1" t="n">
        <v>246.37</v>
      </c>
      <c r="C9157" s="1" t="n">
        <f aca="false">1/B9157</f>
        <v>0.00405893574704712</v>
      </c>
      <c r="D9157" s="1" t="n">
        <v>0.3826</v>
      </c>
      <c r="E9157" s="1" t="n">
        <f aca="false">LN(D9157)</f>
        <v>-0.960765221975985</v>
      </c>
    </row>
    <row r="9158" customFormat="false" ht="15.75" hidden="false" customHeight="false" outlineLevel="0" collapsed="false">
      <c r="A9158" s="1" t="s">
        <v>1494</v>
      </c>
      <c r="B9158" s="1" t="n">
        <v>246.79</v>
      </c>
      <c r="C9158" s="1" t="n">
        <f aca="false">1/B9158</f>
        <v>0.00405202804003404</v>
      </c>
      <c r="D9158" s="1" t="n">
        <v>0.38027</v>
      </c>
      <c r="E9158" s="1" t="n">
        <f aca="false">LN(D9158)</f>
        <v>-0.966873752250233</v>
      </c>
    </row>
    <row r="9159" customFormat="false" ht="15.75" hidden="false" customHeight="false" outlineLevel="0" collapsed="false">
      <c r="A9159" s="1" t="s">
        <v>1186</v>
      </c>
      <c r="B9159" s="1" t="n">
        <v>170.23</v>
      </c>
      <c r="C9159" s="1" t="n">
        <f aca="false">1/B9159</f>
        <v>0.00587440521647183</v>
      </c>
      <c r="D9159" s="1" t="n">
        <v>5.2362</v>
      </c>
      <c r="E9159" s="1" t="n">
        <f aca="false">LN(D9159)</f>
        <v>1.65559604441518</v>
      </c>
    </row>
    <row r="9160" customFormat="false" ht="15.75" hidden="false" customHeight="false" outlineLevel="0" collapsed="false">
      <c r="A9160" s="1" t="s">
        <v>1186</v>
      </c>
      <c r="B9160" s="1" t="n">
        <v>170.78</v>
      </c>
      <c r="C9160" s="1" t="n">
        <f aca="false">1/B9160</f>
        <v>0.00585548659093571</v>
      </c>
      <c r="D9160" s="1" t="n">
        <v>5.1233</v>
      </c>
      <c r="E9160" s="1" t="n">
        <f aca="false">LN(D9160)</f>
        <v>1.63379876268036</v>
      </c>
    </row>
    <row r="9161" customFormat="false" ht="15.75" hidden="false" customHeight="false" outlineLevel="0" collapsed="false">
      <c r="A9161" s="1" t="s">
        <v>1186</v>
      </c>
      <c r="B9161" s="1" t="n">
        <v>171.33</v>
      </c>
      <c r="C9161" s="1" t="n">
        <f aca="false">1/B9161</f>
        <v>0.00583668942975544</v>
      </c>
      <c r="D9161" s="1" t="n">
        <v>5.0139</v>
      </c>
      <c r="E9161" s="1" t="n">
        <f aca="false">LN(D9161)</f>
        <v>1.61221405538085</v>
      </c>
    </row>
    <row r="9162" customFormat="false" ht="15.75" hidden="false" customHeight="false" outlineLevel="0" collapsed="false">
      <c r="A9162" s="1" t="s">
        <v>1186</v>
      </c>
      <c r="B9162" s="1" t="n">
        <v>171.88</v>
      </c>
      <c r="C9162" s="1" t="n">
        <f aca="false">1/B9162</f>
        <v>0.00581801256690715</v>
      </c>
      <c r="D9162" s="1" t="n">
        <v>4.9077</v>
      </c>
      <c r="E9162" s="1" t="n">
        <f aca="false">LN(D9162)</f>
        <v>1.5908054002861</v>
      </c>
    </row>
    <row r="9163" customFormat="false" ht="15.75" hidden="false" customHeight="false" outlineLevel="0" collapsed="false">
      <c r="A9163" s="1" t="s">
        <v>1186</v>
      </c>
      <c r="B9163" s="1" t="n">
        <v>172.43</v>
      </c>
      <c r="C9163" s="1" t="n">
        <f aca="false">1/B9163</f>
        <v>0.00579945485124398</v>
      </c>
      <c r="D9163" s="1" t="n">
        <v>4.8047</v>
      </c>
      <c r="E9163" s="1" t="n">
        <f aca="false">LN(D9163)</f>
        <v>1.56959460550953</v>
      </c>
    </row>
    <row r="9164" customFormat="false" ht="15.75" hidden="false" customHeight="false" outlineLevel="0" collapsed="false">
      <c r="A9164" s="1" t="s">
        <v>1186</v>
      </c>
      <c r="B9164" s="1" t="n">
        <v>172.98</v>
      </c>
      <c r="C9164" s="1" t="n">
        <f aca="false">1/B9164</f>
        <v>0.00578101514625968</v>
      </c>
      <c r="D9164" s="1" t="n">
        <v>4.7048</v>
      </c>
      <c r="E9164" s="1" t="n">
        <f aca="false">LN(D9164)</f>
        <v>1.54858326416361</v>
      </c>
    </row>
    <row r="9165" customFormat="false" ht="15.75" hidden="false" customHeight="false" outlineLevel="0" collapsed="false">
      <c r="A9165" s="1" t="s">
        <v>1186</v>
      </c>
      <c r="B9165" s="1" t="n">
        <v>173.53</v>
      </c>
      <c r="C9165" s="1" t="n">
        <f aca="false">1/B9165</f>
        <v>0.00576269232985651</v>
      </c>
      <c r="D9165" s="1" t="n">
        <v>4.6078</v>
      </c>
      <c r="E9165" s="1" t="n">
        <f aca="false">LN(D9165)</f>
        <v>1.52775051967388</v>
      </c>
    </row>
    <row r="9166" customFormat="false" ht="15.75" hidden="false" customHeight="false" outlineLevel="0" collapsed="false">
      <c r="A9166" s="1" t="s">
        <v>1186</v>
      </c>
      <c r="B9166" s="1" t="n">
        <v>174.08</v>
      </c>
      <c r="C9166" s="1" t="n">
        <f aca="false">1/B9166</f>
        <v>0.00574448529411765</v>
      </c>
      <c r="D9166" s="1" t="n">
        <v>4.5136</v>
      </c>
      <c r="E9166" s="1" t="n">
        <f aca="false">LN(D9166)</f>
        <v>1.5070950612656</v>
      </c>
    </row>
    <row r="9167" customFormat="false" ht="15.75" hidden="false" customHeight="false" outlineLevel="0" collapsed="false">
      <c r="A9167" s="1" t="s">
        <v>1186</v>
      </c>
      <c r="B9167" s="1" t="n">
        <v>174.63</v>
      </c>
      <c r="C9167" s="1" t="n">
        <f aca="false">1/B9167</f>
        <v>0.00572639294508389</v>
      </c>
      <c r="D9167" s="1" t="n">
        <v>4.4222</v>
      </c>
      <c r="E9167" s="1" t="n">
        <f aca="false">LN(D9167)</f>
        <v>1.48663730981592</v>
      </c>
    </row>
    <row r="9168" customFormat="false" ht="15.75" hidden="false" customHeight="false" outlineLevel="0" collapsed="false">
      <c r="A9168" s="1" t="s">
        <v>1186</v>
      </c>
      <c r="B9168" s="1" t="n">
        <v>175.19</v>
      </c>
      <c r="C9168" s="1" t="n">
        <f aca="false">1/B9168</f>
        <v>0.00570808836120783</v>
      </c>
      <c r="D9168" s="1" t="n">
        <v>4.3334</v>
      </c>
      <c r="E9168" s="1" t="n">
        <f aca="false">LN(D9168)</f>
        <v>1.46635245329047</v>
      </c>
    </row>
    <row r="9169" customFormat="false" ht="15.75" hidden="false" customHeight="false" outlineLevel="0" collapsed="false">
      <c r="A9169" s="1" t="s">
        <v>1186</v>
      </c>
      <c r="B9169" s="1" t="n">
        <v>175.74</v>
      </c>
      <c r="C9169" s="1" t="n">
        <f aca="false">1/B9169</f>
        <v>0.00569022419483328</v>
      </c>
      <c r="D9169" s="1" t="n">
        <v>4.2471</v>
      </c>
      <c r="E9169" s="1" t="n">
        <f aca="false">LN(D9169)</f>
        <v>1.44623639708642</v>
      </c>
    </row>
    <row r="9170" customFormat="false" ht="15.75" hidden="false" customHeight="false" outlineLevel="0" collapsed="false">
      <c r="A9170" s="1" t="s">
        <v>1186</v>
      </c>
      <c r="B9170" s="1" t="n">
        <v>176.29</v>
      </c>
      <c r="C9170" s="1" t="n">
        <f aca="false">1/B9170</f>
        <v>0.00567247149583073</v>
      </c>
      <c r="D9170" s="1" t="n">
        <v>4.1633</v>
      </c>
      <c r="E9170" s="1" t="n">
        <f aca="false">LN(D9170)</f>
        <v>1.4263080290322</v>
      </c>
    </row>
    <row r="9171" customFormat="false" ht="15.75" hidden="false" customHeight="false" outlineLevel="0" collapsed="false">
      <c r="A9171" s="1" t="s">
        <v>1186</v>
      </c>
      <c r="B9171" s="1" t="n">
        <v>176.84</v>
      </c>
      <c r="C9171" s="1" t="n">
        <f aca="false">1/B9171</f>
        <v>0.00565482922415743</v>
      </c>
      <c r="D9171" s="1" t="n">
        <v>4.0818</v>
      </c>
      <c r="E9171" s="1" t="n">
        <f aca="false">LN(D9171)</f>
        <v>1.40653806759693</v>
      </c>
    </row>
    <row r="9172" customFormat="false" ht="15.75" hidden="false" customHeight="false" outlineLevel="0" collapsed="false">
      <c r="A9172" s="1" t="s">
        <v>1186</v>
      </c>
      <c r="B9172" s="1" t="n">
        <v>177.39</v>
      </c>
      <c r="C9172" s="1" t="n">
        <f aca="false">1/B9172</f>
        <v>0.00563729635266926</v>
      </c>
      <c r="D9172" s="1" t="n">
        <v>4.0026</v>
      </c>
      <c r="E9172" s="1" t="n">
        <f aca="false">LN(D9172)</f>
        <v>1.38694414996139</v>
      </c>
    </row>
    <row r="9173" customFormat="false" ht="15.75" hidden="false" customHeight="false" outlineLevel="0" collapsed="false">
      <c r="A9173" s="1" t="s">
        <v>1186</v>
      </c>
      <c r="B9173" s="1" t="n">
        <v>177.94</v>
      </c>
      <c r="C9173" s="1" t="n">
        <f aca="false">1/B9173</f>
        <v>0.00561987186692143</v>
      </c>
      <c r="D9173" s="1" t="n">
        <v>3.9257</v>
      </c>
      <c r="E9173" s="1" t="n">
        <f aca="false">LN(D9173)</f>
        <v>1.36754467928203</v>
      </c>
    </row>
    <row r="9174" customFormat="false" ht="15.75" hidden="false" customHeight="false" outlineLevel="0" collapsed="false">
      <c r="A9174" s="1" t="s">
        <v>1186</v>
      </c>
      <c r="B9174" s="1" t="n">
        <v>178.49</v>
      </c>
      <c r="C9174" s="1" t="n">
        <f aca="false">1/B9174</f>
        <v>0.00560255476497283</v>
      </c>
      <c r="D9174" s="1" t="n">
        <v>3.8508</v>
      </c>
      <c r="E9174" s="1" t="n">
        <f aca="false">LN(D9174)</f>
        <v>1.34828091892167</v>
      </c>
    </row>
    <row r="9175" customFormat="false" ht="15.75" hidden="false" customHeight="false" outlineLevel="0" collapsed="false">
      <c r="A9175" s="1" t="s">
        <v>1186</v>
      </c>
      <c r="B9175" s="1" t="n">
        <v>179.04</v>
      </c>
      <c r="C9175" s="1" t="n">
        <f aca="false">1/B9175</f>
        <v>0.00558534405719392</v>
      </c>
      <c r="D9175" s="1" t="n">
        <v>3.778</v>
      </c>
      <c r="E9175" s="1" t="n">
        <f aca="false">LN(D9175)</f>
        <v>1.32919476907932</v>
      </c>
    </row>
    <row r="9176" customFormat="false" ht="15.75" hidden="false" customHeight="false" outlineLevel="0" collapsed="false">
      <c r="A9176" s="1" t="s">
        <v>1186</v>
      </c>
      <c r="B9176" s="1" t="n">
        <v>179.59</v>
      </c>
      <c r="C9176" s="1" t="n">
        <f aca="false">1/B9176</f>
        <v>0.00556823876607829</v>
      </c>
      <c r="D9176" s="1" t="n">
        <v>3.7071</v>
      </c>
      <c r="E9176" s="1" t="n">
        <f aca="false">LN(D9176)</f>
        <v>1.31024989979612</v>
      </c>
    </row>
    <row r="9177" customFormat="false" ht="15.75" hidden="false" customHeight="false" outlineLevel="0" collapsed="false">
      <c r="A9177" s="1" t="s">
        <v>1186</v>
      </c>
      <c r="B9177" s="1" t="n">
        <v>180.14</v>
      </c>
      <c r="C9177" s="1" t="n">
        <f aca="false">1/B9177</f>
        <v>0.00555123792605751</v>
      </c>
      <c r="D9177" s="1" t="n">
        <v>3.6382</v>
      </c>
      <c r="E9177" s="1" t="n">
        <f aca="false">LN(D9177)</f>
        <v>1.29148905384598</v>
      </c>
    </row>
    <row r="9178" customFormat="false" ht="15.75" hidden="false" customHeight="false" outlineLevel="0" collapsed="false">
      <c r="A9178" s="1" t="s">
        <v>1186</v>
      </c>
      <c r="B9178" s="1" t="n">
        <v>180.69</v>
      </c>
      <c r="C9178" s="1" t="n">
        <f aca="false">1/B9178</f>
        <v>0.0055343405833195</v>
      </c>
      <c r="D9178" s="1" t="n">
        <v>3.5711</v>
      </c>
      <c r="E9178" s="1" t="n">
        <f aca="false">LN(D9178)</f>
        <v>1.27287367158063</v>
      </c>
    </row>
    <row r="9179" customFormat="false" ht="15.75" hidden="false" customHeight="false" outlineLevel="0" collapsed="false">
      <c r="A9179" s="1" t="s">
        <v>1186</v>
      </c>
      <c r="B9179" s="1" t="n">
        <v>181.24</v>
      </c>
      <c r="C9179" s="1" t="n">
        <f aca="false">1/B9179</f>
        <v>0.0055175457956301</v>
      </c>
      <c r="D9179" s="1" t="n">
        <v>3.5058</v>
      </c>
      <c r="E9179" s="1" t="n">
        <f aca="false">LN(D9179)</f>
        <v>1.25441873980631</v>
      </c>
    </row>
    <row r="9180" customFormat="false" ht="15.75" hidden="false" customHeight="false" outlineLevel="0" collapsed="false">
      <c r="A9180" s="1" t="s">
        <v>1186</v>
      </c>
      <c r="B9180" s="1" t="n">
        <v>181.79</v>
      </c>
      <c r="C9180" s="1" t="n">
        <f aca="false">1/B9180</f>
        <v>0.00550085263215799</v>
      </c>
      <c r="D9180" s="1" t="n">
        <v>3.4422</v>
      </c>
      <c r="E9180" s="1" t="n">
        <f aca="false">LN(D9180)</f>
        <v>1.23611080185374</v>
      </c>
    </row>
    <row r="9181" customFormat="false" ht="15.75" hidden="false" customHeight="false" outlineLevel="0" collapsed="false">
      <c r="A9181" s="1" t="s">
        <v>1186</v>
      </c>
      <c r="B9181" s="1" t="n">
        <v>182.34</v>
      </c>
      <c r="C9181" s="1" t="n">
        <f aca="false">1/B9181</f>
        <v>0.00548426017330262</v>
      </c>
      <c r="D9181" s="1" t="n">
        <v>3.3802</v>
      </c>
      <c r="E9181" s="1" t="n">
        <f aca="false">LN(D9181)</f>
        <v>1.21793487934199</v>
      </c>
    </row>
    <row r="9182" customFormat="false" ht="15.75" hidden="false" customHeight="false" outlineLevel="0" collapsed="false">
      <c r="A9182" s="1" t="s">
        <v>1186</v>
      </c>
      <c r="B9182" s="1" t="n">
        <v>182.89</v>
      </c>
      <c r="C9182" s="1" t="n">
        <f aca="false">1/B9182</f>
        <v>0.00546776751052545</v>
      </c>
      <c r="D9182" s="1" t="n">
        <v>3.3199</v>
      </c>
      <c r="E9182" s="1" t="n">
        <f aca="false">LN(D9182)</f>
        <v>1.19993466199284</v>
      </c>
    </row>
    <row r="9183" customFormat="false" ht="15.75" hidden="false" customHeight="false" outlineLevel="0" collapsed="false">
      <c r="A9183" s="1" t="s">
        <v>1186</v>
      </c>
      <c r="B9183" s="1" t="n">
        <v>183.44</v>
      </c>
      <c r="C9183" s="1" t="n">
        <f aca="false">1/B9183</f>
        <v>0.00545137374618404</v>
      </c>
      <c r="D9183" s="1" t="n">
        <v>3.2612</v>
      </c>
      <c r="E9183" s="1" t="n">
        <f aca="false">LN(D9183)</f>
        <v>1.18209522580662</v>
      </c>
    </row>
    <row r="9184" customFormat="false" ht="15.75" hidden="false" customHeight="false" outlineLevel="0" collapsed="false">
      <c r="A9184" s="1" t="s">
        <v>1186</v>
      </c>
      <c r="B9184" s="1" t="n">
        <v>183.99</v>
      </c>
      <c r="C9184" s="1" t="n">
        <f aca="false">1/B9184</f>
        <v>0.0054350779933692</v>
      </c>
      <c r="D9184" s="1" t="n">
        <v>3.2039</v>
      </c>
      <c r="E9184" s="1" t="n">
        <f aca="false">LN(D9184)</f>
        <v>1.16436881773277</v>
      </c>
    </row>
    <row r="9185" customFormat="false" ht="15.75" hidden="false" customHeight="false" outlineLevel="0" collapsed="false">
      <c r="A9185" s="1" t="s">
        <v>1186</v>
      </c>
      <c r="B9185" s="1" t="n">
        <v>184.54</v>
      </c>
      <c r="C9185" s="1" t="n">
        <f aca="false">1/B9185</f>
        <v>0.0054188793757451</v>
      </c>
      <c r="D9185" s="1" t="n">
        <v>3.1481</v>
      </c>
      <c r="E9185" s="1" t="n">
        <f aca="false">LN(D9185)</f>
        <v>1.14679909625138</v>
      </c>
    </row>
    <row r="9186" customFormat="false" ht="15.75" hidden="false" customHeight="false" outlineLevel="0" collapsed="false">
      <c r="A9186" s="1" t="s">
        <v>1186</v>
      </c>
      <c r="B9186" s="1" t="n">
        <v>185.09</v>
      </c>
      <c r="C9186" s="1" t="n">
        <f aca="false">1/B9186</f>
        <v>0.00540277702739208</v>
      </c>
      <c r="D9186" s="1" t="n">
        <v>3.0937</v>
      </c>
      <c r="E9186" s="1" t="n">
        <f aca="false">LN(D9186)</f>
        <v>1.1293677855881</v>
      </c>
    </row>
    <row r="9187" customFormat="false" ht="15.75" hidden="false" customHeight="false" outlineLevel="0" collapsed="false">
      <c r="A9187" s="1" t="s">
        <v>1186</v>
      </c>
      <c r="B9187" s="1" t="n">
        <v>185.65</v>
      </c>
      <c r="C9187" s="1" t="n">
        <f aca="false">1/B9187</f>
        <v>0.00538647993536224</v>
      </c>
      <c r="D9187" s="1" t="n">
        <v>3.0407</v>
      </c>
      <c r="E9187" s="1" t="n">
        <f aca="false">LN(D9187)</f>
        <v>1.11208775206953</v>
      </c>
    </row>
    <row r="9188" customFormat="false" ht="15.75" hidden="false" customHeight="false" outlineLevel="0" collapsed="false">
      <c r="A9188" s="1" t="s">
        <v>1186</v>
      </c>
      <c r="B9188" s="1" t="n">
        <v>186.2</v>
      </c>
      <c r="C9188" s="1" t="n">
        <f aca="false">1/B9188</f>
        <v>0.00537056928034372</v>
      </c>
      <c r="D9188" s="1" t="n">
        <v>2.989</v>
      </c>
      <c r="E9188" s="1" t="n">
        <f aca="false">LN(D9188)</f>
        <v>1.0949388833018</v>
      </c>
    </row>
    <row r="9189" customFormat="false" ht="15.75" hidden="false" customHeight="false" outlineLevel="0" collapsed="false">
      <c r="A9189" s="1" t="s">
        <v>1186</v>
      </c>
      <c r="B9189" s="1" t="n">
        <v>186.75</v>
      </c>
      <c r="C9189" s="1" t="n">
        <f aca="false">1/B9189</f>
        <v>0.00535475234270415</v>
      </c>
      <c r="D9189" s="1" t="n">
        <v>2.9386</v>
      </c>
      <c r="E9189" s="1" t="n">
        <f aca="false">LN(D9189)</f>
        <v>1.07793327745971</v>
      </c>
    </row>
    <row r="9190" customFormat="false" ht="15.75" hidden="false" customHeight="false" outlineLevel="0" collapsed="false">
      <c r="A9190" s="1" t="s">
        <v>1186</v>
      </c>
      <c r="B9190" s="1" t="n">
        <v>187.3</v>
      </c>
      <c r="C9190" s="1" t="n">
        <f aca="false">1/B9190</f>
        <v>0.00533902829684997</v>
      </c>
      <c r="D9190" s="1" t="n">
        <v>2.8894</v>
      </c>
      <c r="E9190" s="1" t="n">
        <f aca="false">LN(D9190)</f>
        <v>1.06104886811314</v>
      </c>
    </row>
    <row r="9191" customFormat="false" ht="15.75" hidden="false" customHeight="false" outlineLevel="0" collapsed="false">
      <c r="A9191" s="1" t="s">
        <v>1186</v>
      </c>
      <c r="B9191" s="1" t="n">
        <v>187.85</v>
      </c>
      <c r="C9191" s="1" t="n">
        <f aca="false">1/B9191</f>
        <v>0.00532339632685653</v>
      </c>
      <c r="D9191" s="1" t="n">
        <v>2.8415</v>
      </c>
      <c r="E9191" s="1" t="n">
        <f aca="false">LN(D9191)</f>
        <v>1.04433208175504</v>
      </c>
    </row>
    <row r="9192" customFormat="false" ht="15.75" hidden="false" customHeight="false" outlineLevel="0" collapsed="false">
      <c r="A9192" s="1" t="s">
        <v>1186</v>
      </c>
      <c r="B9192" s="1" t="n">
        <v>188.4</v>
      </c>
      <c r="C9192" s="1" t="n">
        <f aca="false">1/B9192</f>
        <v>0.00530785562632696</v>
      </c>
      <c r="D9192" s="1" t="n">
        <v>2.7947</v>
      </c>
      <c r="E9192" s="1" t="n">
        <f aca="false">LN(D9192)</f>
        <v>1.02772476632036</v>
      </c>
    </row>
    <row r="9193" customFormat="false" ht="15.75" hidden="false" customHeight="false" outlineLevel="0" collapsed="false">
      <c r="A9193" s="1" t="s">
        <v>1186</v>
      </c>
      <c r="B9193" s="1" t="n">
        <v>188.95</v>
      </c>
      <c r="C9193" s="1" t="n">
        <f aca="false">1/B9193</f>
        <v>0.00529240539825351</v>
      </c>
      <c r="D9193" s="1" t="n">
        <v>2.749</v>
      </c>
      <c r="E9193" s="1" t="n">
        <f aca="false">LN(D9193)</f>
        <v>1.01123720918311</v>
      </c>
    </row>
    <row r="9194" customFormat="false" ht="15.75" hidden="false" customHeight="false" outlineLevel="0" collapsed="false">
      <c r="A9194" s="1" t="s">
        <v>1186</v>
      </c>
      <c r="B9194" s="1" t="n">
        <v>189.5</v>
      </c>
      <c r="C9194" s="1" t="n">
        <f aca="false">1/B9194</f>
        <v>0.00527704485488127</v>
      </c>
      <c r="D9194" s="1" t="n">
        <v>2.7044</v>
      </c>
      <c r="E9194" s="1" t="n">
        <f aca="false">LN(D9194)</f>
        <v>0.994880076234386</v>
      </c>
    </row>
    <row r="9195" customFormat="false" ht="15.75" hidden="false" customHeight="false" outlineLevel="0" collapsed="false">
      <c r="A9195" s="1" t="s">
        <v>1186</v>
      </c>
      <c r="B9195" s="1" t="n">
        <v>190.05</v>
      </c>
      <c r="C9195" s="1" t="n">
        <f aca="false">1/B9195</f>
        <v>0.00526177321757432</v>
      </c>
      <c r="D9195" s="1" t="n">
        <v>2.6609</v>
      </c>
      <c r="E9195" s="1" t="n">
        <f aca="false">LN(D9195)</f>
        <v>0.978664411432215</v>
      </c>
    </row>
    <row r="9196" customFormat="false" ht="15.75" hidden="false" customHeight="false" outlineLevel="0" collapsed="false">
      <c r="A9196" s="1" t="s">
        <v>1186</v>
      </c>
      <c r="B9196" s="1" t="n">
        <v>190.6</v>
      </c>
      <c r="C9196" s="1" t="n">
        <f aca="false">1/B9196</f>
        <v>0.00524658971668416</v>
      </c>
      <c r="D9196" s="1" t="n">
        <v>2.6184</v>
      </c>
      <c r="E9196" s="1" t="n">
        <f aca="false">LN(D9196)</f>
        <v>0.962563444204834</v>
      </c>
    </row>
    <row r="9197" customFormat="false" ht="15.75" hidden="false" customHeight="false" outlineLevel="0" collapsed="false">
      <c r="A9197" s="1" t="s">
        <v>1186</v>
      </c>
      <c r="B9197" s="1" t="n">
        <v>191.15</v>
      </c>
      <c r="C9197" s="1" t="n">
        <f aca="false">1/B9197</f>
        <v>0.00523149359142035</v>
      </c>
      <c r="D9197" s="1" t="n">
        <v>2.5769</v>
      </c>
      <c r="E9197" s="1" t="n">
        <f aca="false">LN(D9197)</f>
        <v>0.946587126105505</v>
      </c>
    </row>
    <row r="9198" customFormat="false" ht="15.75" hidden="false" customHeight="false" outlineLevel="0" collapsed="false">
      <c r="A9198" s="1" t="s">
        <v>1186</v>
      </c>
      <c r="B9198" s="1" t="n">
        <v>191.7</v>
      </c>
      <c r="C9198" s="1" t="n">
        <f aca="false">1/B9198</f>
        <v>0.00521648408972353</v>
      </c>
      <c r="D9198" s="1" t="n">
        <v>2.5364</v>
      </c>
      <c r="E9198" s="1" t="n">
        <f aca="false">LN(D9198)</f>
        <v>0.930745752843739</v>
      </c>
    </row>
    <row r="9199" customFormat="false" ht="15.75" hidden="false" customHeight="false" outlineLevel="0" collapsed="false">
      <c r="A9199" s="1" t="s">
        <v>1186</v>
      </c>
      <c r="B9199" s="1" t="n">
        <v>192.25</v>
      </c>
      <c r="C9199" s="1" t="n">
        <f aca="false">1/B9199</f>
        <v>0.00520156046814044</v>
      </c>
      <c r="D9199" s="1" t="n">
        <v>2.4968</v>
      </c>
      <c r="E9199" s="1" t="n">
        <f aca="false">LN(D9199)</f>
        <v>0.915009911974433</v>
      </c>
    </row>
    <row r="9200" customFormat="false" ht="15.75" hidden="false" customHeight="false" outlineLevel="0" collapsed="false">
      <c r="A9200" s="1" t="s">
        <v>1186</v>
      </c>
      <c r="B9200" s="1" t="n">
        <v>192.8</v>
      </c>
      <c r="C9200" s="1" t="n">
        <f aca="false">1/B9200</f>
        <v>0.00518672199170124</v>
      </c>
      <c r="D9200" s="1" t="n">
        <v>2.4582</v>
      </c>
      <c r="E9200" s="1" t="n">
        <f aca="false">LN(D9200)</f>
        <v>0.899429374798743</v>
      </c>
    </row>
    <row r="9201" customFormat="false" ht="15.75" hidden="false" customHeight="false" outlineLevel="0" collapsed="false">
      <c r="A9201" s="1" t="s">
        <v>1186</v>
      </c>
      <c r="B9201" s="1" t="n">
        <v>193.35</v>
      </c>
      <c r="C9201" s="1" t="n">
        <f aca="false">1/B9201</f>
        <v>0.00517196793379881</v>
      </c>
      <c r="D9201" s="1" t="n">
        <v>2.4204</v>
      </c>
      <c r="E9201" s="1" t="n">
        <f aca="false">LN(D9201)</f>
        <v>0.883932815766029</v>
      </c>
    </row>
    <row r="9202" customFormat="false" ht="15.75" hidden="false" customHeight="false" outlineLevel="0" collapsed="false">
      <c r="A9202" s="1" t="s">
        <v>1186</v>
      </c>
      <c r="B9202" s="1" t="n">
        <v>193.9</v>
      </c>
      <c r="C9202" s="1" t="n">
        <f aca="false">1/B9202</f>
        <v>0.00515729757607014</v>
      </c>
      <c r="D9202" s="1" t="n">
        <v>2.3835</v>
      </c>
      <c r="E9202" s="1" t="n">
        <f aca="false">LN(D9202)</f>
        <v>0.868569995662743</v>
      </c>
    </row>
    <row r="9203" customFormat="false" ht="15.75" hidden="false" customHeight="false" outlineLevel="0" collapsed="false">
      <c r="A9203" s="1" t="s">
        <v>1186</v>
      </c>
      <c r="B9203" s="1" t="n">
        <v>194.45</v>
      </c>
      <c r="C9203" s="1" t="n">
        <f aca="false">1/B9203</f>
        <v>0.00514271020827976</v>
      </c>
      <c r="D9203" s="1" t="n">
        <v>2.3474</v>
      </c>
      <c r="E9203" s="1" t="n">
        <f aca="false">LN(D9203)</f>
        <v>0.853308332683887</v>
      </c>
    </row>
    <row r="9204" customFormat="false" ht="15.75" hidden="false" customHeight="false" outlineLevel="0" collapsed="false">
      <c r="A9204" s="1" t="s">
        <v>1186</v>
      </c>
      <c r="B9204" s="1" t="n">
        <v>195</v>
      </c>
      <c r="C9204" s="1" t="n">
        <f aca="false">1/B9204</f>
        <v>0.00512820512820513</v>
      </c>
      <c r="D9204" s="1" t="n">
        <v>2.3121</v>
      </c>
      <c r="E9204" s="1" t="n">
        <f aca="false">LN(D9204)</f>
        <v>0.83815620246992</v>
      </c>
    </row>
    <row r="9205" customFormat="false" ht="15.75" hidden="false" customHeight="false" outlineLevel="0" collapsed="false">
      <c r="A9205" s="1" t="s">
        <v>1186</v>
      </c>
      <c r="B9205" s="1" t="n">
        <v>195.56</v>
      </c>
      <c r="C9205" s="1" t="n">
        <f aca="false">1/B9205</f>
        <v>0.00511352014726938</v>
      </c>
      <c r="D9205" s="1" t="n">
        <v>2.2777</v>
      </c>
      <c r="E9205" s="1" t="n">
        <f aca="false">LN(D9205)</f>
        <v>0.82316616188368</v>
      </c>
    </row>
    <row r="9206" customFormat="false" ht="15.75" hidden="false" customHeight="false" outlineLevel="0" collapsed="false">
      <c r="A9206" s="1" t="s">
        <v>1186</v>
      </c>
      <c r="B9206" s="1" t="n">
        <v>196.11</v>
      </c>
      <c r="C9206" s="1" t="n">
        <f aca="false">1/B9206</f>
        <v>0.00509917903217582</v>
      </c>
      <c r="D9206" s="1" t="n">
        <v>2.244</v>
      </c>
      <c r="E9206" s="1" t="n">
        <f aca="false">LN(D9206)</f>
        <v>0.80825998766045</v>
      </c>
    </row>
    <row r="9207" customFormat="false" ht="15.75" hidden="false" customHeight="false" outlineLevel="0" collapsed="false">
      <c r="A9207" s="1" t="s">
        <v>1186</v>
      </c>
      <c r="B9207" s="1" t="n">
        <v>196.66</v>
      </c>
      <c r="C9207" s="1" t="n">
        <f aca="false">1/B9207</f>
        <v>0.00508491813281806</v>
      </c>
      <c r="D9207" s="1" t="n">
        <v>2.211</v>
      </c>
      <c r="E9207" s="1" t="n">
        <f aca="false">LN(D9207)</f>
        <v>0.793444901875309</v>
      </c>
    </row>
    <row r="9208" customFormat="false" ht="15.75" hidden="false" customHeight="false" outlineLevel="0" collapsed="false">
      <c r="A9208" s="1" t="s">
        <v>1186</v>
      </c>
      <c r="B9208" s="1" t="n">
        <v>197.21</v>
      </c>
      <c r="C9208" s="1" t="n">
        <f aca="false">1/B9208</f>
        <v>0.00507073677805385</v>
      </c>
      <c r="D9208" s="1" t="n">
        <v>2.1787</v>
      </c>
      <c r="E9208" s="1" t="n">
        <f aca="false">LN(D9208)</f>
        <v>0.778728368650151</v>
      </c>
    </row>
    <row r="9209" customFormat="false" ht="15.75" hidden="false" customHeight="false" outlineLevel="0" collapsed="false">
      <c r="A9209" s="1" t="s">
        <v>1186</v>
      </c>
      <c r="B9209" s="1" t="n">
        <v>197.76</v>
      </c>
      <c r="C9209" s="1" t="n">
        <f aca="false">1/B9209</f>
        <v>0.00505663430420712</v>
      </c>
      <c r="D9209" s="1" t="n">
        <v>2.1472</v>
      </c>
      <c r="E9209" s="1" t="n">
        <f aca="false">LN(D9209)</f>
        <v>0.764164667795226</v>
      </c>
    </row>
    <row r="9210" customFormat="false" ht="15.75" hidden="false" customHeight="false" outlineLevel="0" collapsed="false">
      <c r="A9210" s="1" t="s">
        <v>1186</v>
      </c>
      <c r="B9210" s="1" t="n">
        <v>198.31</v>
      </c>
      <c r="C9210" s="1" t="n">
        <f aca="false">1/B9210</f>
        <v>0.00504261005496445</v>
      </c>
      <c r="D9210" s="1" t="n">
        <v>2.1163</v>
      </c>
      <c r="E9210" s="1" t="n">
        <f aca="false">LN(D9210)</f>
        <v>0.749669280884271</v>
      </c>
    </row>
    <row r="9211" customFormat="false" ht="15.75" hidden="false" customHeight="false" outlineLevel="0" collapsed="false">
      <c r="A9211" s="1" t="s">
        <v>1186</v>
      </c>
      <c r="B9211" s="1" t="n">
        <v>198.86</v>
      </c>
      <c r="C9211" s="1" t="n">
        <f aca="false">1/B9211</f>
        <v>0.00502866338127326</v>
      </c>
      <c r="D9211" s="1" t="n">
        <v>2.0861</v>
      </c>
      <c r="E9211" s="1" t="n">
        <f aca="false">LN(D9211)</f>
        <v>0.735296294068104</v>
      </c>
    </row>
    <row r="9212" customFormat="false" ht="15.75" hidden="false" customHeight="false" outlineLevel="0" collapsed="false">
      <c r="A9212" s="1" t="s">
        <v>1186</v>
      </c>
      <c r="B9212" s="1" t="n">
        <v>199.41</v>
      </c>
      <c r="C9212" s="1" t="n">
        <f aca="false">1/B9212</f>
        <v>0.00501479364124166</v>
      </c>
      <c r="D9212" s="1" t="n">
        <v>2.0566</v>
      </c>
      <c r="E9212" s="1" t="n">
        <f aca="false">LN(D9212)</f>
        <v>0.721054133812953</v>
      </c>
    </row>
    <row r="9213" customFormat="false" ht="15.75" hidden="false" customHeight="false" outlineLevel="0" collapsed="false">
      <c r="A9213" s="1" t="s">
        <v>1186</v>
      </c>
      <c r="B9213" s="1" t="n">
        <v>199.96</v>
      </c>
      <c r="C9213" s="1" t="n">
        <f aca="false">1/B9213</f>
        <v>0.00500100020004001</v>
      </c>
      <c r="D9213" s="1" t="n">
        <v>2.0277</v>
      </c>
      <c r="E9213" s="1" t="n">
        <f aca="false">LN(D9213)</f>
        <v>0.706902145792281</v>
      </c>
    </row>
    <row r="9214" customFormat="false" ht="15.75" hidden="false" customHeight="false" outlineLevel="0" collapsed="false">
      <c r="A9214" s="1" t="s">
        <v>1186</v>
      </c>
      <c r="B9214" s="1" t="n">
        <v>200.51</v>
      </c>
      <c r="C9214" s="1" t="n">
        <f aca="false">1/B9214</f>
        <v>0.004987282429804</v>
      </c>
      <c r="D9214" s="1" t="n">
        <v>1.9993</v>
      </c>
      <c r="E9214" s="1" t="n">
        <f aca="false">LN(D9214)</f>
        <v>0.69279711929565</v>
      </c>
    </row>
    <row r="9215" customFormat="false" ht="15.75" hidden="false" customHeight="false" outlineLevel="0" collapsed="false">
      <c r="A9215" s="1" t="s">
        <v>1186</v>
      </c>
      <c r="B9215" s="1" t="n">
        <v>201.06</v>
      </c>
      <c r="C9215" s="1" t="n">
        <f aca="false">1/B9215</f>
        <v>0.00497363970953944</v>
      </c>
      <c r="D9215" s="1" t="n">
        <v>1.9716</v>
      </c>
      <c r="E9215" s="1" t="n">
        <f aca="false">LN(D9215)</f>
        <v>0.678845395849086</v>
      </c>
    </row>
    <row r="9216" customFormat="false" ht="15.75" hidden="false" customHeight="false" outlineLevel="0" collapsed="false">
      <c r="A9216" s="1" t="s">
        <v>1186</v>
      </c>
      <c r="B9216" s="1" t="n">
        <v>201.61</v>
      </c>
      <c r="C9216" s="1" t="n">
        <f aca="false">1/B9216</f>
        <v>0.00496007142502852</v>
      </c>
      <c r="D9216" s="1" t="n">
        <v>1.9445</v>
      </c>
      <c r="E9216" s="1" t="n">
        <f aca="false">LN(D9216)</f>
        <v>0.665004874613665</v>
      </c>
    </row>
    <row r="9217" customFormat="false" ht="15.75" hidden="false" customHeight="false" outlineLevel="0" collapsed="false">
      <c r="A9217" s="1" t="s">
        <v>1186</v>
      </c>
      <c r="B9217" s="1" t="n">
        <v>202.16</v>
      </c>
      <c r="C9217" s="1" t="n">
        <f aca="false">1/B9217</f>
        <v>0.00494657696873763</v>
      </c>
      <c r="D9217" s="1" t="n">
        <v>1.9179</v>
      </c>
      <c r="E9217" s="1" t="n">
        <f aca="false">LN(D9217)</f>
        <v>0.651230837458654</v>
      </c>
    </row>
    <row r="9218" customFormat="false" ht="15.75" hidden="false" customHeight="false" outlineLevel="0" collapsed="false">
      <c r="A9218" s="1" t="s">
        <v>1186</v>
      </c>
      <c r="B9218" s="1" t="n">
        <v>202.71</v>
      </c>
      <c r="C9218" s="1" t="n">
        <f aca="false">1/B9218</f>
        <v>0.0049331557397267</v>
      </c>
      <c r="D9218" s="1" t="n">
        <v>1.8919</v>
      </c>
      <c r="E9218" s="1" t="n">
        <f aca="false">LN(D9218)</f>
        <v>0.637581615110237</v>
      </c>
    </row>
    <row r="9219" customFormat="false" ht="15.75" hidden="false" customHeight="false" outlineLevel="0" collapsed="false">
      <c r="A9219" s="1" t="s">
        <v>1186</v>
      </c>
      <c r="B9219" s="1" t="n">
        <v>203.26</v>
      </c>
      <c r="C9219" s="1" t="n">
        <f aca="false">1/B9219</f>
        <v>0.00491980714355997</v>
      </c>
      <c r="D9219" s="1" t="n">
        <v>1.8664</v>
      </c>
      <c r="E9219" s="1" t="n">
        <f aca="false">LN(D9219)</f>
        <v>0.624011441725083</v>
      </c>
    </row>
    <row r="9220" customFormat="false" ht="15.75" hidden="false" customHeight="false" outlineLevel="0" collapsed="false">
      <c r="A9220" s="1" t="s">
        <v>1186</v>
      </c>
      <c r="B9220" s="1" t="n">
        <v>203.81</v>
      </c>
      <c r="C9220" s="1" t="n">
        <f aca="false">1/B9220</f>
        <v>0.00490653059221824</v>
      </c>
      <c r="D9220" s="1" t="n">
        <v>1.8414</v>
      </c>
      <c r="E9220" s="1" t="n">
        <f aca="false">LN(D9220)</f>
        <v>0.610526151871608</v>
      </c>
    </row>
    <row r="9221" customFormat="false" ht="15.75" hidden="false" customHeight="false" outlineLevel="0" collapsed="false">
      <c r="A9221" s="1" t="s">
        <v>1186</v>
      </c>
      <c r="B9221" s="1" t="n">
        <v>204.36</v>
      </c>
      <c r="C9221" s="1" t="n">
        <f aca="false">1/B9221</f>
        <v>0.00489332550401253</v>
      </c>
      <c r="D9221" s="1" t="n">
        <v>1.8169</v>
      </c>
      <c r="E9221" s="1" t="n">
        <f aca="false">LN(D9221)</f>
        <v>0.597131752126258</v>
      </c>
    </row>
    <row r="9222" customFormat="false" ht="15.75" hidden="false" customHeight="false" outlineLevel="0" collapsed="false">
      <c r="A9222" s="1" t="s">
        <v>1186</v>
      </c>
      <c r="B9222" s="1" t="n">
        <v>204.91</v>
      </c>
      <c r="C9222" s="1" t="n">
        <f aca="false">1/B9222</f>
        <v>0.0048801913034991</v>
      </c>
      <c r="D9222" s="1" t="n">
        <v>1.793</v>
      </c>
      <c r="E9222" s="1" t="n">
        <f aca="false">LN(D9222)</f>
        <v>0.583890194622996</v>
      </c>
    </row>
    <row r="9223" customFormat="false" ht="15.75" hidden="false" customHeight="false" outlineLevel="0" collapsed="false">
      <c r="A9223" s="1" t="s">
        <v>1186</v>
      </c>
      <c r="B9223" s="1" t="n">
        <v>205.46</v>
      </c>
      <c r="C9223" s="1" t="n">
        <f aca="false">1/B9223</f>
        <v>0.00486712742139589</v>
      </c>
      <c r="D9223" s="1" t="n">
        <v>1.7695</v>
      </c>
      <c r="E9223" s="1" t="n">
        <f aca="false">LN(D9223)</f>
        <v>0.570697020803381</v>
      </c>
    </row>
    <row r="9224" customFormat="false" ht="15.75" hidden="false" customHeight="false" outlineLevel="0" collapsed="false">
      <c r="A9224" s="1" t="s">
        <v>1186</v>
      </c>
      <c r="B9224" s="1" t="n">
        <v>206.02</v>
      </c>
      <c r="C9224" s="1" t="n">
        <f aca="false">1/B9224</f>
        <v>0.00485389767983691</v>
      </c>
      <c r="D9224" s="1" t="n">
        <v>1.7464</v>
      </c>
      <c r="E9224" s="1" t="n">
        <f aca="false">LN(D9224)</f>
        <v>0.557556526253597</v>
      </c>
    </row>
    <row r="9225" customFormat="false" ht="15.75" hidden="false" customHeight="false" outlineLevel="0" collapsed="false">
      <c r="A9225" s="1" t="s">
        <v>1186</v>
      </c>
      <c r="B9225" s="1" t="n">
        <v>206.57</v>
      </c>
      <c r="C9225" s="1" t="n">
        <f aca="false">1/B9225</f>
        <v>0.0048409740039696</v>
      </c>
      <c r="D9225" s="1" t="n">
        <v>1.7239</v>
      </c>
      <c r="E9225" s="1" t="n">
        <f aca="false">LN(D9225)</f>
        <v>0.544589165918796</v>
      </c>
    </row>
    <row r="9226" customFormat="false" ht="15.75" hidden="false" customHeight="false" outlineLevel="0" collapsed="false">
      <c r="A9226" s="1" t="s">
        <v>1186</v>
      </c>
      <c r="B9226" s="1" t="n">
        <v>207.12</v>
      </c>
      <c r="C9226" s="1" t="n">
        <f aca="false">1/B9226</f>
        <v>0.00482811896485129</v>
      </c>
      <c r="D9226" s="1" t="n">
        <v>1.7017</v>
      </c>
      <c r="E9226" s="1" t="n">
        <f aca="false">LN(D9226)</f>
        <v>0.531627751395254</v>
      </c>
    </row>
    <row r="9227" customFormat="false" ht="15.75" hidden="false" customHeight="false" outlineLevel="0" collapsed="false">
      <c r="A9227" s="1" t="s">
        <v>1186</v>
      </c>
      <c r="B9227" s="1" t="n">
        <v>207.67</v>
      </c>
      <c r="C9227" s="1" t="n">
        <f aca="false">1/B9227</f>
        <v>0.00481533201714258</v>
      </c>
      <c r="D9227" s="1" t="n">
        <v>1.68</v>
      </c>
      <c r="E9227" s="1" t="n">
        <f aca="false">LN(D9227)</f>
        <v>0.518793793415168</v>
      </c>
    </row>
    <row r="9228" customFormat="false" ht="15.75" hidden="false" customHeight="false" outlineLevel="0" collapsed="false">
      <c r="A9228" s="1" t="s">
        <v>1186</v>
      </c>
      <c r="B9228" s="1" t="n">
        <v>208.22</v>
      </c>
      <c r="C9228" s="1" t="n">
        <f aca="false">1/B9228</f>
        <v>0.00480261262126597</v>
      </c>
      <c r="D9228" s="1" t="n">
        <v>1.6587</v>
      </c>
      <c r="E9228" s="1" t="n">
        <f aca="false">LN(D9228)</f>
        <v>0.50603416302986</v>
      </c>
    </row>
    <row r="9229" customFormat="false" ht="15.75" hidden="false" customHeight="false" outlineLevel="0" collapsed="false">
      <c r="A9229" s="1" t="s">
        <v>1186</v>
      </c>
      <c r="B9229" s="1" t="n">
        <v>208.77</v>
      </c>
      <c r="C9229" s="1" t="n">
        <f aca="false">1/B9229</f>
        <v>0.00478996024332998</v>
      </c>
      <c r="D9229" s="1" t="n">
        <v>1.6379</v>
      </c>
      <c r="E9229" s="1" t="n">
        <f aca="false">LN(D9229)</f>
        <v>0.493414933506197</v>
      </c>
    </row>
    <row r="9230" customFormat="false" ht="15.75" hidden="false" customHeight="false" outlineLevel="0" collapsed="false">
      <c r="A9230" s="1" t="s">
        <v>1186</v>
      </c>
      <c r="B9230" s="1" t="n">
        <v>209.32</v>
      </c>
      <c r="C9230" s="1" t="n">
        <f aca="false">1/B9230</f>
        <v>0.00477737435505446</v>
      </c>
      <c r="D9230" s="1" t="n">
        <v>1.6174</v>
      </c>
      <c r="E9230" s="1" t="n">
        <f aca="false">LN(D9230)</f>
        <v>0.480819921679585</v>
      </c>
    </row>
    <row r="9231" customFormat="false" ht="15.75" hidden="false" customHeight="false" outlineLevel="0" collapsed="false">
      <c r="A9231" s="1" t="s">
        <v>1186</v>
      </c>
      <c r="B9231" s="1" t="n">
        <v>209.87</v>
      </c>
      <c r="C9231" s="1" t="n">
        <f aca="false">1/B9231</f>
        <v>0.00476485443369705</v>
      </c>
      <c r="D9231" s="1" t="n">
        <v>1.5973</v>
      </c>
      <c r="E9231" s="1" t="n">
        <f aca="false">LN(D9231)</f>
        <v>0.468314703813774</v>
      </c>
    </row>
    <row r="9232" customFormat="false" ht="15.75" hidden="false" customHeight="false" outlineLevel="0" collapsed="false">
      <c r="A9232" s="1" t="s">
        <v>1186</v>
      </c>
      <c r="B9232" s="1" t="n">
        <v>210.42</v>
      </c>
      <c r="C9232" s="1" t="n">
        <f aca="false">1/B9232</f>
        <v>0.0047523999619808</v>
      </c>
      <c r="D9232" s="1" t="n">
        <v>1.5776</v>
      </c>
      <c r="E9232" s="1" t="n">
        <f aca="false">LN(D9232)</f>
        <v>0.455904704866234</v>
      </c>
    </row>
    <row r="9233" customFormat="false" ht="15.75" hidden="false" customHeight="false" outlineLevel="0" collapsed="false">
      <c r="A9233" s="1" t="s">
        <v>1186</v>
      </c>
      <c r="B9233" s="1" t="n">
        <v>210.97</v>
      </c>
      <c r="C9233" s="1" t="n">
        <f aca="false">1/B9233</f>
        <v>0.00474001042802294</v>
      </c>
      <c r="D9233" s="1" t="n">
        <v>1.5583</v>
      </c>
      <c r="E9233" s="1" t="n">
        <f aca="false">LN(D9233)</f>
        <v>0.443595483469432</v>
      </c>
    </row>
    <row r="9234" customFormat="false" ht="15.75" hidden="false" customHeight="false" outlineLevel="0" collapsed="false">
      <c r="A9234" s="1" t="s">
        <v>1186</v>
      </c>
      <c r="B9234" s="1" t="n">
        <v>211.52</v>
      </c>
      <c r="C9234" s="1" t="n">
        <f aca="false">1/B9234</f>
        <v>0.00472768532526475</v>
      </c>
      <c r="D9234" s="1" t="n">
        <v>1.5393</v>
      </c>
      <c r="E9234" s="1" t="n">
        <f aca="false">LN(D9234)</f>
        <v>0.431327767633892</v>
      </c>
    </row>
    <row r="9235" customFormat="false" ht="15.75" hidden="false" customHeight="false" outlineLevel="0" collapsed="false">
      <c r="A9235" s="1" t="s">
        <v>1186</v>
      </c>
      <c r="B9235" s="1" t="n">
        <v>212.07</v>
      </c>
      <c r="C9235" s="1" t="n">
        <f aca="false">1/B9235</f>
        <v>0.00471542415240251</v>
      </c>
      <c r="D9235" s="1" t="n">
        <v>1.5207</v>
      </c>
      <c r="E9235" s="1" t="n">
        <f aca="false">LN(D9235)</f>
        <v>0.419170755164276</v>
      </c>
    </row>
    <row r="9236" customFormat="false" ht="15.75" hidden="false" customHeight="false" outlineLevel="0" collapsed="false">
      <c r="A9236" s="1" t="s">
        <v>1186</v>
      </c>
      <c r="B9236" s="1" t="n">
        <v>212.62</v>
      </c>
      <c r="C9236" s="1" t="n">
        <f aca="false">1/B9236</f>
        <v>0.00470322641331954</v>
      </c>
      <c r="D9236" s="1" t="n">
        <v>1.5024</v>
      </c>
      <c r="E9236" s="1" t="n">
        <f aca="false">LN(D9236)</f>
        <v>0.407063829471861</v>
      </c>
    </row>
    <row r="9237" customFormat="false" ht="15.75" hidden="false" customHeight="false" outlineLevel="0" collapsed="false">
      <c r="A9237" s="1" t="s">
        <v>1186</v>
      </c>
      <c r="B9237" s="1" t="n">
        <v>213.17</v>
      </c>
      <c r="C9237" s="1" t="n">
        <f aca="false">1/B9237</f>
        <v>0.00469109161701928</v>
      </c>
      <c r="D9237" s="1" t="n">
        <v>1.4845</v>
      </c>
      <c r="E9237" s="1" t="n">
        <f aca="false">LN(D9237)</f>
        <v>0.395078015221677</v>
      </c>
    </row>
    <row r="9238" customFormat="false" ht="15.75" hidden="false" customHeight="false" outlineLevel="0" collapsed="false">
      <c r="A9238" s="1" t="s">
        <v>1186</v>
      </c>
      <c r="B9238" s="1" t="n">
        <v>213.72</v>
      </c>
      <c r="C9238" s="1" t="n">
        <f aca="false">1/B9238</f>
        <v>0.00467901927755942</v>
      </c>
      <c r="D9238" s="1" t="n">
        <v>1.4669</v>
      </c>
      <c r="E9238" s="1" t="n">
        <f aca="false">LN(D9238)</f>
        <v>0.38315133051158</v>
      </c>
    </row>
    <row r="9239" customFormat="false" ht="15.75" hidden="false" customHeight="false" outlineLevel="0" collapsed="false">
      <c r="A9239" s="1" t="s">
        <v>1186</v>
      </c>
      <c r="B9239" s="1" t="n">
        <v>214.27</v>
      </c>
      <c r="C9239" s="1" t="n">
        <f aca="false">1/B9239</f>
        <v>0.00466700891398703</v>
      </c>
      <c r="D9239" s="1" t="n">
        <v>1.4496</v>
      </c>
      <c r="E9239" s="1" t="n">
        <f aca="false">LN(D9239)</f>
        <v>0.371287656306578</v>
      </c>
    </row>
    <row r="9240" customFormat="false" ht="15.75" hidden="false" customHeight="false" outlineLevel="0" collapsed="false">
      <c r="A9240" s="1" t="s">
        <v>1186</v>
      </c>
      <c r="B9240" s="1" t="n">
        <v>214.82</v>
      </c>
      <c r="C9240" s="1" t="n">
        <f aca="false">1/B9240</f>
        <v>0.00465506005027465</v>
      </c>
      <c r="D9240" s="1" t="n">
        <v>1.4326</v>
      </c>
      <c r="E9240" s="1" t="n">
        <f aca="false">LN(D9240)</f>
        <v>0.359490975198214</v>
      </c>
    </row>
    <row r="9241" customFormat="false" ht="15.75" hidden="false" customHeight="false" outlineLevel="0" collapsed="false">
      <c r="A9241" s="1" t="s">
        <v>1186</v>
      </c>
      <c r="B9241" s="1" t="n">
        <v>215.37</v>
      </c>
      <c r="C9241" s="1" t="n">
        <f aca="false">1/B9241</f>
        <v>0.00464317221525746</v>
      </c>
      <c r="D9241" s="1" t="n">
        <v>1.416</v>
      </c>
      <c r="E9241" s="1" t="n">
        <f aca="false">LN(D9241)</f>
        <v>0.347835995271528</v>
      </c>
    </row>
    <row r="9242" customFormat="false" ht="15.75" hidden="false" customHeight="false" outlineLevel="0" collapsed="false">
      <c r="A9242" s="1" t="s">
        <v>1186</v>
      </c>
      <c r="B9242" s="1" t="n">
        <v>215.92</v>
      </c>
      <c r="C9242" s="1" t="n">
        <f aca="false">1/B9242</f>
        <v>0.00463134494257132</v>
      </c>
      <c r="D9242" s="1" t="n">
        <v>1.3996</v>
      </c>
      <c r="E9242" s="1" t="n">
        <f aca="false">LN(D9242)</f>
        <v>0.336186481511396</v>
      </c>
    </row>
    <row r="9243" customFormat="false" ht="15.75" hidden="false" customHeight="false" outlineLevel="0" collapsed="false">
      <c r="A9243" s="1" t="s">
        <v>1186</v>
      </c>
      <c r="B9243" s="1" t="n">
        <v>216.48</v>
      </c>
      <c r="C9243" s="1" t="n">
        <f aca="false">1/B9243</f>
        <v>0.00461936437546194</v>
      </c>
      <c r="D9243" s="1" t="n">
        <v>1.3835</v>
      </c>
      <c r="E9243" s="1" t="n">
        <f aca="false">LN(D9243)</f>
        <v>0.324616520244843</v>
      </c>
    </row>
    <row r="9244" customFormat="false" ht="15.75" hidden="false" customHeight="false" outlineLevel="0" collapsed="false">
      <c r="A9244" s="1" t="s">
        <v>1186</v>
      </c>
      <c r="B9244" s="1" t="n">
        <v>217.03</v>
      </c>
      <c r="C9244" s="1" t="n">
        <f aca="false">1/B9244</f>
        <v>0.00460765792747546</v>
      </c>
      <c r="D9244" s="1" t="n">
        <v>1.3677</v>
      </c>
      <c r="E9244" s="1" t="n">
        <f aca="false">LN(D9244)</f>
        <v>0.313130496905368</v>
      </c>
    </row>
    <row r="9245" customFormat="false" ht="15.75" hidden="false" customHeight="false" outlineLevel="0" collapsed="false">
      <c r="A9245" s="1" t="s">
        <v>1186</v>
      </c>
      <c r="B9245" s="1" t="n">
        <v>217.58</v>
      </c>
      <c r="C9245" s="1" t="n">
        <f aca="false">1/B9245</f>
        <v>0.00459601066274474</v>
      </c>
      <c r="D9245" s="1" t="n">
        <v>1.3522</v>
      </c>
      <c r="E9245" s="1" t="n">
        <f aca="false">LN(D9245)</f>
        <v>0.30173289567444</v>
      </c>
    </row>
    <row r="9246" customFormat="false" ht="15.75" hidden="false" customHeight="false" outlineLevel="0" collapsed="false">
      <c r="A9246" s="1" t="s">
        <v>1186</v>
      </c>
      <c r="B9246" s="1" t="n">
        <v>218.13</v>
      </c>
      <c r="C9246" s="1" t="n">
        <f aca="false">1/B9246</f>
        <v>0.00458442213359006</v>
      </c>
      <c r="D9246" s="1" t="n">
        <v>1.337</v>
      </c>
      <c r="E9246" s="1" t="n">
        <f aca="false">LN(D9246)</f>
        <v>0.290428298119806</v>
      </c>
    </row>
    <row r="9247" customFormat="false" ht="15.75" hidden="false" customHeight="false" outlineLevel="0" collapsed="false">
      <c r="A9247" s="1" t="s">
        <v>1186</v>
      </c>
      <c r="B9247" s="1" t="n">
        <v>218.68</v>
      </c>
      <c r="C9247" s="1" t="n">
        <f aca="false">1/B9247</f>
        <v>0.00457289189683556</v>
      </c>
      <c r="D9247" s="1" t="n">
        <v>1.322</v>
      </c>
      <c r="E9247" s="1" t="n">
        <f aca="false">LN(D9247)</f>
        <v>0.279145741429495</v>
      </c>
    </row>
    <row r="9248" customFormat="false" ht="15.75" hidden="false" customHeight="false" outlineLevel="0" collapsed="false">
      <c r="A9248" s="1" t="s">
        <v>1186</v>
      </c>
      <c r="B9248" s="1" t="n">
        <v>219.23</v>
      </c>
      <c r="C9248" s="1" t="n">
        <f aca="false">1/B9248</f>
        <v>0.00456141951375268</v>
      </c>
      <c r="D9248" s="1" t="n">
        <v>1.3072</v>
      </c>
      <c r="E9248" s="1" t="n">
        <f aca="false">LN(D9248)</f>
        <v>0.267887445123601</v>
      </c>
    </row>
    <row r="9249" customFormat="false" ht="15.75" hidden="false" customHeight="false" outlineLevel="0" collapsed="false">
      <c r="A9249" s="1" t="s">
        <v>1186</v>
      </c>
      <c r="B9249" s="1" t="n">
        <v>219.78</v>
      </c>
      <c r="C9249" s="1" t="n">
        <f aca="false">1/B9249</f>
        <v>0.00455000455000455</v>
      </c>
      <c r="D9249" s="1" t="n">
        <v>1.2928</v>
      </c>
      <c r="E9249" s="1" t="n">
        <f aca="false">LN(D9249)</f>
        <v>0.256810408784694</v>
      </c>
    </row>
    <row r="9250" customFormat="false" ht="15.75" hidden="false" customHeight="false" outlineLevel="0" collapsed="false">
      <c r="A9250" s="1" t="s">
        <v>1186</v>
      </c>
      <c r="B9250" s="1" t="n">
        <v>220.33</v>
      </c>
      <c r="C9250" s="1" t="n">
        <f aca="false">1/B9250</f>
        <v>0.00453864657559116</v>
      </c>
      <c r="D9250" s="1" t="n">
        <v>1.2785</v>
      </c>
      <c r="E9250" s="1" t="n">
        <f aca="false">LN(D9250)</f>
        <v>0.245687515749104</v>
      </c>
    </row>
    <row r="9251" customFormat="false" ht="15.75" hidden="false" customHeight="false" outlineLevel="0" collapsed="false">
      <c r="A9251" s="1" t="s">
        <v>1186</v>
      </c>
      <c r="B9251" s="1" t="n">
        <v>220.88</v>
      </c>
      <c r="C9251" s="1" t="n">
        <f aca="false">1/B9251</f>
        <v>0.00452734516479536</v>
      </c>
      <c r="D9251" s="1" t="n">
        <v>1.2646</v>
      </c>
      <c r="E9251" s="1" t="n">
        <f aca="false">LN(D9251)</f>
        <v>0.234755866642376</v>
      </c>
    </row>
    <row r="9252" customFormat="false" ht="15.75" hidden="false" customHeight="false" outlineLevel="0" collapsed="false">
      <c r="A9252" s="1" t="s">
        <v>1186</v>
      </c>
      <c r="B9252" s="1" t="n">
        <v>221.43</v>
      </c>
      <c r="C9252" s="1" t="n">
        <f aca="false">1/B9252</f>
        <v>0.0045160998961297</v>
      </c>
      <c r="D9252" s="1" t="n">
        <v>1.2508</v>
      </c>
      <c r="E9252" s="1" t="n">
        <f aca="false">LN(D9252)</f>
        <v>0.223783346601549</v>
      </c>
    </row>
    <row r="9253" customFormat="false" ht="15.75" hidden="false" customHeight="false" outlineLevel="0" collapsed="false">
      <c r="A9253" s="1" t="s">
        <v>1186</v>
      </c>
      <c r="B9253" s="1" t="n">
        <v>221.98</v>
      </c>
      <c r="C9253" s="1" t="n">
        <f aca="false">1/B9253</f>
        <v>0.00450491035228399</v>
      </c>
      <c r="D9253" s="1" t="n">
        <v>1.2373</v>
      </c>
      <c r="E9253" s="1" t="n">
        <f aca="false">LN(D9253)</f>
        <v>0.212931586237793</v>
      </c>
    </row>
    <row r="9254" customFormat="false" ht="15.75" hidden="false" customHeight="false" outlineLevel="0" collapsed="false">
      <c r="A9254" s="1" t="s">
        <v>1186</v>
      </c>
      <c r="B9254" s="1" t="n">
        <v>222.53</v>
      </c>
      <c r="C9254" s="1" t="n">
        <f aca="false">1/B9254</f>
        <v>0.0044937761200737</v>
      </c>
      <c r="D9254" s="1" t="n">
        <v>1.224</v>
      </c>
      <c r="E9254" s="1" t="n">
        <f aca="false">LN(D9254)</f>
        <v>0.202124184090134</v>
      </c>
    </row>
    <row r="9255" customFormat="false" ht="15.75" hidden="false" customHeight="false" outlineLevel="0" collapsed="false">
      <c r="A9255" s="1" t="s">
        <v>1186</v>
      </c>
      <c r="B9255" s="1" t="n">
        <v>223.08</v>
      </c>
      <c r="C9255" s="1" t="n">
        <f aca="false">1/B9255</f>
        <v>0.0044826967903891</v>
      </c>
      <c r="D9255" s="1" t="n">
        <v>1.2109</v>
      </c>
      <c r="E9255" s="1" t="n">
        <f aca="false">LN(D9255)</f>
        <v>0.191363884778184</v>
      </c>
    </row>
    <row r="9256" customFormat="false" ht="15.75" hidden="false" customHeight="false" outlineLevel="0" collapsed="false">
      <c r="A9256" s="1" t="s">
        <v>1186</v>
      </c>
      <c r="B9256" s="1" t="n">
        <v>223.63</v>
      </c>
      <c r="C9256" s="1" t="n">
        <f aca="false">1/B9256</f>
        <v>0.00447167195814515</v>
      </c>
      <c r="D9256" s="1" t="n">
        <v>1.1981</v>
      </c>
      <c r="E9256" s="1" t="n">
        <f aca="false">LN(D9256)</f>
        <v>0.180736968663716</v>
      </c>
    </row>
    <row r="9257" customFormat="false" ht="15.75" hidden="false" customHeight="false" outlineLevel="0" collapsed="false">
      <c r="A9257" s="1" t="s">
        <v>1186</v>
      </c>
      <c r="B9257" s="1" t="n">
        <v>224.18</v>
      </c>
      <c r="C9257" s="1" t="n">
        <f aca="false">1/B9257</f>
        <v>0.00446070122223213</v>
      </c>
      <c r="D9257" s="1" t="n">
        <v>1.1854</v>
      </c>
      <c r="E9257" s="1" t="n">
        <f aca="false">LN(D9257)</f>
        <v>0.170080270371601</v>
      </c>
    </row>
    <row r="9258" customFormat="false" ht="15.75" hidden="false" customHeight="false" outlineLevel="0" collapsed="false">
      <c r="A9258" s="1" t="s">
        <v>1186</v>
      </c>
      <c r="B9258" s="1" t="n">
        <v>224.73</v>
      </c>
      <c r="C9258" s="1" t="n">
        <f aca="false">1/B9258</f>
        <v>0.004449784185467</v>
      </c>
      <c r="D9258" s="1" t="n">
        <v>1.173</v>
      </c>
      <c r="E9258" s="1" t="n">
        <f aca="false">LN(D9258)</f>
        <v>0.159564569671338</v>
      </c>
    </row>
    <row r="9259" customFormat="false" ht="15.75" hidden="false" customHeight="false" outlineLevel="0" collapsed="false">
      <c r="A9259" s="1" t="s">
        <v>1186</v>
      </c>
      <c r="B9259" s="1" t="n">
        <v>225.28</v>
      </c>
      <c r="C9259" s="1" t="n">
        <f aca="false">1/B9259</f>
        <v>0.00443892045454546</v>
      </c>
      <c r="D9259" s="1" t="n">
        <v>1.1607</v>
      </c>
      <c r="E9259" s="1" t="n">
        <f aca="false">LN(D9259)</f>
        <v>0.14902327139244</v>
      </c>
    </row>
    <row r="9260" customFormat="false" ht="15.75" hidden="false" customHeight="false" outlineLevel="0" collapsed="false">
      <c r="A9260" s="1" t="s">
        <v>1186</v>
      </c>
      <c r="B9260" s="1" t="n">
        <v>225.83</v>
      </c>
      <c r="C9260" s="1" t="n">
        <f aca="false">1/B9260</f>
        <v>0.00442810963999469</v>
      </c>
      <c r="D9260" s="1" t="n">
        <v>1.1487</v>
      </c>
      <c r="E9260" s="1" t="n">
        <f aca="false">LN(D9260)</f>
        <v>0.138630868169222</v>
      </c>
    </row>
    <row r="9261" customFormat="false" ht="15.75" hidden="false" customHeight="false" outlineLevel="0" collapsed="false">
      <c r="A9261" s="1" t="s">
        <v>1186</v>
      </c>
      <c r="B9261" s="1" t="n">
        <v>226.38</v>
      </c>
      <c r="C9261" s="1" t="n">
        <f aca="false">1/B9261</f>
        <v>0.00441735135612687</v>
      </c>
      <c r="D9261" s="1" t="n">
        <v>1.1368</v>
      </c>
      <c r="E9261" s="1" t="n">
        <f aca="false">LN(D9261)</f>
        <v>0.128217297800754</v>
      </c>
    </row>
    <row r="9262" customFormat="false" ht="15.75" hidden="false" customHeight="false" outlineLevel="0" collapsed="false">
      <c r="A9262" s="1" t="s">
        <v>1186</v>
      </c>
      <c r="B9262" s="1" t="n">
        <v>226.94</v>
      </c>
      <c r="C9262" s="1" t="n">
        <f aca="false">1/B9262</f>
        <v>0.0044064510443289</v>
      </c>
      <c r="D9262" s="1" t="n">
        <v>1.1252</v>
      </c>
      <c r="E9262" s="1" t="n">
        <f aca="false">LN(D9262)</f>
        <v>0.117960797633565</v>
      </c>
    </row>
    <row r="9263" customFormat="false" ht="15.75" hidden="false" customHeight="false" outlineLevel="0" collapsed="false">
      <c r="A9263" s="1" t="s">
        <v>1186</v>
      </c>
      <c r="B9263" s="1" t="n">
        <v>227.49</v>
      </c>
      <c r="C9263" s="1" t="n">
        <f aca="false">1/B9263</f>
        <v>0.00439579761747769</v>
      </c>
      <c r="D9263" s="1" t="n">
        <v>1.1137</v>
      </c>
      <c r="E9263" s="1" t="n">
        <f aca="false">LN(D9263)</f>
        <v>0.107687805416917</v>
      </c>
    </row>
    <row r="9264" customFormat="false" ht="15.75" hidden="false" customHeight="false" outlineLevel="0" collapsed="false">
      <c r="A9264" s="1" t="s">
        <v>1186</v>
      </c>
      <c r="B9264" s="1" t="n">
        <v>228.04</v>
      </c>
      <c r="C9264" s="1" t="n">
        <f aca="false">1/B9264</f>
        <v>0.00438519557972286</v>
      </c>
      <c r="D9264" s="1" t="n">
        <v>1.1024</v>
      </c>
      <c r="E9264" s="1" t="n">
        <f aca="false">LN(D9264)</f>
        <v>0.0974896212772571</v>
      </c>
    </row>
    <row r="9265" customFormat="false" ht="15.75" hidden="false" customHeight="false" outlineLevel="0" collapsed="false">
      <c r="A9265" s="1" t="s">
        <v>1186</v>
      </c>
      <c r="B9265" s="1" t="n">
        <v>228.59</v>
      </c>
      <c r="C9265" s="1" t="n">
        <f aca="false">1/B9265</f>
        <v>0.00437464456012949</v>
      </c>
      <c r="D9265" s="1" t="n">
        <v>1.0913</v>
      </c>
      <c r="E9265" s="1" t="n">
        <f aca="false">LN(D9265)</f>
        <v>0.087369646136907</v>
      </c>
    </row>
    <row r="9266" customFormat="false" ht="15.75" hidden="false" customHeight="false" outlineLevel="0" collapsed="false">
      <c r="A9266" s="1" t="s">
        <v>1186</v>
      </c>
      <c r="B9266" s="1" t="n">
        <v>229.14</v>
      </c>
      <c r="C9266" s="1" t="n">
        <f aca="false">1/B9266</f>
        <v>0.00436414419132408</v>
      </c>
      <c r="D9266" s="1" t="n">
        <v>1.0803</v>
      </c>
      <c r="E9266" s="1" t="n">
        <f aca="false">LN(D9266)</f>
        <v>0.0772387803408022</v>
      </c>
    </row>
    <row r="9267" customFormat="false" ht="15.75" hidden="false" customHeight="false" outlineLevel="0" collapsed="false">
      <c r="A9267" s="1" t="s">
        <v>1186</v>
      </c>
      <c r="B9267" s="1" t="n">
        <v>229.69</v>
      </c>
      <c r="C9267" s="1" t="n">
        <f aca="false">1/B9267</f>
        <v>0.00435369410945187</v>
      </c>
      <c r="D9267" s="1" t="n">
        <v>1.0695</v>
      </c>
      <c r="E9267" s="1" t="n">
        <f aca="false">LN(D9267)</f>
        <v>0.0671912495403232</v>
      </c>
    </row>
    <row r="9268" customFormat="false" ht="15.75" hidden="false" customHeight="false" outlineLevel="0" collapsed="false">
      <c r="A9268" s="1" t="s">
        <v>1186</v>
      </c>
      <c r="B9268" s="1" t="n">
        <v>230.24</v>
      </c>
      <c r="C9268" s="1" t="n">
        <f aca="false">1/B9268</f>
        <v>0.00434329395413482</v>
      </c>
      <c r="D9268" s="1" t="n">
        <v>1.0589</v>
      </c>
      <c r="E9268" s="1" t="n">
        <f aca="false">LN(D9268)</f>
        <v>0.0572306334542717</v>
      </c>
    </row>
    <row r="9269" customFormat="false" ht="15.75" hidden="false" customHeight="false" outlineLevel="0" collapsed="false">
      <c r="A9269" s="1" t="s">
        <v>1186</v>
      </c>
      <c r="B9269" s="1" t="n">
        <v>230.79</v>
      </c>
      <c r="C9269" s="1" t="n">
        <f aca="false">1/B9269</f>
        <v>0.00433294336843017</v>
      </c>
      <c r="D9269" s="1" t="n">
        <v>1.0485</v>
      </c>
      <c r="E9269" s="1" t="n">
        <f aca="false">LN(D9269)</f>
        <v>0.0473605713598376</v>
      </c>
    </row>
    <row r="9270" customFormat="false" ht="15.75" hidden="false" customHeight="false" outlineLevel="0" collapsed="false">
      <c r="A9270" s="1" t="s">
        <v>1186</v>
      </c>
      <c r="B9270" s="1" t="n">
        <v>231.34</v>
      </c>
      <c r="C9270" s="1" t="n">
        <f aca="false">1/B9270</f>
        <v>0.00432264199878966</v>
      </c>
      <c r="D9270" s="1" t="n">
        <v>1.0382</v>
      </c>
      <c r="E9270" s="1" t="n">
        <f aca="false">LN(D9270)</f>
        <v>0.0374884444109916</v>
      </c>
    </row>
    <row r="9271" customFormat="false" ht="15.75" hidden="false" customHeight="false" outlineLevel="0" collapsed="false">
      <c r="A9271" s="1" t="s">
        <v>1186</v>
      </c>
      <c r="B9271" s="1" t="n">
        <v>231.89</v>
      </c>
      <c r="C9271" s="1" t="n">
        <f aca="false">1/B9271</f>
        <v>0.00431238949501919</v>
      </c>
      <c r="D9271" s="1" t="n">
        <v>1.028</v>
      </c>
      <c r="E9271" s="1" t="n">
        <f aca="false">LN(D9271)</f>
        <v>0.0276151670329734</v>
      </c>
    </row>
    <row r="9272" customFormat="false" ht="15.75" hidden="false" customHeight="false" outlineLevel="0" collapsed="false">
      <c r="A9272" s="1" t="s">
        <v>1186</v>
      </c>
      <c r="B9272" s="1" t="n">
        <v>232.44</v>
      </c>
      <c r="C9272" s="1" t="n">
        <f aca="false">1/B9272</f>
        <v>0.0043021855102392</v>
      </c>
      <c r="D9272" s="1" t="n">
        <v>1.0181</v>
      </c>
      <c r="E9272" s="1" t="n">
        <f aca="false">LN(D9272)</f>
        <v>0.017938145131013</v>
      </c>
    </row>
    <row r="9273" customFormat="false" ht="15.75" hidden="false" customHeight="false" outlineLevel="0" collapsed="false">
      <c r="A9273" s="1" t="s">
        <v>1186</v>
      </c>
      <c r="B9273" s="1" t="n">
        <v>232.99</v>
      </c>
      <c r="C9273" s="1" t="n">
        <f aca="false">1/B9273</f>
        <v>0.00429202970084553</v>
      </c>
      <c r="D9273" s="1" t="n">
        <v>1.0082</v>
      </c>
      <c r="E9273" s="1" t="n">
        <f aca="false">LN(D9273)</f>
        <v>0.0081665626663934</v>
      </c>
    </row>
    <row r="9274" customFormat="false" ht="15.75" hidden="false" customHeight="false" outlineLevel="0" collapsed="false">
      <c r="A9274" s="1" t="s">
        <v>1186</v>
      </c>
      <c r="B9274" s="1" t="n">
        <v>233.54</v>
      </c>
      <c r="C9274" s="1" t="n">
        <f aca="false">1/B9274</f>
        <v>0.00428192172647084</v>
      </c>
      <c r="D9274" s="1" t="n">
        <v>0.99854</v>
      </c>
      <c r="E9274" s="1" t="n">
        <f aca="false">LN(D9274)</f>
        <v>-0.00146106683851594</v>
      </c>
    </row>
    <row r="9275" customFormat="false" ht="15.75" hidden="false" customHeight="false" outlineLevel="0" collapsed="false">
      <c r="A9275" s="1" t="s">
        <v>1186</v>
      </c>
      <c r="B9275" s="1" t="n">
        <v>234.09</v>
      </c>
      <c r="C9275" s="1" t="n">
        <f aca="false">1/B9275</f>
        <v>0.0042718612499466</v>
      </c>
      <c r="D9275" s="1" t="n">
        <v>0.98899</v>
      </c>
      <c r="E9275" s="1" t="n">
        <f aca="false">LN(D9275)</f>
        <v>-0.0110710586340017</v>
      </c>
    </row>
    <row r="9276" customFormat="false" ht="15.75" hidden="false" customHeight="false" outlineLevel="0" collapsed="false">
      <c r="A9276" s="1" t="s">
        <v>1186</v>
      </c>
      <c r="B9276" s="1" t="n">
        <v>234.64</v>
      </c>
      <c r="C9276" s="1" t="n">
        <f aca="false">1/B9276</f>
        <v>0.0042618479372656</v>
      </c>
      <c r="D9276" s="1" t="n">
        <v>0.97959</v>
      </c>
      <c r="E9276" s="1" t="n">
        <f aca="false">LN(D9276)</f>
        <v>-0.0206211622044935</v>
      </c>
    </row>
    <row r="9277" customFormat="false" ht="15.75" hidden="false" customHeight="false" outlineLevel="0" collapsed="false">
      <c r="A9277" s="1" t="s">
        <v>1186</v>
      </c>
      <c r="B9277" s="1" t="n">
        <v>235.19</v>
      </c>
      <c r="C9277" s="1" t="n">
        <f aca="false">1/B9277</f>
        <v>0.00425188145754496</v>
      </c>
      <c r="D9277" s="1" t="n">
        <v>0.97032</v>
      </c>
      <c r="E9277" s="1" t="n">
        <f aca="false">LN(D9277)</f>
        <v>-0.030129364981512</v>
      </c>
    </row>
    <row r="9278" customFormat="false" ht="15.75" hidden="false" customHeight="false" outlineLevel="0" collapsed="false">
      <c r="A9278" s="1" t="s">
        <v>1186</v>
      </c>
      <c r="B9278" s="1" t="n">
        <v>235.74</v>
      </c>
      <c r="C9278" s="1" t="n">
        <f aca="false">1/B9278</f>
        <v>0.00424196148298973</v>
      </c>
      <c r="D9278" s="1" t="n">
        <v>0.96119</v>
      </c>
      <c r="E9278" s="1" t="n">
        <f aca="false">LN(D9278)</f>
        <v>-0.0395831788360307</v>
      </c>
    </row>
    <row r="9279" customFormat="false" ht="15.75" hidden="false" customHeight="false" outlineLevel="0" collapsed="false">
      <c r="A9279" s="1" t="s">
        <v>1186</v>
      </c>
      <c r="B9279" s="1" t="n">
        <v>236.29</v>
      </c>
      <c r="C9279" s="1" t="n">
        <f aca="false">1/B9279</f>
        <v>0.00423208768885691</v>
      </c>
      <c r="D9279" s="1" t="n">
        <v>0.95219</v>
      </c>
      <c r="E9279" s="1" t="n">
        <f aca="false">LN(D9279)</f>
        <v>-0.0489906842722441</v>
      </c>
    </row>
    <row r="9280" customFormat="false" ht="15.75" hidden="false" customHeight="false" outlineLevel="0" collapsed="false">
      <c r="A9280" s="1" t="s">
        <v>1186</v>
      </c>
      <c r="B9280" s="1" t="n">
        <v>236.85</v>
      </c>
      <c r="C9280" s="1" t="n">
        <f aca="false">1/B9280</f>
        <v>0.00422208148617268</v>
      </c>
      <c r="D9280" s="1" t="n">
        <v>0.94332</v>
      </c>
      <c r="E9280" s="1" t="n">
        <f aca="false">LN(D9280)</f>
        <v>-0.0583497113884716</v>
      </c>
    </row>
    <row r="9281" customFormat="false" ht="15.75" hidden="false" customHeight="false" outlineLevel="0" collapsed="false">
      <c r="A9281" s="1" t="s">
        <v>1186</v>
      </c>
      <c r="B9281" s="1" t="n">
        <v>237.4</v>
      </c>
      <c r="C9281" s="1" t="n">
        <f aca="false">1/B9281</f>
        <v>0.004212299915754</v>
      </c>
      <c r="D9281" s="1" t="n">
        <v>0.93457</v>
      </c>
      <c r="E9281" s="1" t="n">
        <f aca="false">LN(D9281)</f>
        <v>-0.0676687485248201</v>
      </c>
    </row>
    <row r="9282" customFormat="false" ht="15.75" hidden="false" customHeight="false" outlineLevel="0" collapsed="false">
      <c r="A9282" s="1" t="s">
        <v>1186</v>
      </c>
      <c r="B9282" s="1" t="n">
        <v>237.95</v>
      </c>
      <c r="C9282" s="1" t="n">
        <f aca="false">1/B9282</f>
        <v>0.0042025635637739</v>
      </c>
      <c r="D9282" s="1" t="n">
        <v>0.92595</v>
      </c>
      <c r="E9282" s="1" t="n">
        <f aca="false">LN(D9282)</f>
        <v>-0.0769350414741224</v>
      </c>
    </row>
    <row r="9283" customFormat="false" ht="15.75" hidden="false" customHeight="false" outlineLevel="0" collapsed="false">
      <c r="A9283" s="1" t="s">
        <v>1186</v>
      </c>
      <c r="B9283" s="1" t="n">
        <v>238.5</v>
      </c>
      <c r="C9283" s="1" t="n">
        <f aca="false">1/B9283</f>
        <v>0.00419287211740042</v>
      </c>
      <c r="D9283" s="1" t="n">
        <v>0.91745</v>
      </c>
      <c r="E9283" s="1" t="n">
        <f aca="false">LN(D9283)</f>
        <v>-0.0861571964511745</v>
      </c>
    </row>
    <row r="9284" customFormat="false" ht="15.75" hidden="false" customHeight="false" outlineLevel="0" collapsed="false">
      <c r="A9284" s="1" t="s">
        <v>1186</v>
      </c>
      <c r="B9284" s="1" t="n">
        <v>239.05</v>
      </c>
      <c r="C9284" s="1" t="n">
        <f aca="false">1/B9284</f>
        <v>0.00418322526668061</v>
      </c>
      <c r="D9284" s="1" t="n">
        <v>0.90908</v>
      </c>
      <c r="E9284" s="1" t="n">
        <f aca="false">LN(D9284)</f>
        <v>-0.0953221798763254</v>
      </c>
    </row>
    <row r="9285" customFormat="false" ht="15.75" hidden="false" customHeight="false" outlineLevel="0" collapsed="false">
      <c r="A9285" s="1" t="s">
        <v>1186</v>
      </c>
      <c r="B9285" s="1" t="n">
        <v>239.6</v>
      </c>
      <c r="C9285" s="1" t="n">
        <f aca="false">1/B9285</f>
        <v>0.00417362270450751</v>
      </c>
      <c r="D9285" s="1" t="n">
        <v>0.90082</v>
      </c>
      <c r="E9285" s="1" t="n">
        <f aca="false">LN(D9285)</f>
        <v>-0.104449819356504</v>
      </c>
    </row>
    <row r="9286" customFormat="false" ht="15.75" hidden="false" customHeight="false" outlineLevel="0" collapsed="false">
      <c r="A9286" s="1" t="s">
        <v>1186</v>
      </c>
      <c r="B9286" s="1" t="n">
        <v>240.15</v>
      </c>
      <c r="C9286" s="1" t="n">
        <f aca="false">1/B9286</f>
        <v>0.00416406412658755</v>
      </c>
      <c r="D9286" s="1" t="n">
        <v>0.89267</v>
      </c>
      <c r="E9286" s="1" t="n">
        <f aca="false">LN(D9286)</f>
        <v>-0.113538307276153</v>
      </c>
    </row>
    <row r="9287" customFormat="false" ht="15.75" hidden="false" customHeight="false" outlineLevel="0" collapsed="false">
      <c r="A9287" s="1" t="s">
        <v>1186</v>
      </c>
      <c r="B9287" s="1" t="n">
        <v>240.7</v>
      </c>
      <c r="C9287" s="1" t="n">
        <f aca="false">1/B9287</f>
        <v>0.00415454923140839</v>
      </c>
      <c r="D9287" s="1" t="n">
        <v>0.88464</v>
      </c>
      <c r="E9287" s="1" t="n">
        <f aca="false">LN(D9287)</f>
        <v>-0.122574496392514</v>
      </c>
    </row>
    <row r="9288" customFormat="false" ht="15.75" hidden="false" customHeight="false" outlineLevel="0" collapsed="false">
      <c r="A9288" s="1" t="s">
        <v>1186</v>
      </c>
      <c r="B9288" s="1" t="n">
        <v>241.25</v>
      </c>
      <c r="C9288" s="1" t="n">
        <f aca="false">1/B9288</f>
        <v>0.00414507772020725</v>
      </c>
      <c r="D9288" s="1" t="n">
        <v>0.87672</v>
      </c>
      <c r="E9288" s="1" t="n">
        <f aca="false">LN(D9288)</f>
        <v>-0.131567607827</v>
      </c>
    </row>
    <row r="9289" customFormat="false" ht="15.75" hidden="false" customHeight="false" outlineLevel="0" collapsed="false">
      <c r="A9289" s="1" t="s">
        <v>1186</v>
      </c>
      <c r="B9289" s="1" t="n">
        <v>241.8</v>
      </c>
      <c r="C9289" s="1" t="n">
        <f aca="false">1/B9289</f>
        <v>0.00413564929693962</v>
      </c>
      <c r="D9289" s="1" t="n">
        <v>0.8689</v>
      </c>
      <c r="E9289" s="1" t="n">
        <f aca="false">LN(D9289)</f>
        <v>-0.140527235136977</v>
      </c>
    </row>
    <row r="9290" customFormat="false" ht="15.75" hidden="false" customHeight="false" outlineLevel="0" collapsed="false">
      <c r="A9290" s="1" t="s">
        <v>1186</v>
      </c>
      <c r="B9290" s="1" t="n">
        <v>242.35</v>
      </c>
      <c r="C9290" s="1" t="n">
        <f aca="false">1/B9290</f>
        <v>0.0041262636682484</v>
      </c>
      <c r="D9290" s="1" t="n">
        <v>0.8612</v>
      </c>
      <c r="E9290" s="1" t="n">
        <f aca="false">LN(D9290)</f>
        <v>-0.149428513491929</v>
      </c>
    </row>
    <row r="9291" customFormat="false" ht="15.75" hidden="false" customHeight="false" outlineLevel="0" collapsed="false">
      <c r="A9291" s="1" t="s">
        <v>1186</v>
      </c>
      <c r="B9291" s="1" t="n">
        <v>242.9</v>
      </c>
      <c r="C9291" s="1" t="n">
        <f aca="false">1/B9291</f>
        <v>0.00411692054343351</v>
      </c>
      <c r="D9291" s="1" t="n">
        <v>0.85359</v>
      </c>
      <c r="E9291" s="1" t="n">
        <f aca="false">LN(D9291)</f>
        <v>-0.15830429415225</v>
      </c>
    </row>
    <row r="9292" customFormat="false" ht="15.75" hidden="false" customHeight="false" outlineLevel="0" collapsed="false">
      <c r="A9292" s="1" t="s">
        <v>1186</v>
      </c>
      <c r="B9292" s="1" t="n">
        <v>243.45</v>
      </c>
      <c r="C9292" s="1" t="n">
        <f aca="false">1/B9292</f>
        <v>0.00410761963442185</v>
      </c>
      <c r="D9292" s="1" t="n">
        <v>0.84609</v>
      </c>
      <c r="E9292" s="1" t="n">
        <f aca="false">LN(D9292)</f>
        <v>-0.167129542055458</v>
      </c>
    </row>
    <row r="9293" customFormat="false" ht="15.75" hidden="false" customHeight="false" outlineLevel="0" collapsed="false">
      <c r="A9293" s="1" t="s">
        <v>1186</v>
      </c>
      <c r="B9293" s="1" t="n">
        <v>244</v>
      </c>
      <c r="C9293" s="1" t="n">
        <f aca="false">1/B9293</f>
        <v>0.00409836065573771</v>
      </c>
      <c r="D9293" s="1" t="n">
        <v>0.83869</v>
      </c>
      <c r="E9293" s="1" t="n">
        <f aca="false">LN(D9293)</f>
        <v>-0.175914128277352</v>
      </c>
    </row>
    <row r="9294" customFormat="false" ht="15.75" hidden="false" customHeight="false" outlineLevel="0" collapsed="false">
      <c r="A9294" s="1" t="s">
        <v>1186</v>
      </c>
      <c r="B9294" s="1" t="n">
        <v>244.55</v>
      </c>
      <c r="C9294" s="1" t="n">
        <f aca="false">1/B9294</f>
        <v>0.00408914332447352</v>
      </c>
      <c r="D9294" s="1" t="n">
        <v>0.83139</v>
      </c>
      <c r="E9294" s="1" t="n">
        <f aca="false">LN(D9294)</f>
        <v>-0.184656280140675</v>
      </c>
    </row>
    <row r="9295" customFormat="false" ht="15.75" hidden="false" customHeight="false" outlineLevel="0" collapsed="false">
      <c r="A9295" s="1" t="s">
        <v>1186</v>
      </c>
      <c r="B9295" s="1" t="n">
        <v>245.1</v>
      </c>
      <c r="C9295" s="1" t="n">
        <f aca="false">1/B9295</f>
        <v>0.00407996736026112</v>
      </c>
      <c r="D9295" s="1" t="n">
        <v>0.82419</v>
      </c>
      <c r="E9295" s="1" t="n">
        <f aca="false">LN(D9295)</f>
        <v>-0.193354193128458</v>
      </c>
    </row>
    <row r="9296" customFormat="false" ht="15.75" hidden="false" customHeight="false" outlineLevel="0" collapsed="false">
      <c r="A9296" s="1" t="s">
        <v>1186</v>
      </c>
      <c r="B9296" s="1" t="n">
        <v>245.65</v>
      </c>
      <c r="C9296" s="1" t="n">
        <f aca="false">1/B9296</f>
        <v>0.00407083248524323</v>
      </c>
      <c r="D9296" s="1" t="n">
        <v>0.81708</v>
      </c>
      <c r="E9296" s="1" t="n">
        <f aca="false">LN(D9296)</f>
        <v>-0.202018269699261</v>
      </c>
    </row>
    <row r="9297" customFormat="false" ht="15.75" hidden="false" customHeight="false" outlineLevel="0" collapsed="false">
      <c r="A9297" s="1" t="s">
        <v>1186</v>
      </c>
      <c r="B9297" s="1" t="n">
        <v>246.2</v>
      </c>
      <c r="C9297" s="1" t="n">
        <f aca="false">1/B9297</f>
        <v>0.00406173842404549</v>
      </c>
      <c r="D9297" s="1" t="n">
        <v>0.81007</v>
      </c>
      <c r="E9297" s="1" t="n">
        <f aca="false">LN(D9297)</f>
        <v>-0.210634615296538</v>
      </c>
    </row>
    <row r="9298" customFormat="false" ht="15.75" hidden="false" customHeight="false" outlineLevel="0" collapsed="false">
      <c r="A9298" s="1" t="s">
        <v>1186</v>
      </c>
      <c r="B9298" s="1" t="n">
        <v>246.75</v>
      </c>
      <c r="C9298" s="1" t="n">
        <f aca="false">1/B9298</f>
        <v>0.00405268490374873</v>
      </c>
      <c r="D9298" s="1" t="n">
        <v>0.80314</v>
      </c>
      <c r="E9298" s="1" t="n">
        <f aca="false">LN(D9298)</f>
        <v>-0.219226234030165</v>
      </c>
    </row>
    <row r="9299" customFormat="false" ht="15.75" hidden="false" customHeight="false" outlineLevel="0" collapsed="false">
      <c r="A9299" s="1" t="s">
        <v>1186</v>
      </c>
      <c r="B9299" s="1" t="n">
        <v>247.31</v>
      </c>
      <c r="C9299" s="1" t="n">
        <f aca="false">1/B9299</f>
        <v>0.00404350814766892</v>
      </c>
      <c r="D9299" s="1" t="n">
        <v>0.79631</v>
      </c>
      <c r="E9299" s="1" t="n">
        <f aca="false">LN(D9299)</f>
        <v>-0.227766721716465</v>
      </c>
    </row>
    <row r="9300" customFormat="false" ht="15.75" hidden="false" customHeight="false" outlineLevel="0" collapsed="false">
      <c r="A9300" s="1" t="s">
        <v>1186</v>
      </c>
      <c r="B9300" s="1" t="n">
        <v>247.86</v>
      </c>
      <c r="C9300" s="1" t="n">
        <f aca="false">1/B9300</f>
        <v>0.00403453562494957</v>
      </c>
      <c r="D9300" s="1" t="n">
        <v>0.78956</v>
      </c>
      <c r="E9300" s="1" t="n">
        <f aca="false">LN(D9300)</f>
        <v>-0.23627945070735</v>
      </c>
    </row>
    <row r="9301" customFormat="false" ht="15.75" hidden="false" customHeight="false" outlineLevel="0" collapsed="false">
      <c r="A9301" s="1" t="s">
        <v>1186</v>
      </c>
      <c r="B9301" s="1" t="n">
        <v>248.41</v>
      </c>
      <c r="C9301" s="1" t="n">
        <f aca="false">1/B9301</f>
        <v>0.0040256028340244</v>
      </c>
      <c r="D9301" s="1" t="n">
        <v>0.7829</v>
      </c>
      <c r="E9301" s="1" t="n">
        <f aca="false">LN(D9301)</f>
        <v>-0.244750305068268</v>
      </c>
    </row>
    <row r="9302" customFormat="false" ht="15.75" hidden="false" customHeight="false" outlineLevel="0" collapsed="false">
      <c r="A9302" s="1" t="s">
        <v>1186</v>
      </c>
      <c r="B9302" s="1" t="n">
        <v>248.96</v>
      </c>
      <c r="C9302" s="1" t="n">
        <f aca="false">1/B9302</f>
        <v>0.00401670951156812</v>
      </c>
      <c r="D9302" s="1" t="n">
        <v>0.77633</v>
      </c>
      <c r="E9302" s="1" t="n">
        <f aca="false">LN(D9302)</f>
        <v>-0.253177591463402</v>
      </c>
    </row>
    <row r="9303" customFormat="false" ht="15.75" hidden="false" customHeight="false" outlineLevel="0" collapsed="false">
      <c r="A9303" s="1" t="s">
        <v>1186</v>
      </c>
      <c r="B9303" s="1" t="n">
        <v>249.51</v>
      </c>
      <c r="C9303" s="1" t="n">
        <f aca="false">1/B9303</f>
        <v>0.00400785539657729</v>
      </c>
      <c r="D9303" s="1" t="n">
        <v>0.76984</v>
      </c>
      <c r="E9303" s="1" t="n">
        <f aca="false">LN(D9303)</f>
        <v>-0.261572577933992</v>
      </c>
    </row>
    <row r="9304" customFormat="false" ht="15.75" hidden="false" customHeight="false" outlineLevel="0" collapsed="false">
      <c r="A9304" s="1" t="s">
        <v>1186</v>
      </c>
      <c r="B9304" s="1" t="n">
        <v>250.06</v>
      </c>
      <c r="C9304" s="1" t="n">
        <f aca="false">1/B9304</f>
        <v>0.00399904023034472</v>
      </c>
      <c r="D9304" s="1" t="n">
        <v>0.76343</v>
      </c>
      <c r="E9304" s="1" t="n">
        <f aca="false">LN(D9304)</f>
        <v>-0.269933841565234</v>
      </c>
    </row>
    <row r="9305" customFormat="false" ht="15.75" hidden="false" customHeight="false" outlineLevel="0" collapsed="false">
      <c r="A9305" s="1" t="s">
        <v>1186</v>
      </c>
      <c r="B9305" s="1" t="n">
        <v>250.61</v>
      </c>
      <c r="C9305" s="1" t="n">
        <f aca="false">1/B9305</f>
        <v>0.0039902637564343</v>
      </c>
      <c r="D9305" s="1" t="n">
        <v>0.75711</v>
      </c>
      <c r="E9305" s="1" t="n">
        <f aca="false">LN(D9305)</f>
        <v>-0.278246725665296</v>
      </c>
    </row>
    <row r="9306" customFormat="false" ht="15.75" hidden="false" customHeight="false" outlineLevel="0" collapsed="false">
      <c r="A9306" s="1" t="s">
        <v>1186</v>
      </c>
      <c r="B9306" s="1" t="n">
        <v>251.16</v>
      </c>
      <c r="C9306" s="1" t="n">
        <f aca="false">1/B9306</f>
        <v>0.00398152572065616</v>
      </c>
      <c r="D9306" s="1" t="n">
        <v>0.75086</v>
      </c>
      <c r="E9306" s="1" t="n">
        <f aca="false">LN(D9306)</f>
        <v>-0.286536062705205</v>
      </c>
    </row>
    <row r="9307" customFormat="false" ht="15.75" hidden="false" customHeight="false" outlineLevel="0" collapsed="false">
      <c r="A9307" s="1" t="s">
        <v>1186</v>
      </c>
      <c r="B9307" s="1" t="n">
        <v>251.71</v>
      </c>
      <c r="C9307" s="1" t="n">
        <f aca="false">1/B9307</f>
        <v>0.00397282587104207</v>
      </c>
      <c r="D9307" s="1" t="n">
        <v>0.74469</v>
      </c>
      <c r="E9307" s="1" t="n">
        <f aca="false">LN(D9307)</f>
        <v>-0.294787254581828</v>
      </c>
    </row>
    <row r="9308" customFormat="false" ht="15.75" hidden="false" customHeight="false" outlineLevel="0" collapsed="false">
      <c r="A9308" s="1" t="s">
        <v>1186</v>
      </c>
      <c r="B9308" s="1" t="n">
        <v>252.26</v>
      </c>
      <c r="C9308" s="1" t="n">
        <f aca="false">1/B9308</f>
        <v>0.0039641639578213</v>
      </c>
      <c r="D9308" s="1" t="n">
        <v>0.73859</v>
      </c>
      <c r="E9308" s="1" t="n">
        <f aca="false">LN(D9308)</f>
        <v>-0.303012315783409</v>
      </c>
    </row>
    <row r="9309" customFormat="false" ht="15.75" hidden="false" customHeight="false" outlineLevel="0" collapsed="false">
      <c r="A9309" s="1" t="s">
        <v>1186</v>
      </c>
      <c r="B9309" s="1" t="n">
        <v>252.81</v>
      </c>
      <c r="C9309" s="1" t="n">
        <f aca="false">1/B9309</f>
        <v>0.00395553973339662</v>
      </c>
      <c r="D9309" s="1" t="n">
        <v>0.73258</v>
      </c>
      <c r="E9309" s="1" t="n">
        <f aca="false">LN(D9309)</f>
        <v>-0.311182729037376</v>
      </c>
    </row>
    <row r="9310" customFormat="false" ht="15.75" hidden="false" customHeight="false" outlineLevel="0" collapsed="false">
      <c r="A9310" s="1" t="s">
        <v>1186</v>
      </c>
      <c r="B9310" s="1" t="n">
        <v>253.36</v>
      </c>
      <c r="C9310" s="1" t="n">
        <f aca="false">1/B9310</f>
        <v>0.00394695295232081</v>
      </c>
      <c r="D9310" s="1" t="n">
        <v>0.72663</v>
      </c>
      <c r="E9310" s="1" t="n">
        <f aca="false">LN(D9310)</f>
        <v>-0.319337871855792</v>
      </c>
    </row>
    <row r="9311" customFormat="false" ht="15.75" hidden="false" customHeight="false" outlineLevel="0" collapsed="false">
      <c r="A9311" s="1" t="s">
        <v>1186</v>
      </c>
      <c r="B9311" s="1" t="n">
        <v>253.91</v>
      </c>
      <c r="C9311" s="1" t="n">
        <f aca="false">1/B9311</f>
        <v>0.00393840337127329</v>
      </c>
      <c r="D9311" s="1" t="n">
        <v>0.72076</v>
      </c>
      <c r="E9311" s="1" t="n">
        <f aca="false">LN(D9311)</f>
        <v>-0.327449068123524</v>
      </c>
    </row>
    <row r="9312" customFormat="false" ht="15.75" hidden="false" customHeight="false" outlineLevel="0" collapsed="false">
      <c r="A9312" s="1" t="s">
        <v>1186</v>
      </c>
      <c r="B9312" s="1" t="n">
        <v>254.46</v>
      </c>
      <c r="C9312" s="1" t="n">
        <f aca="false">1/B9312</f>
        <v>0.00392989074903718</v>
      </c>
      <c r="D9312" s="1" t="n">
        <v>0.71496</v>
      </c>
      <c r="E9312" s="1" t="n">
        <f aca="false">LN(D9312)</f>
        <v>-0.335528681909</v>
      </c>
    </row>
    <row r="9313" customFormat="false" ht="15.75" hidden="false" customHeight="false" outlineLevel="0" collapsed="false">
      <c r="A9313" s="1" t="s">
        <v>1186</v>
      </c>
      <c r="B9313" s="1" t="n">
        <v>255.01</v>
      </c>
      <c r="C9313" s="1" t="n">
        <f aca="false">1/B9313</f>
        <v>0.00392141484647661</v>
      </c>
      <c r="D9313" s="1" t="n">
        <v>0.70923</v>
      </c>
      <c r="E9313" s="1" t="n">
        <f aca="false">LN(D9313)</f>
        <v>-0.343575404492321</v>
      </c>
    </row>
    <row r="9314" customFormat="false" ht="15.75" hidden="false" customHeight="false" outlineLevel="0" collapsed="false">
      <c r="A9314" s="1" t="s">
        <v>1186</v>
      </c>
      <c r="B9314" s="1" t="n">
        <v>255.56</v>
      </c>
      <c r="C9314" s="1" t="n">
        <f aca="false">1/B9314</f>
        <v>0.00391297542651432</v>
      </c>
      <c r="D9314" s="1" t="n">
        <v>0.70357</v>
      </c>
      <c r="E9314" s="1" t="n">
        <f aca="false">LN(D9314)</f>
        <v>-0.351587904890175</v>
      </c>
    </row>
    <row r="9315" customFormat="false" ht="15.75" hidden="false" customHeight="false" outlineLevel="0" collapsed="false">
      <c r="A9315" s="1" t="s">
        <v>1186</v>
      </c>
      <c r="B9315" s="1" t="n">
        <v>256.11</v>
      </c>
      <c r="C9315" s="1" t="n">
        <f aca="false">1/B9315</f>
        <v>0.00390457225410956</v>
      </c>
      <c r="D9315" s="1" t="n">
        <v>0.69798</v>
      </c>
      <c r="E9315" s="1" t="n">
        <f aca="false">LN(D9315)</f>
        <v>-0.359564829925407</v>
      </c>
    </row>
    <row r="9316" customFormat="false" ht="15.75" hidden="false" customHeight="false" outlineLevel="0" collapsed="false">
      <c r="A9316" s="1" t="s">
        <v>1186</v>
      </c>
      <c r="B9316" s="1" t="n">
        <v>256.66</v>
      </c>
      <c r="C9316" s="1" t="n">
        <f aca="false">1/B9316</f>
        <v>0.00389620509623627</v>
      </c>
      <c r="D9316" s="1" t="n">
        <v>0.69245</v>
      </c>
      <c r="E9316" s="1" t="n">
        <f aca="false">LN(D9316)</f>
        <v>-0.36751924569341</v>
      </c>
    </row>
    <row r="9317" customFormat="false" ht="15.75" hidden="false" customHeight="false" outlineLevel="0" collapsed="false">
      <c r="A9317" s="1" t="s">
        <v>1186</v>
      </c>
      <c r="B9317" s="1" t="n">
        <v>257.21</v>
      </c>
      <c r="C9317" s="1" t="n">
        <f aca="false">1/B9317</f>
        <v>0.00388787372186151</v>
      </c>
      <c r="D9317" s="1" t="n">
        <v>0.68699</v>
      </c>
      <c r="E9317" s="1" t="n">
        <f aca="false">LN(D9317)</f>
        <v>-0.375435542906485</v>
      </c>
    </row>
    <row r="9318" customFormat="false" ht="15.75" hidden="false" customHeight="false" outlineLevel="0" collapsed="false">
      <c r="A9318" s="1" t="s">
        <v>1186</v>
      </c>
      <c r="B9318" s="1" t="n">
        <v>257.77</v>
      </c>
      <c r="C9318" s="1" t="n">
        <f aca="false">1/B9318</f>
        <v>0.00387942739651627</v>
      </c>
      <c r="D9318" s="1" t="n">
        <v>0.68159</v>
      </c>
      <c r="E9318" s="1" t="n">
        <f aca="false">LN(D9318)</f>
        <v>-0.383326974936159</v>
      </c>
    </row>
    <row r="9319" customFormat="false" ht="15.75" hidden="false" customHeight="false" outlineLevel="0" collapsed="false">
      <c r="A9319" s="1" t="s">
        <v>1186</v>
      </c>
      <c r="B9319" s="1" t="n">
        <v>258.32</v>
      </c>
      <c r="C9319" s="1" t="n">
        <f aca="false">1/B9319</f>
        <v>0.00387116754413131</v>
      </c>
      <c r="D9319" s="1" t="n">
        <v>0.67626</v>
      </c>
      <c r="E9319" s="1" t="n">
        <f aca="false">LN(D9319)</f>
        <v>-0.391177661500095</v>
      </c>
    </row>
    <row r="9320" customFormat="false" ht="15.75" hidden="false" customHeight="false" outlineLevel="0" collapsed="false">
      <c r="A9320" s="1" t="s">
        <v>1186</v>
      </c>
      <c r="B9320" s="1" t="n">
        <v>258.87</v>
      </c>
      <c r="C9320" s="1" t="n">
        <f aca="false">1/B9320</f>
        <v>0.00386294278981728</v>
      </c>
      <c r="D9320" s="1" t="n">
        <v>0.67099</v>
      </c>
      <c r="E9320" s="1" t="n">
        <f aca="false">LN(D9320)</f>
        <v>-0.399001045251165</v>
      </c>
    </row>
    <row r="9321" customFormat="false" ht="15.75" hidden="false" customHeight="false" outlineLevel="0" collapsed="false">
      <c r="A9321" s="1" t="s">
        <v>1186</v>
      </c>
      <c r="B9321" s="1" t="n">
        <v>259.42</v>
      </c>
      <c r="C9321" s="1" t="n">
        <f aca="false">1/B9321</f>
        <v>0.00385475291033845</v>
      </c>
      <c r="D9321" s="1" t="n">
        <v>0.66578</v>
      </c>
      <c r="E9321" s="1" t="n">
        <f aca="false">LN(D9321)</f>
        <v>-0.40679599334316</v>
      </c>
    </row>
    <row r="9322" customFormat="false" ht="15.75" hidden="false" customHeight="false" outlineLevel="0" collapsed="false">
      <c r="A9322" s="1" t="s">
        <v>1186</v>
      </c>
      <c r="B9322" s="1" t="n">
        <v>259.97</v>
      </c>
      <c r="C9322" s="1" t="n">
        <f aca="false">1/B9322</f>
        <v>0.00384659768434819</v>
      </c>
      <c r="D9322" s="1" t="n">
        <v>0.66063</v>
      </c>
      <c r="E9322" s="1" t="n">
        <f aca="false">LN(D9322)</f>
        <v>-0.414561353795927</v>
      </c>
    </row>
    <row r="9323" customFormat="false" ht="15.75" hidden="false" customHeight="false" outlineLevel="0" collapsed="false">
      <c r="A9323" s="1" t="s">
        <v>1186</v>
      </c>
      <c r="B9323" s="1" t="n">
        <v>260.52</v>
      </c>
      <c r="C9323" s="1" t="n">
        <f aca="false">1/B9323</f>
        <v>0.00383847689236911</v>
      </c>
      <c r="D9323" s="1" t="n">
        <v>0.65554</v>
      </c>
      <c r="E9323" s="1" t="n">
        <f aca="false">LN(D9323)</f>
        <v>-0.422295955519638</v>
      </c>
    </row>
    <row r="9324" customFormat="false" ht="15.75" hidden="false" customHeight="false" outlineLevel="0" collapsed="false">
      <c r="A9324" s="1" t="s">
        <v>1186</v>
      </c>
      <c r="B9324" s="1" t="n">
        <v>261.07</v>
      </c>
      <c r="C9324" s="1" t="n">
        <f aca="false">1/B9324</f>
        <v>0.00383039031677328</v>
      </c>
      <c r="D9324" s="1" t="n">
        <v>0.6505</v>
      </c>
      <c r="E9324" s="1" t="n">
        <f aca="false">LN(D9324)</f>
        <v>-0.430013981029577</v>
      </c>
    </row>
    <row r="9325" customFormat="false" ht="15.75" hidden="false" customHeight="false" outlineLevel="0" collapsed="false">
      <c r="A9325" s="1" t="s">
        <v>1186</v>
      </c>
      <c r="B9325" s="1" t="n">
        <v>261.62</v>
      </c>
      <c r="C9325" s="1" t="n">
        <f aca="false">1/B9325</f>
        <v>0.00382233774176286</v>
      </c>
      <c r="D9325" s="1" t="n">
        <v>0.64553</v>
      </c>
      <c r="E9325" s="1" t="n">
        <f aca="false">LN(D9325)</f>
        <v>-0.437683594175087</v>
      </c>
    </row>
    <row r="9326" customFormat="false" ht="15.75" hidden="false" customHeight="false" outlineLevel="0" collapsed="false">
      <c r="A9326" s="1" t="s">
        <v>1186</v>
      </c>
      <c r="B9326" s="1" t="n">
        <v>262.17</v>
      </c>
      <c r="C9326" s="1" t="n">
        <f aca="false">1/B9326</f>
        <v>0.00381431895335088</v>
      </c>
      <c r="D9326" s="1" t="n">
        <v>0.64061</v>
      </c>
      <c r="E9326" s="1" t="n">
        <f aca="false">LN(D9326)</f>
        <v>-0.445334431563637</v>
      </c>
    </row>
    <row r="9327" customFormat="false" ht="15.75" hidden="false" customHeight="false" outlineLevel="0" collapsed="false">
      <c r="A9327" s="1" t="s">
        <v>1186</v>
      </c>
      <c r="B9327" s="1" t="n">
        <v>262.72</v>
      </c>
      <c r="C9327" s="1" t="n">
        <f aca="false">1/B9327</f>
        <v>0.00380633373934226</v>
      </c>
      <c r="D9327" s="1" t="n">
        <v>0.63575</v>
      </c>
      <c r="E9327" s="1" t="n">
        <f aca="false">LN(D9327)</f>
        <v>-0.452949874679908</v>
      </c>
    </row>
    <row r="9328" customFormat="false" ht="15.75" hidden="false" customHeight="false" outlineLevel="0" collapsed="false">
      <c r="A9328" s="1" t="s">
        <v>1186</v>
      </c>
      <c r="B9328" s="1" t="n">
        <v>263.27</v>
      </c>
      <c r="C9328" s="1" t="n">
        <f aca="false">1/B9328</f>
        <v>0.00379838188931515</v>
      </c>
      <c r="D9328" s="1" t="n">
        <v>0.63094</v>
      </c>
      <c r="E9328" s="1" t="n">
        <f aca="false">LN(D9328)</f>
        <v>-0.460544508125228</v>
      </c>
    </row>
    <row r="9329" customFormat="false" ht="15.75" hidden="false" customHeight="false" outlineLevel="0" collapsed="false">
      <c r="A9329" s="1" t="s">
        <v>1186</v>
      </c>
      <c r="B9329" s="1" t="n">
        <v>263.82</v>
      </c>
      <c r="C9329" s="1" t="n">
        <f aca="false">1/B9329</f>
        <v>0.00379046319460238</v>
      </c>
      <c r="D9329" s="1" t="n">
        <v>0.62618</v>
      </c>
      <c r="E9329" s="1" t="n">
        <f aca="false">LN(D9329)</f>
        <v>-0.468117409277621</v>
      </c>
    </row>
    <row r="9330" customFormat="false" ht="15.75" hidden="false" customHeight="false" outlineLevel="0" collapsed="false">
      <c r="A9330" s="1" t="s">
        <v>1186</v>
      </c>
      <c r="B9330" s="1" t="n">
        <v>264.37</v>
      </c>
      <c r="C9330" s="1" t="n">
        <f aca="false">1/B9330</f>
        <v>0.00378257744827325</v>
      </c>
      <c r="D9330" s="1" t="n">
        <v>0.62148</v>
      </c>
      <c r="E9330" s="1" t="n">
        <f aca="false">LN(D9330)</f>
        <v>-0.475651548758337</v>
      </c>
    </row>
    <row r="9331" customFormat="false" ht="15.75" hidden="false" customHeight="false" outlineLevel="0" collapsed="false">
      <c r="A9331" s="1" t="s">
        <v>1186</v>
      </c>
      <c r="B9331" s="1" t="n">
        <v>264.92</v>
      </c>
      <c r="C9331" s="1" t="n">
        <f aca="false">1/B9331</f>
        <v>0.00377472444511551</v>
      </c>
      <c r="D9331" s="1" t="n">
        <v>0.61683</v>
      </c>
      <c r="E9331" s="1" t="n">
        <f aca="false">LN(D9331)</f>
        <v>-0.483161819783517</v>
      </c>
    </row>
    <row r="9332" customFormat="false" ht="15.75" hidden="false" customHeight="false" outlineLevel="0" collapsed="false">
      <c r="A9332" s="1" t="s">
        <v>1186</v>
      </c>
      <c r="B9332" s="1" t="n">
        <v>265.47</v>
      </c>
      <c r="C9332" s="1" t="n">
        <f aca="false">1/B9332</f>
        <v>0.00376690398161751</v>
      </c>
      <c r="D9332" s="1" t="n">
        <v>0.61223</v>
      </c>
      <c r="E9332" s="1" t="n">
        <f aca="false">LN(D9332)</f>
        <v>-0.490647250077865</v>
      </c>
    </row>
    <row r="9333" customFormat="false" ht="15.75" hidden="false" customHeight="false" outlineLevel="0" collapsed="false">
      <c r="A9333" s="1" t="s">
        <v>1186</v>
      </c>
      <c r="B9333" s="1" t="n">
        <v>266.02</v>
      </c>
      <c r="C9333" s="1" t="n">
        <f aca="false">1/B9333</f>
        <v>0.00375911585595068</v>
      </c>
      <c r="D9333" s="1" t="n">
        <v>0.60769</v>
      </c>
      <c r="E9333" s="1" t="n">
        <f aca="false">LN(D9333)</f>
        <v>-0.498090395464126</v>
      </c>
    </row>
    <row r="9334" customFormat="false" ht="15.75" hidden="false" customHeight="false" outlineLevel="0" collapsed="false">
      <c r="A9334" s="1" t="s">
        <v>1186</v>
      </c>
      <c r="B9334" s="1" t="n">
        <v>266.57</v>
      </c>
      <c r="C9334" s="1" t="n">
        <f aca="false">1/B9334</f>
        <v>0.00375135986795213</v>
      </c>
      <c r="D9334" s="1" t="n">
        <v>0.60319</v>
      </c>
      <c r="E9334" s="1" t="n">
        <f aca="false">LN(D9334)</f>
        <v>-0.505523040675148</v>
      </c>
    </row>
    <row r="9335" customFormat="false" ht="15.75" hidden="false" customHeight="false" outlineLevel="0" collapsed="false">
      <c r="A9335" s="1" t="s">
        <v>1186</v>
      </c>
      <c r="B9335" s="1" t="n">
        <v>267.12</v>
      </c>
      <c r="C9335" s="1" t="n">
        <f aca="false">1/B9335</f>
        <v>0.00374363581910752</v>
      </c>
      <c r="D9335" s="1" t="n">
        <v>0.59874</v>
      </c>
      <c r="E9335" s="1" t="n">
        <f aca="false">LN(D9335)</f>
        <v>-0.512927831857861</v>
      </c>
    </row>
    <row r="9336" customFormat="false" ht="15.75" hidden="false" customHeight="false" outlineLevel="0" collapsed="false">
      <c r="A9336" s="1" t="s">
        <v>1186</v>
      </c>
      <c r="B9336" s="1" t="n">
        <v>267.67</v>
      </c>
      <c r="C9336" s="1" t="n">
        <f aca="false">1/B9336</f>
        <v>0.00373594351253409</v>
      </c>
      <c r="D9336" s="1" t="n">
        <v>0.59434</v>
      </c>
      <c r="E9336" s="1" t="n">
        <f aca="false">LN(D9336)</f>
        <v>-0.520303732800101</v>
      </c>
    </row>
    <row r="9337" customFormat="false" ht="15.75" hidden="false" customHeight="false" outlineLevel="0" collapsed="false">
      <c r="A9337" s="1" t="s">
        <v>1186</v>
      </c>
      <c r="B9337" s="1" t="n">
        <v>268.23</v>
      </c>
      <c r="C9337" s="1" t="n">
        <f aca="false">1/B9337</f>
        <v>0.00372814375722328</v>
      </c>
      <c r="D9337" s="1" t="n">
        <v>0.58998</v>
      </c>
      <c r="E9337" s="1" t="n">
        <f aca="false">LN(D9337)</f>
        <v>-0.527666640962017</v>
      </c>
    </row>
    <row r="9338" customFormat="false" ht="15.75" hidden="false" customHeight="false" outlineLevel="0" collapsed="false">
      <c r="A9338" s="1" t="s">
        <v>1186</v>
      </c>
      <c r="B9338" s="1" t="n">
        <v>268.78</v>
      </c>
      <c r="C9338" s="1" t="n">
        <f aca="false">1/B9338</f>
        <v>0.00372051491926483</v>
      </c>
      <c r="D9338" s="1" t="n">
        <v>0.58568</v>
      </c>
      <c r="E9338" s="1" t="n">
        <f aca="false">LN(D9338)</f>
        <v>-0.53498171364375</v>
      </c>
    </row>
    <row r="9339" customFormat="false" ht="15.75" hidden="false" customHeight="false" outlineLevel="0" collapsed="false">
      <c r="A9339" s="1" t="s">
        <v>1186</v>
      </c>
      <c r="B9339" s="1" t="n">
        <v>269.33</v>
      </c>
      <c r="C9339" s="1" t="n">
        <f aca="false">1/B9339</f>
        <v>0.00371291723907474</v>
      </c>
      <c r="D9339" s="1" t="n">
        <v>0.58141</v>
      </c>
      <c r="E9339" s="1" t="n">
        <f aca="false">LN(D9339)</f>
        <v>-0.542299091142876</v>
      </c>
    </row>
    <row r="9340" customFormat="false" ht="15.75" hidden="false" customHeight="false" outlineLevel="0" collapsed="false">
      <c r="A9340" s="1" t="s">
        <v>1186</v>
      </c>
      <c r="B9340" s="1" t="n">
        <v>269.88</v>
      </c>
      <c r="C9340" s="1" t="n">
        <f aca="false">1/B9340</f>
        <v>0.00370535052615977</v>
      </c>
      <c r="D9340" s="1" t="n">
        <v>0.5772</v>
      </c>
      <c r="E9340" s="1" t="n">
        <f aca="false">LN(D9340)</f>
        <v>-0.549566452082421</v>
      </c>
    </row>
    <row r="9341" customFormat="false" ht="15.75" hidden="false" customHeight="false" outlineLevel="0" collapsed="false">
      <c r="A9341" s="1" t="s">
        <v>1186</v>
      </c>
      <c r="B9341" s="1" t="n">
        <v>270.43</v>
      </c>
      <c r="C9341" s="1" t="n">
        <f aca="false">1/B9341</f>
        <v>0.00369781459157638</v>
      </c>
      <c r="D9341" s="1" t="n">
        <v>0.57303</v>
      </c>
      <c r="E9341" s="1" t="n">
        <f aca="false">LN(D9341)</f>
        <v>-0.556817207616984</v>
      </c>
    </row>
    <row r="9342" customFormat="false" ht="15.75" hidden="false" customHeight="false" outlineLevel="0" collapsed="false">
      <c r="A9342" s="1" t="s">
        <v>1186</v>
      </c>
      <c r="B9342" s="1" t="n">
        <v>270.98</v>
      </c>
      <c r="C9342" s="1" t="n">
        <f aca="false">1/B9342</f>
        <v>0.00369030924791497</v>
      </c>
      <c r="D9342" s="1" t="n">
        <v>0.5689</v>
      </c>
      <c r="E9342" s="1" t="n">
        <f aca="false">LN(D9342)</f>
        <v>-0.564050607225535</v>
      </c>
    </row>
    <row r="9343" customFormat="false" ht="15.75" hidden="false" customHeight="false" outlineLevel="0" collapsed="false">
      <c r="A9343" s="1" t="s">
        <v>1186</v>
      </c>
      <c r="B9343" s="1" t="n">
        <v>271.53</v>
      </c>
      <c r="C9343" s="1" t="n">
        <f aca="false">1/B9343</f>
        <v>0.00368283430928443</v>
      </c>
      <c r="D9343" s="1" t="n">
        <v>0.56482</v>
      </c>
      <c r="E9343" s="1" t="n">
        <f aca="false">LN(D9343)</f>
        <v>-0.571248182665179</v>
      </c>
    </row>
    <row r="9344" customFormat="false" ht="15.75" hidden="false" customHeight="false" outlineLevel="0" collapsed="false">
      <c r="A9344" s="1" t="s">
        <v>1186</v>
      </c>
      <c r="B9344" s="1" t="n">
        <v>272.08</v>
      </c>
      <c r="C9344" s="1" t="n">
        <f aca="false">1/B9344</f>
        <v>0.00367538959129668</v>
      </c>
      <c r="D9344" s="1" t="n">
        <v>0.56077</v>
      </c>
      <c r="E9344" s="1" t="n">
        <f aca="false">LN(D9344)</f>
        <v>-0.578444439699798</v>
      </c>
    </row>
    <row r="9345" customFormat="false" ht="15.75" hidden="false" customHeight="false" outlineLevel="0" collapsed="false">
      <c r="A9345" s="1" t="s">
        <v>1186</v>
      </c>
      <c r="B9345" s="1" t="n">
        <v>272.63</v>
      </c>
      <c r="C9345" s="1" t="n">
        <f aca="false">1/B9345</f>
        <v>0.00366797491105161</v>
      </c>
      <c r="D9345" s="1" t="n">
        <v>0.55677</v>
      </c>
      <c r="E9345" s="1" t="n">
        <f aca="false">LN(D9345)</f>
        <v>-0.585603050723814</v>
      </c>
    </row>
    <row r="9346" customFormat="false" ht="15.75" hidden="false" customHeight="false" outlineLevel="0" collapsed="false">
      <c r="A9346" s="1" t="s">
        <v>1186</v>
      </c>
      <c r="B9346" s="1" t="n">
        <v>273.18</v>
      </c>
      <c r="C9346" s="1" t="n">
        <f aca="false">1/B9346</f>
        <v>0.00366059008712204</v>
      </c>
      <c r="D9346" s="1" t="n">
        <v>0.55281</v>
      </c>
      <c r="E9346" s="1" t="n">
        <f aca="false">LN(D9346)</f>
        <v>-0.592740916967258</v>
      </c>
    </row>
    <row r="9347" customFormat="false" ht="15.75" hidden="false" customHeight="false" outlineLevel="0" collapsed="false">
      <c r="A9347" s="1" t="s">
        <v>1186</v>
      </c>
      <c r="B9347" s="1" t="n">
        <v>273.73</v>
      </c>
      <c r="C9347" s="1" t="n">
        <f aca="false">1/B9347</f>
        <v>0.00365323493953896</v>
      </c>
      <c r="D9347" s="1" t="n">
        <v>0.5489</v>
      </c>
      <c r="E9347" s="1" t="n">
        <f aca="false">LN(D9347)</f>
        <v>-0.599839003426293</v>
      </c>
    </row>
    <row r="9348" customFormat="false" ht="15.75" hidden="false" customHeight="false" outlineLevel="0" collapsed="false">
      <c r="A9348" s="1" t="s">
        <v>1186</v>
      </c>
      <c r="B9348" s="1" t="n">
        <v>274.28</v>
      </c>
      <c r="C9348" s="1" t="n">
        <f aca="false">1/B9348</f>
        <v>0.00364590928977687</v>
      </c>
      <c r="D9348" s="1" t="n">
        <v>0.54502</v>
      </c>
      <c r="E9348" s="1" t="n">
        <f aca="false">LN(D9348)</f>
        <v>-0.606932787744514</v>
      </c>
    </row>
    <row r="9349" customFormat="false" ht="15.75" hidden="false" customHeight="false" outlineLevel="0" collapsed="false">
      <c r="A9349" s="1" t="s">
        <v>1186</v>
      </c>
      <c r="B9349" s="1" t="n">
        <v>274.83</v>
      </c>
      <c r="C9349" s="1" t="n">
        <f aca="false">1/B9349</f>
        <v>0.00363861296073937</v>
      </c>
      <c r="D9349" s="1" t="n">
        <v>0.54118</v>
      </c>
      <c r="E9349" s="1" t="n">
        <f aca="false">LN(D9349)</f>
        <v>-0.614003338283357</v>
      </c>
    </row>
    <row r="9350" customFormat="false" ht="15.75" hidden="false" customHeight="false" outlineLevel="0" collapsed="false">
      <c r="A9350" s="1" t="s">
        <v>1186</v>
      </c>
      <c r="B9350" s="1" t="n">
        <v>275.38</v>
      </c>
      <c r="C9350" s="1" t="n">
        <f aca="false">1/B9350</f>
        <v>0.00363134577674486</v>
      </c>
      <c r="D9350" s="1" t="n">
        <v>0.53738</v>
      </c>
      <c r="E9350" s="1" t="n">
        <f aca="false">LN(D9350)</f>
        <v>-0.621049799719562</v>
      </c>
    </row>
    <row r="9351" customFormat="false" ht="15.75" hidden="false" customHeight="false" outlineLevel="0" collapsed="false">
      <c r="A9351" s="1" t="s">
        <v>1186</v>
      </c>
      <c r="B9351" s="1" t="n">
        <v>275.93</v>
      </c>
      <c r="C9351" s="1" t="n">
        <f aca="false">1/B9351</f>
        <v>0.00362410756351248</v>
      </c>
      <c r="D9351" s="1" t="n">
        <v>0.53362</v>
      </c>
      <c r="E9351" s="1" t="n">
        <f aca="false">LN(D9351)</f>
        <v>-0.628071303823758</v>
      </c>
    </row>
    <row r="9352" customFormat="false" ht="15.75" hidden="false" customHeight="false" outlineLevel="0" collapsed="false">
      <c r="A9352" s="1" t="s">
        <v>1186</v>
      </c>
      <c r="B9352" s="1" t="n">
        <v>276.48</v>
      </c>
      <c r="C9352" s="1" t="n">
        <f aca="false">1/B9352</f>
        <v>0.00361689814814815</v>
      </c>
      <c r="D9352" s="1" t="n">
        <v>0.5299</v>
      </c>
      <c r="E9352" s="1" t="n">
        <f aca="false">LN(D9352)</f>
        <v>-0.635066969483421</v>
      </c>
    </row>
    <row r="9353" customFormat="false" ht="15.75" hidden="false" customHeight="false" outlineLevel="0" collapsed="false">
      <c r="A9353" s="1" t="s">
        <v>1186</v>
      </c>
      <c r="B9353" s="1" t="n">
        <v>277.03</v>
      </c>
      <c r="C9353" s="1" t="n">
        <f aca="false">1/B9353</f>
        <v>0.00360971735913078</v>
      </c>
      <c r="D9353" s="1" t="n">
        <v>0.52621</v>
      </c>
      <c r="E9353" s="1" t="n">
        <f aca="false">LN(D9353)</f>
        <v>-0.642054906375602</v>
      </c>
    </row>
    <row r="9354" customFormat="false" ht="15.75" hidden="false" customHeight="false" outlineLevel="0" collapsed="false">
      <c r="A9354" s="1" t="s">
        <v>1186</v>
      </c>
      <c r="B9354" s="1" t="n">
        <v>277.58</v>
      </c>
      <c r="C9354" s="1" t="n">
        <f aca="false">1/B9354</f>
        <v>0.00360256502629872</v>
      </c>
      <c r="D9354" s="1" t="n">
        <v>0.52256</v>
      </c>
      <c r="E9354" s="1" t="n">
        <f aca="false">LN(D9354)</f>
        <v>-0.649015469200037</v>
      </c>
    </row>
    <row r="9355" customFormat="false" ht="15.75" hidden="false" customHeight="false" outlineLevel="0" collapsed="false">
      <c r="A9355" s="1" t="s">
        <v>1186</v>
      </c>
      <c r="B9355" s="1" t="n">
        <v>278.14</v>
      </c>
      <c r="C9355" s="1" t="n">
        <f aca="false">1/B9355</f>
        <v>0.00359531171352556</v>
      </c>
      <c r="D9355" s="1" t="n">
        <v>0.51895</v>
      </c>
      <c r="E9355" s="1" t="n">
        <f aca="false">LN(D9355)</f>
        <v>-0.655947739570839</v>
      </c>
    </row>
    <row r="9356" customFormat="false" ht="15.75" hidden="false" customHeight="false" outlineLevel="0" collapsed="false">
      <c r="A9356" s="1" t="s">
        <v>1186</v>
      </c>
      <c r="B9356" s="1" t="n">
        <v>278.69</v>
      </c>
      <c r="C9356" s="1" t="n">
        <f aca="false">1/B9356</f>
        <v>0.00358821629767842</v>
      </c>
      <c r="D9356" s="1" t="n">
        <v>0.51537</v>
      </c>
      <c r="E9356" s="1" t="n">
        <f aca="false">LN(D9356)</f>
        <v>-0.662870189675673</v>
      </c>
    </row>
    <row r="9357" customFormat="false" ht="15.75" hidden="false" customHeight="false" outlineLevel="0" collapsed="false">
      <c r="A9357" s="1" t="s">
        <v>1186</v>
      </c>
      <c r="B9357" s="1" t="n">
        <v>279.24</v>
      </c>
      <c r="C9357" s="1" t="n">
        <f aca="false">1/B9357</f>
        <v>0.00358114883254548</v>
      </c>
      <c r="D9357" s="1" t="n">
        <v>0.51183</v>
      </c>
      <c r="E9357" s="1" t="n">
        <f aca="false">LN(D9357)</f>
        <v>-0.669762740327209</v>
      </c>
    </row>
    <row r="9358" customFormat="false" ht="15.75" hidden="false" customHeight="false" outlineLevel="0" collapsed="false">
      <c r="A9358" s="1" t="s">
        <v>1186</v>
      </c>
      <c r="B9358" s="1" t="n">
        <v>279.79</v>
      </c>
      <c r="C9358" s="1" t="n">
        <f aca="false">1/B9358</f>
        <v>0.00357410915329354</v>
      </c>
      <c r="D9358" s="1" t="n">
        <v>0.50832</v>
      </c>
      <c r="E9358" s="1" t="n">
        <f aca="false">LN(D9358)</f>
        <v>-0.676644108460931</v>
      </c>
    </row>
    <row r="9359" customFormat="false" ht="15.75" hidden="false" customHeight="false" outlineLevel="0" collapsed="false">
      <c r="A9359" s="1" t="s">
        <v>1186</v>
      </c>
      <c r="B9359" s="1" t="n">
        <v>280.34</v>
      </c>
      <c r="C9359" s="1" t="n">
        <f aca="false">1/B9359</f>
        <v>0.00356709709638296</v>
      </c>
      <c r="D9359" s="1" t="n">
        <v>0.50485</v>
      </c>
      <c r="E9359" s="1" t="n">
        <f aca="false">LN(D9359)</f>
        <v>-0.683493923531807</v>
      </c>
    </row>
    <row r="9360" customFormat="false" ht="15.75" hidden="false" customHeight="false" outlineLevel="0" collapsed="false">
      <c r="A9360" s="1" t="s">
        <v>1186</v>
      </c>
      <c r="B9360" s="1" t="n">
        <v>280.89</v>
      </c>
      <c r="C9360" s="1" t="n">
        <f aca="false">1/B9360</f>
        <v>0.00356011249955499</v>
      </c>
      <c r="D9360" s="1" t="n">
        <v>0.50141</v>
      </c>
      <c r="E9360" s="1" t="n">
        <f aca="false">LN(D9360)</f>
        <v>-0.690331149300464</v>
      </c>
    </row>
    <row r="9361" customFormat="false" ht="15.75" hidden="false" customHeight="false" outlineLevel="0" collapsed="false">
      <c r="A9361" s="1" t="s">
        <v>1186</v>
      </c>
      <c r="B9361" s="1" t="n">
        <v>281.44</v>
      </c>
      <c r="C9361" s="1" t="n">
        <f aca="false">1/B9361</f>
        <v>0.00355315520181922</v>
      </c>
      <c r="D9361" s="1" t="n">
        <v>0.498</v>
      </c>
      <c r="E9361" s="1" t="n">
        <f aca="false">LN(D9361)</f>
        <v>-0.697155201957484</v>
      </c>
    </row>
    <row r="9362" customFormat="false" ht="15.75" hidden="false" customHeight="false" outlineLevel="0" collapsed="false">
      <c r="A9362" s="1" t="s">
        <v>1186</v>
      </c>
      <c r="B9362" s="1" t="n">
        <v>281.99</v>
      </c>
      <c r="C9362" s="1" t="n">
        <f aca="false">1/B9362</f>
        <v>0.00354622504344126</v>
      </c>
      <c r="D9362" s="1" t="n">
        <v>0.49463</v>
      </c>
      <c r="E9362" s="1" t="n">
        <f aca="false">LN(D9362)</f>
        <v>-0.703945270659458</v>
      </c>
    </row>
    <row r="9363" customFormat="false" ht="15.75" hidden="false" customHeight="false" outlineLevel="0" collapsed="false">
      <c r="A9363" s="1" t="s">
        <v>1186</v>
      </c>
      <c r="B9363" s="1" t="n">
        <v>282.54</v>
      </c>
      <c r="C9363" s="1" t="n">
        <f aca="false">1/B9363</f>
        <v>0.00353932186593049</v>
      </c>
      <c r="D9363" s="1" t="n">
        <v>0.49129</v>
      </c>
      <c r="E9363" s="1" t="n">
        <f aca="false">LN(D9363)</f>
        <v>-0.710720694177109</v>
      </c>
    </row>
    <row r="9364" customFormat="false" ht="15.75" hidden="false" customHeight="false" outlineLevel="0" collapsed="false">
      <c r="A9364" s="1" t="s">
        <v>1186</v>
      </c>
      <c r="B9364" s="1" t="n">
        <v>283.09</v>
      </c>
      <c r="C9364" s="1" t="n">
        <f aca="false">1/B9364</f>
        <v>0.00353244551202798</v>
      </c>
      <c r="D9364" s="1" t="n">
        <v>0.48798</v>
      </c>
      <c r="E9364" s="1" t="n">
        <f aca="false">LN(D9364)</f>
        <v>-0.717480857575398</v>
      </c>
    </row>
    <row r="9365" customFormat="false" ht="15.75" hidden="false" customHeight="false" outlineLevel="0" collapsed="false">
      <c r="A9365" s="1" t="s">
        <v>1186</v>
      </c>
      <c r="B9365" s="1" t="n">
        <v>283.64</v>
      </c>
      <c r="C9365" s="1" t="n">
        <f aca="false">1/B9365</f>
        <v>0.00352559582569454</v>
      </c>
      <c r="D9365" s="1" t="n">
        <v>0.4847</v>
      </c>
      <c r="E9365" s="1" t="n">
        <f aca="false">LN(D9365)</f>
        <v>-0.724225136130807</v>
      </c>
    </row>
    <row r="9366" customFormat="false" ht="15.75" hidden="false" customHeight="false" outlineLevel="0" collapsed="false">
      <c r="A9366" s="1" t="s">
        <v>1186</v>
      </c>
      <c r="B9366" s="1" t="n">
        <v>284.19</v>
      </c>
      <c r="C9366" s="1" t="n">
        <f aca="false">1/B9366</f>
        <v>0.00351877265209895</v>
      </c>
      <c r="D9366" s="1" t="n">
        <v>0.48146</v>
      </c>
      <c r="E9366" s="1" t="n">
        <f aca="false">LN(D9366)</f>
        <v>-0.730932124922704</v>
      </c>
    </row>
    <row r="9367" customFormat="false" ht="15.75" hidden="false" customHeight="false" outlineLevel="0" collapsed="false">
      <c r="A9367" s="1" t="s">
        <v>1186</v>
      </c>
      <c r="B9367" s="1" t="n">
        <v>284.74</v>
      </c>
      <c r="C9367" s="1" t="n">
        <f aca="false">1/B9367</f>
        <v>0.00351197583760624</v>
      </c>
      <c r="D9367" s="1" t="n">
        <v>0.47824</v>
      </c>
      <c r="E9367" s="1" t="n">
        <f aca="false">LN(D9367)</f>
        <v>-0.737642580446509</v>
      </c>
    </row>
    <row r="9368" customFormat="false" ht="15.75" hidden="false" customHeight="false" outlineLevel="0" collapsed="false">
      <c r="A9368" s="1" t="s">
        <v>1186</v>
      </c>
      <c r="B9368" s="1" t="n">
        <v>285.29</v>
      </c>
      <c r="C9368" s="1" t="n">
        <f aca="false">1/B9368</f>
        <v>0.0035052052297662</v>
      </c>
      <c r="D9368" s="1" t="n">
        <v>0.47506</v>
      </c>
      <c r="E9368" s="1" t="n">
        <f aca="false">LN(D9368)</f>
        <v>-0.74431416713519</v>
      </c>
    </row>
    <row r="9369" customFormat="false" ht="15.75" hidden="false" customHeight="false" outlineLevel="0" collapsed="false">
      <c r="A9369" s="1" t="s">
        <v>1186</v>
      </c>
      <c r="B9369" s="1" t="n">
        <v>285.84</v>
      </c>
      <c r="C9369" s="1" t="n">
        <f aca="false">1/B9369</f>
        <v>0.00349846067730199</v>
      </c>
      <c r="D9369" s="1" t="n">
        <v>0.4719</v>
      </c>
      <c r="E9369" s="1" t="n">
        <f aca="false">LN(D9369)</f>
        <v>-0.750988180249795</v>
      </c>
    </row>
    <row r="9370" customFormat="false" ht="15.75" hidden="false" customHeight="false" outlineLevel="0" collapsed="false">
      <c r="A9370" s="1" t="s">
        <v>1186</v>
      </c>
      <c r="B9370" s="1" t="n">
        <v>286.39</v>
      </c>
      <c r="C9370" s="1" t="n">
        <f aca="false">1/B9370</f>
        <v>0.00349174203009882</v>
      </c>
      <c r="D9370" s="1" t="n">
        <v>0.46877</v>
      </c>
      <c r="E9370" s="1" t="n">
        <f aca="false">LN(D9370)</f>
        <v>-0.757643035941046</v>
      </c>
    </row>
    <row r="9371" customFormat="false" ht="15.75" hidden="false" customHeight="false" outlineLevel="0" collapsed="false">
      <c r="A9371" s="1" t="s">
        <v>1186</v>
      </c>
      <c r="B9371" s="1" t="n">
        <v>286.94</v>
      </c>
      <c r="C9371" s="1" t="n">
        <f aca="false">1/B9371</f>
        <v>0.00348504913919286</v>
      </c>
      <c r="D9371" s="1" t="n">
        <v>0.46568</v>
      </c>
      <c r="E9371" s="1" t="n">
        <f aca="false">LN(D9371)</f>
        <v>-0.764256576018657</v>
      </c>
    </row>
    <row r="9372" customFormat="false" ht="15.75" hidden="false" customHeight="false" outlineLevel="0" collapsed="false">
      <c r="A9372" s="1" t="s">
        <v>1186</v>
      </c>
      <c r="B9372" s="1" t="n">
        <v>287.49</v>
      </c>
      <c r="C9372" s="1" t="n">
        <f aca="false">1/B9372</f>
        <v>0.00347838185676023</v>
      </c>
      <c r="D9372" s="1" t="n">
        <v>0.46261</v>
      </c>
      <c r="E9372" s="1" t="n">
        <f aca="false">LN(D9372)</f>
        <v>-0.770870912470754</v>
      </c>
    </row>
    <row r="9373" customFormat="false" ht="15.75" hidden="false" customHeight="false" outlineLevel="0" collapsed="false">
      <c r="A9373" s="1" t="s">
        <v>1186</v>
      </c>
      <c r="B9373" s="1" t="n">
        <v>288.04</v>
      </c>
      <c r="C9373" s="1" t="n">
        <f aca="false">1/B9373</f>
        <v>0.0034717400361061</v>
      </c>
      <c r="D9373" s="1" t="n">
        <v>0.45957</v>
      </c>
      <c r="E9373" s="1" t="n">
        <f aca="false">LN(D9373)</f>
        <v>-0.777464009289423</v>
      </c>
    </row>
    <row r="9374" customFormat="false" ht="15.75" hidden="false" customHeight="false" outlineLevel="0" collapsed="false">
      <c r="A9374" s="1" t="s">
        <v>1186</v>
      </c>
      <c r="B9374" s="1" t="n">
        <v>288.6</v>
      </c>
      <c r="C9374" s="1" t="n">
        <f aca="false">1/B9374</f>
        <v>0.00346500346500346</v>
      </c>
      <c r="D9374" s="1" t="n">
        <v>0.45655</v>
      </c>
      <c r="E9374" s="1" t="n">
        <f aca="false">LN(D9374)</f>
        <v>-0.784057055919788</v>
      </c>
    </row>
    <row r="9375" customFormat="false" ht="15.75" hidden="false" customHeight="false" outlineLevel="0" collapsed="false">
      <c r="A9375" s="1" t="s">
        <v>1186</v>
      </c>
      <c r="B9375" s="1" t="n">
        <v>289.15</v>
      </c>
      <c r="C9375" s="1" t="n">
        <f aca="false">1/B9375</f>
        <v>0.00345841258862182</v>
      </c>
      <c r="D9375" s="1" t="n">
        <v>0.45357</v>
      </c>
      <c r="E9375" s="1" t="n">
        <f aca="false">LN(D9375)</f>
        <v>-0.790605666321918</v>
      </c>
    </row>
    <row r="9376" customFormat="false" ht="15.75" hidden="false" customHeight="false" outlineLevel="0" collapsed="false">
      <c r="A9376" s="1" t="s">
        <v>1186</v>
      </c>
      <c r="B9376" s="1" t="n">
        <v>289.7</v>
      </c>
      <c r="C9376" s="1" t="n">
        <f aca="false">1/B9376</f>
        <v>0.00345184673800483</v>
      </c>
      <c r="D9376" s="1" t="n">
        <v>0.45061</v>
      </c>
      <c r="E9376" s="1" t="n">
        <f aca="false">LN(D9376)</f>
        <v>-0.7971530585982</v>
      </c>
    </row>
    <row r="9377" customFormat="false" ht="15.75" hidden="false" customHeight="false" outlineLevel="0" collapsed="false">
      <c r="A9377" s="1" t="s">
        <v>1186</v>
      </c>
      <c r="B9377" s="1" t="n">
        <v>290.25</v>
      </c>
      <c r="C9377" s="1" t="n">
        <f aca="false">1/B9377</f>
        <v>0.00344530577088717</v>
      </c>
      <c r="D9377" s="1" t="n">
        <v>0.44768</v>
      </c>
      <c r="E9377" s="1" t="n">
        <f aca="false">LN(D9377)</f>
        <v>-0.803676587505021</v>
      </c>
    </row>
    <row r="9378" customFormat="false" ht="15.75" hidden="false" customHeight="false" outlineLevel="0" collapsed="false">
      <c r="A9378" s="1" t="s">
        <v>1186</v>
      </c>
      <c r="B9378" s="1" t="n">
        <v>290.8</v>
      </c>
      <c r="C9378" s="1" t="n">
        <f aca="false">1/B9378</f>
        <v>0.00343878954607978</v>
      </c>
      <c r="D9378" s="1" t="n">
        <v>0.44478</v>
      </c>
      <c r="E9378" s="1" t="n">
        <f aca="false">LN(D9378)</f>
        <v>-0.810175501085454</v>
      </c>
    </row>
    <row r="9379" customFormat="false" ht="15.75" hidden="false" customHeight="false" outlineLevel="0" collapsed="false">
      <c r="A9379" s="1" t="s">
        <v>1186</v>
      </c>
      <c r="B9379" s="1" t="n">
        <v>291.35</v>
      </c>
      <c r="C9379" s="1" t="n">
        <f aca="false">1/B9379</f>
        <v>0.00343229792345976</v>
      </c>
      <c r="D9379" s="1" t="n">
        <v>0.4419</v>
      </c>
      <c r="E9379" s="1" t="n">
        <f aca="false">LN(D9379)</f>
        <v>-0.816671666845443</v>
      </c>
    </row>
    <row r="9380" customFormat="false" ht="15.75" hidden="false" customHeight="false" outlineLevel="0" collapsed="false">
      <c r="A9380" s="1" t="s">
        <v>1186</v>
      </c>
      <c r="B9380" s="1" t="n">
        <v>291.9</v>
      </c>
      <c r="C9380" s="1" t="n">
        <f aca="false">1/B9380</f>
        <v>0.00342583076396026</v>
      </c>
      <c r="D9380" s="1" t="n">
        <v>0.43904</v>
      </c>
      <c r="E9380" s="1" t="n">
        <f aca="false">LN(D9380)</f>
        <v>-0.823164753884671</v>
      </c>
    </row>
    <row r="9381" customFormat="false" ht="15.75" hidden="false" customHeight="false" outlineLevel="0" collapsed="false">
      <c r="A9381" s="1" t="s">
        <v>1186</v>
      </c>
      <c r="B9381" s="1" t="n">
        <v>292.45</v>
      </c>
      <c r="C9381" s="1" t="n">
        <f aca="false">1/B9381</f>
        <v>0.00341938792956061</v>
      </c>
      <c r="D9381" s="1" t="n">
        <v>0.43622</v>
      </c>
      <c r="E9381" s="1" t="n">
        <f aca="false">LN(D9381)</f>
        <v>-0.829608575738431</v>
      </c>
    </row>
    <row r="9382" customFormat="false" ht="15.75" hidden="false" customHeight="false" outlineLevel="0" collapsed="false">
      <c r="A9382" s="1" t="s">
        <v>1186</v>
      </c>
      <c r="B9382" s="1" t="n">
        <v>293</v>
      </c>
      <c r="C9382" s="1" t="n">
        <f aca="false">1/B9382</f>
        <v>0.00341296928327645</v>
      </c>
      <c r="D9382" s="1" t="n">
        <v>0.43341</v>
      </c>
      <c r="E9382" s="1" t="n">
        <f aca="false">LN(D9382)</f>
        <v>-0.836071116772737</v>
      </c>
    </row>
    <row r="9383" customFormat="false" ht="15.75" hidden="false" customHeight="false" outlineLevel="0" collapsed="false">
      <c r="A9383" s="1" t="s">
        <v>1186</v>
      </c>
      <c r="B9383" s="1" t="n">
        <v>293.55</v>
      </c>
      <c r="C9383" s="1" t="n">
        <f aca="false">1/B9383</f>
        <v>0.00340657468915006</v>
      </c>
      <c r="D9383" s="1" t="n">
        <v>0.43064</v>
      </c>
      <c r="E9383" s="1" t="n">
        <f aca="false">LN(D9383)</f>
        <v>-0.842482804729435</v>
      </c>
    </row>
    <row r="9384" customFormat="false" ht="15.75" hidden="false" customHeight="false" outlineLevel="0" collapsed="false">
      <c r="A9384" s="1" t="s">
        <v>1186</v>
      </c>
      <c r="B9384" s="1" t="n">
        <v>294.1</v>
      </c>
      <c r="C9384" s="1" t="n">
        <f aca="false">1/B9384</f>
        <v>0.00340020401224073</v>
      </c>
      <c r="D9384" s="1" t="n">
        <v>0.42788</v>
      </c>
      <c r="E9384" s="1" t="n">
        <f aca="false">LN(D9384)</f>
        <v>-0.848912496544207</v>
      </c>
    </row>
    <row r="9385" customFormat="false" ht="15.75" hidden="false" customHeight="false" outlineLevel="0" collapsed="false">
      <c r="A9385" s="1" t="s">
        <v>1186</v>
      </c>
      <c r="B9385" s="1" t="n">
        <v>294.65</v>
      </c>
      <c r="C9385" s="1" t="n">
        <f aca="false">1/B9385</f>
        <v>0.00339385711861531</v>
      </c>
      <c r="D9385" s="1" t="n">
        <v>0.42515</v>
      </c>
      <c r="E9385" s="1" t="n">
        <f aca="false">LN(D9385)</f>
        <v>-0.855313231150336</v>
      </c>
    </row>
    <row r="9386" customFormat="false" ht="15.75" hidden="false" customHeight="false" outlineLevel="0" collapsed="false">
      <c r="A9386" s="1" t="s">
        <v>1186</v>
      </c>
      <c r="B9386" s="1" t="n">
        <v>295.2</v>
      </c>
      <c r="C9386" s="1" t="n">
        <f aca="false">1/B9386</f>
        <v>0.00338753387533875</v>
      </c>
      <c r="D9386" s="1" t="n">
        <v>0.42245</v>
      </c>
      <c r="E9386" s="1" t="n">
        <f aca="false">LN(D9386)</f>
        <v>-0.861684182383283</v>
      </c>
    </row>
    <row r="9387" customFormat="false" ht="15.75" hidden="false" customHeight="false" outlineLevel="0" collapsed="false">
      <c r="A9387" s="1" t="s">
        <v>1186</v>
      </c>
      <c r="B9387" s="1" t="n">
        <v>295.75</v>
      </c>
      <c r="C9387" s="1" t="n">
        <f aca="false">1/B9387</f>
        <v>0.00338123415046492</v>
      </c>
      <c r="D9387" s="1" t="n">
        <v>0.41977</v>
      </c>
      <c r="E9387" s="1" t="n">
        <f aca="false">LN(D9387)</f>
        <v>-0.868048336750416</v>
      </c>
    </row>
    <row r="9388" customFormat="false" ht="15.75" hidden="false" customHeight="false" outlineLevel="0" collapsed="false">
      <c r="A9388" s="1" t="s">
        <v>1186</v>
      </c>
      <c r="B9388" s="1" t="n">
        <v>296.3</v>
      </c>
      <c r="C9388" s="1" t="n">
        <f aca="false">1/B9388</f>
        <v>0.00337495781302734</v>
      </c>
      <c r="D9388" s="1" t="n">
        <v>0.41711</v>
      </c>
      <c r="E9388" s="1" t="n">
        <f aca="false">LN(D9388)</f>
        <v>-0.874405303000703</v>
      </c>
    </row>
    <row r="9389" customFormat="false" ht="15.75" hidden="false" customHeight="false" outlineLevel="0" collapsed="false">
      <c r="A9389" s="1" t="s">
        <v>1186</v>
      </c>
      <c r="B9389" s="1" t="n">
        <v>296.85</v>
      </c>
      <c r="C9389" s="1" t="n">
        <f aca="false">1/B9389</f>
        <v>0.00336870473303015</v>
      </c>
      <c r="D9389" s="1" t="n">
        <v>0.41447</v>
      </c>
      <c r="E9389" s="1" t="n">
        <f aca="false">LN(D9389)</f>
        <v>-0.880754683383139</v>
      </c>
    </row>
    <row r="9390" customFormat="false" ht="15.75" hidden="false" customHeight="false" outlineLevel="0" collapsed="false">
      <c r="A9390" s="1" t="s">
        <v>1186</v>
      </c>
      <c r="B9390" s="1" t="n">
        <v>297.4</v>
      </c>
      <c r="C9390" s="1" t="n">
        <f aca="false">1/B9390</f>
        <v>0.00336247478143914</v>
      </c>
      <c r="D9390" s="1" t="n">
        <v>0.41186</v>
      </c>
      <c r="E9390" s="1" t="n">
        <f aca="false">LN(D9390)</f>
        <v>-0.887071793204935</v>
      </c>
    </row>
    <row r="9391" customFormat="false" ht="15.75" hidden="false" customHeight="false" outlineLevel="0" collapsed="false">
      <c r="A9391" s="1" t="s">
        <v>1186</v>
      </c>
      <c r="B9391" s="1" t="n">
        <v>297.95</v>
      </c>
      <c r="C9391" s="1" t="n">
        <f aca="false">1/B9391</f>
        <v>0.00335626783017285</v>
      </c>
      <c r="D9391" s="1" t="n">
        <v>0.40927</v>
      </c>
      <c r="E9391" s="1" t="n">
        <f aca="false">LN(D9391)</f>
        <v>-0.893380194041053</v>
      </c>
    </row>
    <row r="9392" customFormat="false" ht="15.75" hidden="false" customHeight="false" outlineLevel="0" collapsed="false">
      <c r="A9392" s="1" t="s">
        <v>1186</v>
      </c>
      <c r="B9392" s="1" t="n">
        <v>298.5</v>
      </c>
      <c r="C9392" s="1" t="n">
        <f aca="false">1/B9392</f>
        <v>0.0033500837520938</v>
      </c>
      <c r="D9392" s="1" t="n">
        <v>0.4067</v>
      </c>
      <c r="E9392" s="1" t="n">
        <f aca="false">LN(D9392)</f>
        <v>-0.899679466068958</v>
      </c>
    </row>
    <row r="9393" customFormat="false" ht="15.75" hidden="false" customHeight="false" outlineLevel="0" collapsed="false">
      <c r="A9393" s="1" t="s">
        <v>1186</v>
      </c>
      <c r="B9393" s="1" t="n">
        <v>299.06</v>
      </c>
      <c r="C9393" s="1" t="n">
        <f aca="false">1/B9393</f>
        <v>0.00334381060656724</v>
      </c>
      <c r="D9393" s="1" t="n">
        <v>0.40416</v>
      </c>
      <c r="E9393" s="1" t="n">
        <f aca="false">LN(D9393)</f>
        <v>-0.905944439820011</v>
      </c>
    </row>
    <row r="9394" customFormat="false" ht="15.75" hidden="false" customHeight="false" outlineLevel="0" collapsed="false">
      <c r="A9394" s="1" t="s">
        <v>1186</v>
      </c>
      <c r="B9394" s="1" t="n">
        <v>299.61</v>
      </c>
      <c r="C9394" s="1" t="n">
        <f aca="false">1/B9394</f>
        <v>0.00333767230733287</v>
      </c>
      <c r="D9394" s="1" t="n">
        <v>0.40163</v>
      </c>
      <c r="E9394" s="1" t="n">
        <f aca="false">LN(D9394)</f>
        <v>-0.912224012199394</v>
      </c>
    </row>
    <row r="9395" customFormat="false" ht="15.75" hidden="false" customHeight="false" outlineLevel="0" collapsed="false">
      <c r="A9395" s="1" t="s">
        <v>1186</v>
      </c>
      <c r="B9395" s="1" t="n">
        <v>300.16</v>
      </c>
      <c r="C9395" s="1" t="n">
        <f aca="false">1/B9395</f>
        <v>0.00333155650319829</v>
      </c>
      <c r="D9395" s="1" t="n">
        <v>0.39913</v>
      </c>
      <c r="E9395" s="1" t="n">
        <f aca="false">LN(D9395)</f>
        <v>-0.918468100621963</v>
      </c>
    </row>
    <row r="9396" customFormat="false" ht="15.75" hidden="false" customHeight="false" outlineLevel="0" collapsed="false">
      <c r="A9396" s="1" t="s">
        <v>1186</v>
      </c>
      <c r="B9396" s="1" t="n">
        <v>300.71</v>
      </c>
      <c r="C9396" s="1" t="n">
        <f aca="false">1/B9396</f>
        <v>0.0033254630707326</v>
      </c>
      <c r="D9396" s="1" t="n">
        <v>0.39664</v>
      </c>
      <c r="E9396" s="1" t="n">
        <f aca="false">LN(D9396)</f>
        <v>-0.924726210695257</v>
      </c>
    </row>
    <row r="9397" customFormat="false" ht="15.75" hidden="false" customHeight="false" outlineLevel="0" collapsed="false">
      <c r="A9397" s="1" t="s">
        <v>1186</v>
      </c>
      <c r="B9397" s="1" t="n">
        <v>301.26</v>
      </c>
      <c r="C9397" s="1" t="n">
        <f aca="false">1/B9397</f>
        <v>0.00331939188740623</v>
      </c>
      <c r="D9397" s="1" t="n">
        <v>0.39418</v>
      </c>
      <c r="E9397" s="1" t="n">
        <f aca="false">LN(D9397)</f>
        <v>-0.930947621217789</v>
      </c>
    </row>
    <row r="9398" customFormat="false" ht="15.75" hidden="false" customHeight="false" outlineLevel="0" collapsed="false">
      <c r="A9398" s="1" t="s">
        <v>1186</v>
      </c>
      <c r="B9398" s="1" t="n">
        <v>301.81</v>
      </c>
      <c r="C9398" s="1" t="n">
        <f aca="false">1/B9398</f>
        <v>0.00331334283158278</v>
      </c>
      <c r="D9398" s="1" t="n">
        <v>0.39174</v>
      </c>
      <c r="E9398" s="1" t="n">
        <f aca="false">LN(D9398)</f>
        <v>-0.93715692455554</v>
      </c>
    </row>
    <row r="9399" customFormat="false" ht="15.75" hidden="false" customHeight="false" outlineLevel="0" collapsed="false">
      <c r="A9399" s="1" t="s">
        <v>1186</v>
      </c>
      <c r="B9399" s="1" t="n">
        <v>302.36</v>
      </c>
      <c r="C9399" s="1" t="n">
        <f aca="false">1/B9399</f>
        <v>0.00330731578251091</v>
      </c>
      <c r="D9399" s="1" t="n">
        <v>0.38932</v>
      </c>
      <c r="E9399" s="1" t="n">
        <f aca="false">LN(D9399)</f>
        <v>-0.943353651423844</v>
      </c>
    </row>
    <row r="9400" customFormat="false" ht="15.75" hidden="false" customHeight="false" outlineLevel="0" collapsed="false">
      <c r="A9400" s="1" t="s">
        <v>1186</v>
      </c>
      <c r="B9400" s="1" t="n">
        <v>302.91</v>
      </c>
      <c r="C9400" s="1" t="n">
        <f aca="false">1/B9400</f>
        <v>0.00330131062031627</v>
      </c>
      <c r="D9400" s="1" t="n">
        <v>0.38692</v>
      </c>
      <c r="E9400" s="1" t="n">
        <f aca="false">LN(D9400)</f>
        <v>-0.949537325667791</v>
      </c>
    </row>
    <row r="9401" customFormat="false" ht="15.75" hidden="false" customHeight="false" outlineLevel="0" collapsed="false">
      <c r="A9401" s="1" t="s">
        <v>1186</v>
      </c>
      <c r="B9401" s="1" t="n">
        <v>303.46</v>
      </c>
      <c r="C9401" s="1" t="n">
        <f aca="false">1/B9401</f>
        <v>0.00329532722599354</v>
      </c>
      <c r="D9401" s="1" t="n">
        <v>0.38454</v>
      </c>
      <c r="E9401" s="1" t="n">
        <f aca="false">LN(D9401)</f>
        <v>-0.955707464237947</v>
      </c>
    </row>
    <row r="9402" customFormat="false" ht="15.75" hidden="false" customHeight="false" outlineLevel="0" collapsed="false">
      <c r="A9402" s="1" t="s">
        <v>1186</v>
      </c>
      <c r="B9402" s="1" t="n">
        <v>304.01</v>
      </c>
      <c r="C9402" s="1" t="n">
        <f aca="false">1/B9402</f>
        <v>0.00328936548139864</v>
      </c>
      <c r="D9402" s="1" t="n">
        <v>0.38218</v>
      </c>
      <c r="E9402" s="1" t="n">
        <f aca="false">LN(D9402)</f>
        <v>-0.961863577168912</v>
      </c>
    </row>
    <row r="9403" customFormat="false" ht="15.75" hidden="false" customHeight="false" outlineLevel="0" collapsed="false">
      <c r="A9403" s="1" t="s">
        <v>1186</v>
      </c>
      <c r="B9403" s="1" t="n">
        <v>304.56</v>
      </c>
      <c r="C9403" s="1" t="n">
        <f aca="false">1/B9403</f>
        <v>0.00328342526924087</v>
      </c>
      <c r="D9403" s="1" t="n">
        <v>0.37984</v>
      </c>
      <c r="E9403" s="1" t="n">
        <f aca="false">LN(D9403)</f>
        <v>-0.968005167560834</v>
      </c>
    </row>
    <row r="9404" customFormat="false" ht="15.75" hidden="false" customHeight="false" outlineLevel="0" collapsed="false">
      <c r="A9404" s="1" t="s">
        <v>1186</v>
      </c>
      <c r="B9404" s="1" t="n">
        <v>304.82</v>
      </c>
      <c r="C9404" s="1" t="n">
        <f aca="false">1/B9404</f>
        <v>0.00328062463092973</v>
      </c>
      <c r="D9404" s="1" t="n">
        <v>0.37873</v>
      </c>
      <c r="E9404" s="1" t="n">
        <f aca="false">LN(D9404)</f>
        <v>-0.970931728833334</v>
      </c>
    </row>
    <row r="9405" customFormat="false" ht="15.75" hidden="false" customHeight="false" outlineLevel="0" collapsed="false">
      <c r="A9405" s="1" t="s">
        <v>1495</v>
      </c>
      <c r="B9405" s="1" t="n">
        <v>161.34</v>
      </c>
      <c r="C9405" s="1" t="n">
        <f aca="false">1/B9405</f>
        <v>0.0061980909879757</v>
      </c>
      <c r="D9405" s="1" t="n">
        <v>1.0727</v>
      </c>
      <c r="E9405" s="1" t="n">
        <f aca="false">LN(D9405)</f>
        <v>0.0701788346212465</v>
      </c>
    </row>
    <row r="9406" customFormat="false" ht="15.75" hidden="false" customHeight="false" outlineLevel="0" collapsed="false">
      <c r="A9406" s="1" t="s">
        <v>1495</v>
      </c>
      <c r="B9406" s="1" t="n">
        <v>162.15</v>
      </c>
      <c r="C9406" s="1" t="n">
        <f aca="false">1/B9406</f>
        <v>0.00616712920135677</v>
      </c>
      <c r="D9406" s="1" t="n">
        <v>1.0469</v>
      </c>
      <c r="E9406" s="1" t="n">
        <f aca="false">LN(D9406)</f>
        <v>0.0458334163431722</v>
      </c>
    </row>
    <row r="9407" customFormat="false" ht="15.75" hidden="false" customHeight="false" outlineLevel="0" collapsed="false">
      <c r="A9407" s="1" t="s">
        <v>1495</v>
      </c>
      <c r="B9407" s="1" t="n">
        <v>162.97</v>
      </c>
      <c r="C9407" s="1" t="n">
        <f aca="false">1/B9407</f>
        <v>0.00613609866846659</v>
      </c>
      <c r="D9407" s="1" t="n">
        <v>1.022</v>
      </c>
      <c r="E9407" s="1" t="n">
        <f aca="false">LN(D9407)</f>
        <v>0.0217614917815127</v>
      </c>
    </row>
    <row r="9408" customFormat="false" ht="15.75" hidden="false" customHeight="false" outlineLevel="0" collapsed="false">
      <c r="A9408" s="1" t="s">
        <v>1495</v>
      </c>
      <c r="B9408" s="1" t="n">
        <v>163.78</v>
      </c>
      <c r="C9408" s="1" t="n">
        <f aca="false">1/B9408</f>
        <v>0.00610575161802418</v>
      </c>
      <c r="D9408" s="1" t="n">
        <v>0.99818</v>
      </c>
      <c r="E9408" s="1" t="n">
        <f aca="false">LN(D9408)</f>
        <v>-0.00182165821226971</v>
      </c>
    </row>
    <row r="9409" customFormat="false" ht="15.75" hidden="false" customHeight="false" outlineLevel="0" collapsed="false">
      <c r="A9409" s="1" t="s">
        <v>1495</v>
      </c>
      <c r="B9409" s="1" t="n">
        <v>164.6</v>
      </c>
      <c r="C9409" s="1" t="n">
        <f aca="false">1/B9409</f>
        <v>0.00607533414337789</v>
      </c>
      <c r="D9409" s="1" t="n">
        <v>0.97521</v>
      </c>
      <c r="E9409" s="1" t="n">
        <f aca="false">LN(D9409)</f>
        <v>-0.0251024465608414</v>
      </c>
    </row>
    <row r="9410" customFormat="false" ht="15.75" hidden="false" customHeight="false" outlineLevel="0" collapsed="false">
      <c r="A9410" s="1" t="s">
        <v>1495</v>
      </c>
      <c r="B9410" s="1" t="n">
        <v>165.41</v>
      </c>
      <c r="C9410" s="1" t="n">
        <f aca="false">1/B9410</f>
        <v>0.00604558370110634</v>
      </c>
      <c r="D9410" s="1" t="n">
        <v>0.95311</v>
      </c>
      <c r="E9410" s="1" t="n">
        <f aca="false">LN(D9410)</f>
        <v>-0.0480249570151176</v>
      </c>
    </row>
    <row r="9411" customFormat="false" ht="15.75" hidden="false" customHeight="false" outlineLevel="0" collapsed="false">
      <c r="A9411" s="1" t="s">
        <v>1495</v>
      </c>
      <c r="B9411" s="1" t="n">
        <v>166.23</v>
      </c>
      <c r="C9411" s="1" t="n">
        <f aca="false">1/B9411</f>
        <v>0.00601576129459183</v>
      </c>
      <c r="D9411" s="1" t="n">
        <v>0.93182</v>
      </c>
      <c r="E9411" s="1" t="n">
        <f aca="false">LN(D9411)</f>
        <v>-0.0706156159963448</v>
      </c>
    </row>
    <row r="9412" customFormat="false" ht="15.75" hidden="false" customHeight="false" outlineLevel="0" collapsed="false">
      <c r="A9412" s="1" t="s">
        <v>1495</v>
      </c>
      <c r="B9412" s="1" t="n">
        <v>167.04</v>
      </c>
      <c r="C9412" s="1" t="n">
        <f aca="false">1/B9412</f>
        <v>0.00598659003831418</v>
      </c>
      <c r="D9412" s="1" t="n">
        <v>0.9113</v>
      </c>
      <c r="E9412" s="1" t="n">
        <f aca="false">LN(D9412)</f>
        <v>-0.0928831274800559</v>
      </c>
    </row>
    <row r="9413" customFormat="false" ht="15.75" hidden="false" customHeight="false" outlineLevel="0" collapsed="false">
      <c r="A9413" s="1" t="s">
        <v>1495</v>
      </c>
      <c r="B9413" s="1" t="n">
        <v>167.86</v>
      </c>
      <c r="C9413" s="1" t="n">
        <f aca="false">1/B9413</f>
        <v>0.00595734540688669</v>
      </c>
      <c r="D9413" s="1" t="n">
        <v>0.89151</v>
      </c>
      <c r="E9413" s="1" t="n">
        <f aca="false">LN(D9413)</f>
        <v>-0.114838624691937</v>
      </c>
    </row>
    <row r="9414" customFormat="false" ht="15.75" hidden="false" customHeight="false" outlineLevel="0" collapsed="false">
      <c r="A9414" s="1" t="s">
        <v>1495</v>
      </c>
      <c r="B9414" s="1" t="n">
        <v>168.67</v>
      </c>
      <c r="C9414" s="1" t="n">
        <f aca="false">1/B9414</f>
        <v>0.00592873658623347</v>
      </c>
      <c r="D9414" s="1" t="n">
        <v>0.87242</v>
      </c>
      <c r="E9414" s="1" t="n">
        <f aca="false">LN(D9414)</f>
        <v>-0.136484319653802</v>
      </c>
    </row>
    <row r="9415" customFormat="false" ht="15.75" hidden="false" customHeight="false" outlineLevel="0" collapsed="false">
      <c r="A9415" s="1" t="s">
        <v>1495</v>
      </c>
      <c r="B9415" s="1" t="n">
        <v>169.48</v>
      </c>
      <c r="C9415" s="1" t="n">
        <f aca="false">1/B9415</f>
        <v>0.00590040122728346</v>
      </c>
      <c r="D9415" s="1" t="n">
        <v>0.85399</v>
      </c>
      <c r="E9415" s="1" t="n">
        <f aca="false">LN(D9415)</f>
        <v>-0.157835794863999</v>
      </c>
    </row>
    <row r="9416" customFormat="false" ht="15.75" hidden="false" customHeight="false" outlineLevel="0" collapsed="false">
      <c r="A9416" s="1" t="s">
        <v>1495</v>
      </c>
      <c r="B9416" s="1" t="n">
        <v>170.3</v>
      </c>
      <c r="C9416" s="1" t="n">
        <f aca="false">1/B9416</f>
        <v>0.00587199060481503</v>
      </c>
      <c r="D9416" s="1" t="n">
        <v>0.83619</v>
      </c>
      <c r="E9416" s="1" t="n">
        <f aca="false">LN(D9416)</f>
        <v>-0.178899418992697</v>
      </c>
    </row>
    <row r="9417" customFormat="false" ht="15.75" hidden="false" customHeight="false" outlineLevel="0" collapsed="false">
      <c r="A9417" s="1" t="s">
        <v>1495</v>
      </c>
      <c r="B9417" s="1" t="n">
        <v>171.11</v>
      </c>
      <c r="C9417" s="1" t="n">
        <f aca="false">1/B9417</f>
        <v>0.00584419379346619</v>
      </c>
      <c r="D9417" s="1" t="n">
        <v>0.81898</v>
      </c>
      <c r="E9417" s="1" t="n">
        <f aca="false">LN(D9417)</f>
        <v>-0.199695615451661</v>
      </c>
    </row>
    <row r="9418" customFormat="false" ht="15.75" hidden="false" customHeight="false" outlineLevel="0" collapsed="false">
      <c r="A9418" s="1" t="s">
        <v>1495</v>
      </c>
      <c r="B9418" s="1" t="n">
        <v>171.93</v>
      </c>
      <c r="C9418" s="1" t="n">
        <f aca="false">1/B9418</f>
        <v>0.00581632059559123</v>
      </c>
      <c r="D9418" s="1" t="n">
        <v>0.80234</v>
      </c>
      <c r="E9418" s="1" t="n">
        <f aca="false">LN(D9418)</f>
        <v>-0.220222820803232</v>
      </c>
    </row>
    <row r="9419" customFormat="false" ht="15.75" hidden="false" customHeight="false" outlineLevel="0" collapsed="false">
      <c r="A9419" s="1" t="s">
        <v>1495</v>
      </c>
      <c r="B9419" s="1" t="n">
        <v>172.74</v>
      </c>
      <c r="C9419" s="1" t="n">
        <f aca="false">1/B9419</f>
        <v>0.00578904712284358</v>
      </c>
      <c r="D9419" s="1" t="n">
        <v>0.78625</v>
      </c>
      <c r="E9419" s="1" t="n">
        <f aca="false">LN(D9419)</f>
        <v>-0.240480470967487</v>
      </c>
    </row>
    <row r="9420" customFormat="false" ht="15.75" hidden="false" customHeight="false" outlineLevel="0" collapsed="false">
      <c r="A9420" s="1" t="s">
        <v>1495</v>
      </c>
      <c r="B9420" s="1" t="n">
        <v>173.56</v>
      </c>
      <c r="C9420" s="1" t="n">
        <f aca="false">1/B9420</f>
        <v>0.00576169624337405</v>
      </c>
      <c r="D9420" s="1" t="n">
        <v>0.77068</v>
      </c>
      <c r="E9420" s="1" t="n">
        <f aca="false">LN(D9420)</f>
        <v>-0.260482036969578</v>
      </c>
    </row>
    <row r="9421" customFormat="false" ht="15.75" hidden="false" customHeight="false" outlineLevel="0" collapsed="false">
      <c r="A9421" s="1" t="s">
        <v>1495</v>
      </c>
      <c r="B9421" s="1" t="n">
        <v>174.37</v>
      </c>
      <c r="C9421" s="1" t="n">
        <f aca="false">1/B9421</f>
        <v>0.00573493146756896</v>
      </c>
      <c r="D9421" s="1" t="n">
        <v>0.7556</v>
      </c>
      <c r="E9421" s="1" t="n">
        <f aca="false">LN(D9421)</f>
        <v>-0.280243143354782</v>
      </c>
    </row>
    <row r="9422" customFormat="false" ht="15.75" hidden="false" customHeight="false" outlineLevel="0" collapsed="false">
      <c r="A9422" s="1" t="s">
        <v>1495</v>
      </c>
      <c r="B9422" s="1" t="n">
        <v>175.19</v>
      </c>
      <c r="C9422" s="1" t="n">
        <f aca="false">1/B9422</f>
        <v>0.00570808836120783</v>
      </c>
      <c r="D9422" s="1" t="n">
        <v>0.74099</v>
      </c>
      <c r="E9422" s="1" t="n">
        <f aca="false">LN(D9422)</f>
        <v>-0.299768149053765</v>
      </c>
    </row>
    <row r="9423" customFormat="false" ht="15.75" hidden="false" customHeight="false" outlineLevel="0" collapsed="false">
      <c r="A9423" s="1" t="s">
        <v>1495</v>
      </c>
      <c r="B9423" s="1" t="n">
        <v>176</v>
      </c>
      <c r="C9423" s="1" t="n">
        <f aca="false">1/B9423</f>
        <v>0.00568181818181818</v>
      </c>
      <c r="D9423" s="1" t="n">
        <v>0.72684</v>
      </c>
      <c r="E9423" s="1" t="n">
        <f aca="false">LN(D9423)</f>
        <v>-0.319048908201281</v>
      </c>
    </row>
    <row r="9424" customFormat="false" ht="15.75" hidden="false" customHeight="false" outlineLevel="0" collapsed="false">
      <c r="A9424" s="1" t="s">
        <v>1495</v>
      </c>
      <c r="B9424" s="1" t="n">
        <v>176.81</v>
      </c>
      <c r="C9424" s="1" t="n">
        <f aca="false">1/B9424</f>
        <v>0.00565578869973418</v>
      </c>
      <c r="D9424" s="1" t="n">
        <v>0.71312</v>
      </c>
      <c r="E9424" s="1" t="n">
        <f aca="false">LN(D9424)</f>
        <v>-0.338105569783891</v>
      </c>
    </row>
    <row r="9425" customFormat="false" ht="15.75" hidden="false" customHeight="false" outlineLevel="0" collapsed="false">
      <c r="A9425" s="1" t="s">
        <v>1495</v>
      </c>
      <c r="B9425" s="1" t="n">
        <v>177.63</v>
      </c>
      <c r="C9425" s="1" t="n">
        <f aca="false">1/B9425</f>
        <v>0.00562967967122671</v>
      </c>
      <c r="D9425" s="1" t="n">
        <v>0.69981</v>
      </c>
      <c r="E9425" s="1" t="n">
        <f aca="false">LN(D9425)</f>
        <v>-0.356946409353563</v>
      </c>
    </row>
    <row r="9426" customFormat="false" ht="15.75" hidden="false" customHeight="false" outlineLevel="0" collapsed="false">
      <c r="A9426" s="1" t="s">
        <v>1495</v>
      </c>
      <c r="B9426" s="1" t="n">
        <v>178.44</v>
      </c>
      <c r="C9426" s="1" t="n">
        <f aca="false">1/B9426</f>
        <v>0.0056041246357319</v>
      </c>
      <c r="D9426" s="1" t="n">
        <v>0.6869</v>
      </c>
      <c r="E9426" s="1" t="n">
        <f aca="false">LN(D9426)</f>
        <v>-0.375566557762301</v>
      </c>
    </row>
    <row r="9427" customFormat="false" ht="15.75" hidden="false" customHeight="false" outlineLevel="0" collapsed="false">
      <c r="A9427" s="1" t="s">
        <v>1495</v>
      </c>
      <c r="B9427" s="1" t="n">
        <v>179.26</v>
      </c>
      <c r="C9427" s="1" t="n">
        <f aca="false">1/B9427</f>
        <v>0.00557848934508535</v>
      </c>
      <c r="D9427" s="1" t="n">
        <v>0.67437</v>
      </c>
      <c r="E9427" s="1" t="n">
        <f aca="false">LN(D9427)</f>
        <v>-0.393976357269698</v>
      </c>
    </row>
    <row r="9428" customFormat="false" ht="15.75" hidden="false" customHeight="false" outlineLevel="0" collapsed="false">
      <c r="A9428" s="1" t="s">
        <v>1495</v>
      </c>
      <c r="B9428" s="1" t="n">
        <v>180.07</v>
      </c>
      <c r="C9428" s="1" t="n">
        <f aca="false">1/B9428</f>
        <v>0.00555339590159382</v>
      </c>
      <c r="D9428" s="1" t="n">
        <v>0.66221</v>
      </c>
      <c r="E9428" s="1" t="n">
        <f aca="false">LN(D9428)</f>
        <v>-0.412172552805121</v>
      </c>
    </row>
    <row r="9429" customFormat="false" ht="15.75" hidden="false" customHeight="false" outlineLevel="0" collapsed="false">
      <c r="A9429" s="1" t="s">
        <v>1495</v>
      </c>
      <c r="B9429" s="1" t="n">
        <v>180.89</v>
      </c>
      <c r="C9429" s="1" t="n">
        <f aca="false">1/B9429</f>
        <v>0.00552822157112057</v>
      </c>
      <c r="D9429" s="1" t="n">
        <v>0.65039</v>
      </c>
      <c r="E9429" s="1" t="n">
        <f aca="false">LN(D9429)</f>
        <v>-0.430183096020487</v>
      </c>
    </row>
    <row r="9430" customFormat="false" ht="15.75" hidden="false" customHeight="false" outlineLevel="0" collapsed="false">
      <c r="A9430" s="1" t="s">
        <v>1495</v>
      </c>
      <c r="B9430" s="1" t="n">
        <v>181.7</v>
      </c>
      <c r="C9430" s="1" t="n">
        <f aca="false">1/B9430</f>
        <v>0.00550357732526142</v>
      </c>
      <c r="D9430" s="1" t="n">
        <v>0.63891</v>
      </c>
      <c r="E9430" s="1" t="n">
        <f aca="false">LN(D9430)</f>
        <v>-0.447991679594623</v>
      </c>
    </row>
    <row r="9431" customFormat="false" ht="15.75" hidden="false" customHeight="false" outlineLevel="0" collapsed="false">
      <c r="A9431" s="1" t="s">
        <v>1495</v>
      </c>
      <c r="B9431" s="1" t="n">
        <v>182.52</v>
      </c>
      <c r="C9431" s="1" t="n">
        <f aca="false">1/B9431</f>
        <v>0.00547885163269779</v>
      </c>
      <c r="D9431" s="1" t="n">
        <v>0.62775</v>
      </c>
      <c r="E9431" s="1" t="n">
        <f aca="false">LN(D9431)</f>
        <v>-0.465613280944443</v>
      </c>
    </row>
    <row r="9432" customFormat="false" ht="15.75" hidden="false" customHeight="false" outlineLevel="0" collapsed="false">
      <c r="A9432" s="1" t="s">
        <v>1495</v>
      </c>
      <c r="B9432" s="1" t="n">
        <v>183.33</v>
      </c>
      <c r="C9432" s="1" t="n">
        <f aca="false">1/B9432</f>
        <v>0.00545464462990236</v>
      </c>
      <c r="D9432" s="1" t="n">
        <v>0.6169</v>
      </c>
      <c r="E9432" s="1" t="n">
        <f aca="false">LN(D9432)</f>
        <v>-0.483048342766544</v>
      </c>
    </row>
    <row r="9433" customFormat="false" ht="15.75" hidden="false" customHeight="false" outlineLevel="0" collapsed="false">
      <c r="A9433" s="1" t="s">
        <v>1495</v>
      </c>
      <c r="B9433" s="1" t="n">
        <v>184.14</v>
      </c>
      <c r="C9433" s="1" t="n">
        <f aca="false">1/B9433</f>
        <v>0.00543065059194092</v>
      </c>
      <c r="D9433" s="1" t="n">
        <v>0.60635</v>
      </c>
      <c r="E9433" s="1" t="n">
        <f aca="false">LN(D9433)</f>
        <v>-0.500297901879336</v>
      </c>
    </row>
    <row r="9434" customFormat="false" ht="15.75" hidden="false" customHeight="false" outlineLevel="0" collapsed="false">
      <c r="A9434" s="1" t="s">
        <v>1495</v>
      </c>
      <c r="B9434" s="1" t="n">
        <v>184.96</v>
      </c>
      <c r="C9434" s="1" t="n">
        <f aca="false">1/B9434</f>
        <v>0.00540657439446367</v>
      </c>
      <c r="D9434" s="1" t="n">
        <v>0.59609</v>
      </c>
      <c r="E9434" s="1" t="n">
        <f aca="false">LN(D9434)</f>
        <v>-0.517363616605744</v>
      </c>
    </row>
    <row r="9435" customFormat="false" ht="15.75" hidden="false" customHeight="false" outlineLevel="0" collapsed="false">
      <c r="A9435" s="1" t="s">
        <v>1495</v>
      </c>
      <c r="B9435" s="1" t="n">
        <v>185.77</v>
      </c>
      <c r="C9435" s="1" t="n">
        <f aca="false">1/B9435</f>
        <v>0.00538300048447004</v>
      </c>
      <c r="D9435" s="1" t="n">
        <v>0.5861</v>
      </c>
      <c r="E9435" s="1" t="n">
        <f aca="false">LN(D9435)</f>
        <v>-0.534264855499754</v>
      </c>
    </row>
    <row r="9436" customFormat="false" ht="15.75" hidden="false" customHeight="false" outlineLevel="0" collapsed="false">
      <c r="A9436" s="1" t="s">
        <v>1495</v>
      </c>
      <c r="B9436" s="1" t="n">
        <v>186.59</v>
      </c>
      <c r="C9436" s="1" t="n">
        <f aca="false">1/B9436</f>
        <v>0.00535934401629241</v>
      </c>
      <c r="D9436" s="1" t="n">
        <v>0.57637</v>
      </c>
      <c r="E9436" s="1" t="n">
        <f aca="false">LN(D9436)</f>
        <v>-0.551005463400724</v>
      </c>
    </row>
    <row r="9437" customFormat="false" ht="15.75" hidden="false" customHeight="false" outlineLevel="0" collapsed="false">
      <c r="A9437" s="1" t="s">
        <v>1495</v>
      </c>
      <c r="B9437" s="1" t="n">
        <v>187.4</v>
      </c>
      <c r="C9437" s="1" t="n">
        <f aca="false">1/B9437</f>
        <v>0.00533617929562433</v>
      </c>
      <c r="D9437" s="1" t="n">
        <v>0.5669</v>
      </c>
      <c r="E9437" s="1" t="n">
        <f aca="false">LN(D9437)</f>
        <v>-0.567572357651879</v>
      </c>
    </row>
    <row r="9438" customFormat="false" ht="15.75" hidden="false" customHeight="false" outlineLevel="0" collapsed="false">
      <c r="A9438" s="1" t="s">
        <v>1495</v>
      </c>
      <c r="B9438" s="1" t="n">
        <v>188.22</v>
      </c>
      <c r="C9438" s="1" t="n">
        <f aca="false">1/B9438</f>
        <v>0.00531293167569865</v>
      </c>
      <c r="D9438" s="1" t="n">
        <v>0.55767</v>
      </c>
      <c r="E9438" s="1" t="n">
        <f aca="false">LN(D9438)</f>
        <v>-0.583987889394975</v>
      </c>
    </row>
    <row r="9439" customFormat="false" ht="15.75" hidden="false" customHeight="false" outlineLevel="0" collapsed="false">
      <c r="A9439" s="1" t="s">
        <v>1495</v>
      </c>
      <c r="B9439" s="1" t="n">
        <v>189.03</v>
      </c>
      <c r="C9439" s="1" t="n">
        <f aca="false">1/B9439</f>
        <v>0.00529016558218272</v>
      </c>
      <c r="D9439" s="1" t="n">
        <v>0.54868</v>
      </c>
      <c r="E9439" s="1" t="n">
        <f aca="false">LN(D9439)</f>
        <v>-0.600239885371931</v>
      </c>
    </row>
    <row r="9440" customFormat="false" ht="15.75" hidden="false" customHeight="false" outlineLevel="0" collapsed="false">
      <c r="A9440" s="1" t="s">
        <v>1495</v>
      </c>
      <c r="B9440" s="1" t="n">
        <v>189.85</v>
      </c>
      <c r="C9440" s="1" t="n">
        <f aca="false">1/B9440</f>
        <v>0.00526731630234396</v>
      </c>
      <c r="D9440" s="1" t="n">
        <v>0.53992</v>
      </c>
      <c r="E9440" s="1" t="n">
        <f aca="false">LN(D9440)</f>
        <v>-0.616334298546986</v>
      </c>
    </row>
    <row r="9441" customFormat="false" ht="15.75" hidden="false" customHeight="false" outlineLevel="0" collapsed="false">
      <c r="A9441" s="1" t="s">
        <v>1495</v>
      </c>
      <c r="B9441" s="1" t="n">
        <v>190.66</v>
      </c>
      <c r="C9441" s="1" t="n">
        <f aca="false">1/B9441</f>
        <v>0.00524493863421798</v>
      </c>
      <c r="D9441" s="1" t="n">
        <v>0.53138</v>
      </c>
      <c r="E9441" s="1" t="n">
        <f aca="false">LN(D9441)</f>
        <v>-0.632277882796759</v>
      </c>
    </row>
    <row r="9442" customFormat="false" ht="15.75" hidden="false" customHeight="false" outlineLevel="0" collapsed="false">
      <c r="A9442" s="1" t="s">
        <v>1495</v>
      </c>
      <c r="B9442" s="1" t="n">
        <v>191.47</v>
      </c>
      <c r="C9442" s="1" t="n">
        <f aca="false">1/B9442</f>
        <v>0.00522275030030814</v>
      </c>
      <c r="D9442" s="1" t="n">
        <v>0.52305</v>
      </c>
      <c r="E9442" s="1" t="n">
        <f aca="false">LN(D9442)</f>
        <v>-0.648078217192367</v>
      </c>
    </row>
    <row r="9443" customFormat="false" ht="15.75" hidden="false" customHeight="false" outlineLevel="0" collapsed="false">
      <c r="A9443" s="1" t="s">
        <v>1495</v>
      </c>
      <c r="B9443" s="1" t="n">
        <v>192.29</v>
      </c>
      <c r="C9443" s="1" t="n">
        <f aca="false">1/B9443</f>
        <v>0.00520047844401685</v>
      </c>
      <c r="D9443" s="1" t="n">
        <v>0.51493</v>
      </c>
      <c r="E9443" s="1" t="n">
        <f aca="false">LN(D9443)</f>
        <v>-0.663724309886775</v>
      </c>
    </row>
    <row r="9444" customFormat="false" ht="15.75" hidden="false" customHeight="false" outlineLevel="0" collapsed="false">
      <c r="A9444" s="1" t="s">
        <v>1495</v>
      </c>
      <c r="B9444" s="1" t="n">
        <v>193.1</v>
      </c>
      <c r="C9444" s="1" t="n">
        <f aca="false">1/B9444</f>
        <v>0.00517866390471258</v>
      </c>
      <c r="D9444" s="1" t="n">
        <v>0.507</v>
      </c>
      <c r="E9444" s="1" t="n">
        <f aca="false">LN(D9444)</f>
        <v>-0.679244275390954</v>
      </c>
    </row>
    <row r="9445" customFormat="false" ht="15.75" hidden="false" customHeight="false" outlineLevel="0" collapsed="false">
      <c r="A9445" s="1" t="s">
        <v>1495</v>
      </c>
      <c r="B9445" s="1" t="n">
        <v>193.92</v>
      </c>
      <c r="C9445" s="1" t="n">
        <f aca="false">1/B9445</f>
        <v>0.00515676567656766</v>
      </c>
      <c r="D9445" s="1" t="n">
        <v>0.49927</v>
      </c>
      <c r="E9445" s="1" t="n">
        <f aca="false">LN(D9445)</f>
        <v>-0.694608247398461</v>
      </c>
    </row>
    <row r="9446" customFormat="false" ht="15.75" hidden="false" customHeight="false" outlineLevel="0" collapsed="false">
      <c r="A9446" s="1" t="s">
        <v>1495</v>
      </c>
      <c r="B9446" s="1" t="n">
        <v>194.73</v>
      </c>
      <c r="C9446" s="1" t="n">
        <f aca="false">1/B9446</f>
        <v>0.00513531556514148</v>
      </c>
      <c r="D9446" s="1" t="n">
        <v>0.49171</v>
      </c>
      <c r="E9446" s="1" t="n">
        <f aca="false">LN(D9446)</f>
        <v>-0.70986616716682</v>
      </c>
    </row>
    <row r="9447" customFormat="false" ht="15.75" hidden="false" customHeight="false" outlineLevel="0" collapsed="false">
      <c r="A9447" s="1" t="s">
        <v>1495</v>
      </c>
      <c r="B9447" s="1" t="n">
        <v>195.55</v>
      </c>
      <c r="C9447" s="1" t="n">
        <f aca="false">1/B9447</f>
        <v>0.00511378164152391</v>
      </c>
      <c r="D9447" s="1" t="n">
        <v>0.48434</v>
      </c>
      <c r="E9447" s="1" t="n">
        <f aca="false">LN(D9447)</f>
        <v>-0.724968139549781</v>
      </c>
    </row>
    <row r="9448" customFormat="false" ht="15.75" hidden="false" customHeight="false" outlineLevel="0" collapsed="false">
      <c r="A9448" s="1" t="s">
        <v>1495</v>
      </c>
      <c r="B9448" s="1" t="n">
        <v>196.36</v>
      </c>
      <c r="C9448" s="1" t="n">
        <f aca="false">1/B9448</f>
        <v>0.00509268690160929</v>
      </c>
      <c r="D9448" s="1" t="n">
        <v>0.47714</v>
      </c>
      <c r="E9448" s="1" t="n">
        <f aca="false">LN(D9448)</f>
        <v>-0.739945330108585</v>
      </c>
    </row>
    <row r="9449" customFormat="false" ht="15.75" hidden="false" customHeight="false" outlineLevel="0" collapsed="false">
      <c r="A9449" s="1" t="s">
        <v>1495</v>
      </c>
      <c r="B9449" s="1" t="n">
        <v>197.18</v>
      </c>
      <c r="C9449" s="1" t="n">
        <f aca="false">1/B9449</f>
        <v>0.00507150826655847</v>
      </c>
      <c r="D9449" s="1" t="n">
        <v>0.4701</v>
      </c>
      <c r="E9449" s="1" t="n">
        <f aca="false">LN(D9449)</f>
        <v>-0.754809840952052</v>
      </c>
    </row>
    <row r="9450" customFormat="false" ht="15.75" hidden="false" customHeight="false" outlineLevel="0" collapsed="false">
      <c r="A9450" s="1" t="s">
        <v>1495</v>
      </c>
      <c r="B9450" s="1" t="n">
        <v>197.99</v>
      </c>
      <c r="C9450" s="1" t="n">
        <f aca="false">1/B9450</f>
        <v>0.00505076013940098</v>
      </c>
      <c r="D9450" s="1" t="n">
        <v>0.46323</v>
      </c>
      <c r="E9450" s="1" t="n">
        <f aca="false">LN(D9450)</f>
        <v>-0.769531587981255</v>
      </c>
    </row>
    <row r="9451" customFormat="false" ht="15.75" hidden="false" customHeight="false" outlineLevel="0" collapsed="false">
      <c r="A9451" s="1" t="s">
        <v>1495</v>
      </c>
      <c r="B9451" s="1" t="n">
        <v>198.8</v>
      </c>
      <c r="C9451" s="1" t="n">
        <f aca="false">1/B9451</f>
        <v>0.00503018108651911</v>
      </c>
      <c r="D9451" s="1" t="n">
        <v>0.45651</v>
      </c>
      <c r="E9451" s="1" t="n">
        <f aca="false">LN(D9451)</f>
        <v>-0.784144673382004</v>
      </c>
    </row>
    <row r="9452" customFormat="false" ht="15.75" hidden="false" customHeight="false" outlineLevel="0" collapsed="false">
      <c r="A9452" s="1" t="s">
        <v>1495</v>
      </c>
      <c r="B9452" s="1" t="n">
        <v>199.62</v>
      </c>
      <c r="C9452" s="1" t="n">
        <f aca="false">1/B9452</f>
        <v>0.00500951808436028</v>
      </c>
      <c r="D9452" s="1" t="n">
        <v>0.44994</v>
      </c>
      <c r="E9452" s="1" t="n">
        <f aca="false">LN(D9452)</f>
        <v>-0.798641038440784</v>
      </c>
    </row>
    <row r="9453" customFormat="false" ht="15.75" hidden="false" customHeight="false" outlineLevel="0" collapsed="false">
      <c r="A9453" s="1" t="s">
        <v>1495</v>
      </c>
      <c r="B9453" s="1" t="n">
        <v>200.43</v>
      </c>
      <c r="C9453" s="1" t="n">
        <f aca="false">1/B9453</f>
        <v>0.00498927306291473</v>
      </c>
      <c r="D9453" s="1" t="n">
        <v>0.44352</v>
      </c>
      <c r="E9453" s="1" t="n">
        <f aca="false">LN(D9453)</f>
        <v>-0.813012382420653</v>
      </c>
    </row>
    <row r="9454" customFormat="false" ht="15.75" hidden="false" customHeight="false" outlineLevel="0" collapsed="false">
      <c r="A9454" s="1" t="s">
        <v>1495</v>
      </c>
      <c r="B9454" s="1" t="n">
        <v>201.25</v>
      </c>
      <c r="C9454" s="1" t="n">
        <f aca="false">1/B9454</f>
        <v>0.00496894409937888</v>
      </c>
      <c r="D9454" s="1" t="n">
        <v>0.43724</v>
      </c>
      <c r="E9454" s="1" t="n">
        <f aca="false">LN(D9454)</f>
        <v>-0.827273035556502</v>
      </c>
    </row>
    <row r="9455" customFormat="false" ht="15.75" hidden="false" customHeight="false" outlineLevel="0" collapsed="false">
      <c r="A9455" s="1" t="s">
        <v>1495</v>
      </c>
      <c r="B9455" s="1" t="n">
        <v>202.06</v>
      </c>
      <c r="C9455" s="1" t="n">
        <f aca="false">1/B9455</f>
        <v>0.00494902504206671</v>
      </c>
      <c r="D9455" s="1" t="n">
        <v>0.4311</v>
      </c>
      <c r="E9455" s="1" t="n">
        <f aca="false">LN(D9455)</f>
        <v>-0.841415197229048</v>
      </c>
    </row>
    <row r="9456" customFormat="false" ht="15.75" hidden="false" customHeight="false" outlineLevel="0" collapsed="false">
      <c r="A9456" s="1" t="s">
        <v>1495</v>
      </c>
      <c r="B9456" s="1" t="n">
        <v>202.88</v>
      </c>
      <c r="C9456" s="1" t="n">
        <f aca="false">1/B9456</f>
        <v>0.00492902208201893</v>
      </c>
      <c r="D9456" s="1" t="n">
        <v>0.42508</v>
      </c>
      <c r="E9456" s="1" t="n">
        <f aca="false">LN(D9456)</f>
        <v>-0.855477892477643</v>
      </c>
    </row>
    <row r="9457" customFormat="false" ht="15.75" hidden="false" customHeight="false" outlineLevel="0" collapsed="false">
      <c r="A9457" s="1" t="s">
        <v>1495</v>
      </c>
      <c r="B9457" s="1" t="n">
        <v>203.69</v>
      </c>
      <c r="C9457" s="1" t="n">
        <f aca="false">1/B9457</f>
        <v>0.00490942117924297</v>
      </c>
      <c r="D9457" s="1" t="n">
        <v>0.4192</v>
      </c>
      <c r="E9457" s="1" t="n">
        <f aca="false">LN(D9457)</f>
        <v>-0.869407145975305</v>
      </c>
    </row>
    <row r="9458" customFormat="false" ht="15.75" hidden="false" customHeight="false" outlineLevel="0" collapsed="false">
      <c r="A9458" s="1" t="s">
        <v>1495</v>
      </c>
      <c r="B9458" s="1" t="n">
        <v>204.5</v>
      </c>
      <c r="C9458" s="1" t="n">
        <f aca="false">1/B9458</f>
        <v>0.00488997555012225</v>
      </c>
      <c r="D9458" s="1" t="n">
        <v>0.41344</v>
      </c>
      <c r="E9458" s="1" t="n">
        <f aca="false">LN(D9458)</f>
        <v>-0.883242877827955</v>
      </c>
    </row>
    <row r="9459" customFormat="false" ht="15.75" hidden="false" customHeight="false" outlineLevel="0" collapsed="false">
      <c r="A9459" s="1" t="s">
        <v>1495</v>
      </c>
      <c r="B9459" s="1" t="n">
        <v>205.32</v>
      </c>
      <c r="C9459" s="1" t="n">
        <f aca="false">1/B9459</f>
        <v>0.00487044613286577</v>
      </c>
      <c r="D9459" s="1" t="n">
        <v>0.4078</v>
      </c>
      <c r="E9459" s="1" t="n">
        <f aca="false">LN(D9459)</f>
        <v>-0.896978420841782</v>
      </c>
    </row>
    <row r="9460" customFormat="false" ht="15.75" hidden="false" customHeight="false" outlineLevel="0" collapsed="false">
      <c r="A9460" s="1" t="s">
        <v>1495</v>
      </c>
      <c r="B9460" s="1" t="n">
        <v>206.13</v>
      </c>
      <c r="C9460" s="1" t="n">
        <f aca="false">1/B9460</f>
        <v>0.00485130742735167</v>
      </c>
      <c r="D9460" s="1" t="n">
        <v>0.40228</v>
      </c>
      <c r="E9460" s="1" t="n">
        <f aca="false">LN(D9460)</f>
        <v>-0.910606915405857</v>
      </c>
    </row>
    <row r="9461" customFormat="false" ht="15.75" hidden="false" customHeight="false" outlineLevel="0" collapsed="false">
      <c r="A9461" s="1" t="s">
        <v>1495</v>
      </c>
      <c r="B9461" s="1" t="n">
        <v>206.95</v>
      </c>
      <c r="C9461" s="1" t="n">
        <f aca="false">1/B9461</f>
        <v>0.00483208504469679</v>
      </c>
      <c r="D9461" s="1" t="n">
        <v>0.39687</v>
      </c>
      <c r="E9461" s="1" t="n">
        <f aca="false">LN(D9461)</f>
        <v>-0.924146507839739</v>
      </c>
    </row>
    <row r="9462" customFormat="false" ht="15.75" hidden="false" customHeight="false" outlineLevel="0" collapsed="false">
      <c r="A9462" s="1" t="s">
        <v>1495</v>
      </c>
      <c r="B9462" s="1" t="n">
        <v>207.76</v>
      </c>
      <c r="C9462" s="1" t="n">
        <f aca="false">1/B9462</f>
        <v>0.00481324605313824</v>
      </c>
      <c r="D9462" s="1" t="n">
        <v>0.39157</v>
      </c>
      <c r="E9462" s="1" t="n">
        <f aca="false">LN(D9462)</f>
        <v>-0.937590980044858</v>
      </c>
    </row>
    <row r="9463" customFormat="false" ht="15.75" hidden="false" customHeight="false" outlineLevel="0" collapsed="false">
      <c r="A9463" s="1" t="s">
        <v>1495</v>
      </c>
      <c r="B9463" s="1" t="n">
        <v>208.58</v>
      </c>
      <c r="C9463" s="1" t="n">
        <f aca="false">1/B9463</f>
        <v>0.00479432352095119</v>
      </c>
      <c r="D9463" s="1" t="n">
        <v>0.38638</v>
      </c>
      <c r="E9463" s="1" t="n">
        <f aca="false">LN(D9463)</f>
        <v>-0.950933937817729</v>
      </c>
    </row>
    <row r="9464" customFormat="false" ht="15.75" hidden="false" customHeight="false" outlineLevel="0" collapsed="false">
      <c r="A9464" s="1" t="s">
        <v>1495</v>
      </c>
      <c r="B9464" s="1" t="n">
        <v>209.39</v>
      </c>
      <c r="C9464" s="1" t="n">
        <f aca="false">1/B9464</f>
        <v>0.0047757772577487</v>
      </c>
      <c r="D9464" s="1" t="n">
        <v>0.38129</v>
      </c>
      <c r="E9464" s="1" t="n">
        <f aca="false">LN(D9464)</f>
        <v>-0.964195038531241</v>
      </c>
    </row>
    <row r="9465" customFormat="false" ht="15.75" hidden="false" customHeight="false" outlineLevel="0" collapsed="false">
      <c r="A9465" s="1" t="s">
        <v>1495</v>
      </c>
      <c r="B9465" s="1" t="n">
        <v>210.21</v>
      </c>
      <c r="C9465" s="1" t="n">
        <f aca="false">1/B9465</f>
        <v>0.00475714761429047</v>
      </c>
      <c r="D9465" s="1" t="n">
        <v>0.37631</v>
      </c>
      <c r="E9465" s="1" t="n">
        <f aca="false">LN(D9465)</f>
        <v>-0.977342007194253</v>
      </c>
    </row>
    <row r="9466" customFormat="false" ht="15.75" hidden="false" customHeight="false" outlineLevel="0" collapsed="false">
      <c r="A9466" s="1" t="s">
        <v>1495</v>
      </c>
      <c r="B9466" s="1" t="n">
        <v>211.02</v>
      </c>
      <c r="C9466" s="1" t="n">
        <f aca="false">1/B9466</f>
        <v>0.00473888730925979</v>
      </c>
      <c r="D9466" s="1" t="n">
        <v>0.37142</v>
      </c>
      <c r="E9466" s="1" t="n">
        <f aca="false">LN(D9466)</f>
        <v>-0.99042178121723</v>
      </c>
    </row>
    <row r="9467" customFormat="false" ht="15.75" hidden="false" customHeight="false" outlineLevel="0" collapsed="false">
      <c r="A9467" s="1" t="s">
        <v>1495</v>
      </c>
      <c r="B9467" s="1" t="n">
        <v>211.83</v>
      </c>
      <c r="C9467" s="1" t="n">
        <f aca="false">1/B9467</f>
        <v>0.00472076665250437</v>
      </c>
      <c r="D9467" s="1" t="n">
        <v>0.36662</v>
      </c>
      <c r="E9467" s="1" t="n">
        <f aca="false">LN(D9467)</f>
        <v>-1.00342938969092</v>
      </c>
    </row>
    <row r="9468" customFormat="false" ht="15.75" hidden="false" customHeight="false" outlineLevel="0" collapsed="false">
      <c r="A9468" s="1" t="s">
        <v>1495</v>
      </c>
      <c r="B9468" s="1" t="n">
        <v>212.65</v>
      </c>
      <c r="C9468" s="1" t="n">
        <f aca="false">1/B9468</f>
        <v>0.00470256289677874</v>
      </c>
      <c r="D9468" s="1" t="n">
        <v>0.36192</v>
      </c>
      <c r="E9468" s="1" t="n">
        <f aca="false">LN(D9468)</f>
        <v>-1.01633208605438</v>
      </c>
    </row>
    <row r="9469" customFormat="false" ht="15.75" hidden="false" customHeight="false" outlineLevel="0" collapsed="false">
      <c r="A9469" s="1" t="s">
        <v>1495</v>
      </c>
      <c r="B9469" s="1" t="n">
        <v>213.46</v>
      </c>
      <c r="C9469" s="1" t="n">
        <f aca="false">1/B9469</f>
        <v>0.00468471844842125</v>
      </c>
      <c r="D9469" s="1" t="n">
        <v>0.35731</v>
      </c>
      <c r="E9469" s="1" t="n">
        <f aca="false">LN(D9469)</f>
        <v>-1.029151526659</v>
      </c>
    </row>
    <row r="9470" customFormat="false" ht="15.75" hidden="false" customHeight="false" outlineLevel="0" collapsed="false">
      <c r="A9470" s="1" t="s">
        <v>1495</v>
      </c>
      <c r="B9470" s="1" t="n">
        <v>214.28</v>
      </c>
      <c r="C9470" s="1" t="n">
        <f aca="false">1/B9470</f>
        <v>0.00466679111442972</v>
      </c>
      <c r="D9470" s="1" t="n">
        <v>0.35278</v>
      </c>
      <c r="E9470" s="1" t="n">
        <f aca="false">LN(D9470)</f>
        <v>-1.04191064579881</v>
      </c>
    </row>
    <row r="9471" customFormat="false" ht="15.75" hidden="false" customHeight="false" outlineLevel="0" collapsed="false">
      <c r="A9471" s="1" t="s">
        <v>1495</v>
      </c>
      <c r="B9471" s="1" t="n">
        <v>215.09</v>
      </c>
      <c r="C9471" s="1" t="n">
        <f aca="false">1/B9471</f>
        <v>0.00464921660700172</v>
      </c>
      <c r="D9471" s="1" t="n">
        <v>0.34834</v>
      </c>
      <c r="E9471" s="1" t="n">
        <f aca="false">LN(D9471)</f>
        <v>-1.0545762646785</v>
      </c>
    </row>
    <row r="9472" customFormat="false" ht="15.75" hidden="false" customHeight="false" outlineLevel="0" collapsed="false">
      <c r="A9472" s="1" t="s">
        <v>1495</v>
      </c>
      <c r="B9472" s="1" t="n">
        <v>215.91</v>
      </c>
      <c r="C9472" s="1" t="n">
        <f aca="false">1/B9472</f>
        <v>0.00463155944606549</v>
      </c>
      <c r="D9472" s="1" t="n">
        <v>0.34398</v>
      </c>
      <c r="E9472" s="1" t="n">
        <f aca="false">LN(D9472)</f>
        <v>-1.06717176283379</v>
      </c>
    </row>
    <row r="9473" customFormat="false" ht="15.75" hidden="false" customHeight="false" outlineLevel="0" collapsed="false">
      <c r="A9473" s="1" t="s">
        <v>1495</v>
      </c>
      <c r="B9473" s="1" t="n">
        <v>216.72</v>
      </c>
      <c r="C9473" s="1" t="n">
        <f aca="false">1/B9473</f>
        <v>0.00461424880029531</v>
      </c>
      <c r="D9473" s="1" t="n">
        <v>0.33971</v>
      </c>
      <c r="E9473" s="1" t="n">
        <f aca="false">LN(D9473)</f>
        <v>-1.0796629665097</v>
      </c>
    </row>
    <row r="9474" customFormat="false" ht="15.75" hidden="false" customHeight="false" outlineLevel="0" collapsed="false">
      <c r="A9474" s="1" t="s">
        <v>1495</v>
      </c>
      <c r="B9474" s="1" t="n">
        <v>217.54</v>
      </c>
      <c r="C9474" s="1" t="n">
        <f aca="false">1/B9474</f>
        <v>0.00459685575066654</v>
      </c>
      <c r="D9474" s="1" t="n">
        <v>0.3355</v>
      </c>
      <c r="E9474" s="1" t="n">
        <f aca="false">LN(D9474)</f>
        <v>-1.0921333225704</v>
      </c>
    </row>
    <row r="9475" customFormat="false" ht="15.75" hidden="false" customHeight="false" outlineLevel="0" collapsed="false">
      <c r="A9475" s="1" t="s">
        <v>1495</v>
      </c>
      <c r="B9475" s="1" t="n">
        <v>218.35</v>
      </c>
      <c r="C9475" s="1" t="n">
        <f aca="false">1/B9475</f>
        <v>0.00457980306846806</v>
      </c>
      <c r="D9475" s="1" t="n">
        <v>0.33138</v>
      </c>
      <c r="E9475" s="1" t="n">
        <f aca="false">LN(D9475)</f>
        <v>-1.10448952584099</v>
      </c>
    </row>
    <row r="9476" customFormat="false" ht="15.75" hidden="false" customHeight="false" outlineLevel="0" collapsed="false">
      <c r="A9476" s="1" t="s">
        <v>1495</v>
      </c>
      <c r="B9476" s="1" t="n">
        <v>219.16</v>
      </c>
      <c r="C9476" s="1" t="n">
        <f aca="false">1/B9476</f>
        <v>0.00456287643730608</v>
      </c>
      <c r="D9476" s="1" t="n">
        <v>0.32733</v>
      </c>
      <c r="E9476" s="1" t="n">
        <f aca="false">LN(D9476)</f>
        <v>-1.11678644264702</v>
      </c>
    </row>
    <row r="9477" customFormat="false" ht="15.75" hidden="false" customHeight="false" outlineLevel="0" collapsed="false">
      <c r="A9477" s="1" t="s">
        <v>1495</v>
      </c>
      <c r="B9477" s="1" t="n">
        <v>219.98</v>
      </c>
      <c r="C9477" s="1" t="n">
        <f aca="false">1/B9477</f>
        <v>0.0045458678061642</v>
      </c>
      <c r="D9477" s="1" t="n">
        <v>0.32335</v>
      </c>
      <c r="E9477" s="1" t="n">
        <f aca="false">LN(D9477)</f>
        <v>-1.12901995108954</v>
      </c>
    </row>
    <row r="9478" customFormat="false" ht="15.75" hidden="false" customHeight="false" outlineLevel="0" collapsed="false">
      <c r="A9478" s="1" t="s">
        <v>1495</v>
      </c>
      <c r="B9478" s="1" t="n">
        <v>220.79</v>
      </c>
      <c r="C9478" s="1" t="n">
        <f aca="false">1/B9478</f>
        <v>0.00452919063363377</v>
      </c>
      <c r="D9478" s="1" t="n">
        <v>0.31944</v>
      </c>
      <c r="E9478" s="1" t="n">
        <f aca="false">LN(D9478)</f>
        <v>-1.14118581622717</v>
      </c>
    </row>
    <row r="9479" customFormat="false" ht="15.75" hidden="false" customHeight="false" outlineLevel="0" collapsed="false">
      <c r="A9479" s="1" t="s">
        <v>1495</v>
      </c>
      <c r="B9479" s="1" t="n">
        <v>221.61</v>
      </c>
      <c r="C9479" s="1" t="n">
        <f aca="false">1/B9479</f>
        <v>0.00451243174946979</v>
      </c>
      <c r="D9479" s="1" t="n">
        <v>0.3156</v>
      </c>
      <c r="E9479" s="1" t="n">
        <f aca="false">LN(D9479)</f>
        <v>-1.15327969001042</v>
      </c>
    </row>
    <row r="9480" customFormat="false" ht="15.75" hidden="false" customHeight="false" outlineLevel="0" collapsed="false">
      <c r="A9480" s="1" t="s">
        <v>1495</v>
      </c>
      <c r="B9480" s="1" t="n">
        <v>222.42</v>
      </c>
      <c r="C9480" s="1" t="n">
        <f aca="false">1/B9480</f>
        <v>0.00449599856128046</v>
      </c>
      <c r="D9480" s="1" t="n">
        <v>0.31182</v>
      </c>
      <c r="E9480" s="1" t="n">
        <f aca="false">LN(D9480)</f>
        <v>-1.16532918073373</v>
      </c>
    </row>
    <row r="9481" customFormat="false" ht="15.75" hidden="false" customHeight="false" outlineLevel="0" collapsed="false">
      <c r="A9481" s="1" t="s">
        <v>1495</v>
      </c>
      <c r="B9481" s="1" t="n">
        <v>223.24</v>
      </c>
      <c r="C9481" s="1" t="n">
        <f aca="false">1/B9481</f>
        <v>0.00447948396344741</v>
      </c>
      <c r="D9481" s="1" t="n">
        <v>0.30811</v>
      </c>
      <c r="E9481" s="1" t="n">
        <f aca="false">LN(D9481)</f>
        <v>-1.17729841691175</v>
      </c>
    </row>
    <row r="9482" customFormat="false" ht="15.75" hidden="false" customHeight="false" outlineLevel="0" collapsed="false">
      <c r="A9482" s="1" t="s">
        <v>1495</v>
      </c>
      <c r="B9482" s="1" t="n">
        <v>224.05</v>
      </c>
      <c r="C9482" s="1" t="n">
        <f aca="false">1/B9482</f>
        <v>0.00446328944432046</v>
      </c>
      <c r="D9482" s="1" t="n">
        <v>0.30446</v>
      </c>
      <c r="E9482" s="1" t="n">
        <f aca="false">LN(D9482)</f>
        <v>-1.18921556335103</v>
      </c>
    </row>
    <row r="9483" customFormat="false" ht="15.75" hidden="false" customHeight="false" outlineLevel="0" collapsed="false">
      <c r="A9483" s="1" t="s">
        <v>1495</v>
      </c>
      <c r="B9483" s="1" t="n">
        <v>224.87</v>
      </c>
      <c r="C9483" s="1" t="n">
        <f aca="false">1/B9483</f>
        <v>0.00444701383021301</v>
      </c>
      <c r="D9483" s="1" t="n">
        <v>0.30088</v>
      </c>
      <c r="E9483" s="1" t="n">
        <f aca="false">LN(D9483)</f>
        <v>-1.20104376482006</v>
      </c>
    </row>
    <row r="9484" customFormat="false" ht="15.75" hidden="false" customHeight="false" outlineLevel="0" collapsed="false">
      <c r="A9484" s="1" t="s">
        <v>1495</v>
      </c>
      <c r="B9484" s="1" t="n">
        <v>225.63</v>
      </c>
      <c r="C9484" s="1" t="n">
        <f aca="false">1/B9484</f>
        <v>0.00443203474715242</v>
      </c>
      <c r="D9484" s="1" t="n">
        <v>0.29755</v>
      </c>
      <c r="E9484" s="1" t="n">
        <f aca="false">LN(D9484)</f>
        <v>-1.21217300089128</v>
      </c>
    </row>
    <row r="9485" customFormat="false" ht="15.75" hidden="false" customHeight="false" outlineLevel="0" collapsed="false">
      <c r="A9485" s="1" t="s">
        <v>1496</v>
      </c>
      <c r="B9485" s="1" t="n">
        <v>125.45</v>
      </c>
      <c r="C9485" s="1" t="n">
        <f aca="false">1/B9485</f>
        <v>0.00797130330809087</v>
      </c>
      <c r="D9485" s="1" t="n">
        <v>13.743</v>
      </c>
      <c r="E9485" s="1" t="n">
        <f aca="false">LN(D9485)</f>
        <v>2.62052960357271</v>
      </c>
    </row>
    <row r="9486" customFormat="false" ht="15.75" hidden="false" customHeight="false" outlineLevel="0" collapsed="false">
      <c r="A9486" s="1" t="s">
        <v>1496</v>
      </c>
      <c r="B9486" s="1" t="n">
        <v>125.97</v>
      </c>
      <c r="C9486" s="1" t="n">
        <f aca="false">1/B9486</f>
        <v>0.00793839803127729</v>
      </c>
      <c r="D9486" s="1" t="n">
        <v>13.258</v>
      </c>
      <c r="E9486" s="1" t="n">
        <f aca="false">LN(D9486)</f>
        <v>2.5846011438192</v>
      </c>
    </row>
    <row r="9487" customFormat="false" ht="15.75" hidden="false" customHeight="false" outlineLevel="0" collapsed="false">
      <c r="A9487" s="1" t="s">
        <v>1496</v>
      </c>
      <c r="B9487" s="1" t="n">
        <v>126.5</v>
      </c>
      <c r="C9487" s="1" t="n">
        <f aca="false">1/B9487</f>
        <v>0.00790513833992095</v>
      </c>
      <c r="D9487" s="1" t="n">
        <v>12.797</v>
      </c>
      <c r="E9487" s="1" t="n">
        <f aca="false">LN(D9487)</f>
        <v>2.54921076845546</v>
      </c>
    </row>
    <row r="9488" customFormat="false" ht="15.75" hidden="false" customHeight="false" outlineLevel="0" collapsed="false">
      <c r="A9488" s="1" t="s">
        <v>1496</v>
      </c>
      <c r="B9488" s="1" t="n">
        <v>127.02</v>
      </c>
      <c r="C9488" s="1" t="n">
        <f aca="false">1/B9488</f>
        <v>0.00787277594079673</v>
      </c>
      <c r="D9488" s="1" t="n">
        <v>12.358</v>
      </c>
      <c r="E9488" s="1" t="n">
        <f aca="false">LN(D9488)</f>
        <v>2.51430362663879</v>
      </c>
    </row>
    <row r="9489" customFormat="false" ht="15.75" hidden="false" customHeight="false" outlineLevel="0" collapsed="false">
      <c r="A9489" s="1" t="s">
        <v>1496</v>
      </c>
      <c r="B9489" s="1" t="n">
        <v>127.55</v>
      </c>
      <c r="C9489" s="1" t="n">
        <f aca="false">1/B9489</f>
        <v>0.00784006272050176</v>
      </c>
      <c r="D9489" s="1" t="n">
        <v>11.94</v>
      </c>
      <c r="E9489" s="1" t="n">
        <f aca="false">LN(D9489)</f>
        <v>2.47989410796446</v>
      </c>
    </row>
    <row r="9490" customFormat="false" ht="15.75" hidden="false" customHeight="false" outlineLevel="0" collapsed="false">
      <c r="A9490" s="1" t="s">
        <v>1496</v>
      </c>
      <c r="B9490" s="1" t="n">
        <v>128.07</v>
      </c>
      <c r="C9490" s="1" t="n">
        <f aca="false">1/B9490</f>
        <v>0.0078082298742875</v>
      </c>
      <c r="D9490" s="1" t="n">
        <v>11.541</v>
      </c>
      <c r="E9490" s="1" t="n">
        <f aca="false">LN(D9490)</f>
        <v>2.44590591243827</v>
      </c>
    </row>
    <row r="9491" customFormat="false" ht="15.75" hidden="false" customHeight="false" outlineLevel="0" collapsed="false">
      <c r="A9491" s="1" t="s">
        <v>1496</v>
      </c>
      <c r="B9491" s="1" t="n">
        <v>128.6</v>
      </c>
      <c r="C9491" s="1" t="n">
        <f aca="false">1/B9491</f>
        <v>0.00777604976671851</v>
      </c>
      <c r="D9491" s="1" t="n">
        <v>11.161</v>
      </c>
      <c r="E9491" s="1" t="n">
        <f aca="false">LN(D9491)</f>
        <v>2.41242555867358</v>
      </c>
    </row>
    <row r="9492" customFormat="false" ht="15.75" hidden="false" customHeight="false" outlineLevel="0" collapsed="false">
      <c r="A9492" s="1" t="s">
        <v>1496</v>
      </c>
      <c r="B9492" s="1" t="n">
        <v>129.12</v>
      </c>
      <c r="C9492" s="1" t="n">
        <f aca="false">1/B9492</f>
        <v>0.00774473358116481</v>
      </c>
      <c r="D9492" s="1" t="n">
        <v>10.798</v>
      </c>
      <c r="E9492" s="1" t="n">
        <f aca="false">LN(D9492)</f>
        <v>2.37936093179609</v>
      </c>
    </row>
    <row r="9493" customFormat="false" ht="15.75" hidden="false" customHeight="false" outlineLevel="0" collapsed="false">
      <c r="A9493" s="1" t="s">
        <v>1496</v>
      </c>
      <c r="B9493" s="1" t="n">
        <v>129.64</v>
      </c>
      <c r="C9493" s="1" t="n">
        <f aca="false">1/B9493</f>
        <v>0.00771366862079605</v>
      </c>
      <c r="D9493" s="1" t="n">
        <v>10.451</v>
      </c>
      <c r="E9493" s="1" t="n">
        <f aca="false">LN(D9493)</f>
        <v>2.34669766761237</v>
      </c>
    </row>
    <row r="9494" customFormat="false" ht="15.75" hidden="false" customHeight="false" outlineLevel="0" collapsed="false">
      <c r="A9494" s="1" t="s">
        <v>1496</v>
      </c>
      <c r="B9494" s="1" t="n">
        <v>130.17</v>
      </c>
      <c r="C9494" s="1" t="n">
        <f aca="false">1/B9494</f>
        <v>0.00768226165783207</v>
      </c>
      <c r="D9494" s="1" t="n">
        <v>10.12</v>
      </c>
      <c r="E9494" s="1" t="n">
        <f aca="false">LN(D9494)</f>
        <v>2.31451366385932</v>
      </c>
    </row>
    <row r="9495" customFormat="false" ht="15.75" hidden="false" customHeight="false" outlineLevel="0" collapsed="false">
      <c r="A9495" s="1" t="s">
        <v>1496</v>
      </c>
      <c r="B9495" s="1" t="n">
        <v>130.69</v>
      </c>
      <c r="C9495" s="1" t="n">
        <f aca="false">1/B9495</f>
        <v>0.00765169485040937</v>
      </c>
      <c r="D9495" s="1" t="n">
        <v>9.8028</v>
      </c>
      <c r="E9495" s="1" t="n">
        <f aca="false">LN(D9495)</f>
        <v>2.28266805915369</v>
      </c>
    </row>
    <row r="9496" customFormat="false" ht="15.75" hidden="false" customHeight="false" outlineLevel="0" collapsed="false">
      <c r="A9496" s="1" t="s">
        <v>1496</v>
      </c>
      <c r="B9496" s="1" t="n">
        <v>131.22</v>
      </c>
      <c r="C9496" s="1" t="n">
        <f aca="false">1/B9496</f>
        <v>0.00762078951379363</v>
      </c>
      <c r="D9496" s="1" t="n">
        <v>9.4995</v>
      </c>
      <c r="E9496" s="1" t="n">
        <f aca="false">LN(D9496)</f>
        <v>2.25123916564246</v>
      </c>
    </row>
    <row r="9497" customFormat="false" ht="15.75" hidden="false" customHeight="false" outlineLevel="0" collapsed="false">
      <c r="A9497" s="1" t="s">
        <v>1496</v>
      </c>
      <c r="B9497" s="1" t="n">
        <v>131.74</v>
      </c>
      <c r="C9497" s="1" t="n">
        <f aca="false">1/B9497</f>
        <v>0.00759070897221801</v>
      </c>
      <c r="D9497" s="1" t="n">
        <v>9.209</v>
      </c>
      <c r="E9497" s="1" t="n">
        <f aca="false">LN(D9497)</f>
        <v>2.22018126673923</v>
      </c>
    </row>
    <row r="9498" customFormat="false" ht="15.75" hidden="false" customHeight="false" outlineLevel="0" collapsed="false">
      <c r="A9498" s="1" t="s">
        <v>1496</v>
      </c>
      <c r="B9498" s="1" t="n">
        <v>132.27</v>
      </c>
      <c r="C9498" s="1" t="n">
        <f aca="false">1/B9498</f>
        <v>0.00756029333938157</v>
      </c>
      <c r="D9498" s="1" t="n">
        <v>8.9307</v>
      </c>
      <c r="E9498" s="1" t="n">
        <f aca="false">LN(D9498)</f>
        <v>2.18949477927428</v>
      </c>
    </row>
    <row r="9499" customFormat="false" ht="15.75" hidden="false" customHeight="false" outlineLevel="0" collapsed="false">
      <c r="A9499" s="1" t="s">
        <v>1496</v>
      </c>
      <c r="B9499" s="1" t="n">
        <v>132.79</v>
      </c>
      <c r="C9499" s="1" t="n">
        <f aca="false">1/B9499</f>
        <v>0.00753068755177348</v>
      </c>
      <c r="D9499" s="1" t="n">
        <v>8.664</v>
      </c>
      <c r="E9499" s="1" t="n">
        <f aca="false">LN(D9499)</f>
        <v>2.15917650969869</v>
      </c>
    </row>
    <row r="9500" customFormat="false" ht="15.75" hidden="false" customHeight="false" outlineLevel="0" collapsed="false">
      <c r="A9500" s="1" t="s">
        <v>1496</v>
      </c>
      <c r="B9500" s="1" t="n">
        <v>133.31</v>
      </c>
      <c r="C9500" s="1" t="n">
        <f aca="false">1/B9500</f>
        <v>0.0075013127297277</v>
      </c>
      <c r="D9500" s="1" t="n">
        <v>8.4083</v>
      </c>
      <c r="E9500" s="1" t="n">
        <f aca="false">LN(D9500)</f>
        <v>2.12921931324259</v>
      </c>
    </row>
    <row r="9501" customFormat="false" ht="15.75" hidden="false" customHeight="false" outlineLevel="0" collapsed="false">
      <c r="A9501" s="1" t="s">
        <v>1496</v>
      </c>
      <c r="B9501" s="1" t="n">
        <v>133.84</v>
      </c>
      <c r="C9501" s="1" t="n">
        <f aca="false">1/B9501</f>
        <v>0.00747160789001793</v>
      </c>
      <c r="D9501" s="1" t="n">
        <v>8.1629</v>
      </c>
      <c r="E9501" s="1" t="n">
        <f aca="false">LN(D9501)</f>
        <v>2.09959949799604</v>
      </c>
    </row>
    <row r="9502" customFormat="false" ht="15.75" hidden="false" customHeight="false" outlineLevel="0" collapsed="false">
      <c r="A9502" s="1" t="s">
        <v>1496</v>
      </c>
      <c r="B9502" s="1" t="n">
        <v>134.36</v>
      </c>
      <c r="C9502" s="1" t="n">
        <f aca="false">1/B9502</f>
        <v>0.00744269127716582</v>
      </c>
      <c r="D9502" s="1" t="n">
        <v>7.9274</v>
      </c>
      <c r="E9502" s="1" t="n">
        <f aca="false">LN(D9502)</f>
        <v>2.07032511303355</v>
      </c>
    </row>
    <row r="9503" customFormat="false" ht="15.75" hidden="false" customHeight="false" outlineLevel="0" collapsed="false">
      <c r="A9503" s="1" t="s">
        <v>1496</v>
      </c>
      <c r="B9503" s="1" t="n">
        <v>134.89</v>
      </c>
      <c r="C9503" s="1" t="n">
        <f aca="false">1/B9503</f>
        <v>0.00741344799466232</v>
      </c>
      <c r="D9503" s="1" t="n">
        <v>7.7012</v>
      </c>
      <c r="E9503" s="1" t="n">
        <f aca="false">LN(D9503)</f>
        <v>2.04137616087304</v>
      </c>
    </row>
    <row r="9504" customFormat="false" ht="15.75" hidden="false" customHeight="false" outlineLevel="0" collapsed="false">
      <c r="A9504" s="1" t="s">
        <v>1496</v>
      </c>
      <c r="B9504" s="1" t="n">
        <v>135.41</v>
      </c>
      <c r="C9504" s="1" t="n">
        <f aca="false">1/B9504</f>
        <v>0.00738497895280999</v>
      </c>
      <c r="D9504" s="1" t="n">
        <v>7.4838</v>
      </c>
      <c r="E9504" s="1" t="n">
        <f aca="false">LN(D9504)</f>
        <v>2.01274068437758</v>
      </c>
    </row>
    <row r="9505" customFormat="false" ht="15.75" hidden="false" customHeight="false" outlineLevel="0" collapsed="false">
      <c r="A9505" s="1" t="s">
        <v>1496</v>
      </c>
      <c r="B9505" s="1" t="n">
        <v>135.93</v>
      </c>
      <c r="C9505" s="1" t="n">
        <f aca="false">1/B9505</f>
        <v>0.0073567277275068</v>
      </c>
      <c r="D9505" s="1" t="n">
        <v>7.2749</v>
      </c>
      <c r="E9505" s="1" t="n">
        <f aca="false">LN(D9505)</f>
        <v>1.98443006725862</v>
      </c>
    </row>
    <row r="9506" customFormat="false" ht="15.75" hidden="false" customHeight="false" outlineLevel="0" collapsed="false">
      <c r="A9506" s="1" t="s">
        <v>1496</v>
      </c>
      <c r="B9506" s="1" t="n">
        <v>136.46</v>
      </c>
      <c r="C9506" s="1" t="n">
        <f aca="false">1/B9506</f>
        <v>0.00732815477062876</v>
      </c>
      <c r="D9506" s="1" t="n">
        <v>7.0741</v>
      </c>
      <c r="E9506" s="1" t="n">
        <f aca="false">LN(D9506)</f>
        <v>1.95644022695705</v>
      </c>
    </row>
    <row r="9507" customFormat="false" ht="15.75" hidden="false" customHeight="false" outlineLevel="0" collapsed="false">
      <c r="A9507" s="1" t="s">
        <v>1496</v>
      </c>
      <c r="B9507" s="1" t="n">
        <v>136.98</v>
      </c>
      <c r="C9507" s="1" t="n">
        <f aca="false">1/B9507</f>
        <v>0.00730033581544751</v>
      </c>
      <c r="D9507" s="1" t="n">
        <v>6.8808</v>
      </c>
      <c r="E9507" s="1" t="n">
        <f aca="false">LN(D9507)</f>
        <v>1.92873492425513</v>
      </c>
    </row>
    <row r="9508" customFormat="false" ht="15.75" hidden="false" customHeight="false" outlineLevel="0" collapsed="false">
      <c r="A9508" s="1" t="s">
        <v>1496</v>
      </c>
      <c r="B9508" s="1" t="n">
        <v>137.51</v>
      </c>
      <c r="C9508" s="1" t="n">
        <f aca="false">1/B9508</f>
        <v>0.00727219838557196</v>
      </c>
      <c r="D9508" s="1" t="n">
        <v>6.6949</v>
      </c>
      <c r="E9508" s="1" t="n">
        <f aca="false">LN(D9508)</f>
        <v>1.90134604251179</v>
      </c>
    </row>
    <row r="9509" customFormat="false" ht="15.75" hidden="false" customHeight="false" outlineLevel="0" collapsed="false">
      <c r="A9509" s="1" t="s">
        <v>1496</v>
      </c>
      <c r="B9509" s="1" t="n">
        <v>138.03</v>
      </c>
      <c r="C9509" s="1" t="n">
        <f aca="false">1/B9509</f>
        <v>0.00724480185466928</v>
      </c>
      <c r="D9509" s="1" t="n">
        <v>6.5158</v>
      </c>
      <c r="E9509" s="1" t="n">
        <f aca="false">LN(D9509)</f>
        <v>1.87422999659164</v>
      </c>
    </row>
    <row r="9510" customFormat="false" ht="15.75" hidden="false" customHeight="false" outlineLevel="0" collapsed="false">
      <c r="A9510" s="1" t="s">
        <v>1496</v>
      </c>
      <c r="B9510" s="1" t="n">
        <v>138.56</v>
      </c>
      <c r="C9510" s="1" t="n">
        <f aca="false">1/B9510</f>
        <v>0.00721709006928406</v>
      </c>
      <c r="D9510" s="1" t="n">
        <v>6.3433</v>
      </c>
      <c r="E9510" s="1" t="n">
        <f aca="false">LN(D9510)</f>
        <v>1.8473991377654</v>
      </c>
    </row>
    <row r="9511" customFormat="false" ht="15.75" hidden="false" customHeight="false" outlineLevel="0" collapsed="false">
      <c r="A9511" s="1" t="s">
        <v>1496</v>
      </c>
      <c r="B9511" s="1" t="n">
        <v>139.08</v>
      </c>
      <c r="C9511" s="1" t="n">
        <f aca="false">1/B9511</f>
        <v>0.00719010641357492</v>
      </c>
      <c r="D9511" s="1" t="n">
        <v>6.1772</v>
      </c>
      <c r="E9511" s="1" t="n">
        <f aca="false">LN(D9511)</f>
        <v>1.82086509436671</v>
      </c>
    </row>
    <row r="9512" customFormat="false" ht="15.75" hidden="false" customHeight="false" outlineLevel="0" collapsed="false">
      <c r="A9512" s="1" t="s">
        <v>1496</v>
      </c>
      <c r="B9512" s="1" t="n">
        <v>139.6</v>
      </c>
      <c r="C9512" s="1" t="n">
        <f aca="false">1/B9512</f>
        <v>0.00716332378223496</v>
      </c>
      <c r="D9512" s="1" t="n">
        <v>6.017</v>
      </c>
      <c r="E9512" s="1" t="n">
        <f aca="false">LN(D9512)</f>
        <v>1.79458879623821</v>
      </c>
    </row>
    <row r="9513" customFormat="false" ht="15.75" hidden="false" customHeight="false" outlineLevel="0" collapsed="false">
      <c r="A9513" s="1" t="s">
        <v>1496</v>
      </c>
      <c r="B9513" s="1" t="n">
        <v>140.13</v>
      </c>
      <c r="C9513" s="1" t="n">
        <f aca="false">1/B9513</f>
        <v>0.00713623064297438</v>
      </c>
      <c r="D9513" s="1" t="n">
        <v>5.8626</v>
      </c>
      <c r="E9513" s="1" t="n">
        <f aca="false">LN(D9513)</f>
        <v>1.76859319119622</v>
      </c>
    </row>
    <row r="9514" customFormat="false" ht="15.75" hidden="false" customHeight="false" outlineLevel="0" collapsed="false">
      <c r="A9514" s="1" t="s">
        <v>1496</v>
      </c>
      <c r="B9514" s="1" t="n">
        <v>140.65</v>
      </c>
      <c r="C9514" s="1" t="n">
        <f aca="false">1/B9514</f>
        <v>0.00710984713828653</v>
      </c>
      <c r="D9514" s="1" t="n">
        <v>5.7136</v>
      </c>
      <c r="E9514" s="1" t="n">
        <f aca="false">LN(D9514)</f>
        <v>1.74284929785805</v>
      </c>
    </row>
    <row r="9515" customFormat="false" ht="15.75" hidden="false" customHeight="false" outlineLevel="0" collapsed="false">
      <c r="A9515" s="1" t="s">
        <v>1496</v>
      </c>
      <c r="B9515" s="1" t="n">
        <v>141.18</v>
      </c>
      <c r="C9515" s="1" t="n">
        <f aca="false">1/B9515</f>
        <v>0.00708315625442697</v>
      </c>
      <c r="D9515" s="1" t="n">
        <v>5.5699</v>
      </c>
      <c r="E9515" s="1" t="n">
        <f aca="false">LN(D9515)</f>
        <v>1.71737710045667</v>
      </c>
    </row>
    <row r="9516" customFormat="false" ht="15.75" hidden="false" customHeight="false" outlineLevel="0" collapsed="false">
      <c r="A9516" s="1" t="s">
        <v>1496</v>
      </c>
      <c r="B9516" s="1" t="n">
        <v>141.7</v>
      </c>
      <c r="C9516" s="1" t="n">
        <f aca="false">1/B9516</f>
        <v>0.00705716302046577</v>
      </c>
      <c r="D9516" s="1" t="n">
        <v>5.4311</v>
      </c>
      <c r="E9516" s="1" t="n">
        <f aca="false">LN(D9516)</f>
        <v>1.69214169169851</v>
      </c>
    </row>
    <row r="9517" customFormat="false" ht="15.75" hidden="false" customHeight="false" outlineLevel="0" collapsed="false">
      <c r="A9517" s="1" t="s">
        <v>1496</v>
      </c>
      <c r="B9517" s="1" t="n">
        <v>142.23</v>
      </c>
      <c r="C9517" s="1" t="n">
        <f aca="false">1/B9517</f>
        <v>0.00703086549954299</v>
      </c>
      <c r="D9517" s="1" t="n">
        <v>5.2972</v>
      </c>
      <c r="E9517" s="1" t="n">
        <f aca="false">LN(D9517)</f>
        <v>1.66717837907067</v>
      </c>
    </row>
    <row r="9518" customFormat="false" ht="15.75" hidden="false" customHeight="false" outlineLevel="0" collapsed="false">
      <c r="A9518" s="1" t="s">
        <v>1496</v>
      </c>
      <c r="B9518" s="1" t="n">
        <v>142.75</v>
      </c>
      <c r="C9518" s="1" t="n">
        <f aca="false">1/B9518</f>
        <v>0.00700525394045534</v>
      </c>
      <c r="D9518" s="1" t="n">
        <v>5.1678</v>
      </c>
      <c r="E9518" s="1" t="n">
        <f aca="false">LN(D9518)</f>
        <v>1.64244706604105</v>
      </c>
    </row>
    <row r="9519" customFormat="false" ht="15.75" hidden="false" customHeight="false" outlineLevel="0" collapsed="false">
      <c r="A9519" s="1" t="s">
        <v>1496</v>
      </c>
      <c r="B9519" s="1" t="n">
        <v>143.27</v>
      </c>
      <c r="C9519" s="1" t="n">
        <f aca="false">1/B9519</f>
        <v>0.00697982829622391</v>
      </c>
      <c r="D9519" s="1" t="n">
        <v>5.0428</v>
      </c>
      <c r="E9519" s="1" t="n">
        <f aca="false">LN(D9519)</f>
        <v>1.61796148337498</v>
      </c>
    </row>
    <row r="9520" customFormat="false" ht="15.75" hidden="false" customHeight="false" outlineLevel="0" collapsed="false">
      <c r="A9520" s="1" t="s">
        <v>1496</v>
      </c>
      <c r="B9520" s="1" t="n">
        <v>143.8</v>
      </c>
      <c r="C9520" s="1" t="n">
        <f aca="false">1/B9520</f>
        <v>0.00695410292072323</v>
      </c>
      <c r="D9520" s="1" t="n">
        <v>4.922</v>
      </c>
      <c r="E9520" s="1" t="n">
        <f aca="false">LN(D9520)</f>
        <v>1.59371495196886</v>
      </c>
    </row>
    <row r="9521" customFormat="false" ht="15.75" hidden="false" customHeight="false" outlineLevel="0" collapsed="false">
      <c r="A9521" s="1" t="s">
        <v>1496</v>
      </c>
      <c r="B9521" s="1" t="n">
        <v>144.32</v>
      </c>
      <c r="C9521" s="1" t="n">
        <f aca="false">1/B9521</f>
        <v>0.00692904656319291</v>
      </c>
      <c r="D9521" s="1" t="n">
        <v>4.8051</v>
      </c>
      <c r="E9521" s="1" t="n">
        <f aca="false">LN(D9521)</f>
        <v>1.56967785386022</v>
      </c>
    </row>
    <row r="9522" customFormat="false" ht="15.75" hidden="false" customHeight="false" outlineLevel="0" collapsed="false">
      <c r="A9522" s="1" t="s">
        <v>1496</v>
      </c>
      <c r="B9522" s="1" t="n">
        <v>144.85</v>
      </c>
      <c r="C9522" s="1" t="n">
        <f aca="false">1/B9522</f>
        <v>0.00690369347600967</v>
      </c>
      <c r="D9522" s="1" t="n">
        <v>4.6922</v>
      </c>
      <c r="E9522" s="1" t="n">
        <f aca="false">LN(D9522)</f>
        <v>1.54590155562873</v>
      </c>
    </row>
    <row r="9523" customFormat="false" ht="15.75" hidden="false" customHeight="false" outlineLevel="0" collapsed="false">
      <c r="A9523" s="1" t="s">
        <v>1496</v>
      </c>
      <c r="B9523" s="1" t="n">
        <v>145.37</v>
      </c>
      <c r="C9523" s="1" t="n">
        <f aca="false">1/B9523</f>
        <v>0.00687899841783036</v>
      </c>
      <c r="D9523" s="1" t="n">
        <v>4.5829</v>
      </c>
      <c r="E9523" s="1" t="n">
        <f aca="false">LN(D9523)</f>
        <v>1.52233198552022</v>
      </c>
    </row>
    <row r="9524" customFormat="false" ht="15.75" hidden="false" customHeight="false" outlineLevel="0" collapsed="false">
      <c r="A9524" s="1" t="s">
        <v>1496</v>
      </c>
      <c r="B9524" s="1" t="n">
        <v>145.9</v>
      </c>
      <c r="C9524" s="1" t="n">
        <f aca="false">1/B9524</f>
        <v>0.00685400959561343</v>
      </c>
      <c r="D9524" s="1" t="n">
        <v>4.4772</v>
      </c>
      <c r="E9524" s="1" t="n">
        <f aca="false">LN(D9524)</f>
        <v>1.49899785103298</v>
      </c>
    </row>
    <row r="9525" customFormat="false" ht="15.75" hidden="false" customHeight="false" outlineLevel="0" collapsed="false">
      <c r="A9525" s="1" t="s">
        <v>1496</v>
      </c>
      <c r="B9525" s="1" t="n">
        <v>146.42</v>
      </c>
      <c r="C9525" s="1" t="n">
        <f aca="false">1/B9525</f>
        <v>0.0068296680781314</v>
      </c>
      <c r="D9525" s="1" t="n">
        <v>4.3748</v>
      </c>
      <c r="E9525" s="1" t="n">
        <f aca="false">LN(D9525)</f>
        <v>1.47586080447893</v>
      </c>
    </row>
    <row r="9526" customFormat="false" ht="15.75" hidden="false" customHeight="false" outlineLevel="0" collapsed="false">
      <c r="A9526" s="1" t="s">
        <v>1496</v>
      </c>
      <c r="B9526" s="1" t="n">
        <v>146.94</v>
      </c>
      <c r="C9526" s="1" t="n">
        <f aca="false">1/B9526</f>
        <v>0.0068054988430652</v>
      </c>
      <c r="D9526" s="1" t="n">
        <v>4.2757</v>
      </c>
      <c r="E9526" s="1" t="n">
        <f aca="false">LN(D9526)</f>
        <v>1.45294783167441</v>
      </c>
    </row>
    <row r="9527" customFormat="false" ht="15.75" hidden="false" customHeight="false" outlineLevel="0" collapsed="false">
      <c r="A9527" s="1" t="s">
        <v>1496</v>
      </c>
      <c r="B9527" s="1" t="n">
        <v>147.47</v>
      </c>
      <c r="C9527" s="1" t="n">
        <f aca="false">1/B9527</f>
        <v>0.00678104021156846</v>
      </c>
      <c r="D9527" s="1" t="n">
        <v>4.1798</v>
      </c>
      <c r="E9527" s="1" t="n">
        <f aca="false">LN(D9527)</f>
        <v>1.43026339850201</v>
      </c>
    </row>
    <row r="9528" customFormat="false" ht="15.75" hidden="false" customHeight="false" outlineLevel="0" collapsed="false">
      <c r="A9528" s="1" t="s">
        <v>1496</v>
      </c>
      <c r="B9528" s="1" t="n">
        <v>147.99</v>
      </c>
      <c r="C9528" s="1" t="n">
        <f aca="false">1/B9528</f>
        <v>0.00675721332522468</v>
      </c>
      <c r="D9528" s="1" t="n">
        <v>4.0868</v>
      </c>
      <c r="E9528" s="1" t="n">
        <f aca="false">LN(D9528)</f>
        <v>1.40776226773513</v>
      </c>
    </row>
    <row r="9529" customFormat="false" ht="15.75" hidden="false" customHeight="false" outlineLevel="0" collapsed="false">
      <c r="A9529" s="1" t="s">
        <v>1496</v>
      </c>
      <c r="B9529" s="1" t="n">
        <v>148.52</v>
      </c>
      <c r="C9529" s="1" t="n">
        <f aca="false">1/B9529</f>
        <v>0.0067330999192028</v>
      </c>
      <c r="D9529" s="1" t="n">
        <v>3.9967</v>
      </c>
      <c r="E9529" s="1" t="n">
        <f aca="false">LN(D9529)</f>
        <v>1.3854690206201</v>
      </c>
    </row>
    <row r="9530" customFormat="false" ht="15.75" hidden="false" customHeight="false" outlineLevel="0" collapsed="false">
      <c r="A9530" s="1" t="s">
        <v>1496</v>
      </c>
      <c r="B9530" s="1" t="n">
        <v>149.04</v>
      </c>
      <c r="C9530" s="1" t="n">
        <f aca="false">1/B9530</f>
        <v>0.00670960815888352</v>
      </c>
      <c r="D9530" s="1" t="n">
        <v>3.9094</v>
      </c>
      <c r="E9530" s="1" t="n">
        <f aca="false">LN(D9530)</f>
        <v>1.36338390953678</v>
      </c>
    </row>
    <row r="9531" customFormat="false" ht="15.75" hidden="false" customHeight="false" outlineLevel="0" collapsed="false">
      <c r="A9531" s="1" t="s">
        <v>1496</v>
      </c>
      <c r="B9531" s="1" t="n">
        <v>149.57</v>
      </c>
      <c r="C9531" s="1" t="n">
        <f aca="false">1/B9531</f>
        <v>0.00668583272046533</v>
      </c>
      <c r="D9531" s="1" t="n">
        <v>3.8248</v>
      </c>
      <c r="E9531" s="1" t="n">
        <f aca="false">LN(D9531)</f>
        <v>1.34150617832976</v>
      </c>
    </row>
    <row r="9532" customFormat="false" ht="15.75" hidden="false" customHeight="false" outlineLevel="0" collapsed="false">
      <c r="A9532" s="1" t="s">
        <v>1496</v>
      </c>
      <c r="B9532" s="1" t="n">
        <v>150.09</v>
      </c>
      <c r="C9532" s="1" t="n">
        <f aca="false">1/B9532</f>
        <v>0.00666266906522753</v>
      </c>
      <c r="D9532" s="1" t="n">
        <v>3.7427</v>
      </c>
      <c r="E9532" s="1" t="n">
        <f aca="false">LN(D9532)</f>
        <v>1.31980727609753</v>
      </c>
    </row>
    <row r="9533" customFormat="false" ht="15.75" hidden="false" customHeight="false" outlineLevel="0" collapsed="false">
      <c r="A9533" s="1" t="s">
        <v>1496</v>
      </c>
      <c r="B9533" s="1" t="n">
        <v>150.61</v>
      </c>
      <c r="C9533" s="1" t="n">
        <f aca="false">1/B9533</f>
        <v>0.00663966536086581</v>
      </c>
      <c r="D9533" s="1" t="n">
        <v>3.6631</v>
      </c>
      <c r="E9533" s="1" t="n">
        <f aca="false">LN(D9533)</f>
        <v>1.29830978345134</v>
      </c>
    </row>
    <row r="9534" customFormat="false" ht="15.75" hidden="false" customHeight="false" outlineLevel="0" collapsed="false">
      <c r="A9534" s="1" t="s">
        <v>1496</v>
      </c>
      <c r="B9534" s="1" t="n">
        <v>151.14</v>
      </c>
      <c r="C9534" s="1" t="n">
        <f aca="false">1/B9534</f>
        <v>0.00661638216223369</v>
      </c>
      <c r="D9534" s="1" t="n">
        <v>3.5859</v>
      </c>
      <c r="E9534" s="1" t="n">
        <f aca="false">LN(D9534)</f>
        <v>1.27700948856991</v>
      </c>
    </row>
    <row r="9535" customFormat="false" ht="15.75" hidden="false" customHeight="false" outlineLevel="0" collapsed="false">
      <c r="A9535" s="1" t="s">
        <v>1496</v>
      </c>
      <c r="B9535" s="1" t="n">
        <v>151.66</v>
      </c>
      <c r="C9535" s="1" t="n">
        <f aca="false">1/B9535</f>
        <v>0.00659369642621654</v>
      </c>
      <c r="D9535" s="1" t="n">
        <v>3.5109</v>
      </c>
      <c r="E9535" s="1" t="n">
        <f aca="false">LN(D9535)</f>
        <v>1.25587241486669</v>
      </c>
    </row>
    <row r="9536" customFormat="false" ht="15.75" hidden="false" customHeight="false" outlineLevel="0" collapsed="false">
      <c r="A9536" s="1" t="s">
        <v>1496</v>
      </c>
      <c r="B9536" s="1" t="n">
        <v>152.19</v>
      </c>
      <c r="C9536" s="1" t="n">
        <f aca="false">1/B9536</f>
        <v>0.00657073395098232</v>
      </c>
      <c r="D9536" s="1" t="n">
        <v>3.4382</v>
      </c>
      <c r="E9536" s="1" t="n">
        <f aca="false">LN(D9536)</f>
        <v>1.23494807862526</v>
      </c>
    </row>
    <row r="9537" customFormat="false" ht="15.75" hidden="false" customHeight="false" outlineLevel="0" collapsed="false">
      <c r="A9537" s="1" t="s">
        <v>1496</v>
      </c>
      <c r="B9537" s="1" t="n">
        <v>152.71</v>
      </c>
      <c r="C9537" s="1" t="n">
        <f aca="false">1/B9537</f>
        <v>0.0065483596359112</v>
      </c>
      <c r="D9537" s="1" t="n">
        <v>3.3676</v>
      </c>
      <c r="E9537" s="1" t="n">
        <f aca="false">LN(D9537)</f>
        <v>1.21420032448137</v>
      </c>
    </row>
    <row r="9538" customFormat="false" ht="15.75" hidden="false" customHeight="false" outlineLevel="0" collapsed="false">
      <c r="A9538" s="1" t="s">
        <v>1496</v>
      </c>
      <c r="B9538" s="1" t="n">
        <v>153.24</v>
      </c>
      <c r="C9538" s="1" t="n">
        <f aca="false">1/B9538</f>
        <v>0.00652571130253198</v>
      </c>
      <c r="D9538" s="1" t="n">
        <v>3.299</v>
      </c>
      <c r="E9538" s="1" t="n">
        <f aca="false">LN(D9538)</f>
        <v>1.19361939224644</v>
      </c>
    </row>
    <row r="9539" customFormat="false" ht="15.75" hidden="false" customHeight="false" outlineLevel="0" collapsed="false">
      <c r="A9539" s="1" t="s">
        <v>1496</v>
      </c>
      <c r="B9539" s="1" t="n">
        <v>153.76</v>
      </c>
      <c r="C9539" s="1" t="n">
        <f aca="false">1/B9539</f>
        <v>0.00650364203954214</v>
      </c>
      <c r="D9539" s="1" t="n">
        <v>3.2323</v>
      </c>
      <c r="E9539" s="1" t="n">
        <f aca="false">LN(D9539)</f>
        <v>1.17319395813335</v>
      </c>
    </row>
    <row r="9540" customFormat="false" ht="15.75" hidden="false" customHeight="false" outlineLevel="0" collapsed="false">
      <c r="A9540" s="1" t="s">
        <v>1496</v>
      </c>
      <c r="B9540" s="1" t="n">
        <v>154.28</v>
      </c>
      <c r="C9540" s="1" t="n">
        <f aca="false">1/B9540</f>
        <v>0.00648172154524242</v>
      </c>
      <c r="D9540" s="1" t="n">
        <v>3.1676</v>
      </c>
      <c r="E9540" s="1" t="n">
        <f aca="false">LN(D9540)</f>
        <v>1.15297420335412</v>
      </c>
    </row>
    <row r="9541" customFormat="false" ht="15.75" hidden="false" customHeight="false" outlineLevel="0" collapsed="false">
      <c r="A9541" s="1" t="s">
        <v>1496</v>
      </c>
      <c r="B9541" s="1" t="n">
        <v>154.81</v>
      </c>
      <c r="C9541" s="1" t="n">
        <f aca="false">1/B9541</f>
        <v>0.00645953103804664</v>
      </c>
      <c r="D9541" s="1" t="n">
        <v>3.1047</v>
      </c>
      <c r="E9541" s="1" t="n">
        <f aca="false">LN(D9541)</f>
        <v>1.1329170923601</v>
      </c>
    </row>
    <row r="9542" customFormat="false" ht="15.75" hidden="false" customHeight="false" outlineLevel="0" collapsed="false">
      <c r="A9542" s="1" t="s">
        <v>1496</v>
      </c>
      <c r="B9542" s="1" t="n">
        <v>155.33</v>
      </c>
      <c r="C9542" s="1" t="n">
        <f aca="false">1/B9542</f>
        <v>0.00643790639284105</v>
      </c>
      <c r="D9542" s="1" t="n">
        <v>3.0436</v>
      </c>
      <c r="E9542" s="1" t="n">
        <f aca="false">LN(D9542)</f>
        <v>1.11304102532023</v>
      </c>
    </row>
    <row r="9543" customFormat="false" ht="15.75" hidden="false" customHeight="false" outlineLevel="0" collapsed="false">
      <c r="A9543" s="1" t="s">
        <v>1496</v>
      </c>
      <c r="B9543" s="1" t="n">
        <v>155.86</v>
      </c>
      <c r="C9543" s="1" t="n">
        <f aca="false">1/B9543</f>
        <v>0.00641601437187219</v>
      </c>
      <c r="D9543" s="1" t="n">
        <v>2.9841</v>
      </c>
      <c r="E9543" s="1" t="n">
        <f aca="false">LN(D9543)</f>
        <v>1.09329819384434</v>
      </c>
    </row>
    <row r="9544" customFormat="false" ht="15.75" hidden="false" customHeight="false" outlineLevel="0" collapsed="false">
      <c r="A9544" s="1" t="s">
        <v>1496</v>
      </c>
      <c r="B9544" s="1" t="n">
        <v>156.38</v>
      </c>
      <c r="C9544" s="1" t="n">
        <f aca="false">1/B9544</f>
        <v>0.00639467962655071</v>
      </c>
      <c r="D9544" s="1" t="n">
        <v>2.9263</v>
      </c>
      <c r="E9544" s="1" t="n">
        <f aca="false">LN(D9544)</f>
        <v>1.07373882639209</v>
      </c>
    </row>
    <row r="9545" customFormat="false" ht="15.75" hidden="false" customHeight="false" outlineLevel="0" collapsed="false">
      <c r="A9545" s="1" t="s">
        <v>1496</v>
      </c>
      <c r="B9545" s="1" t="n">
        <v>156.9</v>
      </c>
      <c r="C9545" s="1" t="n">
        <f aca="false">1/B9545</f>
        <v>0.00637348629700446</v>
      </c>
      <c r="D9545" s="1" t="n">
        <v>2.8701</v>
      </c>
      <c r="E9545" s="1" t="n">
        <f aca="false">LN(D9545)</f>
        <v>1.05434687237009</v>
      </c>
    </row>
    <row r="9546" customFormat="false" ht="15.75" hidden="false" customHeight="false" outlineLevel="0" collapsed="false">
      <c r="A9546" s="1" t="s">
        <v>1496</v>
      </c>
      <c r="B9546" s="1" t="n">
        <v>157.43</v>
      </c>
      <c r="C9546" s="1" t="n">
        <f aca="false">1/B9546</f>
        <v>0.00635202947341676</v>
      </c>
      <c r="D9546" s="1" t="n">
        <v>2.8154</v>
      </c>
      <c r="E9546" s="1" t="n">
        <f aca="false">LN(D9546)</f>
        <v>1.03510434741173</v>
      </c>
    </row>
    <row r="9547" customFormat="false" ht="15.75" hidden="false" customHeight="false" outlineLevel="0" collapsed="false">
      <c r="A9547" s="1" t="s">
        <v>1496</v>
      </c>
      <c r="B9547" s="1" t="n">
        <v>157.95</v>
      </c>
      <c r="C9547" s="1" t="n">
        <f aca="false">1/B9547</f>
        <v>0.00633111744222855</v>
      </c>
      <c r="D9547" s="1" t="n">
        <v>2.7622</v>
      </c>
      <c r="E9547" s="1" t="n">
        <f aca="false">LN(D9547)</f>
        <v>1.01602746366169</v>
      </c>
    </row>
    <row r="9548" customFormat="false" ht="15.75" hidden="false" customHeight="false" outlineLevel="0" collapsed="false">
      <c r="A9548" s="1" t="s">
        <v>1496</v>
      </c>
      <c r="B9548" s="1" t="n">
        <v>158.48</v>
      </c>
      <c r="C9548" s="1" t="n">
        <f aca="false">1/B9548</f>
        <v>0.00630994447248864</v>
      </c>
      <c r="D9548" s="1" t="n">
        <v>2.7104</v>
      </c>
      <c r="E9548" s="1" t="n">
        <f aca="false">LN(D9548)</f>
        <v>0.997096225475598</v>
      </c>
    </row>
    <row r="9549" customFormat="false" ht="15.75" hidden="false" customHeight="false" outlineLevel="0" collapsed="false">
      <c r="A9549" s="1" t="s">
        <v>1496</v>
      </c>
      <c r="B9549" s="1" t="n">
        <v>159</v>
      </c>
      <c r="C9549" s="1" t="n">
        <f aca="false">1/B9549</f>
        <v>0.00628930817610063</v>
      </c>
      <c r="D9549" s="1" t="n">
        <v>2.66</v>
      </c>
      <c r="E9549" s="1" t="n">
        <f aca="false">LN(D9549)</f>
        <v>0.978326122793608</v>
      </c>
    </row>
    <row r="9550" customFormat="false" ht="15.75" hidden="false" customHeight="false" outlineLevel="0" collapsed="false">
      <c r="A9550" s="1" t="s">
        <v>1496</v>
      </c>
      <c r="B9550" s="1" t="n">
        <v>159.53</v>
      </c>
      <c r="C9550" s="1" t="n">
        <f aca="false">1/B9550</f>
        <v>0.00626841346455212</v>
      </c>
      <c r="D9550" s="1" t="n">
        <v>2.611</v>
      </c>
      <c r="E9550" s="1" t="n">
        <f aca="false">LN(D9550)</f>
        <v>0.959733289716992</v>
      </c>
    </row>
    <row r="9551" customFormat="false" ht="15.75" hidden="false" customHeight="false" outlineLevel="0" collapsed="false">
      <c r="A9551" s="1" t="s">
        <v>1496</v>
      </c>
      <c r="B9551" s="1" t="n">
        <v>160.05</v>
      </c>
      <c r="C9551" s="1" t="n">
        <f aca="false">1/B9551</f>
        <v>0.00624804748516089</v>
      </c>
      <c r="D9551" s="1" t="n">
        <v>2.5632</v>
      </c>
      <c r="E9551" s="1" t="n">
        <f aca="false">LN(D9551)</f>
        <v>0.941256477891903</v>
      </c>
    </row>
    <row r="9552" customFormat="false" ht="15.75" hidden="false" customHeight="false" outlineLevel="0" collapsed="false">
      <c r="A9552" s="1" t="s">
        <v>1496</v>
      </c>
      <c r="B9552" s="1" t="n">
        <v>160.57</v>
      </c>
      <c r="C9552" s="1" t="n">
        <f aca="false">1/B9552</f>
        <v>0.0062278134147101</v>
      </c>
      <c r="D9552" s="1" t="n">
        <v>2.5166</v>
      </c>
      <c r="E9552" s="1" t="n">
        <f aca="false">LN(D9552)</f>
        <v>0.92290878417573</v>
      </c>
    </row>
    <row r="9553" customFormat="false" ht="15.75" hidden="false" customHeight="false" outlineLevel="0" collapsed="false">
      <c r="A9553" s="1" t="s">
        <v>1496</v>
      </c>
      <c r="B9553" s="1" t="n">
        <v>161.1</v>
      </c>
      <c r="C9553" s="1" t="n">
        <f aca="false">1/B9553</f>
        <v>0.00620732464307883</v>
      </c>
      <c r="D9553" s="1" t="n">
        <v>2.4713</v>
      </c>
      <c r="E9553" s="1" t="n">
        <f aca="false">LN(D9553)</f>
        <v>0.904744327973783</v>
      </c>
    </row>
    <row r="9554" customFormat="false" ht="15.75" hidden="false" customHeight="false" outlineLevel="0" collapsed="false">
      <c r="A9554" s="1" t="s">
        <v>1496</v>
      </c>
      <c r="B9554" s="1" t="n">
        <v>161.62</v>
      </c>
      <c r="C9554" s="1" t="n">
        <f aca="false">1/B9554</f>
        <v>0.00618735305036505</v>
      </c>
      <c r="D9554" s="1" t="n">
        <v>2.4271</v>
      </c>
      <c r="E9554" s="1" t="n">
        <f aca="false">LN(D9554)</f>
        <v>0.886697129027077</v>
      </c>
    </row>
    <row r="9555" customFormat="false" ht="15.75" hidden="false" customHeight="false" outlineLevel="0" collapsed="false">
      <c r="A9555" s="1" t="s">
        <v>1496</v>
      </c>
      <c r="B9555" s="1" t="n">
        <v>162.15</v>
      </c>
      <c r="C9555" s="1" t="n">
        <f aca="false">1/B9555</f>
        <v>0.00616712920135677</v>
      </c>
      <c r="D9555" s="1" t="n">
        <v>2.3841</v>
      </c>
      <c r="E9555" s="1" t="n">
        <f aca="false">LN(D9555)</f>
        <v>0.868821694632106</v>
      </c>
    </row>
    <row r="9556" customFormat="false" ht="15.75" hidden="false" customHeight="false" outlineLevel="0" collapsed="false">
      <c r="A9556" s="1" t="s">
        <v>1496</v>
      </c>
      <c r="B9556" s="1" t="n">
        <v>162.67</v>
      </c>
      <c r="C9556" s="1" t="n">
        <f aca="false">1/B9556</f>
        <v>0.00614741501198746</v>
      </c>
      <c r="D9556" s="1" t="n">
        <v>2.3421</v>
      </c>
      <c r="E9556" s="1" t="n">
        <f aca="false">LN(D9556)</f>
        <v>0.851047962812218</v>
      </c>
    </row>
    <row r="9557" customFormat="false" ht="15.75" hidden="false" customHeight="false" outlineLevel="0" collapsed="false">
      <c r="A9557" s="1" t="s">
        <v>1496</v>
      </c>
      <c r="B9557" s="1" t="n">
        <v>163.2</v>
      </c>
      <c r="C9557" s="1" t="n">
        <f aca="false">1/B9557</f>
        <v>0.00612745098039216</v>
      </c>
      <c r="D9557" s="1" t="n">
        <v>2.3012</v>
      </c>
      <c r="E9557" s="1" t="n">
        <f aca="false">LN(D9557)</f>
        <v>0.833430726007001</v>
      </c>
    </row>
    <row r="9558" customFormat="false" ht="15.75" hidden="false" customHeight="false" outlineLevel="0" collapsed="false">
      <c r="A9558" s="1" t="s">
        <v>1496</v>
      </c>
      <c r="B9558" s="1" t="n">
        <v>163.72</v>
      </c>
      <c r="C9558" s="1" t="n">
        <f aca="false">1/B9558</f>
        <v>0.00610798924993892</v>
      </c>
      <c r="D9558" s="1" t="n">
        <v>2.2613</v>
      </c>
      <c r="E9558" s="1" t="n">
        <f aca="false">LN(D9558)</f>
        <v>0.815939869146811</v>
      </c>
    </row>
    <row r="9559" customFormat="false" ht="15.75" hidden="false" customHeight="false" outlineLevel="0" collapsed="false">
      <c r="A9559" s="1" t="s">
        <v>1496</v>
      </c>
      <c r="B9559" s="1" t="n">
        <v>164.24</v>
      </c>
      <c r="C9559" s="1" t="n">
        <f aca="false">1/B9559</f>
        <v>0.00608865075499269</v>
      </c>
      <c r="D9559" s="1" t="n">
        <v>2.2224</v>
      </c>
      <c r="E9559" s="1" t="n">
        <f aca="false">LN(D9559)</f>
        <v>0.798587693017942</v>
      </c>
    </row>
    <row r="9560" customFormat="false" ht="15.75" hidden="false" customHeight="false" outlineLevel="0" collapsed="false">
      <c r="A9560" s="1" t="s">
        <v>1496</v>
      </c>
      <c r="B9560" s="1" t="n">
        <v>164.77</v>
      </c>
      <c r="C9560" s="1" t="n">
        <f aca="false">1/B9560</f>
        <v>0.0060690659707471</v>
      </c>
      <c r="D9560" s="1" t="n">
        <v>2.1845</v>
      </c>
      <c r="E9560" s="1" t="n">
        <f aca="false">LN(D9560)</f>
        <v>0.781386969409353</v>
      </c>
    </row>
    <row r="9561" customFormat="false" ht="15.75" hidden="false" customHeight="false" outlineLevel="0" collapsed="false">
      <c r="A9561" s="1" t="s">
        <v>1496</v>
      </c>
      <c r="B9561" s="1" t="n">
        <v>165.29</v>
      </c>
      <c r="C9561" s="1" t="n">
        <f aca="false">1/B9561</f>
        <v>0.00604997277512251</v>
      </c>
      <c r="D9561" s="1" t="n">
        <v>2.1475</v>
      </c>
      <c r="E9561" s="1" t="n">
        <f aca="false">LN(D9561)</f>
        <v>0.764304374876273</v>
      </c>
    </row>
    <row r="9562" customFormat="false" ht="15.75" hidden="false" customHeight="false" outlineLevel="0" collapsed="false">
      <c r="A9562" s="1" t="s">
        <v>1496</v>
      </c>
      <c r="B9562" s="1" t="n">
        <v>165.82</v>
      </c>
      <c r="C9562" s="1" t="n">
        <f aca="false">1/B9562</f>
        <v>0.0060306356289953</v>
      </c>
      <c r="D9562" s="1" t="n">
        <v>2.1113</v>
      </c>
      <c r="E9562" s="1" t="n">
        <f aca="false">LN(D9562)</f>
        <v>0.7473038715119</v>
      </c>
    </row>
    <row r="9563" customFormat="false" ht="15.75" hidden="false" customHeight="false" outlineLevel="0" collapsed="false">
      <c r="A9563" s="1" t="s">
        <v>1496</v>
      </c>
      <c r="B9563" s="1" t="n">
        <v>166.34</v>
      </c>
      <c r="C9563" s="1" t="n">
        <f aca="false">1/B9563</f>
        <v>0.00601178309486594</v>
      </c>
      <c r="D9563" s="1" t="n">
        <v>2.0761</v>
      </c>
      <c r="E9563" s="1" t="n">
        <f aca="false">LN(D9563)</f>
        <v>0.730491133700366</v>
      </c>
    </row>
    <row r="9564" customFormat="false" ht="15.75" hidden="false" customHeight="false" outlineLevel="0" collapsed="false">
      <c r="A9564" s="1" t="s">
        <v>1496</v>
      </c>
      <c r="B9564" s="1" t="n">
        <v>166.87</v>
      </c>
      <c r="C9564" s="1" t="n">
        <f aca="false">1/B9564</f>
        <v>0.00599268891951819</v>
      </c>
      <c r="D9564" s="1" t="n">
        <v>2.0417</v>
      </c>
      <c r="E9564" s="1" t="n">
        <f aca="false">LN(D9564)</f>
        <v>0.713782794160017</v>
      </c>
    </row>
    <row r="9565" customFormat="false" ht="15.75" hidden="false" customHeight="false" outlineLevel="0" collapsed="false">
      <c r="A9565" s="1" t="s">
        <v>1496</v>
      </c>
      <c r="B9565" s="1" t="n">
        <v>167.39</v>
      </c>
      <c r="C9565" s="1" t="n">
        <f aca="false">1/B9565</f>
        <v>0.00597407252524046</v>
      </c>
      <c r="D9565" s="1" t="n">
        <v>2.0081</v>
      </c>
      <c r="E9565" s="1" t="n">
        <f aca="false">LN(D9565)</f>
        <v>0.697189001386277</v>
      </c>
    </row>
    <row r="9566" customFormat="false" ht="15.75" hidden="false" customHeight="false" outlineLevel="0" collapsed="false">
      <c r="A9566" s="1" t="s">
        <v>1496</v>
      </c>
      <c r="B9566" s="1" t="n">
        <v>167.91</v>
      </c>
      <c r="C9566" s="1" t="n">
        <f aca="false">1/B9566</f>
        <v>0.00595557143707939</v>
      </c>
      <c r="D9566" s="1" t="n">
        <v>1.9753</v>
      </c>
      <c r="E9566" s="1" t="n">
        <f aca="false">LN(D9566)</f>
        <v>0.680720285551818</v>
      </c>
    </row>
    <row r="9567" customFormat="false" ht="15.75" hidden="false" customHeight="false" outlineLevel="0" collapsed="false">
      <c r="A9567" s="1" t="s">
        <v>1496</v>
      </c>
      <c r="B9567" s="1" t="n">
        <v>168.44</v>
      </c>
      <c r="C9567" s="1" t="n">
        <f aca="false">1/B9567</f>
        <v>0.00593683210638803</v>
      </c>
      <c r="D9567" s="1" t="n">
        <v>1.9433</v>
      </c>
      <c r="E9567" s="1" t="n">
        <f aca="false">LN(D9567)</f>
        <v>0.664387558888521</v>
      </c>
    </row>
    <row r="9568" customFormat="false" ht="15.75" hidden="false" customHeight="false" outlineLevel="0" collapsed="false">
      <c r="A9568" s="1" t="s">
        <v>1496</v>
      </c>
      <c r="B9568" s="1" t="n">
        <v>168.96</v>
      </c>
      <c r="C9568" s="1" t="n">
        <f aca="false">1/B9568</f>
        <v>0.00591856060606061</v>
      </c>
      <c r="D9568" s="1" t="n">
        <v>1.912</v>
      </c>
      <c r="E9568" s="1" t="n">
        <f aca="false">LN(D9568)</f>
        <v>0.64814981462921</v>
      </c>
    </row>
    <row r="9569" customFormat="false" ht="15.75" hidden="false" customHeight="false" outlineLevel="0" collapsed="false">
      <c r="A9569" s="1" t="s">
        <v>1496</v>
      </c>
      <c r="B9569" s="1" t="n">
        <v>169.49</v>
      </c>
      <c r="C9569" s="1" t="n">
        <f aca="false">1/B9569</f>
        <v>0.0059000531004779</v>
      </c>
      <c r="D9569" s="1" t="n">
        <v>1.8815</v>
      </c>
      <c r="E9569" s="1" t="n">
        <f aca="false">LN(D9569)</f>
        <v>0.632069331051355</v>
      </c>
    </row>
    <row r="9570" customFormat="false" ht="15.75" hidden="false" customHeight="false" outlineLevel="0" collapsed="false">
      <c r="A9570" s="1" t="s">
        <v>1496</v>
      </c>
      <c r="B9570" s="1" t="n">
        <v>170.01</v>
      </c>
      <c r="C9570" s="1" t="n">
        <f aca="false">1/B9570</f>
        <v>0.00588200694076819</v>
      </c>
      <c r="D9570" s="1" t="n">
        <v>1.8516</v>
      </c>
      <c r="E9570" s="1" t="n">
        <f aca="false">LN(D9570)</f>
        <v>0.616050130174978</v>
      </c>
    </row>
    <row r="9571" customFormat="false" ht="15.75" hidden="false" customHeight="false" outlineLevel="0" collapsed="false">
      <c r="A9571" s="1" t="s">
        <v>1496</v>
      </c>
      <c r="B9571" s="1" t="n">
        <v>170.54</v>
      </c>
      <c r="C9571" s="1" t="n">
        <f aca="false">1/B9571</f>
        <v>0.00586372698487159</v>
      </c>
      <c r="D9571" s="1" t="n">
        <v>1.8225</v>
      </c>
      <c r="E9571" s="1" t="n">
        <f aca="false">LN(D9571)</f>
        <v>0.600209184900676</v>
      </c>
    </row>
    <row r="9572" customFormat="false" ht="15.75" hidden="false" customHeight="false" outlineLevel="0" collapsed="false">
      <c r="A9572" s="1" t="s">
        <v>1496</v>
      </c>
      <c r="B9572" s="1" t="n">
        <v>171.06</v>
      </c>
      <c r="C9572" s="1" t="n">
        <f aca="false">1/B9572</f>
        <v>0.0058459020226821</v>
      </c>
      <c r="D9572" s="1" t="n">
        <v>1.794</v>
      </c>
      <c r="E9572" s="1" t="n">
        <f aca="false">LN(D9572)</f>
        <v>0.584447763636604</v>
      </c>
    </row>
    <row r="9573" customFormat="false" ht="15.75" hidden="false" customHeight="false" outlineLevel="0" collapsed="false">
      <c r="A9573" s="1" t="s">
        <v>1496</v>
      </c>
      <c r="B9573" s="1" t="n">
        <v>171.58</v>
      </c>
      <c r="C9573" s="1" t="n">
        <f aca="false">1/B9573</f>
        <v>0.00582818510315888</v>
      </c>
      <c r="D9573" s="1" t="n">
        <v>1.7661</v>
      </c>
      <c r="E9573" s="1" t="n">
        <f aca="false">LN(D9573)</f>
        <v>0.568773725720188</v>
      </c>
    </row>
    <row r="9574" customFormat="false" ht="15.75" hidden="false" customHeight="false" outlineLevel="0" collapsed="false">
      <c r="A9574" s="1" t="s">
        <v>1496</v>
      </c>
      <c r="B9574" s="1" t="n">
        <v>172.11</v>
      </c>
      <c r="C9574" s="1" t="n">
        <f aca="false">1/B9574</f>
        <v>0.00581023763871942</v>
      </c>
      <c r="D9574" s="1" t="n">
        <v>1.7389</v>
      </c>
      <c r="E9574" s="1" t="n">
        <f aca="false">LN(D9574)</f>
        <v>0.553252729405886</v>
      </c>
    </row>
    <row r="9575" customFormat="false" ht="15.75" hidden="false" customHeight="false" outlineLevel="0" collapsed="false">
      <c r="A9575" s="1" t="s">
        <v>1496</v>
      </c>
      <c r="B9575" s="1" t="n">
        <v>172.63</v>
      </c>
      <c r="C9575" s="1" t="n">
        <f aca="false">1/B9575</f>
        <v>0.0057927359091699</v>
      </c>
      <c r="D9575" s="1" t="n">
        <v>1.7122</v>
      </c>
      <c r="E9575" s="1" t="n">
        <f aca="false">LN(D9575)</f>
        <v>0.537779093326248</v>
      </c>
    </row>
    <row r="9576" customFormat="false" ht="15.75" hidden="false" customHeight="false" outlineLevel="0" collapsed="false">
      <c r="A9576" s="1" t="s">
        <v>1496</v>
      </c>
      <c r="B9576" s="1" t="n">
        <v>173.16</v>
      </c>
      <c r="C9576" s="1" t="n">
        <f aca="false">1/B9576</f>
        <v>0.00577500577500578</v>
      </c>
      <c r="D9576" s="1" t="n">
        <v>1.6862</v>
      </c>
      <c r="E9576" s="1" t="n">
        <f aca="false">LN(D9576)</f>
        <v>0.522477476506438</v>
      </c>
    </row>
    <row r="9577" customFormat="false" ht="15.75" hidden="false" customHeight="false" outlineLevel="0" collapsed="false">
      <c r="A9577" s="1" t="s">
        <v>1496</v>
      </c>
      <c r="B9577" s="1" t="n">
        <v>173.68</v>
      </c>
      <c r="C9577" s="1" t="n">
        <f aca="false">1/B9577</f>
        <v>0.00575771533855366</v>
      </c>
      <c r="D9577" s="1" t="n">
        <v>1.6607</v>
      </c>
      <c r="E9577" s="1" t="n">
        <f aca="false">LN(D9577)</f>
        <v>0.50723920023057</v>
      </c>
    </row>
    <row r="9578" customFormat="false" ht="15.75" hidden="false" customHeight="false" outlineLevel="0" collapsed="false">
      <c r="A9578" s="1" t="s">
        <v>1496</v>
      </c>
      <c r="B9578" s="1" t="n">
        <v>174.21</v>
      </c>
      <c r="C9578" s="1" t="n">
        <f aca="false">1/B9578</f>
        <v>0.00574019861087194</v>
      </c>
      <c r="D9578" s="1" t="n">
        <v>1.6358</v>
      </c>
      <c r="E9578" s="1" t="n">
        <f aca="false">LN(D9578)</f>
        <v>0.492131981318737</v>
      </c>
    </row>
    <row r="9579" customFormat="false" ht="15.75" hidden="false" customHeight="false" outlineLevel="0" collapsed="false">
      <c r="A9579" s="1" t="s">
        <v>1496</v>
      </c>
      <c r="B9579" s="1" t="n">
        <v>174.73</v>
      </c>
      <c r="C9579" s="1" t="n">
        <f aca="false">1/B9579</f>
        <v>0.00572311566416757</v>
      </c>
      <c r="D9579" s="1" t="n">
        <v>1.6114</v>
      </c>
      <c r="E9579" s="1" t="n">
        <f aca="false">LN(D9579)</f>
        <v>0.477103366360959</v>
      </c>
    </row>
    <row r="9580" customFormat="false" ht="15.75" hidden="false" customHeight="false" outlineLevel="0" collapsed="false">
      <c r="A9580" s="1" t="s">
        <v>1496</v>
      </c>
      <c r="B9580" s="1" t="n">
        <v>175.25</v>
      </c>
      <c r="C9580" s="1" t="n">
        <f aca="false">1/B9580</f>
        <v>0.00570613409415121</v>
      </c>
      <c r="D9580" s="1" t="n">
        <v>1.5876</v>
      </c>
      <c r="E9580" s="1" t="n">
        <f aca="false">LN(D9580)</f>
        <v>0.462223441926773</v>
      </c>
    </row>
    <row r="9581" customFormat="false" ht="15.75" hidden="false" customHeight="false" outlineLevel="0" collapsed="false">
      <c r="A9581" s="1" t="s">
        <v>1496</v>
      </c>
      <c r="B9581" s="1" t="n">
        <v>175.78</v>
      </c>
      <c r="C9581" s="1" t="n">
        <f aca="false">1/B9581</f>
        <v>0.00568892934349755</v>
      </c>
      <c r="D9581" s="1" t="n">
        <v>1.5642</v>
      </c>
      <c r="E9581" s="1" t="n">
        <f aca="false">LN(D9581)</f>
        <v>0.447374511185374</v>
      </c>
    </row>
    <row r="9582" customFormat="false" ht="15.75" hidden="false" customHeight="false" outlineLevel="0" collapsed="false">
      <c r="A9582" s="1" t="s">
        <v>1496</v>
      </c>
      <c r="B9582" s="1" t="n">
        <v>176.3</v>
      </c>
      <c r="C9582" s="1" t="n">
        <f aca="false">1/B9582</f>
        <v>0.00567214974475326</v>
      </c>
      <c r="D9582" s="1" t="n">
        <v>1.5414</v>
      </c>
      <c r="E9582" s="1" t="n">
        <f aca="false">LN(D9582)</f>
        <v>0.432691094361756</v>
      </c>
    </row>
    <row r="9583" customFormat="false" ht="15.75" hidden="false" customHeight="false" outlineLevel="0" collapsed="false">
      <c r="A9583" s="1" t="s">
        <v>1496</v>
      </c>
      <c r="B9583" s="1" t="n">
        <v>176.83</v>
      </c>
      <c r="C9583" s="1" t="n">
        <f aca="false">1/B9583</f>
        <v>0.0056551490131765</v>
      </c>
      <c r="D9583" s="1" t="n">
        <v>1.519</v>
      </c>
      <c r="E9583" s="1" t="n">
        <f aca="false">LN(D9583)</f>
        <v>0.418052223613636</v>
      </c>
    </row>
    <row r="9584" customFormat="false" ht="15.75" hidden="false" customHeight="false" outlineLevel="0" collapsed="false">
      <c r="A9584" s="1" t="s">
        <v>1496</v>
      </c>
      <c r="B9584" s="1" t="n">
        <v>177.35</v>
      </c>
      <c r="C9584" s="1" t="n">
        <f aca="false">1/B9584</f>
        <v>0.00563856780377784</v>
      </c>
      <c r="D9584" s="1" t="n">
        <v>1.4971</v>
      </c>
      <c r="E9584" s="1" t="n">
        <f aca="false">LN(D9584)</f>
        <v>0.403529903473654</v>
      </c>
    </row>
    <row r="9585" customFormat="false" ht="15.75" hidden="false" customHeight="false" outlineLevel="0" collapsed="false">
      <c r="A9585" s="1" t="s">
        <v>1496</v>
      </c>
      <c r="B9585" s="1" t="n">
        <v>177.87</v>
      </c>
      <c r="C9585" s="1" t="n">
        <f aca="false">1/B9585</f>
        <v>0.00562208354416147</v>
      </c>
      <c r="D9585" s="1" t="n">
        <v>1.4757</v>
      </c>
      <c r="E9585" s="1" t="n">
        <f aca="false">LN(D9585)</f>
        <v>0.389132453487267</v>
      </c>
    </row>
    <row r="9586" customFormat="false" ht="15.75" hidden="false" customHeight="false" outlineLevel="0" collapsed="false">
      <c r="A9586" s="1" t="s">
        <v>1496</v>
      </c>
      <c r="B9586" s="1" t="n">
        <v>178.4</v>
      </c>
      <c r="C9586" s="1" t="n">
        <f aca="false">1/B9586</f>
        <v>0.00560538116591928</v>
      </c>
      <c r="D9586" s="1" t="n">
        <v>1.4547</v>
      </c>
      <c r="E9586" s="1" t="n">
        <f aca="false">LN(D9586)</f>
        <v>0.374799693797279</v>
      </c>
    </row>
    <row r="9587" customFormat="false" ht="15.75" hidden="false" customHeight="false" outlineLevel="0" collapsed="false">
      <c r="A9587" s="1" t="s">
        <v>1496</v>
      </c>
      <c r="B9587" s="1" t="n">
        <v>178.92</v>
      </c>
      <c r="C9587" s="1" t="n">
        <f aca="false">1/B9587</f>
        <v>0.00558909009613235</v>
      </c>
      <c r="D9587" s="1" t="n">
        <v>1.4341</v>
      </c>
      <c r="E9587" s="1" t="n">
        <f aca="false">LN(D9587)</f>
        <v>0.360537474753029</v>
      </c>
    </row>
    <row r="9588" customFormat="false" ht="15.75" hidden="false" customHeight="false" outlineLevel="0" collapsed="false">
      <c r="A9588" s="1" t="s">
        <v>1496</v>
      </c>
      <c r="B9588" s="1" t="n">
        <v>179.45</v>
      </c>
      <c r="C9588" s="1" t="n">
        <f aca="false">1/B9588</f>
        <v>0.00557258289217052</v>
      </c>
      <c r="D9588" s="1" t="n">
        <v>1.414</v>
      </c>
      <c r="E9588" s="1" t="n">
        <f aca="false">LN(D9588)</f>
        <v>0.346422567474381</v>
      </c>
    </row>
    <row r="9589" customFormat="false" ht="15.75" hidden="false" customHeight="false" outlineLevel="0" collapsed="false">
      <c r="A9589" s="1" t="s">
        <v>1496</v>
      </c>
      <c r="B9589" s="1" t="n">
        <v>179.97</v>
      </c>
      <c r="C9589" s="1" t="n">
        <f aca="false">1/B9589</f>
        <v>0.00555648163582819</v>
      </c>
      <c r="D9589" s="1" t="n">
        <v>1.3942</v>
      </c>
      <c r="E9589" s="1" t="n">
        <f aca="false">LN(D9589)</f>
        <v>0.332320774070161</v>
      </c>
    </row>
    <row r="9590" customFormat="false" ht="15.75" hidden="false" customHeight="false" outlineLevel="0" collapsed="false">
      <c r="A9590" s="1" t="s">
        <v>1496</v>
      </c>
      <c r="B9590" s="1" t="n">
        <v>180.5</v>
      </c>
      <c r="C9590" s="1" t="n">
        <f aca="false">1/B9590</f>
        <v>0.00554016620498615</v>
      </c>
      <c r="D9590" s="1" t="n">
        <v>1.3749</v>
      </c>
      <c r="E9590" s="1" t="n">
        <f aca="false">LN(D9590)</f>
        <v>0.318381001201051</v>
      </c>
    </row>
    <row r="9591" customFormat="false" ht="15.75" hidden="false" customHeight="false" outlineLevel="0" collapsed="false">
      <c r="A9591" s="1" t="s">
        <v>1496</v>
      </c>
      <c r="B9591" s="1" t="n">
        <v>181.02</v>
      </c>
      <c r="C9591" s="1" t="n">
        <f aca="false">1/B9591</f>
        <v>0.00552425146392664</v>
      </c>
      <c r="D9591" s="1" t="n">
        <v>1.356</v>
      </c>
      <c r="E9591" s="1" t="n">
        <f aca="false">LN(D9591)</f>
        <v>0.304539189518204</v>
      </c>
    </row>
    <row r="9592" customFormat="false" ht="15.75" hidden="false" customHeight="false" outlineLevel="0" collapsed="false">
      <c r="A9592" s="1" t="s">
        <v>1496</v>
      </c>
      <c r="B9592" s="1" t="n">
        <v>181.54</v>
      </c>
      <c r="C9592" s="1" t="n">
        <f aca="false">1/B9592</f>
        <v>0.00550842789467886</v>
      </c>
      <c r="D9592" s="1" t="n">
        <v>1.3374</v>
      </c>
      <c r="E9592" s="1" t="n">
        <f aca="false">LN(D9592)</f>
        <v>0.290727430637741</v>
      </c>
    </row>
    <row r="9593" customFormat="false" ht="15.75" hidden="false" customHeight="false" outlineLevel="0" collapsed="false">
      <c r="A9593" s="1" t="s">
        <v>1496</v>
      </c>
      <c r="B9593" s="1" t="n">
        <v>182.07</v>
      </c>
      <c r="C9593" s="1" t="n">
        <f aca="false">1/B9593</f>
        <v>0.00549239303564563</v>
      </c>
      <c r="D9593" s="1" t="n">
        <v>1.3192</v>
      </c>
      <c r="E9593" s="1" t="n">
        <f aca="false">LN(D9593)</f>
        <v>0.277025492263252</v>
      </c>
    </row>
    <row r="9594" customFormat="false" ht="15.75" hidden="false" customHeight="false" outlineLevel="0" collapsed="false">
      <c r="A9594" s="1" t="s">
        <v>1496</v>
      </c>
      <c r="B9594" s="1" t="n">
        <v>182.59</v>
      </c>
      <c r="C9594" s="1" t="n">
        <f aca="false">1/B9594</f>
        <v>0.00547675119119338</v>
      </c>
      <c r="D9594" s="1" t="n">
        <v>1.3013</v>
      </c>
      <c r="E9594" s="1" t="n">
        <f aca="false">LN(D9594)</f>
        <v>0.263363764800574</v>
      </c>
    </row>
    <row r="9595" customFormat="false" ht="15.75" hidden="false" customHeight="false" outlineLevel="0" collapsed="false">
      <c r="A9595" s="1" t="s">
        <v>1496</v>
      </c>
      <c r="B9595" s="1" t="n">
        <v>183.12</v>
      </c>
      <c r="C9595" s="1" t="n">
        <f aca="false">1/B9595</f>
        <v>0.0054608999563128</v>
      </c>
      <c r="D9595" s="1" t="n">
        <v>1.2838</v>
      </c>
      <c r="E9595" s="1" t="n">
        <f aca="false">LN(D9595)</f>
        <v>0.249824429895541</v>
      </c>
    </row>
    <row r="9596" customFormat="false" ht="15.75" hidden="false" customHeight="false" outlineLevel="0" collapsed="false">
      <c r="A9596" s="1" t="s">
        <v>1496</v>
      </c>
      <c r="B9596" s="1" t="n">
        <v>183.64</v>
      </c>
      <c r="C9596" s="1" t="n">
        <f aca="false">1/B9596</f>
        <v>0.00544543672402527</v>
      </c>
      <c r="D9596" s="1" t="n">
        <v>1.2667</v>
      </c>
      <c r="E9596" s="1" t="n">
        <f aca="false">LN(D9596)</f>
        <v>0.23641509350745</v>
      </c>
    </row>
    <row r="9597" customFormat="false" ht="15.75" hidden="false" customHeight="false" outlineLevel="0" collapsed="false">
      <c r="A9597" s="1" t="s">
        <v>1496</v>
      </c>
      <c r="B9597" s="1" t="n">
        <v>184.17</v>
      </c>
      <c r="C9597" s="1" t="n">
        <f aca="false">1/B9597</f>
        <v>0.00542976597708639</v>
      </c>
      <c r="D9597" s="1" t="n">
        <v>1.2499</v>
      </c>
      <c r="E9597" s="1" t="n">
        <f aca="false">LN(D9597)</f>
        <v>0.223063548114039</v>
      </c>
    </row>
    <row r="9598" customFormat="false" ht="15.75" hidden="false" customHeight="false" outlineLevel="0" collapsed="false">
      <c r="A9598" s="1" t="s">
        <v>1496</v>
      </c>
      <c r="B9598" s="1" t="n">
        <v>184.69</v>
      </c>
      <c r="C9598" s="1" t="n">
        <f aca="false">1/B9598</f>
        <v>0.00541447831501435</v>
      </c>
      <c r="D9598" s="1" t="n">
        <v>1.2333</v>
      </c>
      <c r="E9598" s="1" t="n">
        <f aca="false">LN(D9598)</f>
        <v>0.209693503589805</v>
      </c>
    </row>
    <row r="9599" customFormat="false" ht="15.75" hidden="false" customHeight="false" outlineLevel="0" collapsed="false">
      <c r="A9599" s="1" t="s">
        <v>1496</v>
      </c>
      <c r="B9599" s="1" t="n">
        <v>185.21</v>
      </c>
      <c r="C9599" s="1" t="n">
        <f aca="false">1/B9599</f>
        <v>0.00539927649694941</v>
      </c>
      <c r="D9599" s="1" t="n">
        <v>1.2172</v>
      </c>
      <c r="E9599" s="1" t="n">
        <f aca="false">LN(D9599)</f>
        <v>0.196553139040679</v>
      </c>
    </row>
    <row r="9600" customFormat="false" ht="15.75" hidden="false" customHeight="false" outlineLevel="0" collapsed="false">
      <c r="A9600" s="1" t="s">
        <v>1496</v>
      </c>
      <c r="B9600" s="1" t="n">
        <v>185.74</v>
      </c>
      <c r="C9600" s="1" t="n">
        <f aca="false">1/B9600</f>
        <v>0.00538386992570259</v>
      </c>
      <c r="D9600" s="1" t="n">
        <v>1.2013</v>
      </c>
      <c r="E9600" s="1" t="n">
        <f aca="false">LN(D9600)</f>
        <v>0.183404303745192</v>
      </c>
    </row>
    <row r="9601" customFormat="false" ht="15.75" hidden="false" customHeight="false" outlineLevel="0" collapsed="false">
      <c r="A9601" s="1" t="s">
        <v>1496</v>
      </c>
      <c r="B9601" s="1" t="n">
        <v>186.26</v>
      </c>
      <c r="C9601" s="1" t="n">
        <f aca="false">1/B9601</f>
        <v>0.00536883925695265</v>
      </c>
      <c r="D9601" s="1" t="n">
        <v>1.1857</v>
      </c>
      <c r="E9601" s="1" t="n">
        <f aca="false">LN(D9601)</f>
        <v>0.170333317481888</v>
      </c>
    </row>
    <row r="9602" customFormat="false" ht="15.75" hidden="false" customHeight="false" outlineLevel="0" collapsed="false">
      <c r="A9602" s="1" t="s">
        <v>1496</v>
      </c>
      <c r="B9602" s="1" t="n">
        <v>186.79</v>
      </c>
      <c r="C9602" s="1" t="n">
        <f aca="false">1/B9602</f>
        <v>0.00535360565340757</v>
      </c>
      <c r="D9602" s="1" t="n">
        <v>1.1704</v>
      </c>
      <c r="E9602" s="1" t="n">
        <f aca="false">LN(D9602)</f>
        <v>0.157345570723778</v>
      </c>
    </row>
    <row r="9603" customFormat="false" ht="15.75" hidden="false" customHeight="false" outlineLevel="0" collapsed="false">
      <c r="A9603" s="1" t="s">
        <v>1496</v>
      </c>
      <c r="B9603" s="1" t="n">
        <v>187.31</v>
      </c>
      <c r="C9603" s="1" t="n">
        <f aca="false">1/B9603</f>
        <v>0.00533874325983664</v>
      </c>
      <c r="D9603" s="1" t="n">
        <v>1.1554</v>
      </c>
      <c r="E9603" s="1" t="n">
        <f aca="false">LN(D9603)</f>
        <v>0.144446604365028</v>
      </c>
    </row>
    <row r="9604" customFormat="false" ht="15.75" hidden="false" customHeight="false" outlineLevel="0" collapsed="false">
      <c r="A9604" s="1" t="s">
        <v>1496</v>
      </c>
      <c r="B9604" s="1" t="n">
        <v>187.84</v>
      </c>
      <c r="C9604" s="1" t="n">
        <f aca="false">1/B9604</f>
        <v>0.0053236797274276</v>
      </c>
      <c r="D9604" s="1" t="n">
        <v>1.1407</v>
      </c>
      <c r="E9604" s="1" t="n">
        <f aca="false">LN(D9604)</f>
        <v>0.131642109051715</v>
      </c>
    </row>
    <row r="9605" customFormat="false" ht="15.75" hidden="false" customHeight="false" outlineLevel="0" collapsed="false">
      <c r="A9605" s="1" t="s">
        <v>1496</v>
      </c>
      <c r="B9605" s="1" t="n">
        <v>188.36</v>
      </c>
      <c r="C9605" s="1" t="n">
        <f aca="false">1/B9605</f>
        <v>0.00530898279889573</v>
      </c>
      <c r="D9605" s="1" t="n">
        <v>1.1262</v>
      </c>
      <c r="E9605" s="1" t="n">
        <f aca="false">LN(D9605)</f>
        <v>0.118849133838381</v>
      </c>
    </row>
    <row r="9606" customFormat="false" ht="15.75" hidden="false" customHeight="false" outlineLevel="0" collapsed="false">
      <c r="A9606" s="1" t="s">
        <v>1496</v>
      </c>
      <c r="B9606" s="1" t="n">
        <v>188.88</v>
      </c>
      <c r="C9606" s="1" t="n">
        <f aca="false">1/B9606</f>
        <v>0.00529436679373147</v>
      </c>
      <c r="D9606" s="1" t="n">
        <v>1.112</v>
      </c>
      <c r="E9606" s="1" t="n">
        <f aca="false">LN(D9606)</f>
        <v>0.106160195828391</v>
      </c>
    </row>
    <row r="9607" customFormat="false" ht="15.75" hidden="false" customHeight="false" outlineLevel="0" collapsed="false">
      <c r="A9607" s="1" t="s">
        <v>1496</v>
      </c>
      <c r="B9607" s="1" t="n">
        <v>189.41</v>
      </c>
      <c r="C9607" s="1" t="n">
        <f aca="false">1/B9607</f>
        <v>0.00527955229396547</v>
      </c>
      <c r="D9607" s="1" t="n">
        <v>1.0981</v>
      </c>
      <c r="E9607" s="1" t="n">
        <f aca="false">LN(D9607)</f>
        <v>0.0935814136215306</v>
      </c>
    </row>
    <row r="9608" customFormat="false" ht="15.75" hidden="false" customHeight="false" outlineLevel="0" collapsed="false">
      <c r="A9608" s="1" t="s">
        <v>1496</v>
      </c>
      <c r="B9608" s="1" t="n">
        <v>189.93</v>
      </c>
      <c r="C9608" s="1" t="n">
        <f aca="false">1/B9608</f>
        <v>0.00526509766756173</v>
      </c>
      <c r="D9608" s="1" t="n">
        <v>1.0844</v>
      </c>
      <c r="E9608" s="1" t="n">
        <f aca="false">LN(D9608)</f>
        <v>0.0810268386423734</v>
      </c>
    </row>
    <row r="9609" customFormat="false" ht="15.75" hidden="false" customHeight="false" outlineLevel="0" collapsed="false">
      <c r="A9609" s="1" t="s">
        <v>1496</v>
      </c>
      <c r="B9609" s="1" t="n">
        <v>190.46</v>
      </c>
      <c r="C9609" s="1" t="n">
        <f aca="false">1/B9609</f>
        <v>0.00525044628793447</v>
      </c>
      <c r="D9609" s="1" t="n">
        <v>1.0709</v>
      </c>
      <c r="E9609" s="1" t="n">
        <f aca="false">LN(D9609)</f>
        <v>0.0684994164246923</v>
      </c>
    </row>
    <row r="9610" customFormat="false" ht="15.75" hidden="false" customHeight="false" outlineLevel="0" collapsed="false">
      <c r="A9610" s="1" t="s">
        <v>1496</v>
      </c>
      <c r="B9610" s="1" t="n">
        <v>190.98</v>
      </c>
      <c r="C9610" s="1" t="n">
        <f aca="false">1/B9610</f>
        <v>0.00523615038223898</v>
      </c>
      <c r="D9610" s="1" t="n">
        <v>1.0577</v>
      </c>
      <c r="E9610" s="1" t="n">
        <f aca="false">LN(D9610)</f>
        <v>0.0560967393518702</v>
      </c>
    </row>
    <row r="9611" customFormat="false" ht="15.75" hidden="false" customHeight="false" outlineLevel="0" collapsed="false">
      <c r="A9611" s="1" t="s">
        <v>1496</v>
      </c>
      <c r="B9611" s="1" t="n">
        <v>191.51</v>
      </c>
      <c r="C9611" s="1" t="n">
        <f aca="false">1/B9611</f>
        <v>0.0052216594433711</v>
      </c>
      <c r="D9611" s="1" t="n">
        <v>1.0447</v>
      </c>
      <c r="E9611" s="1" t="n">
        <f aca="false">LN(D9611)</f>
        <v>0.0437297628613252</v>
      </c>
    </row>
    <row r="9612" customFormat="false" ht="15.75" hidden="false" customHeight="false" outlineLevel="0" collapsed="false">
      <c r="A9612" s="1" t="s">
        <v>1496</v>
      </c>
      <c r="B9612" s="1" t="n">
        <v>192.03</v>
      </c>
      <c r="C9612" s="1" t="n">
        <f aca="false">1/B9612</f>
        <v>0.00520751965838671</v>
      </c>
      <c r="D9612" s="1" t="n">
        <v>1.032</v>
      </c>
      <c r="E9612" s="1" t="n">
        <f aca="false">LN(D9612)</f>
        <v>0.031498667059371</v>
      </c>
    </row>
    <row r="9613" customFormat="false" ht="15.75" hidden="false" customHeight="false" outlineLevel="0" collapsed="false">
      <c r="A9613" s="1" t="s">
        <v>1496</v>
      </c>
      <c r="B9613" s="1" t="n">
        <v>192.55</v>
      </c>
      <c r="C9613" s="1" t="n">
        <f aca="false">1/B9613</f>
        <v>0.00519345624513113</v>
      </c>
      <c r="D9613" s="1" t="n">
        <v>1.0195</v>
      </c>
      <c r="E9613" s="1" t="n">
        <f aca="false">LN(D9613)</f>
        <v>0.0193123110323729</v>
      </c>
    </row>
    <row r="9614" customFormat="false" ht="15.75" hidden="false" customHeight="false" outlineLevel="0" collapsed="false">
      <c r="A9614" s="1" t="s">
        <v>1496</v>
      </c>
      <c r="B9614" s="1" t="n">
        <v>193.08</v>
      </c>
      <c r="C9614" s="1" t="n">
        <f aca="false">1/B9614</f>
        <v>0.00517920033146882</v>
      </c>
      <c r="D9614" s="1" t="n">
        <v>1.0072</v>
      </c>
      <c r="E9614" s="1" t="n">
        <f aca="false">LN(D9614)</f>
        <v>0.00717420374800045</v>
      </c>
    </row>
    <row r="9615" customFormat="false" ht="15.75" hidden="false" customHeight="false" outlineLevel="0" collapsed="false">
      <c r="A9615" s="1" t="s">
        <v>1496</v>
      </c>
      <c r="B9615" s="1" t="n">
        <v>193.6</v>
      </c>
      <c r="C9615" s="1" t="n">
        <f aca="false">1/B9615</f>
        <v>0.00516528925619835</v>
      </c>
      <c r="D9615" s="1" t="n">
        <v>0.9951</v>
      </c>
      <c r="E9615" s="1" t="n">
        <f aca="false">LN(D9615)</f>
        <v>-0.00491204436102064</v>
      </c>
    </row>
    <row r="9616" customFormat="false" ht="15.75" hidden="false" customHeight="false" outlineLevel="0" collapsed="false">
      <c r="A9616" s="1" t="s">
        <v>1496</v>
      </c>
      <c r="B9616" s="1" t="n">
        <v>194.13</v>
      </c>
      <c r="C9616" s="1" t="n">
        <f aca="false">1/B9616</f>
        <v>0.00515118734868387</v>
      </c>
      <c r="D9616" s="1" t="n">
        <v>0.98322</v>
      </c>
      <c r="E9616" s="1" t="n">
        <f aca="false">LN(D9616)</f>
        <v>-0.0169223791959494</v>
      </c>
    </row>
    <row r="9617" customFormat="false" ht="15.75" hidden="false" customHeight="false" outlineLevel="0" collapsed="false">
      <c r="A9617" s="1" t="s">
        <v>1496</v>
      </c>
      <c r="B9617" s="1" t="n">
        <v>194.65</v>
      </c>
      <c r="C9617" s="1" t="n">
        <f aca="false">1/B9617</f>
        <v>0.0051374261494991</v>
      </c>
      <c r="D9617" s="1" t="n">
        <v>0.97154</v>
      </c>
      <c r="E9617" s="1" t="n">
        <f aca="false">LN(D9617)</f>
        <v>-0.0288728375691161</v>
      </c>
    </row>
    <row r="9618" customFormat="false" ht="15.75" hidden="false" customHeight="false" outlineLevel="0" collapsed="false">
      <c r="A9618" s="1" t="s">
        <v>1496</v>
      </c>
      <c r="B9618" s="1" t="n">
        <v>195.18</v>
      </c>
      <c r="C9618" s="1" t="n">
        <f aca="false">1/B9618</f>
        <v>0.00512347576595963</v>
      </c>
      <c r="D9618" s="1" t="n">
        <v>0.96006</v>
      </c>
      <c r="E9618" s="1" t="n">
        <f aca="false">LN(D9618)</f>
        <v>-0.0407594964732987</v>
      </c>
    </row>
    <row r="9619" customFormat="false" ht="15.75" hidden="false" customHeight="false" outlineLevel="0" collapsed="false">
      <c r="A9619" s="1" t="s">
        <v>1496</v>
      </c>
      <c r="B9619" s="1" t="n">
        <v>195.7</v>
      </c>
      <c r="C9619" s="1" t="n">
        <f aca="false">1/B9619</f>
        <v>0.00510986203372509</v>
      </c>
      <c r="D9619" s="1" t="n">
        <v>0.94877</v>
      </c>
      <c r="E9619" s="1" t="n">
        <f aca="false">LN(D9619)</f>
        <v>-0.0525888701255788</v>
      </c>
    </row>
    <row r="9620" customFormat="false" ht="15.75" hidden="false" customHeight="false" outlineLevel="0" collapsed="false">
      <c r="A9620" s="1" t="s">
        <v>1496</v>
      </c>
      <c r="B9620" s="1" t="n">
        <v>196.22</v>
      </c>
      <c r="C9620" s="1" t="n">
        <f aca="false">1/B9620</f>
        <v>0.00509632045663031</v>
      </c>
      <c r="D9620" s="1" t="n">
        <v>0.93767</v>
      </c>
      <c r="E9620" s="1" t="n">
        <f aca="false">LN(D9620)</f>
        <v>-0.0643572042431395</v>
      </c>
    </row>
    <row r="9621" customFormat="false" ht="15.75" hidden="false" customHeight="false" outlineLevel="0" collapsed="false">
      <c r="A9621" s="1" t="s">
        <v>1496</v>
      </c>
      <c r="B9621" s="1" t="n">
        <v>196.75</v>
      </c>
      <c r="C9621" s="1" t="n">
        <f aca="false">1/B9621</f>
        <v>0.00508259212198221</v>
      </c>
      <c r="D9621" s="1" t="n">
        <v>0.92676</v>
      </c>
      <c r="E9621" s="1" t="n">
        <f aca="false">LN(D9621)</f>
        <v>-0.0760606466129642</v>
      </c>
    </row>
    <row r="9622" customFormat="false" ht="15.75" hidden="false" customHeight="false" outlineLevel="0" collapsed="false">
      <c r="A9622" s="1" t="s">
        <v>1496</v>
      </c>
      <c r="B9622" s="1" t="n">
        <v>197.27</v>
      </c>
      <c r="C9622" s="1" t="n">
        <f aca="false">1/B9622</f>
        <v>0.00506919450499316</v>
      </c>
      <c r="D9622" s="1" t="n">
        <v>0.91603</v>
      </c>
      <c r="E9622" s="1" t="n">
        <f aca="false">LN(D9622)</f>
        <v>-0.087706163752609</v>
      </c>
    </row>
    <row r="9623" customFormat="false" ht="15.75" hidden="false" customHeight="false" outlineLevel="0" collapsed="false">
      <c r="A9623" s="1" t="s">
        <v>1496</v>
      </c>
      <c r="B9623" s="1" t="n">
        <v>197.8</v>
      </c>
      <c r="C9623" s="1" t="n">
        <f aca="false">1/B9623</f>
        <v>0.00505561172901921</v>
      </c>
      <c r="D9623" s="1" t="n">
        <v>0.90547</v>
      </c>
      <c r="E9623" s="1" t="n">
        <f aca="false">LN(D9623)</f>
        <v>-0.0993011330744326</v>
      </c>
    </row>
    <row r="9624" customFormat="false" ht="15.75" hidden="false" customHeight="false" outlineLevel="0" collapsed="false">
      <c r="A9624" s="1" t="s">
        <v>1496</v>
      </c>
      <c r="B9624" s="1" t="n">
        <v>198.32</v>
      </c>
      <c r="C9624" s="1" t="n">
        <f aca="false">1/B9624</f>
        <v>0.00504235578862445</v>
      </c>
      <c r="D9624" s="1" t="n">
        <v>0.89509</v>
      </c>
      <c r="E9624" s="1" t="n">
        <f aca="false">LN(D9624)</f>
        <v>-0.110831007103747</v>
      </c>
    </row>
    <row r="9625" customFormat="false" ht="15.75" hidden="false" customHeight="false" outlineLevel="0" collapsed="false">
      <c r="A9625" s="1" t="s">
        <v>1496</v>
      </c>
      <c r="B9625" s="1" t="n">
        <v>198.84</v>
      </c>
      <c r="C9625" s="1" t="n">
        <f aca="false">1/B9625</f>
        <v>0.00502916918125126</v>
      </c>
      <c r="D9625" s="1" t="n">
        <v>0.88488</v>
      </c>
      <c r="E9625" s="1" t="n">
        <f aca="false">LN(D9625)</f>
        <v>-0.122303236388138</v>
      </c>
    </row>
    <row r="9626" customFormat="false" ht="15.75" hidden="false" customHeight="false" outlineLevel="0" collapsed="false">
      <c r="A9626" s="1" t="s">
        <v>1496</v>
      </c>
      <c r="B9626" s="1" t="n">
        <v>199.37</v>
      </c>
      <c r="C9626" s="1" t="n">
        <f aca="false">1/B9626</f>
        <v>0.00501579976927321</v>
      </c>
      <c r="D9626" s="1" t="n">
        <v>0.87483</v>
      </c>
      <c r="E9626" s="1" t="n">
        <f aca="false">LN(D9626)</f>
        <v>-0.133725697214723</v>
      </c>
    </row>
    <row r="9627" customFormat="false" ht="15.75" hidden="false" customHeight="false" outlineLevel="0" collapsed="false">
      <c r="A9627" s="1" t="s">
        <v>1496</v>
      </c>
      <c r="B9627" s="1" t="n">
        <v>199.89</v>
      </c>
      <c r="C9627" s="1" t="n">
        <f aca="false">1/B9627</f>
        <v>0.00500275151333233</v>
      </c>
      <c r="D9627" s="1" t="n">
        <v>0.86494</v>
      </c>
      <c r="E9627" s="1" t="n">
        <f aca="false">LN(D9627)</f>
        <v>-0.145095138617912</v>
      </c>
    </row>
    <row r="9628" customFormat="false" ht="15.75" hidden="false" customHeight="false" outlineLevel="0" collapsed="false">
      <c r="A9628" s="1" t="s">
        <v>1496</v>
      </c>
      <c r="B9628" s="1" t="n">
        <v>200.42</v>
      </c>
      <c r="C9628" s="1" t="n">
        <f aca="false">1/B9628</f>
        <v>0.00498952200379204</v>
      </c>
      <c r="D9628" s="1" t="n">
        <v>0.85521</v>
      </c>
      <c r="E9628" s="1" t="n">
        <f aca="false">LN(D9628)</f>
        <v>-0.156408226168478</v>
      </c>
    </row>
    <row r="9629" customFormat="false" ht="15.75" hidden="false" customHeight="false" outlineLevel="0" collapsed="false">
      <c r="A9629" s="1" t="s">
        <v>1496</v>
      </c>
      <c r="B9629" s="1" t="n">
        <v>200.94</v>
      </c>
      <c r="C9629" s="1" t="n">
        <f aca="false">1/B9629</f>
        <v>0.00497660993331343</v>
      </c>
      <c r="D9629" s="1" t="n">
        <v>0.84564</v>
      </c>
      <c r="E9629" s="1" t="n">
        <f aca="false">LN(D9629)</f>
        <v>-0.167661541855206</v>
      </c>
    </row>
    <row r="9630" customFormat="false" ht="15.75" hidden="false" customHeight="false" outlineLevel="0" collapsed="false">
      <c r="A9630" s="1" t="s">
        <v>1496</v>
      </c>
      <c r="B9630" s="1" t="n">
        <v>201.47</v>
      </c>
      <c r="C9630" s="1" t="n">
        <f aca="false">1/B9630</f>
        <v>0.00496351814165881</v>
      </c>
      <c r="D9630" s="1" t="n">
        <v>0.83622</v>
      </c>
      <c r="E9630" s="1" t="n">
        <f aca="false">LN(D9630)</f>
        <v>-0.178863542622664</v>
      </c>
    </row>
    <row r="9631" customFormat="false" ht="15.75" hidden="false" customHeight="false" outlineLevel="0" collapsed="false">
      <c r="A9631" s="1" t="s">
        <v>1496</v>
      </c>
      <c r="B9631" s="1" t="n">
        <v>201.99</v>
      </c>
      <c r="C9631" s="1" t="n">
        <f aca="false">1/B9631</f>
        <v>0.00495074013565028</v>
      </c>
      <c r="D9631" s="1" t="n">
        <v>0.82694</v>
      </c>
      <c r="E9631" s="1" t="n">
        <f aca="false">LN(D9631)</f>
        <v>-0.190023137980993</v>
      </c>
    </row>
    <row r="9632" customFormat="false" ht="15.75" hidden="false" customHeight="false" outlineLevel="0" collapsed="false">
      <c r="A9632" s="1" t="s">
        <v>1496</v>
      </c>
      <c r="B9632" s="1" t="n">
        <v>202.51</v>
      </c>
      <c r="C9632" s="1" t="n">
        <f aca="false">1/B9632</f>
        <v>0.00493802775171597</v>
      </c>
      <c r="D9632" s="1" t="n">
        <v>0.81781</v>
      </c>
      <c r="E9632" s="1" t="n">
        <f aca="false">LN(D9632)</f>
        <v>-0.201125243197767</v>
      </c>
    </row>
    <row r="9633" customFormat="false" ht="15.75" hidden="false" customHeight="false" outlineLevel="0" collapsed="false">
      <c r="A9633" s="1" t="s">
        <v>1496</v>
      </c>
      <c r="B9633" s="1" t="n">
        <v>203.04</v>
      </c>
      <c r="C9633" s="1" t="n">
        <f aca="false">1/B9633</f>
        <v>0.00492513790386131</v>
      </c>
      <c r="D9633" s="1" t="n">
        <v>0.80883</v>
      </c>
      <c r="E9633" s="1" t="n">
        <f aca="false">LN(D9633)</f>
        <v>-0.212166519975636</v>
      </c>
    </row>
    <row r="9634" customFormat="false" ht="15.75" hidden="false" customHeight="false" outlineLevel="0" collapsed="false">
      <c r="A9634" s="1" t="s">
        <v>1496</v>
      </c>
      <c r="B9634" s="1" t="n">
        <v>203.56</v>
      </c>
      <c r="C9634" s="1" t="n">
        <f aca="false">1/B9634</f>
        <v>0.00491255649439969</v>
      </c>
      <c r="D9634" s="1" t="n">
        <v>0.79998</v>
      </c>
      <c r="E9634" s="1" t="n">
        <f aca="false">LN(D9634)</f>
        <v>-0.223168551626715</v>
      </c>
    </row>
    <row r="9635" customFormat="false" ht="15.75" hidden="false" customHeight="false" outlineLevel="0" collapsed="false">
      <c r="A9635" s="1" t="s">
        <v>1496</v>
      </c>
      <c r="B9635" s="1" t="n">
        <v>204.09</v>
      </c>
      <c r="C9635" s="1" t="n">
        <f aca="false">1/B9635</f>
        <v>0.00489979910823656</v>
      </c>
      <c r="D9635" s="1" t="n">
        <v>0.79127</v>
      </c>
      <c r="E9635" s="1" t="n">
        <f aca="false">LN(D9635)</f>
        <v>-0.2341160293819</v>
      </c>
    </row>
    <row r="9636" customFormat="false" ht="15.75" hidden="false" customHeight="false" outlineLevel="0" collapsed="false">
      <c r="A9636" s="1" t="s">
        <v>1496</v>
      </c>
      <c r="B9636" s="1" t="n">
        <v>204.61</v>
      </c>
      <c r="C9636" s="1" t="n">
        <f aca="false">1/B9636</f>
        <v>0.00488734665949856</v>
      </c>
      <c r="D9636" s="1" t="n">
        <v>0.78269</v>
      </c>
      <c r="E9636" s="1" t="n">
        <f aca="false">LN(D9636)</f>
        <v>-0.245018574540173</v>
      </c>
    </row>
    <row r="9637" customFormat="false" ht="15.75" hidden="false" customHeight="false" outlineLevel="0" collapsed="false">
      <c r="A9637" s="1" t="s">
        <v>1496</v>
      </c>
      <c r="B9637" s="1" t="n">
        <v>205.14</v>
      </c>
      <c r="C9637" s="1" t="n">
        <f aca="false">1/B9637</f>
        <v>0.00487471970361704</v>
      </c>
      <c r="D9637" s="1" t="n">
        <v>0.77424</v>
      </c>
      <c r="E9637" s="1" t="n">
        <f aca="false">LN(D9637)</f>
        <v>-0.255873375937129</v>
      </c>
    </row>
    <row r="9638" customFormat="false" ht="15.75" hidden="false" customHeight="false" outlineLevel="0" collapsed="false">
      <c r="A9638" s="1" t="s">
        <v>1496</v>
      </c>
      <c r="B9638" s="1" t="n">
        <v>205.66</v>
      </c>
      <c r="C9638" s="1" t="n">
        <f aca="false">1/B9638</f>
        <v>0.00486239424292522</v>
      </c>
      <c r="D9638" s="1" t="n">
        <v>0.76592</v>
      </c>
      <c r="E9638" s="1" t="n">
        <f aca="false">LN(D9638)</f>
        <v>-0.266677553337938</v>
      </c>
    </row>
    <row r="9639" customFormat="false" ht="15.75" hidden="false" customHeight="false" outlineLevel="0" collapsed="false">
      <c r="A9639" s="1" t="s">
        <v>1496</v>
      </c>
      <c r="B9639" s="1" t="n">
        <v>206.18</v>
      </c>
      <c r="C9639" s="1" t="n">
        <f aca="false">1/B9639</f>
        <v>0.00485013095353575</v>
      </c>
      <c r="D9639" s="1" t="n">
        <v>0.75772</v>
      </c>
      <c r="E9639" s="1" t="n">
        <f aca="false">LN(D9639)</f>
        <v>-0.277441354722059</v>
      </c>
    </row>
    <row r="9640" customFormat="false" ht="15.75" hidden="false" customHeight="false" outlineLevel="0" collapsed="false">
      <c r="A9640" s="1" t="s">
        <v>1496</v>
      </c>
      <c r="B9640" s="1" t="n">
        <v>206.71</v>
      </c>
      <c r="C9640" s="1" t="n">
        <f aca="false">1/B9640</f>
        <v>0.00483769532194862</v>
      </c>
      <c r="D9640" s="1" t="n">
        <v>0.74965</v>
      </c>
      <c r="E9640" s="1" t="n">
        <f aca="false">LN(D9640)</f>
        <v>-0.288148848041225</v>
      </c>
    </row>
    <row r="9641" customFormat="false" ht="15.75" hidden="false" customHeight="false" outlineLevel="0" collapsed="false">
      <c r="A9641" s="1" t="s">
        <v>1496</v>
      </c>
      <c r="B9641" s="1" t="n">
        <v>207.23</v>
      </c>
      <c r="C9641" s="1" t="n">
        <f aca="false">1/B9641</f>
        <v>0.00482555614534575</v>
      </c>
      <c r="D9641" s="1" t="n">
        <v>0.74169</v>
      </c>
      <c r="E9641" s="1" t="n">
        <f aca="false">LN(D9641)</f>
        <v>-0.298823912870625</v>
      </c>
    </row>
    <row r="9642" customFormat="false" ht="15.75" hidden="false" customHeight="false" outlineLevel="0" collapsed="false">
      <c r="A9642" s="1" t="s">
        <v>1496</v>
      </c>
      <c r="B9642" s="1" t="n">
        <v>207.76</v>
      </c>
      <c r="C9642" s="1" t="n">
        <f aca="false">1/B9642</f>
        <v>0.00481324605313824</v>
      </c>
      <c r="D9642" s="1" t="n">
        <v>0.73385</v>
      </c>
      <c r="E9642" s="1" t="n">
        <f aca="false">LN(D9642)</f>
        <v>-0.309450630924929</v>
      </c>
    </row>
    <row r="9643" customFormat="false" ht="15.75" hidden="false" customHeight="false" outlineLevel="0" collapsed="false">
      <c r="A9643" s="1" t="s">
        <v>1496</v>
      </c>
      <c r="B9643" s="1" t="n">
        <v>208.28</v>
      </c>
      <c r="C9643" s="1" t="n">
        <f aca="false">1/B9643</f>
        <v>0.00480122911465335</v>
      </c>
      <c r="D9643" s="1" t="n">
        <v>0.72613</v>
      </c>
      <c r="E9643" s="1" t="n">
        <f aca="false">LN(D9643)</f>
        <v>-0.320026216826389</v>
      </c>
    </row>
    <row r="9644" customFormat="false" ht="15.75" hidden="false" customHeight="false" outlineLevel="0" collapsed="false">
      <c r="A9644" s="1" t="s">
        <v>1496</v>
      </c>
      <c r="B9644" s="1" t="n">
        <v>208.81</v>
      </c>
      <c r="C9644" s="1" t="n">
        <f aca="false">1/B9644</f>
        <v>0.00478904267037019</v>
      </c>
      <c r="D9644" s="1" t="n">
        <v>0.71852</v>
      </c>
      <c r="E9644" s="1" t="n">
        <f aca="false">LN(D9644)</f>
        <v>-0.330561738081502</v>
      </c>
    </row>
    <row r="9645" customFormat="false" ht="15.75" hidden="false" customHeight="false" outlineLevel="0" collapsed="false">
      <c r="A9645" s="1" t="s">
        <v>1496</v>
      </c>
      <c r="B9645" s="1" t="n">
        <v>209.33</v>
      </c>
      <c r="C9645" s="1" t="n">
        <f aca="false">1/B9645</f>
        <v>0.00477714613290021</v>
      </c>
      <c r="D9645" s="1" t="n">
        <v>0.71103</v>
      </c>
      <c r="E9645" s="1" t="n">
        <f aca="false">LN(D9645)</f>
        <v>-0.341040655976215</v>
      </c>
    </row>
    <row r="9646" customFormat="false" ht="15.75" hidden="false" customHeight="false" outlineLevel="0" collapsed="false">
      <c r="A9646" s="1" t="s">
        <v>1496</v>
      </c>
      <c r="B9646" s="1" t="n">
        <v>209.85</v>
      </c>
      <c r="C9646" s="1" t="n">
        <f aca="false">1/B9646</f>
        <v>0.00476530855372885</v>
      </c>
      <c r="D9646" s="1" t="n">
        <v>0.70364</v>
      </c>
      <c r="E9646" s="1" t="n">
        <f aca="false">LN(D9646)</f>
        <v>-0.351488417251432</v>
      </c>
    </row>
    <row r="9647" customFormat="false" ht="15.75" hidden="false" customHeight="false" outlineLevel="0" collapsed="false">
      <c r="A9647" s="1" t="s">
        <v>1496</v>
      </c>
      <c r="B9647" s="1" t="n">
        <v>210.38</v>
      </c>
      <c r="C9647" s="1" t="n">
        <f aca="false">1/B9647</f>
        <v>0.00475330354596445</v>
      </c>
      <c r="D9647" s="1" t="n">
        <v>0.69635</v>
      </c>
      <c r="E9647" s="1" t="n">
        <f aca="false">LN(D9647)</f>
        <v>-0.361902871483036</v>
      </c>
    </row>
    <row r="9648" customFormat="false" ht="15.75" hidden="false" customHeight="false" outlineLevel="0" collapsed="false">
      <c r="A9648" s="1" t="s">
        <v>1496</v>
      </c>
      <c r="B9648" s="1" t="n">
        <v>210.9</v>
      </c>
      <c r="C9648" s="1" t="n">
        <f aca="false">1/B9648</f>
        <v>0.00474158368895211</v>
      </c>
      <c r="D9648" s="1" t="n">
        <v>0.68917</v>
      </c>
      <c r="E9648" s="1" t="n">
        <f aca="false">LN(D9648)</f>
        <v>-0.372267304004726</v>
      </c>
    </row>
    <row r="9649" customFormat="false" ht="15.75" hidden="false" customHeight="false" outlineLevel="0" collapsed="false">
      <c r="A9649" s="1" t="s">
        <v>1496</v>
      </c>
      <c r="B9649" s="1" t="n">
        <v>211.43</v>
      </c>
      <c r="C9649" s="1" t="n">
        <f aca="false">1/B9649</f>
        <v>0.00472969777231235</v>
      </c>
      <c r="D9649" s="1" t="n">
        <v>0.68209</v>
      </c>
      <c r="E9649" s="1" t="n">
        <f aca="false">LN(D9649)</f>
        <v>-0.38259366503588</v>
      </c>
    </row>
    <row r="9650" customFormat="false" ht="15.75" hidden="false" customHeight="false" outlineLevel="0" collapsed="false">
      <c r="A9650" s="1" t="s">
        <v>1496</v>
      </c>
      <c r="B9650" s="1" t="n">
        <v>211.95</v>
      </c>
      <c r="C9650" s="1" t="n">
        <f aca="false">1/B9650</f>
        <v>0.00471809389006841</v>
      </c>
      <c r="D9650" s="1" t="n">
        <v>0.67512</v>
      </c>
      <c r="E9650" s="1" t="n">
        <f aca="false">LN(D9650)</f>
        <v>-0.392864826132426</v>
      </c>
    </row>
    <row r="9651" customFormat="false" ht="15.75" hidden="false" customHeight="false" outlineLevel="0" collapsed="false">
      <c r="A9651" s="1" t="s">
        <v>1496</v>
      </c>
      <c r="B9651" s="1" t="n">
        <v>212.48</v>
      </c>
      <c r="C9651" s="1" t="n">
        <f aca="false">1/B9651</f>
        <v>0.00470632530120482</v>
      </c>
      <c r="D9651" s="1" t="n">
        <v>0.66824</v>
      </c>
      <c r="E9651" s="1" t="n">
        <f aca="false">LN(D9651)</f>
        <v>-0.403107888534486</v>
      </c>
    </row>
    <row r="9652" customFormat="false" ht="15.75" hidden="false" customHeight="false" outlineLevel="0" collapsed="false">
      <c r="A9652" s="1" t="s">
        <v>1496</v>
      </c>
      <c r="B9652" s="1" t="n">
        <v>213</v>
      </c>
      <c r="C9652" s="1" t="n">
        <f aca="false">1/B9652</f>
        <v>0.00469483568075117</v>
      </c>
      <c r="D9652" s="1" t="n">
        <v>0.66145</v>
      </c>
      <c r="E9652" s="1" t="n">
        <f aca="false">LN(D9652)</f>
        <v>-0.413320884073748</v>
      </c>
    </row>
    <row r="9653" customFormat="false" ht="15.75" hidden="false" customHeight="false" outlineLevel="0" collapsed="false">
      <c r="A9653" s="1" t="s">
        <v>1496</v>
      </c>
      <c r="B9653" s="1" t="n">
        <v>213.52</v>
      </c>
      <c r="C9653" s="1" t="n">
        <f aca="false">1/B9653</f>
        <v>0.00468340202322967</v>
      </c>
      <c r="D9653" s="1" t="n">
        <v>0.65476</v>
      </c>
      <c r="E9653" s="1" t="n">
        <f aca="false">LN(D9653)</f>
        <v>-0.423486522705983</v>
      </c>
    </row>
    <row r="9654" customFormat="false" ht="15.75" hidden="false" customHeight="false" outlineLevel="0" collapsed="false">
      <c r="A9654" s="1" t="s">
        <v>1496</v>
      </c>
      <c r="B9654" s="1" t="n">
        <v>214.05</v>
      </c>
      <c r="C9654" s="1" t="n">
        <f aca="false">1/B9654</f>
        <v>0.00467180565288484</v>
      </c>
      <c r="D9654" s="1" t="n">
        <v>0.64817</v>
      </c>
      <c r="E9654" s="1" t="n">
        <f aca="false">LN(D9654)</f>
        <v>-0.43360227135746</v>
      </c>
    </row>
    <row r="9655" customFormat="false" ht="15.75" hidden="false" customHeight="false" outlineLevel="0" collapsed="false">
      <c r="A9655" s="1" t="s">
        <v>1496</v>
      </c>
      <c r="B9655" s="1" t="n">
        <v>214.57</v>
      </c>
      <c r="C9655" s="1" t="n">
        <f aca="false">1/B9655</f>
        <v>0.0046604837582141</v>
      </c>
      <c r="D9655" s="1" t="n">
        <v>0.64166</v>
      </c>
      <c r="E9655" s="1" t="n">
        <f aca="false">LN(D9655)</f>
        <v>-0.443696710592724</v>
      </c>
    </row>
    <row r="9656" customFormat="false" ht="15.75" hidden="false" customHeight="false" outlineLevel="0" collapsed="false">
      <c r="A9656" s="1" t="s">
        <v>1496</v>
      </c>
      <c r="B9656" s="1" t="n">
        <v>215.1</v>
      </c>
      <c r="C9656" s="1" t="n">
        <f aca="false">1/B9656</f>
        <v>0.00464900046490005</v>
      </c>
      <c r="D9656" s="1" t="n">
        <v>0.63524</v>
      </c>
      <c r="E9656" s="1" t="n">
        <f aca="false">LN(D9656)</f>
        <v>-0.453752398739691</v>
      </c>
    </row>
    <row r="9657" customFormat="false" ht="15.75" hidden="false" customHeight="false" outlineLevel="0" collapsed="false">
      <c r="A9657" s="1" t="s">
        <v>1496</v>
      </c>
      <c r="B9657" s="1" t="n">
        <v>215.62</v>
      </c>
      <c r="C9657" s="1" t="n">
        <f aca="false">1/B9657</f>
        <v>0.00463778870234672</v>
      </c>
      <c r="D9657" s="1" t="n">
        <v>0.62891</v>
      </c>
      <c r="E9657" s="1" t="n">
        <f aca="false">LN(D9657)</f>
        <v>-0.463767116779957</v>
      </c>
    </row>
    <row r="9658" customFormat="false" ht="15.75" hidden="false" customHeight="false" outlineLevel="0" collapsed="false">
      <c r="A9658" s="1" t="s">
        <v>1496</v>
      </c>
      <c r="B9658" s="1" t="n">
        <v>216.15</v>
      </c>
      <c r="C9658" s="1" t="n">
        <f aca="false">1/B9658</f>
        <v>0.0046264168401573</v>
      </c>
      <c r="D9658" s="1" t="n">
        <v>0.62267</v>
      </c>
      <c r="E9658" s="1" t="n">
        <f aca="false">LN(D9658)</f>
        <v>-0.47373859555673</v>
      </c>
    </row>
    <row r="9659" customFormat="false" ht="15.75" hidden="false" customHeight="false" outlineLevel="0" collapsed="false">
      <c r="A9659" s="1" t="s">
        <v>1496</v>
      </c>
      <c r="B9659" s="1" t="n">
        <v>216.67</v>
      </c>
      <c r="C9659" s="1" t="n">
        <f aca="false">1/B9659</f>
        <v>0.00461531361055984</v>
      </c>
      <c r="D9659" s="1" t="n">
        <v>0.61651</v>
      </c>
      <c r="E9659" s="1" t="n">
        <f aca="false">LN(D9659)</f>
        <v>-0.483680735909128</v>
      </c>
    </row>
    <row r="9660" customFormat="false" ht="15.75" hidden="false" customHeight="false" outlineLevel="0" collapsed="false">
      <c r="A9660" s="1" t="s">
        <v>1496</v>
      </c>
      <c r="B9660" s="1" t="n">
        <v>217.19</v>
      </c>
      <c r="C9660" s="1" t="n">
        <f aca="false">1/B9660</f>
        <v>0.00460426354804549</v>
      </c>
      <c r="D9660" s="1" t="n">
        <v>0.61043</v>
      </c>
      <c r="E9660" s="1" t="n">
        <f aca="false">LN(D9660)</f>
        <v>-0.493591652120011</v>
      </c>
    </row>
    <row r="9661" customFormat="false" ht="15.75" hidden="false" customHeight="false" outlineLevel="0" collapsed="false">
      <c r="A9661" s="1" t="s">
        <v>1496</v>
      </c>
      <c r="B9661" s="1" t="n">
        <v>217.72</v>
      </c>
      <c r="C9661" s="1" t="n">
        <f aca="false">1/B9661</f>
        <v>0.00459305530038582</v>
      </c>
      <c r="D9661" s="1" t="n">
        <v>0.60444</v>
      </c>
      <c r="E9661" s="1" t="n">
        <f aca="false">LN(D9661)</f>
        <v>-0.503452869436578</v>
      </c>
    </row>
    <row r="9662" customFormat="false" ht="15.75" hidden="false" customHeight="false" outlineLevel="0" collapsed="false">
      <c r="A9662" s="1" t="s">
        <v>1496</v>
      </c>
      <c r="B9662" s="1" t="n">
        <v>218.24</v>
      </c>
      <c r="C9662" s="1" t="n">
        <f aca="false">1/B9662</f>
        <v>0.00458211143695015</v>
      </c>
      <c r="D9662" s="1" t="n">
        <v>0.59852</v>
      </c>
      <c r="E9662" s="1" t="n">
        <f aca="false">LN(D9662)</f>
        <v>-0.513295337666918</v>
      </c>
    </row>
    <row r="9663" customFormat="false" ht="15.75" hidden="false" customHeight="false" outlineLevel="0" collapsed="false">
      <c r="A9663" s="1" t="s">
        <v>1496</v>
      </c>
      <c r="B9663" s="1" t="n">
        <v>218.77</v>
      </c>
      <c r="C9663" s="1" t="n">
        <f aca="false">1/B9663</f>
        <v>0.00457101065045482</v>
      </c>
      <c r="D9663" s="1" t="n">
        <v>0.59268</v>
      </c>
      <c r="E9663" s="1" t="n">
        <f aca="false">LN(D9663)</f>
        <v>-0.523100654641603</v>
      </c>
    </row>
    <row r="9664" customFormat="false" ht="15.75" hidden="false" customHeight="false" outlineLevel="0" collapsed="false">
      <c r="A9664" s="1" t="s">
        <v>1496</v>
      </c>
      <c r="B9664" s="1" t="n">
        <v>219.29</v>
      </c>
      <c r="C9664" s="1" t="n">
        <f aca="false">1/B9664</f>
        <v>0.00456017146244699</v>
      </c>
      <c r="D9664" s="1" t="n">
        <v>0.58692</v>
      </c>
      <c r="E9664" s="1" t="n">
        <f aca="false">LN(D9664)</f>
        <v>-0.532866754642871</v>
      </c>
    </row>
    <row r="9665" customFormat="false" ht="15.75" hidden="false" customHeight="false" outlineLevel="0" collapsed="false">
      <c r="A9665" s="1" t="s">
        <v>1496</v>
      </c>
      <c r="B9665" s="1" t="n">
        <v>219.81</v>
      </c>
      <c r="C9665" s="1" t="n">
        <f aca="false">1/B9665</f>
        <v>0.00454938355852782</v>
      </c>
      <c r="D9665" s="1" t="n">
        <v>0.58123</v>
      </c>
      <c r="E9665" s="1" t="n">
        <f aca="false">LN(D9665)</f>
        <v>-0.542608731274711</v>
      </c>
    </row>
    <row r="9666" customFormat="false" ht="15.75" hidden="false" customHeight="false" outlineLevel="0" collapsed="false">
      <c r="A9666" s="1" t="s">
        <v>1496</v>
      </c>
      <c r="B9666" s="1" t="n">
        <v>220.34</v>
      </c>
      <c r="C9666" s="1" t="n">
        <f aca="false">1/B9666</f>
        <v>0.00453844059181265</v>
      </c>
      <c r="D9666" s="1" t="n">
        <v>0.57562</v>
      </c>
      <c r="E9666" s="1" t="n">
        <f aca="false">LN(D9666)</f>
        <v>-0.552307558220932</v>
      </c>
    </row>
    <row r="9667" customFormat="false" ht="15.75" hidden="false" customHeight="false" outlineLevel="0" collapsed="false">
      <c r="A9667" s="1" t="s">
        <v>1496</v>
      </c>
      <c r="B9667" s="1" t="n">
        <v>220.86</v>
      </c>
      <c r="C9667" s="1" t="n">
        <f aca="false">1/B9667</f>
        <v>0.00452775513900208</v>
      </c>
      <c r="D9667" s="1" t="n">
        <v>0.57007</v>
      </c>
      <c r="E9667" s="1" t="n">
        <f aca="false">LN(D9667)</f>
        <v>-0.561996118676162</v>
      </c>
    </row>
    <row r="9668" customFormat="false" ht="15.75" hidden="false" customHeight="false" outlineLevel="0" collapsed="false">
      <c r="A9668" s="1" t="s">
        <v>1496</v>
      </c>
      <c r="B9668" s="1" t="n">
        <v>221.39</v>
      </c>
      <c r="C9668" s="1" t="n">
        <f aca="false">1/B9668</f>
        <v>0.00451691584985772</v>
      </c>
      <c r="D9668" s="1" t="n">
        <v>0.5646</v>
      </c>
      <c r="E9668" s="1" t="n">
        <f aca="false">LN(D9668)</f>
        <v>-0.571637763162748</v>
      </c>
    </row>
    <row r="9669" customFormat="false" ht="15.75" hidden="false" customHeight="false" outlineLevel="0" collapsed="false">
      <c r="A9669" s="1" t="s">
        <v>1496</v>
      </c>
      <c r="B9669" s="1" t="n">
        <v>221.91</v>
      </c>
      <c r="C9669" s="1" t="n">
        <f aca="false">1/B9669</f>
        <v>0.00450633139561083</v>
      </c>
      <c r="D9669" s="1" t="n">
        <v>0.5592</v>
      </c>
      <c r="E9669" s="1" t="n">
        <f aca="false">LN(D9669)</f>
        <v>-0.581248088062536</v>
      </c>
    </row>
    <row r="9670" customFormat="false" ht="15.75" hidden="false" customHeight="false" outlineLevel="0" collapsed="false">
      <c r="A9670" s="1" t="s">
        <v>1496</v>
      </c>
      <c r="B9670" s="1" t="n">
        <v>222.44</v>
      </c>
      <c r="C9670" s="1" t="n">
        <f aca="false">1/B9670</f>
        <v>0.00449559431756878</v>
      </c>
      <c r="D9670" s="1" t="n">
        <v>0.55387</v>
      </c>
      <c r="E9670" s="1" t="n">
        <f aca="false">LN(D9670)</f>
        <v>-0.590825276810835</v>
      </c>
    </row>
    <row r="9671" customFormat="false" ht="15.75" hidden="false" customHeight="false" outlineLevel="0" collapsed="false">
      <c r="A9671" s="1" t="s">
        <v>1496</v>
      </c>
      <c r="B9671" s="1" t="n">
        <v>222.96</v>
      </c>
      <c r="C9671" s="1" t="n">
        <f aca="false">1/B9671</f>
        <v>0.00448510943667026</v>
      </c>
      <c r="D9671" s="1" t="n">
        <v>0.54861</v>
      </c>
      <c r="E9671" s="1" t="n">
        <f aca="false">LN(D9671)</f>
        <v>-0.600367472427486</v>
      </c>
    </row>
    <row r="9672" customFormat="false" ht="15.75" hidden="false" customHeight="false" outlineLevel="0" collapsed="false">
      <c r="A9672" s="1" t="s">
        <v>1496</v>
      </c>
      <c r="B9672" s="1" t="n">
        <v>223.48</v>
      </c>
      <c r="C9672" s="1" t="n">
        <f aca="false">1/B9672</f>
        <v>0.00447467334884553</v>
      </c>
      <c r="D9672" s="1" t="n">
        <v>0.54341</v>
      </c>
      <c r="E9672" s="1" t="n">
        <f aca="false">LN(D9672)</f>
        <v>-0.609891179509235</v>
      </c>
    </row>
    <row r="9673" customFormat="false" ht="15.75" hidden="false" customHeight="false" outlineLevel="0" collapsed="false">
      <c r="A9673" s="1" t="s">
        <v>1496</v>
      </c>
      <c r="B9673" s="1" t="n">
        <v>224.01</v>
      </c>
      <c r="C9673" s="1" t="n">
        <f aca="false">1/B9673</f>
        <v>0.00446408642471318</v>
      </c>
      <c r="D9673" s="1" t="n">
        <v>0.53828</v>
      </c>
      <c r="E9673" s="1" t="n">
        <f aca="false">LN(D9673)</f>
        <v>-0.619376408108796</v>
      </c>
    </row>
    <row r="9674" customFormat="false" ht="15.75" hidden="false" customHeight="false" outlineLevel="0" collapsed="false">
      <c r="A9674" s="1" t="s">
        <v>1496</v>
      </c>
      <c r="B9674" s="1" t="n">
        <v>224.53</v>
      </c>
      <c r="C9674" s="1" t="n">
        <f aca="false">1/B9674</f>
        <v>0.00445374782879793</v>
      </c>
      <c r="D9674" s="1" t="n">
        <v>0.53321</v>
      </c>
      <c r="E9674" s="1" t="n">
        <f aca="false">LN(D9674)</f>
        <v>-0.628839936164778</v>
      </c>
    </row>
    <row r="9675" customFormat="false" ht="15.75" hidden="false" customHeight="false" outlineLevel="0" collapsed="false">
      <c r="A9675" s="1" t="s">
        <v>1496</v>
      </c>
      <c r="B9675" s="1" t="n">
        <v>225.06</v>
      </c>
      <c r="C9675" s="1" t="n">
        <f aca="false">1/B9675</f>
        <v>0.00444325957522438</v>
      </c>
      <c r="D9675" s="1" t="n">
        <v>0.5282</v>
      </c>
      <c r="E9675" s="1" t="n">
        <f aca="false">LN(D9675)</f>
        <v>-0.638280279119105</v>
      </c>
    </row>
    <row r="9676" customFormat="false" ht="15.75" hidden="false" customHeight="false" outlineLevel="0" collapsed="false">
      <c r="A9676" s="1" t="s">
        <v>1496</v>
      </c>
      <c r="B9676" s="1" t="n">
        <v>225.58</v>
      </c>
      <c r="C9676" s="1" t="n">
        <f aca="false">1/B9676</f>
        <v>0.00443301711144605</v>
      </c>
      <c r="D9676" s="1" t="n">
        <v>0.52326</v>
      </c>
      <c r="E9676" s="1" t="n">
        <f aca="false">LN(D9676)</f>
        <v>-0.647676806515188</v>
      </c>
    </row>
    <row r="9677" customFormat="false" ht="15.75" hidden="false" customHeight="false" outlineLevel="0" collapsed="false">
      <c r="A9677" s="1" t="s">
        <v>1496</v>
      </c>
      <c r="B9677" s="1" t="n">
        <v>226.11</v>
      </c>
      <c r="C9677" s="1" t="n">
        <f aca="false">1/B9677</f>
        <v>0.00442262615541108</v>
      </c>
      <c r="D9677" s="1" t="n">
        <v>0.51837</v>
      </c>
      <c r="E9677" s="1" t="n">
        <f aca="false">LN(D9677)</f>
        <v>-0.657066005988997</v>
      </c>
    </row>
    <row r="9678" customFormat="false" ht="15.75" hidden="false" customHeight="false" outlineLevel="0" collapsed="false">
      <c r="A9678" s="1" t="s">
        <v>1496</v>
      </c>
      <c r="B9678" s="1" t="n">
        <v>226.63</v>
      </c>
      <c r="C9678" s="1" t="n">
        <f aca="false">1/B9678</f>
        <v>0.00441247848916737</v>
      </c>
      <c r="D9678" s="1" t="n">
        <v>0.51355</v>
      </c>
      <c r="E9678" s="1" t="n">
        <f aca="false">LN(D9678)</f>
        <v>-0.666407883370324</v>
      </c>
    </row>
    <row r="9679" customFormat="false" ht="15.75" hidden="false" customHeight="false" outlineLevel="0" collapsed="false">
      <c r="A9679" s="1" t="s">
        <v>1496</v>
      </c>
      <c r="B9679" s="1" t="n">
        <v>227.15</v>
      </c>
      <c r="C9679" s="1" t="n">
        <f aca="false">1/B9679</f>
        <v>0.00440237728373322</v>
      </c>
      <c r="D9679" s="1" t="n">
        <v>0.50878</v>
      </c>
      <c r="E9679" s="1" t="n">
        <f aca="false">LN(D9679)</f>
        <v>-0.675739575904912</v>
      </c>
    </row>
    <row r="9680" customFormat="false" ht="15.75" hidden="false" customHeight="false" outlineLevel="0" collapsed="false">
      <c r="A9680" s="1" t="s">
        <v>1496</v>
      </c>
      <c r="B9680" s="1" t="n">
        <v>227.68</v>
      </c>
      <c r="C9680" s="1" t="n">
        <f aca="false">1/B9680</f>
        <v>0.00439212930428672</v>
      </c>
      <c r="D9680" s="1" t="n">
        <v>0.50408</v>
      </c>
      <c r="E9680" s="1" t="n">
        <f aca="false">LN(D9680)</f>
        <v>-0.685020293348337</v>
      </c>
    </row>
    <row r="9681" customFormat="false" ht="15.75" hidden="false" customHeight="false" outlineLevel="0" collapsed="false">
      <c r="A9681" s="1" t="s">
        <v>1496</v>
      </c>
      <c r="B9681" s="1" t="n">
        <v>228.2</v>
      </c>
      <c r="C9681" s="1" t="n">
        <f aca="false">1/B9681</f>
        <v>0.00438212094653813</v>
      </c>
      <c r="D9681" s="1" t="n">
        <v>0.49942</v>
      </c>
      <c r="E9681" s="1" t="n">
        <f aca="false">LN(D9681)</f>
        <v>-0.694307853880697</v>
      </c>
    </row>
    <row r="9682" customFormat="false" ht="15.75" hidden="false" customHeight="false" outlineLevel="0" collapsed="false">
      <c r="A9682" s="1" t="s">
        <v>1496</v>
      </c>
      <c r="B9682" s="1" t="n">
        <v>228.73</v>
      </c>
      <c r="C9682" s="1" t="n">
        <f aca="false">1/B9682</f>
        <v>0.00437196694792987</v>
      </c>
      <c r="D9682" s="1" t="n">
        <v>0.49483</v>
      </c>
      <c r="E9682" s="1" t="n">
        <f aca="false">LN(D9682)</f>
        <v>-0.703541009743961</v>
      </c>
    </row>
    <row r="9683" customFormat="false" ht="15.75" hidden="false" customHeight="false" outlineLevel="0" collapsed="false">
      <c r="A9683" s="1" t="s">
        <v>1496</v>
      </c>
      <c r="B9683" s="1" t="n">
        <v>229.25</v>
      </c>
      <c r="C9683" s="1" t="n">
        <f aca="false">1/B9683</f>
        <v>0.00436205016357688</v>
      </c>
      <c r="D9683" s="1" t="n">
        <v>0.49029</v>
      </c>
      <c r="E9683" s="1" t="n">
        <f aca="false">LN(D9683)</f>
        <v>-0.712758226209061</v>
      </c>
    </row>
    <row r="9684" customFormat="false" ht="15.75" hidden="false" customHeight="false" outlineLevel="0" collapsed="false">
      <c r="A9684" s="1" t="s">
        <v>1496</v>
      </c>
      <c r="B9684" s="1" t="n">
        <v>229.78</v>
      </c>
      <c r="C9684" s="1" t="n">
        <f aca="false">1/B9684</f>
        <v>0.00435198885890852</v>
      </c>
      <c r="D9684" s="1" t="n">
        <v>0.4858</v>
      </c>
      <c r="E9684" s="1" t="n">
        <f aca="false">LN(D9684)</f>
        <v>-0.721958262414065</v>
      </c>
    </row>
    <row r="9685" customFormat="false" ht="15.75" hidden="false" customHeight="false" outlineLevel="0" collapsed="false">
      <c r="A9685" s="1" t="s">
        <v>1496</v>
      </c>
      <c r="B9685" s="1" t="n">
        <v>230.3</v>
      </c>
      <c r="C9685" s="1" t="n">
        <f aca="false">1/B9685</f>
        <v>0.00434216239687364</v>
      </c>
      <c r="D9685" s="1" t="n">
        <v>0.48137</v>
      </c>
      <c r="E9685" s="1" t="n">
        <f aca="false">LN(D9685)</f>
        <v>-0.731119073813499</v>
      </c>
    </row>
    <row r="9686" customFormat="false" ht="15.75" hidden="false" customHeight="false" outlineLevel="0" collapsed="false">
      <c r="A9686" s="1" t="s">
        <v>1496</v>
      </c>
      <c r="B9686" s="1" t="n">
        <v>230.82</v>
      </c>
      <c r="C9686" s="1" t="n">
        <f aca="false">1/B9686</f>
        <v>0.0043323802096872</v>
      </c>
      <c r="D9686" s="1" t="n">
        <v>0.47698</v>
      </c>
      <c r="E9686" s="1" t="n">
        <f aca="false">LN(D9686)</f>
        <v>-0.740280717694003</v>
      </c>
    </row>
    <row r="9687" customFormat="false" ht="15.75" hidden="false" customHeight="false" outlineLevel="0" collapsed="false">
      <c r="A9687" s="1" t="s">
        <v>1496</v>
      </c>
      <c r="B9687" s="1" t="n">
        <v>231.35</v>
      </c>
      <c r="C9687" s="1" t="n">
        <f aca="false">1/B9687</f>
        <v>0.00432245515452777</v>
      </c>
      <c r="D9687" s="1" t="n">
        <v>0.47265</v>
      </c>
      <c r="E9687" s="1" t="n">
        <f aca="false">LN(D9687)</f>
        <v>-0.749400122110744</v>
      </c>
    </row>
    <row r="9688" customFormat="false" ht="15.75" hidden="false" customHeight="false" outlineLevel="0" collapsed="false">
      <c r="A9688" s="1" t="s">
        <v>1496</v>
      </c>
      <c r="B9688" s="1" t="n">
        <v>231.87</v>
      </c>
      <c r="C9688" s="1" t="n">
        <f aca="false">1/B9688</f>
        <v>0.00431276146116358</v>
      </c>
      <c r="D9688" s="1" t="n">
        <v>0.46837</v>
      </c>
      <c r="E9688" s="1" t="n">
        <f aca="false">LN(D9688)</f>
        <v>-0.758496697132098</v>
      </c>
    </row>
    <row r="9689" customFormat="false" ht="15.75" hidden="false" customHeight="false" outlineLevel="0" collapsed="false">
      <c r="A9689" s="1" t="s">
        <v>1496</v>
      </c>
      <c r="B9689" s="1" t="n">
        <v>232.4</v>
      </c>
      <c r="C9689" s="1" t="n">
        <f aca="false">1/B9689</f>
        <v>0.00430292598967298</v>
      </c>
      <c r="D9689" s="1" t="n">
        <v>0.46414</v>
      </c>
      <c r="E9689" s="1" t="n">
        <f aca="false">LN(D9689)</f>
        <v>-0.767569048127524</v>
      </c>
    </row>
    <row r="9690" customFormat="false" ht="15.75" hidden="false" customHeight="false" outlineLevel="0" collapsed="false">
      <c r="A9690" s="1" t="s">
        <v>1496</v>
      </c>
      <c r="B9690" s="1" t="n">
        <v>232.92</v>
      </c>
      <c r="C9690" s="1" t="n">
        <f aca="false">1/B9690</f>
        <v>0.00429331959471063</v>
      </c>
      <c r="D9690" s="1" t="n">
        <v>0.45996</v>
      </c>
      <c r="E9690" s="1" t="n">
        <f aca="false">LN(D9690)</f>
        <v>-0.776615749801673</v>
      </c>
    </row>
    <row r="9691" customFormat="false" ht="15.75" hidden="false" customHeight="false" outlineLevel="0" collapsed="false">
      <c r="A9691" s="1" t="s">
        <v>1496</v>
      </c>
      <c r="B9691" s="1" t="n">
        <v>233.45</v>
      </c>
      <c r="C9691" s="1" t="n">
        <f aca="false">1/B9691</f>
        <v>0.00428357249946455</v>
      </c>
      <c r="D9691" s="1" t="n">
        <v>0.45582</v>
      </c>
      <c r="E9691" s="1" t="n">
        <f aca="false">LN(D9691)</f>
        <v>-0.785657284238952</v>
      </c>
    </row>
    <row r="9692" customFormat="false" ht="15.75" hidden="false" customHeight="false" outlineLevel="0" collapsed="false">
      <c r="A9692" s="1" t="s">
        <v>1496</v>
      </c>
      <c r="B9692" s="1" t="n">
        <v>233.97</v>
      </c>
      <c r="C9692" s="1" t="n">
        <f aca="false">1/B9692</f>
        <v>0.00427405222891824</v>
      </c>
      <c r="D9692" s="1" t="n">
        <v>0.45174</v>
      </c>
      <c r="E9692" s="1" t="n">
        <f aca="false">LN(D9692)</f>
        <v>-0.794648485892051</v>
      </c>
    </row>
    <row r="9693" customFormat="false" ht="15.75" hidden="false" customHeight="false" outlineLevel="0" collapsed="false">
      <c r="A9693" s="1" t="s">
        <v>1496</v>
      </c>
      <c r="B9693" s="1" t="n">
        <v>234.49</v>
      </c>
      <c r="C9693" s="1" t="n">
        <f aca="false">1/B9693</f>
        <v>0.0042645741822679</v>
      </c>
      <c r="D9693" s="1" t="n">
        <v>0.44769</v>
      </c>
      <c r="E9693" s="1" t="n">
        <f aca="false">LN(D9693)</f>
        <v>-0.803654250370651</v>
      </c>
    </row>
    <row r="9694" customFormat="false" ht="15.75" hidden="false" customHeight="false" outlineLevel="0" collapsed="false">
      <c r="A9694" s="1" t="s">
        <v>1496</v>
      </c>
      <c r="B9694" s="1" t="n">
        <v>235.02</v>
      </c>
      <c r="C9694" s="1" t="n">
        <f aca="false">1/B9694</f>
        <v>0.00425495702493405</v>
      </c>
      <c r="D9694" s="1" t="n">
        <v>0.4437</v>
      </c>
      <c r="E9694" s="1" t="n">
        <f aca="false">LN(D9694)</f>
        <v>-0.812606620597273</v>
      </c>
    </row>
    <row r="9695" customFormat="false" ht="15.75" hidden="false" customHeight="false" outlineLevel="0" collapsed="false">
      <c r="A9695" s="1" t="s">
        <v>1496</v>
      </c>
      <c r="B9695" s="1" t="n">
        <v>235.54</v>
      </c>
      <c r="C9695" s="1" t="n">
        <f aca="false">1/B9695</f>
        <v>0.00424556338626136</v>
      </c>
      <c r="D9695" s="1" t="n">
        <v>0.43975</v>
      </c>
      <c r="E9695" s="1" t="n">
        <f aca="false">LN(D9695)</f>
        <v>-0.821548895364469</v>
      </c>
    </row>
    <row r="9696" customFormat="false" ht="15.75" hidden="false" customHeight="false" outlineLevel="0" collapsed="false">
      <c r="A9696" s="1" t="s">
        <v>1496</v>
      </c>
      <c r="B9696" s="1" t="n">
        <v>236.07</v>
      </c>
      <c r="C9696" s="1" t="n">
        <f aca="false">1/B9696</f>
        <v>0.00423603168551701</v>
      </c>
      <c r="D9696" s="1" t="n">
        <v>0.43584</v>
      </c>
      <c r="E9696" s="1" t="n">
        <f aca="false">LN(D9696)</f>
        <v>-0.830480075461044</v>
      </c>
    </row>
    <row r="9697" customFormat="false" ht="15.75" hidden="false" customHeight="false" outlineLevel="0" collapsed="false">
      <c r="A9697" s="1" t="s">
        <v>1496</v>
      </c>
      <c r="B9697" s="1" t="n">
        <v>236.07</v>
      </c>
      <c r="C9697" s="1" t="n">
        <f aca="false">1/B9697</f>
        <v>0.00423603168551701</v>
      </c>
      <c r="D9697" s="1" t="n">
        <v>0.43581</v>
      </c>
      <c r="E9697" s="1" t="n">
        <f aca="false">LN(D9697)</f>
        <v>-0.830548910429235</v>
      </c>
    </row>
    <row r="9698" customFormat="false" ht="15.75" hidden="false" customHeight="false" outlineLevel="0" collapsed="false">
      <c r="A9698" s="1" t="s">
        <v>1188</v>
      </c>
      <c r="B9698" s="1" t="n">
        <v>146.35</v>
      </c>
      <c r="C9698" s="1" t="n">
        <f aca="false">1/B9698</f>
        <v>0.00683293474547318</v>
      </c>
      <c r="D9698" s="1" t="n">
        <v>3.8228</v>
      </c>
      <c r="E9698" s="1" t="n">
        <f aca="false">LN(D9698)</f>
        <v>1.34098313840989</v>
      </c>
    </row>
    <row r="9699" customFormat="false" ht="15.75" hidden="false" customHeight="false" outlineLevel="0" collapsed="false">
      <c r="A9699" s="1" t="s">
        <v>1188</v>
      </c>
      <c r="B9699" s="1" t="n">
        <v>146.9</v>
      </c>
      <c r="C9699" s="1" t="n">
        <f aca="false">1/B9699</f>
        <v>0.0068073519400953</v>
      </c>
      <c r="D9699" s="1" t="n">
        <v>3.7533</v>
      </c>
      <c r="E9699" s="1" t="n">
        <f aca="false">LN(D9699)</f>
        <v>1.32263545300933</v>
      </c>
    </row>
    <row r="9700" customFormat="false" ht="15.75" hidden="false" customHeight="false" outlineLevel="0" collapsed="false">
      <c r="A9700" s="1" t="s">
        <v>1188</v>
      </c>
      <c r="B9700" s="1" t="n">
        <v>147.45</v>
      </c>
      <c r="C9700" s="1" t="n">
        <f aca="false">1/B9700</f>
        <v>0.00678195998643608</v>
      </c>
      <c r="D9700" s="1" t="n">
        <v>3.6856</v>
      </c>
      <c r="E9700" s="1" t="n">
        <f aca="false">LN(D9700)</f>
        <v>1.30443333463957</v>
      </c>
    </row>
    <row r="9701" customFormat="false" ht="15.75" hidden="false" customHeight="false" outlineLevel="0" collapsed="false">
      <c r="A9701" s="1" t="s">
        <v>1188</v>
      </c>
      <c r="B9701" s="1" t="n">
        <v>147.99</v>
      </c>
      <c r="C9701" s="1" t="n">
        <f aca="false">1/B9701</f>
        <v>0.00675721332522468</v>
      </c>
      <c r="D9701" s="1" t="n">
        <v>3.6197</v>
      </c>
      <c r="E9701" s="1" t="n">
        <f aca="false">LN(D9701)</f>
        <v>1.28639114947535</v>
      </c>
    </row>
    <row r="9702" customFormat="false" ht="15.75" hidden="false" customHeight="false" outlineLevel="0" collapsed="false">
      <c r="A9702" s="1" t="s">
        <v>1188</v>
      </c>
      <c r="B9702" s="1" t="n">
        <v>148.54</v>
      </c>
      <c r="C9702" s="1" t="n">
        <f aca="false">1/B9702</f>
        <v>0.00673219334859297</v>
      </c>
      <c r="D9702" s="1" t="n">
        <v>3.5555</v>
      </c>
      <c r="E9702" s="1" t="n">
        <f aca="false">LN(D9702)</f>
        <v>1.26849570034144</v>
      </c>
    </row>
    <row r="9703" customFormat="false" ht="15.75" hidden="false" customHeight="false" outlineLevel="0" collapsed="false">
      <c r="A9703" s="1" t="s">
        <v>1188</v>
      </c>
      <c r="B9703" s="1" t="n">
        <v>149.09</v>
      </c>
      <c r="C9703" s="1" t="n">
        <f aca="false">1/B9703</f>
        <v>0.00670735797169495</v>
      </c>
      <c r="D9703" s="1" t="n">
        <v>3.493</v>
      </c>
      <c r="E9703" s="1" t="n">
        <f aca="false">LN(D9703)</f>
        <v>1.2507609658247</v>
      </c>
    </row>
    <row r="9704" customFormat="false" ht="15.75" hidden="false" customHeight="false" outlineLevel="0" collapsed="false">
      <c r="A9704" s="1" t="s">
        <v>1188</v>
      </c>
      <c r="B9704" s="1" t="n">
        <v>149.64</v>
      </c>
      <c r="C9704" s="1" t="n">
        <f aca="false">1/B9704</f>
        <v>0.00668270515904838</v>
      </c>
      <c r="D9704" s="1" t="n">
        <v>3.432</v>
      </c>
      <c r="E9704" s="1" t="n">
        <f aca="false">LN(D9704)</f>
        <v>1.23314318162572</v>
      </c>
    </row>
    <row r="9705" customFormat="false" ht="15.75" hidden="false" customHeight="false" outlineLevel="0" collapsed="false">
      <c r="A9705" s="1" t="s">
        <v>1188</v>
      </c>
      <c r="B9705" s="1" t="n">
        <v>150.18</v>
      </c>
      <c r="C9705" s="1" t="n">
        <f aca="false">1/B9705</f>
        <v>0.00665867625516047</v>
      </c>
      <c r="D9705" s="1" t="n">
        <v>3.3726</v>
      </c>
      <c r="E9705" s="1" t="n">
        <f aca="false">LN(D9705)</f>
        <v>1.21568396025395</v>
      </c>
    </row>
    <row r="9706" customFormat="false" ht="15.75" hidden="false" customHeight="false" outlineLevel="0" collapsed="false">
      <c r="A9706" s="1" t="s">
        <v>1188</v>
      </c>
      <c r="B9706" s="1" t="n">
        <v>150.73</v>
      </c>
      <c r="C9706" s="1" t="n">
        <f aca="false">1/B9706</f>
        <v>0.00663437935381145</v>
      </c>
      <c r="D9706" s="1" t="n">
        <v>3.3147</v>
      </c>
      <c r="E9706" s="1" t="n">
        <f aca="false">LN(D9706)</f>
        <v>1.1983671218051</v>
      </c>
    </row>
    <row r="9707" customFormat="false" ht="15.75" hidden="false" customHeight="false" outlineLevel="0" collapsed="false">
      <c r="A9707" s="1" t="s">
        <v>1188</v>
      </c>
      <c r="B9707" s="1" t="n">
        <v>151.28</v>
      </c>
      <c r="C9707" s="1" t="n">
        <f aca="false">1/B9707</f>
        <v>0.00661025912215759</v>
      </c>
      <c r="D9707" s="1" t="n">
        <v>3.2582</v>
      </c>
      <c r="E9707" s="1" t="n">
        <f aca="false">LN(D9707)</f>
        <v>1.18117489564993</v>
      </c>
    </row>
    <row r="9708" customFormat="false" ht="15.75" hidden="false" customHeight="false" outlineLevel="0" collapsed="false">
      <c r="A9708" s="1" t="s">
        <v>1188</v>
      </c>
      <c r="B9708" s="1" t="n">
        <v>151.83</v>
      </c>
      <c r="C9708" s="1" t="n">
        <f aca="false">1/B9708</f>
        <v>0.00658631364025555</v>
      </c>
      <c r="D9708" s="1" t="n">
        <v>3.2031</v>
      </c>
      <c r="E9708" s="1" t="n">
        <f aca="false">LN(D9708)</f>
        <v>1.16411909087023</v>
      </c>
    </row>
    <row r="9709" customFormat="false" ht="15.75" hidden="false" customHeight="false" outlineLevel="0" collapsed="false">
      <c r="A9709" s="1" t="s">
        <v>1188</v>
      </c>
      <c r="B9709" s="1" t="n">
        <v>152.38</v>
      </c>
      <c r="C9709" s="1" t="n">
        <f aca="false">1/B9709</f>
        <v>0.00656254101588135</v>
      </c>
      <c r="D9709" s="1" t="n">
        <v>3.1494</v>
      </c>
      <c r="E9709" s="1" t="n">
        <f aca="false">LN(D9709)</f>
        <v>1.14721195850417</v>
      </c>
    </row>
    <row r="9710" customFormat="false" ht="15.75" hidden="false" customHeight="false" outlineLevel="0" collapsed="false">
      <c r="A9710" s="1" t="s">
        <v>1188</v>
      </c>
      <c r="B9710" s="1" t="n">
        <v>152.92</v>
      </c>
      <c r="C9710" s="1" t="n">
        <f aca="false">1/B9710</f>
        <v>0.00653936698927544</v>
      </c>
      <c r="D9710" s="1" t="n">
        <v>3.097</v>
      </c>
      <c r="E9710" s="1" t="n">
        <f aca="false">LN(D9710)</f>
        <v>1.13043390099107</v>
      </c>
    </row>
    <row r="9711" customFormat="false" ht="15.75" hidden="false" customHeight="false" outlineLevel="0" collapsed="false">
      <c r="A9711" s="1" t="s">
        <v>1188</v>
      </c>
      <c r="B9711" s="1" t="n">
        <v>153.47</v>
      </c>
      <c r="C9711" s="1" t="n">
        <f aca="false">1/B9711</f>
        <v>0.00651593145240112</v>
      </c>
      <c r="D9711" s="1" t="n">
        <v>3.0459</v>
      </c>
      <c r="E9711" s="1" t="n">
        <f aca="false">LN(D9711)</f>
        <v>1.11379642399315</v>
      </c>
    </row>
    <row r="9712" customFormat="false" ht="15.75" hidden="false" customHeight="false" outlineLevel="0" collapsed="false">
      <c r="A9712" s="1" t="s">
        <v>1188</v>
      </c>
      <c r="B9712" s="1" t="n">
        <v>154.02</v>
      </c>
      <c r="C9712" s="1" t="n">
        <f aca="false">1/B9712</f>
        <v>0.00649266329048175</v>
      </c>
      <c r="D9712" s="1" t="n">
        <v>2.9959</v>
      </c>
      <c r="E9712" s="1" t="n">
        <f aca="false">LN(D9712)</f>
        <v>1.0972446872608</v>
      </c>
    </row>
    <row r="9713" customFormat="false" ht="15.75" hidden="false" customHeight="false" outlineLevel="0" collapsed="false">
      <c r="A9713" s="1" t="s">
        <v>1188</v>
      </c>
      <c r="B9713" s="1" t="n">
        <v>154.57</v>
      </c>
      <c r="C9713" s="1" t="n">
        <f aca="false">1/B9713</f>
        <v>0.00646956071682733</v>
      </c>
      <c r="D9713" s="1" t="n">
        <v>2.9472</v>
      </c>
      <c r="E9713" s="1" t="n">
        <f aca="false">LN(D9713)</f>
        <v>1.08085556707885</v>
      </c>
    </row>
    <row r="9714" customFormat="false" ht="15.75" hidden="false" customHeight="false" outlineLevel="0" collapsed="false">
      <c r="A9714" s="1" t="s">
        <v>1188</v>
      </c>
      <c r="B9714" s="1" t="n">
        <v>155.11</v>
      </c>
      <c r="C9714" s="1" t="n">
        <f aca="false">1/B9714</f>
        <v>0.00644703758622913</v>
      </c>
      <c r="D9714" s="1" t="n">
        <v>2.8997</v>
      </c>
      <c r="E9714" s="1" t="n">
        <f aca="false">LN(D9714)</f>
        <v>1.06460728336542</v>
      </c>
    </row>
    <row r="9715" customFormat="false" ht="15.75" hidden="false" customHeight="false" outlineLevel="0" collapsed="false">
      <c r="A9715" s="1" t="s">
        <v>1188</v>
      </c>
      <c r="B9715" s="1" t="n">
        <v>155.66</v>
      </c>
      <c r="C9715" s="1" t="n">
        <f aca="false">1/B9715</f>
        <v>0.00642425799820121</v>
      </c>
      <c r="D9715" s="1" t="n">
        <v>2.8532</v>
      </c>
      <c r="E9715" s="1" t="n">
        <f aca="false">LN(D9715)</f>
        <v>1.04844117142175</v>
      </c>
    </row>
    <row r="9716" customFormat="false" ht="15.75" hidden="false" customHeight="false" outlineLevel="0" collapsed="false">
      <c r="A9716" s="1" t="s">
        <v>1188</v>
      </c>
      <c r="B9716" s="1" t="n">
        <v>156.21</v>
      </c>
      <c r="C9716" s="1" t="n">
        <f aca="false">1/B9716</f>
        <v>0.0064016388195378</v>
      </c>
      <c r="D9716" s="1" t="n">
        <v>2.8078</v>
      </c>
      <c r="E9716" s="1" t="n">
        <f aca="false">LN(D9716)</f>
        <v>1.03240125855571</v>
      </c>
    </row>
    <row r="9717" customFormat="false" ht="15.75" hidden="false" customHeight="false" outlineLevel="0" collapsed="false">
      <c r="A9717" s="1" t="s">
        <v>1188</v>
      </c>
      <c r="B9717" s="1" t="n">
        <v>156.76</v>
      </c>
      <c r="C9717" s="1" t="n">
        <f aca="false">1/B9717</f>
        <v>0.006379178361827</v>
      </c>
      <c r="D9717" s="1" t="n">
        <v>2.7635</v>
      </c>
      <c r="E9717" s="1" t="n">
        <f aca="false">LN(D9717)</f>
        <v>1.01649799229118</v>
      </c>
    </row>
    <row r="9718" customFormat="false" ht="15.75" hidden="false" customHeight="false" outlineLevel="0" collapsed="false">
      <c r="A9718" s="1" t="s">
        <v>1188</v>
      </c>
      <c r="B9718" s="1" t="n">
        <v>157.31</v>
      </c>
      <c r="C9718" s="1" t="n">
        <f aca="false">1/B9718</f>
        <v>0.00635687496026953</v>
      </c>
      <c r="D9718" s="1" t="n">
        <v>2.7203</v>
      </c>
      <c r="E9718" s="1" t="n">
        <f aca="false">LN(D9718)</f>
        <v>1.0007421683436</v>
      </c>
    </row>
    <row r="9719" customFormat="false" ht="15.75" hidden="false" customHeight="false" outlineLevel="0" collapsed="false">
      <c r="A9719" s="1" t="s">
        <v>1188</v>
      </c>
      <c r="B9719" s="1" t="n">
        <v>157.85</v>
      </c>
      <c r="C9719" s="1" t="n">
        <f aca="false">1/B9719</f>
        <v>0.0063351282863478</v>
      </c>
      <c r="D9719" s="1" t="n">
        <v>2.678</v>
      </c>
      <c r="E9719" s="1" t="n">
        <f aca="false">LN(D9719)</f>
        <v>0.985070247268981</v>
      </c>
    </row>
    <row r="9720" customFormat="false" ht="15.75" hidden="false" customHeight="false" outlineLevel="0" collapsed="false">
      <c r="A9720" s="1" t="s">
        <v>1188</v>
      </c>
      <c r="B9720" s="1" t="n">
        <v>158.4</v>
      </c>
      <c r="C9720" s="1" t="n">
        <f aca="false">1/B9720</f>
        <v>0.00631313131313131</v>
      </c>
      <c r="D9720" s="1" t="n">
        <v>2.6366</v>
      </c>
      <c r="E9720" s="1" t="n">
        <f aca="false">LN(D9720)</f>
        <v>0.969490208341732</v>
      </c>
    </row>
    <row r="9721" customFormat="false" ht="15.75" hidden="false" customHeight="false" outlineLevel="0" collapsed="false">
      <c r="A9721" s="1" t="s">
        <v>1188</v>
      </c>
      <c r="B9721" s="1" t="n">
        <v>158.95</v>
      </c>
      <c r="C9721" s="1" t="n">
        <f aca="false">1/B9721</f>
        <v>0.00629128656810318</v>
      </c>
      <c r="D9721" s="1" t="n">
        <v>2.5962</v>
      </c>
      <c r="E9721" s="1" t="n">
        <f aca="false">LN(D9721)</f>
        <v>0.954048837476757</v>
      </c>
    </row>
    <row r="9722" customFormat="false" ht="15.75" hidden="false" customHeight="false" outlineLevel="0" collapsed="false">
      <c r="A9722" s="1" t="s">
        <v>1188</v>
      </c>
      <c r="B9722" s="1" t="n">
        <v>159.5</v>
      </c>
      <c r="C9722" s="1" t="n">
        <f aca="false">1/B9722</f>
        <v>0.00626959247648903</v>
      </c>
      <c r="D9722" s="1" t="n">
        <v>2.5567</v>
      </c>
      <c r="E9722" s="1" t="n">
        <f aca="false">LN(D9722)</f>
        <v>0.938717364435712</v>
      </c>
    </row>
    <row r="9723" customFormat="false" ht="15.75" hidden="false" customHeight="false" outlineLevel="0" collapsed="false">
      <c r="A9723" s="1" t="s">
        <v>1188</v>
      </c>
      <c r="B9723" s="1" t="n">
        <v>160.04</v>
      </c>
      <c r="C9723" s="1" t="n">
        <f aca="false">1/B9723</f>
        <v>0.00624843789052737</v>
      </c>
      <c r="D9723" s="1" t="n">
        <v>2.5181</v>
      </c>
      <c r="E9723" s="1" t="n">
        <f aca="false">LN(D9723)</f>
        <v>0.92350464889235</v>
      </c>
    </row>
    <row r="9724" customFormat="false" ht="15.75" hidden="false" customHeight="false" outlineLevel="0" collapsed="false">
      <c r="A9724" s="1" t="s">
        <v>1188</v>
      </c>
      <c r="B9724" s="1" t="n">
        <v>160.59</v>
      </c>
      <c r="C9724" s="1" t="n">
        <f aca="false">1/B9724</f>
        <v>0.00622703779811944</v>
      </c>
      <c r="D9724" s="1" t="n">
        <v>2.4804</v>
      </c>
      <c r="E9724" s="1" t="n">
        <f aca="false">LN(D9724)</f>
        <v>0.908419837493586</v>
      </c>
    </row>
    <row r="9725" customFormat="false" ht="15.75" hidden="false" customHeight="false" outlineLevel="0" collapsed="false">
      <c r="A9725" s="1" t="s">
        <v>1188</v>
      </c>
      <c r="B9725" s="1" t="n">
        <v>161.14</v>
      </c>
      <c r="C9725" s="1" t="n">
        <f aca="false">1/B9725</f>
        <v>0.00620578379049274</v>
      </c>
      <c r="D9725" s="1" t="n">
        <v>2.4434</v>
      </c>
      <c r="E9725" s="1" t="n">
        <f aca="false">LN(D9725)</f>
        <v>0.893390511987822</v>
      </c>
    </row>
    <row r="9726" customFormat="false" ht="15.75" hidden="false" customHeight="false" outlineLevel="0" collapsed="false">
      <c r="A9726" s="1" t="s">
        <v>1188</v>
      </c>
      <c r="B9726" s="1" t="n">
        <v>161.69</v>
      </c>
      <c r="C9726" s="1" t="n">
        <f aca="false">1/B9726</f>
        <v>0.00618467437689406</v>
      </c>
      <c r="D9726" s="1" t="n">
        <v>2.4073</v>
      </c>
      <c r="E9726" s="1" t="n">
        <f aca="false">LN(D9726)</f>
        <v>0.878505787511397</v>
      </c>
    </row>
    <row r="9727" customFormat="false" ht="15.75" hidden="false" customHeight="false" outlineLevel="0" collapsed="false">
      <c r="A9727" s="1" t="s">
        <v>1188</v>
      </c>
      <c r="B9727" s="1" t="n">
        <v>162.23</v>
      </c>
      <c r="C9727" s="1" t="n">
        <f aca="false">1/B9727</f>
        <v>0.00616408802317697</v>
      </c>
      <c r="D9727" s="1" t="n">
        <v>2.372</v>
      </c>
      <c r="E9727" s="1" t="n">
        <f aca="false">LN(D9727)</f>
        <v>0.863733481135479</v>
      </c>
    </row>
    <row r="9728" customFormat="false" ht="15.75" hidden="false" customHeight="false" outlineLevel="0" collapsed="false">
      <c r="A9728" s="1" t="s">
        <v>1188</v>
      </c>
      <c r="B9728" s="1" t="n">
        <v>162.78</v>
      </c>
      <c r="C9728" s="1" t="n">
        <f aca="false">1/B9728</f>
        <v>0.00614326084285539</v>
      </c>
      <c r="D9728" s="1" t="n">
        <v>2.3374</v>
      </c>
      <c r="E9728" s="1" t="n">
        <f aca="false">LN(D9728)</f>
        <v>0.84903920051692</v>
      </c>
    </row>
    <row r="9729" customFormat="false" ht="15.75" hidden="false" customHeight="false" outlineLevel="0" collapsed="false">
      <c r="A9729" s="1" t="s">
        <v>1188</v>
      </c>
      <c r="B9729" s="1" t="n">
        <v>163.33</v>
      </c>
      <c r="C9729" s="1" t="n">
        <f aca="false">1/B9729</f>
        <v>0.00612257393008021</v>
      </c>
      <c r="D9729" s="1" t="n">
        <v>2.3036</v>
      </c>
      <c r="E9729" s="1" t="n">
        <f aca="false">LN(D9729)</f>
        <v>0.83447311665038</v>
      </c>
    </row>
    <row r="9730" customFormat="false" ht="15.75" hidden="false" customHeight="false" outlineLevel="0" collapsed="false">
      <c r="A9730" s="1" t="s">
        <v>1188</v>
      </c>
      <c r="B9730" s="1" t="n">
        <v>163.88</v>
      </c>
      <c r="C9730" s="1" t="n">
        <f aca="false">1/B9730</f>
        <v>0.0061020258725897</v>
      </c>
      <c r="D9730" s="1" t="n">
        <v>2.2705</v>
      </c>
      <c r="E9730" s="1" t="n">
        <f aca="false">LN(D9730)</f>
        <v>0.820000071555869</v>
      </c>
    </row>
    <row r="9731" customFormat="false" ht="15.75" hidden="false" customHeight="false" outlineLevel="0" collapsed="false">
      <c r="A9731" s="1" t="s">
        <v>1188</v>
      </c>
      <c r="B9731" s="1" t="n">
        <v>164.43</v>
      </c>
      <c r="C9731" s="1" t="n">
        <f aca="false">1/B9731</f>
        <v>0.00608161527701758</v>
      </c>
      <c r="D9731" s="1" t="n">
        <v>2.238</v>
      </c>
      <c r="E9731" s="1" t="n">
        <f aca="false">LN(D9731)</f>
        <v>0.805582609889733</v>
      </c>
    </row>
    <row r="9732" customFormat="false" ht="15.75" hidden="false" customHeight="false" outlineLevel="0" collapsed="false">
      <c r="A9732" s="1" t="s">
        <v>1188</v>
      </c>
      <c r="B9732" s="1" t="n">
        <v>164.97</v>
      </c>
      <c r="C9732" s="1" t="n">
        <f aca="false">1/B9732</f>
        <v>0.00606170818936776</v>
      </c>
      <c r="D9732" s="1" t="n">
        <v>2.2063</v>
      </c>
      <c r="E9732" s="1" t="n">
        <f aca="false">LN(D9732)</f>
        <v>0.791316904332189</v>
      </c>
    </row>
    <row r="9733" customFormat="false" ht="15.75" hidden="false" customHeight="false" outlineLevel="0" collapsed="false">
      <c r="A9733" s="1" t="s">
        <v>1188</v>
      </c>
      <c r="B9733" s="1" t="n">
        <v>165.52</v>
      </c>
      <c r="C9733" s="1" t="n">
        <f aca="false">1/B9733</f>
        <v>0.00604156597390043</v>
      </c>
      <c r="D9733" s="1" t="n">
        <v>2.1752</v>
      </c>
      <c r="E9733" s="1" t="n">
        <f aca="false">LN(D9733)</f>
        <v>0.777120614336124</v>
      </c>
    </row>
    <row r="9734" customFormat="false" ht="15.75" hidden="false" customHeight="false" outlineLevel="0" collapsed="false">
      <c r="A9734" s="1" t="s">
        <v>1188</v>
      </c>
      <c r="B9734" s="1" t="n">
        <v>166.07</v>
      </c>
      <c r="C9734" s="1" t="n">
        <f aca="false">1/B9734</f>
        <v>0.00602155717468537</v>
      </c>
      <c r="D9734" s="1" t="n">
        <v>2.1448</v>
      </c>
      <c r="E9734" s="1" t="n">
        <f aca="false">LN(D9734)</f>
        <v>0.763046307939612</v>
      </c>
    </row>
    <row r="9735" customFormat="false" ht="15.75" hidden="false" customHeight="false" outlineLevel="0" collapsed="false">
      <c r="A9735" s="1" t="s">
        <v>1188</v>
      </c>
      <c r="B9735" s="1" t="n">
        <v>166.62</v>
      </c>
      <c r="C9735" s="1" t="n">
        <f aca="false">1/B9735</f>
        <v>0.00600168047053175</v>
      </c>
      <c r="D9735" s="1" t="n">
        <v>2.115</v>
      </c>
      <c r="E9735" s="1" t="n">
        <f aca="false">LN(D9735)</f>
        <v>0.749054812498241</v>
      </c>
    </row>
    <row r="9736" customFormat="false" ht="15.75" hidden="false" customHeight="false" outlineLevel="0" collapsed="false">
      <c r="A9736" s="1" t="s">
        <v>1188</v>
      </c>
      <c r="B9736" s="1" t="n">
        <v>167.16</v>
      </c>
      <c r="C9736" s="1" t="n">
        <f aca="false">1/B9736</f>
        <v>0.00598229241445322</v>
      </c>
      <c r="D9736" s="1" t="n">
        <v>2.0858</v>
      </c>
      <c r="E9736" s="1" t="n">
        <f aca="false">LN(D9736)</f>
        <v>0.735152474704975</v>
      </c>
    </row>
    <row r="9737" customFormat="false" ht="15.75" hidden="false" customHeight="false" outlineLevel="0" collapsed="false">
      <c r="A9737" s="1" t="s">
        <v>1188</v>
      </c>
      <c r="B9737" s="1" t="n">
        <v>167.71</v>
      </c>
      <c r="C9737" s="1" t="n">
        <f aca="false">1/B9737</f>
        <v>0.00596267366287043</v>
      </c>
      <c r="D9737" s="1" t="n">
        <v>2.0572</v>
      </c>
      <c r="E9737" s="1" t="n">
        <f aca="false">LN(D9737)</f>
        <v>0.721345834918624</v>
      </c>
    </row>
    <row r="9738" customFormat="false" ht="15.75" hidden="false" customHeight="false" outlineLevel="0" collapsed="false">
      <c r="A9738" s="1" t="s">
        <v>1188</v>
      </c>
      <c r="B9738" s="1" t="n">
        <v>168.26</v>
      </c>
      <c r="C9738" s="1" t="n">
        <f aca="false">1/B9738</f>
        <v>0.00594318316890527</v>
      </c>
      <c r="D9738" s="1" t="n">
        <v>2.0292</v>
      </c>
      <c r="E9738" s="1" t="n">
        <f aca="false">LN(D9738)</f>
        <v>0.707641626710398</v>
      </c>
    </row>
    <row r="9739" customFormat="false" ht="15.75" hidden="false" customHeight="false" outlineLevel="0" collapsed="false">
      <c r="A9739" s="1" t="s">
        <v>1188</v>
      </c>
      <c r="B9739" s="1" t="n">
        <v>168.81</v>
      </c>
      <c r="C9739" s="1" t="n">
        <f aca="false">1/B9739</f>
        <v>0.00592381967892897</v>
      </c>
      <c r="D9739" s="1" t="n">
        <v>2.0017</v>
      </c>
      <c r="E9739" s="1" t="n">
        <f aca="false">LN(D9739)</f>
        <v>0.693996819514523</v>
      </c>
    </row>
    <row r="9740" customFormat="false" ht="15.75" hidden="false" customHeight="false" outlineLevel="0" collapsed="false">
      <c r="A9740" s="1" t="s">
        <v>1188</v>
      </c>
      <c r="B9740" s="1" t="n">
        <v>169.36</v>
      </c>
      <c r="C9740" s="1" t="n">
        <f aca="false">1/B9740</f>
        <v>0.00590458195559754</v>
      </c>
      <c r="D9740" s="1" t="n">
        <v>1.9748</v>
      </c>
      <c r="E9740" s="1" t="n">
        <f aca="false">LN(D9740)</f>
        <v>0.680467127402571</v>
      </c>
    </row>
    <row r="9741" customFormat="false" ht="15.75" hidden="false" customHeight="false" outlineLevel="0" collapsed="false">
      <c r="A9741" s="1" t="s">
        <v>1188</v>
      </c>
      <c r="B9741" s="1" t="n">
        <v>169.9</v>
      </c>
      <c r="C9741" s="1" t="n">
        <f aca="false">1/B9741</f>
        <v>0.00588581518540318</v>
      </c>
      <c r="D9741" s="1" t="n">
        <v>1.9484</v>
      </c>
      <c r="E9741" s="1" t="n">
        <f aca="false">LN(D9741)</f>
        <v>0.66700852295025</v>
      </c>
    </row>
    <row r="9742" customFormat="false" ht="15.75" hidden="false" customHeight="false" outlineLevel="0" collapsed="false">
      <c r="A9742" s="1" t="s">
        <v>1188</v>
      </c>
      <c r="B9742" s="1" t="n">
        <v>170.45</v>
      </c>
      <c r="C9742" s="1" t="n">
        <f aca="false">1/B9742</f>
        <v>0.00586682311528308</v>
      </c>
      <c r="D9742" s="1" t="n">
        <v>1.9225</v>
      </c>
      <c r="E9742" s="1" t="n">
        <f aca="false">LN(D9742)</f>
        <v>0.653626422397662</v>
      </c>
    </row>
    <row r="9743" customFormat="false" ht="15.75" hidden="false" customHeight="false" outlineLevel="0" collapsed="false">
      <c r="A9743" s="1" t="s">
        <v>1188</v>
      </c>
      <c r="B9743" s="1" t="n">
        <v>171</v>
      </c>
      <c r="C9743" s="1" t="n">
        <f aca="false">1/B9743</f>
        <v>0.00584795321637427</v>
      </c>
      <c r="D9743" s="1" t="n">
        <v>1.8972</v>
      </c>
      <c r="E9743" s="1" t="n">
        <f aca="false">LN(D9743)</f>
        <v>0.64037911502129</v>
      </c>
    </row>
    <row r="9744" customFormat="false" ht="15.75" hidden="false" customHeight="false" outlineLevel="0" collapsed="false">
      <c r="A9744" s="1" t="s">
        <v>1188</v>
      </c>
      <c r="B9744" s="1" t="n">
        <v>171.55</v>
      </c>
      <c r="C9744" s="1" t="n">
        <f aca="false">1/B9744</f>
        <v>0.00582920431361119</v>
      </c>
      <c r="D9744" s="1" t="n">
        <v>1.8723</v>
      </c>
      <c r="E9744" s="1" t="n">
        <f aca="false">LN(D9744)</f>
        <v>0.62716762162597</v>
      </c>
    </row>
    <row r="9745" customFormat="false" ht="15.75" hidden="false" customHeight="false" outlineLevel="0" collapsed="false">
      <c r="A9745" s="1" t="s">
        <v>1188</v>
      </c>
      <c r="B9745" s="1" t="n">
        <v>172.09</v>
      </c>
      <c r="C9745" s="1" t="n">
        <f aca="false">1/B9745</f>
        <v>0.00581091289441571</v>
      </c>
      <c r="D9745" s="1" t="n">
        <v>1.8479</v>
      </c>
      <c r="E9745" s="1" t="n">
        <f aca="false">LN(D9745)</f>
        <v>0.614049859201243</v>
      </c>
    </row>
    <row r="9746" customFormat="false" ht="15.75" hidden="false" customHeight="false" outlineLevel="0" collapsed="false">
      <c r="A9746" s="1" t="s">
        <v>1188</v>
      </c>
      <c r="B9746" s="1" t="n">
        <v>172.64</v>
      </c>
      <c r="C9746" s="1" t="n">
        <f aca="false">1/B9746</f>
        <v>0.00579240037071362</v>
      </c>
      <c r="D9746" s="1" t="n">
        <v>1.824</v>
      </c>
      <c r="E9746" s="1" t="n">
        <f aca="false">LN(D9746)</f>
        <v>0.60103189165214</v>
      </c>
    </row>
    <row r="9747" customFormat="false" ht="15.75" hidden="false" customHeight="false" outlineLevel="0" collapsed="false">
      <c r="A9747" s="1" t="s">
        <v>1188</v>
      </c>
      <c r="B9747" s="1" t="n">
        <v>173.19</v>
      </c>
      <c r="C9747" s="1" t="n">
        <f aca="false">1/B9747</f>
        <v>0.0057740054275651</v>
      </c>
      <c r="D9747" s="1" t="n">
        <v>1.8005</v>
      </c>
      <c r="E9747" s="1" t="n">
        <f aca="false">LN(D9747)</f>
        <v>0.588064404106793</v>
      </c>
    </row>
    <row r="9748" customFormat="false" ht="15.75" hidden="false" customHeight="false" outlineLevel="0" collapsed="false">
      <c r="A9748" s="1" t="s">
        <v>1188</v>
      </c>
      <c r="B9748" s="1" t="n">
        <v>173.74</v>
      </c>
      <c r="C9748" s="1" t="n">
        <f aca="false">1/B9748</f>
        <v>0.00575572694831357</v>
      </c>
      <c r="D9748" s="1" t="n">
        <v>1.7775</v>
      </c>
      <c r="E9748" s="1" t="n">
        <f aca="false">LN(D9748)</f>
        <v>0.575207882695259</v>
      </c>
    </row>
    <row r="9749" customFormat="false" ht="15.75" hidden="false" customHeight="false" outlineLevel="0" collapsed="false">
      <c r="A9749" s="1" t="s">
        <v>1188</v>
      </c>
      <c r="B9749" s="1" t="n">
        <v>174.29</v>
      </c>
      <c r="C9749" s="1" t="n">
        <f aca="false">1/B9749</f>
        <v>0.00573756383039761</v>
      </c>
      <c r="D9749" s="1" t="n">
        <v>1.7549</v>
      </c>
      <c r="E9749" s="1" t="n">
        <f aca="false">LN(D9749)</f>
        <v>0.562411875237424</v>
      </c>
    </row>
    <row r="9750" customFormat="false" ht="15.75" hidden="false" customHeight="false" outlineLevel="0" collapsed="false">
      <c r="A9750" s="1" t="s">
        <v>1188</v>
      </c>
      <c r="B9750" s="1" t="n">
        <v>174.83</v>
      </c>
      <c r="C9750" s="1" t="n">
        <f aca="false">1/B9750</f>
        <v>0.00571984213235715</v>
      </c>
      <c r="D9750" s="1" t="n">
        <v>1.7327</v>
      </c>
      <c r="E9750" s="1" t="n">
        <f aca="false">LN(D9750)</f>
        <v>0.549680885534664</v>
      </c>
    </row>
    <row r="9751" customFormat="false" ht="15.75" hidden="false" customHeight="false" outlineLevel="0" collapsed="false">
      <c r="A9751" s="1" t="s">
        <v>1188</v>
      </c>
      <c r="B9751" s="1" t="n">
        <v>175.38</v>
      </c>
      <c r="C9751" s="1" t="n">
        <f aca="false">1/B9751</f>
        <v>0.00570190443608165</v>
      </c>
      <c r="D9751" s="1" t="n">
        <v>1.711</v>
      </c>
      <c r="E9751" s="1" t="n">
        <f aca="false">LN(D9751)</f>
        <v>0.537077994910056</v>
      </c>
    </row>
    <row r="9752" customFormat="false" ht="15.75" hidden="false" customHeight="false" outlineLevel="0" collapsed="false">
      <c r="A9752" s="1" t="s">
        <v>1188</v>
      </c>
      <c r="B9752" s="1" t="n">
        <v>175.93</v>
      </c>
      <c r="C9752" s="1" t="n">
        <f aca="false">1/B9752</f>
        <v>0.00568407889501506</v>
      </c>
      <c r="D9752" s="1" t="n">
        <v>1.6896</v>
      </c>
      <c r="E9752" s="1" t="n">
        <f aca="false">LN(D9752)</f>
        <v>0.524491814529805</v>
      </c>
    </row>
    <row r="9753" customFormat="false" ht="15.75" hidden="false" customHeight="false" outlineLevel="0" collapsed="false">
      <c r="A9753" s="1" t="s">
        <v>1188</v>
      </c>
      <c r="B9753" s="1" t="n">
        <v>176.48</v>
      </c>
      <c r="C9753" s="1" t="n">
        <f aca="false">1/B9753</f>
        <v>0.0056663644605621</v>
      </c>
      <c r="D9753" s="1" t="n">
        <v>1.6686</v>
      </c>
      <c r="E9753" s="1" t="n">
        <f aca="false">LN(D9753)</f>
        <v>0.511984951485837</v>
      </c>
    </row>
    <row r="9754" customFormat="false" ht="15.75" hidden="false" customHeight="false" outlineLevel="0" collapsed="false">
      <c r="A9754" s="1" t="s">
        <v>1188</v>
      </c>
      <c r="B9754" s="1" t="n">
        <v>177.02</v>
      </c>
      <c r="C9754" s="1" t="n">
        <f aca="false">1/B9754</f>
        <v>0.00564907920009038</v>
      </c>
      <c r="D9754" s="1" t="n">
        <v>1.648</v>
      </c>
      <c r="E9754" s="1" t="n">
        <f aca="false">LN(D9754)</f>
        <v>0.49956243148728</v>
      </c>
    </row>
    <row r="9755" customFormat="false" ht="15.75" hidden="false" customHeight="false" outlineLevel="0" collapsed="false">
      <c r="A9755" s="1" t="s">
        <v>1188</v>
      </c>
      <c r="B9755" s="1" t="n">
        <v>177.57</v>
      </c>
      <c r="C9755" s="1" t="n">
        <f aca="false">1/B9755</f>
        <v>0.0056315819113589</v>
      </c>
      <c r="D9755" s="1" t="n">
        <v>1.6278</v>
      </c>
      <c r="E9755" s="1" t="n">
        <f aca="false">LN(D9755)</f>
        <v>0.487229409910804</v>
      </c>
    </row>
    <row r="9756" customFormat="false" ht="15.75" hidden="false" customHeight="false" outlineLevel="0" collapsed="false">
      <c r="A9756" s="1" t="s">
        <v>1188</v>
      </c>
      <c r="B9756" s="1" t="n">
        <v>178.12</v>
      </c>
      <c r="C9756" s="1" t="n">
        <f aca="false">1/B9756</f>
        <v>0.00561419267909275</v>
      </c>
      <c r="D9756" s="1" t="n">
        <v>1.608</v>
      </c>
      <c r="E9756" s="1" t="n">
        <f aca="false">LN(D9756)</f>
        <v>0.474991170756775</v>
      </c>
    </row>
    <row r="9757" customFormat="false" ht="15.75" hidden="false" customHeight="false" outlineLevel="0" collapsed="false">
      <c r="A9757" s="1" t="s">
        <v>1188</v>
      </c>
      <c r="B9757" s="1" t="n">
        <v>178.67</v>
      </c>
      <c r="C9757" s="1" t="n">
        <f aca="false">1/B9757</f>
        <v>0.00559691050540102</v>
      </c>
      <c r="D9757" s="1" t="n">
        <v>1.5885</v>
      </c>
      <c r="E9757" s="1" t="n">
        <f aca="false">LN(D9757)</f>
        <v>0.462790174727434</v>
      </c>
    </row>
    <row r="9758" customFormat="false" ht="15.75" hidden="false" customHeight="false" outlineLevel="0" collapsed="false">
      <c r="A9758" s="1" t="s">
        <v>1188</v>
      </c>
      <c r="B9758" s="1" t="n">
        <v>179.22</v>
      </c>
      <c r="C9758" s="1" t="n">
        <f aca="false">1/B9758</f>
        <v>0.00557973440464234</v>
      </c>
      <c r="D9758" s="1" t="n">
        <v>1.5693</v>
      </c>
      <c r="E9758" s="1" t="n">
        <f aca="false">LN(D9758)</f>
        <v>0.450629660062538</v>
      </c>
    </row>
    <row r="9759" customFormat="false" ht="15.75" hidden="false" customHeight="false" outlineLevel="0" collapsed="false">
      <c r="A9759" s="1" t="s">
        <v>1188</v>
      </c>
      <c r="B9759" s="1" t="n">
        <v>179.76</v>
      </c>
      <c r="C9759" s="1" t="n">
        <f aca="false">1/B9759</f>
        <v>0.00556297285269248</v>
      </c>
      <c r="D9759" s="1" t="n">
        <v>1.5505</v>
      </c>
      <c r="E9759" s="1" t="n">
        <f aca="false">LN(D9759)</f>
        <v>0.438577459558367</v>
      </c>
    </row>
    <row r="9760" customFormat="false" ht="15.75" hidden="false" customHeight="false" outlineLevel="0" collapsed="false">
      <c r="A9760" s="1" t="s">
        <v>1188</v>
      </c>
      <c r="B9760" s="1" t="n">
        <v>180.31</v>
      </c>
      <c r="C9760" s="1" t="n">
        <f aca="false">1/B9760</f>
        <v>0.00554600410404304</v>
      </c>
      <c r="D9760" s="1" t="n">
        <v>1.532</v>
      </c>
      <c r="E9760" s="1" t="n">
        <f aca="false">LN(D9760)</f>
        <v>0.4265740713184</v>
      </c>
    </row>
    <row r="9761" customFormat="false" ht="15.75" hidden="false" customHeight="false" outlineLevel="0" collapsed="false">
      <c r="A9761" s="1" t="s">
        <v>1188</v>
      </c>
      <c r="B9761" s="1" t="n">
        <v>180.86</v>
      </c>
      <c r="C9761" s="1" t="n">
        <f aca="false">1/B9761</f>
        <v>0.00552913856021232</v>
      </c>
      <c r="D9761" s="1" t="n">
        <v>1.5139</v>
      </c>
      <c r="E9761" s="1" t="n">
        <f aca="false">LN(D9761)</f>
        <v>0.414689102635696</v>
      </c>
    </row>
    <row r="9762" customFormat="false" ht="15.75" hidden="false" customHeight="false" outlineLevel="0" collapsed="false">
      <c r="A9762" s="1" t="s">
        <v>1188</v>
      </c>
      <c r="B9762" s="1" t="n">
        <v>181.41</v>
      </c>
      <c r="C9762" s="1" t="n">
        <f aca="false">1/B9762</f>
        <v>0.00551237528250923</v>
      </c>
      <c r="D9762" s="1" t="n">
        <v>1.496</v>
      </c>
      <c r="E9762" s="1" t="n">
        <f aca="false">LN(D9762)</f>
        <v>0.402794879552286</v>
      </c>
    </row>
    <row r="9763" customFormat="false" ht="15.75" hidden="false" customHeight="false" outlineLevel="0" collapsed="false">
      <c r="A9763" s="1" t="s">
        <v>1188</v>
      </c>
      <c r="B9763" s="1" t="n">
        <v>181.95</v>
      </c>
      <c r="C9763" s="1" t="n">
        <f aca="false">1/B9763</f>
        <v>0.00549601538884309</v>
      </c>
      <c r="D9763" s="1" t="n">
        <v>1.4785</v>
      </c>
      <c r="E9763" s="1" t="n">
        <f aca="false">LN(D9763)</f>
        <v>0.391028060310395</v>
      </c>
    </row>
    <row r="9764" customFormat="false" ht="15.75" hidden="false" customHeight="false" outlineLevel="0" collapsed="false">
      <c r="A9764" s="1" t="s">
        <v>1188</v>
      </c>
      <c r="B9764" s="1" t="n">
        <v>182.5</v>
      </c>
      <c r="C9764" s="1" t="n">
        <f aca="false">1/B9764</f>
        <v>0.00547945205479452</v>
      </c>
      <c r="D9764" s="1" t="n">
        <v>1.4613</v>
      </c>
      <c r="E9764" s="1" t="n">
        <f aca="false">LN(D9764)</f>
        <v>0.37932645049847</v>
      </c>
    </row>
    <row r="9765" customFormat="false" ht="15.75" hidden="false" customHeight="false" outlineLevel="0" collapsed="false">
      <c r="A9765" s="1" t="s">
        <v>1188</v>
      </c>
      <c r="B9765" s="1" t="n">
        <v>183.05</v>
      </c>
      <c r="C9765" s="1" t="n">
        <f aca="false">1/B9765</f>
        <v>0.00546298825457525</v>
      </c>
      <c r="D9765" s="1" t="n">
        <v>1.4443</v>
      </c>
      <c r="E9765" s="1" t="n">
        <f aca="false">LN(D9765)</f>
        <v>0.367624775124984</v>
      </c>
    </row>
    <row r="9766" customFormat="false" ht="15.75" hidden="false" customHeight="false" outlineLevel="0" collapsed="false">
      <c r="A9766" s="1" t="s">
        <v>1188</v>
      </c>
      <c r="B9766" s="1" t="n">
        <v>183.6</v>
      </c>
      <c r="C9766" s="1" t="n">
        <f aca="false">1/B9766</f>
        <v>0.00544662309368192</v>
      </c>
      <c r="D9766" s="1" t="n">
        <v>1.4277</v>
      </c>
      <c r="E9766" s="1" t="n">
        <f aca="false">LN(D9766)</f>
        <v>0.356064757813037</v>
      </c>
    </row>
    <row r="9767" customFormat="false" ht="15.75" hidden="false" customHeight="false" outlineLevel="0" collapsed="false">
      <c r="A9767" s="1" t="s">
        <v>1188</v>
      </c>
      <c r="B9767" s="1" t="n">
        <v>184.14</v>
      </c>
      <c r="C9767" s="1" t="n">
        <f aca="false">1/B9767</f>
        <v>0.00543065059194092</v>
      </c>
      <c r="D9767" s="1" t="n">
        <v>1.4113</v>
      </c>
      <c r="E9767" s="1" t="n">
        <f aca="false">LN(D9767)</f>
        <v>0.344511265437824</v>
      </c>
    </row>
    <row r="9768" customFormat="false" ht="15.75" hidden="false" customHeight="false" outlineLevel="0" collapsed="false">
      <c r="A9768" s="1" t="s">
        <v>1188</v>
      </c>
      <c r="B9768" s="1" t="n">
        <v>184.69</v>
      </c>
      <c r="C9768" s="1" t="n">
        <f aca="false">1/B9768</f>
        <v>0.00541447831501435</v>
      </c>
      <c r="D9768" s="1" t="n">
        <v>1.3952</v>
      </c>
      <c r="E9768" s="1" t="n">
        <f aca="false">LN(D9768)</f>
        <v>0.333037774172578</v>
      </c>
    </row>
    <row r="9769" customFormat="false" ht="15.75" hidden="false" customHeight="false" outlineLevel="0" collapsed="false">
      <c r="A9769" s="1" t="s">
        <v>1188</v>
      </c>
      <c r="B9769" s="1" t="n">
        <v>185.24</v>
      </c>
      <c r="C9769" s="1" t="n">
        <f aca="false">1/B9769</f>
        <v>0.0053984020729864</v>
      </c>
      <c r="D9769" s="1" t="n">
        <v>1.3793</v>
      </c>
      <c r="E9769" s="1" t="n">
        <f aca="false">LN(D9769)</f>
        <v>0.321576124099337</v>
      </c>
    </row>
    <row r="9770" customFormat="false" ht="15.75" hidden="false" customHeight="false" outlineLevel="0" collapsed="false">
      <c r="A9770" s="1" t="s">
        <v>1188</v>
      </c>
      <c r="B9770" s="1" t="n">
        <v>185.79</v>
      </c>
      <c r="C9770" s="1" t="n">
        <f aca="false">1/B9770</f>
        <v>0.00538242101297164</v>
      </c>
      <c r="D9770" s="1" t="n">
        <v>1.3638</v>
      </c>
      <c r="E9770" s="1" t="n">
        <f aca="false">LN(D9770)</f>
        <v>0.310274921104415</v>
      </c>
    </row>
    <row r="9771" customFormat="false" ht="15.75" hidden="false" customHeight="false" outlineLevel="0" collapsed="false">
      <c r="A9771" s="1" t="s">
        <v>1188</v>
      </c>
      <c r="B9771" s="1" t="n">
        <v>186.34</v>
      </c>
      <c r="C9771" s="1" t="n">
        <f aca="false">1/B9771</f>
        <v>0.00536653429215413</v>
      </c>
      <c r="D9771" s="1" t="n">
        <v>1.3485</v>
      </c>
      <c r="E9771" s="1" t="n">
        <f aca="false">LN(D9771)</f>
        <v>0.298992863597648</v>
      </c>
    </row>
    <row r="9772" customFormat="false" ht="15.75" hidden="false" customHeight="false" outlineLevel="0" collapsed="false">
      <c r="A9772" s="1" t="s">
        <v>1188</v>
      </c>
      <c r="B9772" s="1" t="n">
        <v>186.88</v>
      </c>
      <c r="C9772" s="1" t="n">
        <f aca="false">1/B9772</f>
        <v>0.00535102739726027</v>
      </c>
      <c r="D9772" s="1" t="n">
        <v>1.3334</v>
      </c>
      <c r="E9772" s="1" t="n">
        <f aca="false">LN(D9772)</f>
        <v>0.287732071201823</v>
      </c>
    </row>
    <row r="9773" customFormat="false" ht="15.75" hidden="false" customHeight="false" outlineLevel="0" collapsed="false">
      <c r="A9773" s="1" t="s">
        <v>1188</v>
      </c>
      <c r="B9773" s="1" t="n">
        <v>187.43</v>
      </c>
      <c r="C9773" s="1" t="n">
        <f aca="false">1/B9773</f>
        <v>0.00533532518807021</v>
      </c>
      <c r="D9773" s="1" t="n">
        <v>1.3186</v>
      </c>
      <c r="E9773" s="1" t="n">
        <f aca="false">LN(D9773)</f>
        <v>0.276570567697062</v>
      </c>
    </row>
    <row r="9774" customFormat="false" ht="15.75" hidden="false" customHeight="false" outlineLevel="0" collapsed="false">
      <c r="A9774" s="1" t="s">
        <v>1188</v>
      </c>
      <c r="B9774" s="1" t="n">
        <v>187.98</v>
      </c>
      <c r="C9774" s="1" t="n">
        <f aca="false">1/B9774</f>
        <v>0.00531971486328333</v>
      </c>
      <c r="D9774" s="1" t="n">
        <v>1.304</v>
      </c>
      <c r="E9774" s="1" t="n">
        <f aca="false">LN(D9774)</f>
        <v>0.265436463504461</v>
      </c>
    </row>
    <row r="9775" customFormat="false" ht="15.75" hidden="false" customHeight="false" outlineLevel="0" collapsed="false">
      <c r="A9775" s="1" t="s">
        <v>1188</v>
      </c>
      <c r="B9775" s="1" t="n">
        <v>188.53</v>
      </c>
      <c r="C9775" s="1" t="n">
        <f aca="false">1/B9775</f>
        <v>0.00530419561873442</v>
      </c>
      <c r="D9775" s="1" t="n">
        <v>1.2896</v>
      </c>
      <c r="E9775" s="1" t="n">
        <f aca="false">LN(D9775)</f>
        <v>0.254332092770227</v>
      </c>
    </row>
    <row r="9776" customFormat="false" ht="15.75" hidden="false" customHeight="false" outlineLevel="0" collapsed="false">
      <c r="A9776" s="1" t="s">
        <v>1188</v>
      </c>
      <c r="B9776" s="1" t="n">
        <v>189.07</v>
      </c>
      <c r="C9776" s="1" t="n">
        <f aca="false">1/B9776</f>
        <v>0.0052890463849368</v>
      </c>
      <c r="D9776" s="1" t="n">
        <v>1.2755</v>
      </c>
      <c r="E9776" s="1" t="n">
        <f aca="false">LN(D9776)</f>
        <v>0.243338258599729</v>
      </c>
    </row>
    <row r="9777" customFormat="false" ht="15.75" hidden="false" customHeight="false" outlineLevel="0" collapsed="false">
      <c r="A9777" s="1" t="s">
        <v>1188</v>
      </c>
      <c r="B9777" s="1" t="n">
        <v>189.62</v>
      </c>
      <c r="C9777" s="1" t="n">
        <f aca="false">1/B9777</f>
        <v>0.00527370530534754</v>
      </c>
      <c r="D9777" s="1" t="n">
        <v>1.2616</v>
      </c>
      <c r="E9777" s="1" t="n">
        <f aca="false">LN(D9777)</f>
        <v>0.232380756666692</v>
      </c>
    </row>
    <row r="9778" customFormat="false" ht="15.75" hidden="false" customHeight="false" outlineLevel="0" collapsed="false">
      <c r="A9778" s="1" t="s">
        <v>1188</v>
      </c>
      <c r="B9778" s="1" t="n">
        <v>190.17</v>
      </c>
      <c r="C9778" s="1" t="n">
        <f aca="false">1/B9778</f>
        <v>0.00525845296313825</v>
      </c>
      <c r="D9778" s="1" t="n">
        <v>1.2479</v>
      </c>
      <c r="E9778" s="1" t="n">
        <f aca="false">LN(D9778)</f>
        <v>0.221462138531672</v>
      </c>
    </row>
    <row r="9779" customFormat="false" ht="15.75" hidden="false" customHeight="false" outlineLevel="0" collapsed="false">
      <c r="A9779" s="1" t="s">
        <v>1188</v>
      </c>
      <c r="B9779" s="1" t="n">
        <v>190.72</v>
      </c>
      <c r="C9779" s="1" t="n">
        <f aca="false">1/B9779</f>
        <v>0.00524328859060403</v>
      </c>
      <c r="D9779" s="1" t="n">
        <v>1.2344</v>
      </c>
      <c r="E9779" s="1" t="n">
        <f aca="false">LN(D9779)</f>
        <v>0.210585022066814</v>
      </c>
    </row>
    <row r="9780" customFormat="false" ht="15.75" hidden="false" customHeight="false" outlineLevel="0" collapsed="false">
      <c r="A9780" s="1" t="s">
        <v>1188</v>
      </c>
      <c r="B9780" s="1" t="n">
        <v>191.27</v>
      </c>
      <c r="C9780" s="1" t="n">
        <f aca="false">1/B9780</f>
        <v>0.00522821142887018</v>
      </c>
      <c r="D9780" s="1" t="n">
        <v>1.2212</v>
      </c>
      <c r="E9780" s="1" t="n">
        <f aca="false">LN(D9780)</f>
        <v>0.199833981878586</v>
      </c>
    </row>
    <row r="9781" customFormat="false" ht="15.75" hidden="false" customHeight="false" outlineLevel="0" collapsed="false">
      <c r="A9781" s="1" t="s">
        <v>1188</v>
      </c>
      <c r="B9781" s="1" t="n">
        <v>191.81</v>
      </c>
      <c r="C9781" s="1" t="n">
        <f aca="false">1/B9781</f>
        <v>0.00521349251863824</v>
      </c>
      <c r="D9781" s="1" t="n">
        <v>1.2081</v>
      </c>
      <c r="E9781" s="1" t="n">
        <f aca="false">LN(D9781)</f>
        <v>0.189048877543381</v>
      </c>
    </row>
    <row r="9782" customFormat="false" ht="15.75" hidden="false" customHeight="false" outlineLevel="0" collapsed="false">
      <c r="A9782" s="1" t="s">
        <v>1188</v>
      </c>
      <c r="B9782" s="1" t="n">
        <v>192.36</v>
      </c>
      <c r="C9782" s="1" t="n">
        <f aca="false">1/B9782</f>
        <v>0.00519858598461219</v>
      </c>
      <c r="D9782" s="1" t="n">
        <v>1.1953</v>
      </c>
      <c r="E9782" s="1" t="n">
        <f aca="false">LN(D9782)</f>
        <v>0.178397199901798</v>
      </c>
    </row>
    <row r="9783" customFormat="false" ht="15.75" hidden="false" customHeight="false" outlineLevel="0" collapsed="false">
      <c r="A9783" s="1" t="s">
        <v>1188</v>
      </c>
      <c r="B9783" s="1" t="n">
        <v>192.91</v>
      </c>
      <c r="C9783" s="1" t="n">
        <f aca="false">1/B9783</f>
        <v>0.0051837644497434</v>
      </c>
      <c r="D9783" s="1" t="n">
        <v>1.1826</v>
      </c>
      <c r="E9783" s="1" t="n">
        <f aca="false">LN(D9783)</f>
        <v>0.167715404404593</v>
      </c>
    </row>
    <row r="9784" customFormat="false" ht="15.75" hidden="false" customHeight="false" outlineLevel="0" collapsed="false">
      <c r="A9784" s="1" t="s">
        <v>1188</v>
      </c>
      <c r="B9784" s="1" t="n">
        <v>193.46</v>
      </c>
      <c r="C9784" s="1" t="n">
        <f aca="false">1/B9784</f>
        <v>0.00516902718908302</v>
      </c>
      <c r="D9784" s="1" t="n">
        <v>1.1701</v>
      </c>
      <c r="E9784" s="1" t="n">
        <f aca="false">LN(D9784)</f>
        <v>0.157089215242775</v>
      </c>
    </row>
    <row r="9785" customFormat="false" ht="15.75" hidden="false" customHeight="false" outlineLevel="0" collapsed="false">
      <c r="A9785" s="1" t="s">
        <v>1188</v>
      </c>
      <c r="B9785" s="1" t="n">
        <v>194</v>
      </c>
      <c r="C9785" s="1" t="n">
        <f aca="false">1/B9785</f>
        <v>0.00515463917525773</v>
      </c>
      <c r="D9785" s="1" t="n">
        <v>1.1579</v>
      </c>
      <c r="E9785" s="1" t="n">
        <f aca="false">LN(D9785)</f>
        <v>0.14660801963609</v>
      </c>
    </row>
    <row r="9786" customFormat="false" ht="15.75" hidden="false" customHeight="false" outlineLevel="0" collapsed="false">
      <c r="A9786" s="1" t="s">
        <v>1188</v>
      </c>
      <c r="B9786" s="1" t="n">
        <v>194.55</v>
      </c>
      <c r="C9786" s="1" t="n">
        <f aca="false">1/B9786</f>
        <v>0.00514006682086867</v>
      </c>
      <c r="D9786" s="1" t="n">
        <v>1.1458</v>
      </c>
      <c r="E9786" s="1" t="n">
        <f aca="false">LN(D9786)</f>
        <v>0.13610308299234</v>
      </c>
    </row>
    <row r="9787" customFormat="false" ht="15.75" hidden="false" customHeight="false" outlineLevel="0" collapsed="false">
      <c r="A9787" s="1" t="s">
        <v>1188</v>
      </c>
      <c r="B9787" s="1" t="n">
        <v>195.1</v>
      </c>
      <c r="C9787" s="1" t="n">
        <f aca="false">1/B9787</f>
        <v>0.00512557662737058</v>
      </c>
      <c r="D9787" s="1" t="n">
        <v>1.1339</v>
      </c>
      <c r="E9787" s="1" t="n">
        <f aca="false">LN(D9787)</f>
        <v>0.125663017995657</v>
      </c>
    </row>
    <row r="9788" customFormat="false" ht="15.75" hidden="false" customHeight="false" outlineLevel="0" collapsed="false">
      <c r="A9788" s="1" t="s">
        <v>1188</v>
      </c>
      <c r="B9788" s="1" t="n">
        <v>195.65</v>
      </c>
      <c r="C9788" s="1" t="n">
        <f aca="false">1/B9788</f>
        <v>0.00511116790186558</v>
      </c>
      <c r="D9788" s="1" t="n">
        <v>1.1221</v>
      </c>
      <c r="E9788" s="1" t="n">
        <f aca="false">LN(D9788)</f>
        <v>0.115201929688684</v>
      </c>
    </row>
    <row r="9789" customFormat="false" ht="15.75" hidden="false" customHeight="false" outlineLevel="0" collapsed="false">
      <c r="A9789" s="1" t="s">
        <v>1188</v>
      </c>
      <c r="B9789" s="1" t="n">
        <v>196.2</v>
      </c>
      <c r="C9789" s="1" t="n">
        <f aca="false">1/B9789</f>
        <v>0.00509683995922528</v>
      </c>
      <c r="D9789" s="1" t="n">
        <v>1.1106</v>
      </c>
      <c r="E9789" s="1" t="n">
        <f aca="false">LN(D9789)</f>
        <v>0.10490040982537</v>
      </c>
    </row>
    <row r="9790" customFormat="false" ht="15.75" hidden="false" customHeight="false" outlineLevel="0" collapsed="false">
      <c r="A9790" s="1" t="s">
        <v>1188</v>
      </c>
      <c r="B9790" s="1" t="n">
        <v>196.74</v>
      </c>
      <c r="C9790" s="1" t="n">
        <f aca="false">1/B9790</f>
        <v>0.00508285046253939</v>
      </c>
      <c r="D9790" s="1" t="n">
        <v>1.0992</v>
      </c>
      <c r="E9790" s="1" t="n">
        <f aca="false">LN(D9790)</f>
        <v>0.0945826424859478</v>
      </c>
    </row>
    <row r="9791" customFormat="false" ht="15.75" hidden="false" customHeight="false" outlineLevel="0" collapsed="false">
      <c r="A9791" s="1" t="s">
        <v>1188</v>
      </c>
      <c r="B9791" s="1" t="n">
        <v>197.29</v>
      </c>
      <c r="C9791" s="1" t="n">
        <f aca="false">1/B9791</f>
        <v>0.00506868062243398</v>
      </c>
      <c r="D9791" s="1" t="n">
        <v>1.0879</v>
      </c>
      <c r="E9791" s="1" t="n">
        <f aca="false">LN(D9791)</f>
        <v>0.0842492324449</v>
      </c>
    </row>
    <row r="9792" customFormat="false" ht="15.75" hidden="false" customHeight="false" outlineLevel="0" collapsed="false">
      <c r="A9792" s="1" t="s">
        <v>1188</v>
      </c>
      <c r="B9792" s="1" t="n">
        <v>197.84</v>
      </c>
      <c r="C9792" s="1" t="n">
        <f aca="false">1/B9792</f>
        <v>0.00505458956732713</v>
      </c>
      <c r="D9792" s="1" t="n">
        <v>1.0769</v>
      </c>
      <c r="E9792" s="1" t="n">
        <f aca="false">LN(D9792)</f>
        <v>0.0740865433526982</v>
      </c>
    </row>
    <row r="9793" customFormat="false" ht="15.75" hidden="false" customHeight="false" outlineLevel="0" collapsed="false">
      <c r="A9793" s="1" t="s">
        <v>1188</v>
      </c>
      <c r="B9793" s="1" t="n">
        <v>198.39</v>
      </c>
      <c r="C9793" s="1" t="n">
        <f aca="false">1/B9793</f>
        <v>0.00504057664196784</v>
      </c>
      <c r="D9793" s="1" t="n">
        <v>1.066</v>
      </c>
      <c r="E9793" s="1" t="n">
        <f aca="false">LN(D9793)</f>
        <v>0.0639133257436529</v>
      </c>
    </row>
    <row r="9794" customFormat="false" ht="15.75" hidden="false" customHeight="false" outlineLevel="0" collapsed="false">
      <c r="A9794" s="1" t="s">
        <v>1188</v>
      </c>
      <c r="B9794" s="1" t="n">
        <v>198.93</v>
      </c>
      <c r="C9794" s="1" t="n">
        <f aca="false">1/B9794</f>
        <v>0.00502689388227015</v>
      </c>
      <c r="D9794" s="1" t="n">
        <v>1.0552</v>
      </c>
      <c r="E9794" s="1" t="n">
        <f aca="false">LN(D9794)</f>
        <v>0.0537303224209677</v>
      </c>
    </row>
    <row r="9795" customFormat="false" ht="15.75" hidden="false" customHeight="false" outlineLevel="0" collapsed="false">
      <c r="A9795" s="1" t="s">
        <v>1188</v>
      </c>
      <c r="B9795" s="1" t="n">
        <v>199.48</v>
      </c>
      <c r="C9795" s="1" t="n">
        <f aca="false">1/B9795</f>
        <v>0.00501303388810908</v>
      </c>
      <c r="D9795" s="1" t="n">
        <v>1.0446</v>
      </c>
      <c r="E9795" s="1" t="n">
        <f aca="false">LN(D9795)</f>
        <v>0.0436340370200613</v>
      </c>
    </row>
    <row r="9796" customFormat="false" ht="15.75" hidden="false" customHeight="false" outlineLevel="0" collapsed="false">
      <c r="A9796" s="1" t="s">
        <v>1188</v>
      </c>
      <c r="B9796" s="1" t="n">
        <v>200.03</v>
      </c>
      <c r="C9796" s="1" t="n">
        <f aca="false">1/B9796</f>
        <v>0.00499925011248313</v>
      </c>
      <c r="D9796" s="1" t="n">
        <v>1.0342</v>
      </c>
      <c r="E9796" s="1" t="n">
        <f aca="false">LN(D9796)</f>
        <v>0.0336281809799841</v>
      </c>
    </row>
    <row r="9797" customFormat="false" ht="15.75" hidden="false" customHeight="false" outlineLevel="0" collapsed="false">
      <c r="A9797" s="1" t="s">
        <v>1188</v>
      </c>
      <c r="B9797" s="1" t="n">
        <v>200.58</v>
      </c>
      <c r="C9797" s="1" t="n">
        <f aca="false">1/B9797</f>
        <v>0.00498554192840762</v>
      </c>
      <c r="D9797" s="1" t="n">
        <v>1.0239</v>
      </c>
      <c r="E9797" s="1" t="n">
        <f aca="false">LN(D9797)</f>
        <v>0.023618865598634</v>
      </c>
    </row>
    <row r="9798" customFormat="false" ht="15.75" hidden="false" customHeight="false" outlineLevel="0" collapsed="false">
      <c r="A9798" s="1" t="s">
        <v>1188</v>
      </c>
      <c r="B9798" s="1" t="n">
        <v>201.13</v>
      </c>
      <c r="C9798" s="1" t="n">
        <f aca="false">1/B9798</f>
        <v>0.00497190871575598</v>
      </c>
      <c r="D9798" s="1" t="n">
        <v>1.0137</v>
      </c>
      <c r="E9798" s="1" t="n">
        <f aca="false">LN(D9798)</f>
        <v>0.0136070034062169</v>
      </c>
    </row>
    <row r="9799" customFormat="false" ht="15.75" hidden="false" customHeight="false" outlineLevel="0" collapsed="false">
      <c r="A9799" s="1" t="s">
        <v>1188</v>
      </c>
      <c r="B9799" s="1" t="n">
        <v>201.67</v>
      </c>
      <c r="C9799" s="1" t="n">
        <f aca="false">1/B9799</f>
        <v>0.00495859572569048</v>
      </c>
      <c r="D9799" s="1" t="n">
        <v>1.0037</v>
      </c>
      <c r="E9799" s="1" t="n">
        <f aca="false">LN(D9799)</f>
        <v>0.00369317183761761</v>
      </c>
    </row>
    <row r="9800" customFormat="false" ht="15.75" hidden="false" customHeight="false" outlineLevel="0" collapsed="false">
      <c r="A9800" s="1" t="s">
        <v>1188</v>
      </c>
      <c r="B9800" s="1" t="n">
        <v>202.22</v>
      </c>
      <c r="C9800" s="1" t="n">
        <f aca="false">1/B9800</f>
        <v>0.00494510928691524</v>
      </c>
      <c r="D9800" s="1" t="n">
        <v>0.99383</v>
      </c>
      <c r="E9800" s="1" t="n">
        <f aca="false">LN(D9800)</f>
        <v>-0.00618911310914557</v>
      </c>
    </row>
    <row r="9801" customFormat="false" ht="15.75" hidden="false" customHeight="false" outlineLevel="0" collapsed="false">
      <c r="A9801" s="1" t="s">
        <v>1188</v>
      </c>
      <c r="B9801" s="1" t="n">
        <v>202.77</v>
      </c>
      <c r="C9801" s="1" t="n">
        <f aca="false">1/B9801</f>
        <v>0.00493169601025793</v>
      </c>
      <c r="D9801" s="1" t="n">
        <v>0.98409</v>
      </c>
      <c r="E9801" s="1" t="n">
        <f aca="false">LN(D9801)</f>
        <v>-0.0160379226977725</v>
      </c>
    </row>
    <row r="9802" customFormat="false" ht="15.75" hidden="false" customHeight="false" outlineLevel="0" collapsed="false">
      <c r="A9802" s="1" t="s">
        <v>1188</v>
      </c>
      <c r="B9802" s="1" t="n">
        <v>203.32</v>
      </c>
      <c r="C9802" s="1" t="n">
        <f aca="false">1/B9802</f>
        <v>0.00491835530198702</v>
      </c>
      <c r="D9802" s="1" t="n">
        <v>0.97449</v>
      </c>
      <c r="E9802" s="1" t="n">
        <f aca="false">LN(D9802)</f>
        <v>-0.0258410217598255</v>
      </c>
    </row>
    <row r="9803" customFormat="false" ht="15.75" hidden="false" customHeight="false" outlineLevel="0" collapsed="false">
      <c r="A9803" s="1" t="s">
        <v>1188</v>
      </c>
      <c r="B9803" s="1" t="n">
        <v>203.86</v>
      </c>
      <c r="C9803" s="1" t="n">
        <f aca="false">1/B9803</f>
        <v>0.00490532718532326</v>
      </c>
      <c r="D9803" s="1" t="n">
        <v>0.96502</v>
      </c>
      <c r="E9803" s="1" t="n">
        <f aca="false">LN(D9803)</f>
        <v>-0.035606452469318</v>
      </c>
    </row>
    <row r="9804" customFormat="false" ht="15.75" hidden="false" customHeight="false" outlineLevel="0" collapsed="false">
      <c r="A9804" s="1" t="s">
        <v>1188</v>
      </c>
      <c r="B9804" s="1" t="n">
        <v>204.41</v>
      </c>
      <c r="C9804" s="1" t="n">
        <f aca="false">1/B9804</f>
        <v>0.00489212856513869</v>
      </c>
      <c r="D9804" s="1" t="n">
        <v>0.95567</v>
      </c>
      <c r="E9804" s="1" t="n">
        <f aca="false">LN(D9804)</f>
        <v>-0.0453426138064443</v>
      </c>
    </row>
    <row r="9805" customFormat="false" ht="15.75" hidden="false" customHeight="false" outlineLevel="0" collapsed="false">
      <c r="A9805" s="1" t="s">
        <v>1188</v>
      </c>
      <c r="B9805" s="1" t="n">
        <v>204.96</v>
      </c>
      <c r="C9805" s="1" t="n">
        <f aca="false">1/B9805</f>
        <v>0.00487900078064013</v>
      </c>
      <c r="D9805" s="1" t="n">
        <v>0.94645</v>
      </c>
      <c r="E9805" s="1" t="n">
        <f aca="false">LN(D9805)</f>
        <v>-0.0550371359299085</v>
      </c>
    </row>
    <row r="9806" customFormat="false" ht="15.75" hidden="false" customHeight="false" outlineLevel="0" collapsed="false">
      <c r="A9806" s="1" t="s">
        <v>1188</v>
      </c>
      <c r="B9806" s="1" t="n">
        <v>205.51</v>
      </c>
      <c r="C9806" s="1" t="n">
        <f aca="false">1/B9806</f>
        <v>0.00486594326310155</v>
      </c>
      <c r="D9806" s="1" t="n">
        <v>0.93736</v>
      </c>
      <c r="E9806" s="1" t="n">
        <f aca="false">LN(D9806)</f>
        <v>-0.064687865622237</v>
      </c>
    </row>
    <row r="9807" customFormat="false" ht="15.75" hidden="false" customHeight="false" outlineLevel="0" collapsed="false">
      <c r="A9807" s="1" t="s">
        <v>1188</v>
      </c>
      <c r="B9807" s="1" t="n">
        <v>206.05</v>
      </c>
      <c r="C9807" s="1" t="n">
        <f aca="false">1/B9807</f>
        <v>0.00485319097306479</v>
      </c>
      <c r="D9807" s="1" t="n">
        <v>0.92838</v>
      </c>
      <c r="E9807" s="1" t="n">
        <f aca="false">LN(D9807)</f>
        <v>-0.0743141472525008</v>
      </c>
    </row>
    <row r="9808" customFormat="false" ht="15.75" hidden="false" customHeight="false" outlineLevel="0" collapsed="false">
      <c r="A9808" s="1" t="s">
        <v>1188</v>
      </c>
      <c r="B9808" s="1" t="n">
        <v>206.6</v>
      </c>
      <c r="C9808" s="1" t="n">
        <f aca="false">1/B9808</f>
        <v>0.00484027105517909</v>
      </c>
      <c r="D9808" s="1" t="n">
        <v>0.91953</v>
      </c>
      <c r="E9808" s="1" t="n">
        <f aca="false">LN(D9808)</f>
        <v>-0.0838926090425854</v>
      </c>
    </row>
    <row r="9809" customFormat="false" ht="15.75" hidden="false" customHeight="false" outlineLevel="0" collapsed="false">
      <c r="A9809" s="1" t="s">
        <v>1188</v>
      </c>
      <c r="B9809" s="1" t="n">
        <v>207.15</v>
      </c>
      <c r="C9809" s="1" t="n">
        <f aca="false">1/B9809</f>
        <v>0.00482741974414675</v>
      </c>
      <c r="D9809" s="1" t="n">
        <v>0.91079</v>
      </c>
      <c r="E9809" s="1" t="n">
        <f aca="false">LN(D9809)</f>
        <v>-0.0934429242116316</v>
      </c>
    </row>
    <row r="9810" customFormat="false" ht="15.75" hidden="false" customHeight="false" outlineLevel="0" collapsed="false">
      <c r="A9810" s="1" t="s">
        <v>1188</v>
      </c>
      <c r="B9810" s="1" t="n">
        <v>207.7</v>
      </c>
      <c r="C9810" s="1" t="n">
        <f aca="false">1/B9810</f>
        <v>0.00481463649494463</v>
      </c>
      <c r="D9810" s="1" t="n">
        <v>0.90217</v>
      </c>
      <c r="E9810" s="1" t="n">
        <f aca="false">LN(D9810)</f>
        <v>-0.102952306611246</v>
      </c>
    </row>
    <row r="9811" customFormat="false" ht="15.75" hidden="false" customHeight="false" outlineLevel="0" collapsed="false">
      <c r="A9811" s="1" t="s">
        <v>1188</v>
      </c>
      <c r="B9811" s="1" t="n">
        <v>208.25</v>
      </c>
      <c r="C9811" s="1" t="n">
        <f aca="false">1/B9811</f>
        <v>0.00480192076830732</v>
      </c>
      <c r="D9811" s="1" t="n">
        <v>0.89366</v>
      </c>
      <c r="E9811" s="1" t="n">
        <f aca="false">LN(D9811)</f>
        <v>-0.112429889345134</v>
      </c>
    </row>
    <row r="9812" customFormat="false" ht="15.75" hidden="false" customHeight="false" outlineLevel="0" collapsed="false">
      <c r="A9812" s="1" t="s">
        <v>1188</v>
      </c>
      <c r="B9812" s="1" t="n">
        <v>208.79</v>
      </c>
      <c r="C9812" s="1" t="n">
        <f aca="false">1/B9812</f>
        <v>0.00478950141290292</v>
      </c>
      <c r="D9812" s="1" t="n">
        <v>0.88526</v>
      </c>
      <c r="E9812" s="1" t="n">
        <f aca="false">LN(D9812)</f>
        <v>-0.121873891809927</v>
      </c>
    </row>
    <row r="9813" customFormat="false" ht="15.75" hidden="false" customHeight="false" outlineLevel="0" collapsed="false">
      <c r="A9813" s="1" t="s">
        <v>1188</v>
      </c>
      <c r="B9813" s="1" t="n">
        <v>209.34</v>
      </c>
      <c r="C9813" s="1" t="n">
        <f aca="false">1/B9813</f>
        <v>0.00477691793254992</v>
      </c>
      <c r="D9813" s="1" t="n">
        <v>0.87696</v>
      </c>
      <c r="E9813" s="1" t="n">
        <f aca="false">LN(D9813)</f>
        <v>-0.131293897684331</v>
      </c>
    </row>
    <row r="9814" customFormat="false" ht="15.75" hidden="false" customHeight="false" outlineLevel="0" collapsed="false">
      <c r="A9814" s="1" t="s">
        <v>1188</v>
      </c>
      <c r="B9814" s="1" t="n">
        <v>209.89</v>
      </c>
      <c r="C9814" s="1" t="n">
        <f aca="false">1/B9814</f>
        <v>0.00476440040020963</v>
      </c>
      <c r="D9814" s="1" t="n">
        <v>0.86878</v>
      </c>
      <c r="E9814" s="1" t="n">
        <f aca="false">LN(D9814)</f>
        <v>-0.140665350325263</v>
      </c>
    </row>
    <row r="9815" customFormat="false" ht="15.75" hidden="false" customHeight="false" outlineLevel="0" collapsed="false">
      <c r="A9815" s="1" t="s">
        <v>1188</v>
      </c>
      <c r="B9815" s="1" t="n">
        <v>210.44</v>
      </c>
      <c r="C9815" s="1" t="n">
        <f aca="false">1/B9815</f>
        <v>0.00475194829880251</v>
      </c>
      <c r="D9815" s="1" t="n">
        <v>0.8607</v>
      </c>
      <c r="E9815" s="1" t="n">
        <f aca="false">LN(D9815)</f>
        <v>-0.150009267326708</v>
      </c>
    </row>
    <row r="9816" customFormat="false" ht="15.75" hidden="false" customHeight="false" outlineLevel="0" collapsed="false">
      <c r="A9816" s="1" t="s">
        <v>1188</v>
      </c>
      <c r="B9816" s="1" t="n">
        <v>210.98</v>
      </c>
      <c r="C9816" s="1" t="n">
        <f aca="false">1/B9816</f>
        <v>0.00473978576168357</v>
      </c>
      <c r="D9816" s="1" t="n">
        <v>0.85272</v>
      </c>
      <c r="E9816" s="1" t="n">
        <f aca="false">LN(D9816)</f>
        <v>-0.159324038601256</v>
      </c>
    </row>
    <row r="9817" customFormat="false" ht="15.75" hidden="false" customHeight="false" outlineLevel="0" collapsed="false">
      <c r="A9817" s="1" t="s">
        <v>1188</v>
      </c>
      <c r="B9817" s="1" t="n">
        <v>211.53</v>
      </c>
      <c r="C9817" s="1" t="n">
        <f aca="false">1/B9817</f>
        <v>0.00472746182574576</v>
      </c>
      <c r="D9817" s="1" t="n">
        <v>0.84484</v>
      </c>
      <c r="E9817" s="1" t="n">
        <f aca="false">LN(D9817)</f>
        <v>-0.168608018666196</v>
      </c>
    </row>
    <row r="9818" customFormat="false" ht="15.75" hidden="false" customHeight="false" outlineLevel="0" collapsed="false">
      <c r="A9818" s="1" t="s">
        <v>1188</v>
      </c>
      <c r="B9818" s="1" t="n">
        <v>212.08</v>
      </c>
      <c r="C9818" s="1" t="n">
        <f aca="false">1/B9818</f>
        <v>0.0047152018106375</v>
      </c>
      <c r="D9818" s="1" t="n">
        <v>0.83707</v>
      </c>
      <c r="E9818" s="1" t="n">
        <f aca="false">LN(D9818)</f>
        <v>-0.177847579970508</v>
      </c>
    </row>
    <row r="9819" customFormat="false" ht="15.75" hidden="false" customHeight="false" outlineLevel="0" collapsed="false">
      <c r="A9819" s="1" t="s">
        <v>1188</v>
      </c>
      <c r="B9819" s="1" t="n">
        <v>212.63</v>
      </c>
      <c r="C9819" s="1" t="n">
        <f aca="false">1/B9819</f>
        <v>0.00470300522033579</v>
      </c>
      <c r="D9819" s="1" t="n">
        <v>0.82939</v>
      </c>
      <c r="E9819" s="1" t="n">
        <f aca="false">LN(D9819)</f>
        <v>-0.18706478815115</v>
      </c>
    </row>
    <row r="9820" customFormat="false" ht="15.75" hidden="false" customHeight="false" outlineLevel="0" collapsed="false">
      <c r="A9820" s="1" t="s">
        <v>1188</v>
      </c>
      <c r="B9820" s="1" t="n">
        <v>213.18</v>
      </c>
      <c r="C9820" s="1" t="n">
        <f aca="false">1/B9820</f>
        <v>0.00469087156393658</v>
      </c>
      <c r="D9820" s="1" t="n">
        <v>0.8218</v>
      </c>
      <c r="E9820" s="1" t="n">
        <f aca="false">LN(D9820)</f>
        <v>-0.196258222532828</v>
      </c>
    </row>
    <row r="9821" customFormat="false" ht="15.75" hidden="false" customHeight="false" outlineLevel="0" collapsed="false">
      <c r="A9821" s="1" t="s">
        <v>1188</v>
      </c>
      <c r="B9821" s="1" t="n">
        <v>213.72</v>
      </c>
      <c r="C9821" s="1" t="n">
        <f aca="false">1/B9821</f>
        <v>0.00467901927755942</v>
      </c>
      <c r="D9821" s="1" t="n">
        <v>0.81431</v>
      </c>
      <c r="E9821" s="1" t="n">
        <f aca="false">LN(D9821)</f>
        <v>-0.205414150098149</v>
      </c>
    </row>
    <row r="9822" customFormat="false" ht="15.75" hidden="false" customHeight="false" outlineLevel="0" collapsed="false">
      <c r="A9822" s="1" t="s">
        <v>1188</v>
      </c>
      <c r="B9822" s="1" t="n">
        <v>214.27</v>
      </c>
      <c r="C9822" s="1" t="n">
        <f aca="false">1/B9822</f>
        <v>0.00466700891398703</v>
      </c>
      <c r="D9822" s="1" t="n">
        <v>0.80691</v>
      </c>
      <c r="E9822" s="1" t="n">
        <f aca="false">LN(D9822)</f>
        <v>-0.214543141095039</v>
      </c>
    </row>
    <row r="9823" customFormat="false" ht="15.75" hidden="false" customHeight="false" outlineLevel="0" collapsed="false">
      <c r="A9823" s="1" t="s">
        <v>1188</v>
      </c>
      <c r="B9823" s="1" t="n">
        <v>214.82</v>
      </c>
      <c r="C9823" s="1" t="n">
        <f aca="false">1/B9823</f>
        <v>0.00465506005027465</v>
      </c>
      <c r="D9823" s="1" t="n">
        <v>0.7996</v>
      </c>
      <c r="E9823" s="1" t="n">
        <f aca="false">LN(D9823)</f>
        <v>-0.223643676355892</v>
      </c>
    </row>
    <row r="9824" customFormat="false" ht="15.75" hidden="false" customHeight="false" outlineLevel="0" collapsed="false">
      <c r="A9824" s="1" t="s">
        <v>1188</v>
      </c>
      <c r="B9824" s="1" t="n">
        <v>215.37</v>
      </c>
      <c r="C9824" s="1" t="n">
        <f aca="false">1/B9824</f>
        <v>0.00464317221525746</v>
      </c>
      <c r="D9824" s="1" t="n">
        <v>0.79238</v>
      </c>
      <c r="E9824" s="1" t="n">
        <f aca="false">LN(D9824)</f>
        <v>-0.23271420425416</v>
      </c>
    </row>
    <row r="9825" customFormat="false" ht="15.75" hidden="false" customHeight="false" outlineLevel="0" collapsed="false">
      <c r="A9825" s="1" t="s">
        <v>1188</v>
      </c>
      <c r="B9825" s="1" t="n">
        <v>215.91</v>
      </c>
      <c r="C9825" s="1" t="n">
        <f aca="false">1/B9825</f>
        <v>0.00463155944606549</v>
      </c>
      <c r="D9825" s="1" t="n">
        <v>0.78525</v>
      </c>
      <c r="E9825" s="1" t="n">
        <f aca="false">LN(D9825)</f>
        <v>-0.241753140563381</v>
      </c>
    </row>
    <row r="9826" customFormat="false" ht="15.75" hidden="false" customHeight="false" outlineLevel="0" collapsed="false">
      <c r="A9826" s="1" t="s">
        <v>1188</v>
      </c>
      <c r="B9826" s="1" t="n">
        <v>216.46</v>
      </c>
      <c r="C9826" s="1" t="n">
        <f aca="false">1/B9826</f>
        <v>0.00461979118543842</v>
      </c>
      <c r="D9826" s="1" t="n">
        <v>0.77821</v>
      </c>
      <c r="E9826" s="1" t="n">
        <f aca="false">LN(D9826)</f>
        <v>-0.250758868347194</v>
      </c>
    </row>
    <row r="9827" customFormat="false" ht="15.75" hidden="false" customHeight="false" outlineLevel="0" collapsed="false">
      <c r="A9827" s="1" t="s">
        <v>1188</v>
      </c>
      <c r="B9827" s="1" t="n">
        <v>217.01</v>
      </c>
      <c r="C9827" s="1" t="n">
        <f aca="false">1/B9827</f>
        <v>0.00460808257683978</v>
      </c>
      <c r="D9827" s="1" t="n">
        <v>0.77125</v>
      </c>
      <c r="E9827" s="1" t="n">
        <f aca="false">LN(D9827)</f>
        <v>-0.259742703762539</v>
      </c>
    </row>
    <row r="9828" customFormat="false" ht="15.75" hidden="false" customHeight="false" outlineLevel="0" collapsed="false">
      <c r="A9828" s="1" t="s">
        <v>1188</v>
      </c>
      <c r="B9828" s="1" t="n">
        <v>217.56</v>
      </c>
      <c r="C9828" s="1" t="n">
        <f aca="false">1/B9828</f>
        <v>0.00459643316786174</v>
      </c>
      <c r="D9828" s="1" t="n">
        <v>0.76437</v>
      </c>
      <c r="E9828" s="1" t="n">
        <f aca="false">LN(D9828)</f>
        <v>-0.268703313854</v>
      </c>
    </row>
    <row r="9829" customFormat="false" ht="15.75" hidden="false" customHeight="false" outlineLevel="0" collapsed="false">
      <c r="A9829" s="1" t="s">
        <v>1188</v>
      </c>
      <c r="B9829" s="1" t="n">
        <v>218.11</v>
      </c>
      <c r="C9829" s="1" t="n">
        <f aca="false">1/B9829</f>
        <v>0.00458484251065976</v>
      </c>
      <c r="D9829" s="1" t="n">
        <v>0.75758</v>
      </c>
      <c r="E9829" s="1" t="n">
        <f aca="false">LN(D9829)</f>
        <v>-0.277626136613959</v>
      </c>
    </row>
    <row r="9830" customFormat="false" ht="15.75" hidden="false" customHeight="false" outlineLevel="0" collapsed="false">
      <c r="A9830" s="1" t="s">
        <v>1188</v>
      </c>
      <c r="B9830" s="1" t="n">
        <v>218.65</v>
      </c>
      <c r="C9830" s="1" t="n">
        <f aca="false">1/B9830</f>
        <v>0.00457351932311914</v>
      </c>
      <c r="D9830" s="1" t="n">
        <v>0.75086</v>
      </c>
      <c r="E9830" s="1" t="n">
        <f aca="false">LN(D9830)</f>
        <v>-0.286536062705205</v>
      </c>
    </row>
    <row r="9831" customFormat="false" ht="15.75" hidden="false" customHeight="false" outlineLevel="0" collapsed="false">
      <c r="A9831" s="1" t="s">
        <v>1188</v>
      </c>
      <c r="B9831" s="1" t="n">
        <v>219.2</v>
      </c>
      <c r="C9831" s="1" t="n">
        <f aca="false">1/B9831</f>
        <v>0.00456204379562044</v>
      </c>
      <c r="D9831" s="1" t="n">
        <v>0.74422</v>
      </c>
      <c r="E9831" s="1" t="n">
        <f aca="false">LN(D9831)</f>
        <v>-0.295418588934624</v>
      </c>
    </row>
    <row r="9832" customFormat="false" ht="15.75" hidden="false" customHeight="false" outlineLevel="0" collapsed="false">
      <c r="A9832" s="1" t="s">
        <v>1188</v>
      </c>
      <c r="B9832" s="1" t="n">
        <v>219.75</v>
      </c>
      <c r="C9832" s="1" t="n">
        <f aca="false">1/B9832</f>
        <v>0.00455062571103527</v>
      </c>
      <c r="D9832" s="1" t="n">
        <v>0.73767</v>
      </c>
      <c r="E9832" s="1" t="n">
        <f aca="false">LN(D9832)</f>
        <v>-0.304258708856582</v>
      </c>
    </row>
    <row r="9833" customFormat="false" ht="15.75" hidden="false" customHeight="false" outlineLevel="0" collapsed="false">
      <c r="A9833" s="1" t="s">
        <v>1188</v>
      </c>
      <c r="B9833" s="1" t="n">
        <v>220.3</v>
      </c>
      <c r="C9833" s="1" t="n">
        <f aca="false">1/B9833</f>
        <v>0.00453926463912846</v>
      </c>
      <c r="D9833" s="1" t="n">
        <v>0.73119</v>
      </c>
      <c r="E9833" s="1" t="n">
        <f aca="false">LN(D9833)</f>
        <v>-0.313081935084513</v>
      </c>
    </row>
    <row r="9834" customFormat="false" ht="15.75" hidden="false" customHeight="false" outlineLevel="0" collapsed="false">
      <c r="A9834" s="1" t="s">
        <v>1188</v>
      </c>
      <c r="B9834" s="1" t="n">
        <v>220.84</v>
      </c>
      <c r="C9834" s="1" t="n">
        <f aca="false">1/B9834</f>
        <v>0.00452816518746604</v>
      </c>
      <c r="D9834" s="1" t="n">
        <v>0.72478</v>
      </c>
      <c r="E9834" s="1" t="n">
        <f aca="false">LN(D9834)</f>
        <v>-0.321887118453068</v>
      </c>
    </row>
    <row r="9835" customFormat="false" ht="15.75" hidden="false" customHeight="false" outlineLevel="0" collapsed="false">
      <c r="A9835" s="1" t="s">
        <v>1188</v>
      </c>
      <c r="B9835" s="1" t="n">
        <v>221.39</v>
      </c>
      <c r="C9835" s="1" t="n">
        <f aca="false">1/B9835</f>
        <v>0.00451691584985772</v>
      </c>
      <c r="D9835" s="1" t="n">
        <v>0.71845</v>
      </c>
      <c r="E9835" s="1" t="n">
        <f aca="false">LN(D9835)</f>
        <v>-0.330659165306921</v>
      </c>
    </row>
    <row r="9836" customFormat="false" ht="15.75" hidden="false" customHeight="false" outlineLevel="0" collapsed="false">
      <c r="A9836" s="1" t="s">
        <v>1188</v>
      </c>
      <c r="B9836" s="1" t="n">
        <v>221.94</v>
      </c>
      <c r="C9836" s="1" t="n">
        <f aca="false">1/B9836</f>
        <v>0.00450572226727945</v>
      </c>
      <c r="D9836" s="1" t="n">
        <v>0.71219</v>
      </c>
      <c r="E9836" s="1" t="n">
        <f aca="false">LN(D9836)</f>
        <v>-0.339410549236755</v>
      </c>
    </row>
    <row r="9837" customFormat="false" ht="15.75" hidden="false" customHeight="false" outlineLevel="0" collapsed="false">
      <c r="A9837" s="1" t="s">
        <v>1188</v>
      </c>
      <c r="B9837" s="1" t="n">
        <v>222.49</v>
      </c>
      <c r="C9837" s="1" t="n">
        <f aca="false">1/B9837</f>
        <v>0.00449458402624837</v>
      </c>
      <c r="D9837" s="1" t="n">
        <v>0.706</v>
      </c>
      <c r="E9837" s="1" t="n">
        <f aca="false">LN(D9837)</f>
        <v>-0.348140041488895</v>
      </c>
    </row>
    <row r="9838" customFormat="false" ht="15.75" hidden="false" customHeight="false" outlineLevel="0" collapsed="false">
      <c r="A9838" s="1" t="s">
        <v>1188</v>
      </c>
      <c r="B9838" s="1" t="n">
        <v>223.04</v>
      </c>
      <c r="C9838" s="1" t="n">
        <f aca="false">1/B9838</f>
        <v>0.00448350071736012</v>
      </c>
      <c r="D9838" s="1" t="n">
        <v>0.69988</v>
      </c>
      <c r="E9838" s="1" t="n">
        <f aca="false">LN(D9838)</f>
        <v>-0.356846387205718</v>
      </c>
    </row>
    <row r="9839" customFormat="false" ht="15.75" hidden="false" customHeight="false" outlineLevel="0" collapsed="false">
      <c r="A9839" s="1" t="s">
        <v>1188</v>
      </c>
      <c r="B9839" s="1" t="n">
        <v>223.58</v>
      </c>
      <c r="C9839" s="1" t="n">
        <f aca="false">1/B9839</f>
        <v>0.00447267197423741</v>
      </c>
      <c r="D9839" s="1" t="n">
        <v>0.69383</v>
      </c>
      <c r="E9839" s="1" t="n">
        <f aca="false">LN(D9839)</f>
        <v>-0.365528305254477</v>
      </c>
    </row>
    <row r="9840" customFormat="false" ht="15.75" hidden="false" customHeight="false" outlineLevel="0" collapsed="false">
      <c r="A9840" s="1" t="s">
        <v>1188</v>
      </c>
      <c r="B9840" s="1" t="n">
        <v>224.13</v>
      </c>
      <c r="C9840" s="1" t="n">
        <f aca="false">1/B9840</f>
        <v>0.00446169633694731</v>
      </c>
      <c r="D9840" s="1" t="n">
        <v>0.68785</v>
      </c>
      <c r="E9840" s="1" t="n">
        <f aca="false">LN(D9840)</f>
        <v>-0.374184488075132</v>
      </c>
    </row>
    <row r="9841" customFormat="false" ht="15.75" hidden="false" customHeight="false" outlineLevel="0" collapsed="false">
      <c r="A9841" s="1" t="s">
        <v>1188</v>
      </c>
      <c r="B9841" s="1" t="n">
        <v>224.68</v>
      </c>
      <c r="C9841" s="1" t="n">
        <f aca="false">1/B9841</f>
        <v>0.00445077443475165</v>
      </c>
      <c r="D9841" s="1" t="n">
        <v>0.68194</v>
      </c>
      <c r="E9841" s="1" t="n">
        <f aca="false">LN(D9841)</f>
        <v>-0.382813601548427</v>
      </c>
    </row>
    <row r="9842" customFormat="false" ht="15.75" hidden="false" customHeight="false" outlineLevel="0" collapsed="false">
      <c r="A9842" s="1" t="s">
        <v>1188</v>
      </c>
      <c r="B9842" s="1" t="n">
        <v>225.23</v>
      </c>
      <c r="C9842" s="1" t="n">
        <f aca="false">1/B9842</f>
        <v>0.00443990587399547</v>
      </c>
      <c r="D9842" s="1" t="n">
        <v>0.67609</v>
      </c>
      <c r="E9842" s="1" t="n">
        <f aca="false">LN(D9842)</f>
        <v>-0.391429075706322</v>
      </c>
    </row>
    <row r="9843" customFormat="false" ht="15.75" hidden="false" customHeight="false" outlineLevel="0" collapsed="false">
      <c r="A9843" s="1" t="s">
        <v>1188</v>
      </c>
      <c r="B9843" s="1" t="n">
        <v>225.77</v>
      </c>
      <c r="C9843" s="1" t="n">
        <f aca="false">1/B9843</f>
        <v>0.0044292864419542</v>
      </c>
      <c r="D9843" s="1" t="n">
        <v>0.67031</v>
      </c>
      <c r="E9843" s="1" t="n">
        <f aca="false">LN(D9843)</f>
        <v>-0.400014987036385</v>
      </c>
    </row>
    <row r="9844" customFormat="false" ht="15.75" hidden="false" customHeight="false" outlineLevel="0" collapsed="false">
      <c r="A9844" s="1" t="s">
        <v>1188</v>
      </c>
      <c r="B9844" s="1" t="n">
        <v>226.32</v>
      </c>
      <c r="C9844" s="1" t="n">
        <f aca="false">1/B9844</f>
        <v>0.00441852244609403</v>
      </c>
      <c r="D9844" s="1" t="n">
        <v>0.66459</v>
      </c>
      <c r="E9844" s="1" t="n">
        <f aca="false">LN(D9844)</f>
        <v>-0.408584969819443</v>
      </c>
    </row>
    <row r="9845" customFormat="false" ht="15.75" hidden="false" customHeight="false" outlineLevel="0" collapsed="false">
      <c r="A9845" s="1" t="s">
        <v>1188</v>
      </c>
      <c r="B9845" s="1" t="n">
        <v>226.87</v>
      </c>
      <c r="C9845" s="1" t="n">
        <f aca="false">1/B9845</f>
        <v>0.00440781064045489</v>
      </c>
      <c r="D9845" s="1" t="n">
        <v>0.65894</v>
      </c>
      <c r="E9845" s="1" t="n">
        <f aca="false">LN(D9845)</f>
        <v>-0.417122795665634</v>
      </c>
    </row>
    <row r="9846" customFormat="false" ht="15.75" hidden="false" customHeight="false" outlineLevel="0" collapsed="false">
      <c r="A9846" s="1" t="s">
        <v>1188</v>
      </c>
      <c r="B9846" s="1" t="n">
        <v>227.42</v>
      </c>
      <c r="C9846" s="1" t="n">
        <f aca="false">1/B9846</f>
        <v>0.00439715064638115</v>
      </c>
      <c r="D9846" s="1" t="n">
        <v>0.65335</v>
      </c>
      <c r="E9846" s="1" t="n">
        <f aca="false">LN(D9846)</f>
        <v>-0.425642305546982</v>
      </c>
    </row>
    <row r="9847" customFormat="false" ht="15.75" hidden="false" customHeight="false" outlineLevel="0" collapsed="false">
      <c r="A9847" s="1" t="s">
        <v>1188</v>
      </c>
      <c r="B9847" s="1" t="n">
        <v>227.96</v>
      </c>
      <c r="C9847" s="1" t="n">
        <f aca="false">1/B9847</f>
        <v>0.00438673451482716</v>
      </c>
      <c r="D9847" s="1" t="n">
        <v>0.64781</v>
      </c>
      <c r="E9847" s="1" t="n">
        <f aca="false">LN(D9847)</f>
        <v>-0.434157835500826</v>
      </c>
    </row>
    <row r="9848" customFormat="false" ht="15.75" hidden="false" customHeight="false" outlineLevel="0" collapsed="false">
      <c r="A9848" s="1" t="s">
        <v>1188</v>
      </c>
      <c r="B9848" s="1" t="n">
        <v>228.51</v>
      </c>
      <c r="C9848" s="1" t="n">
        <f aca="false">1/B9848</f>
        <v>0.00437617609732616</v>
      </c>
      <c r="D9848" s="1" t="n">
        <v>0.64234</v>
      </c>
      <c r="E9848" s="1" t="n">
        <f aca="false">LN(D9848)</f>
        <v>-0.442637520462547</v>
      </c>
    </row>
    <row r="9849" customFormat="false" ht="15.75" hidden="false" customHeight="false" outlineLevel="0" collapsed="false">
      <c r="A9849" s="1" t="s">
        <v>1188</v>
      </c>
      <c r="B9849" s="1" t="n">
        <v>229.06</v>
      </c>
      <c r="C9849" s="1" t="n">
        <f aca="false">1/B9849</f>
        <v>0.00436566838382956</v>
      </c>
      <c r="D9849" s="1" t="n">
        <v>0.63693</v>
      </c>
      <c r="E9849" s="1" t="n">
        <f aca="false">LN(D9849)</f>
        <v>-0.451095519558224</v>
      </c>
    </row>
    <row r="9850" customFormat="false" ht="15.75" hidden="false" customHeight="false" outlineLevel="0" collapsed="false">
      <c r="A9850" s="1" t="s">
        <v>1188</v>
      </c>
      <c r="B9850" s="1" t="n">
        <v>229.61</v>
      </c>
      <c r="C9850" s="1" t="n">
        <f aca="false">1/B9850</f>
        <v>0.00435521100997343</v>
      </c>
      <c r="D9850" s="1" t="n">
        <v>0.63158</v>
      </c>
      <c r="E9850" s="1" t="n">
        <f aca="false">LN(D9850)</f>
        <v>-0.459530662713162</v>
      </c>
    </row>
    <row r="9851" customFormat="false" ht="15.75" hidden="false" customHeight="false" outlineLevel="0" collapsed="false">
      <c r="A9851" s="1" t="s">
        <v>1188</v>
      </c>
      <c r="B9851" s="1" t="n">
        <v>230.16</v>
      </c>
      <c r="C9851" s="1" t="n">
        <f aca="false">1/B9851</f>
        <v>0.00434480361487661</v>
      </c>
      <c r="D9851" s="1" t="n">
        <v>0.62628</v>
      </c>
      <c r="E9851" s="1" t="n">
        <f aca="false">LN(D9851)</f>
        <v>-0.467957723538815</v>
      </c>
    </row>
    <row r="9852" customFormat="false" ht="15.75" hidden="false" customHeight="false" outlineLevel="0" collapsed="false">
      <c r="A9852" s="1" t="s">
        <v>1188</v>
      </c>
      <c r="B9852" s="1" t="n">
        <v>230.7</v>
      </c>
      <c r="C9852" s="1" t="n">
        <f aca="false">1/B9852</f>
        <v>0.00433463372345037</v>
      </c>
      <c r="D9852" s="1" t="n">
        <v>0.62104</v>
      </c>
      <c r="E9852" s="1" t="n">
        <f aca="false">LN(D9852)</f>
        <v>-0.476359786884712</v>
      </c>
    </row>
    <row r="9853" customFormat="false" ht="15.75" hidden="false" customHeight="false" outlineLevel="0" collapsed="false">
      <c r="A9853" s="1" t="s">
        <v>1188</v>
      </c>
      <c r="B9853" s="1" t="n">
        <v>231.25</v>
      </c>
      <c r="C9853" s="1" t="n">
        <f aca="false">1/B9853</f>
        <v>0.00432432432432432</v>
      </c>
      <c r="D9853" s="1" t="n">
        <v>0.61585</v>
      </c>
      <c r="E9853" s="1" t="n">
        <f aca="false">LN(D9853)</f>
        <v>-0.484751851594644</v>
      </c>
    </row>
    <row r="9854" customFormat="false" ht="15.75" hidden="false" customHeight="false" outlineLevel="0" collapsed="false">
      <c r="A9854" s="1" t="s">
        <v>1188</v>
      </c>
      <c r="B9854" s="1" t="n">
        <v>231.8</v>
      </c>
      <c r="C9854" s="1" t="n">
        <f aca="false">1/B9854</f>
        <v>0.00431406384814495</v>
      </c>
      <c r="D9854" s="1" t="n">
        <v>0.61072</v>
      </c>
      <c r="E9854" s="1" t="n">
        <f aca="false">LN(D9854)</f>
        <v>-0.493116689985217</v>
      </c>
    </row>
    <row r="9855" customFormat="false" ht="15.75" hidden="false" customHeight="false" outlineLevel="0" collapsed="false">
      <c r="A9855" s="1" t="s">
        <v>1188</v>
      </c>
      <c r="B9855" s="1" t="n">
        <v>232.35</v>
      </c>
      <c r="C9855" s="1" t="n">
        <f aca="false">1/B9855</f>
        <v>0.00430385194749301</v>
      </c>
      <c r="D9855" s="1" t="n">
        <v>0.60565</v>
      </c>
      <c r="E9855" s="1" t="n">
        <f aca="false">LN(D9855)</f>
        <v>-0.501453017519326</v>
      </c>
    </row>
    <row r="9856" customFormat="false" ht="15.75" hidden="false" customHeight="false" outlineLevel="0" collapsed="false">
      <c r="A9856" s="1" t="s">
        <v>1188</v>
      </c>
      <c r="B9856" s="1" t="n">
        <v>232.89</v>
      </c>
      <c r="C9856" s="1" t="n">
        <f aca="false">1/B9856</f>
        <v>0.00429387264373739</v>
      </c>
      <c r="D9856" s="1" t="n">
        <v>0.60062</v>
      </c>
      <c r="E9856" s="1" t="n">
        <f aca="false">LN(D9856)</f>
        <v>-0.509792823954041</v>
      </c>
    </row>
    <row r="9857" customFormat="false" ht="15.75" hidden="false" customHeight="false" outlineLevel="0" collapsed="false">
      <c r="A9857" s="1" t="s">
        <v>1188</v>
      </c>
      <c r="B9857" s="1" t="n">
        <v>233.44</v>
      </c>
      <c r="C9857" s="1" t="n">
        <f aca="false">1/B9857</f>
        <v>0.0042837559972584</v>
      </c>
      <c r="D9857" s="1" t="n">
        <v>0.59565</v>
      </c>
      <c r="E9857" s="1" t="n">
        <f aca="false">LN(D9857)</f>
        <v>-0.518102032736767</v>
      </c>
    </row>
    <row r="9858" customFormat="false" ht="15.75" hidden="false" customHeight="false" outlineLevel="0" collapsed="false">
      <c r="A9858" s="1" t="s">
        <v>1188</v>
      </c>
      <c r="B9858" s="1" t="n">
        <v>233.99</v>
      </c>
      <c r="C9858" s="1" t="n">
        <f aca="false">1/B9858</f>
        <v>0.004273686909697</v>
      </c>
      <c r="D9858" s="1" t="n">
        <v>0.59073</v>
      </c>
      <c r="E9858" s="1" t="n">
        <f aca="false">LN(D9858)</f>
        <v>-0.526396218756949</v>
      </c>
    </row>
    <row r="9859" customFormat="false" ht="15.75" hidden="false" customHeight="false" outlineLevel="0" collapsed="false">
      <c r="A9859" s="1" t="s">
        <v>1188</v>
      </c>
      <c r="B9859" s="1" t="n">
        <v>234.54</v>
      </c>
      <c r="C9859" s="1" t="n">
        <f aca="false">1/B9859</f>
        <v>0.00426366504647395</v>
      </c>
      <c r="D9859" s="1" t="n">
        <v>0.58587</v>
      </c>
      <c r="E9859" s="1" t="n">
        <f aca="false">LN(D9859)</f>
        <v>-0.534657357019336</v>
      </c>
    </row>
    <row r="9860" customFormat="false" ht="15.75" hidden="false" customHeight="false" outlineLevel="0" collapsed="false">
      <c r="A9860" s="1" t="s">
        <v>1188</v>
      </c>
      <c r="B9860" s="1" t="n">
        <v>235.09</v>
      </c>
      <c r="C9860" s="1" t="n">
        <f aca="false">1/B9860</f>
        <v>0.00425369007614105</v>
      </c>
      <c r="D9860" s="1" t="n">
        <v>0.58105</v>
      </c>
      <c r="E9860" s="1" t="n">
        <f aca="false">LN(D9860)</f>
        <v>-0.542918467313254</v>
      </c>
    </row>
    <row r="9861" customFormat="false" ht="15.75" hidden="false" customHeight="false" outlineLevel="0" collapsed="false">
      <c r="A9861" s="1" t="s">
        <v>1188</v>
      </c>
      <c r="B9861" s="1" t="n">
        <v>235.63</v>
      </c>
      <c r="C9861" s="1" t="n">
        <f aca="false">1/B9861</f>
        <v>0.00424394177311887</v>
      </c>
      <c r="D9861" s="1" t="n">
        <v>0.57628</v>
      </c>
      <c r="E9861" s="1" t="n">
        <f aca="false">LN(D9861)</f>
        <v>-0.551161625288865</v>
      </c>
    </row>
    <row r="9862" customFormat="false" ht="15.75" hidden="false" customHeight="false" outlineLevel="0" collapsed="false">
      <c r="A9862" s="1" t="s">
        <v>1188</v>
      </c>
      <c r="B9862" s="1" t="n">
        <v>236.18</v>
      </c>
      <c r="C9862" s="1" t="n">
        <f aca="false">1/B9862</f>
        <v>0.00423405876873571</v>
      </c>
      <c r="D9862" s="1" t="n">
        <v>0.57156</v>
      </c>
      <c r="E9862" s="1" t="n">
        <f aca="false">LN(D9862)</f>
        <v>-0.559385814381368</v>
      </c>
    </row>
    <row r="9863" customFormat="false" ht="15.75" hidden="false" customHeight="false" outlineLevel="0" collapsed="false">
      <c r="A9863" s="1" t="s">
        <v>1188</v>
      </c>
      <c r="B9863" s="1" t="n">
        <v>236.73</v>
      </c>
      <c r="C9863" s="1" t="n">
        <f aca="false">1/B9863</f>
        <v>0.00422422168715414</v>
      </c>
      <c r="D9863" s="1" t="n">
        <v>0.56689</v>
      </c>
      <c r="E9863" s="1" t="n">
        <f aca="false">LN(D9863)</f>
        <v>-0.56758999760284</v>
      </c>
    </row>
    <row r="9864" customFormat="false" ht="15.75" hidden="false" customHeight="false" outlineLevel="0" collapsed="false">
      <c r="A9864" s="1" t="s">
        <v>1188</v>
      </c>
      <c r="B9864" s="1" t="n">
        <v>237.28</v>
      </c>
      <c r="C9864" s="1" t="n">
        <f aca="false">1/B9864</f>
        <v>0.00421443020903574</v>
      </c>
      <c r="D9864" s="1" t="n">
        <v>0.56226</v>
      </c>
      <c r="E9864" s="1" t="n">
        <f aca="false">LN(D9864)</f>
        <v>-0.57579090261835</v>
      </c>
    </row>
    <row r="9865" customFormat="false" ht="15.75" hidden="false" customHeight="false" outlineLevel="0" collapsed="false">
      <c r="A9865" s="1" t="s">
        <v>1188</v>
      </c>
      <c r="B9865" s="1" t="n">
        <v>237.82</v>
      </c>
      <c r="C9865" s="1" t="n">
        <f aca="false">1/B9865</f>
        <v>0.00420486081910689</v>
      </c>
      <c r="D9865" s="1" t="n">
        <v>0.55768</v>
      </c>
      <c r="E9865" s="1" t="n">
        <f aca="false">LN(D9865)</f>
        <v>-0.583969957803994</v>
      </c>
    </row>
    <row r="9866" customFormat="false" ht="15.75" hidden="false" customHeight="false" outlineLevel="0" collapsed="false">
      <c r="A9866" s="1" t="s">
        <v>1188</v>
      </c>
      <c r="B9866" s="1" t="n">
        <v>238.37</v>
      </c>
      <c r="C9866" s="1" t="n">
        <f aca="false">1/B9866</f>
        <v>0.00419515878676008</v>
      </c>
      <c r="D9866" s="1" t="n">
        <v>0.55315</v>
      </c>
      <c r="E9866" s="1" t="n">
        <f aca="false">LN(D9866)</f>
        <v>-0.592126066501217</v>
      </c>
    </row>
    <row r="9867" customFormat="false" ht="15.75" hidden="false" customHeight="false" outlineLevel="0" collapsed="false">
      <c r="A9867" s="1" t="s">
        <v>1188</v>
      </c>
      <c r="B9867" s="1" t="n">
        <v>238.92</v>
      </c>
      <c r="C9867" s="1" t="n">
        <f aca="false">1/B9867</f>
        <v>0.00418550142307048</v>
      </c>
      <c r="D9867" s="1" t="n">
        <v>0.54866</v>
      </c>
      <c r="E9867" s="1" t="n">
        <f aca="false">LN(D9867)</f>
        <v>-0.600276337155338</v>
      </c>
    </row>
    <row r="9868" customFormat="false" ht="15.75" hidden="false" customHeight="false" outlineLevel="0" collapsed="false">
      <c r="A9868" s="1" t="s">
        <v>1188</v>
      </c>
      <c r="B9868" s="1" t="n">
        <v>239.47</v>
      </c>
      <c r="C9868" s="1" t="n">
        <f aca="false">1/B9868</f>
        <v>0.00417588842026141</v>
      </c>
      <c r="D9868" s="1" t="n">
        <v>0.54422</v>
      </c>
      <c r="E9868" s="1" t="n">
        <f aca="false">LN(D9868)</f>
        <v>-0.608401702113886</v>
      </c>
    </row>
    <row r="9869" customFormat="false" ht="15.75" hidden="false" customHeight="false" outlineLevel="0" collapsed="false">
      <c r="A9869" s="1" t="s">
        <v>1188</v>
      </c>
      <c r="B9869" s="1" t="n">
        <v>240.02</v>
      </c>
      <c r="C9869" s="1" t="n">
        <f aca="false">1/B9869</f>
        <v>0.00416631947337722</v>
      </c>
      <c r="D9869" s="1" t="n">
        <v>0.53982</v>
      </c>
      <c r="E9869" s="1" t="n">
        <f aca="false">LN(D9869)</f>
        <v>-0.616519528325055</v>
      </c>
    </row>
    <row r="9870" customFormat="false" ht="15.75" hidden="false" customHeight="false" outlineLevel="0" collapsed="false">
      <c r="A9870" s="1" t="s">
        <v>1188</v>
      </c>
      <c r="B9870" s="1" t="n">
        <v>240.56</v>
      </c>
      <c r="C9870" s="1" t="n">
        <f aca="false">1/B9870</f>
        <v>0.00415696707682075</v>
      </c>
      <c r="D9870" s="1" t="n">
        <v>0.53547</v>
      </c>
      <c r="E9870" s="1" t="n">
        <f aca="false">LN(D9870)</f>
        <v>-0.624610413072611</v>
      </c>
    </row>
    <row r="9871" customFormat="false" ht="15.75" hidden="false" customHeight="false" outlineLevel="0" collapsed="false">
      <c r="A9871" s="1" t="s">
        <v>1188</v>
      </c>
      <c r="B9871" s="1" t="n">
        <v>241.11</v>
      </c>
      <c r="C9871" s="1" t="n">
        <f aca="false">1/B9871</f>
        <v>0.00414748455062005</v>
      </c>
      <c r="D9871" s="1" t="n">
        <v>0.53115</v>
      </c>
      <c r="E9871" s="1" t="n">
        <f aca="false">LN(D9871)</f>
        <v>-0.632710811756115</v>
      </c>
    </row>
    <row r="9872" customFormat="false" ht="15.75" hidden="false" customHeight="false" outlineLevel="0" collapsed="false">
      <c r="A9872" s="1" t="s">
        <v>1188</v>
      </c>
      <c r="B9872" s="1" t="n">
        <v>241.66</v>
      </c>
      <c r="C9872" s="1" t="n">
        <f aca="false">1/B9872</f>
        <v>0.00413804518745345</v>
      </c>
      <c r="D9872" s="1" t="n">
        <v>0.52688</v>
      </c>
      <c r="E9872" s="1" t="n">
        <f aca="false">LN(D9872)</f>
        <v>-0.640782460354083</v>
      </c>
    </row>
    <row r="9873" customFormat="false" ht="15.75" hidden="false" customHeight="false" outlineLevel="0" collapsed="false">
      <c r="A9873" s="1" t="s">
        <v>1188</v>
      </c>
      <c r="B9873" s="1" t="n">
        <v>242.21</v>
      </c>
      <c r="C9873" s="1" t="n">
        <f aca="false">1/B9873</f>
        <v>0.00412864869328269</v>
      </c>
      <c r="D9873" s="1" t="n">
        <v>0.52266</v>
      </c>
      <c r="E9873" s="1" t="n">
        <f aca="false">LN(D9873)</f>
        <v>-0.648824121923281</v>
      </c>
    </row>
    <row r="9874" customFormat="false" ht="15.75" hidden="false" customHeight="false" outlineLevel="0" collapsed="false">
      <c r="A9874" s="1" t="s">
        <v>1188</v>
      </c>
      <c r="B9874" s="1" t="n">
        <v>242.75</v>
      </c>
      <c r="C9874" s="1" t="n">
        <f aca="false">1/B9874</f>
        <v>0.00411946446961895</v>
      </c>
      <c r="D9874" s="1" t="n">
        <v>0.51847</v>
      </c>
      <c r="E9874" s="1" t="n">
        <f aca="false">LN(D9874)</f>
        <v>-0.656873112195721</v>
      </c>
    </row>
    <row r="9875" customFormat="false" ht="15.75" hidden="false" customHeight="false" outlineLevel="0" collapsed="false">
      <c r="A9875" s="1" t="s">
        <v>1188</v>
      </c>
      <c r="B9875" s="1" t="n">
        <v>243.3</v>
      </c>
      <c r="C9875" s="1" t="n">
        <f aca="false">1/B9875</f>
        <v>0.0041101520756268</v>
      </c>
      <c r="D9875" s="1" t="n">
        <v>0.51432</v>
      </c>
      <c r="E9875" s="1" t="n">
        <f aca="false">LN(D9875)</f>
        <v>-0.664909639148706</v>
      </c>
    </row>
    <row r="9876" customFormat="false" ht="15.75" hidden="false" customHeight="false" outlineLevel="0" collapsed="false">
      <c r="A9876" s="1" t="s">
        <v>1188</v>
      </c>
      <c r="B9876" s="1" t="n">
        <v>243.85</v>
      </c>
      <c r="C9876" s="1" t="n">
        <f aca="false">1/B9876</f>
        <v>0.00410088168956326</v>
      </c>
      <c r="D9876" s="1" t="n">
        <v>0.51021</v>
      </c>
      <c r="E9876" s="1" t="n">
        <f aca="false">LN(D9876)</f>
        <v>-0.672932873309705</v>
      </c>
    </row>
    <row r="9877" customFormat="false" ht="15.75" hidden="false" customHeight="false" outlineLevel="0" collapsed="false">
      <c r="A9877" s="1" t="s">
        <v>1188</v>
      </c>
      <c r="B9877" s="1" t="n">
        <v>244.4</v>
      </c>
      <c r="C9877" s="1" t="n">
        <f aca="false">1/B9877</f>
        <v>0.00409165302782324</v>
      </c>
      <c r="D9877" s="1" t="n">
        <v>0.50615</v>
      </c>
      <c r="E9877" s="1" t="n">
        <f aca="false">LN(D9877)</f>
        <v>-0.680922210937376</v>
      </c>
    </row>
    <row r="9878" customFormat="false" ht="15.75" hidden="false" customHeight="false" outlineLevel="0" collapsed="false">
      <c r="A9878" s="1" t="s">
        <v>1188</v>
      </c>
      <c r="B9878" s="1" t="n">
        <v>244.95</v>
      </c>
      <c r="C9878" s="1" t="n">
        <f aca="false">1/B9878</f>
        <v>0.00408246580934885</v>
      </c>
      <c r="D9878" s="1" t="n">
        <v>0.50212</v>
      </c>
      <c r="E9878" s="1" t="n">
        <f aca="false">LN(D9878)</f>
        <v>-0.688916144032129</v>
      </c>
    </row>
    <row r="9879" customFormat="false" ht="15.75" hidden="false" customHeight="false" outlineLevel="0" collapsed="false">
      <c r="A9879" s="1" t="s">
        <v>1188</v>
      </c>
      <c r="B9879" s="1" t="n">
        <v>245.49</v>
      </c>
      <c r="C9879" s="1" t="n">
        <f aca="false">1/B9879</f>
        <v>0.00407348568169783</v>
      </c>
      <c r="D9879" s="1" t="n">
        <v>0.49812</v>
      </c>
      <c r="E9879" s="1" t="n">
        <f aca="false">LN(D9879)</f>
        <v>-0.696914267129189</v>
      </c>
    </row>
    <row r="9880" customFormat="false" ht="15.75" hidden="false" customHeight="false" outlineLevel="0" collapsed="false">
      <c r="A9880" s="1" t="s">
        <v>1188</v>
      </c>
      <c r="B9880" s="1" t="n">
        <v>246.04</v>
      </c>
      <c r="C9880" s="1" t="n">
        <f aca="false">1/B9880</f>
        <v>0.00406437977564624</v>
      </c>
      <c r="D9880" s="1" t="n">
        <v>0.49417</v>
      </c>
      <c r="E9880" s="1" t="n">
        <f aca="false">LN(D9880)</f>
        <v>-0.704875691438553</v>
      </c>
    </row>
    <row r="9881" customFormat="false" ht="15.75" hidden="false" customHeight="false" outlineLevel="0" collapsed="false">
      <c r="A9881" s="1" t="s">
        <v>1188</v>
      </c>
      <c r="B9881" s="1" t="n">
        <v>246.59</v>
      </c>
      <c r="C9881" s="1" t="n">
        <f aca="false">1/B9881</f>
        <v>0.00405531448963867</v>
      </c>
      <c r="D9881" s="1" t="n">
        <v>0.49026</v>
      </c>
      <c r="E9881" s="1" t="n">
        <f aca="false">LN(D9881)</f>
        <v>-0.712819416357466</v>
      </c>
    </row>
    <row r="9882" customFormat="false" ht="15.75" hidden="false" customHeight="false" outlineLevel="0" collapsed="false">
      <c r="A9882" s="1" t="s">
        <v>1188</v>
      </c>
      <c r="B9882" s="1" t="n">
        <v>247.14</v>
      </c>
      <c r="C9882" s="1" t="n">
        <f aca="false">1/B9882</f>
        <v>0.00404628955248038</v>
      </c>
      <c r="D9882" s="1" t="n">
        <v>0.48638</v>
      </c>
      <c r="E9882" s="1" t="n">
        <f aca="false">LN(D9882)</f>
        <v>-0.720765067596618</v>
      </c>
    </row>
    <row r="9883" customFormat="false" ht="15.75" hidden="false" customHeight="false" outlineLevel="0" collapsed="false">
      <c r="A9883" s="1" t="s">
        <v>1188</v>
      </c>
      <c r="B9883" s="1" t="n">
        <v>247.68</v>
      </c>
      <c r="C9883" s="1" t="n">
        <f aca="false">1/B9883</f>
        <v>0.0040374677002584</v>
      </c>
      <c r="D9883" s="1" t="n">
        <v>0.48253</v>
      </c>
      <c r="E9883" s="1" t="n">
        <f aca="false">LN(D9883)</f>
        <v>-0.728712183970151</v>
      </c>
    </row>
    <row r="9884" customFormat="false" ht="15.75" hidden="false" customHeight="false" outlineLevel="0" collapsed="false">
      <c r="A9884" s="1" t="s">
        <v>1188</v>
      </c>
      <c r="B9884" s="1" t="n">
        <v>248.23</v>
      </c>
      <c r="C9884" s="1" t="n">
        <f aca="false">1/B9884</f>
        <v>0.00402852193530194</v>
      </c>
      <c r="D9884" s="1" t="n">
        <v>0.47873</v>
      </c>
      <c r="E9884" s="1" t="n">
        <f aca="false">LN(D9884)</f>
        <v>-0.736618514816819</v>
      </c>
    </row>
    <row r="9885" customFormat="false" ht="15.75" hidden="false" customHeight="false" outlineLevel="0" collapsed="false">
      <c r="A9885" s="1" t="s">
        <v>1188</v>
      </c>
      <c r="B9885" s="1" t="n">
        <v>248.78</v>
      </c>
      <c r="C9885" s="1" t="n">
        <f aca="false">1/B9885</f>
        <v>0.00401961572473672</v>
      </c>
      <c r="D9885" s="1" t="n">
        <v>0.47495</v>
      </c>
      <c r="E9885" s="1" t="n">
        <f aca="false">LN(D9885)</f>
        <v>-0.744545743645946</v>
      </c>
    </row>
    <row r="9886" customFormat="false" ht="15.75" hidden="false" customHeight="false" outlineLevel="0" collapsed="false">
      <c r="A9886" s="1" t="s">
        <v>1188</v>
      </c>
      <c r="B9886" s="1" t="n">
        <v>249.33</v>
      </c>
      <c r="C9886" s="1" t="n">
        <f aca="false">1/B9886</f>
        <v>0.00401074880680223</v>
      </c>
      <c r="D9886" s="1" t="n">
        <v>0.47122</v>
      </c>
      <c r="E9886" s="1" t="n">
        <f aca="false">LN(D9886)</f>
        <v>-0.752430202723784</v>
      </c>
    </row>
    <row r="9887" customFormat="false" ht="15.75" hidden="false" customHeight="false" outlineLevel="0" collapsed="false">
      <c r="A9887" s="1" t="s">
        <v>1188</v>
      </c>
      <c r="B9887" s="1" t="n">
        <v>249.87</v>
      </c>
      <c r="C9887" s="1" t="n">
        <f aca="false">1/B9887</f>
        <v>0.00400208108216273</v>
      </c>
      <c r="D9887" s="1" t="n">
        <v>0.46751</v>
      </c>
      <c r="E9887" s="1" t="n">
        <f aca="false">LN(D9887)</f>
        <v>-0.760334540107835</v>
      </c>
    </row>
    <row r="9888" customFormat="false" ht="15.75" hidden="false" customHeight="false" outlineLevel="0" collapsed="false">
      <c r="A9888" s="1" t="s">
        <v>1188</v>
      </c>
      <c r="B9888" s="1" t="n">
        <v>250.42</v>
      </c>
      <c r="C9888" s="1" t="n">
        <f aca="false">1/B9888</f>
        <v>0.00399329127066528</v>
      </c>
      <c r="D9888" s="1" t="n">
        <v>0.46385</v>
      </c>
      <c r="E9888" s="1" t="n">
        <f aca="false">LN(D9888)</f>
        <v>-0.768194054882857</v>
      </c>
    </row>
    <row r="9889" customFormat="false" ht="15.75" hidden="false" customHeight="false" outlineLevel="0" collapsed="false">
      <c r="A9889" s="1" t="s">
        <v>1188</v>
      </c>
      <c r="B9889" s="1" t="n">
        <v>250.97</v>
      </c>
      <c r="C9889" s="1" t="n">
        <f aca="false">1/B9889</f>
        <v>0.00398453998485875</v>
      </c>
      <c r="D9889" s="1" t="n">
        <v>0.46021</v>
      </c>
      <c r="E9889" s="1" t="n">
        <f aca="false">LN(D9889)</f>
        <v>-0.776072371934211</v>
      </c>
    </row>
    <row r="9890" customFormat="false" ht="15.75" hidden="false" customHeight="false" outlineLevel="0" collapsed="false">
      <c r="A9890" s="1" t="s">
        <v>1188</v>
      </c>
      <c r="B9890" s="1" t="n">
        <v>251.52</v>
      </c>
      <c r="C9890" s="1" t="n">
        <f aca="false">1/B9890</f>
        <v>0.00397582697201018</v>
      </c>
      <c r="D9890" s="1" t="n">
        <v>0.45661</v>
      </c>
      <c r="E9890" s="1" t="n">
        <f aca="false">LN(D9890)</f>
        <v>-0.783925644118819</v>
      </c>
    </row>
    <row r="9891" customFormat="false" ht="15.75" hidden="false" customHeight="false" outlineLevel="0" collapsed="false">
      <c r="A9891" s="1" t="s">
        <v>1188</v>
      </c>
      <c r="B9891" s="1" t="n">
        <v>252.07</v>
      </c>
      <c r="C9891" s="1" t="n">
        <f aca="false">1/B9891</f>
        <v>0.00396715198159241</v>
      </c>
      <c r="D9891" s="1" t="n">
        <v>0.45304</v>
      </c>
      <c r="E9891" s="1" t="n">
        <f aca="false">LN(D9891)</f>
        <v>-0.791774857176587</v>
      </c>
    </row>
    <row r="9892" customFormat="false" ht="15.75" hidden="false" customHeight="false" outlineLevel="0" collapsed="false">
      <c r="A9892" s="1" t="s">
        <v>1188</v>
      </c>
      <c r="B9892" s="1" t="n">
        <v>252.61</v>
      </c>
      <c r="C9892" s="1" t="n">
        <f aca="false">1/B9892</f>
        <v>0.00395867146985472</v>
      </c>
      <c r="D9892" s="1" t="n">
        <v>0.4495</v>
      </c>
      <c r="E9892" s="1" t="n">
        <f aca="false">LN(D9892)</f>
        <v>-0.799619425070462</v>
      </c>
    </row>
    <row r="9893" customFormat="false" ht="15.75" hidden="false" customHeight="false" outlineLevel="0" collapsed="false">
      <c r="A9893" s="1" t="s">
        <v>1188</v>
      </c>
      <c r="B9893" s="1" t="n">
        <v>253.16</v>
      </c>
      <c r="C9893" s="1" t="n">
        <f aca="false">1/B9893</f>
        <v>0.00395007110127982</v>
      </c>
      <c r="D9893" s="1" t="n">
        <v>0.446</v>
      </c>
      <c r="E9893" s="1" t="n">
        <f aca="false">LN(D9893)</f>
        <v>-0.807436326962073</v>
      </c>
    </row>
    <row r="9894" customFormat="false" ht="15.75" hidden="false" customHeight="false" outlineLevel="0" collapsed="false">
      <c r="A9894" s="1" t="s">
        <v>1188</v>
      </c>
      <c r="B9894" s="1" t="n">
        <v>253.71</v>
      </c>
      <c r="C9894" s="1" t="n">
        <f aca="false">1/B9894</f>
        <v>0.00394150802096882</v>
      </c>
      <c r="D9894" s="1" t="n">
        <v>0.44252</v>
      </c>
      <c r="E9894" s="1" t="n">
        <f aca="false">LN(D9894)</f>
        <v>-0.815269617815427</v>
      </c>
    </row>
    <row r="9895" customFormat="false" ht="15.75" hidden="false" customHeight="false" outlineLevel="0" collapsed="false">
      <c r="A9895" s="1" t="s">
        <v>1188</v>
      </c>
      <c r="B9895" s="1" t="n">
        <v>254.26</v>
      </c>
      <c r="C9895" s="1" t="n">
        <f aca="false">1/B9895</f>
        <v>0.0039329819869425</v>
      </c>
      <c r="D9895" s="1" t="n">
        <v>0.43908</v>
      </c>
      <c r="E9895" s="1" t="n">
        <f aca="false">LN(D9895)</f>
        <v>-0.823073650163021</v>
      </c>
    </row>
    <row r="9896" customFormat="false" ht="15.75" hidden="false" customHeight="false" outlineLevel="0" collapsed="false">
      <c r="A9896" s="1" t="s">
        <v>1188</v>
      </c>
      <c r="B9896" s="1" t="n">
        <v>254.8</v>
      </c>
      <c r="C9896" s="1" t="n">
        <f aca="false">1/B9896</f>
        <v>0.00392464678178964</v>
      </c>
      <c r="D9896" s="1" t="n">
        <v>0.43567</v>
      </c>
      <c r="E9896" s="1" t="n">
        <f aca="false">LN(D9896)</f>
        <v>-0.830870202945884</v>
      </c>
    </row>
    <row r="9897" customFormat="false" ht="15.75" hidden="false" customHeight="false" outlineLevel="0" collapsed="false">
      <c r="A9897" s="1" t="s">
        <v>1188</v>
      </c>
      <c r="B9897" s="1" t="n">
        <v>255.35</v>
      </c>
      <c r="C9897" s="1" t="n">
        <f aca="false">1/B9897</f>
        <v>0.00391619345995692</v>
      </c>
      <c r="D9897" s="1" t="n">
        <v>0.43228</v>
      </c>
      <c r="E9897" s="1" t="n">
        <f aca="false">LN(D9897)</f>
        <v>-0.838681752547172</v>
      </c>
    </row>
    <row r="9898" customFormat="false" ht="15.75" hidden="false" customHeight="false" outlineLevel="0" collapsed="false">
      <c r="A9898" s="1" t="s">
        <v>1188</v>
      </c>
      <c r="B9898" s="1" t="n">
        <v>255.9</v>
      </c>
      <c r="C9898" s="1" t="n">
        <f aca="false">1/B9898</f>
        <v>0.00390777647518562</v>
      </c>
      <c r="D9898" s="1" t="n">
        <v>0.42893</v>
      </c>
      <c r="E9898" s="1" t="n">
        <f aca="false">LN(D9898)</f>
        <v>-0.84646154353099</v>
      </c>
    </row>
    <row r="9899" customFormat="false" ht="15.75" hidden="false" customHeight="false" outlineLevel="0" collapsed="false">
      <c r="A9899" s="1" t="s">
        <v>1188</v>
      </c>
      <c r="B9899" s="1" t="n">
        <v>256.45</v>
      </c>
      <c r="C9899" s="1" t="n">
        <f aca="false">1/B9899</f>
        <v>0.00389939559368298</v>
      </c>
      <c r="D9899" s="1" t="n">
        <v>0.42561</v>
      </c>
      <c r="E9899" s="1" t="n">
        <f aca="false">LN(D9899)</f>
        <v>-0.854231844990133</v>
      </c>
    </row>
    <row r="9900" customFormat="false" ht="15.75" hidden="false" customHeight="false" outlineLevel="0" collapsed="false">
      <c r="A9900" s="1" t="s">
        <v>1188</v>
      </c>
      <c r="B9900" s="1" t="n">
        <v>256.5</v>
      </c>
      <c r="C9900" s="1" t="n">
        <f aca="false">1/B9900</f>
        <v>0.00389863547758285</v>
      </c>
      <c r="D9900" s="1" t="n">
        <v>0.42526</v>
      </c>
      <c r="E9900" s="1" t="n">
        <f aca="false">LN(D9900)</f>
        <v>-0.855054532403582</v>
      </c>
    </row>
    <row r="9901" customFormat="false" ht="15.75" hidden="false" customHeight="false" outlineLevel="0" collapsed="false">
      <c r="A9901" s="1" t="s">
        <v>1190</v>
      </c>
      <c r="B9901" s="1" t="n">
        <v>240</v>
      </c>
      <c r="C9901" s="1" t="n">
        <f aca="false">1/B9901</f>
        <v>0.00416666666666667</v>
      </c>
      <c r="D9901" s="1" t="n">
        <v>1.0554</v>
      </c>
      <c r="E9901" s="1" t="n">
        <f aca="false">LN(D9901)</f>
        <v>0.0539198419894303</v>
      </c>
    </row>
    <row r="9902" customFormat="false" ht="15.75" hidden="false" customHeight="false" outlineLevel="0" collapsed="false">
      <c r="A9902" s="1" t="s">
        <v>1190</v>
      </c>
      <c r="B9902" s="1" t="n">
        <v>240.3</v>
      </c>
      <c r="C9902" s="1" t="n">
        <f aca="false">1/B9902</f>
        <v>0.00416146483562214</v>
      </c>
      <c r="D9902" s="1" t="n">
        <v>1.0478</v>
      </c>
      <c r="E9902" s="1" t="n">
        <f aca="false">LN(D9902)</f>
        <v>0.0466927279919824</v>
      </c>
    </row>
    <row r="9903" customFormat="false" ht="15.75" hidden="false" customHeight="false" outlineLevel="0" collapsed="false">
      <c r="A9903" s="1" t="s">
        <v>1190</v>
      </c>
      <c r="B9903" s="1" t="n">
        <v>240.6</v>
      </c>
      <c r="C9903" s="1" t="n">
        <f aca="false">1/B9903</f>
        <v>0.00415627597672486</v>
      </c>
      <c r="D9903" s="1" t="n">
        <v>1.0403</v>
      </c>
      <c r="E9903" s="1" t="n">
        <f aca="false">LN(D9903)</f>
        <v>0.0395091330947125</v>
      </c>
    </row>
    <row r="9904" customFormat="false" ht="15.75" hidden="false" customHeight="false" outlineLevel="0" collapsed="false">
      <c r="A9904" s="1" t="s">
        <v>1190</v>
      </c>
      <c r="B9904" s="1" t="n">
        <v>240.9</v>
      </c>
      <c r="C9904" s="1" t="n">
        <f aca="false">1/B9904</f>
        <v>0.004151100041511</v>
      </c>
      <c r="D9904" s="1" t="n">
        <v>1.0329</v>
      </c>
      <c r="E9904" s="1" t="n">
        <f aca="false">LN(D9904)</f>
        <v>0.0323703800304506</v>
      </c>
    </row>
    <row r="9905" customFormat="false" ht="15.75" hidden="false" customHeight="false" outlineLevel="0" collapsed="false">
      <c r="A9905" s="1" t="s">
        <v>1190</v>
      </c>
      <c r="B9905" s="1" t="n">
        <v>241.2</v>
      </c>
      <c r="C9905" s="1" t="n">
        <f aca="false">1/B9905</f>
        <v>0.00414593698175788</v>
      </c>
      <c r="D9905" s="1" t="n">
        <v>1.0255</v>
      </c>
      <c r="E9905" s="1" t="n">
        <f aca="false">LN(D9905)</f>
        <v>0.0251802985302983</v>
      </c>
    </row>
    <row r="9906" customFormat="false" ht="15.75" hidden="false" customHeight="false" outlineLevel="0" collapsed="false">
      <c r="A9906" s="1" t="s">
        <v>1190</v>
      </c>
      <c r="B9906" s="1" t="n">
        <v>241.5</v>
      </c>
      <c r="C9906" s="1" t="n">
        <f aca="false">1/B9906</f>
        <v>0.0041407867494824</v>
      </c>
      <c r="D9906" s="1" t="n">
        <v>1.0183</v>
      </c>
      <c r="E9906" s="1" t="n">
        <f aca="false">LN(D9906)</f>
        <v>0.0181345701954827</v>
      </c>
    </row>
    <row r="9907" customFormat="false" ht="15.75" hidden="false" customHeight="false" outlineLevel="0" collapsed="false">
      <c r="A9907" s="1" t="s">
        <v>1190</v>
      </c>
      <c r="B9907" s="1" t="n">
        <v>241.8</v>
      </c>
      <c r="C9907" s="1" t="n">
        <f aca="false">1/B9907</f>
        <v>0.00413564929693962</v>
      </c>
      <c r="D9907" s="1" t="n">
        <v>1.0111</v>
      </c>
      <c r="E9907" s="1" t="n">
        <f aca="false">LN(D9907)</f>
        <v>0.0110388471152164</v>
      </c>
    </row>
    <row r="9908" customFormat="false" ht="15.75" hidden="false" customHeight="false" outlineLevel="0" collapsed="false">
      <c r="A9908" s="1" t="s">
        <v>1190</v>
      </c>
      <c r="B9908" s="1" t="n">
        <v>242.1</v>
      </c>
      <c r="C9908" s="1" t="n">
        <f aca="false">1/B9908</f>
        <v>0.00413052457662123</v>
      </c>
      <c r="D9908" s="1" t="n">
        <v>1.0041</v>
      </c>
      <c r="E9908" s="1" t="n">
        <f aca="false">LN(D9908)</f>
        <v>0.00409161790325356</v>
      </c>
    </row>
    <row r="9909" customFormat="false" ht="15.75" hidden="false" customHeight="false" outlineLevel="0" collapsed="false">
      <c r="A9909" s="1" t="s">
        <v>1190</v>
      </c>
      <c r="B9909" s="1" t="n">
        <v>242.4</v>
      </c>
      <c r="C9909" s="1" t="n">
        <f aca="false">1/B9909</f>
        <v>0.00412541254125413</v>
      </c>
      <c r="D9909" s="1" t="n">
        <v>0.99709</v>
      </c>
      <c r="E9909" s="1" t="n">
        <f aca="false">LN(D9909)</f>
        <v>-0.00291424228202598</v>
      </c>
    </row>
    <row r="9910" customFormat="false" ht="15.75" hidden="false" customHeight="false" outlineLevel="0" collapsed="false">
      <c r="A9910" s="1" t="s">
        <v>1190</v>
      </c>
      <c r="B9910" s="1" t="n">
        <v>242.7</v>
      </c>
      <c r="C9910" s="1" t="n">
        <f aca="false">1/B9910</f>
        <v>0.00412031314379893</v>
      </c>
      <c r="D9910" s="1" t="n">
        <v>0.99018</v>
      </c>
      <c r="E9910" s="1" t="n">
        <f aca="false">LN(D9910)</f>
        <v>-0.0098685341986057</v>
      </c>
    </row>
    <row r="9911" customFormat="false" ht="15.75" hidden="false" customHeight="false" outlineLevel="0" collapsed="false">
      <c r="A9911" s="1" t="s">
        <v>1190</v>
      </c>
      <c r="B9911" s="1" t="n">
        <v>243</v>
      </c>
      <c r="C9911" s="1" t="n">
        <f aca="false">1/B9911</f>
        <v>0.00411522633744856</v>
      </c>
      <c r="D9911" s="1" t="n">
        <v>0.98336</v>
      </c>
      <c r="E9911" s="1" t="n">
        <f aca="false">LN(D9911)</f>
        <v>-0.0167800000400172</v>
      </c>
    </row>
    <row r="9912" customFormat="false" ht="15.75" hidden="false" customHeight="false" outlineLevel="0" collapsed="false">
      <c r="A9912" s="1" t="s">
        <v>1190</v>
      </c>
      <c r="B9912" s="1" t="n">
        <v>243.3</v>
      </c>
      <c r="C9912" s="1" t="n">
        <f aca="false">1/B9912</f>
        <v>0.0041101520756268</v>
      </c>
      <c r="D9912" s="1" t="n">
        <v>0.97661</v>
      </c>
      <c r="E9912" s="1" t="n">
        <f aca="false">LN(D9912)</f>
        <v>-0.0236678878002025</v>
      </c>
    </row>
    <row r="9913" customFormat="false" ht="15.75" hidden="false" customHeight="false" outlineLevel="0" collapsed="false">
      <c r="A9913" s="1" t="s">
        <v>1190</v>
      </c>
      <c r="B9913" s="1" t="n">
        <v>243.6</v>
      </c>
      <c r="C9913" s="1" t="n">
        <f aca="false">1/B9913</f>
        <v>0.00410509031198686</v>
      </c>
      <c r="D9913" s="1" t="n">
        <v>0.96994</v>
      </c>
      <c r="E9913" s="1" t="n">
        <f aca="false">LN(D9913)</f>
        <v>-0.0305210650679525</v>
      </c>
    </row>
    <row r="9914" customFormat="false" ht="15.75" hidden="false" customHeight="false" outlineLevel="0" collapsed="false">
      <c r="A9914" s="1" t="s">
        <v>1190</v>
      </c>
      <c r="B9914" s="1" t="n">
        <v>243.9</v>
      </c>
      <c r="C9914" s="1" t="n">
        <f aca="false">1/B9914</f>
        <v>0.00410004100041</v>
      </c>
      <c r="D9914" s="1" t="n">
        <v>0.96335</v>
      </c>
      <c r="E9914" s="1" t="n">
        <f aca="false">LN(D9914)</f>
        <v>-0.0373384856553678</v>
      </c>
    </row>
    <row r="9915" customFormat="false" ht="15.75" hidden="false" customHeight="false" outlineLevel="0" collapsed="false">
      <c r="A9915" s="1" t="s">
        <v>1190</v>
      </c>
      <c r="B9915" s="1" t="n">
        <v>244.2</v>
      </c>
      <c r="C9915" s="1" t="n">
        <f aca="false">1/B9915</f>
        <v>0.0040950040950041</v>
      </c>
      <c r="D9915" s="1" t="n">
        <v>0.95684</v>
      </c>
      <c r="E9915" s="1" t="n">
        <f aca="false">LN(D9915)</f>
        <v>-0.0441190906395502</v>
      </c>
    </row>
    <row r="9916" customFormat="false" ht="15.75" hidden="false" customHeight="false" outlineLevel="0" collapsed="false">
      <c r="A9916" s="1" t="s">
        <v>1190</v>
      </c>
      <c r="B9916" s="1" t="n">
        <v>244.5</v>
      </c>
      <c r="C9916" s="1" t="n">
        <f aca="false">1/B9916</f>
        <v>0.00408997955010225</v>
      </c>
      <c r="D9916" s="1" t="n">
        <v>0.9504</v>
      </c>
      <c r="E9916" s="1" t="n">
        <f aca="false">LN(D9916)</f>
        <v>-0.0508723303737566</v>
      </c>
    </row>
    <row r="9917" customFormat="false" ht="15.75" hidden="false" customHeight="false" outlineLevel="0" collapsed="false">
      <c r="A9917" s="1" t="s">
        <v>1190</v>
      </c>
      <c r="B9917" s="1" t="n">
        <v>244.8</v>
      </c>
      <c r="C9917" s="1" t="n">
        <f aca="false">1/B9917</f>
        <v>0.00408496732026144</v>
      </c>
      <c r="D9917" s="1" t="n">
        <v>0.94403</v>
      </c>
      <c r="E9917" s="1" t="n">
        <f aca="false">LN(D9917)</f>
        <v>-0.0575973336805821</v>
      </c>
    </row>
    <row r="9918" customFormat="false" ht="15.75" hidden="false" customHeight="false" outlineLevel="0" collapsed="false">
      <c r="A9918" s="1" t="s">
        <v>1190</v>
      </c>
      <c r="B9918" s="1" t="n">
        <v>245.1</v>
      </c>
      <c r="C9918" s="1" t="n">
        <f aca="false">1/B9918</f>
        <v>0.00407996736026112</v>
      </c>
      <c r="D9918" s="1" t="n">
        <v>0.93773</v>
      </c>
      <c r="E9918" s="1" t="n">
        <f aca="false">LN(D9918)</f>
        <v>-0.0642932178935389</v>
      </c>
    </row>
    <row r="9919" customFormat="false" ht="15.75" hidden="false" customHeight="false" outlineLevel="0" collapsed="false">
      <c r="A9919" s="1" t="s">
        <v>1190</v>
      </c>
      <c r="B9919" s="1" t="n">
        <v>245.4</v>
      </c>
      <c r="C9919" s="1" t="n">
        <f aca="false">1/B9919</f>
        <v>0.00407497962510187</v>
      </c>
      <c r="D9919" s="1" t="n">
        <v>0.93151</v>
      </c>
      <c r="E9919" s="1" t="n">
        <f aca="false">LN(D9919)</f>
        <v>-0.0709483536250635</v>
      </c>
    </row>
    <row r="9920" customFormat="false" ht="15.75" hidden="false" customHeight="false" outlineLevel="0" collapsed="false">
      <c r="A9920" s="1" t="s">
        <v>1190</v>
      </c>
      <c r="B9920" s="1" t="n">
        <v>245.7</v>
      </c>
      <c r="C9920" s="1" t="n">
        <f aca="false">1/B9920</f>
        <v>0.00407000407000407</v>
      </c>
      <c r="D9920" s="1" t="n">
        <v>0.92535</v>
      </c>
      <c r="E9920" s="1" t="n">
        <f aca="false">LN(D9920)</f>
        <v>-0.0775832346583797</v>
      </c>
    </row>
    <row r="9921" customFormat="false" ht="15.75" hidden="false" customHeight="false" outlineLevel="0" collapsed="false">
      <c r="A9921" s="1" t="s">
        <v>1190</v>
      </c>
      <c r="B9921" s="1" t="n">
        <v>246</v>
      </c>
      <c r="C9921" s="1" t="n">
        <f aca="false">1/B9921</f>
        <v>0.0040650406504065</v>
      </c>
      <c r="D9921" s="1" t="n">
        <v>0.91926</v>
      </c>
      <c r="E9921" s="1" t="n">
        <f aca="false">LN(D9921)</f>
        <v>-0.0841862804264199</v>
      </c>
    </row>
    <row r="9922" customFormat="false" ht="15.75" hidden="false" customHeight="false" outlineLevel="0" collapsed="false">
      <c r="A9922" s="1" t="s">
        <v>1190</v>
      </c>
      <c r="B9922" s="1" t="n">
        <v>246.3</v>
      </c>
      <c r="C9922" s="1" t="n">
        <f aca="false">1/B9922</f>
        <v>0.00406008932196508</v>
      </c>
      <c r="D9922" s="1" t="n">
        <v>0.91324</v>
      </c>
      <c r="E9922" s="1" t="n">
        <f aca="false">LN(D9922)</f>
        <v>-0.0907565632708841</v>
      </c>
    </row>
    <row r="9923" customFormat="false" ht="15.75" hidden="false" customHeight="false" outlineLevel="0" collapsed="false">
      <c r="A9923" s="1" t="s">
        <v>1190</v>
      </c>
      <c r="B9923" s="1" t="n">
        <v>246.6</v>
      </c>
      <c r="C9923" s="1" t="n">
        <f aca="false">1/B9923</f>
        <v>0.0040551500405515</v>
      </c>
      <c r="D9923" s="1" t="n">
        <v>0.90729</v>
      </c>
      <c r="E9923" s="1" t="n">
        <f aca="false">LN(D9923)</f>
        <v>-0.0972931445800675</v>
      </c>
    </row>
    <row r="9924" customFormat="false" ht="15.75" hidden="false" customHeight="false" outlineLevel="0" collapsed="false">
      <c r="A9924" s="1" t="s">
        <v>1190</v>
      </c>
      <c r="B9924" s="1" t="n">
        <v>246.9</v>
      </c>
      <c r="C9924" s="1" t="n">
        <f aca="false">1/B9924</f>
        <v>0.00405022276225192</v>
      </c>
      <c r="D9924" s="1" t="n">
        <v>0.9014</v>
      </c>
      <c r="E9924" s="1" t="n">
        <f aca="false">LN(D9924)</f>
        <v>-0.103806168725589</v>
      </c>
    </row>
    <row r="9925" customFormat="false" ht="15.75" hidden="false" customHeight="false" outlineLevel="0" collapsed="false">
      <c r="A9925" s="1" t="s">
        <v>1190</v>
      </c>
      <c r="B9925" s="1" t="n">
        <v>247.2</v>
      </c>
      <c r="C9925" s="1" t="n">
        <f aca="false">1/B9925</f>
        <v>0.0040453074433657</v>
      </c>
      <c r="D9925" s="1" t="n">
        <v>0.89557</v>
      </c>
      <c r="E9925" s="1" t="n">
        <f aca="false">LN(D9925)</f>
        <v>-0.110294891915496</v>
      </c>
    </row>
    <row r="9926" customFormat="false" ht="15.75" hidden="false" customHeight="false" outlineLevel="0" collapsed="false">
      <c r="A9926" s="1" t="s">
        <v>1190</v>
      </c>
      <c r="B9926" s="1" t="n">
        <v>247.5</v>
      </c>
      <c r="C9926" s="1" t="n">
        <f aca="false">1/B9926</f>
        <v>0.00404040404040404</v>
      </c>
      <c r="D9926" s="1" t="n">
        <v>0.88981</v>
      </c>
      <c r="E9926" s="1" t="n">
        <f aca="false">LN(D9926)</f>
        <v>-0.116747322192789</v>
      </c>
    </row>
    <row r="9927" customFormat="false" ht="15.75" hidden="false" customHeight="false" outlineLevel="0" collapsed="false">
      <c r="A9927" s="1" t="s">
        <v>1190</v>
      </c>
      <c r="B9927" s="1" t="n">
        <v>247.8</v>
      </c>
      <c r="C9927" s="1" t="n">
        <f aca="false">1/B9927</f>
        <v>0.00403551251008878</v>
      </c>
      <c r="D9927" s="1" t="n">
        <v>0.88411</v>
      </c>
      <c r="E9927" s="1" t="n">
        <f aca="false">LN(D9927)</f>
        <v>-0.12317378969667</v>
      </c>
    </row>
    <row r="9928" customFormat="false" ht="15.75" hidden="false" customHeight="false" outlineLevel="0" collapsed="false">
      <c r="A9928" s="1" t="s">
        <v>1190</v>
      </c>
      <c r="B9928" s="1" t="n">
        <v>248.1</v>
      </c>
      <c r="C9928" s="1" t="n">
        <f aca="false">1/B9928</f>
        <v>0.00403063280935107</v>
      </c>
      <c r="D9928" s="1" t="n">
        <v>0.87846</v>
      </c>
      <c r="E9928" s="1" t="n">
        <f aca="false">LN(D9928)</f>
        <v>-0.129584904548691</v>
      </c>
    </row>
    <row r="9929" customFormat="false" ht="15.75" hidden="false" customHeight="false" outlineLevel="0" collapsed="false">
      <c r="A9929" s="1" t="s">
        <v>1190</v>
      </c>
      <c r="B9929" s="1" t="n">
        <v>248.4</v>
      </c>
      <c r="C9929" s="1" t="n">
        <f aca="false">1/B9929</f>
        <v>0.00402576489533011</v>
      </c>
      <c r="D9929" s="1" t="n">
        <v>0.87288</v>
      </c>
      <c r="E9929" s="1" t="n">
        <f aca="false">LN(D9929)</f>
        <v>-0.135957189635294</v>
      </c>
    </row>
    <row r="9930" customFormat="false" ht="15.75" hidden="false" customHeight="false" outlineLevel="0" collapsed="false">
      <c r="A9930" s="1" t="s">
        <v>1190</v>
      </c>
      <c r="B9930" s="1" t="n">
        <v>248.7</v>
      </c>
      <c r="C9930" s="1" t="n">
        <f aca="false">1/B9930</f>
        <v>0.00402090872537193</v>
      </c>
      <c r="D9930" s="1" t="n">
        <v>0.86736</v>
      </c>
      <c r="E9930" s="1" t="n">
        <f aca="false">LN(D9930)</f>
        <v>-0.142301163470109</v>
      </c>
    </row>
    <row r="9931" customFormat="false" ht="15.75" hidden="false" customHeight="false" outlineLevel="0" collapsed="false">
      <c r="A9931" s="1" t="s">
        <v>1190</v>
      </c>
      <c r="B9931" s="1" t="n">
        <v>249</v>
      </c>
      <c r="C9931" s="1" t="n">
        <f aca="false">1/B9931</f>
        <v>0.00401606425702811</v>
      </c>
      <c r="D9931" s="1" t="n">
        <v>0.86189</v>
      </c>
      <c r="E9931" s="1" t="n">
        <f aca="false">LN(D9931)</f>
        <v>-0.148627626670136</v>
      </c>
    </row>
    <row r="9932" customFormat="false" ht="15.75" hidden="false" customHeight="false" outlineLevel="0" collapsed="false">
      <c r="A9932" s="1" t="s">
        <v>1190</v>
      </c>
      <c r="B9932" s="1" t="n">
        <v>249.3</v>
      </c>
      <c r="C9932" s="1" t="n">
        <f aca="false">1/B9932</f>
        <v>0.00401123144805455</v>
      </c>
      <c r="D9932" s="1" t="n">
        <v>0.85649</v>
      </c>
      <c r="E9932" s="1" t="n">
        <f aca="false">LN(D9932)</f>
        <v>-0.154912636709355</v>
      </c>
    </row>
    <row r="9933" customFormat="false" ht="15.75" hidden="false" customHeight="false" outlineLevel="0" collapsed="false">
      <c r="A9933" s="1" t="s">
        <v>1190</v>
      </c>
      <c r="B9933" s="1" t="n">
        <v>249.6</v>
      </c>
      <c r="C9933" s="1" t="n">
        <f aca="false">1/B9933</f>
        <v>0.00400641025641026</v>
      </c>
      <c r="D9933" s="1" t="n">
        <v>0.85114</v>
      </c>
      <c r="E9933" s="1" t="n">
        <f aca="false">LN(D9933)</f>
        <v>-0.161178651601008</v>
      </c>
    </row>
    <row r="9934" customFormat="false" ht="15.75" hidden="false" customHeight="false" outlineLevel="0" collapsed="false">
      <c r="A9934" s="1" t="s">
        <v>1190</v>
      </c>
      <c r="B9934" s="1" t="n">
        <v>249.9</v>
      </c>
      <c r="C9934" s="1" t="n">
        <f aca="false">1/B9934</f>
        <v>0.0040016006402561</v>
      </c>
      <c r="D9934" s="1" t="n">
        <v>0.84584</v>
      </c>
      <c r="E9934" s="1" t="n">
        <f aca="false">LN(D9934)</f>
        <v>-0.167425062557866</v>
      </c>
    </row>
    <row r="9935" customFormat="false" ht="15.75" hidden="false" customHeight="false" outlineLevel="0" collapsed="false">
      <c r="A9935" s="1" t="s">
        <v>1190</v>
      </c>
      <c r="B9935" s="1" t="n">
        <v>250.2</v>
      </c>
      <c r="C9935" s="1" t="n">
        <f aca="false">1/B9935</f>
        <v>0.00399680255795364</v>
      </c>
      <c r="D9935" s="1" t="n">
        <v>0.8406</v>
      </c>
      <c r="E9935" s="1" t="n">
        <f aca="false">LN(D9935)</f>
        <v>-0.173639356411121</v>
      </c>
    </row>
    <row r="9936" customFormat="false" ht="15.75" hidden="false" customHeight="false" outlineLevel="0" collapsed="false">
      <c r="A9936" s="1" t="s">
        <v>1190</v>
      </c>
      <c r="B9936" s="1" t="n">
        <v>250.5</v>
      </c>
      <c r="C9936" s="1" t="n">
        <f aca="false">1/B9936</f>
        <v>0.00399201596806387</v>
      </c>
      <c r="D9936" s="1" t="n">
        <v>0.83541</v>
      </c>
      <c r="E9936" s="1" t="n">
        <f aca="false">LN(D9936)</f>
        <v>-0.179832656677084</v>
      </c>
    </row>
    <row r="9937" customFormat="false" ht="15.75" hidden="false" customHeight="false" outlineLevel="0" collapsed="false">
      <c r="A9937" s="1" t="s">
        <v>1190</v>
      </c>
      <c r="B9937" s="1" t="n">
        <v>250.8</v>
      </c>
      <c r="C9937" s="1" t="n">
        <f aca="false">1/B9937</f>
        <v>0.00398724082934609</v>
      </c>
      <c r="D9937" s="1" t="n">
        <v>0.83027</v>
      </c>
      <c r="E9937" s="1" t="n">
        <f aca="false">LN(D9937)</f>
        <v>-0.186004329885639</v>
      </c>
    </row>
    <row r="9938" customFormat="false" ht="15.75" hidden="false" customHeight="false" outlineLevel="0" collapsed="false">
      <c r="A9938" s="1" t="s">
        <v>1190</v>
      </c>
      <c r="B9938" s="1" t="n">
        <v>251.1</v>
      </c>
      <c r="C9938" s="1" t="n">
        <f aca="false">1/B9938</f>
        <v>0.00398247710075667</v>
      </c>
      <c r="D9938" s="1" t="n">
        <v>0.82519</v>
      </c>
      <c r="E9938" s="1" t="n">
        <f aca="false">LN(D9938)</f>
        <v>-0.192141616132825</v>
      </c>
    </row>
    <row r="9939" customFormat="false" ht="15.75" hidden="false" customHeight="false" outlineLevel="0" collapsed="false">
      <c r="A9939" s="1" t="s">
        <v>1190</v>
      </c>
      <c r="B9939" s="1" t="n">
        <v>251.4</v>
      </c>
      <c r="C9939" s="1" t="n">
        <f aca="false">1/B9939</f>
        <v>0.00397772474144789</v>
      </c>
      <c r="D9939" s="1" t="n">
        <v>0.82015</v>
      </c>
      <c r="E9939" s="1" t="n">
        <f aca="false">LN(D9939)</f>
        <v>-0.198268028623642</v>
      </c>
    </row>
    <row r="9940" customFormat="false" ht="15.75" hidden="false" customHeight="false" outlineLevel="0" collapsed="false">
      <c r="A9940" s="1" t="s">
        <v>1190</v>
      </c>
      <c r="B9940" s="1" t="n">
        <v>251.7</v>
      </c>
      <c r="C9940" s="1" t="n">
        <f aca="false">1/B9940</f>
        <v>0.00397298371076679</v>
      </c>
      <c r="D9940" s="1" t="n">
        <v>0.81517</v>
      </c>
      <c r="E9940" s="1" t="n">
        <f aca="false">LN(D9940)</f>
        <v>-0.204358598535871</v>
      </c>
    </row>
    <row r="9941" customFormat="false" ht="15.75" hidden="false" customHeight="false" outlineLevel="0" collapsed="false">
      <c r="A9941" s="1" t="s">
        <v>1190</v>
      </c>
      <c r="B9941" s="1" t="n">
        <v>252</v>
      </c>
      <c r="C9941" s="1" t="n">
        <f aca="false">1/B9941</f>
        <v>0.00396825396825397</v>
      </c>
      <c r="D9941" s="1" t="n">
        <v>0.81024</v>
      </c>
      <c r="E9941" s="1" t="n">
        <f aca="false">LN(D9941)</f>
        <v>-0.210424778906435</v>
      </c>
    </row>
    <row r="9942" customFormat="false" ht="15.75" hidden="false" customHeight="false" outlineLevel="0" collapsed="false">
      <c r="A9942" s="1" t="s">
        <v>1190</v>
      </c>
      <c r="B9942" s="1" t="n">
        <v>252.3</v>
      </c>
      <c r="C9942" s="1" t="n">
        <f aca="false">1/B9942</f>
        <v>0.00396353547364249</v>
      </c>
      <c r="D9942" s="1" t="n">
        <v>0.80535</v>
      </c>
      <c r="E9942" s="1" t="n">
        <f aca="false">LN(D9942)</f>
        <v>-0.216478313445449</v>
      </c>
    </row>
    <row r="9943" customFormat="false" ht="15.75" hidden="false" customHeight="false" outlineLevel="0" collapsed="false">
      <c r="A9943" s="1" t="s">
        <v>1190</v>
      </c>
      <c r="B9943" s="1" t="n">
        <v>252.6</v>
      </c>
      <c r="C9943" s="1" t="n">
        <f aca="false">1/B9943</f>
        <v>0.00395882818685669</v>
      </c>
      <c r="D9943" s="1" t="n">
        <v>0.80052</v>
      </c>
      <c r="E9943" s="1" t="n">
        <f aca="false">LN(D9943)</f>
        <v>-0.222493762472713</v>
      </c>
    </row>
    <row r="9944" customFormat="false" ht="15.75" hidden="false" customHeight="false" outlineLevel="0" collapsed="false">
      <c r="A9944" s="1" t="s">
        <v>1190</v>
      </c>
      <c r="B9944" s="1" t="n">
        <v>252.9</v>
      </c>
      <c r="C9944" s="1" t="n">
        <f aca="false">1/B9944</f>
        <v>0.00395413206801107</v>
      </c>
      <c r="D9944" s="1" t="n">
        <v>0.79573</v>
      </c>
      <c r="E9944" s="1" t="n">
        <f aca="false">LN(D9944)</f>
        <v>-0.228495346657622</v>
      </c>
    </row>
    <row r="9945" customFormat="false" ht="15.75" hidden="false" customHeight="false" outlineLevel="0" collapsed="false">
      <c r="A9945" s="1" t="s">
        <v>1190</v>
      </c>
      <c r="B9945" s="1" t="n">
        <v>253.2</v>
      </c>
      <c r="C9945" s="1" t="n">
        <f aca="false">1/B9945</f>
        <v>0.00394944707740916</v>
      </c>
      <c r="D9945" s="1" t="n">
        <v>0.79099</v>
      </c>
      <c r="E9945" s="1" t="n">
        <f aca="false">LN(D9945)</f>
        <v>-0.234469953519428</v>
      </c>
    </row>
    <row r="9946" customFormat="false" ht="15.75" hidden="false" customHeight="false" outlineLevel="0" collapsed="false">
      <c r="A9946" s="1" t="s">
        <v>1190</v>
      </c>
      <c r="B9946" s="1" t="n">
        <v>253.5</v>
      </c>
      <c r="C9946" s="1" t="n">
        <f aca="false">1/B9946</f>
        <v>0.00394477317554241</v>
      </c>
      <c r="D9946" s="1" t="n">
        <v>0.78629</v>
      </c>
      <c r="E9946" s="1" t="n">
        <f aca="false">LN(D9946)</f>
        <v>-0.24042959785773</v>
      </c>
    </row>
    <row r="9947" customFormat="false" ht="15.75" hidden="false" customHeight="false" outlineLevel="0" collapsed="false">
      <c r="A9947" s="1" t="s">
        <v>1190</v>
      </c>
      <c r="B9947" s="1" t="n">
        <v>253.8</v>
      </c>
      <c r="C9947" s="1" t="n">
        <f aca="false">1/B9947</f>
        <v>0.00394011032308905</v>
      </c>
      <c r="D9947" s="1" t="n">
        <v>0.78164</v>
      </c>
      <c r="E9947" s="1" t="n">
        <f aca="false">LN(D9947)</f>
        <v>-0.246361002490394</v>
      </c>
    </row>
    <row r="9948" customFormat="false" ht="15.75" hidden="false" customHeight="false" outlineLevel="0" collapsed="false">
      <c r="A9948" s="1" t="s">
        <v>1190</v>
      </c>
      <c r="B9948" s="1" t="n">
        <v>254.1</v>
      </c>
      <c r="C9948" s="1" t="n">
        <f aca="false">1/B9948</f>
        <v>0.00393545848091303</v>
      </c>
      <c r="D9948" s="1" t="n">
        <v>0.77703</v>
      </c>
      <c r="E9948" s="1" t="n">
        <f aca="false">LN(D9948)</f>
        <v>-0.252276319321228</v>
      </c>
    </row>
    <row r="9949" customFormat="false" ht="15.75" hidden="false" customHeight="false" outlineLevel="0" collapsed="false">
      <c r="A9949" s="1" t="s">
        <v>1190</v>
      </c>
      <c r="B9949" s="1" t="n">
        <v>254.4</v>
      </c>
      <c r="C9949" s="1" t="n">
        <f aca="false">1/B9949</f>
        <v>0.00393081761006289</v>
      </c>
      <c r="D9949" s="1" t="n">
        <v>0.77247</v>
      </c>
      <c r="E9949" s="1" t="n">
        <f aca="false">LN(D9949)</f>
        <v>-0.258162105915789</v>
      </c>
    </row>
    <row r="9950" customFormat="false" ht="15.75" hidden="false" customHeight="false" outlineLevel="0" collapsed="false">
      <c r="A9950" s="1" t="s">
        <v>1190</v>
      </c>
      <c r="B9950" s="1" t="n">
        <v>254.7</v>
      </c>
      <c r="C9950" s="1" t="n">
        <f aca="false">1/B9950</f>
        <v>0.00392618767177071</v>
      </c>
      <c r="D9950" s="1" t="n">
        <v>0.76795</v>
      </c>
      <c r="E9950" s="1" t="n">
        <f aca="false">LN(D9950)</f>
        <v>-0.2640306521205</v>
      </c>
    </row>
    <row r="9951" customFormat="false" ht="15.75" hidden="false" customHeight="false" outlineLevel="0" collapsed="false">
      <c r="A9951" s="1" t="s">
        <v>1190</v>
      </c>
      <c r="B9951" s="1" t="n">
        <v>255</v>
      </c>
      <c r="C9951" s="1" t="n">
        <f aca="false">1/B9951</f>
        <v>0.00392156862745098</v>
      </c>
      <c r="D9951" s="1" t="n">
        <v>0.76348</v>
      </c>
      <c r="E9951" s="1" t="n">
        <f aca="false">LN(D9951)</f>
        <v>-0.269868349820445</v>
      </c>
    </row>
    <row r="9952" customFormat="false" ht="15.75" hidden="false" customHeight="false" outlineLevel="0" collapsed="false">
      <c r="A9952" s="1" t="s">
        <v>1190</v>
      </c>
      <c r="B9952" s="1" t="n">
        <v>255.3</v>
      </c>
      <c r="C9952" s="1" t="n">
        <f aca="false">1/B9952</f>
        <v>0.00391696043869957</v>
      </c>
      <c r="D9952" s="1" t="n">
        <v>0.75904</v>
      </c>
      <c r="E9952" s="1" t="n">
        <f aca="false">LN(D9952)</f>
        <v>-0.275700802052886</v>
      </c>
    </row>
    <row r="9953" customFormat="false" ht="15.75" hidden="false" customHeight="false" outlineLevel="0" collapsed="false">
      <c r="A9953" s="1" t="s">
        <v>1190</v>
      </c>
      <c r="B9953" s="1" t="n">
        <v>255.6</v>
      </c>
      <c r="C9953" s="1" t="n">
        <f aca="false">1/B9953</f>
        <v>0.00391236306729264</v>
      </c>
      <c r="D9953" s="1" t="n">
        <v>0.75465</v>
      </c>
      <c r="E9953" s="1" t="n">
        <f aca="false">LN(D9953)</f>
        <v>-0.2815012133767</v>
      </c>
    </row>
    <row r="9954" customFormat="false" ht="15.75" hidden="false" customHeight="false" outlineLevel="0" collapsed="false">
      <c r="A9954" s="1" t="s">
        <v>1190</v>
      </c>
      <c r="B9954" s="1" t="n">
        <v>255.9</v>
      </c>
      <c r="C9954" s="1" t="n">
        <f aca="false">1/B9954</f>
        <v>0.00390777647518562</v>
      </c>
      <c r="D9954" s="1" t="n">
        <v>0.7503</v>
      </c>
      <c r="E9954" s="1" t="n">
        <f aca="false">LN(D9954)</f>
        <v>-0.287282152430454</v>
      </c>
    </row>
    <row r="9955" customFormat="false" ht="15.75" hidden="false" customHeight="false" outlineLevel="0" collapsed="false">
      <c r="A9955" s="1" t="s">
        <v>1190</v>
      </c>
      <c r="B9955" s="1" t="n">
        <v>256.2</v>
      </c>
      <c r="C9955" s="1" t="n">
        <f aca="false">1/B9955</f>
        <v>0.0039032006245121</v>
      </c>
      <c r="D9955" s="1" t="n">
        <v>0.74599</v>
      </c>
      <c r="E9955" s="1" t="n">
        <f aca="false">LN(D9955)</f>
        <v>-0.293043083693959</v>
      </c>
    </row>
    <row r="9956" customFormat="false" ht="15.75" hidden="false" customHeight="false" outlineLevel="0" collapsed="false">
      <c r="A9956" s="1" t="s">
        <v>1190</v>
      </c>
      <c r="B9956" s="1" t="n">
        <v>256.5</v>
      </c>
      <c r="C9956" s="1" t="n">
        <f aca="false">1/B9956</f>
        <v>0.00389863547758285</v>
      </c>
      <c r="D9956" s="1" t="n">
        <v>0.74172</v>
      </c>
      <c r="E9956" s="1" t="n">
        <f aca="false">LN(D9956)</f>
        <v>-0.298783465522955</v>
      </c>
    </row>
    <row r="9957" customFormat="false" ht="15.75" hidden="false" customHeight="false" outlineLevel="0" collapsed="false">
      <c r="A9957" s="1" t="s">
        <v>1190</v>
      </c>
      <c r="B9957" s="1" t="n">
        <v>256.8</v>
      </c>
      <c r="C9957" s="1" t="n">
        <f aca="false">1/B9957</f>
        <v>0.00389408099688473</v>
      </c>
      <c r="D9957" s="1" t="n">
        <v>0.73749</v>
      </c>
      <c r="E9957" s="1" t="n">
        <f aca="false">LN(D9957)</f>
        <v>-0.304502750182125</v>
      </c>
    </row>
    <row r="9958" customFormat="false" ht="15.75" hidden="false" customHeight="false" outlineLevel="0" collapsed="false">
      <c r="A9958" s="1" t="s">
        <v>1190</v>
      </c>
      <c r="B9958" s="1" t="n">
        <v>257.1</v>
      </c>
      <c r="C9958" s="1" t="n">
        <f aca="false">1/B9958</f>
        <v>0.00388953714507974</v>
      </c>
      <c r="D9958" s="1" t="n">
        <v>0.73329</v>
      </c>
      <c r="E9958" s="1" t="n">
        <f aca="false">LN(D9958)</f>
        <v>-0.310214020958867</v>
      </c>
    </row>
    <row r="9959" customFormat="false" ht="15.75" hidden="false" customHeight="false" outlineLevel="0" collapsed="false">
      <c r="A9959" s="1" t="s">
        <v>1190</v>
      </c>
      <c r="B9959" s="1" t="n">
        <v>257.4</v>
      </c>
      <c r="C9959" s="1" t="n">
        <f aca="false">1/B9959</f>
        <v>0.00388500388500389</v>
      </c>
      <c r="D9959" s="1" t="n">
        <v>0.72914</v>
      </c>
      <c r="E9959" s="1" t="n">
        <f aca="false">LN(D9959)</f>
        <v>-0.3158895215158</v>
      </c>
    </row>
    <row r="9960" customFormat="false" ht="15.75" hidden="false" customHeight="false" outlineLevel="0" collapsed="false">
      <c r="A9960" s="1" t="s">
        <v>1190</v>
      </c>
      <c r="B9960" s="1" t="n">
        <v>257.7</v>
      </c>
      <c r="C9960" s="1" t="n">
        <f aca="false">1/B9960</f>
        <v>0.00388048117966628</v>
      </c>
      <c r="D9960" s="1" t="n">
        <v>0.72502</v>
      </c>
      <c r="E9960" s="1" t="n">
        <f aca="false">LN(D9960)</f>
        <v>-0.321556038301058</v>
      </c>
    </row>
    <row r="9961" customFormat="false" ht="15.75" hidden="false" customHeight="false" outlineLevel="0" collapsed="false">
      <c r="A9961" s="1" t="s">
        <v>1190</v>
      </c>
      <c r="B9961" s="1" t="n">
        <v>258</v>
      </c>
      <c r="C9961" s="1" t="n">
        <f aca="false">1/B9961</f>
        <v>0.00387596899224806</v>
      </c>
      <c r="D9961" s="1" t="n">
        <v>0.72094</v>
      </c>
      <c r="E9961" s="1" t="n">
        <f aca="false">LN(D9961)</f>
        <v>-0.327199362913098</v>
      </c>
    </row>
    <row r="9962" customFormat="false" ht="15.75" hidden="false" customHeight="false" outlineLevel="0" collapsed="false">
      <c r="A9962" s="1" t="s">
        <v>1190</v>
      </c>
      <c r="B9962" s="1" t="n">
        <v>258.3</v>
      </c>
      <c r="C9962" s="1" t="n">
        <f aca="false">1/B9962</f>
        <v>0.00387146728610143</v>
      </c>
      <c r="D9962" s="1" t="n">
        <v>0.7169</v>
      </c>
      <c r="E9962" s="1" t="n">
        <f aca="false">LN(D9962)</f>
        <v>-0.332818918123311</v>
      </c>
    </row>
    <row r="9963" customFormat="false" ht="15.75" hidden="false" customHeight="false" outlineLevel="0" collapsed="false">
      <c r="A9963" s="1" t="s">
        <v>1190</v>
      </c>
      <c r="B9963" s="1" t="n">
        <v>258.6</v>
      </c>
      <c r="C9963" s="1" t="n">
        <f aca="false">1/B9963</f>
        <v>0.00386697602474865</v>
      </c>
      <c r="D9963" s="1" t="n">
        <v>0.71289</v>
      </c>
      <c r="E9963" s="1" t="n">
        <f aca="false">LN(D9963)</f>
        <v>-0.338428148169729</v>
      </c>
    </row>
    <row r="9964" customFormat="false" ht="15.75" hidden="false" customHeight="false" outlineLevel="0" collapsed="false">
      <c r="A9964" s="1" t="s">
        <v>1190</v>
      </c>
      <c r="B9964" s="1" t="n">
        <v>258.9</v>
      </c>
      <c r="C9964" s="1" t="n">
        <f aca="false">1/B9964</f>
        <v>0.00386249517188104</v>
      </c>
      <c r="D9964" s="1" t="n">
        <v>0.70892</v>
      </c>
      <c r="E9964" s="1" t="n">
        <f aca="false">LN(D9964)</f>
        <v>-0.344012593795198</v>
      </c>
    </row>
    <row r="9965" customFormat="false" ht="15.75" hidden="false" customHeight="false" outlineLevel="0" collapsed="false">
      <c r="A9965" s="1" t="s">
        <v>1190</v>
      </c>
      <c r="B9965" s="1" t="n">
        <v>259.2</v>
      </c>
      <c r="C9965" s="1" t="n">
        <f aca="false">1/B9965</f>
        <v>0.00385802469135802</v>
      </c>
      <c r="D9965" s="1" t="n">
        <v>0.70499</v>
      </c>
      <c r="E9965" s="1" t="n">
        <f aca="false">LN(D9965)</f>
        <v>-0.349571660667631</v>
      </c>
    </row>
    <row r="9966" customFormat="false" ht="15.75" hidden="false" customHeight="false" outlineLevel="0" collapsed="false">
      <c r="A9966" s="1" t="s">
        <v>1190</v>
      </c>
      <c r="B9966" s="1" t="n">
        <v>259.5</v>
      </c>
      <c r="C9966" s="1" t="n">
        <f aca="false">1/B9966</f>
        <v>0.00385356454720617</v>
      </c>
      <c r="D9966" s="1" t="n">
        <v>0.70109</v>
      </c>
      <c r="E9966" s="1" t="n">
        <f aca="false">LN(D9966)</f>
        <v>-0.355119012171465</v>
      </c>
    </row>
    <row r="9967" customFormat="false" ht="15.75" hidden="false" customHeight="false" outlineLevel="0" collapsed="false">
      <c r="A9967" s="1" t="s">
        <v>1190</v>
      </c>
      <c r="B9967" s="1" t="n">
        <v>259.8</v>
      </c>
      <c r="C9967" s="1" t="n">
        <f aca="false">1/B9967</f>
        <v>0.00384911470361817</v>
      </c>
      <c r="D9967" s="1" t="n">
        <v>0.69722</v>
      </c>
      <c r="E9967" s="1" t="n">
        <f aca="false">LN(D9967)</f>
        <v>-0.360654279574447</v>
      </c>
    </row>
    <row r="9968" customFormat="false" ht="15.75" hidden="false" customHeight="false" outlineLevel="0" collapsed="false">
      <c r="A9968" s="1" t="s">
        <v>1190</v>
      </c>
      <c r="B9968" s="1" t="n">
        <v>260.1</v>
      </c>
      <c r="C9968" s="1" t="n">
        <f aca="false">1/B9968</f>
        <v>0.00384467512495194</v>
      </c>
      <c r="D9968" s="1" t="n">
        <v>0.69339</v>
      </c>
      <c r="E9968" s="1" t="n">
        <f aca="false">LN(D9968)</f>
        <v>-0.36616266752543</v>
      </c>
    </row>
    <row r="9969" customFormat="false" ht="15.75" hidden="false" customHeight="false" outlineLevel="0" collapsed="false">
      <c r="A9969" s="1" t="s">
        <v>1190</v>
      </c>
      <c r="B9969" s="1" t="n">
        <v>260.4</v>
      </c>
      <c r="C9969" s="1" t="n">
        <f aca="false">1/B9969</f>
        <v>0.00384024577572965</v>
      </c>
      <c r="D9969" s="1" t="n">
        <v>0.68959</v>
      </c>
      <c r="E9969" s="1" t="n">
        <f aca="false">LN(D9969)</f>
        <v>-0.371658060897889</v>
      </c>
    </row>
    <row r="9970" customFormat="false" ht="15.75" hidden="false" customHeight="false" outlineLevel="0" collapsed="false">
      <c r="A9970" s="1" t="s">
        <v>1190</v>
      </c>
      <c r="B9970" s="1" t="n">
        <v>260.7</v>
      </c>
      <c r="C9970" s="1" t="n">
        <f aca="false">1/B9970</f>
        <v>0.00383582662063675</v>
      </c>
      <c r="D9970" s="1" t="n">
        <v>0.68582</v>
      </c>
      <c r="E9970" s="1" t="n">
        <f aca="false">LN(D9970)</f>
        <v>-0.377140076357261</v>
      </c>
    </row>
    <row r="9971" customFormat="false" ht="15.75" hidden="false" customHeight="false" outlineLevel="0" collapsed="false">
      <c r="A9971" s="1" t="s">
        <v>1190</v>
      </c>
      <c r="B9971" s="1" t="n">
        <v>261</v>
      </c>
      <c r="C9971" s="1" t="n">
        <f aca="false">1/B9971</f>
        <v>0.00383141762452107</v>
      </c>
      <c r="D9971" s="1" t="n">
        <v>0.68209</v>
      </c>
      <c r="E9971" s="1" t="n">
        <f aca="false">LN(D9971)</f>
        <v>-0.38259366503588</v>
      </c>
    </row>
    <row r="9972" customFormat="false" ht="15.75" hidden="false" customHeight="false" outlineLevel="0" collapsed="false">
      <c r="A9972" s="1" t="s">
        <v>1190</v>
      </c>
      <c r="B9972" s="1" t="n">
        <v>261.3</v>
      </c>
      <c r="C9972" s="1" t="n">
        <f aca="false">1/B9972</f>
        <v>0.00382701875239189</v>
      </c>
      <c r="D9972" s="1" t="n">
        <v>0.67839</v>
      </c>
      <c r="E9972" s="1" t="n">
        <f aca="false">LN(D9972)</f>
        <v>-0.388032935179125</v>
      </c>
    </row>
    <row r="9973" customFormat="false" ht="15.75" hidden="false" customHeight="false" outlineLevel="0" collapsed="false">
      <c r="A9973" s="1" t="s">
        <v>1190</v>
      </c>
      <c r="B9973" s="1" t="n">
        <v>261.6</v>
      </c>
      <c r="C9973" s="1" t="n">
        <f aca="false">1/B9973</f>
        <v>0.00382262996941896</v>
      </c>
      <c r="D9973" s="1" t="n">
        <v>0.67472</v>
      </c>
      <c r="E9973" s="1" t="n">
        <f aca="false">LN(D9973)</f>
        <v>-0.393457488983887</v>
      </c>
    </row>
    <row r="9974" customFormat="false" ht="15.75" hidden="false" customHeight="false" outlineLevel="0" collapsed="false">
      <c r="A9974" s="1" t="s">
        <v>1190</v>
      </c>
      <c r="B9974" s="1" t="n">
        <v>261.9</v>
      </c>
      <c r="C9974" s="1" t="n">
        <f aca="false">1/B9974</f>
        <v>0.00381825124093165</v>
      </c>
      <c r="D9974" s="1" t="n">
        <v>0.67108</v>
      </c>
      <c r="E9974" s="1" t="n">
        <f aca="false">LN(D9974)</f>
        <v>-0.398866924079937</v>
      </c>
    </row>
    <row r="9975" customFormat="false" ht="15.75" hidden="false" customHeight="false" outlineLevel="0" collapsed="false">
      <c r="A9975" s="1" t="s">
        <v>1190</v>
      </c>
      <c r="B9975" s="1" t="n">
        <v>262.2</v>
      </c>
      <c r="C9975" s="1" t="n">
        <f aca="false">1/B9975</f>
        <v>0.003813882532418</v>
      </c>
      <c r="D9975" s="1" t="n">
        <v>0.66747</v>
      </c>
      <c r="E9975" s="1" t="n">
        <f aca="false">LN(D9975)</f>
        <v>-0.404260833537961</v>
      </c>
    </row>
    <row r="9976" customFormat="false" ht="15.75" hidden="false" customHeight="false" outlineLevel="0" collapsed="false">
      <c r="A9976" s="1" t="s">
        <v>1190</v>
      </c>
      <c r="B9976" s="1" t="n">
        <v>262.5</v>
      </c>
      <c r="C9976" s="1" t="n">
        <f aca="false">1/B9976</f>
        <v>0.00380952380952381</v>
      </c>
      <c r="D9976" s="1" t="n">
        <v>0.66389</v>
      </c>
      <c r="E9976" s="1" t="n">
        <f aca="false">LN(D9976)</f>
        <v>-0.409638805879878</v>
      </c>
    </row>
    <row r="9977" customFormat="false" ht="15.75" hidden="false" customHeight="false" outlineLevel="0" collapsed="false">
      <c r="A9977" s="1" t="s">
        <v>1190</v>
      </c>
      <c r="B9977" s="1" t="n">
        <v>262.8</v>
      </c>
      <c r="C9977" s="1" t="n">
        <f aca="false">1/B9977</f>
        <v>0.00380517503805175</v>
      </c>
      <c r="D9977" s="1" t="n">
        <v>0.66035</v>
      </c>
      <c r="E9977" s="1" t="n">
        <f aca="false">LN(D9977)</f>
        <v>-0.414985281492324</v>
      </c>
    </row>
    <row r="9978" customFormat="false" ht="15.75" hidden="false" customHeight="false" outlineLevel="0" collapsed="false">
      <c r="A9978" s="1" t="s">
        <v>1190</v>
      </c>
      <c r="B9978" s="1" t="n">
        <v>263.1</v>
      </c>
      <c r="C9978" s="1" t="n">
        <f aca="false">1/B9978</f>
        <v>0.00380083618396047</v>
      </c>
      <c r="D9978" s="1" t="n">
        <v>0.65683</v>
      </c>
      <c r="E9978" s="1" t="n">
        <f aca="false">LN(D9978)</f>
        <v>-0.420330045882163</v>
      </c>
    </row>
    <row r="9979" customFormat="false" ht="15.75" hidden="false" customHeight="false" outlineLevel="0" collapsed="false">
      <c r="A9979" s="1" t="s">
        <v>1190</v>
      </c>
      <c r="B9979" s="1" t="n">
        <v>263.4</v>
      </c>
      <c r="C9979" s="1" t="n">
        <f aca="false">1/B9979</f>
        <v>0.00379650721336371</v>
      </c>
      <c r="D9979" s="1" t="n">
        <v>0.65334</v>
      </c>
      <c r="E9979" s="1" t="n">
        <f aca="false">LN(D9979)</f>
        <v>-0.425657611396112</v>
      </c>
    </row>
    <row r="9980" customFormat="false" ht="15.75" hidden="false" customHeight="false" outlineLevel="0" collapsed="false">
      <c r="A9980" s="1" t="s">
        <v>1190</v>
      </c>
      <c r="B9980" s="1" t="n">
        <v>263.7</v>
      </c>
      <c r="C9980" s="1" t="n">
        <f aca="false">1/B9980</f>
        <v>0.00379218809252939</v>
      </c>
      <c r="D9980" s="1" t="n">
        <v>0.64988</v>
      </c>
      <c r="E9980" s="1" t="n">
        <f aca="false">LN(D9980)</f>
        <v>-0.430967548520587</v>
      </c>
    </row>
    <row r="9981" customFormat="false" ht="15.75" hidden="false" customHeight="false" outlineLevel="0" collapsed="false">
      <c r="A9981" s="1" t="s">
        <v>1190</v>
      </c>
      <c r="B9981" s="1" t="n">
        <v>264</v>
      </c>
      <c r="C9981" s="1" t="n">
        <f aca="false">1/B9981</f>
        <v>0.00378787878787879</v>
      </c>
      <c r="D9981" s="1" t="n">
        <v>0.64645</v>
      </c>
      <c r="E9981" s="1" t="n">
        <f aca="false">LN(D9981)</f>
        <v>-0.436259423281575</v>
      </c>
    </row>
    <row r="9982" customFormat="false" ht="15.75" hidden="false" customHeight="false" outlineLevel="0" collapsed="false">
      <c r="A9982" s="1" t="s">
        <v>1190</v>
      </c>
      <c r="B9982" s="1" t="n">
        <v>264.3</v>
      </c>
      <c r="C9982" s="1" t="n">
        <f aca="false">1/B9982</f>
        <v>0.00378357926598562</v>
      </c>
      <c r="D9982" s="1" t="n">
        <v>0.64305</v>
      </c>
      <c r="E9982" s="1" t="n">
        <f aca="false">LN(D9982)</f>
        <v>-0.441532797270041</v>
      </c>
    </row>
    <row r="9983" customFormat="false" ht="15.75" hidden="false" customHeight="false" outlineLevel="0" collapsed="false">
      <c r="A9983" s="1" t="s">
        <v>1190</v>
      </c>
      <c r="B9983" s="1" t="n">
        <v>264.6</v>
      </c>
      <c r="C9983" s="1" t="n">
        <f aca="false">1/B9983</f>
        <v>0.00377928949357521</v>
      </c>
      <c r="D9983" s="1" t="n">
        <v>0.63967</v>
      </c>
      <c r="E9983" s="1" t="n">
        <f aca="false">LN(D9983)</f>
        <v>-0.446802860608704</v>
      </c>
    </row>
    <row r="9984" customFormat="false" ht="15.75" hidden="false" customHeight="false" outlineLevel="0" collapsed="false">
      <c r="A9984" s="1" t="s">
        <v>1190</v>
      </c>
      <c r="B9984" s="1" t="n">
        <v>264.9</v>
      </c>
      <c r="C9984" s="1" t="n">
        <f aca="false">1/B9984</f>
        <v>0.00377500943752359</v>
      </c>
      <c r="D9984" s="1" t="n">
        <v>0.63633</v>
      </c>
      <c r="E9984" s="1" t="n">
        <f aca="false">LN(D9984)</f>
        <v>-0.452037982282902</v>
      </c>
    </row>
    <row r="9985" customFormat="false" ht="15.75" hidden="false" customHeight="false" outlineLevel="0" collapsed="false">
      <c r="A9985" s="1" t="s">
        <v>1190</v>
      </c>
      <c r="B9985" s="1" t="n">
        <v>265.2</v>
      </c>
      <c r="C9985" s="1" t="n">
        <f aca="false">1/B9985</f>
        <v>0.00377073906485671</v>
      </c>
      <c r="D9985" s="1" t="n">
        <v>0.63301</v>
      </c>
      <c r="E9985" s="1" t="n">
        <f aca="false">LN(D9985)</f>
        <v>-0.457269059174435</v>
      </c>
    </row>
    <row r="9986" customFormat="false" ht="15.75" hidden="false" customHeight="false" outlineLevel="0" collapsed="false">
      <c r="A9986" s="1" t="s">
        <v>1190</v>
      </c>
      <c r="B9986" s="1" t="n">
        <v>265.5</v>
      </c>
      <c r="C9986" s="1" t="n">
        <f aca="false">1/B9986</f>
        <v>0.00376647834274953</v>
      </c>
      <c r="D9986" s="1" t="n">
        <v>0.62971</v>
      </c>
      <c r="E9986" s="1" t="n">
        <f aca="false">LN(D9986)</f>
        <v>-0.462495883035482</v>
      </c>
    </row>
    <row r="9987" customFormat="false" ht="15.75" hidden="false" customHeight="false" outlineLevel="0" collapsed="false">
      <c r="A9987" s="1" t="s">
        <v>1190</v>
      </c>
      <c r="B9987" s="1" t="n">
        <v>265.8</v>
      </c>
      <c r="C9987" s="1" t="n">
        <f aca="false">1/B9987</f>
        <v>0.00376222723852521</v>
      </c>
      <c r="D9987" s="1" t="n">
        <v>0.62645</v>
      </c>
      <c r="E9987" s="1" t="n">
        <f aca="false">LN(D9987)</f>
        <v>-0.467686316290575</v>
      </c>
    </row>
    <row r="9988" customFormat="false" ht="15.75" hidden="false" customHeight="false" outlineLevel="0" collapsed="false">
      <c r="A9988" s="1" t="s">
        <v>1190</v>
      </c>
      <c r="B9988" s="1" t="n">
        <v>266.1</v>
      </c>
      <c r="C9988" s="1" t="n">
        <f aca="false">1/B9988</f>
        <v>0.00375798571965427</v>
      </c>
      <c r="D9988" s="1" t="n">
        <v>0.62321</v>
      </c>
      <c r="E9988" s="1" t="n">
        <f aca="false">LN(D9988)</f>
        <v>-0.472871738341244</v>
      </c>
    </row>
    <row r="9989" customFormat="false" ht="15.75" hidden="false" customHeight="false" outlineLevel="0" collapsed="false">
      <c r="A9989" s="1" t="s">
        <v>1190</v>
      </c>
      <c r="B9989" s="1" t="n">
        <v>266.4</v>
      </c>
      <c r="C9989" s="1" t="n">
        <f aca="false">1/B9989</f>
        <v>0.00375375375375375</v>
      </c>
      <c r="D9989" s="1" t="n">
        <v>0.61999</v>
      </c>
      <c r="E9989" s="1" t="n">
        <f aca="false">LN(D9989)</f>
        <v>-0.478051930105332</v>
      </c>
    </row>
    <row r="9990" customFormat="false" ht="15.75" hidden="false" customHeight="false" outlineLevel="0" collapsed="false">
      <c r="A9990" s="1" t="s">
        <v>1190</v>
      </c>
      <c r="B9990" s="1" t="n">
        <v>266.7</v>
      </c>
      <c r="C9990" s="1" t="n">
        <f aca="false">1/B9990</f>
        <v>0.00374953130858643</v>
      </c>
      <c r="D9990" s="1" t="n">
        <v>0.61681</v>
      </c>
      <c r="E9990" s="1" t="n">
        <f aca="false">LN(D9990)</f>
        <v>-0.483194244153677</v>
      </c>
    </row>
    <row r="9991" customFormat="false" ht="15.75" hidden="false" customHeight="false" outlineLevel="0" collapsed="false">
      <c r="A9991" s="1" t="s">
        <v>1190</v>
      </c>
      <c r="B9991" s="1" t="n">
        <v>267</v>
      </c>
      <c r="C9991" s="1" t="n">
        <f aca="false">1/B9991</f>
        <v>0.00374531835205992</v>
      </c>
      <c r="D9991" s="1" t="n">
        <v>0.61364</v>
      </c>
      <c r="E9991" s="1" t="n">
        <f aca="false">LN(D9991)</f>
        <v>-0.488346842005564</v>
      </c>
    </row>
    <row r="9992" customFormat="false" ht="15.75" hidden="false" customHeight="false" outlineLevel="0" collapsed="false">
      <c r="A9992" s="1" t="s">
        <v>1190</v>
      </c>
      <c r="B9992" s="1" t="n">
        <v>267.3</v>
      </c>
      <c r="C9992" s="1" t="n">
        <f aca="false">1/B9992</f>
        <v>0.00374111485222596</v>
      </c>
      <c r="D9992" s="1" t="n">
        <v>0.6105</v>
      </c>
      <c r="E9992" s="1" t="n">
        <f aca="false">LN(D9992)</f>
        <v>-0.493476985431378</v>
      </c>
    </row>
    <row r="9993" customFormat="false" ht="15.75" hidden="false" customHeight="false" outlineLevel="0" collapsed="false">
      <c r="A9993" s="1" t="s">
        <v>1190</v>
      </c>
      <c r="B9993" s="1" t="n">
        <v>267.6</v>
      </c>
      <c r="C9993" s="1" t="n">
        <f aca="false">1/B9993</f>
        <v>0.00373692077727952</v>
      </c>
      <c r="D9993" s="1" t="n">
        <v>0.60739</v>
      </c>
      <c r="E9993" s="1" t="n">
        <f aca="false">LN(D9993)</f>
        <v>-0.498584190121425</v>
      </c>
    </row>
    <row r="9994" customFormat="false" ht="15.75" hidden="false" customHeight="false" outlineLevel="0" collapsed="false">
      <c r="A9994" s="1" t="s">
        <v>1190</v>
      </c>
      <c r="B9994" s="1" t="n">
        <v>267.9</v>
      </c>
      <c r="C9994" s="1" t="n">
        <f aca="false">1/B9994</f>
        <v>0.00373273609555804</v>
      </c>
      <c r="D9994" s="1" t="n">
        <v>0.6043</v>
      </c>
      <c r="E9994" s="1" t="n">
        <f aca="false">LN(D9994)</f>
        <v>-0.503684515614624</v>
      </c>
    </row>
    <row r="9995" customFormat="false" ht="15.75" hidden="false" customHeight="false" outlineLevel="0" collapsed="false">
      <c r="A9995" s="1" t="s">
        <v>1190</v>
      </c>
      <c r="B9995" s="1" t="n">
        <v>268.2</v>
      </c>
      <c r="C9995" s="1" t="n">
        <f aca="false">1/B9995</f>
        <v>0.00372856077554064</v>
      </c>
      <c r="D9995" s="1" t="n">
        <v>0.60124</v>
      </c>
      <c r="E9995" s="1" t="n">
        <f aca="false">LN(D9995)</f>
        <v>-0.508761089717112</v>
      </c>
    </row>
    <row r="9996" customFormat="false" ht="15.75" hidden="false" customHeight="false" outlineLevel="0" collapsed="false">
      <c r="A9996" s="1" t="s">
        <v>1190</v>
      </c>
      <c r="B9996" s="1" t="n">
        <v>268.5</v>
      </c>
      <c r="C9996" s="1" t="n">
        <f aca="false">1/B9996</f>
        <v>0.0037243947858473</v>
      </c>
      <c r="D9996" s="1" t="n">
        <v>0.5982</v>
      </c>
      <c r="E9996" s="1" t="n">
        <f aca="false">LN(D9996)</f>
        <v>-0.51383013278629</v>
      </c>
    </row>
    <row r="9997" customFormat="false" ht="15.75" hidden="false" customHeight="false" outlineLevel="0" collapsed="false">
      <c r="A9997" s="1" t="s">
        <v>1190</v>
      </c>
      <c r="B9997" s="1" t="n">
        <v>268.8</v>
      </c>
      <c r="C9997" s="1" t="n">
        <f aca="false">1/B9997</f>
        <v>0.00372023809523809</v>
      </c>
      <c r="D9997" s="1" t="n">
        <v>0.59518</v>
      </c>
      <c r="E9997" s="1" t="n">
        <f aca="false">LN(D9997)</f>
        <v>-0.518891398178357</v>
      </c>
    </row>
    <row r="9998" customFormat="false" ht="15.75" hidden="false" customHeight="false" outlineLevel="0" collapsed="false">
      <c r="A9998" s="1" t="s">
        <v>1190</v>
      </c>
      <c r="B9998" s="1" t="n">
        <v>269.1</v>
      </c>
      <c r="C9998" s="1" t="n">
        <f aca="false">1/B9998</f>
        <v>0.00371609067261241</v>
      </c>
      <c r="D9998" s="1" t="n">
        <v>0.59218</v>
      </c>
      <c r="E9998" s="1" t="n">
        <f aca="false">LN(D9998)</f>
        <v>-0.523944636259143</v>
      </c>
    </row>
    <row r="9999" customFormat="false" ht="15.75" hidden="false" customHeight="false" outlineLevel="0" collapsed="false">
      <c r="A9999" s="1" t="s">
        <v>1190</v>
      </c>
      <c r="B9999" s="1" t="n">
        <v>269.4</v>
      </c>
      <c r="C9999" s="1" t="n">
        <f aca="false">1/B9999</f>
        <v>0.00371195248700817</v>
      </c>
      <c r="D9999" s="1" t="n">
        <v>0.58921</v>
      </c>
      <c r="E9999" s="1" t="n">
        <f aca="false">LN(D9999)</f>
        <v>-0.528972622372039</v>
      </c>
    </row>
    <row r="10000" customFormat="false" ht="15.75" hidden="false" customHeight="false" outlineLevel="0" collapsed="false">
      <c r="A10000" s="1" t="s">
        <v>1190</v>
      </c>
      <c r="B10000" s="1" t="n">
        <v>269.7</v>
      </c>
      <c r="C10000" s="1" t="n">
        <f aca="false">1/B10000</f>
        <v>0.00370782350760104</v>
      </c>
      <c r="D10000" s="1" t="n">
        <v>0.58626</v>
      </c>
      <c r="E10000" s="1" t="n">
        <f aca="false">LN(D10000)</f>
        <v>-0.53399190179783</v>
      </c>
    </row>
    <row r="10001" customFormat="false" ht="15.75" hidden="false" customHeight="false" outlineLevel="0" collapsed="false">
      <c r="A10001" s="1" t="s">
        <v>1190</v>
      </c>
      <c r="B10001" s="1" t="n">
        <v>270</v>
      </c>
      <c r="C10001" s="1" t="n">
        <f aca="false">1/B10001</f>
        <v>0.0037037037037037</v>
      </c>
      <c r="D10001" s="1" t="n">
        <v>0.58334</v>
      </c>
      <c r="E10001" s="1" t="n">
        <f aca="false">LN(D10001)</f>
        <v>-0.538985072226564</v>
      </c>
    </row>
    <row r="10002" customFormat="false" ht="15.75" hidden="false" customHeight="false" outlineLevel="0" collapsed="false">
      <c r="A10002" s="1" t="s">
        <v>1190</v>
      </c>
      <c r="B10002" s="1" t="n">
        <v>270.3</v>
      </c>
      <c r="C10002" s="1" t="n">
        <f aca="false">1/B10002</f>
        <v>0.00369959304476508</v>
      </c>
      <c r="D10002" s="1" t="n">
        <v>0.58043</v>
      </c>
      <c r="E10002" s="1" t="n">
        <f aca="false">LN(D10002)</f>
        <v>-0.543986070817212</v>
      </c>
    </row>
    <row r="10003" customFormat="false" ht="15.75" hidden="false" customHeight="false" outlineLevel="0" collapsed="false">
      <c r="A10003" s="1" t="s">
        <v>1190</v>
      </c>
      <c r="B10003" s="1" t="n">
        <v>270.6</v>
      </c>
      <c r="C10003" s="1" t="n">
        <f aca="false">1/B10003</f>
        <v>0.00369549150036955</v>
      </c>
      <c r="D10003" s="1" t="n">
        <v>0.57755</v>
      </c>
      <c r="E10003" s="1" t="n">
        <f aca="false">LN(D10003)</f>
        <v>-0.548960260247448</v>
      </c>
    </row>
    <row r="10004" customFormat="false" ht="15.75" hidden="false" customHeight="false" outlineLevel="0" collapsed="false">
      <c r="A10004" s="1" t="s">
        <v>1190</v>
      </c>
      <c r="B10004" s="1" t="n">
        <v>270.9</v>
      </c>
      <c r="C10004" s="1" t="n">
        <f aca="false">1/B10004</f>
        <v>0.00369139904023625</v>
      </c>
      <c r="D10004" s="1" t="n">
        <v>0.57469</v>
      </c>
      <c r="E10004" s="1" t="n">
        <f aca="false">LN(D10004)</f>
        <v>-0.553924514002638</v>
      </c>
    </row>
    <row r="10005" customFormat="false" ht="15.75" hidden="false" customHeight="false" outlineLevel="0" collapsed="false">
      <c r="A10005" s="1" t="s">
        <v>1190</v>
      </c>
      <c r="B10005" s="1" t="n">
        <v>271.2</v>
      </c>
      <c r="C10005" s="1" t="n">
        <f aca="false">1/B10005</f>
        <v>0.00368731563421829</v>
      </c>
      <c r="D10005" s="1" t="n">
        <v>0.57185</v>
      </c>
      <c r="E10005" s="1" t="n">
        <f aca="false">LN(D10005)</f>
        <v>-0.558878559754911</v>
      </c>
    </row>
    <row r="10006" customFormat="false" ht="15.75" hidden="false" customHeight="false" outlineLevel="0" collapsed="false">
      <c r="A10006" s="1" t="s">
        <v>1190</v>
      </c>
      <c r="B10006" s="1" t="n">
        <v>271.5</v>
      </c>
      <c r="C10006" s="1" t="n">
        <f aca="false">1/B10006</f>
        <v>0.00368324125230203</v>
      </c>
      <c r="D10006" s="1" t="n">
        <v>0.56904</v>
      </c>
      <c r="E10006" s="1" t="n">
        <f aca="false">LN(D10006)</f>
        <v>-0.563804548556877</v>
      </c>
    </row>
    <row r="10007" customFormat="false" ht="15.75" hidden="false" customHeight="false" outlineLevel="0" collapsed="false">
      <c r="A10007" s="1" t="s">
        <v>1190</v>
      </c>
      <c r="B10007" s="1" t="n">
        <v>271.8</v>
      </c>
      <c r="C10007" s="1" t="n">
        <f aca="false">1/B10007</f>
        <v>0.00367917586460633</v>
      </c>
      <c r="D10007" s="1" t="n">
        <v>0.56624</v>
      </c>
      <c r="E10007" s="1" t="n">
        <f aca="false">LN(D10007)</f>
        <v>-0.568737262384984</v>
      </c>
    </row>
    <row r="10008" customFormat="false" ht="15.75" hidden="false" customHeight="false" outlineLevel="0" collapsed="false">
      <c r="A10008" s="1" t="s">
        <v>1190</v>
      </c>
      <c r="B10008" s="1" t="n">
        <v>272.1</v>
      </c>
      <c r="C10008" s="1" t="n">
        <f aca="false">1/B10008</f>
        <v>0.00367511944138184</v>
      </c>
      <c r="D10008" s="1" t="n">
        <v>0.56346</v>
      </c>
      <c r="E10008" s="1" t="n">
        <f aca="false">LN(D10008)</f>
        <v>-0.57365893293756</v>
      </c>
    </row>
    <row r="10009" customFormat="false" ht="15.75" hidden="false" customHeight="false" outlineLevel="0" collapsed="false">
      <c r="A10009" s="1" t="s">
        <v>1190</v>
      </c>
      <c r="B10009" s="1" t="n">
        <v>272.4</v>
      </c>
      <c r="C10009" s="1" t="n">
        <f aca="false">1/B10009</f>
        <v>0.00367107195301028</v>
      </c>
      <c r="D10009" s="1" t="n">
        <v>0.56071</v>
      </c>
      <c r="E10009" s="1" t="n">
        <f aca="false">LN(D10009)</f>
        <v>-0.578551441162254</v>
      </c>
    </row>
    <row r="10010" customFormat="false" ht="15.75" hidden="false" customHeight="false" outlineLevel="0" collapsed="false">
      <c r="A10010" s="1" t="s">
        <v>1190</v>
      </c>
      <c r="B10010" s="1" t="n">
        <v>272.7</v>
      </c>
      <c r="C10010" s="1" t="n">
        <f aca="false">1/B10010</f>
        <v>0.00366703337000367</v>
      </c>
      <c r="D10010" s="1" t="n">
        <v>0.55797</v>
      </c>
      <c r="E10010" s="1" t="n">
        <f aca="false">LN(D10010)</f>
        <v>-0.583450081486992</v>
      </c>
    </row>
    <row r="10011" customFormat="false" ht="15.75" hidden="false" customHeight="false" outlineLevel="0" collapsed="false">
      <c r="A10011" s="1" t="s">
        <v>1190</v>
      </c>
      <c r="B10011" s="1" t="n">
        <v>273</v>
      </c>
      <c r="C10011" s="1" t="n">
        <f aca="false">1/B10011</f>
        <v>0.00366300366300366</v>
      </c>
      <c r="D10011" s="1" t="n">
        <v>0.55526</v>
      </c>
      <c r="E10011" s="1" t="n">
        <f aca="false">LN(D10011)</f>
        <v>-0.588318806464329</v>
      </c>
    </row>
    <row r="10012" customFormat="false" ht="15.75" hidden="false" customHeight="false" outlineLevel="0" collapsed="false">
      <c r="A10012" s="1" t="s">
        <v>1190</v>
      </c>
      <c r="B10012" s="1" t="n">
        <v>273.3</v>
      </c>
      <c r="C10012" s="1" t="n">
        <f aca="false">1/B10012</f>
        <v>0.00365898280278083</v>
      </c>
      <c r="D10012" s="1" t="n">
        <v>0.55256</v>
      </c>
      <c r="E10012" s="1" t="n">
        <f aca="false">LN(D10012)</f>
        <v>-0.593193254201419</v>
      </c>
    </row>
    <row r="10013" customFormat="false" ht="15.75" hidden="false" customHeight="false" outlineLevel="0" collapsed="false">
      <c r="A10013" s="1" t="s">
        <v>1190</v>
      </c>
      <c r="B10013" s="1" t="n">
        <v>273.6</v>
      </c>
      <c r="C10013" s="1" t="n">
        <f aca="false">1/B10013</f>
        <v>0.00365497076023392</v>
      </c>
      <c r="D10013" s="1" t="n">
        <v>0.54989</v>
      </c>
      <c r="E10013" s="1" t="n">
        <f aca="false">LN(D10013)</f>
        <v>-0.598037020758288</v>
      </c>
    </row>
    <row r="10014" customFormat="false" ht="15.75" hidden="false" customHeight="false" outlineLevel="0" collapsed="false">
      <c r="A10014" s="1" t="s">
        <v>1190</v>
      </c>
      <c r="B10014" s="1" t="n">
        <v>273.9</v>
      </c>
      <c r="C10014" s="1" t="n">
        <f aca="false">1/B10014</f>
        <v>0.00365096750638919</v>
      </c>
      <c r="D10014" s="1" t="n">
        <v>0.54723</v>
      </c>
      <c r="E10014" s="1" t="n">
        <f aca="false">LN(D10014)</f>
        <v>-0.602886089615204</v>
      </c>
    </row>
    <row r="10015" customFormat="false" ht="15.75" hidden="false" customHeight="false" outlineLevel="0" collapsed="false">
      <c r="A10015" s="1" t="s">
        <v>1190</v>
      </c>
      <c r="B10015" s="1" t="n">
        <v>274.2</v>
      </c>
      <c r="C10015" s="1" t="n">
        <f aca="false">1/B10015</f>
        <v>0.00364697301239971</v>
      </c>
      <c r="D10015" s="1" t="n">
        <v>0.54459</v>
      </c>
      <c r="E10015" s="1" t="n">
        <f aca="false">LN(D10015)</f>
        <v>-0.607722061011688</v>
      </c>
    </row>
    <row r="10016" customFormat="false" ht="15.75" hidden="false" customHeight="false" outlineLevel="0" collapsed="false">
      <c r="A10016" s="1" t="s">
        <v>1190</v>
      </c>
      <c r="B10016" s="1" t="n">
        <v>274.5</v>
      </c>
      <c r="C10016" s="1" t="n">
        <f aca="false">1/B10016</f>
        <v>0.00364298724954463</v>
      </c>
      <c r="D10016" s="1" t="n">
        <v>0.54197</v>
      </c>
      <c r="E10016" s="1" t="n">
        <f aca="false">LN(D10016)</f>
        <v>-0.612544629627895</v>
      </c>
    </row>
    <row r="10017" customFormat="false" ht="15.75" hidden="false" customHeight="false" outlineLevel="0" collapsed="false">
      <c r="A10017" s="1" t="s">
        <v>1190</v>
      </c>
      <c r="B10017" s="1" t="n">
        <v>274.8</v>
      </c>
      <c r="C10017" s="1" t="n">
        <f aca="false">1/B10017</f>
        <v>0.00363901018922853</v>
      </c>
      <c r="D10017" s="1" t="n">
        <v>0.53938</v>
      </c>
      <c r="E10017" s="1" t="n">
        <f aca="false">LN(D10017)</f>
        <v>-0.617334947198998</v>
      </c>
    </row>
    <row r="10018" customFormat="false" ht="15.75" hidden="false" customHeight="false" outlineLevel="0" collapsed="false">
      <c r="A10018" s="1" t="s">
        <v>1190</v>
      </c>
      <c r="B10018" s="1" t="n">
        <v>275.1</v>
      </c>
      <c r="C10018" s="1" t="n">
        <f aca="false">1/B10018</f>
        <v>0.00363504180298073</v>
      </c>
      <c r="D10018" s="1" t="n">
        <v>0.53679</v>
      </c>
      <c r="E10018" s="1" t="n">
        <f aca="false">LN(D10018)</f>
        <v>-0.622148322410257</v>
      </c>
    </row>
    <row r="10019" customFormat="false" ht="15.75" hidden="false" customHeight="false" outlineLevel="0" collapsed="false">
      <c r="A10019" s="1" t="s">
        <v>1190</v>
      </c>
      <c r="B10019" s="1" t="n">
        <v>275.4</v>
      </c>
      <c r="C10019" s="1" t="n">
        <f aca="false">1/B10019</f>
        <v>0.00363108206245461</v>
      </c>
      <c r="D10019" s="1" t="n">
        <v>0.53423</v>
      </c>
      <c r="E10019" s="1" t="n">
        <f aca="false">LN(D10019)</f>
        <v>-0.626928821141076</v>
      </c>
    </row>
    <row r="10020" customFormat="false" ht="15.75" hidden="false" customHeight="false" outlineLevel="0" collapsed="false">
      <c r="A10020" s="1" t="s">
        <v>1190</v>
      </c>
      <c r="B10020" s="1" t="n">
        <v>275.7</v>
      </c>
      <c r="C10020" s="1" t="n">
        <f aca="false">1/B10020</f>
        <v>0.00362713093942691</v>
      </c>
      <c r="D10020" s="1" t="n">
        <v>0.53169</v>
      </c>
      <c r="E10020" s="1" t="n">
        <f aca="false">LN(D10020)</f>
        <v>-0.631694666246979</v>
      </c>
    </row>
    <row r="10021" customFormat="false" ht="15.75" hidden="false" customHeight="false" outlineLevel="0" collapsed="false">
      <c r="A10021" s="1" t="s">
        <v>1190</v>
      </c>
      <c r="B10021" s="1" t="n">
        <v>276</v>
      </c>
      <c r="C10021" s="1" t="n">
        <f aca="false">1/B10021</f>
        <v>0.0036231884057971</v>
      </c>
      <c r="D10021" s="1" t="n">
        <v>0.52916</v>
      </c>
      <c r="E10021" s="1" t="n">
        <f aca="false">LN(D10021)</f>
        <v>-0.636464435387958</v>
      </c>
    </row>
    <row r="10022" customFormat="false" ht="15.75" hidden="false" customHeight="false" outlineLevel="0" collapsed="false">
      <c r="A10022" s="1" t="s">
        <v>1190</v>
      </c>
      <c r="B10022" s="1" t="n">
        <v>276.3</v>
      </c>
      <c r="C10022" s="1" t="n">
        <f aca="false">1/B10022</f>
        <v>0.00361925443358668</v>
      </c>
      <c r="D10022" s="1" t="n">
        <v>0.52665</v>
      </c>
      <c r="E10022" s="1" t="n">
        <f aca="false">LN(D10022)</f>
        <v>-0.641219087699586</v>
      </c>
    </row>
    <row r="10023" customFormat="false" ht="15.75" hidden="false" customHeight="false" outlineLevel="0" collapsed="false">
      <c r="A10023" s="1" t="s">
        <v>1190</v>
      </c>
      <c r="B10023" s="1" t="n">
        <v>276.6</v>
      </c>
      <c r="C10023" s="1" t="n">
        <f aca="false">1/B10023</f>
        <v>0.00361532899493854</v>
      </c>
      <c r="D10023" s="1" t="n">
        <v>0.52416</v>
      </c>
      <c r="E10023" s="1" t="n">
        <f aca="false">LN(D10023)</f>
        <v>-0.645958297757487</v>
      </c>
    </row>
    <row r="10024" customFormat="false" ht="15.75" hidden="false" customHeight="false" outlineLevel="0" collapsed="false">
      <c r="A10024" s="1" t="s">
        <v>1190</v>
      </c>
      <c r="B10024" s="1" t="n">
        <v>276.9</v>
      </c>
      <c r="C10024" s="1" t="n">
        <f aca="false">1/B10024</f>
        <v>0.00361141206211629</v>
      </c>
      <c r="D10024" s="1" t="n">
        <v>0.52169</v>
      </c>
      <c r="E10024" s="1" t="n">
        <f aca="false">LN(D10024)</f>
        <v>-0.650681737241775</v>
      </c>
    </row>
    <row r="10025" customFormat="false" ht="15.75" hidden="false" customHeight="false" outlineLevel="0" collapsed="false">
      <c r="A10025" s="1" t="s">
        <v>1190</v>
      </c>
      <c r="B10025" s="1" t="n">
        <v>277.2</v>
      </c>
      <c r="C10025" s="1" t="n">
        <f aca="false">1/B10025</f>
        <v>0.00360750360750361</v>
      </c>
      <c r="D10025" s="1" t="n">
        <v>0.51923</v>
      </c>
      <c r="E10025" s="1" t="n">
        <f aca="false">LN(D10025)</f>
        <v>-0.655408334059677</v>
      </c>
    </row>
    <row r="10026" customFormat="false" ht="15.75" hidden="false" customHeight="false" outlineLevel="0" collapsed="false">
      <c r="A10026" s="1" t="s">
        <v>1190</v>
      </c>
      <c r="B10026" s="1" t="n">
        <v>277.5</v>
      </c>
      <c r="C10026" s="1" t="n">
        <f aca="false">1/B10026</f>
        <v>0.0036036036036036</v>
      </c>
      <c r="D10026" s="1" t="n">
        <v>0.51679</v>
      </c>
      <c r="E10026" s="1" t="n">
        <f aca="false">LN(D10026)</f>
        <v>-0.660118676546157</v>
      </c>
    </row>
    <row r="10027" customFormat="false" ht="15.75" hidden="false" customHeight="false" outlineLevel="0" collapsed="false">
      <c r="A10027" s="1" t="s">
        <v>1190</v>
      </c>
      <c r="B10027" s="1" t="n">
        <v>277.8</v>
      </c>
      <c r="C10027" s="1" t="n">
        <f aca="false">1/B10027</f>
        <v>0.00359971202303816</v>
      </c>
      <c r="D10027" s="1" t="n">
        <v>0.51437</v>
      </c>
      <c r="E10027" s="1" t="n">
        <f aca="false">LN(D10027)</f>
        <v>-0.664812428132677</v>
      </c>
    </row>
    <row r="10028" customFormat="false" ht="15.75" hidden="false" customHeight="false" outlineLevel="0" collapsed="false">
      <c r="A10028" s="1" t="s">
        <v>1190</v>
      </c>
      <c r="B10028" s="1" t="n">
        <v>278.1</v>
      </c>
      <c r="C10028" s="1" t="n">
        <f aca="false">1/B10028</f>
        <v>0.00359582883854728</v>
      </c>
      <c r="D10028" s="1" t="n">
        <v>0.51196</v>
      </c>
      <c r="E10028" s="1" t="n">
        <f aca="false">LN(D10028)</f>
        <v>-0.669508781994546</v>
      </c>
    </row>
    <row r="10029" customFormat="false" ht="15.75" hidden="false" customHeight="false" outlineLevel="0" collapsed="false">
      <c r="A10029" s="1" t="s">
        <v>1190</v>
      </c>
      <c r="B10029" s="1" t="n">
        <v>278.4</v>
      </c>
      <c r="C10029" s="1" t="n">
        <f aca="false">1/B10029</f>
        <v>0.00359195402298851</v>
      </c>
      <c r="D10029" s="1" t="n">
        <v>0.50957</v>
      </c>
      <c r="E10029" s="1" t="n">
        <f aca="false">LN(D10029)</f>
        <v>-0.674188046158799</v>
      </c>
    </row>
    <row r="10030" customFormat="false" ht="15.75" hidden="false" customHeight="false" outlineLevel="0" collapsed="false">
      <c r="A10030" s="1" t="s">
        <v>1190</v>
      </c>
      <c r="B10030" s="1" t="n">
        <v>278.7</v>
      </c>
      <c r="C10030" s="1" t="n">
        <f aca="false">1/B10030</f>
        <v>0.0035880875493362</v>
      </c>
      <c r="D10030" s="1" t="n">
        <v>0.5072</v>
      </c>
      <c r="E10030" s="1" t="n">
        <f aca="false">LN(D10030)</f>
        <v>-0.678849875859121</v>
      </c>
    </row>
    <row r="10031" customFormat="false" ht="15.75" hidden="false" customHeight="false" outlineLevel="0" collapsed="false">
      <c r="A10031" s="1" t="s">
        <v>1190</v>
      </c>
      <c r="B10031" s="1" t="n">
        <v>279</v>
      </c>
      <c r="C10031" s="1" t="n">
        <f aca="false">1/B10031</f>
        <v>0.003584229390681</v>
      </c>
      <c r="D10031" s="1" t="n">
        <v>0.50485</v>
      </c>
      <c r="E10031" s="1" t="n">
        <f aca="false">LN(D10031)</f>
        <v>-0.683493923531807</v>
      </c>
    </row>
    <row r="10032" customFormat="false" ht="15.75" hidden="false" customHeight="false" outlineLevel="0" collapsed="false">
      <c r="A10032" s="1" t="s">
        <v>1192</v>
      </c>
      <c r="B10032" s="1" t="n">
        <v>179.97</v>
      </c>
      <c r="C10032" s="1" t="n">
        <f aca="false">1/B10032</f>
        <v>0.00555648163582819</v>
      </c>
      <c r="D10032" s="1" t="n">
        <v>2.404</v>
      </c>
      <c r="E10032" s="1" t="n">
        <f aca="false">LN(D10032)</f>
        <v>0.877134016672961</v>
      </c>
    </row>
    <row r="10033" customFormat="false" ht="15.75" hidden="false" customHeight="false" outlineLevel="0" collapsed="false">
      <c r="A10033" s="1" t="s">
        <v>1192</v>
      </c>
      <c r="B10033" s="1" t="n">
        <v>180.33</v>
      </c>
      <c r="C10033" s="1" t="n">
        <f aca="false">1/B10033</f>
        <v>0.00554538900903898</v>
      </c>
      <c r="D10033" s="1" t="n">
        <v>2.3769</v>
      </c>
      <c r="E10033" s="1" t="n">
        <f aca="false">LN(D10033)</f>
        <v>0.865797117657169</v>
      </c>
    </row>
    <row r="10034" customFormat="false" ht="15.75" hidden="false" customHeight="false" outlineLevel="0" collapsed="false">
      <c r="A10034" s="1" t="s">
        <v>1192</v>
      </c>
      <c r="B10034" s="1" t="n">
        <v>180.7</v>
      </c>
      <c r="C10034" s="1" t="n">
        <f aca="false">1/B10034</f>
        <v>0.00553403431101273</v>
      </c>
      <c r="D10034" s="1" t="n">
        <v>2.3502</v>
      </c>
      <c r="E10034" s="1" t="n">
        <f aca="false">LN(D10034)</f>
        <v>0.854500430917704</v>
      </c>
    </row>
    <row r="10035" customFormat="false" ht="15.75" hidden="false" customHeight="false" outlineLevel="0" collapsed="false">
      <c r="A10035" s="1" t="s">
        <v>1192</v>
      </c>
      <c r="B10035" s="1" t="n">
        <v>181.07</v>
      </c>
      <c r="C10035" s="1" t="n">
        <f aca="false">1/B10035</f>
        <v>0.00552272601756227</v>
      </c>
      <c r="D10035" s="1" t="n">
        <v>2.324</v>
      </c>
      <c r="E10035" s="1" t="n">
        <f aca="false">LN(D10035)</f>
        <v>0.843289838989665</v>
      </c>
    </row>
    <row r="10036" customFormat="false" ht="15.75" hidden="false" customHeight="false" outlineLevel="0" collapsed="false">
      <c r="A10036" s="1" t="s">
        <v>1192</v>
      </c>
      <c r="B10036" s="1" t="n">
        <v>181.44</v>
      </c>
      <c r="C10036" s="1" t="n">
        <f aca="false">1/B10036</f>
        <v>0.00551146384479718</v>
      </c>
      <c r="D10036" s="1" t="n">
        <v>2.2982</v>
      </c>
      <c r="E10036" s="1" t="n">
        <f aca="false">LN(D10036)</f>
        <v>0.832126207841396</v>
      </c>
    </row>
    <row r="10037" customFormat="false" ht="15.75" hidden="false" customHeight="false" outlineLevel="0" collapsed="false">
      <c r="A10037" s="1" t="s">
        <v>1192</v>
      </c>
      <c r="B10037" s="1" t="n">
        <v>181.8</v>
      </c>
      <c r="C10037" s="1" t="n">
        <f aca="false">1/B10037</f>
        <v>0.0055005500550055</v>
      </c>
      <c r="D10037" s="1" t="n">
        <v>2.2728</v>
      </c>
      <c r="E10037" s="1" t="n">
        <f aca="false">LN(D10037)</f>
        <v>0.821012551557841</v>
      </c>
    </row>
    <row r="10038" customFormat="false" ht="15.75" hidden="false" customHeight="false" outlineLevel="0" collapsed="false">
      <c r="A10038" s="1" t="s">
        <v>1192</v>
      </c>
      <c r="B10038" s="1" t="n">
        <v>182.17</v>
      </c>
      <c r="C10038" s="1" t="n">
        <f aca="false">1/B10038</f>
        <v>0.00548937805346654</v>
      </c>
      <c r="D10038" s="1" t="n">
        <v>2.2478</v>
      </c>
      <c r="E10038" s="1" t="n">
        <f aca="false">LN(D10038)</f>
        <v>0.809951960102029</v>
      </c>
    </row>
    <row r="10039" customFormat="false" ht="15.75" hidden="false" customHeight="false" outlineLevel="0" collapsed="false">
      <c r="A10039" s="1" t="s">
        <v>1192</v>
      </c>
      <c r="B10039" s="1" t="n">
        <v>182.54</v>
      </c>
      <c r="C10039" s="1" t="n">
        <f aca="false">1/B10039</f>
        <v>0.00547825134217158</v>
      </c>
      <c r="D10039" s="1" t="n">
        <v>2.2233</v>
      </c>
      <c r="E10039" s="1" t="n">
        <f aca="false">LN(D10039)</f>
        <v>0.798992578643286</v>
      </c>
    </row>
    <row r="10040" customFormat="false" ht="15.75" hidden="false" customHeight="false" outlineLevel="0" collapsed="false">
      <c r="A10040" s="1" t="s">
        <v>1192</v>
      </c>
      <c r="B10040" s="1" t="n">
        <v>182.91</v>
      </c>
      <c r="C10040" s="1" t="n">
        <f aca="false">1/B10040</f>
        <v>0.00546716964627412</v>
      </c>
      <c r="D10040" s="1" t="n">
        <v>2.1991</v>
      </c>
      <c r="E10040" s="1" t="n">
        <f aca="false">LN(D10040)</f>
        <v>0.788048185754665</v>
      </c>
    </row>
    <row r="10041" customFormat="false" ht="15.75" hidden="false" customHeight="false" outlineLevel="0" collapsed="false">
      <c r="A10041" s="1" t="s">
        <v>1192</v>
      </c>
      <c r="B10041" s="1" t="n">
        <v>183.27</v>
      </c>
      <c r="C10041" s="1" t="n">
        <f aca="false">1/B10041</f>
        <v>0.00545643040323021</v>
      </c>
      <c r="D10041" s="1" t="n">
        <v>2.1753</v>
      </c>
      <c r="E10041" s="1" t="n">
        <f aca="false">LN(D10041)</f>
        <v>0.77716658606352</v>
      </c>
    </row>
    <row r="10042" customFormat="false" ht="15.75" hidden="false" customHeight="false" outlineLevel="0" collapsed="false">
      <c r="A10042" s="1" t="s">
        <v>1192</v>
      </c>
      <c r="B10042" s="1" t="n">
        <v>183.64</v>
      </c>
      <c r="C10042" s="1" t="n">
        <f aca="false">1/B10042</f>
        <v>0.00544543672402527</v>
      </c>
      <c r="D10042" s="1" t="n">
        <v>2.1519</v>
      </c>
      <c r="E10042" s="1" t="n">
        <f aca="false">LN(D10042)</f>
        <v>0.766351172818361</v>
      </c>
    </row>
    <row r="10043" customFormat="false" ht="15.75" hidden="false" customHeight="false" outlineLevel="0" collapsed="false">
      <c r="A10043" s="1" t="s">
        <v>1192</v>
      </c>
      <c r="B10043" s="1" t="n">
        <v>184.01</v>
      </c>
      <c r="C10043" s="1" t="n">
        <f aca="false">1/B10043</f>
        <v>0.00543448725612739</v>
      </c>
      <c r="D10043" s="1" t="n">
        <v>2.1289</v>
      </c>
      <c r="E10043" s="1" t="n">
        <f aca="false">LN(D10043)</f>
        <v>0.755605414399555</v>
      </c>
    </row>
    <row r="10044" customFormat="false" ht="15.75" hidden="false" customHeight="false" outlineLevel="0" collapsed="false">
      <c r="A10044" s="1" t="s">
        <v>1192</v>
      </c>
      <c r="B10044" s="1" t="n">
        <v>184.38</v>
      </c>
      <c r="C10044" s="1" t="n">
        <f aca="false">1/B10044</f>
        <v>0.00542358173337672</v>
      </c>
      <c r="D10044" s="1" t="n">
        <v>2.1062</v>
      </c>
      <c r="E10044" s="1" t="n">
        <f aca="false">LN(D10044)</f>
        <v>0.74488537596436</v>
      </c>
    </row>
    <row r="10045" customFormat="false" ht="15.75" hidden="false" customHeight="false" outlineLevel="0" collapsed="false">
      <c r="A10045" s="1" t="s">
        <v>1192</v>
      </c>
      <c r="B10045" s="1" t="n">
        <v>184.74</v>
      </c>
      <c r="C10045" s="1" t="n">
        <f aca="false">1/B10045</f>
        <v>0.00541301288297066</v>
      </c>
      <c r="D10045" s="1" t="n">
        <v>2.0839</v>
      </c>
      <c r="E10045" s="1" t="n">
        <f aca="false">LN(D10045)</f>
        <v>0.734241138094907</v>
      </c>
    </row>
    <row r="10046" customFormat="false" ht="15.75" hidden="false" customHeight="false" outlineLevel="0" collapsed="false">
      <c r="A10046" s="1" t="s">
        <v>1192</v>
      </c>
      <c r="B10046" s="1" t="n">
        <v>185.11</v>
      </c>
      <c r="C10046" s="1" t="n">
        <f aca="false">1/B10046</f>
        <v>0.00540219329047593</v>
      </c>
      <c r="D10046" s="1" t="n">
        <v>2.062</v>
      </c>
      <c r="E10046" s="1" t="n">
        <f aca="false">LN(D10046)</f>
        <v>0.723676385594768</v>
      </c>
    </row>
    <row r="10047" customFormat="false" ht="15.75" hidden="false" customHeight="false" outlineLevel="0" collapsed="false">
      <c r="A10047" s="1" t="s">
        <v>1192</v>
      </c>
      <c r="B10047" s="1" t="n">
        <v>185.48</v>
      </c>
      <c r="C10047" s="1" t="n">
        <f aca="false">1/B10047</f>
        <v>0.00539141686435195</v>
      </c>
      <c r="D10047" s="1" t="n">
        <v>2.0403</v>
      </c>
      <c r="E10047" s="1" t="n">
        <f aca="false">LN(D10047)</f>
        <v>0.713096855867566</v>
      </c>
    </row>
    <row r="10048" customFormat="false" ht="15.75" hidden="false" customHeight="false" outlineLevel="0" collapsed="false">
      <c r="A10048" s="1" t="s">
        <v>1192</v>
      </c>
      <c r="B10048" s="1" t="n">
        <v>185.84</v>
      </c>
      <c r="C10048" s="1" t="n">
        <f aca="false">1/B10048</f>
        <v>0.00538097287989669</v>
      </c>
      <c r="D10048" s="1" t="n">
        <v>2.0191</v>
      </c>
      <c r="E10048" s="1" t="n">
        <f aca="false">LN(D10048)</f>
        <v>0.702651867574191</v>
      </c>
    </row>
    <row r="10049" customFormat="false" ht="15.75" hidden="false" customHeight="false" outlineLevel="0" collapsed="false">
      <c r="A10049" s="1" t="s">
        <v>1192</v>
      </c>
      <c r="B10049" s="1" t="n">
        <v>186.21</v>
      </c>
      <c r="C10049" s="1" t="n">
        <f aca="false">1/B10049</f>
        <v>0.00537028086568928</v>
      </c>
      <c r="D10049" s="1" t="n">
        <v>1.9981</v>
      </c>
      <c r="E10049" s="1" t="n">
        <f aca="false">LN(D10049)</f>
        <v>0.69219672902395</v>
      </c>
    </row>
    <row r="10050" customFormat="false" ht="15.75" hidden="false" customHeight="false" outlineLevel="0" collapsed="false">
      <c r="A10050" s="1" t="s">
        <v>1192</v>
      </c>
      <c r="B10050" s="1" t="n">
        <v>186.58</v>
      </c>
      <c r="C10050" s="1" t="n">
        <f aca="false">1/B10050</f>
        <v>0.00535963125736949</v>
      </c>
      <c r="D10050" s="1" t="n">
        <v>1.9775</v>
      </c>
      <c r="E10050" s="1" t="n">
        <f aca="false">LN(D10050)</f>
        <v>0.681833420659672</v>
      </c>
    </row>
    <row r="10051" customFormat="false" ht="15.75" hidden="false" customHeight="false" outlineLevel="0" collapsed="false">
      <c r="A10051" s="1" t="s">
        <v>1192</v>
      </c>
      <c r="B10051" s="1" t="n">
        <v>186.95</v>
      </c>
      <c r="C10051" s="1" t="n">
        <f aca="false">1/B10051</f>
        <v>0.00534902380315592</v>
      </c>
      <c r="D10051" s="1" t="n">
        <v>1.9572</v>
      </c>
      <c r="E10051" s="1" t="n">
        <f aca="false">LN(D10051)</f>
        <v>0.671514880432831</v>
      </c>
    </row>
    <row r="10052" customFormat="false" ht="15.75" hidden="false" customHeight="false" outlineLevel="0" collapsed="false">
      <c r="A10052" s="1" t="s">
        <v>1192</v>
      </c>
      <c r="B10052" s="1" t="n">
        <v>187.31</v>
      </c>
      <c r="C10052" s="1" t="n">
        <f aca="false">1/B10052</f>
        <v>0.00533874325983664</v>
      </c>
      <c r="D10052" s="1" t="n">
        <v>1.9372</v>
      </c>
      <c r="E10052" s="1" t="n">
        <f aca="false">LN(D10052)</f>
        <v>0.661243631546937</v>
      </c>
    </row>
    <row r="10053" customFormat="false" ht="15.75" hidden="false" customHeight="false" outlineLevel="0" collapsed="false">
      <c r="A10053" s="1" t="s">
        <v>1192</v>
      </c>
      <c r="B10053" s="1" t="n">
        <v>187.68</v>
      </c>
      <c r="C10053" s="1" t="n">
        <f aca="false">1/B10053</f>
        <v>0.00532821824381927</v>
      </c>
      <c r="D10053" s="1" t="n">
        <v>1.9175</v>
      </c>
      <c r="E10053" s="1" t="n">
        <f aca="false">LN(D10053)</f>
        <v>0.651022254259274</v>
      </c>
    </row>
    <row r="10054" customFormat="false" ht="15.75" hidden="false" customHeight="false" outlineLevel="0" collapsed="false">
      <c r="A10054" s="1" t="s">
        <v>1192</v>
      </c>
      <c r="B10054" s="1" t="n">
        <v>188.05</v>
      </c>
      <c r="C10054" s="1" t="n">
        <f aca="false">1/B10054</f>
        <v>0.00531773464504121</v>
      </c>
      <c r="D10054" s="1" t="n">
        <v>1.8981</v>
      </c>
      <c r="E10054" s="1" t="n">
        <f aca="false">LN(D10054)</f>
        <v>0.640853385838811</v>
      </c>
    </row>
    <row r="10055" customFormat="false" ht="15.75" hidden="false" customHeight="false" outlineLevel="0" collapsed="false">
      <c r="A10055" s="1" t="s">
        <v>1192</v>
      </c>
      <c r="B10055" s="1" t="n">
        <v>188.42</v>
      </c>
      <c r="C10055" s="1" t="n">
        <f aca="false">1/B10055</f>
        <v>0.00530729221950961</v>
      </c>
      <c r="D10055" s="1" t="n">
        <v>1.879</v>
      </c>
      <c r="E10055" s="1" t="n">
        <f aca="false">LN(D10055)</f>
        <v>0.630739720431328</v>
      </c>
    </row>
    <row r="10056" customFormat="false" ht="15.75" hidden="false" customHeight="false" outlineLevel="0" collapsed="false">
      <c r="A10056" s="1" t="s">
        <v>1192</v>
      </c>
      <c r="B10056" s="1" t="n">
        <v>188.78</v>
      </c>
      <c r="C10056" s="1" t="n">
        <f aca="false">1/B10056</f>
        <v>0.00529717131052018</v>
      </c>
      <c r="D10056" s="1" t="n">
        <v>1.8602</v>
      </c>
      <c r="E10056" s="1" t="n">
        <f aca="false">LN(D10056)</f>
        <v>0.62068400882623</v>
      </c>
    </row>
    <row r="10057" customFormat="false" ht="15.75" hidden="false" customHeight="false" outlineLevel="0" collapsed="false">
      <c r="A10057" s="1" t="s">
        <v>1192</v>
      </c>
      <c r="B10057" s="1" t="n">
        <v>189.15</v>
      </c>
      <c r="C10057" s="1" t="n">
        <f aca="false">1/B10057</f>
        <v>0.00528680941052075</v>
      </c>
      <c r="D10057" s="1" t="n">
        <v>1.8417</v>
      </c>
      <c r="E10057" s="1" t="n">
        <f aca="false">LN(D10057)</f>
        <v>0.610689058119423</v>
      </c>
    </row>
    <row r="10058" customFormat="false" ht="15.75" hidden="false" customHeight="false" outlineLevel="0" collapsed="false">
      <c r="A10058" s="1" t="s">
        <v>1192</v>
      </c>
      <c r="B10058" s="1" t="n">
        <v>189.52</v>
      </c>
      <c r="C10058" s="1" t="n">
        <f aca="false">1/B10058</f>
        <v>0.00527648796960743</v>
      </c>
      <c r="D10058" s="1" t="n">
        <v>1.8234</v>
      </c>
      <c r="E10058" s="1" t="n">
        <f aca="false">LN(D10058)</f>
        <v>0.600702890168665</v>
      </c>
    </row>
    <row r="10059" customFormat="false" ht="15.75" hidden="false" customHeight="false" outlineLevel="0" collapsed="false">
      <c r="A10059" s="1" t="s">
        <v>1192</v>
      </c>
      <c r="B10059" s="1" t="n">
        <v>189.89</v>
      </c>
      <c r="C10059" s="1" t="n">
        <f aca="false">1/B10059</f>
        <v>0.00526620675127706</v>
      </c>
      <c r="D10059" s="1" t="n">
        <v>1.8054</v>
      </c>
      <c r="E10059" s="1" t="n">
        <f aca="false">LN(D10059)</f>
        <v>0.590782173881917</v>
      </c>
    </row>
    <row r="10060" customFormat="false" ht="15.75" hidden="false" customHeight="false" outlineLevel="0" collapsed="false">
      <c r="A10060" s="1" t="s">
        <v>1192</v>
      </c>
      <c r="B10060" s="1" t="n">
        <v>190.25</v>
      </c>
      <c r="C10060" s="1" t="n">
        <f aca="false">1/B10060</f>
        <v>0.00525624178712221</v>
      </c>
      <c r="D10060" s="1" t="n">
        <v>1.7877</v>
      </c>
      <c r="E10060" s="1" t="n">
        <f aca="false">LN(D10060)</f>
        <v>0.580929877438906</v>
      </c>
    </row>
    <row r="10061" customFormat="false" ht="15.75" hidden="false" customHeight="false" outlineLevel="0" collapsed="false">
      <c r="A10061" s="1" t="s">
        <v>1192</v>
      </c>
      <c r="B10061" s="1" t="n">
        <v>190.62</v>
      </c>
      <c r="C10061" s="1" t="n">
        <f aca="false">1/B10061</f>
        <v>0.00524603924037352</v>
      </c>
      <c r="D10061" s="1" t="n">
        <v>1.7702</v>
      </c>
      <c r="E10061" s="1" t="n">
        <f aca="false">LN(D10061)</f>
        <v>0.571092534552639</v>
      </c>
    </row>
    <row r="10062" customFormat="false" ht="15.75" hidden="false" customHeight="false" outlineLevel="0" collapsed="false">
      <c r="A10062" s="1" t="s">
        <v>1192</v>
      </c>
      <c r="B10062" s="1" t="n">
        <v>190.99</v>
      </c>
      <c r="C10062" s="1" t="n">
        <f aca="false">1/B10062</f>
        <v>0.00523587622388607</v>
      </c>
      <c r="D10062" s="1" t="n">
        <v>1.753</v>
      </c>
      <c r="E10062" s="1" t="n">
        <f aca="false">LN(D10062)</f>
        <v>0.561328605939097</v>
      </c>
    </row>
    <row r="10063" customFormat="false" ht="15.75" hidden="false" customHeight="false" outlineLevel="0" collapsed="false">
      <c r="A10063" s="1" t="s">
        <v>1192</v>
      </c>
      <c r="B10063" s="1" t="n">
        <v>191.35</v>
      </c>
      <c r="C10063" s="1" t="n">
        <f aca="false">1/B10063</f>
        <v>0.00522602560752548</v>
      </c>
      <c r="D10063" s="1" t="n">
        <v>1.7361</v>
      </c>
      <c r="E10063" s="1" t="n">
        <f aca="false">LN(D10063)</f>
        <v>0.551641218265766</v>
      </c>
    </row>
    <row r="10064" customFormat="false" ht="15.75" hidden="false" customHeight="false" outlineLevel="0" collapsed="false">
      <c r="A10064" s="1" t="s">
        <v>1192</v>
      </c>
      <c r="B10064" s="1" t="n">
        <v>191.72</v>
      </c>
      <c r="C10064" s="1" t="n">
        <f aca="false">1/B10064</f>
        <v>0.00521593991237221</v>
      </c>
      <c r="D10064" s="1" t="n">
        <v>1.7194</v>
      </c>
      <c r="E10064" s="1" t="n">
        <f aca="false">LN(D10064)</f>
        <v>0.541975392758207</v>
      </c>
    </row>
    <row r="10065" customFormat="false" ht="15.75" hidden="false" customHeight="false" outlineLevel="0" collapsed="false">
      <c r="A10065" s="1" t="s">
        <v>1192</v>
      </c>
      <c r="B10065" s="1" t="n">
        <v>192.09</v>
      </c>
      <c r="C10065" s="1" t="n">
        <f aca="false">1/B10065</f>
        <v>0.00520589307095632</v>
      </c>
      <c r="D10065" s="1" t="n">
        <v>1.7029</v>
      </c>
      <c r="E10065" s="1" t="n">
        <f aca="false">LN(D10065)</f>
        <v>0.532332680050422</v>
      </c>
    </row>
    <row r="10066" customFormat="false" ht="15.75" hidden="false" customHeight="false" outlineLevel="0" collapsed="false">
      <c r="A10066" s="1" t="s">
        <v>1192</v>
      </c>
      <c r="B10066" s="1" t="n">
        <v>192.46</v>
      </c>
      <c r="C10066" s="1" t="n">
        <f aca="false">1/B10066</f>
        <v>0.00519588485919152</v>
      </c>
      <c r="D10066" s="1" t="n">
        <v>1.6867</v>
      </c>
      <c r="E10066" s="1" t="n">
        <f aca="false">LN(D10066)</f>
        <v>0.522773957281832</v>
      </c>
    </row>
    <row r="10067" customFormat="false" ht="15.75" hidden="false" customHeight="false" outlineLevel="0" collapsed="false">
      <c r="A10067" s="1" t="s">
        <v>1192</v>
      </c>
      <c r="B10067" s="1" t="n">
        <v>192.82</v>
      </c>
      <c r="C10067" s="1" t="n">
        <f aca="false">1/B10067</f>
        <v>0.00518618400580853</v>
      </c>
      <c r="D10067" s="1" t="n">
        <v>1.6707</v>
      </c>
      <c r="E10067" s="1" t="n">
        <f aca="false">LN(D10067)</f>
        <v>0.513242700281596</v>
      </c>
    </row>
    <row r="10068" customFormat="false" ht="15.75" hidden="false" customHeight="false" outlineLevel="0" collapsed="false">
      <c r="A10068" s="1" t="s">
        <v>1192</v>
      </c>
      <c r="B10068" s="1" t="n">
        <v>193.19</v>
      </c>
      <c r="C10068" s="1" t="n">
        <f aca="false">1/B10068</f>
        <v>0.00517625135876598</v>
      </c>
      <c r="D10068" s="1" t="n">
        <v>1.6549</v>
      </c>
      <c r="E10068" s="1" t="n">
        <f aca="false">LN(D10068)</f>
        <v>0.503740584042761</v>
      </c>
    </row>
    <row r="10069" customFormat="false" ht="15.75" hidden="false" customHeight="false" outlineLevel="0" collapsed="false">
      <c r="A10069" s="1" t="s">
        <v>1192</v>
      </c>
      <c r="B10069" s="1" t="n">
        <v>193.56</v>
      </c>
      <c r="C10069" s="1" t="n">
        <f aca="false">1/B10069</f>
        <v>0.00516635668526555</v>
      </c>
      <c r="D10069" s="1" t="n">
        <v>1.6393</v>
      </c>
      <c r="E10069" s="1" t="n">
        <f aca="false">LN(D10069)</f>
        <v>0.494269321450274</v>
      </c>
    </row>
    <row r="10070" customFormat="false" ht="15.75" hidden="false" customHeight="false" outlineLevel="0" collapsed="false">
      <c r="A10070" s="1" t="s">
        <v>1192</v>
      </c>
      <c r="B10070" s="1" t="n">
        <v>193.93</v>
      </c>
      <c r="C10070" s="1" t="n">
        <f aca="false">1/B10070</f>
        <v>0.00515649976795751</v>
      </c>
      <c r="D10070" s="1" t="n">
        <v>1.624</v>
      </c>
      <c r="E10070" s="1" t="n">
        <f aca="false">LN(D10070)</f>
        <v>0.484892241739486</v>
      </c>
    </row>
    <row r="10071" customFormat="false" ht="15.75" hidden="false" customHeight="false" outlineLevel="0" collapsed="false">
      <c r="A10071" s="1" t="s">
        <v>1192</v>
      </c>
      <c r="B10071" s="1" t="n">
        <v>194.29</v>
      </c>
      <c r="C10071" s="1" t="n">
        <f aca="false">1/B10071</f>
        <v>0.00514694528797159</v>
      </c>
      <c r="D10071" s="1" t="n">
        <v>1.6089</v>
      </c>
      <c r="E10071" s="1" t="n">
        <f aca="false">LN(D10071)</f>
        <v>0.475550715674852</v>
      </c>
    </row>
    <row r="10072" customFormat="false" ht="15.75" hidden="false" customHeight="false" outlineLevel="0" collapsed="false">
      <c r="A10072" s="1" t="s">
        <v>1192</v>
      </c>
      <c r="B10072" s="1" t="n">
        <v>194.66</v>
      </c>
      <c r="C10072" s="1" t="n">
        <f aca="false">1/B10072</f>
        <v>0.00513716223158327</v>
      </c>
      <c r="D10072" s="1" t="n">
        <v>1.594</v>
      </c>
      <c r="E10072" s="1" t="n">
        <f aca="false">LN(D10072)</f>
        <v>0.466246580368023</v>
      </c>
    </row>
    <row r="10073" customFormat="false" ht="15.75" hidden="false" customHeight="false" outlineLevel="0" collapsed="false">
      <c r="A10073" s="1" t="s">
        <v>1192</v>
      </c>
      <c r="B10073" s="1" t="n">
        <v>195.03</v>
      </c>
      <c r="C10073" s="1" t="n">
        <f aca="false">1/B10073</f>
        <v>0.00512741629492898</v>
      </c>
      <c r="D10073" s="1" t="n">
        <v>1.5793</v>
      </c>
      <c r="E10073" s="1" t="n">
        <f aca="false">LN(D10073)</f>
        <v>0.456981710893872</v>
      </c>
    </row>
    <row r="10074" customFormat="false" ht="15.75" hidden="false" customHeight="false" outlineLevel="0" collapsed="false">
      <c r="A10074" s="1" t="s">
        <v>1192</v>
      </c>
      <c r="B10074" s="1" t="n">
        <v>195.4</v>
      </c>
      <c r="C10074" s="1" t="n">
        <f aca="false">1/B10074</f>
        <v>0.00511770726714432</v>
      </c>
      <c r="D10074" s="1" t="n">
        <v>1.5648</v>
      </c>
      <c r="E10074" s="1" t="n">
        <f aca="false">LN(D10074)</f>
        <v>0.447758020298416</v>
      </c>
    </row>
    <row r="10075" customFormat="false" ht="15.75" hidden="false" customHeight="false" outlineLevel="0" collapsed="false">
      <c r="A10075" s="1" t="s">
        <v>1192</v>
      </c>
      <c r="B10075" s="1" t="n">
        <v>195.76</v>
      </c>
      <c r="C10075" s="1" t="n">
        <f aca="false">1/B10075</f>
        <v>0.00510829587249694</v>
      </c>
      <c r="D10075" s="1" t="n">
        <v>1.5505</v>
      </c>
      <c r="E10075" s="1" t="n">
        <f aca="false">LN(D10075)</f>
        <v>0.438577459558367</v>
      </c>
    </row>
    <row r="10076" customFormat="false" ht="15.75" hidden="false" customHeight="false" outlineLevel="0" collapsed="false">
      <c r="A10076" s="1" t="s">
        <v>1192</v>
      </c>
      <c r="B10076" s="1" t="n">
        <v>196.13</v>
      </c>
      <c r="C10076" s="1" t="n">
        <f aca="false">1/B10076</f>
        <v>0.00509865905266915</v>
      </c>
      <c r="D10076" s="1" t="n">
        <v>1.5364</v>
      </c>
      <c r="E10076" s="1" t="n">
        <f aca="false">LN(D10076)</f>
        <v>0.429442017489613</v>
      </c>
    </row>
    <row r="10077" customFormat="false" ht="15.75" hidden="false" customHeight="false" outlineLevel="0" collapsed="false">
      <c r="A10077" s="1" t="s">
        <v>1192</v>
      </c>
      <c r="B10077" s="1" t="n">
        <v>196.5</v>
      </c>
      <c r="C10077" s="1" t="n">
        <f aca="false">1/B10077</f>
        <v>0.00508905852417303</v>
      </c>
      <c r="D10077" s="1" t="n">
        <v>1.5225</v>
      </c>
      <c r="E10077" s="1" t="n">
        <f aca="false">LN(D10077)</f>
        <v>0.420353720601915</v>
      </c>
    </row>
    <row r="10078" customFormat="false" ht="15.75" hidden="false" customHeight="false" outlineLevel="0" collapsed="false">
      <c r="A10078" s="1" t="s">
        <v>1192</v>
      </c>
      <c r="B10078" s="1" t="n">
        <v>196.86</v>
      </c>
      <c r="C10078" s="1" t="n">
        <f aca="false">1/B10078</f>
        <v>0.00507975210809713</v>
      </c>
      <c r="D10078" s="1" t="n">
        <v>1.5087</v>
      </c>
      <c r="E10078" s="1" t="n">
        <f aca="false">LN(D10078)</f>
        <v>0.411248352863892</v>
      </c>
    </row>
    <row r="10079" customFormat="false" ht="15.75" hidden="false" customHeight="false" outlineLevel="0" collapsed="false">
      <c r="A10079" s="1" t="s">
        <v>1192</v>
      </c>
      <c r="B10079" s="1" t="n">
        <v>197.23</v>
      </c>
      <c r="C10079" s="1" t="n">
        <f aca="false">1/B10079</f>
        <v>0.00507022258277138</v>
      </c>
      <c r="D10079" s="1" t="n">
        <v>1.4952</v>
      </c>
      <c r="E10079" s="1" t="n">
        <f aca="false">LN(D10079)</f>
        <v>0.402259977159216</v>
      </c>
    </row>
    <row r="10080" customFormat="false" ht="15.75" hidden="false" customHeight="false" outlineLevel="0" collapsed="false">
      <c r="A10080" s="1" t="s">
        <v>1192</v>
      </c>
      <c r="B10080" s="1" t="n">
        <v>197.6</v>
      </c>
      <c r="C10080" s="1" t="n">
        <f aca="false">1/B10080</f>
        <v>0.00506072874493927</v>
      </c>
      <c r="D10080" s="1" t="n">
        <v>1.4819</v>
      </c>
      <c r="E10080" s="1" t="n">
        <f aca="false">LN(D10080)</f>
        <v>0.393325048213996</v>
      </c>
    </row>
    <row r="10081" customFormat="false" ht="15.75" hidden="false" customHeight="false" outlineLevel="0" collapsed="false">
      <c r="A10081" s="1" t="s">
        <v>1192</v>
      </c>
      <c r="B10081" s="1" t="n">
        <v>197.97</v>
      </c>
      <c r="C10081" s="1" t="n">
        <f aca="false">1/B10081</f>
        <v>0.00505127039450422</v>
      </c>
      <c r="D10081" s="1" t="n">
        <v>1.4687</v>
      </c>
      <c r="E10081" s="1" t="n">
        <f aca="false">LN(D10081)</f>
        <v>0.38437765577768</v>
      </c>
    </row>
    <row r="10082" customFormat="false" ht="15.75" hidden="false" customHeight="false" outlineLevel="0" collapsed="false">
      <c r="A10082" s="1" t="s">
        <v>1192</v>
      </c>
      <c r="B10082" s="1" t="n">
        <v>198.33</v>
      </c>
      <c r="C10082" s="1" t="n">
        <f aca="false">1/B10082</f>
        <v>0.00504210154792518</v>
      </c>
      <c r="D10082" s="1" t="n">
        <v>1.4557</v>
      </c>
      <c r="E10082" s="1" t="n">
        <f aca="false">LN(D10082)</f>
        <v>0.375486884588478</v>
      </c>
    </row>
    <row r="10083" customFormat="false" ht="15.75" hidden="false" customHeight="false" outlineLevel="0" collapsed="false">
      <c r="A10083" s="1" t="s">
        <v>1192</v>
      </c>
      <c r="B10083" s="1" t="n">
        <v>198.7</v>
      </c>
      <c r="C10083" s="1" t="n">
        <f aca="false">1/B10083</f>
        <v>0.00503271263210871</v>
      </c>
      <c r="D10083" s="1" t="n">
        <v>1.4429</v>
      </c>
      <c r="E10083" s="1" t="n">
        <f aca="false">LN(D10083)</f>
        <v>0.366654977321073</v>
      </c>
    </row>
    <row r="10084" customFormat="false" ht="15.75" hidden="false" customHeight="false" outlineLevel="0" collapsed="false">
      <c r="A10084" s="1" t="s">
        <v>1192</v>
      </c>
      <c r="B10084" s="1" t="n">
        <v>199.07</v>
      </c>
      <c r="C10084" s="1" t="n">
        <f aca="false">1/B10084</f>
        <v>0.00502335861757171</v>
      </c>
      <c r="D10084" s="1" t="n">
        <v>1.4302</v>
      </c>
      <c r="E10084" s="1" t="n">
        <f aca="false">LN(D10084)</f>
        <v>0.357814294632158</v>
      </c>
    </row>
    <row r="10085" customFormat="false" ht="15.75" hidden="false" customHeight="false" outlineLevel="0" collapsed="false">
      <c r="A10085" s="1" t="s">
        <v>1192</v>
      </c>
      <c r="B10085" s="1" t="n">
        <v>199.44</v>
      </c>
      <c r="C10085" s="1" t="n">
        <f aca="false">1/B10085</f>
        <v>0.00501403931006819</v>
      </c>
      <c r="D10085" s="1" t="n">
        <v>1.4177</v>
      </c>
      <c r="E10085" s="1" t="n">
        <f aca="false">LN(D10085)</f>
        <v>0.349035840141449</v>
      </c>
    </row>
    <row r="10086" customFormat="false" ht="15.75" hidden="false" customHeight="false" outlineLevel="0" collapsed="false">
      <c r="A10086" s="1" t="s">
        <v>1192</v>
      </c>
      <c r="B10086" s="1" t="n">
        <v>199.8</v>
      </c>
      <c r="C10086" s="1" t="n">
        <f aca="false">1/B10086</f>
        <v>0.00500500500500501</v>
      </c>
      <c r="D10086" s="1" t="n">
        <v>1.4054</v>
      </c>
      <c r="E10086" s="1" t="n">
        <f aca="false">LN(D10086)</f>
        <v>0.34032195977596</v>
      </c>
    </row>
    <row r="10087" customFormat="false" ht="15.75" hidden="false" customHeight="false" outlineLevel="0" collapsed="false">
      <c r="A10087" s="1" t="s">
        <v>1192</v>
      </c>
      <c r="B10087" s="1" t="n">
        <v>200.17</v>
      </c>
      <c r="C10087" s="1" t="n">
        <f aca="false">1/B10087</f>
        <v>0.00499575360943198</v>
      </c>
      <c r="D10087" s="1" t="n">
        <v>1.3933</v>
      </c>
      <c r="E10087" s="1" t="n">
        <f aca="false">LN(D10087)</f>
        <v>0.331675034137409</v>
      </c>
    </row>
    <row r="10088" customFormat="false" ht="15.75" hidden="false" customHeight="false" outlineLevel="0" collapsed="false">
      <c r="A10088" s="1" t="s">
        <v>1192</v>
      </c>
      <c r="B10088" s="1" t="n">
        <v>200.54</v>
      </c>
      <c r="C10088" s="1" t="n">
        <f aca="false">1/B10088</f>
        <v>0.00498653635185001</v>
      </c>
      <c r="D10088" s="1" t="n">
        <v>1.3813</v>
      </c>
      <c r="E10088" s="1" t="n">
        <f aca="false">LN(D10088)</f>
        <v>0.323025084723777</v>
      </c>
    </row>
    <row r="10089" customFormat="false" ht="15.75" hidden="false" customHeight="false" outlineLevel="0" collapsed="false">
      <c r="A10089" s="1" t="s">
        <v>1192</v>
      </c>
      <c r="B10089" s="1" t="n">
        <v>200.91</v>
      </c>
      <c r="C10089" s="1" t="n">
        <f aca="false">1/B10089</f>
        <v>0.00497735304365139</v>
      </c>
      <c r="D10089" s="1" t="n">
        <v>1.3694</v>
      </c>
      <c r="E10089" s="1" t="n">
        <f aca="false">LN(D10089)</f>
        <v>0.314372687704825</v>
      </c>
    </row>
    <row r="10090" customFormat="false" ht="15.75" hidden="false" customHeight="false" outlineLevel="0" collapsed="false">
      <c r="A10090" s="1" t="s">
        <v>1192</v>
      </c>
      <c r="B10090" s="1" t="n">
        <v>201.27</v>
      </c>
      <c r="C10090" s="1" t="n">
        <f aca="false">1/B10090</f>
        <v>0.00496845034033885</v>
      </c>
      <c r="D10090" s="1" t="n">
        <v>1.3577</v>
      </c>
      <c r="E10090" s="1" t="n">
        <f aca="false">LN(D10090)</f>
        <v>0.305792091624098</v>
      </c>
    </row>
    <row r="10091" customFormat="false" ht="15.75" hidden="false" customHeight="false" outlineLevel="0" collapsed="false">
      <c r="A10091" s="1" t="s">
        <v>1192</v>
      </c>
      <c r="B10091" s="1" t="n">
        <v>201.64</v>
      </c>
      <c r="C10091" s="1" t="n">
        <f aca="false">1/B10091</f>
        <v>0.00495933346558223</v>
      </c>
      <c r="D10091" s="1" t="n">
        <v>1.3462</v>
      </c>
      <c r="E10091" s="1" t="n">
        <f aca="false">LN(D10091)</f>
        <v>0.297285808594476</v>
      </c>
    </row>
    <row r="10092" customFormat="false" ht="15.75" hidden="false" customHeight="false" outlineLevel="0" collapsed="false">
      <c r="A10092" s="1" t="s">
        <v>1192</v>
      </c>
      <c r="B10092" s="1" t="n">
        <v>202.01</v>
      </c>
      <c r="C10092" s="1" t="n">
        <f aca="false">1/B10092</f>
        <v>0.00495024998762437</v>
      </c>
      <c r="D10092" s="1" t="n">
        <v>1.3348</v>
      </c>
      <c r="E10092" s="1" t="n">
        <f aca="false">LN(D10092)</f>
        <v>0.288781467895082</v>
      </c>
    </row>
    <row r="10093" customFormat="false" ht="15.75" hidden="false" customHeight="false" outlineLevel="0" collapsed="false">
      <c r="A10093" s="1" t="s">
        <v>1192</v>
      </c>
      <c r="B10093" s="1" t="n">
        <v>202.37</v>
      </c>
      <c r="C10093" s="1" t="n">
        <f aca="false">1/B10093</f>
        <v>0.00494144388990463</v>
      </c>
      <c r="D10093" s="1" t="n">
        <v>1.3235</v>
      </c>
      <c r="E10093" s="1" t="n">
        <f aca="false">LN(D10093)</f>
        <v>0.280279742685019</v>
      </c>
    </row>
    <row r="10094" customFormat="false" ht="15.75" hidden="false" customHeight="false" outlineLevel="0" collapsed="false">
      <c r="A10094" s="1" t="s">
        <v>1192</v>
      </c>
      <c r="B10094" s="1" t="n">
        <v>202.74</v>
      </c>
      <c r="C10094" s="1" t="n">
        <f aca="false">1/B10094</f>
        <v>0.00493242576699221</v>
      </c>
      <c r="D10094" s="1" t="n">
        <v>1.3124</v>
      </c>
      <c r="E10094" s="1" t="n">
        <f aca="false">LN(D10094)</f>
        <v>0.271857522104809</v>
      </c>
    </row>
    <row r="10095" customFormat="false" ht="15.75" hidden="false" customHeight="false" outlineLevel="0" collapsed="false">
      <c r="A10095" s="1" t="s">
        <v>1192</v>
      </c>
      <c r="B10095" s="1" t="n">
        <v>203.11</v>
      </c>
      <c r="C10095" s="1" t="n">
        <f aca="false">1/B10095</f>
        <v>0.00492344050022155</v>
      </c>
      <c r="D10095" s="1" t="n">
        <v>1.3015</v>
      </c>
      <c r="E10095" s="1" t="n">
        <f aca="false">LN(D10095)</f>
        <v>0.263517445452483</v>
      </c>
    </row>
    <row r="10096" customFormat="false" ht="15.75" hidden="false" customHeight="false" outlineLevel="0" collapsed="false">
      <c r="A10096" s="1" t="s">
        <v>1192</v>
      </c>
      <c r="B10096" s="1" t="n">
        <v>203.48</v>
      </c>
      <c r="C10096" s="1" t="n">
        <f aca="false">1/B10096</f>
        <v>0.00491448791035974</v>
      </c>
      <c r="D10096" s="1" t="n">
        <v>1.2906</v>
      </c>
      <c r="E10096" s="1" t="n">
        <f aca="false">LN(D10096)</f>
        <v>0.255107226519602</v>
      </c>
    </row>
    <row r="10097" customFormat="false" ht="15.75" hidden="false" customHeight="false" outlineLevel="0" collapsed="false">
      <c r="A10097" s="1" t="s">
        <v>1192</v>
      </c>
      <c r="B10097" s="1" t="n">
        <v>203.84</v>
      </c>
      <c r="C10097" s="1" t="n">
        <f aca="false">1/B10097</f>
        <v>0.00490580847723705</v>
      </c>
      <c r="D10097" s="1" t="n">
        <v>1.2799</v>
      </c>
      <c r="E10097" s="1" t="n">
        <f aca="false">LN(D10097)</f>
        <v>0.246781949879609</v>
      </c>
    </row>
    <row r="10098" customFormat="false" ht="15.75" hidden="false" customHeight="false" outlineLevel="0" collapsed="false">
      <c r="A10098" s="1" t="s">
        <v>1192</v>
      </c>
      <c r="B10098" s="1" t="n">
        <v>204.21</v>
      </c>
      <c r="C10098" s="1" t="n">
        <f aca="false">1/B10098</f>
        <v>0.00489691983742226</v>
      </c>
      <c r="D10098" s="1" t="n">
        <v>1.2694</v>
      </c>
      <c r="E10098" s="1" t="n">
        <f aca="false">LN(D10098)</f>
        <v>0.238544347890233</v>
      </c>
    </row>
    <row r="10099" customFormat="false" ht="15.75" hidden="false" customHeight="false" outlineLevel="0" collapsed="false">
      <c r="A10099" s="1" t="s">
        <v>1192</v>
      </c>
      <c r="B10099" s="1" t="n">
        <v>204.58</v>
      </c>
      <c r="C10099" s="1" t="n">
        <f aca="false">1/B10099</f>
        <v>0.00488806334930101</v>
      </c>
      <c r="D10099" s="1" t="n">
        <v>1.2589</v>
      </c>
      <c r="E10099" s="1" t="n">
        <f aca="false">LN(D10099)</f>
        <v>0.230238323790076</v>
      </c>
    </row>
    <row r="10100" customFormat="false" ht="15.75" hidden="false" customHeight="false" outlineLevel="0" collapsed="false">
      <c r="A10100" s="1" t="s">
        <v>1192</v>
      </c>
      <c r="B10100" s="1" t="n">
        <v>204.95</v>
      </c>
      <c r="C10100" s="1" t="n">
        <f aca="false">1/B10100</f>
        <v>0.00487923883874116</v>
      </c>
      <c r="D10100" s="1" t="n">
        <v>1.2486</v>
      </c>
      <c r="E10100" s="1" t="n">
        <f aca="false">LN(D10100)</f>
        <v>0.222022923645507</v>
      </c>
    </row>
    <row r="10101" customFormat="false" ht="15.75" hidden="false" customHeight="false" outlineLevel="0" collapsed="false">
      <c r="A10101" s="1" t="s">
        <v>1192</v>
      </c>
      <c r="B10101" s="1" t="n">
        <v>205.31</v>
      </c>
      <c r="C10101" s="1" t="n">
        <f aca="false">1/B10101</f>
        <v>0.00487068335687497</v>
      </c>
      <c r="D10101" s="1" t="n">
        <v>1.2385</v>
      </c>
      <c r="E10101" s="1" t="n">
        <f aca="false">LN(D10101)</f>
        <v>0.213900969947277</v>
      </c>
    </row>
    <row r="10102" customFormat="false" ht="15.75" hidden="false" customHeight="false" outlineLevel="0" collapsed="false">
      <c r="A10102" s="1" t="s">
        <v>1192</v>
      </c>
      <c r="B10102" s="1" t="n">
        <v>205.68</v>
      </c>
      <c r="C10102" s="1" t="n">
        <f aca="false">1/B10102</f>
        <v>0.00486192143134967</v>
      </c>
      <c r="D10102" s="1" t="n">
        <v>1.2284</v>
      </c>
      <c r="E10102" s="1" t="n">
        <f aca="false">LN(D10102)</f>
        <v>0.20571250958453</v>
      </c>
    </row>
    <row r="10103" customFormat="false" ht="15.75" hidden="false" customHeight="false" outlineLevel="0" collapsed="false">
      <c r="A10103" s="1" t="s">
        <v>1192</v>
      </c>
      <c r="B10103" s="1" t="n">
        <v>206.05</v>
      </c>
      <c r="C10103" s="1" t="n">
        <f aca="false">1/B10103</f>
        <v>0.00485319097306479</v>
      </c>
      <c r="D10103" s="1" t="n">
        <v>1.2185</v>
      </c>
      <c r="E10103" s="1" t="n">
        <f aca="false">LN(D10103)</f>
        <v>0.197620594083124</v>
      </c>
    </row>
    <row r="10104" customFormat="false" ht="15.75" hidden="false" customHeight="false" outlineLevel="0" collapsed="false">
      <c r="A10104" s="1" t="s">
        <v>1192</v>
      </c>
      <c r="B10104" s="1" t="n">
        <v>206.42</v>
      </c>
      <c r="C10104" s="1" t="n">
        <f aca="false">1/B10104</f>
        <v>0.00484449181280884</v>
      </c>
      <c r="D10104" s="1" t="n">
        <v>1.2087</v>
      </c>
      <c r="E10104" s="1" t="n">
        <f aca="false">LN(D10104)</f>
        <v>0.189545401883274</v>
      </c>
    </row>
    <row r="10105" customFormat="false" ht="15.75" hidden="false" customHeight="false" outlineLevel="0" collapsed="false">
      <c r="A10105" s="1" t="s">
        <v>1192</v>
      </c>
      <c r="B10105" s="1" t="n">
        <v>206.78</v>
      </c>
      <c r="C10105" s="1" t="n">
        <f aca="false">1/B10105</f>
        <v>0.00483605764580714</v>
      </c>
      <c r="D10105" s="1" t="n">
        <v>1.199</v>
      </c>
      <c r="E10105" s="1" t="n">
        <f aca="false">LN(D10105)</f>
        <v>0.181487876045377</v>
      </c>
    </row>
    <row r="10106" customFormat="false" ht="15.75" hidden="false" customHeight="false" outlineLevel="0" collapsed="false">
      <c r="A10106" s="1" t="s">
        <v>1192</v>
      </c>
      <c r="B10106" s="1" t="n">
        <v>207.15</v>
      </c>
      <c r="C10106" s="1" t="n">
        <f aca="false">1/B10106</f>
        <v>0.00482741974414675</v>
      </c>
      <c r="D10106" s="1" t="n">
        <v>1.1894</v>
      </c>
      <c r="E10106" s="1" t="n">
        <f aca="false">LN(D10106)</f>
        <v>0.173448978290356</v>
      </c>
    </row>
    <row r="10107" customFormat="false" ht="15.75" hidden="false" customHeight="false" outlineLevel="0" collapsed="false">
      <c r="A10107" s="1" t="s">
        <v>1192</v>
      </c>
      <c r="B10107" s="1" t="n">
        <v>207.52</v>
      </c>
      <c r="C10107" s="1" t="n">
        <f aca="false">1/B10107</f>
        <v>0.00481881264456438</v>
      </c>
      <c r="D10107" s="1" t="n">
        <v>1.18</v>
      </c>
      <c r="E10107" s="1" t="n">
        <f aca="false">LN(D10107)</f>
        <v>0.165514438477573</v>
      </c>
    </row>
    <row r="10108" customFormat="false" ht="15.75" hidden="false" customHeight="false" outlineLevel="0" collapsed="false">
      <c r="A10108" s="1" t="s">
        <v>1192</v>
      </c>
      <c r="B10108" s="1" t="n">
        <v>207.88</v>
      </c>
      <c r="C10108" s="1" t="n">
        <f aca="false">1/B10108</f>
        <v>0.00481046757744853</v>
      </c>
      <c r="D10108" s="1" t="n">
        <v>1.1706</v>
      </c>
      <c r="E10108" s="1" t="n">
        <f aca="false">LN(D10108)</f>
        <v>0.157516437874984</v>
      </c>
    </row>
    <row r="10109" customFormat="false" ht="15.75" hidden="false" customHeight="false" outlineLevel="0" collapsed="false">
      <c r="A10109" s="1" t="s">
        <v>1192</v>
      </c>
      <c r="B10109" s="1" t="n">
        <v>208.25</v>
      </c>
      <c r="C10109" s="1" t="n">
        <f aca="false">1/B10109</f>
        <v>0.00480192076830732</v>
      </c>
      <c r="D10109" s="1" t="n">
        <v>1.1614</v>
      </c>
      <c r="E10109" s="1" t="n">
        <f aca="false">LN(D10109)</f>
        <v>0.149626173955812</v>
      </c>
    </row>
    <row r="10110" customFormat="false" ht="15.75" hidden="false" customHeight="false" outlineLevel="0" collapsed="false">
      <c r="A10110" s="1" t="s">
        <v>1192</v>
      </c>
      <c r="B10110" s="1" t="n">
        <v>208.62</v>
      </c>
      <c r="C10110" s="1" t="n">
        <f aca="false">1/B10110</f>
        <v>0.00479340427571661</v>
      </c>
      <c r="D10110" s="1" t="n">
        <v>1.1523</v>
      </c>
      <c r="E10110" s="1" t="n">
        <f aca="false">LN(D10110)</f>
        <v>0.141759945037832</v>
      </c>
    </row>
    <row r="10111" customFormat="false" ht="15.75" hidden="false" customHeight="false" outlineLevel="0" collapsed="false">
      <c r="A10111" s="1" t="s">
        <v>1192</v>
      </c>
      <c r="B10111" s="1" t="n">
        <v>208.99</v>
      </c>
      <c r="C10111" s="1" t="n">
        <f aca="false">1/B10111</f>
        <v>0.00478491793865735</v>
      </c>
      <c r="D10111" s="1" t="n">
        <v>1.1433</v>
      </c>
      <c r="E10111" s="1" t="n">
        <f aca="false">LN(D10111)</f>
        <v>0.133918817565787</v>
      </c>
    </row>
    <row r="10112" customFormat="false" ht="15.75" hidden="false" customHeight="false" outlineLevel="0" collapsed="false">
      <c r="A10112" s="1" t="s">
        <v>1192</v>
      </c>
      <c r="B10112" s="1" t="n">
        <v>209.35</v>
      </c>
      <c r="C10112" s="1" t="n">
        <f aca="false">1/B10112</f>
        <v>0.00477668975400048</v>
      </c>
      <c r="D10112" s="1" t="n">
        <v>1.1344</v>
      </c>
      <c r="E10112" s="1" t="n">
        <f aca="false">LN(D10112)</f>
        <v>0.126103876795726</v>
      </c>
    </row>
    <row r="10113" customFormat="false" ht="15.75" hidden="false" customHeight="false" outlineLevel="0" collapsed="false">
      <c r="A10113" s="1" t="s">
        <v>1192</v>
      </c>
      <c r="B10113" s="1" t="n">
        <v>209.72</v>
      </c>
      <c r="C10113" s="1" t="n">
        <f aca="false">1/B10113</f>
        <v>0.00476826244516498</v>
      </c>
      <c r="D10113" s="1" t="n">
        <v>1.1256</v>
      </c>
      <c r="E10113" s="1" t="n">
        <f aca="false">LN(D10113)</f>
        <v>0.118316226818042</v>
      </c>
    </row>
    <row r="10114" customFormat="false" ht="15.75" hidden="false" customHeight="false" outlineLevel="0" collapsed="false">
      <c r="A10114" s="1" t="s">
        <v>1192</v>
      </c>
      <c r="B10114" s="1" t="n">
        <v>210.09</v>
      </c>
      <c r="C10114" s="1" t="n">
        <f aca="false">1/B10114</f>
        <v>0.00475986481983912</v>
      </c>
      <c r="D10114" s="1" t="n">
        <v>1.1169</v>
      </c>
      <c r="E10114" s="1" t="n">
        <f aca="false">LN(D10114)</f>
        <v>0.110556990564644</v>
      </c>
    </row>
    <row r="10115" customFormat="false" ht="15.75" hidden="false" customHeight="false" outlineLevel="0" collapsed="false">
      <c r="A10115" s="1" t="s">
        <v>1192</v>
      </c>
      <c r="B10115" s="1" t="n">
        <v>210.46</v>
      </c>
      <c r="C10115" s="1" t="n">
        <f aca="false">1/B10115</f>
        <v>0.00475149672146726</v>
      </c>
      <c r="D10115" s="1" t="n">
        <v>1.1083</v>
      </c>
      <c r="E10115" s="1" t="n">
        <f aca="false">LN(D10115)</f>
        <v>0.10282730979947</v>
      </c>
    </row>
    <row r="10116" customFormat="false" ht="15.75" hidden="false" customHeight="false" outlineLevel="0" collapsed="false">
      <c r="A10116" s="1" t="s">
        <v>1192</v>
      </c>
      <c r="B10116" s="1" t="n">
        <v>210.82</v>
      </c>
      <c r="C10116" s="1" t="n">
        <f aca="false">1/B10116</f>
        <v>0.00474338298074187</v>
      </c>
      <c r="D10116" s="1" t="n">
        <v>1.0998</v>
      </c>
      <c r="E10116" s="1" t="n">
        <f aca="false">LN(D10116)</f>
        <v>0.0951283450915774</v>
      </c>
    </row>
    <row r="10117" customFormat="false" ht="15.75" hidden="false" customHeight="false" outlineLevel="0" collapsed="false">
      <c r="A10117" s="1" t="s">
        <v>1192</v>
      </c>
      <c r="B10117" s="1" t="n">
        <v>211.19</v>
      </c>
      <c r="C10117" s="1" t="n">
        <f aca="false">1/B10117</f>
        <v>0.00473507268336569</v>
      </c>
      <c r="D10117" s="1" t="n">
        <v>1.0914</v>
      </c>
      <c r="E10117" s="1" t="n">
        <f aca="false">LN(D10117)</f>
        <v>0.0874612757699945</v>
      </c>
    </row>
    <row r="10118" customFormat="false" ht="15.75" hidden="false" customHeight="false" outlineLevel="0" collapsed="false">
      <c r="A10118" s="1" t="s">
        <v>1192</v>
      </c>
      <c r="B10118" s="1" t="n">
        <v>211.56</v>
      </c>
      <c r="C10118" s="1" t="n">
        <f aca="false">1/B10118</f>
        <v>0.00472679145396105</v>
      </c>
      <c r="D10118" s="1" t="n">
        <v>1.083</v>
      </c>
      <c r="E10118" s="1" t="n">
        <f aca="false">LN(D10118)</f>
        <v>0.0797349680188535</v>
      </c>
    </row>
    <row r="10119" customFormat="false" ht="15.75" hidden="false" customHeight="false" outlineLevel="0" collapsed="false">
      <c r="A10119" s="1" t="s">
        <v>1192</v>
      </c>
      <c r="B10119" s="1" t="n">
        <v>211.93</v>
      </c>
      <c r="C10119" s="1" t="n">
        <f aca="false">1/B10119</f>
        <v>0.00471853914028217</v>
      </c>
      <c r="D10119" s="1" t="n">
        <v>1.0748</v>
      </c>
      <c r="E10119" s="1" t="n">
        <f aca="false">LN(D10119)</f>
        <v>0.0721345977591991</v>
      </c>
    </row>
    <row r="10120" customFormat="false" ht="15.75" hidden="false" customHeight="false" outlineLevel="0" collapsed="false">
      <c r="A10120" s="1" t="s">
        <v>1192</v>
      </c>
      <c r="B10120" s="1" t="n">
        <v>212.29</v>
      </c>
      <c r="C10120" s="1" t="n">
        <f aca="false">1/B10120</f>
        <v>0.00471053747232559</v>
      </c>
      <c r="D10120" s="1" t="n">
        <v>1.0667</v>
      </c>
      <c r="E10120" s="1" t="n">
        <f aca="false">LN(D10120)</f>
        <v>0.0645697706493001</v>
      </c>
    </row>
    <row r="10121" customFormat="false" ht="15.75" hidden="false" customHeight="false" outlineLevel="0" collapsed="false">
      <c r="A10121" s="1" t="s">
        <v>1192</v>
      </c>
      <c r="B10121" s="1" t="n">
        <v>212.66</v>
      </c>
      <c r="C10121" s="1" t="n">
        <f aca="false">1/B10121</f>
        <v>0.00470234176619957</v>
      </c>
      <c r="D10121" s="1" t="n">
        <v>1.0587</v>
      </c>
      <c r="E10121" s="1" t="n">
        <f aca="false">LN(D10121)</f>
        <v>0.057041740367197</v>
      </c>
    </row>
    <row r="10122" customFormat="false" ht="15.75" hidden="false" customHeight="false" outlineLevel="0" collapsed="false">
      <c r="A10122" s="1" t="s">
        <v>1192</v>
      </c>
      <c r="B10122" s="1" t="n">
        <v>213.03</v>
      </c>
      <c r="C10122" s="1" t="n">
        <f aca="false">1/B10122</f>
        <v>0.004694174529409</v>
      </c>
      <c r="D10122" s="1" t="n">
        <v>1.0508</v>
      </c>
      <c r="E10122" s="1" t="n">
        <f aca="false">LN(D10122)</f>
        <v>0.0495517788292477</v>
      </c>
    </row>
    <row r="10123" customFormat="false" ht="15.75" hidden="false" customHeight="false" outlineLevel="0" collapsed="false">
      <c r="A10123" s="1" t="s">
        <v>1192</v>
      </c>
      <c r="B10123" s="1" t="n">
        <v>213.39</v>
      </c>
      <c r="C10123" s="1" t="n">
        <f aca="false">1/B10123</f>
        <v>0.00468625521345893</v>
      </c>
      <c r="D10123" s="1" t="n">
        <v>1.0429</v>
      </c>
      <c r="E10123" s="1" t="n">
        <f aca="false">LN(D10123)</f>
        <v>0.0420052941450301</v>
      </c>
    </row>
    <row r="10124" customFormat="false" ht="15.75" hidden="false" customHeight="false" outlineLevel="0" collapsed="false">
      <c r="A10124" s="1" t="s">
        <v>1192</v>
      </c>
      <c r="B10124" s="1" t="n">
        <v>213.76</v>
      </c>
      <c r="C10124" s="1" t="n">
        <f aca="false">1/B10124</f>
        <v>0.00467814371257485</v>
      </c>
      <c r="D10124" s="1" t="n">
        <v>1.0352</v>
      </c>
      <c r="E10124" s="1" t="n">
        <f aca="false">LN(D10124)</f>
        <v>0.034594644764499</v>
      </c>
    </row>
    <row r="10125" customFormat="false" ht="15.75" hidden="false" customHeight="false" outlineLevel="0" collapsed="false">
      <c r="A10125" s="1" t="s">
        <v>1192</v>
      </c>
      <c r="B10125" s="1" t="n">
        <v>214.13</v>
      </c>
      <c r="C10125" s="1" t="n">
        <f aca="false">1/B10125</f>
        <v>0.00467006024377714</v>
      </c>
      <c r="D10125" s="1" t="n">
        <v>1.0275</v>
      </c>
      <c r="E10125" s="1" t="n">
        <f aca="false">LN(D10125)</f>
        <v>0.0271286673882527</v>
      </c>
    </row>
    <row r="10126" customFormat="false" ht="15.75" hidden="false" customHeight="false" outlineLevel="0" collapsed="false">
      <c r="A10126" s="1" t="s">
        <v>1192</v>
      </c>
      <c r="B10126" s="1" t="n">
        <v>214.5</v>
      </c>
      <c r="C10126" s="1" t="n">
        <f aca="false">1/B10126</f>
        <v>0.00466200466200466</v>
      </c>
      <c r="D10126" s="1" t="n">
        <v>1.0199</v>
      </c>
      <c r="E10126" s="1" t="n">
        <f aca="false">LN(D10126)</f>
        <v>0.0197045832743354</v>
      </c>
    </row>
    <row r="10127" customFormat="false" ht="15.75" hidden="false" customHeight="false" outlineLevel="0" collapsed="false">
      <c r="A10127" s="1" t="s">
        <v>1192</v>
      </c>
      <c r="B10127" s="1" t="n">
        <v>214.86</v>
      </c>
      <c r="C10127" s="1" t="n">
        <f aca="false">1/B10127</f>
        <v>0.00465419342827888</v>
      </c>
      <c r="D10127" s="1" t="n">
        <v>1.0124</v>
      </c>
      <c r="E10127" s="1" t="n">
        <f aca="false">LN(D10127)</f>
        <v>0.0123237496888319</v>
      </c>
    </row>
    <row r="10128" customFormat="false" ht="15.75" hidden="false" customHeight="false" outlineLevel="0" collapsed="false">
      <c r="A10128" s="1" t="s">
        <v>1192</v>
      </c>
      <c r="B10128" s="1" t="n">
        <v>215.23</v>
      </c>
      <c r="C10128" s="1" t="n">
        <f aca="false">1/B10128</f>
        <v>0.00464619244529108</v>
      </c>
      <c r="D10128" s="1" t="n">
        <v>1.005</v>
      </c>
      <c r="E10128" s="1" t="n">
        <f aca="false">LN(D10128)</f>
        <v>0.00498754151103897</v>
      </c>
    </row>
    <row r="10129" customFormat="false" ht="15.75" hidden="false" customHeight="false" outlineLevel="0" collapsed="false">
      <c r="A10129" s="1" t="s">
        <v>1192</v>
      </c>
      <c r="B10129" s="1" t="n">
        <v>215.6</v>
      </c>
      <c r="C10129" s="1" t="n">
        <f aca="false">1/B10129</f>
        <v>0.00463821892393321</v>
      </c>
      <c r="D10129" s="1" t="n">
        <v>0.99763</v>
      </c>
      <c r="E10129" s="1" t="n">
        <f aca="false">LN(D10129)</f>
        <v>-0.00237281289525336</v>
      </c>
    </row>
    <row r="10130" customFormat="false" ht="15.75" hidden="false" customHeight="false" outlineLevel="0" collapsed="false">
      <c r="A10130" s="1" t="s">
        <v>1192</v>
      </c>
      <c r="B10130" s="1" t="n">
        <v>215.97</v>
      </c>
      <c r="C10130" s="1" t="n">
        <f aca="false">1/B10130</f>
        <v>0.00463027272306339</v>
      </c>
      <c r="D10130" s="1" t="n">
        <v>0.99037</v>
      </c>
      <c r="E10130" s="1" t="n">
        <f aca="false">LN(D10130)</f>
        <v>-0.00967666830218007</v>
      </c>
    </row>
    <row r="10131" customFormat="false" ht="15.75" hidden="false" customHeight="false" outlineLevel="0" collapsed="false">
      <c r="A10131" s="1" t="s">
        <v>1192</v>
      </c>
      <c r="B10131" s="1" t="n">
        <v>216.33</v>
      </c>
      <c r="C10131" s="1" t="n">
        <f aca="false">1/B10131</f>
        <v>0.00462256737391947</v>
      </c>
      <c r="D10131" s="1" t="n">
        <v>0.98318</v>
      </c>
      <c r="E10131" s="1" t="n">
        <f aca="false">LN(D10131)</f>
        <v>-0.016963062678461</v>
      </c>
    </row>
    <row r="10132" customFormat="false" ht="15.75" hidden="false" customHeight="false" outlineLevel="0" collapsed="false">
      <c r="A10132" s="1" t="s">
        <v>1192</v>
      </c>
      <c r="B10132" s="1" t="n">
        <v>216.7</v>
      </c>
      <c r="C10132" s="1" t="n">
        <f aca="false">1/B10132</f>
        <v>0.00461467466543609</v>
      </c>
      <c r="D10132" s="1" t="n">
        <v>0.97608</v>
      </c>
      <c r="E10132" s="1" t="n">
        <f aca="false">LN(D10132)</f>
        <v>-0.0242107287150583</v>
      </c>
    </row>
    <row r="10133" customFormat="false" ht="15.75" hidden="false" customHeight="false" outlineLevel="0" collapsed="false">
      <c r="A10133" s="1" t="s">
        <v>1192</v>
      </c>
      <c r="B10133" s="1" t="n">
        <v>217.07</v>
      </c>
      <c r="C10133" s="1" t="n">
        <f aca="false">1/B10133</f>
        <v>0.00460680886350025</v>
      </c>
      <c r="D10133" s="1" t="n">
        <v>0.96905</v>
      </c>
      <c r="E10133" s="1" t="n">
        <f aca="false">LN(D10133)</f>
        <v>-0.0314390688353805</v>
      </c>
    </row>
    <row r="10134" customFormat="false" ht="15.75" hidden="false" customHeight="false" outlineLevel="0" collapsed="false">
      <c r="A10134" s="1" t="s">
        <v>1192</v>
      </c>
      <c r="B10134" s="1" t="n">
        <v>217.44</v>
      </c>
      <c r="C10134" s="1" t="n">
        <f aca="false">1/B10134</f>
        <v>0.00459896983075791</v>
      </c>
      <c r="D10134" s="1" t="n">
        <v>0.9621</v>
      </c>
      <c r="E10134" s="1" t="n">
        <f aca="false">LN(D10134)</f>
        <v>-0.0386368836149182</v>
      </c>
    </row>
    <row r="10135" customFormat="false" ht="15.75" hidden="false" customHeight="false" outlineLevel="0" collapsed="false">
      <c r="A10135" s="1" t="s">
        <v>1192</v>
      </c>
      <c r="B10135" s="1" t="n">
        <v>217.8</v>
      </c>
      <c r="C10135" s="1" t="n">
        <f aca="false">1/B10135</f>
        <v>0.00459136822773186</v>
      </c>
      <c r="D10135" s="1" t="n">
        <v>0.95523</v>
      </c>
      <c r="E10135" s="1" t="n">
        <f aca="false">LN(D10135)</f>
        <v>-0.0458031298018141</v>
      </c>
    </row>
    <row r="10136" customFormat="false" ht="15.75" hidden="false" customHeight="false" outlineLevel="0" collapsed="false">
      <c r="A10136" s="1" t="s">
        <v>1192</v>
      </c>
      <c r="B10136" s="1" t="n">
        <v>218.17</v>
      </c>
      <c r="C10136" s="1" t="n">
        <f aca="false">1/B10136</f>
        <v>0.00458358161067058</v>
      </c>
      <c r="D10136" s="1" t="n">
        <v>0.94842</v>
      </c>
      <c r="E10136" s="1" t="n">
        <f aca="false">LN(D10136)</f>
        <v>-0.0529578368647779</v>
      </c>
    </row>
    <row r="10137" customFormat="false" ht="15.75" hidden="false" customHeight="false" outlineLevel="0" collapsed="false">
      <c r="A10137" s="1" t="s">
        <v>1192</v>
      </c>
      <c r="B10137" s="1" t="n">
        <v>218.54</v>
      </c>
      <c r="C10137" s="1" t="n">
        <f aca="false">1/B10137</f>
        <v>0.00457582135993411</v>
      </c>
      <c r="D10137" s="1" t="n">
        <v>0.94169</v>
      </c>
      <c r="E10137" s="1" t="n">
        <f aca="false">LN(D10137)</f>
        <v>-0.0600791456156319</v>
      </c>
    </row>
    <row r="10138" customFormat="false" ht="15.75" hidden="false" customHeight="false" outlineLevel="0" collapsed="false">
      <c r="A10138" s="1" t="s">
        <v>1192</v>
      </c>
      <c r="B10138" s="1" t="n">
        <v>218.9</v>
      </c>
      <c r="C10138" s="1" t="n">
        <f aca="false">1/B10138</f>
        <v>0.00456829602558246</v>
      </c>
      <c r="D10138" s="1" t="n">
        <v>0.93503</v>
      </c>
      <c r="E10138" s="1" t="n">
        <f aca="false">LN(D10138)</f>
        <v>-0.0671766646466833</v>
      </c>
    </row>
    <row r="10139" customFormat="false" ht="15.75" hidden="false" customHeight="false" outlineLevel="0" collapsed="false">
      <c r="A10139" s="1" t="s">
        <v>1192</v>
      </c>
      <c r="B10139" s="1" t="n">
        <v>219.27</v>
      </c>
      <c r="C10139" s="1" t="n">
        <f aca="false">1/B10139</f>
        <v>0.00456058740365759</v>
      </c>
      <c r="D10139" s="1" t="n">
        <v>0.92844</v>
      </c>
      <c r="E10139" s="1" t="n">
        <f aca="false">LN(D10139)</f>
        <v>-0.0742495206327736</v>
      </c>
    </row>
    <row r="10140" customFormat="false" ht="15.75" hidden="false" customHeight="false" outlineLevel="0" collapsed="false">
      <c r="A10140" s="1" t="s">
        <v>1192</v>
      </c>
      <c r="B10140" s="1" t="n">
        <v>219.64</v>
      </c>
      <c r="C10140" s="1" t="n">
        <f aca="false">1/B10140</f>
        <v>0.00455290475323256</v>
      </c>
      <c r="D10140" s="1" t="n">
        <v>0.92192</v>
      </c>
      <c r="E10140" s="1" t="n">
        <f aca="false">LN(D10140)</f>
        <v>-0.0812968270859734</v>
      </c>
    </row>
    <row r="10141" customFormat="false" ht="15.75" hidden="false" customHeight="false" outlineLevel="0" collapsed="false">
      <c r="A10141" s="1" t="s">
        <v>1192</v>
      </c>
      <c r="B10141" s="1" t="n">
        <v>220.01</v>
      </c>
      <c r="C10141" s="1" t="n">
        <f aca="false">1/B10141</f>
        <v>0.00454524794327531</v>
      </c>
      <c r="D10141" s="1" t="n">
        <v>0.91546</v>
      </c>
      <c r="E10141" s="1" t="n">
        <f aca="false">LN(D10141)</f>
        <v>-0.0883286077936938</v>
      </c>
    </row>
    <row r="10142" customFormat="false" ht="15.75" hidden="false" customHeight="false" outlineLevel="0" collapsed="false">
      <c r="A10142" s="1" t="s">
        <v>1192</v>
      </c>
      <c r="B10142" s="1" t="n">
        <v>220.37</v>
      </c>
      <c r="C10142" s="1" t="n">
        <f aca="false">1/B10142</f>
        <v>0.00453782275264328</v>
      </c>
      <c r="D10142" s="1" t="n">
        <v>0.90908</v>
      </c>
      <c r="E10142" s="1" t="n">
        <f aca="false">LN(D10142)</f>
        <v>-0.0953221798763254</v>
      </c>
    </row>
    <row r="10143" customFormat="false" ht="15.75" hidden="false" customHeight="false" outlineLevel="0" collapsed="false">
      <c r="A10143" s="1" t="s">
        <v>1192</v>
      </c>
      <c r="B10143" s="1" t="n">
        <v>220.74</v>
      </c>
      <c r="C10143" s="1" t="n">
        <f aca="false">1/B10143</f>
        <v>0.00453021654435082</v>
      </c>
      <c r="D10143" s="1" t="n">
        <v>0.90276</v>
      </c>
      <c r="E10143" s="1" t="n">
        <f aca="false">LN(D10143)</f>
        <v>-0.102298541622007</v>
      </c>
    </row>
    <row r="10144" customFormat="false" ht="15.75" hidden="false" customHeight="false" outlineLevel="0" collapsed="false">
      <c r="A10144" s="1" t="s">
        <v>1192</v>
      </c>
      <c r="B10144" s="1" t="n">
        <v>221.11</v>
      </c>
      <c r="C10144" s="1" t="n">
        <f aca="false">1/B10144</f>
        <v>0.00452263579213966</v>
      </c>
      <c r="D10144" s="1" t="n">
        <v>0.8965</v>
      </c>
      <c r="E10144" s="1" t="n">
        <f aca="false">LN(D10144)</f>
        <v>-0.10925698593695</v>
      </c>
    </row>
    <row r="10145" customFormat="false" ht="15.75" hidden="false" customHeight="false" outlineLevel="0" collapsed="false">
      <c r="A10145" s="1" t="s">
        <v>1192</v>
      </c>
      <c r="B10145" s="1" t="n">
        <v>221.48</v>
      </c>
      <c r="C10145" s="1" t="n">
        <f aca="false">1/B10145</f>
        <v>0.00451508036843056</v>
      </c>
      <c r="D10145" s="1" t="n">
        <v>0.89031</v>
      </c>
      <c r="E10145" s="1" t="n">
        <f aca="false">LN(D10145)</f>
        <v>-0.11618556229666</v>
      </c>
    </row>
    <row r="10146" customFormat="false" ht="15.75" hidden="false" customHeight="false" outlineLevel="0" collapsed="false">
      <c r="A10146" s="1" t="s">
        <v>1192</v>
      </c>
      <c r="B10146" s="1" t="n">
        <v>221.84</v>
      </c>
      <c r="C10146" s="1" t="n">
        <f aca="false">1/B10146</f>
        <v>0.00450775333573747</v>
      </c>
      <c r="D10146" s="1" t="n">
        <v>0.88418</v>
      </c>
      <c r="E10146" s="1" t="n">
        <f aca="false">LN(D10146)</f>
        <v>-0.123094617162711</v>
      </c>
    </row>
    <row r="10147" customFormat="false" ht="15.75" hidden="false" customHeight="false" outlineLevel="0" collapsed="false">
      <c r="A10147" s="1" t="s">
        <v>1192</v>
      </c>
      <c r="B10147" s="1" t="n">
        <v>222.21</v>
      </c>
      <c r="C10147" s="1" t="n">
        <f aca="false">1/B10147</f>
        <v>0.00450024751361325</v>
      </c>
      <c r="D10147" s="1" t="n">
        <v>0.87812</v>
      </c>
      <c r="E10147" s="1" t="n">
        <f aca="false">LN(D10147)</f>
        <v>-0.129972020426415</v>
      </c>
    </row>
    <row r="10148" customFormat="false" ht="15.75" hidden="false" customHeight="false" outlineLevel="0" collapsed="false">
      <c r="A10148" s="1" t="s">
        <v>1192</v>
      </c>
      <c r="B10148" s="1" t="n">
        <v>222.58</v>
      </c>
      <c r="C10148" s="1" t="n">
        <f aca="false">1/B10148</f>
        <v>0.00449276664570042</v>
      </c>
      <c r="D10148" s="1" t="n">
        <v>0.87211</v>
      </c>
      <c r="E10148" s="1" t="n">
        <f aca="false">LN(D10148)</f>
        <v>-0.136839716240004</v>
      </c>
    </row>
    <row r="10149" customFormat="false" ht="15.75" hidden="false" customHeight="false" outlineLevel="0" collapsed="false">
      <c r="A10149" s="1" t="s">
        <v>1192</v>
      </c>
      <c r="B10149" s="1" t="n">
        <v>222.95</v>
      </c>
      <c r="C10149" s="1" t="n">
        <f aca="false">1/B10149</f>
        <v>0.00448531060775959</v>
      </c>
      <c r="D10149" s="1" t="n">
        <v>0.86617</v>
      </c>
      <c r="E10149" s="1" t="n">
        <f aca="false">LN(D10149)</f>
        <v>-0.143674084835093</v>
      </c>
    </row>
    <row r="10150" customFormat="false" ht="15.75" hidden="false" customHeight="false" outlineLevel="0" collapsed="false">
      <c r="A10150" s="1" t="s">
        <v>1192</v>
      </c>
      <c r="B10150" s="1" t="n">
        <v>223.31</v>
      </c>
      <c r="C10150" s="1" t="n">
        <f aca="false">1/B10150</f>
        <v>0.00447807979938203</v>
      </c>
      <c r="D10150" s="1" t="n">
        <v>0.86029</v>
      </c>
      <c r="E10150" s="1" t="n">
        <f aca="false">LN(D10150)</f>
        <v>-0.150485737274537</v>
      </c>
    </row>
    <row r="10151" customFormat="false" ht="15.75" hidden="false" customHeight="false" outlineLevel="0" collapsed="false">
      <c r="A10151" s="1" t="s">
        <v>1192</v>
      </c>
      <c r="B10151" s="1" t="n">
        <v>223.68</v>
      </c>
      <c r="C10151" s="1" t="n">
        <f aca="false">1/B10151</f>
        <v>0.00447067238912732</v>
      </c>
      <c r="D10151" s="1" t="n">
        <v>0.85446</v>
      </c>
      <c r="E10151" s="1" t="n">
        <f aca="false">LN(D10151)</f>
        <v>-0.157285588522746</v>
      </c>
    </row>
    <row r="10152" customFormat="false" ht="15.75" hidden="false" customHeight="false" outlineLevel="0" collapsed="false">
      <c r="A10152" s="1" t="s">
        <v>1192</v>
      </c>
      <c r="B10152" s="1" t="n">
        <v>224.05</v>
      </c>
      <c r="C10152" s="1" t="n">
        <f aca="false">1/B10152</f>
        <v>0.00446328944432046</v>
      </c>
      <c r="D10152" s="1" t="n">
        <v>0.8487</v>
      </c>
      <c r="E10152" s="1" t="n">
        <f aca="false">LN(D10152)</f>
        <v>-0.164049512006506</v>
      </c>
    </row>
    <row r="10153" customFormat="false" ht="15.75" hidden="false" customHeight="false" outlineLevel="0" collapsed="false">
      <c r="A10153" s="1" t="s">
        <v>1192</v>
      </c>
      <c r="B10153" s="1" t="n">
        <v>224.41</v>
      </c>
      <c r="C10153" s="1" t="n">
        <f aca="false">1/B10153</f>
        <v>0.00445612940599795</v>
      </c>
      <c r="D10153" s="1" t="n">
        <v>0.84299</v>
      </c>
      <c r="E10153" s="1" t="n">
        <f aca="false">LN(D10153)</f>
        <v>-0.170800183446844</v>
      </c>
    </row>
    <row r="10154" customFormat="false" ht="15.75" hidden="false" customHeight="false" outlineLevel="0" collapsed="false">
      <c r="A10154" s="1" t="s">
        <v>1192</v>
      </c>
      <c r="B10154" s="1" t="n">
        <v>224.78</v>
      </c>
      <c r="C10154" s="1" t="n">
        <f aca="false">1/B10154</f>
        <v>0.00444879437672391</v>
      </c>
      <c r="D10154" s="1" t="n">
        <v>0.83734</v>
      </c>
      <c r="E10154" s="1" t="n">
        <f aca="false">LN(D10154)</f>
        <v>-0.177525078310413</v>
      </c>
    </row>
    <row r="10155" customFormat="false" ht="15.75" hidden="false" customHeight="false" outlineLevel="0" collapsed="false">
      <c r="A10155" s="1" t="s">
        <v>1192</v>
      </c>
      <c r="B10155" s="1" t="n">
        <v>225.15</v>
      </c>
      <c r="C10155" s="1" t="n">
        <f aca="false">1/B10155</f>
        <v>0.00444148345547413</v>
      </c>
      <c r="D10155" s="1" t="n">
        <v>0.83174</v>
      </c>
      <c r="E10155" s="1" t="n">
        <f aca="false">LN(D10155)</f>
        <v>-0.184235386999228</v>
      </c>
    </row>
    <row r="10156" customFormat="false" ht="15.75" hidden="false" customHeight="false" outlineLevel="0" collapsed="false">
      <c r="A10156" s="1" t="s">
        <v>1192</v>
      </c>
      <c r="B10156" s="1" t="n">
        <v>225.52</v>
      </c>
      <c r="C10156" s="1" t="n">
        <f aca="false">1/B10156</f>
        <v>0.00443419652358993</v>
      </c>
      <c r="D10156" s="1" t="n">
        <v>0.8262</v>
      </c>
      <c r="E10156" s="1" t="n">
        <f aca="false">LN(D10156)</f>
        <v>-0.190918404019473</v>
      </c>
    </row>
    <row r="10157" customFormat="false" ht="15.75" hidden="false" customHeight="false" outlineLevel="0" collapsed="false">
      <c r="A10157" s="1" t="s">
        <v>1192</v>
      </c>
      <c r="B10157" s="1" t="n">
        <v>225.88</v>
      </c>
      <c r="C10157" s="1" t="n">
        <f aca="false">1/B10157</f>
        <v>0.0044271294492651</v>
      </c>
      <c r="D10157" s="1" t="n">
        <v>0.82071</v>
      </c>
      <c r="E10157" s="1" t="n">
        <f aca="false">LN(D10157)</f>
        <v>-0.197585459700343</v>
      </c>
    </row>
    <row r="10158" customFormat="false" ht="15.75" hidden="false" customHeight="false" outlineLevel="0" collapsed="false">
      <c r="A10158" s="1" t="s">
        <v>1192</v>
      </c>
      <c r="B10158" s="1" t="n">
        <v>226.25</v>
      </c>
      <c r="C10158" s="1" t="n">
        <f aca="false">1/B10158</f>
        <v>0.00441988950276243</v>
      </c>
      <c r="D10158" s="1" t="n">
        <v>0.81528</v>
      </c>
      <c r="E10158" s="1" t="n">
        <f aca="false">LN(D10158)</f>
        <v>-0.204223666461699</v>
      </c>
    </row>
    <row r="10159" customFormat="false" ht="15.75" hidden="false" customHeight="false" outlineLevel="0" collapsed="false">
      <c r="A10159" s="1" t="s">
        <v>1192</v>
      </c>
      <c r="B10159" s="1" t="n">
        <v>226.62</v>
      </c>
      <c r="C10159" s="1" t="n">
        <f aca="false">1/B10159</f>
        <v>0.004412673197423</v>
      </c>
      <c r="D10159" s="1" t="n">
        <v>0.8099</v>
      </c>
      <c r="E10159" s="1" t="n">
        <f aca="false">LN(D10159)</f>
        <v>-0.210844495727193</v>
      </c>
    </row>
    <row r="10160" customFormat="false" ht="15.75" hidden="false" customHeight="false" outlineLevel="0" collapsed="false">
      <c r="A10160" s="1" t="s">
        <v>1192</v>
      </c>
      <c r="B10160" s="1" t="n">
        <v>226.99</v>
      </c>
      <c r="C10160" s="1" t="n">
        <f aca="false">1/B10160</f>
        <v>0.00440548041763954</v>
      </c>
      <c r="D10160" s="1" t="n">
        <v>0.80457</v>
      </c>
      <c r="E10160" s="1" t="n">
        <f aca="false">LN(D10160)</f>
        <v>-0.21744730576933</v>
      </c>
    </row>
    <row r="10161" customFormat="false" ht="15.75" hidden="false" customHeight="false" outlineLevel="0" collapsed="false">
      <c r="A10161" s="1" t="s">
        <v>1192</v>
      </c>
      <c r="B10161" s="1" t="n">
        <v>227.35</v>
      </c>
      <c r="C10161" s="1" t="n">
        <f aca="false">1/B10161</f>
        <v>0.00439850450846712</v>
      </c>
      <c r="D10161" s="1" t="n">
        <v>0.79929</v>
      </c>
      <c r="E10161" s="1" t="n">
        <f aca="false">LN(D10161)</f>
        <v>-0.224031445375505</v>
      </c>
    </row>
    <row r="10162" customFormat="false" ht="15.75" hidden="false" customHeight="false" outlineLevel="0" collapsed="false">
      <c r="A10162" s="1" t="s">
        <v>1192</v>
      </c>
      <c r="B10162" s="1" t="n">
        <v>227.72</v>
      </c>
      <c r="C10162" s="1" t="n">
        <f aca="false">1/B10162</f>
        <v>0.00439135780783418</v>
      </c>
      <c r="D10162" s="1" t="n">
        <v>0.79407</v>
      </c>
      <c r="E10162" s="1" t="n">
        <f aca="false">LN(D10162)</f>
        <v>-0.230583660411904</v>
      </c>
    </row>
    <row r="10163" customFormat="false" ht="15.75" hidden="false" customHeight="false" outlineLevel="0" collapsed="false">
      <c r="A10163" s="1" t="s">
        <v>1192</v>
      </c>
      <c r="B10163" s="1" t="n">
        <v>228.09</v>
      </c>
      <c r="C10163" s="1" t="n">
        <f aca="false">1/B10163</f>
        <v>0.00438423429348064</v>
      </c>
      <c r="D10163" s="1" t="n">
        <v>0.78889</v>
      </c>
      <c r="E10163" s="1" t="n">
        <f aca="false">LN(D10163)</f>
        <v>-0.237128384839237</v>
      </c>
    </row>
    <row r="10164" customFormat="false" ht="15.75" hidden="false" customHeight="false" outlineLevel="0" collapsed="false">
      <c r="A10164" s="1" t="s">
        <v>1192</v>
      </c>
      <c r="B10164" s="1" t="n">
        <v>228.46</v>
      </c>
      <c r="C10164" s="1" t="n">
        <f aca="false">1/B10164</f>
        <v>0.00437713385275322</v>
      </c>
      <c r="D10164" s="1" t="n">
        <v>0.78376</v>
      </c>
      <c r="E10164" s="1" t="n">
        <f aca="false">LN(D10164)</f>
        <v>-0.24365242794575</v>
      </c>
    </row>
    <row r="10165" customFormat="false" ht="15.75" hidden="false" customHeight="false" outlineLevel="0" collapsed="false">
      <c r="A10165" s="1" t="s">
        <v>1192</v>
      </c>
      <c r="B10165" s="1" t="n">
        <v>228.82</v>
      </c>
      <c r="C10165" s="1" t="n">
        <f aca="false">1/B10165</f>
        <v>0.00437024735600035</v>
      </c>
      <c r="D10165" s="1" t="n">
        <v>0.77868</v>
      </c>
      <c r="E10165" s="1" t="n">
        <f aca="false">LN(D10165)</f>
        <v>-0.25015510056106</v>
      </c>
    </row>
    <row r="10166" customFormat="false" ht="15.75" hidden="false" customHeight="false" outlineLevel="0" collapsed="false">
      <c r="A10166" s="1" t="s">
        <v>1192</v>
      </c>
      <c r="B10166" s="1" t="n">
        <v>229.19</v>
      </c>
      <c r="C10166" s="1" t="n">
        <f aca="false">1/B10166</f>
        <v>0.00436319211134866</v>
      </c>
      <c r="D10166" s="1" t="n">
        <v>0.77365</v>
      </c>
      <c r="E10166" s="1" t="n">
        <f aca="false">LN(D10166)</f>
        <v>-0.256635704046455</v>
      </c>
    </row>
    <row r="10167" customFormat="false" ht="15.75" hidden="false" customHeight="false" outlineLevel="0" collapsed="false">
      <c r="A10167" s="1" t="s">
        <v>1192</v>
      </c>
      <c r="B10167" s="1" t="n">
        <v>229.56</v>
      </c>
      <c r="C10167" s="1" t="n">
        <f aca="false">1/B10167</f>
        <v>0.0043561596096881</v>
      </c>
      <c r="D10167" s="1" t="n">
        <v>0.76867</v>
      </c>
      <c r="E10167" s="1" t="n">
        <f aca="false">LN(D10167)</f>
        <v>-0.263093530317202</v>
      </c>
    </row>
    <row r="10168" customFormat="false" ht="15.75" hidden="false" customHeight="false" outlineLevel="0" collapsed="false">
      <c r="A10168" s="1" t="s">
        <v>1192</v>
      </c>
      <c r="B10168" s="1" t="n">
        <v>229.92</v>
      </c>
      <c r="C10168" s="1" t="n">
        <f aca="false">1/B10168</f>
        <v>0.00434933890048713</v>
      </c>
      <c r="D10168" s="1" t="n">
        <v>0.76374</v>
      </c>
      <c r="E10168" s="1" t="n">
        <f aca="false">LN(D10168)</f>
        <v>-0.269527861871739</v>
      </c>
    </row>
    <row r="10169" customFormat="false" ht="15.75" hidden="false" customHeight="false" outlineLevel="0" collapsed="false">
      <c r="A10169" s="1" t="s">
        <v>1192</v>
      </c>
      <c r="B10169" s="1" t="n">
        <v>230.29</v>
      </c>
      <c r="C10169" s="1" t="n">
        <f aca="false">1/B10169</f>
        <v>0.00434235094880368</v>
      </c>
      <c r="D10169" s="1" t="n">
        <v>0.75885</v>
      </c>
      <c r="E10169" s="1" t="n">
        <f aca="false">LN(D10169)</f>
        <v>-0.275951149576082</v>
      </c>
    </row>
    <row r="10170" customFormat="false" ht="15.75" hidden="false" customHeight="false" outlineLevel="0" collapsed="false">
      <c r="A10170" s="1" t="s">
        <v>1192</v>
      </c>
      <c r="B10170" s="1" t="n">
        <v>230.66</v>
      </c>
      <c r="C10170" s="1" t="n">
        <f aca="false">1/B10170</f>
        <v>0.00433538541576346</v>
      </c>
      <c r="D10170" s="1" t="n">
        <v>0.754</v>
      </c>
      <c r="E10170" s="1" t="n">
        <f aca="false">LN(D10170)</f>
        <v>-0.282362910974181</v>
      </c>
    </row>
    <row r="10171" customFormat="false" ht="15.75" hidden="false" customHeight="false" outlineLevel="0" collapsed="false">
      <c r="A10171" s="1" t="s">
        <v>1192</v>
      </c>
      <c r="B10171" s="1" t="n">
        <v>231.03</v>
      </c>
      <c r="C10171" s="1" t="n">
        <f aca="false">1/B10171</f>
        <v>0.0043284421936545</v>
      </c>
      <c r="D10171" s="1" t="n">
        <v>0.7492</v>
      </c>
      <c r="E10171" s="1" t="n">
        <f aca="false">LN(D10171)</f>
        <v>-0.288749308412204</v>
      </c>
    </row>
    <row r="10172" customFormat="false" ht="15.75" hidden="false" customHeight="false" outlineLevel="0" collapsed="false">
      <c r="A10172" s="1" t="s">
        <v>1192</v>
      </c>
      <c r="B10172" s="1" t="n">
        <v>231.39</v>
      </c>
      <c r="C10172" s="1" t="n">
        <f aca="false">1/B10172</f>
        <v>0.00432170793897748</v>
      </c>
      <c r="D10172" s="1" t="n">
        <v>0.74445</v>
      </c>
      <c r="E10172" s="1" t="n">
        <f aca="false">LN(D10172)</f>
        <v>-0.295109588280578</v>
      </c>
    </row>
    <row r="10173" customFormat="false" ht="15.75" hidden="false" customHeight="false" outlineLevel="0" collapsed="false">
      <c r="A10173" s="1" t="s">
        <v>1192</v>
      </c>
      <c r="B10173" s="1" t="n">
        <v>231.76</v>
      </c>
      <c r="C10173" s="1" t="n">
        <f aca="false">1/B10173</f>
        <v>0.00431480842250604</v>
      </c>
      <c r="D10173" s="1" t="n">
        <v>0.73974</v>
      </c>
      <c r="E10173" s="1" t="n">
        <f aca="false">LN(D10173)</f>
        <v>-0.301456505873621</v>
      </c>
    </row>
    <row r="10174" customFormat="false" ht="15.75" hidden="false" customHeight="false" outlineLevel="0" collapsed="false">
      <c r="A10174" s="1" t="s">
        <v>1192</v>
      </c>
      <c r="B10174" s="1" t="n">
        <v>232.13</v>
      </c>
      <c r="C10174" s="1" t="n">
        <f aca="false">1/B10174</f>
        <v>0.00430793090078835</v>
      </c>
      <c r="D10174" s="1" t="n">
        <v>0.73507</v>
      </c>
      <c r="E10174" s="1" t="n">
        <f aca="false">LN(D10174)</f>
        <v>-0.307789546208922</v>
      </c>
    </row>
    <row r="10175" customFormat="false" ht="15.75" hidden="false" customHeight="false" outlineLevel="0" collapsed="false">
      <c r="A10175" s="1" t="s">
        <v>1192</v>
      </c>
      <c r="B10175" s="1" t="n">
        <v>232.5</v>
      </c>
      <c r="C10175" s="1" t="n">
        <f aca="false">1/B10175</f>
        <v>0.0043010752688172</v>
      </c>
      <c r="D10175" s="1" t="n">
        <v>0.73044</v>
      </c>
      <c r="E10175" s="1" t="n">
        <f aca="false">LN(D10175)</f>
        <v>-0.314108186688304</v>
      </c>
    </row>
    <row r="10176" customFormat="false" ht="15.75" hidden="false" customHeight="false" outlineLevel="0" collapsed="false">
      <c r="A10176" s="1" t="s">
        <v>1192</v>
      </c>
      <c r="B10176" s="1" t="n">
        <v>232.86</v>
      </c>
      <c r="C10176" s="1" t="n">
        <f aca="false">1/B10176</f>
        <v>0.00429442583526583</v>
      </c>
      <c r="D10176" s="1" t="n">
        <v>0.72586</v>
      </c>
      <c r="E10176" s="1" t="n">
        <f aca="false">LN(D10176)</f>
        <v>-0.32039812021844</v>
      </c>
    </row>
    <row r="10177" customFormat="false" ht="15.75" hidden="false" customHeight="false" outlineLevel="0" collapsed="false">
      <c r="A10177" s="1" t="s">
        <v>1192</v>
      </c>
      <c r="B10177" s="1" t="n">
        <v>233.23</v>
      </c>
      <c r="C10177" s="1" t="n">
        <f aca="false">1/B10177</f>
        <v>0.00428761308579514</v>
      </c>
      <c r="D10177" s="1" t="n">
        <v>0.72132</v>
      </c>
      <c r="E10177" s="1" t="n">
        <f aca="false">LN(D10177)</f>
        <v>-0.326672412143066</v>
      </c>
    </row>
    <row r="10178" customFormat="false" ht="15.75" hidden="false" customHeight="false" outlineLevel="0" collapsed="false">
      <c r="A10178" s="1" t="s">
        <v>1192</v>
      </c>
      <c r="B10178" s="1" t="n">
        <v>233.6</v>
      </c>
      <c r="C10178" s="1" t="n">
        <f aca="false">1/B10178</f>
        <v>0.00428082191780822</v>
      </c>
      <c r="D10178" s="1" t="n">
        <v>0.71682</v>
      </c>
      <c r="E10178" s="1" t="n">
        <f aca="false">LN(D10178)</f>
        <v>-0.33293051592495</v>
      </c>
    </row>
    <row r="10179" customFormat="false" ht="15.75" hidden="false" customHeight="false" outlineLevel="0" collapsed="false">
      <c r="A10179" s="1" t="s">
        <v>1192</v>
      </c>
      <c r="B10179" s="1" t="n">
        <v>233.97</v>
      </c>
      <c r="C10179" s="1" t="n">
        <f aca="false">1/B10179</f>
        <v>0.00427405222891824</v>
      </c>
      <c r="D10179" s="1" t="n">
        <v>0.71236</v>
      </c>
      <c r="E10179" s="1" t="n">
        <f aca="false">LN(D10179)</f>
        <v>-0.339171877374332</v>
      </c>
    </row>
    <row r="10180" customFormat="false" ht="15.75" hidden="false" customHeight="false" outlineLevel="0" collapsed="false">
      <c r="A10180" s="1" t="s">
        <v>1192</v>
      </c>
      <c r="B10180" s="1" t="n">
        <v>234.33</v>
      </c>
      <c r="C10180" s="1" t="n">
        <f aca="false">1/B10180</f>
        <v>0.00426748602398327</v>
      </c>
      <c r="D10180" s="1" t="n">
        <v>0.70794</v>
      </c>
      <c r="E10180" s="1" t="n">
        <f aca="false">LN(D10180)</f>
        <v>-0.345395934642254</v>
      </c>
    </row>
    <row r="10181" customFormat="false" ht="15.75" hidden="false" customHeight="false" outlineLevel="0" collapsed="false">
      <c r="A10181" s="1" t="s">
        <v>1192</v>
      </c>
      <c r="B10181" s="1" t="n">
        <v>234.7</v>
      </c>
      <c r="C10181" s="1" t="n">
        <f aca="false">1/B10181</f>
        <v>0.00426075841499787</v>
      </c>
      <c r="D10181" s="1" t="n">
        <v>0.70356</v>
      </c>
      <c r="E10181" s="1" t="n">
        <f aca="false">LN(D10181)</f>
        <v>-0.351602118218013</v>
      </c>
    </row>
    <row r="10182" customFormat="false" ht="15.75" hidden="false" customHeight="false" outlineLevel="0" collapsed="false">
      <c r="A10182" s="1" t="s">
        <v>1192</v>
      </c>
      <c r="B10182" s="1" t="n">
        <v>235.07</v>
      </c>
      <c r="C10182" s="1" t="n">
        <f aca="false">1/B10182</f>
        <v>0.00425405198451525</v>
      </c>
      <c r="D10182" s="1" t="n">
        <v>0.69922</v>
      </c>
      <c r="E10182" s="1" t="n">
        <f aca="false">LN(D10182)</f>
        <v>-0.357789850930908</v>
      </c>
    </row>
    <row r="10183" customFormat="false" ht="15.75" hidden="false" customHeight="false" outlineLevel="0" collapsed="false">
      <c r="A10183" s="1" t="s">
        <v>1192</v>
      </c>
      <c r="B10183" s="1" t="n">
        <v>235.43</v>
      </c>
      <c r="C10183" s="1" t="n">
        <f aca="false">1/B10183</f>
        <v>0.00424754704158349</v>
      </c>
      <c r="D10183" s="1" t="n">
        <v>0.69491</v>
      </c>
      <c r="E10183" s="1" t="n">
        <f aca="false">LN(D10183)</f>
        <v>-0.363972938205606</v>
      </c>
    </row>
    <row r="10184" customFormat="false" ht="15.75" hidden="false" customHeight="false" outlineLevel="0" collapsed="false">
      <c r="A10184" s="1" t="s">
        <v>1192</v>
      </c>
      <c r="B10184" s="1" t="n">
        <v>235.8</v>
      </c>
      <c r="C10184" s="1" t="n">
        <f aca="false">1/B10184</f>
        <v>0.00424088210347752</v>
      </c>
      <c r="D10184" s="1" t="n">
        <v>0.69065</v>
      </c>
      <c r="E10184" s="1" t="n">
        <f aca="false">LN(D10184)</f>
        <v>-0.370122095836168</v>
      </c>
    </row>
    <row r="10185" customFormat="false" ht="15.75" hidden="false" customHeight="false" outlineLevel="0" collapsed="false">
      <c r="A10185" s="1" t="s">
        <v>1192</v>
      </c>
      <c r="B10185" s="1" t="n">
        <v>236.17</v>
      </c>
      <c r="C10185" s="1" t="n">
        <f aca="false">1/B10185</f>
        <v>0.00423423804886311</v>
      </c>
      <c r="D10185" s="1" t="n">
        <v>0.68642</v>
      </c>
      <c r="E10185" s="1" t="n">
        <f aca="false">LN(D10185)</f>
        <v>-0.376265593703737</v>
      </c>
    </row>
    <row r="10186" customFormat="false" ht="15.75" hidden="false" customHeight="false" outlineLevel="0" collapsed="false">
      <c r="A10186" s="1" t="s">
        <v>1192</v>
      </c>
      <c r="B10186" s="1" t="n">
        <v>236.54</v>
      </c>
      <c r="C10186" s="1" t="n">
        <f aca="false">1/B10186</f>
        <v>0.00422761477974127</v>
      </c>
      <c r="D10186" s="1" t="n">
        <v>0.68223</v>
      </c>
      <c r="E10186" s="1" t="n">
        <f aca="false">LN(D10186)</f>
        <v>-0.382388434590689</v>
      </c>
    </row>
    <row r="10187" customFormat="false" ht="15.75" hidden="false" customHeight="false" outlineLevel="0" collapsed="false">
      <c r="A10187" s="1" t="s">
        <v>1192</v>
      </c>
      <c r="B10187" s="1" t="n">
        <v>236.9</v>
      </c>
      <c r="C10187" s="1" t="n">
        <f aca="false">1/B10187</f>
        <v>0.00422119037568594</v>
      </c>
      <c r="D10187" s="1" t="n">
        <v>0.67808</v>
      </c>
      <c r="E10187" s="1" t="n">
        <f aca="false">LN(D10187)</f>
        <v>-0.388490003902203</v>
      </c>
    </row>
    <row r="10188" customFormat="false" ht="15.75" hidden="false" customHeight="false" outlineLevel="0" collapsed="false">
      <c r="A10188" s="1" t="s">
        <v>1192</v>
      </c>
      <c r="B10188" s="1" t="n">
        <v>237.27</v>
      </c>
      <c r="C10188" s="1" t="n">
        <f aca="false">1/B10188</f>
        <v>0.00421460783074135</v>
      </c>
      <c r="D10188" s="1" t="n">
        <v>0.67396</v>
      </c>
      <c r="E10188" s="1" t="n">
        <f aca="false">LN(D10188)</f>
        <v>-0.394584517011952</v>
      </c>
    </row>
    <row r="10189" customFormat="false" ht="15.75" hidden="false" customHeight="false" outlineLevel="0" collapsed="false">
      <c r="A10189" s="1" t="s">
        <v>1192</v>
      </c>
      <c r="B10189" s="1" t="n">
        <v>237.64</v>
      </c>
      <c r="C10189" s="1" t="n">
        <f aca="false">1/B10189</f>
        <v>0.00420804578353813</v>
      </c>
      <c r="D10189" s="1" t="n">
        <v>0.66988</v>
      </c>
      <c r="E10189" s="1" t="n">
        <f aca="false">LN(D10189)</f>
        <v>-0.40065668711586</v>
      </c>
    </row>
    <row r="10190" customFormat="false" ht="15.75" hidden="false" customHeight="false" outlineLevel="0" collapsed="false">
      <c r="A10190" s="1" t="s">
        <v>1192</v>
      </c>
      <c r="B10190" s="1" t="n">
        <v>238.01</v>
      </c>
      <c r="C10190" s="1" t="n">
        <f aca="false">1/B10190</f>
        <v>0.00420150413848158</v>
      </c>
      <c r="D10190" s="1" t="n">
        <v>0.66584</v>
      </c>
      <c r="E10190" s="1" t="n">
        <f aca="false">LN(D10190)</f>
        <v>-0.406705877544297</v>
      </c>
    </row>
    <row r="10191" customFormat="false" ht="15.75" hidden="false" customHeight="false" outlineLevel="0" collapsed="false">
      <c r="A10191" s="1" t="s">
        <v>1192</v>
      </c>
      <c r="B10191" s="1" t="n">
        <v>238.37</v>
      </c>
      <c r="C10191" s="1" t="n">
        <f aca="false">1/B10191</f>
        <v>0.00419515878676008</v>
      </c>
      <c r="D10191" s="1" t="n">
        <v>0.66182</v>
      </c>
      <c r="E10191" s="1" t="n">
        <f aca="false">LN(D10191)</f>
        <v>-0.412761663340802</v>
      </c>
    </row>
    <row r="10192" customFormat="false" ht="15.75" hidden="false" customHeight="false" outlineLevel="0" collapsed="false">
      <c r="A10192" s="1" t="s">
        <v>1192</v>
      </c>
      <c r="B10192" s="1" t="n">
        <v>238.74</v>
      </c>
      <c r="C10192" s="1" t="n">
        <f aca="false">1/B10192</f>
        <v>0.00418865711652844</v>
      </c>
      <c r="D10192" s="1" t="n">
        <v>0.65785</v>
      </c>
      <c r="E10192" s="1" t="n">
        <f aca="false">LN(D10192)</f>
        <v>-0.41877833717029</v>
      </c>
    </row>
    <row r="10193" customFormat="false" ht="15.75" hidden="false" customHeight="false" outlineLevel="0" collapsed="false">
      <c r="A10193" s="1" t="s">
        <v>1192</v>
      </c>
      <c r="B10193" s="1" t="n">
        <v>239.11</v>
      </c>
      <c r="C10193" s="1" t="n">
        <f aca="false">1/B10193</f>
        <v>0.00418217556773033</v>
      </c>
      <c r="D10193" s="1" t="n">
        <v>0.65391</v>
      </c>
      <c r="E10193" s="1" t="n">
        <f aca="false">LN(D10193)</f>
        <v>-0.424785551673606</v>
      </c>
    </row>
    <row r="10194" customFormat="false" ht="15.75" hidden="false" customHeight="false" outlineLevel="0" collapsed="false">
      <c r="A10194" s="1" t="s">
        <v>1192</v>
      </c>
      <c r="B10194" s="1" t="n">
        <v>239.48</v>
      </c>
      <c r="C10194" s="1" t="n">
        <f aca="false">1/B10194</f>
        <v>0.00417571404710206</v>
      </c>
      <c r="D10194" s="1" t="n">
        <v>0.65</v>
      </c>
      <c r="E10194" s="1" t="n">
        <f aca="false">LN(D10194)</f>
        <v>-0.430782916092454</v>
      </c>
    </row>
    <row r="10195" customFormat="false" ht="15.75" hidden="false" customHeight="false" outlineLevel="0" collapsed="false">
      <c r="A10195" s="1" t="s">
        <v>1192</v>
      </c>
      <c r="B10195" s="1" t="n">
        <v>239.84</v>
      </c>
      <c r="C10195" s="1" t="n">
        <f aca="false">1/B10195</f>
        <v>0.00416944629753169</v>
      </c>
      <c r="D10195" s="1" t="n">
        <v>0.64612</v>
      </c>
      <c r="E10195" s="1" t="n">
        <f aca="false">LN(D10195)</f>
        <v>-0.43677003393658</v>
      </c>
    </row>
    <row r="10196" customFormat="false" ht="15.75" hidden="false" customHeight="false" outlineLevel="0" collapsed="false">
      <c r="A10196" s="1" t="s">
        <v>1192</v>
      </c>
      <c r="B10196" s="1" t="n">
        <v>240.21</v>
      </c>
      <c r="C10196" s="1" t="n">
        <f aca="false">1/B10196</f>
        <v>0.0041630240206486</v>
      </c>
      <c r="D10196" s="1" t="n">
        <v>0.64228</v>
      </c>
      <c r="E10196" s="1" t="n">
        <f aca="false">LN(D10196)</f>
        <v>-0.442730933300653</v>
      </c>
    </row>
    <row r="10197" customFormat="false" ht="15.75" hidden="false" customHeight="false" outlineLevel="0" collapsed="false">
      <c r="A10197" s="1" t="s">
        <v>1192</v>
      </c>
      <c r="B10197" s="1" t="n">
        <v>240.58</v>
      </c>
      <c r="C10197" s="1" t="n">
        <f aca="false">1/B10197</f>
        <v>0.00415662149804639</v>
      </c>
      <c r="D10197" s="1" t="n">
        <v>0.63847</v>
      </c>
      <c r="E10197" s="1" t="n">
        <f aca="false">LN(D10197)</f>
        <v>-0.448680589734757</v>
      </c>
    </row>
    <row r="10198" customFormat="false" ht="15.75" hidden="false" customHeight="false" outlineLevel="0" collapsed="false">
      <c r="A10198" s="1" t="s">
        <v>1192</v>
      </c>
      <c r="B10198" s="1" t="n">
        <v>240.94</v>
      </c>
      <c r="C10198" s="1" t="n">
        <f aca="false">1/B10198</f>
        <v>0.00415041089067818</v>
      </c>
      <c r="D10198" s="1" t="n">
        <v>0.63469</v>
      </c>
      <c r="E10198" s="1" t="n">
        <f aca="false">LN(D10198)</f>
        <v>-0.454618588268859</v>
      </c>
    </row>
    <row r="10199" customFormat="false" ht="15.75" hidden="false" customHeight="false" outlineLevel="0" collapsed="false">
      <c r="A10199" s="1" t="s">
        <v>1192</v>
      </c>
      <c r="B10199" s="1" t="n">
        <v>241.31</v>
      </c>
      <c r="C10199" s="1" t="n">
        <f aca="false">1/B10199</f>
        <v>0.00414404707637479</v>
      </c>
      <c r="D10199" s="1" t="n">
        <v>0.63094</v>
      </c>
      <c r="E10199" s="1" t="n">
        <f aca="false">LN(D10199)</f>
        <v>-0.460544508125228</v>
      </c>
    </row>
    <row r="10200" customFormat="false" ht="15.75" hidden="false" customHeight="false" outlineLevel="0" collapsed="false">
      <c r="A10200" s="1" t="s">
        <v>1192</v>
      </c>
      <c r="B10200" s="1" t="n">
        <v>241.68</v>
      </c>
      <c r="C10200" s="1" t="n">
        <f aca="false">1/B10200</f>
        <v>0.00413770274743462</v>
      </c>
      <c r="D10200" s="1" t="n">
        <v>0.62723</v>
      </c>
      <c r="E10200" s="1" t="n">
        <f aca="false">LN(D10200)</f>
        <v>-0.466441979457182</v>
      </c>
    </row>
    <row r="10201" customFormat="false" ht="15.75" hidden="false" customHeight="false" outlineLevel="0" collapsed="false">
      <c r="A10201" s="1" t="s">
        <v>1192</v>
      </c>
      <c r="B10201" s="1" t="n">
        <v>242.05</v>
      </c>
      <c r="C10201" s="1" t="n">
        <f aca="false">1/B10201</f>
        <v>0.00413137781450114</v>
      </c>
      <c r="D10201" s="1" t="n">
        <v>0.62354</v>
      </c>
      <c r="E10201" s="1" t="n">
        <f aca="false">LN(D10201)</f>
        <v>-0.472342361950297</v>
      </c>
    </row>
    <row r="10202" customFormat="false" ht="15.75" hidden="false" customHeight="false" outlineLevel="0" collapsed="false">
      <c r="A10202" s="1" t="s">
        <v>1192</v>
      </c>
      <c r="B10202" s="1" t="n">
        <v>242.41</v>
      </c>
      <c r="C10202" s="1" t="n">
        <f aca="false">1/B10202</f>
        <v>0.00412524235798853</v>
      </c>
      <c r="D10202" s="1" t="n">
        <v>0.61989</v>
      </c>
      <c r="E10202" s="1" t="n">
        <f aca="false">LN(D10202)</f>
        <v>-0.478213236038514</v>
      </c>
    </row>
    <row r="10203" customFormat="false" ht="15.75" hidden="false" customHeight="false" outlineLevel="0" collapsed="false">
      <c r="A10203" s="1" t="s">
        <v>1192</v>
      </c>
      <c r="B10203" s="1" t="n">
        <v>242.78</v>
      </c>
      <c r="C10203" s="1" t="n">
        <f aca="false">1/B10203</f>
        <v>0.00411895543290222</v>
      </c>
      <c r="D10203" s="1" t="n">
        <v>0.61627</v>
      </c>
      <c r="E10203" s="1" t="n">
        <f aca="false">LN(D10203)</f>
        <v>-0.484070099790814</v>
      </c>
    </row>
    <row r="10204" customFormat="false" ht="15.75" hidden="false" customHeight="false" outlineLevel="0" collapsed="false">
      <c r="A10204" s="1" t="s">
        <v>1192</v>
      </c>
      <c r="B10204" s="1" t="n">
        <v>243.15</v>
      </c>
      <c r="C10204" s="1" t="n">
        <f aca="false">1/B10204</f>
        <v>0.00411268764137364</v>
      </c>
      <c r="D10204" s="1" t="n">
        <v>0.61267</v>
      </c>
      <c r="E10204" s="1" t="n">
        <f aca="false">LN(D10204)</f>
        <v>-0.489928824053006</v>
      </c>
    </row>
    <row r="10205" customFormat="false" ht="15.75" hidden="false" customHeight="false" outlineLevel="0" collapsed="false">
      <c r="A10205" s="1" t="s">
        <v>1192</v>
      </c>
      <c r="B10205" s="1" t="n">
        <v>243.52</v>
      </c>
      <c r="C10205" s="1" t="n">
        <f aca="false">1/B10205</f>
        <v>0.00410643889618923</v>
      </c>
      <c r="D10205" s="1" t="n">
        <v>0.60911</v>
      </c>
      <c r="E10205" s="1" t="n">
        <f aca="false">LN(D10205)</f>
        <v>-0.495756403609058</v>
      </c>
    </row>
    <row r="10206" customFormat="false" ht="15.75" hidden="false" customHeight="false" outlineLevel="0" collapsed="false">
      <c r="A10206" s="1" t="s">
        <v>1192</v>
      </c>
      <c r="B10206" s="1" t="n">
        <v>243.88</v>
      </c>
      <c r="C10206" s="1" t="n">
        <f aca="false">1/B10206</f>
        <v>0.00410037723470559</v>
      </c>
      <c r="D10206" s="1" t="n">
        <v>0.60557</v>
      </c>
      <c r="E10206" s="1" t="n">
        <f aca="false">LN(D10206)</f>
        <v>-0.501585115734541</v>
      </c>
    </row>
    <row r="10207" customFormat="false" ht="15.75" hidden="false" customHeight="false" outlineLevel="0" collapsed="false">
      <c r="A10207" s="1" t="s">
        <v>1192</v>
      </c>
      <c r="B10207" s="1" t="n">
        <v>244.25</v>
      </c>
      <c r="C10207" s="1" t="n">
        <f aca="false">1/B10207</f>
        <v>0.00409416581371546</v>
      </c>
      <c r="D10207" s="1" t="n">
        <v>0.60207</v>
      </c>
      <c r="E10207" s="1" t="n">
        <f aca="false">LN(D10207)</f>
        <v>-0.507381561363436</v>
      </c>
    </row>
    <row r="10208" customFormat="false" ht="15.75" hidden="false" customHeight="false" outlineLevel="0" collapsed="false">
      <c r="A10208" s="1" t="s">
        <v>1192</v>
      </c>
      <c r="B10208" s="1" t="n">
        <v>244.62</v>
      </c>
      <c r="C10208" s="1" t="n">
        <f aca="false">1/B10208</f>
        <v>0.00408797318289592</v>
      </c>
      <c r="D10208" s="1" t="n">
        <v>0.59859</v>
      </c>
      <c r="E10208" s="1" t="n">
        <f aca="false">LN(D10208)</f>
        <v>-0.513178389349588</v>
      </c>
    </row>
    <row r="10209" customFormat="false" ht="15.75" hidden="false" customHeight="false" outlineLevel="0" collapsed="false">
      <c r="A10209" s="1" t="s">
        <v>1192</v>
      </c>
      <c r="B10209" s="1" t="n">
        <v>244.99</v>
      </c>
      <c r="C10209" s="1" t="n">
        <f aca="false">1/B10209</f>
        <v>0.00408179925711254</v>
      </c>
      <c r="D10209" s="1" t="n">
        <v>0.59514</v>
      </c>
      <c r="E10209" s="1" t="n">
        <f aca="false">LN(D10209)</f>
        <v>-0.51895860699618</v>
      </c>
    </row>
    <row r="10210" customFormat="false" ht="15.75" hidden="false" customHeight="false" outlineLevel="0" collapsed="false">
      <c r="A10210" s="1" t="s">
        <v>1192</v>
      </c>
      <c r="B10210" s="1" t="n">
        <v>245.35</v>
      </c>
      <c r="C10210" s="1" t="n">
        <f aca="false">1/B10210</f>
        <v>0.00407581006725087</v>
      </c>
      <c r="D10210" s="1" t="n">
        <v>0.59172</v>
      </c>
      <c r="E10210" s="1" t="n">
        <f aca="false">LN(D10210)</f>
        <v>-0.524721728958102</v>
      </c>
    </row>
    <row r="10211" customFormat="false" ht="15.75" hidden="false" customHeight="false" outlineLevel="0" collapsed="false">
      <c r="A10211" s="1" t="s">
        <v>1192</v>
      </c>
      <c r="B10211" s="1" t="n">
        <v>245.72</v>
      </c>
      <c r="C10211" s="1" t="n">
        <f aca="false">1/B10211</f>
        <v>0.00406967279830702</v>
      </c>
      <c r="D10211" s="1" t="n">
        <v>0.58832</v>
      </c>
      <c r="E10211" s="1" t="n">
        <f aca="false">LN(D10211)</f>
        <v>-0.530484261429175</v>
      </c>
    </row>
    <row r="10212" customFormat="false" ht="15.75" hidden="false" customHeight="false" outlineLevel="0" collapsed="false">
      <c r="A10212" s="1" t="s">
        <v>1192</v>
      </c>
      <c r="B10212" s="1" t="n">
        <v>246.09</v>
      </c>
      <c r="C10212" s="1" t="n">
        <f aca="false">1/B10212</f>
        <v>0.00406355398431468</v>
      </c>
      <c r="D10212" s="1" t="n">
        <v>0.58496</v>
      </c>
      <c r="E10212" s="1" t="n">
        <f aca="false">LN(D10212)</f>
        <v>-0.536211810156406</v>
      </c>
    </row>
    <row r="10213" customFormat="false" ht="15.75" hidden="false" customHeight="false" outlineLevel="0" collapsed="false">
      <c r="A10213" s="1" t="s">
        <v>1192</v>
      </c>
      <c r="B10213" s="1" t="n">
        <v>246.45</v>
      </c>
      <c r="C10213" s="1" t="n">
        <f aca="false">1/B10213</f>
        <v>0.00405761817812944</v>
      </c>
      <c r="D10213" s="1" t="n">
        <v>0.58162</v>
      </c>
      <c r="E10213" s="1" t="n">
        <f aca="false">LN(D10213)</f>
        <v>-0.541937965458617</v>
      </c>
    </row>
    <row r="10214" customFormat="false" ht="15.75" hidden="false" customHeight="false" outlineLevel="0" collapsed="false">
      <c r="A10214" s="1" t="s">
        <v>1192</v>
      </c>
      <c r="B10214" s="1" t="n">
        <v>246.82</v>
      </c>
      <c r="C10214" s="1" t="n">
        <f aca="false">1/B10214</f>
        <v>0.00405153553196662</v>
      </c>
      <c r="D10214" s="1" t="n">
        <v>0.5783</v>
      </c>
      <c r="E10214" s="1" t="n">
        <f aca="false">LN(D10214)</f>
        <v>-0.547662513817964</v>
      </c>
    </row>
    <row r="10215" customFormat="false" ht="15.75" hidden="false" customHeight="false" outlineLevel="0" collapsed="false">
      <c r="A10215" s="1" t="s">
        <v>1192</v>
      </c>
      <c r="B10215" s="1" t="n">
        <v>247.19</v>
      </c>
      <c r="C10215" s="1" t="n">
        <f aca="false">1/B10215</f>
        <v>0.00404547109510903</v>
      </c>
      <c r="D10215" s="1" t="n">
        <v>0.57502</v>
      </c>
      <c r="E10215" s="1" t="n">
        <f aca="false">LN(D10215)</f>
        <v>-0.553350456180992</v>
      </c>
    </row>
    <row r="10216" customFormat="false" ht="15.75" hidden="false" customHeight="false" outlineLevel="0" collapsed="false">
      <c r="A10216" s="1" t="s">
        <v>1192</v>
      </c>
      <c r="B10216" s="1" t="n">
        <v>247.56</v>
      </c>
      <c r="C10216" s="1" t="n">
        <f aca="false">1/B10216</f>
        <v>0.00403942478591049</v>
      </c>
      <c r="D10216" s="1" t="n">
        <v>0.57175</v>
      </c>
      <c r="E10216" s="1" t="n">
        <f aca="false">LN(D10216)</f>
        <v>-0.559053446079247</v>
      </c>
    </row>
    <row r="10217" customFormat="false" ht="15.75" hidden="false" customHeight="false" outlineLevel="0" collapsed="false">
      <c r="A10217" s="1" t="s">
        <v>1192</v>
      </c>
      <c r="B10217" s="1" t="n">
        <v>247.92</v>
      </c>
      <c r="C10217" s="1" t="n">
        <f aca="false">1/B10217</f>
        <v>0.00403355921264924</v>
      </c>
      <c r="D10217" s="1" t="n">
        <v>0.56852</v>
      </c>
      <c r="E10217" s="1" t="n">
        <f aca="false">LN(D10217)</f>
        <v>-0.564718786111326</v>
      </c>
    </row>
    <row r="10218" customFormat="false" ht="15.75" hidden="false" customHeight="false" outlineLevel="0" collapsed="false">
      <c r="A10218" s="1" t="s">
        <v>1192</v>
      </c>
      <c r="B10218" s="1" t="n">
        <v>248.29</v>
      </c>
      <c r="C10218" s="1" t="n">
        <f aca="false">1/B10218</f>
        <v>0.00402754843126989</v>
      </c>
      <c r="D10218" s="1" t="n">
        <v>0.56531</v>
      </c>
      <c r="E10218" s="1" t="n">
        <f aca="false">LN(D10218)</f>
        <v>-0.570381025735082</v>
      </c>
    </row>
    <row r="10219" customFormat="false" ht="15.75" hidden="false" customHeight="false" outlineLevel="0" collapsed="false">
      <c r="A10219" s="1" t="s">
        <v>1192</v>
      </c>
      <c r="B10219" s="1" t="n">
        <v>248.66</v>
      </c>
      <c r="C10219" s="1" t="n">
        <f aca="false">1/B10219</f>
        <v>0.00402155553768198</v>
      </c>
      <c r="D10219" s="1" t="n">
        <v>0.56212</v>
      </c>
      <c r="E10219" s="1" t="n">
        <f aca="false">LN(D10219)</f>
        <v>-0.576039928749593</v>
      </c>
    </row>
    <row r="10220" customFormat="false" ht="15.75" hidden="false" customHeight="false" outlineLevel="0" collapsed="false">
      <c r="A10220" s="1" t="s">
        <v>1192</v>
      </c>
      <c r="B10220" s="1" t="n">
        <v>249.03</v>
      </c>
      <c r="C10220" s="1" t="n">
        <f aca="false">1/B10220</f>
        <v>0.00401558045215436</v>
      </c>
      <c r="D10220" s="1" t="n">
        <v>0.55896</v>
      </c>
      <c r="E10220" s="1" t="n">
        <f aca="false">LN(D10220)</f>
        <v>-0.581677364737942</v>
      </c>
    </row>
    <row r="10221" customFormat="false" ht="15.75" hidden="false" customHeight="false" outlineLevel="0" collapsed="false">
      <c r="A10221" s="1" t="s">
        <v>1192</v>
      </c>
      <c r="B10221" s="1" t="n">
        <v>249.39</v>
      </c>
      <c r="C10221" s="1" t="n">
        <f aca="false">1/B10221</f>
        <v>0.00400978387264926</v>
      </c>
      <c r="D10221" s="1" t="n">
        <v>0.55583</v>
      </c>
      <c r="E10221" s="1" t="n">
        <f aca="false">LN(D10221)</f>
        <v>-0.587292786879949</v>
      </c>
    </row>
    <row r="10222" customFormat="false" ht="15.75" hidden="false" customHeight="false" outlineLevel="0" collapsed="false">
      <c r="A10222" s="1" t="s">
        <v>1192</v>
      </c>
      <c r="B10222" s="1" t="n">
        <v>249.76</v>
      </c>
      <c r="C10222" s="1" t="n">
        <f aca="false">1/B10222</f>
        <v>0.00400384368994235</v>
      </c>
      <c r="D10222" s="1" t="n">
        <v>0.55272</v>
      </c>
      <c r="E10222" s="1" t="n">
        <f aca="false">LN(D10222)</f>
        <v>-0.592903734801598</v>
      </c>
    </row>
    <row r="10223" customFormat="false" ht="15.75" hidden="false" customHeight="false" outlineLevel="0" collapsed="false">
      <c r="A10223" s="1" t="s">
        <v>1192</v>
      </c>
      <c r="B10223" s="1" t="n">
        <v>250.13</v>
      </c>
      <c r="C10223" s="1" t="n">
        <f aca="false">1/B10223</f>
        <v>0.00399792108103786</v>
      </c>
      <c r="D10223" s="1" t="n">
        <v>0.54963</v>
      </c>
      <c r="E10223" s="1" t="n">
        <f aca="false">LN(D10223)</f>
        <v>-0.598509954410874</v>
      </c>
    </row>
    <row r="10224" customFormat="false" ht="15.75" hidden="false" customHeight="false" outlineLevel="0" collapsed="false">
      <c r="A10224" s="1" t="s">
        <v>1192</v>
      </c>
      <c r="B10224" s="1" t="n">
        <v>250.5</v>
      </c>
      <c r="C10224" s="1" t="n">
        <f aca="false">1/B10224</f>
        <v>0.00399201596806387</v>
      </c>
      <c r="D10224" s="1" t="n">
        <v>0.54657</v>
      </c>
      <c r="E10224" s="1" t="n">
        <f aca="false">LN(D10224)</f>
        <v>-0.604092891736434</v>
      </c>
    </row>
    <row r="10225" customFormat="false" ht="15.75" hidden="false" customHeight="false" outlineLevel="0" collapsed="false">
      <c r="A10225" s="1" t="s">
        <v>1192</v>
      </c>
      <c r="B10225" s="1" t="n">
        <v>250.86</v>
      </c>
      <c r="C10225" s="1" t="n">
        <f aca="false">1/B10225</f>
        <v>0.00398628717212788</v>
      </c>
      <c r="D10225" s="1" t="n">
        <v>0.54353</v>
      </c>
      <c r="E10225" s="1" t="n">
        <f aca="false">LN(D10225)</f>
        <v>-0.609670376152127</v>
      </c>
    </row>
    <row r="10226" customFormat="false" ht="15.75" hidden="false" customHeight="false" outlineLevel="0" collapsed="false">
      <c r="A10226" s="1" t="s">
        <v>1192</v>
      </c>
      <c r="B10226" s="1" t="n">
        <v>251.23</v>
      </c>
      <c r="C10226" s="1" t="n">
        <f aca="false">1/B10226</f>
        <v>0.00398041635155037</v>
      </c>
      <c r="D10226" s="1" t="n">
        <v>0.54051</v>
      </c>
      <c r="E10226" s="1" t="n">
        <f aca="false">LN(D10226)</f>
        <v>-0.615242140686418</v>
      </c>
    </row>
    <row r="10227" customFormat="false" ht="15.75" hidden="false" customHeight="false" outlineLevel="0" collapsed="false">
      <c r="A10227" s="1" t="s">
        <v>1192</v>
      </c>
      <c r="B10227" s="1" t="n">
        <v>251.6</v>
      </c>
      <c r="C10227" s="1" t="n">
        <f aca="false">1/B10227</f>
        <v>0.00397456279809221</v>
      </c>
      <c r="D10227" s="1" t="n">
        <v>0.53752</v>
      </c>
      <c r="E10227" s="1" t="n">
        <f aca="false">LN(D10227)</f>
        <v>-0.620789310370243</v>
      </c>
    </row>
    <row r="10228" customFormat="false" ht="15.75" hidden="false" customHeight="false" outlineLevel="0" collapsed="false">
      <c r="A10228" s="1" t="s">
        <v>1192</v>
      </c>
      <c r="B10228" s="1" t="n">
        <v>251.96</v>
      </c>
      <c r="C10228" s="1" t="n">
        <f aca="false">1/B10228</f>
        <v>0.00396888394983331</v>
      </c>
      <c r="D10228" s="1" t="n">
        <v>0.53454</v>
      </c>
      <c r="E10228" s="1" t="n">
        <f aca="false">LN(D10228)</f>
        <v>-0.62634871502153</v>
      </c>
    </row>
    <row r="10229" customFormat="false" ht="15.75" hidden="false" customHeight="false" outlineLevel="0" collapsed="false">
      <c r="A10229" s="1" t="s">
        <v>1192</v>
      </c>
      <c r="B10229" s="1" t="n">
        <v>252.33</v>
      </c>
      <c r="C10229" s="1" t="n">
        <f aca="false">1/B10229</f>
        <v>0.00396306424127135</v>
      </c>
      <c r="D10229" s="1" t="n">
        <v>0.5316</v>
      </c>
      <c r="E10229" s="1" t="n">
        <f aca="false">LN(D10229)</f>
        <v>-0.631863952143047</v>
      </c>
    </row>
    <row r="10230" customFormat="false" ht="15.75" hidden="false" customHeight="false" outlineLevel="0" collapsed="false">
      <c r="A10230" s="1" t="s">
        <v>1192</v>
      </c>
      <c r="B10230" s="1" t="n">
        <v>252.7</v>
      </c>
      <c r="C10230" s="1" t="n">
        <f aca="false">1/B10230</f>
        <v>0.00395726157499011</v>
      </c>
      <c r="D10230" s="1" t="n">
        <v>0.52867</v>
      </c>
      <c r="E10230" s="1" t="n">
        <f aca="false">LN(D10230)</f>
        <v>-0.637390860305091</v>
      </c>
    </row>
    <row r="10231" customFormat="false" ht="15.75" hidden="false" customHeight="false" outlineLevel="0" collapsed="false">
      <c r="A10231" s="1" t="s">
        <v>1192</v>
      </c>
      <c r="B10231" s="1" t="n">
        <v>253.07</v>
      </c>
      <c r="C10231" s="1" t="n">
        <f aca="false">1/B10231</f>
        <v>0.00395147587623978</v>
      </c>
      <c r="D10231" s="1" t="n">
        <v>0.52577</v>
      </c>
      <c r="E10231" s="1" t="n">
        <f aca="false">LN(D10231)</f>
        <v>-0.642891424228903</v>
      </c>
    </row>
    <row r="10232" customFormat="false" ht="15.75" hidden="false" customHeight="false" outlineLevel="0" collapsed="false">
      <c r="A10232" s="1" t="s">
        <v>1192</v>
      </c>
      <c r="B10232" s="1" t="n">
        <v>253.43</v>
      </c>
      <c r="C10232" s="1" t="n">
        <f aca="false">1/B10232</f>
        <v>0.00394586276289311</v>
      </c>
      <c r="D10232" s="1" t="n">
        <v>0.52288</v>
      </c>
      <c r="E10232" s="1" t="n">
        <f aca="false">LN(D10232)</f>
        <v>-0.648403286750554</v>
      </c>
    </row>
    <row r="10233" customFormat="false" ht="15.75" hidden="false" customHeight="false" outlineLevel="0" collapsed="false">
      <c r="A10233" s="1" t="s">
        <v>1192</v>
      </c>
      <c r="B10233" s="1" t="n">
        <v>253.8</v>
      </c>
      <c r="C10233" s="1" t="n">
        <f aca="false">1/B10233</f>
        <v>0.00394011032308905</v>
      </c>
      <c r="D10233" s="1" t="n">
        <v>0.52002</v>
      </c>
      <c r="E10233" s="1" t="n">
        <f aca="false">LN(D10233)</f>
        <v>-0.653888006607828</v>
      </c>
    </row>
    <row r="10234" customFormat="false" ht="15.75" hidden="false" customHeight="false" outlineLevel="0" collapsed="false">
      <c r="A10234" s="1" t="s">
        <v>1192</v>
      </c>
      <c r="B10234" s="1" t="n">
        <v>254.17</v>
      </c>
      <c r="C10234" s="1" t="n">
        <f aca="false">1/B10234</f>
        <v>0.00393437463115238</v>
      </c>
      <c r="D10234" s="1" t="n">
        <v>0.51718</v>
      </c>
      <c r="E10234" s="1" t="n">
        <f aca="false">LN(D10234)</f>
        <v>-0.659364302592377</v>
      </c>
    </row>
    <row r="10235" customFormat="false" ht="15.75" hidden="false" customHeight="false" outlineLevel="0" collapsed="false">
      <c r="A10235" s="1" t="s">
        <v>1192</v>
      </c>
      <c r="B10235" s="1" t="n">
        <v>254.54</v>
      </c>
      <c r="C10235" s="1" t="n">
        <f aca="false">1/B10235</f>
        <v>0.00392865561404887</v>
      </c>
      <c r="D10235" s="1" t="n">
        <v>0.51436</v>
      </c>
      <c r="E10235" s="1" t="n">
        <f aca="false">LN(D10235)</f>
        <v>-0.664831869579899</v>
      </c>
    </row>
    <row r="10236" customFormat="false" ht="15.75" hidden="false" customHeight="false" outlineLevel="0" collapsed="false">
      <c r="A10236" s="1" t="s">
        <v>1192</v>
      </c>
      <c r="B10236" s="1" t="n">
        <v>254.9</v>
      </c>
      <c r="C10236" s="1" t="n">
        <f aca="false">1/B10236</f>
        <v>0.00392310710082385</v>
      </c>
      <c r="D10236" s="1" t="n">
        <v>0.51157</v>
      </c>
      <c r="E10236" s="1" t="n">
        <f aca="false">LN(D10236)</f>
        <v>-0.670270850558974</v>
      </c>
    </row>
    <row r="10237" customFormat="false" ht="15.75" hidden="false" customHeight="false" outlineLevel="0" collapsed="false">
      <c r="A10237" s="1" t="s">
        <v>1192</v>
      </c>
      <c r="B10237" s="1" t="n">
        <v>255.27</v>
      </c>
      <c r="C10237" s="1" t="n">
        <f aca="false">1/B10237</f>
        <v>0.00391742077016492</v>
      </c>
      <c r="D10237" s="1" t="n">
        <v>0.50879</v>
      </c>
      <c r="E10237" s="1" t="n">
        <f aca="false">LN(D10237)</f>
        <v>-0.675719921237419</v>
      </c>
    </row>
    <row r="10238" customFormat="false" ht="15.75" hidden="false" customHeight="false" outlineLevel="0" collapsed="false">
      <c r="A10238" s="1" t="s">
        <v>1192</v>
      </c>
      <c r="B10238" s="1" t="n">
        <v>255.64</v>
      </c>
      <c r="C10238" s="1" t="n">
        <f aca="false">1/B10238</f>
        <v>0.00391175089970271</v>
      </c>
      <c r="D10238" s="1" t="n">
        <v>0.50603</v>
      </c>
      <c r="E10238" s="1" t="n">
        <f aca="false">LN(D10238)</f>
        <v>-0.681159322914618</v>
      </c>
    </row>
    <row r="10239" customFormat="false" ht="15.75" hidden="false" customHeight="false" outlineLevel="0" collapsed="false">
      <c r="A10239" s="1" t="s">
        <v>1192</v>
      </c>
      <c r="B10239" s="1" t="n">
        <v>256.01</v>
      </c>
      <c r="C10239" s="1" t="n">
        <f aca="false">1/B10239</f>
        <v>0.00390609741806961</v>
      </c>
      <c r="D10239" s="1" t="n">
        <v>0.5033</v>
      </c>
      <c r="E10239" s="1" t="n">
        <f aca="false">LN(D10239)</f>
        <v>-0.686568865199823</v>
      </c>
    </row>
    <row r="10240" customFormat="false" ht="15.75" hidden="false" customHeight="false" outlineLevel="0" collapsed="false">
      <c r="A10240" s="1" t="s">
        <v>1192</v>
      </c>
      <c r="B10240" s="1" t="n">
        <v>256.37</v>
      </c>
      <c r="C10240" s="1" t="n">
        <f aca="false">1/B10240</f>
        <v>0.00390061239614619</v>
      </c>
      <c r="D10240" s="1" t="n">
        <v>0.50058</v>
      </c>
      <c r="E10240" s="1" t="n">
        <f aca="false">LN(D10240)</f>
        <v>-0.691987852840099</v>
      </c>
    </row>
    <row r="10241" customFormat="false" ht="15.75" hidden="false" customHeight="false" outlineLevel="0" collapsed="false">
      <c r="A10241" s="1" t="s">
        <v>1192</v>
      </c>
      <c r="B10241" s="1" t="n">
        <v>256.74</v>
      </c>
      <c r="C10241" s="1" t="n">
        <f aca="false">1/B10241</f>
        <v>0.0038949910415206</v>
      </c>
      <c r="D10241" s="1" t="n">
        <v>0.49788</v>
      </c>
      <c r="E10241" s="1" t="n">
        <f aca="false">LN(D10241)</f>
        <v>-0.69739619484936</v>
      </c>
    </row>
    <row r="10242" customFormat="false" ht="15.75" hidden="false" customHeight="false" outlineLevel="0" collapsed="false">
      <c r="A10242" s="1" t="s">
        <v>1192</v>
      </c>
      <c r="B10242" s="1" t="n">
        <v>257.11</v>
      </c>
      <c r="C10242" s="1" t="n">
        <f aca="false">1/B10242</f>
        <v>0.00388938586597176</v>
      </c>
      <c r="D10242" s="1" t="n">
        <v>0.49521</v>
      </c>
      <c r="E10242" s="1" t="n">
        <f aca="false">LN(D10242)</f>
        <v>-0.702773363954578</v>
      </c>
    </row>
    <row r="10243" customFormat="false" ht="15.75" hidden="false" customHeight="false" outlineLevel="0" collapsed="false">
      <c r="A10243" s="1" t="s">
        <v>1192</v>
      </c>
      <c r="B10243" s="1" t="n">
        <v>257.47</v>
      </c>
      <c r="C10243" s="1" t="n">
        <f aca="false">1/B10243</f>
        <v>0.00388394764438575</v>
      </c>
      <c r="D10243" s="1" t="n">
        <v>0.49255</v>
      </c>
      <c r="E10243" s="1" t="n">
        <f aca="false">LN(D10243)</f>
        <v>-0.708159300680449</v>
      </c>
    </row>
    <row r="10244" customFormat="false" ht="15.75" hidden="false" customHeight="false" outlineLevel="0" collapsed="false">
      <c r="A10244" s="1" t="s">
        <v>1192</v>
      </c>
      <c r="B10244" s="1" t="n">
        <v>257.84</v>
      </c>
      <c r="C10244" s="1" t="n">
        <f aca="false">1/B10244</f>
        <v>0.00387837418554142</v>
      </c>
      <c r="D10244" s="1" t="n">
        <v>0.48991</v>
      </c>
      <c r="E10244" s="1" t="n">
        <f aca="false">LN(D10244)</f>
        <v>-0.71353357821689</v>
      </c>
    </row>
    <row r="10245" customFormat="false" ht="15.75" hidden="false" customHeight="false" outlineLevel="0" collapsed="false">
      <c r="A10245" s="1" t="s">
        <v>1192</v>
      </c>
      <c r="B10245" s="1" t="n">
        <v>258.21</v>
      </c>
      <c r="C10245" s="1" t="n">
        <f aca="false">1/B10245</f>
        <v>0.00387281669958561</v>
      </c>
      <c r="D10245" s="1" t="n">
        <v>0.48729</v>
      </c>
      <c r="E10245" s="1" t="n">
        <f aca="false">LN(D10245)</f>
        <v>-0.718895850582723</v>
      </c>
    </row>
    <row r="10246" customFormat="false" ht="15.75" hidden="false" customHeight="false" outlineLevel="0" collapsed="false">
      <c r="A10246" s="1" t="s">
        <v>1192</v>
      </c>
      <c r="B10246" s="1" t="n">
        <v>258.58</v>
      </c>
      <c r="C10246" s="1" t="n">
        <f aca="false">1/B10246</f>
        <v>0.00386727511795189</v>
      </c>
      <c r="D10246" s="1" t="n">
        <v>0.48469</v>
      </c>
      <c r="E10246" s="1" t="n">
        <f aca="false">LN(D10246)</f>
        <v>-0.724245767661977</v>
      </c>
    </row>
    <row r="10247" customFormat="false" ht="15.75" hidden="false" customHeight="false" outlineLevel="0" collapsed="false">
      <c r="A10247" s="1" t="s">
        <v>1192</v>
      </c>
      <c r="B10247" s="1" t="n">
        <v>258.94</v>
      </c>
      <c r="C10247" s="1" t="n">
        <f aca="false">1/B10247</f>
        <v>0.00386189850930717</v>
      </c>
      <c r="D10247" s="1" t="n">
        <v>0.48211</v>
      </c>
      <c r="E10247" s="1" t="n">
        <f aca="false">LN(D10247)</f>
        <v>-0.729582975201159</v>
      </c>
    </row>
    <row r="10248" customFormat="false" ht="15.75" hidden="false" customHeight="false" outlineLevel="0" collapsed="false">
      <c r="A10248" s="1" t="s">
        <v>1192</v>
      </c>
      <c r="B10248" s="1" t="n">
        <v>259.31</v>
      </c>
      <c r="C10248" s="1" t="n">
        <f aca="false">1/B10248</f>
        <v>0.00385638810689908</v>
      </c>
      <c r="D10248" s="1" t="n">
        <v>0.47954</v>
      </c>
      <c r="E10248" s="1" t="n">
        <f aca="false">LN(D10248)</f>
        <v>-0.734927967908512</v>
      </c>
    </row>
    <row r="10249" customFormat="false" ht="15.75" hidden="false" customHeight="false" outlineLevel="0" collapsed="false">
      <c r="A10249" s="1" t="s">
        <v>1192</v>
      </c>
      <c r="B10249" s="1" t="n">
        <v>259.68</v>
      </c>
      <c r="C10249" s="1" t="n">
        <f aca="false">1/B10249</f>
        <v>0.00385089340727049</v>
      </c>
      <c r="D10249" s="1" t="n">
        <v>0.477</v>
      </c>
      <c r="E10249" s="1" t="n">
        <f aca="false">LN(D10249)</f>
        <v>-0.740238788093796</v>
      </c>
    </row>
    <row r="10250" customFormat="false" ht="15.75" hidden="false" customHeight="false" outlineLevel="0" collapsed="false">
      <c r="A10250" s="1" t="s">
        <v>1192</v>
      </c>
      <c r="B10250" s="1" t="n">
        <v>260.05</v>
      </c>
      <c r="C10250" s="1" t="n">
        <f aca="false">1/B10250</f>
        <v>0.0038454143433955</v>
      </c>
      <c r="D10250" s="1" t="n">
        <v>0.47447</v>
      </c>
      <c r="E10250" s="1" t="n">
        <f aca="false">LN(D10250)</f>
        <v>-0.74555688737769</v>
      </c>
    </row>
    <row r="10251" customFormat="false" ht="15.75" hidden="false" customHeight="false" outlineLevel="0" collapsed="false">
      <c r="A10251" s="1" t="s">
        <v>1192</v>
      </c>
      <c r="B10251" s="1" t="n">
        <v>260.41</v>
      </c>
      <c r="C10251" s="1" t="n">
        <f aca="false">1/B10251</f>
        <v>0.00384009830651665</v>
      </c>
      <c r="D10251" s="1" t="n">
        <v>0.47196</v>
      </c>
      <c r="E10251" s="1" t="n">
        <f aca="false">LN(D10251)</f>
        <v>-0.750861042750419</v>
      </c>
    </row>
    <row r="10252" customFormat="false" ht="15.75" hidden="false" customHeight="false" outlineLevel="0" collapsed="false">
      <c r="A10252" s="1" t="s">
        <v>1192</v>
      </c>
      <c r="B10252" s="1" t="n">
        <v>260.78</v>
      </c>
      <c r="C10252" s="1" t="n">
        <f aca="false">1/B10252</f>
        <v>0.00383464989646445</v>
      </c>
      <c r="D10252" s="1" t="n">
        <v>0.46947</v>
      </c>
      <c r="E10252" s="1" t="n">
        <f aca="false">LN(D10252)</f>
        <v>-0.756150880138947</v>
      </c>
    </row>
    <row r="10253" customFormat="false" ht="15.75" hidden="false" customHeight="false" outlineLevel="0" collapsed="false">
      <c r="A10253" s="1" t="s">
        <v>1192</v>
      </c>
      <c r="B10253" s="1" t="n">
        <v>261.15</v>
      </c>
      <c r="C10253" s="1" t="n">
        <f aca="false">1/B10253</f>
        <v>0.00382921692513881</v>
      </c>
      <c r="D10253" s="1" t="n">
        <v>0.46699</v>
      </c>
      <c r="E10253" s="1" t="n">
        <f aca="false">LN(D10253)</f>
        <v>-0.761447434818738</v>
      </c>
    </row>
    <row r="10254" customFormat="false" ht="15.75" hidden="false" customHeight="false" outlineLevel="0" collapsed="false">
      <c r="A10254" s="1" t="s">
        <v>1192</v>
      </c>
      <c r="B10254" s="1" t="n">
        <v>261.52</v>
      </c>
      <c r="C10254" s="1" t="n">
        <f aca="false">1/B10254</f>
        <v>0.00382379932701132</v>
      </c>
      <c r="D10254" s="1" t="n">
        <v>0.46454</v>
      </c>
      <c r="E10254" s="1" t="n">
        <f aca="false">LN(D10254)</f>
        <v>-0.766707610334666</v>
      </c>
    </row>
    <row r="10255" customFormat="false" ht="15.75" hidden="false" customHeight="false" outlineLevel="0" collapsed="false">
      <c r="A10255" s="1" t="s">
        <v>1192</v>
      </c>
      <c r="B10255" s="1" t="n">
        <v>261.88</v>
      </c>
      <c r="C10255" s="1" t="n">
        <f aca="false">1/B10255</f>
        <v>0.00381854284405071</v>
      </c>
      <c r="D10255" s="1" t="n">
        <v>0.4621</v>
      </c>
      <c r="E10255" s="1" t="n">
        <f aca="false">LN(D10255)</f>
        <v>-0.771973961105916</v>
      </c>
    </row>
    <row r="10256" customFormat="false" ht="15.75" hidden="false" customHeight="false" outlineLevel="0" collapsed="false">
      <c r="A10256" s="1" t="s">
        <v>1192</v>
      </c>
      <c r="B10256" s="1" t="n">
        <v>262.25</v>
      </c>
      <c r="C10256" s="1" t="n">
        <f aca="false">1/B10256</f>
        <v>0.00381315538608198</v>
      </c>
      <c r="D10256" s="1" t="n">
        <v>0.45967</v>
      </c>
      <c r="E10256" s="1" t="n">
        <f aca="false">LN(D10256)</f>
        <v>-0.777246438251621</v>
      </c>
    </row>
    <row r="10257" customFormat="false" ht="15.75" hidden="false" customHeight="false" outlineLevel="0" collapsed="false">
      <c r="A10257" s="1" t="s">
        <v>1192</v>
      </c>
      <c r="B10257" s="1" t="n">
        <v>262.62</v>
      </c>
      <c r="C10257" s="1" t="n">
        <f aca="false">1/B10257</f>
        <v>0.00380778310867413</v>
      </c>
      <c r="D10257" s="1" t="n">
        <v>0.45727</v>
      </c>
      <c r="E10257" s="1" t="n">
        <f aca="false">LN(D10257)</f>
        <v>-0.78248125291922</v>
      </c>
    </row>
    <row r="10258" customFormat="false" ht="15.75" hidden="false" customHeight="false" outlineLevel="0" collapsed="false">
      <c r="A10258" s="1" t="s">
        <v>1192</v>
      </c>
      <c r="B10258" s="1" t="n">
        <v>262.98</v>
      </c>
      <c r="C10258" s="1" t="n">
        <f aca="false">1/B10258</f>
        <v>0.00380257053768347</v>
      </c>
      <c r="D10258" s="1" t="n">
        <v>0.45488</v>
      </c>
      <c r="E10258" s="1" t="n">
        <f aca="false">LN(D10258)</f>
        <v>-0.787721631079447</v>
      </c>
    </row>
    <row r="10259" customFormat="false" ht="15.75" hidden="false" customHeight="false" outlineLevel="0" collapsed="false">
      <c r="A10259" s="1" t="s">
        <v>1192</v>
      </c>
      <c r="B10259" s="1" t="n">
        <v>263.35</v>
      </c>
      <c r="C10259" s="1" t="n">
        <f aca="false">1/B10259</f>
        <v>0.00379722802354281</v>
      </c>
      <c r="D10259" s="1" t="n">
        <v>0.45251</v>
      </c>
      <c r="E10259" s="1" t="n">
        <f aca="false">LN(D10259)</f>
        <v>-0.792945416638832</v>
      </c>
    </row>
    <row r="10260" customFormat="false" ht="15.75" hidden="false" customHeight="false" outlineLevel="0" collapsed="false">
      <c r="A10260" s="1" t="s">
        <v>1192</v>
      </c>
      <c r="B10260" s="1" t="n">
        <v>263.72</v>
      </c>
      <c r="C10260" s="1" t="n">
        <f aca="false">1/B10260</f>
        <v>0.00379190050053087</v>
      </c>
      <c r="D10260" s="1" t="n">
        <v>0.45015</v>
      </c>
      <c r="E10260" s="1" t="n">
        <f aca="false">LN(D10260)</f>
        <v>-0.798174418427651</v>
      </c>
    </row>
    <row r="10261" customFormat="false" ht="15.75" hidden="false" customHeight="false" outlineLevel="0" collapsed="false">
      <c r="A10261" s="1" t="s">
        <v>1192</v>
      </c>
      <c r="B10261" s="1" t="n">
        <v>264.09</v>
      </c>
      <c r="C10261" s="1" t="n">
        <f aca="false">1/B10261</f>
        <v>0.00378658790563823</v>
      </c>
      <c r="D10261" s="1" t="n">
        <v>0.44781</v>
      </c>
      <c r="E10261" s="1" t="n">
        <f aca="false">LN(D10261)</f>
        <v>-0.803386243668879</v>
      </c>
    </row>
    <row r="10262" customFormat="false" ht="15.75" hidden="false" customHeight="false" outlineLevel="0" collapsed="false">
      <c r="A10262" s="1" t="s">
        <v>1192</v>
      </c>
      <c r="B10262" s="1" t="n">
        <v>264.45</v>
      </c>
      <c r="C10262" s="1" t="n">
        <f aca="false">1/B10262</f>
        <v>0.00378143316316884</v>
      </c>
      <c r="D10262" s="1" t="n">
        <v>0.44548</v>
      </c>
      <c r="E10262" s="1" t="n">
        <f aca="false">LN(D10262)</f>
        <v>-0.808602926457238</v>
      </c>
    </row>
    <row r="10263" customFormat="false" ht="15.75" hidden="false" customHeight="false" outlineLevel="0" collapsed="false">
      <c r="A10263" s="1" t="s">
        <v>1192</v>
      </c>
      <c r="B10263" s="1" t="n">
        <v>264.82</v>
      </c>
      <c r="C10263" s="1" t="n">
        <f aca="false">1/B10263</f>
        <v>0.00377614983762556</v>
      </c>
      <c r="D10263" s="1" t="n">
        <v>0.44317</v>
      </c>
      <c r="E10263" s="1" t="n">
        <f aca="false">LN(D10263)</f>
        <v>-0.813801835370789</v>
      </c>
    </row>
    <row r="10264" customFormat="false" ht="15.75" hidden="false" customHeight="false" outlineLevel="0" collapsed="false">
      <c r="A10264" s="1" t="s">
        <v>1192</v>
      </c>
      <c r="B10264" s="1" t="n">
        <v>265.19</v>
      </c>
      <c r="C10264" s="1" t="n">
        <f aca="false">1/B10264</f>
        <v>0.00377088125494928</v>
      </c>
      <c r="D10264" s="1" t="n">
        <v>0.44088</v>
      </c>
      <c r="E10264" s="1" t="n">
        <f aca="false">LN(D10264)</f>
        <v>-0.818982549407157</v>
      </c>
    </row>
    <row r="10265" customFormat="false" ht="15.75" hidden="false" customHeight="false" outlineLevel="0" collapsed="false">
      <c r="A10265" s="1" t="s">
        <v>1192</v>
      </c>
      <c r="B10265" s="1" t="n">
        <v>265.56</v>
      </c>
      <c r="C10265" s="1" t="n">
        <f aca="false">1/B10265</f>
        <v>0.0037656273535171</v>
      </c>
      <c r="D10265" s="1" t="n">
        <v>0.4386</v>
      </c>
      <c r="E10265" s="1" t="n">
        <f aca="false">LN(D10265)</f>
        <v>-0.824167442998349</v>
      </c>
    </row>
    <row r="10266" customFormat="false" ht="15.75" hidden="false" customHeight="false" outlineLevel="0" collapsed="false">
      <c r="A10266" s="1" t="s">
        <v>1192</v>
      </c>
      <c r="B10266" s="1" t="n">
        <v>265.92</v>
      </c>
      <c r="C10266" s="1" t="n">
        <f aca="false">1/B10266</f>
        <v>0.00376052948255114</v>
      </c>
      <c r="D10266" s="1" t="n">
        <v>0.43634</v>
      </c>
      <c r="E10266" s="1" t="n">
        <f aca="false">LN(D10266)</f>
        <v>-0.829333523018259</v>
      </c>
    </row>
    <row r="10267" customFormat="false" ht="15.75" hidden="false" customHeight="false" outlineLevel="0" collapsed="false">
      <c r="A10267" s="1" t="s">
        <v>1192</v>
      </c>
      <c r="B10267" s="1" t="n">
        <v>266.29</v>
      </c>
      <c r="C10267" s="1" t="n">
        <f aca="false">1/B10267</f>
        <v>0.00375530436741898</v>
      </c>
      <c r="D10267" s="1" t="n">
        <v>0.43409</v>
      </c>
      <c r="E10267" s="1" t="n">
        <f aca="false">LN(D10267)</f>
        <v>-0.834503393108708</v>
      </c>
    </row>
    <row r="10268" customFormat="false" ht="15.75" hidden="false" customHeight="false" outlineLevel="0" collapsed="false">
      <c r="A10268" s="1" t="s">
        <v>1192</v>
      </c>
      <c r="B10268" s="1" t="n">
        <v>266.66</v>
      </c>
      <c r="C10268" s="1" t="n">
        <f aca="false">1/B10268</f>
        <v>0.00375009375234381</v>
      </c>
      <c r="D10268" s="1" t="n">
        <v>0.43186</v>
      </c>
      <c r="E10268" s="1" t="n">
        <f aca="false">LN(D10268)</f>
        <v>-0.839653817335451</v>
      </c>
    </row>
    <row r="10269" customFormat="false" ht="15.75" hidden="false" customHeight="false" outlineLevel="0" collapsed="false">
      <c r="A10269" s="1" t="s">
        <v>1192</v>
      </c>
      <c r="B10269" s="1" t="n">
        <v>267.03</v>
      </c>
      <c r="C10269" s="1" t="n">
        <f aca="false">1/B10269</f>
        <v>0.00374489757705127</v>
      </c>
      <c r="D10269" s="1" t="n">
        <v>0.42964</v>
      </c>
      <c r="E10269" s="1" t="n">
        <f aca="false">LN(D10269)</f>
        <v>-0.844807630252291</v>
      </c>
    </row>
    <row r="10270" customFormat="false" ht="15.75" hidden="false" customHeight="false" outlineLevel="0" collapsed="false">
      <c r="A10270" s="1" t="s">
        <v>1192</v>
      </c>
      <c r="B10270" s="1" t="n">
        <v>267.39</v>
      </c>
      <c r="C10270" s="1" t="n">
        <f aca="false">1/B10270</f>
        <v>0.00373985564157224</v>
      </c>
      <c r="D10270" s="1" t="n">
        <v>0.42744</v>
      </c>
      <c r="E10270" s="1" t="n">
        <f aca="false">LN(D10270)</f>
        <v>-0.849941351332621</v>
      </c>
    </row>
    <row r="10271" customFormat="false" ht="15.75" hidden="false" customHeight="false" outlineLevel="0" collapsed="false">
      <c r="A10271" s="1" t="s">
        <v>1192</v>
      </c>
      <c r="B10271" s="1" t="n">
        <v>267.76</v>
      </c>
      <c r="C10271" s="1" t="n">
        <f aca="false">1/B10271</f>
        <v>0.00373468778010158</v>
      </c>
      <c r="D10271" s="1" t="n">
        <v>0.42525</v>
      </c>
      <c r="E10271" s="1" t="n">
        <f aca="false">LN(D10271)</f>
        <v>-0.855078047706166</v>
      </c>
    </row>
    <row r="10272" customFormat="false" ht="15.75" hidden="false" customHeight="false" outlineLevel="0" collapsed="false">
      <c r="A10272" s="1" t="s">
        <v>1192</v>
      </c>
      <c r="B10272" s="1" t="n">
        <v>268.13</v>
      </c>
      <c r="C10272" s="1" t="n">
        <f aca="false">1/B10272</f>
        <v>0.00372953418118077</v>
      </c>
      <c r="D10272" s="1" t="n">
        <v>0.42308</v>
      </c>
      <c r="E10272" s="1" t="n">
        <f aca="false">LN(D10272)</f>
        <v>-0.860193992522285</v>
      </c>
    </row>
    <row r="10273" customFormat="false" ht="15.75" hidden="false" customHeight="false" outlineLevel="0" collapsed="false">
      <c r="A10273" s="1" t="s">
        <v>1192</v>
      </c>
      <c r="B10273" s="1" t="n">
        <v>268.49</v>
      </c>
      <c r="C10273" s="1" t="n">
        <f aca="false">1/B10273</f>
        <v>0.00372453350217885</v>
      </c>
      <c r="D10273" s="1" t="n">
        <v>0.42092</v>
      </c>
      <c r="E10273" s="1" t="n">
        <f aca="false">LN(D10273)</f>
        <v>-0.865312487109525</v>
      </c>
    </row>
    <row r="10274" customFormat="false" ht="15.75" hidden="false" customHeight="false" outlineLevel="0" collapsed="false">
      <c r="A10274" s="1" t="s">
        <v>1192</v>
      </c>
      <c r="B10274" s="1" t="n">
        <v>268.86</v>
      </c>
      <c r="C10274" s="1" t="n">
        <f aca="false">1/B10274</f>
        <v>0.00371940787026705</v>
      </c>
      <c r="D10274" s="1" t="n">
        <v>0.41878</v>
      </c>
      <c r="E10274" s="1" t="n">
        <f aca="false">LN(D10274)</f>
        <v>-0.870409556617967</v>
      </c>
    </row>
    <row r="10275" customFormat="false" ht="15.75" hidden="false" customHeight="false" outlineLevel="0" collapsed="false">
      <c r="A10275" s="1" t="s">
        <v>1192</v>
      </c>
      <c r="B10275" s="1" t="n">
        <v>269.23</v>
      </c>
      <c r="C10275" s="1" t="n">
        <f aca="false">1/B10275</f>
        <v>0.00371429632656093</v>
      </c>
      <c r="D10275" s="1" t="n">
        <v>0.41665</v>
      </c>
      <c r="E10275" s="1" t="n">
        <f aca="false">LN(D10275)</f>
        <v>-0.875508738153921</v>
      </c>
    </row>
    <row r="10276" customFormat="false" ht="15.75" hidden="false" customHeight="false" outlineLevel="0" collapsed="false">
      <c r="A10276" s="1" t="s">
        <v>1192</v>
      </c>
      <c r="B10276" s="1" t="n">
        <v>269.6</v>
      </c>
      <c r="C10276" s="1" t="n">
        <f aca="false">1/B10276</f>
        <v>0.00370919881305638</v>
      </c>
      <c r="D10276" s="1" t="n">
        <v>0.41453</v>
      </c>
      <c r="E10276" s="1" t="n">
        <f aca="false">LN(D10276)</f>
        <v>-0.880609930668773</v>
      </c>
    </row>
    <row r="10277" customFormat="false" ht="15.75" hidden="false" customHeight="false" outlineLevel="0" collapsed="false">
      <c r="A10277" s="1" t="s">
        <v>1192</v>
      </c>
      <c r="B10277" s="1" t="n">
        <v>269.96</v>
      </c>
      <c r="C10277" s="1" t="n">
        <f aca="false">1/B10277</f>
        <v>0.00370425248184916</v>
      </c>
      <c r="D10277" s="1" t="n">
        <v>0.41243</v>
      </c>
      <c r="E10277" s="1" t="n">
        <f aca="false">LN(D10277)</f>
        <v>-0.885688784577258</v>
      </c>
    </row>
    <row r="10278" customFormat="false" ht="15.75" hidden="false" customHeight="false" outlineLevel="0" collapsed="false">
      <c r="A10278" s="1" t="s">
        <v>1192</v>
      </c>
      <c r="B10278" s="1" t="n">
        <v>270.33</v>
      </c>
      <c r="C10278" s="1" t="n">
        <f aca="false">1/B10278</f>
        <v>0.00369918248067177</v>
      </c>
      <c r="D10278" s="1" t="n">
        <v>0.41034</v>
      </c>
      <c r="E10278" s="1" t="n">
        <f aca="false">LN(D10278)</f>
        <v>-0.890769194644077</v>
      </c>
    </row>
    <row r="10279" customFormat="false" ht="15.75" hidden="false" customHeight="false" outlineLevel="0" collapsed="false">
      <c r="A10279" s="1" t="s">
        <v>1192</v>
      </c>
      <c r="B10279" s="1" t="n">
        <v>270.7</v>
      </c>
      <c r="C10279" s="1" t="n">
        <f aca="false">1/B10279</f>
        <v>0.0036941263391208</v>
      </c>
      <c r="D10279" s="1" t="n">
        <v>0.40826</v>
      </c>
      <c r="E10279" s="1" t="n">
        <f aca="false">LN(D10279)</f>
        <v>-0.895851052636699</v>
      </c>
    </row>
    <row r="10280" customFormat="false" ht="15.75" hidden="false" customHeight="false" outlineLevel="0" collapsed="false">
      <c r="A10280" s="1" t="s">
        <v>1192</v>
      </c>
      <c r="B10280" s="1" t="n">
        <v>271.07</v>
      </c>
      <c r="C10280" s="1" t="n">
        <f aca="false">1/B10280</f>
        <v>0.00368908400044269</v>
      </c>
      <c r="D10280" s="1" t="n">
        <v>0.4062</v>
      </c>
      <c r="E10280" s="1" t="n">
        <f aca="false">LN(D10280)</f>
        <v>-0.900909629835853</v>
      </c>
    </row>
    <row r="10281" customFormat="false" ht="15.75" hidden="false" customHeight="false" outlineLevel="0" collapsed="false">
      <c r="A10281" s="1" t="s">
        <v>1192</v>
      </c>
      <c r="B10281" s="1" t="n">
        <v>271.35</v>
      </c>
      <c r="C10281" s="1" t="n">
        <f aca="false">1/B10281</f>
        <v>0.00368527731711811</v>
      </c>
      <c r="D10281" s="1" t="n">
        <v>0.40464</v>
      </c>
      <c r="E10281" s="1" t="n">
        <f aca="false">LN(D10281)</f>
        <v>-0.904757496060482</v>
      </c>
    </row>
    <row r="10282" customFormat="false" ht="15.75" hidden="false" customHeight="false" outlineLevel="0" collapsed="false">
      <c r="A10282" s="1" t="s">
        <v>1194</v>
      </c>
      <c r="B10282" s="1" t="n">
        <v>199.81</v>
      </c>
      <c r="C10282" s="1" t="n">
        <f aca="false">1/B10282</f>
        <v>0.00500475451679095</v>
      </c>
      <c r="D10282" s="1" t="n">
        <v>527.78</v>
      </c>
      <c r="E10282" s="1" t="n">
        <f aca="false">LN(D10282)</f>
        <v>6.26867953020992</v>
      </c>
    </row>
    <row r="10283" customFormat="false" ht="15.75" hidden="false" customHeight="false" outlineLevel="0" collapsed="false">
      <c r="A10283" s="1" t="s">
        <v>1194</v>
      </c>
      <c r="B10283" s="1" t="n">
        <v>200.23</v>
      </c>
      <c r="C10283" s="1" t="n">
        <f aca="false">1/B10283</f>
        <v>0.00499425660490436</v>
      </c>
      <c r="D10283" s="1" t="n">
        <v>116.56</v>
      </c>
      <c r="E10283" s="1" t="n">
        <f aca="false">LN(D10283)</f>
        <v>4.75840616188695</v>
      </c>
    </row>
    <row r="10284" customFormat="false" ht="15.75" hidden="false" customHeight="false" outlineLevel="0" collapsed="false">
      <c r="A10284" s="1" t="s">
        <v>1194</v>
      </c>
      <c r="B10284" s="1" t="n">
        <v>200.66</v>
      </c>
      <c r="C10284" s="1" t="n">
        <f aca="false">1/B10284</f>
        <v>0.00498355427090601</v>
      </c>
      <c r="D10284" s="1" t="n">
        <v>65.678</v>
      </c>
      <c r="E10284" s="1" t="n">
        <f aca="false">LN(D10284)</f>
        <v>4.18476401401063</v>
      </c>
    </row>
    <row r="10285" customFormat="false" ht="15.75" hidden="false" customHeight="false" outlineLevel="0" collapsed="false">
      <c r="A10285" s="1" t="s">
        <v>1194</v>
      </c>
      <c r="B10285" s="1" t="n">
        <v>201.08</v>
      </c>
      <c r="C10285" s="1" t="n">
        <f aca="false">1/B10285</f>
        <v>0.00497314501690869</v>
      </c>
      <c r="D10285" s="1" t="n">
        <v>45.793</v>
      </c>
      <c r="E10285" s="1" t="n">
        <f aca="false">LN(D10285)</f>
        <v>3.82413124101121</v>
      </c>
    </row>
    <row r="10286" customFormat="false" ht="15.75" hidden="false" customHeight="false" outlineLevel="0" collapsed="false">
      <c r="A10286" s="1" t="s">
        <v>1194</v>
      </c>
      <c r="B10286" s="1" t="n">
        <v>201.5</v>
      </c>
      <c r="C10286" s="1" t="n">
        <f aca="false">1/B10286</f>
        <v>0.00496277915632754</v>
      </c>
      <c r="D10286" s="1" t="n">
        <v>35.191</v>
      </c>
      <c r="E10286" s="1" t="n">
        <f aca="false">LN(D10286)</f>
        <v>3.5607903680937</v>
      </c>
    </row>
    <row r="10287" customFormat="false" ht="15.75" hidden="false" customHeight="false" outlineLevel="0" collapsed="false">
      <c r="A10287" s="1" t="s">
        <v>1194</v>
      </c>
      <c r="B10287" s="1" t="n">
        <v>201.93</v>
      </c>
      <c r="C10287" s="1" t="n">
        <f aca="false">1/B10287</f>
        <v>0.00495221116228396</v>
      </c>
      <c r="D10287" s="1" t="n">
        <v>28.601</v>
      </c>
      <c r="E10287" s="1" t="n">
        <f aca="false">LN(D10287)</f>
        <v>3.35344168224951</v>
      </c>
    </row>
    <row r="10288" customFormat="false" ht="15.75" hidden="false" customHeight="false" outlineLevel="0" collapsed="false">
      <c r="A10288" s="1" t="s">
        <v>1194</v>
      </c>
      <c r="B10288" s="1" t="n">
        <v>202.35</v>
      </c>
      <c r="C10288" s="1" t="n">
        <f aca="false">1/B10288</f>
        <v>0.00494193229552755</v>
      </c>
      <c r="D10288" s="1" t="n">
        <v>24.106</v>
      </c>
      <c r="E10288" s="1" t="n">
        <f aca="false">LN(D10288)</f>
        <v>3.18246077216615</v>
      </c>
    </row>
    <row r="10289" customFormat="false" ht="15.75" hidden="false" customHeight="false" outlineLevel="0" collapsed="false">
      <c r="A10289" s="1" t="s">
        <v>1194</v>
      </c>
      <c r="B10289" s="1" t="n">
        <v>202.77</v>
      </c>
      <c r="C10289" s="1" t="n">
        <f aca="false">1/B10289</f>
        <v>0.00493169601025793</v>
      </c>
      <c r="D10289" s="1" t="n">
        <v>20.844</v>
      </c>
      <c r="E10289" s="1" t="n">
        <f aca="false">LN(D10289)</f>
        <v>3.03706613704697</v>
      </c>
    </row>
    <row r="10290" customFormat="false" ht="15.75" hidden="false" customHeight="false" outlineLevel="0" collapsed="false">
      <c r="A10290" s="1" t="s">
        <v>1194</v>
      </c>
      <c r="B10290" s="1" t="n">
        <v>203.2</v>
      </c>
      <c r="C10290" s="1" t="n">
        <f aca="false">1/B10290</f>
        <v>0.00492125984251969</v>
      </c>
      <c r="D10290" s="1" t="n">
        <v>18.368</v>
      </c>
      <c r="E10290" s="1" t="n">
        <f aca="false">LN(D10290)</f>
        <v>2.91061002013716</v>
      </c>
    </row>
    <row r="10291" customFormat="false" ht="15.75" hidden="false" customHeight="false" outlineLevel="0" collapsed="false">
      <c r="A10291" s="1" t="s">
        <v>1194</v>
      </c>
      <c r="B10291" s="1" t="n">
        <v>203.62</v>
      </c>
      <c r="C10291" s="1" t="n">
        <f aca="false">1/B10291</f>
        <v>0.00491110892839603</v>
      </c>
      <c r="D10291" s="1" t="n">
        <v>16.424</v>
      </c>
      <c r="E10291" s="1" t="n">
        <f aca="false">LN(D10291)</f>
        <v>2.79874367971663</v>
      </c>
    </row>
    <row r="10292" customFormat="false" ht="15.75" hidden="false" customHeight="false" outlineLevel="0" collapsed="false">
      <c r="A10292" s="1" t="s">
        <v>1194</v>
      </c>
      <c r="B10292" s="1" t="n">
        <v>204.04</v>
      </c>
      <c r="C10292" s="1" t="n">
        <f aca="false">1/B10292</f>
        <v>0.00490099980396001</v>
      </c>
      <c r="D10292" s="1" t="n">
        <v>14.857</v>
      </c>
      <c r="E10292" s="1" t="n">
        <f aca="false">LN(D10292)</f>
        <v>2.69847113465522</v>
      </c>
    </row>
    <row r="10293" customFormat="false" ht="15.75" hidden="false" customHeight="false" outlineLevel="0" collapsed="false">
      <c r="A10293" s="1" t="s">
        <v>1194</v>
      </c>
      <c r="B10293" s="1" t="n">
        <v>204.47</v>
      </c>
      <c r="C10293" s="1" t="n">
        <f aca="false">1/B10293</f>
        <v>0.00489069301119969</v>
      </c>
      <c r="D10293" s="1" t="n">
        <v>13.567</v>
      </c>
      <c r="E10293" s="1" t="n">
        <f aca="false">LN(D10293)</f>
        <v>2.60764037350317</v>
      </c>
    </row>
    <row r="10294" customFormat="false" ht="15.75" hidden="false" customHeight="false" outlineLevel="0" collapsed="false">
      <c r="A10294" s="1" t="s">
        <v>1194</v>
      </c>
      <c r="B10294" s="1" t="n">
        <v>204.89</v>
      </c>
      <c r="C10294" s="1" t="n">
        <f aca="false">1/B10294</f>
        <v>0.00488066767533799</v>
      </c>
      <c r="D10294" s="1" t="n">
        <v>12.485</v>
      </c>
      <c r="E10294" s="1" t="n">
        <f aca="false">LN(D10294)</f>
        <v>2.52452792373174</v>
      </c>
    </row>
    <row r="10295" customFormat="false" ht="15.75" hidden="false" customHeight="false" outlineLevel="0" collapsed="false">
      <c r="A10295" s="1" t="s">
        <v>1194</v>
      </c>
      <c r="B10295" s="1" t="n">
        <v>205.31</v>
      </c>
      <c r="C10295" s="1" t="n">
        <f aca="false">1/B10295</f>
        <v>0.00487068335687497</v>
      </c>
      <c r="D10295" s="1" t="n">
        <v>11.566</v>
      </c>
      <c r="E10295" s="1" t="n">
        <f aca="false">LN(D10295)</f>
        <v>2.44806975973603</v>
      </c>
    </row>
    <row r="10296" customFormat="false" ht="15.75" hidden="false" customHeight="false" outlineLevel="0" collapsed="false">
      <c r="A10296" s="1" t="s">
        <v>1194</v>
      </c>
      <c r="B10296" s="1" t="n">
        <v>205.74</v>
      </c>
      <c r="C10296" s="1" t="n">
        <f aca="false">1/B10296</f>
        <v>0.00486050354816759</v>
      </c>
      <c r="D10296" s="1" t="n">
        <v>10.774</v>
      </c>
      <c r="E10296" s="1" t="n">
        <f aca="false">LN(D10296)</f>
        <v>2.37713582425834</v>
      </c>
    </row>
    <row r="10297" customFormat="false" ht="15.75" hidden="false" customHeight="false" outlineLevel="0" collapsed="false">
      <c r="A10297" s="1" t="s">
        <v>1194</v>
      </c>
      <c r="B10297" s="1" t="n">
        <v>206.16</v>
      </c>
      <c r="C10297" s="1" t="n">
        <f aca="false">1/B10297</f>
        <v>0.00485060147458285</v>
      </c>
      <c r="D10297" s="1" t="n">
        <v>10.086</v>
      </c>
      <c r="E10297" s="1" t="n">
        <f aca="false">LN(D10297)</f>
        <v>2.31114832365453</v>
      </c>
    </row>
    <row r="10298" customFormat="false" ht="15.75" hidden="false" customHeight="false" outlineLevel="0" collapsed="false">
      <c r="A10298" s="1" t="s">
        <v>1194</v>
      </c>
      <c r="B10298" s="1" t="n">
        <v>206.58</v>
      </c>
      <c r="C10298" s="1" t="n">
        <f aca="false">1/B10298</f>
        <v>0.00484073966502081</v>
      </c>
      <c r="D10298" s="1" t="n">
        <v>9.4811</v>
      </c>
      <c r="E10298" s="1" t="n">
        <f aca="false">LN(D10298)</f>
        <v>2.24930034329081</v>
      </c>
    </row>
    <row r="10299" customFormat="false" ht="15.75" hidden="false" customHeight="false" outlineLevel="0" collapsed="false">
      <c r="A10299" s="1" t="s">
        <v>1194</v>
      </c>
      <c r="B10299" s="1" t="n">
        <v>207.01</v>
      </c>
      <c r="C10299" s="1" t="n">
        <f aca="false">1/B10299</f>
        <v>0.00483068450799478</v>
      </c>
      <c r="D10299" s="1" t="n">
        <v>8.9458</v>
      </c>
      <c r="E10299" s="1" t="n">
        <f aca="false">LN(D10299)</f>
        <v>2.19118414840036</v>
      </c>
    </row>
    <row r="10300" customFormat="false" ht="15.75" hidden="false" customHeight="false" outlineLevel="0" collapsed="false">
      <c r="A10300" s="1" t="s">
        <v>1194</v>
      </c>
      <c r="B10300" s="1" t="n">
        <v>207.43</v>
      </c>
      <c r="C10300" s="1" t="n">
        <f aca="false">1/B10300</f>
        <v>0.00482090343730415</v>
      </c>
      <c r="D10300" s="1" t="n">
        <v>8.4684</v>
      </c>
      <c r="E10300" s="1" t="n">
        <f aca="false">LN(D10300)</f>
        <v>2.13634158881265</v>
      </c>
    </row>
    <row r="10301" customFormat="false" ht="15.75" hidden="false" customHeight="false" outlineLevel="0" collapsed="false">
      <c r="A10301" s="1" t="s">
        <v>1194</v>
      </c>
      <c r="B10301" s="1" t="n">
        <v>207.85</v>
      </c>
      <c r="C10301" s="1" t="n">
        <f aca="false">1/B10301</f>
        <v>0.00481116189559779</v>
      </c>
      <c r="D10301" s="1" t="n">
        <v>8.04</v>
      </c>
      <c r="E10301" s="1" t="n">
        <f aca="false">LN(D10301)</f>
        <v>2.08442908319087</v>
      </c>
    </row>
    <row r="10302" customFormat="false" ht="15.75" hidden="false" customHeight="false" outlineLevel="0" collapsed="false">
      <c r="A10302" s="1" t="s">
        <v>1194</v>
      </c>
      <c r="B10302" s="1" t="n">
        <v>208.28</v>
      </c>
      <c r="C10302" s="1" t="n">
        <f aca="false">1/B10302</f>
        <v>0.00480122911465335</v>
      </c>
      <c r="D10302" s="1" t="n">
        <v>7.6533</v>
      </c>
      <c r="E10302" s="1" t="n">
        <f aca="false">LN(D10302)</f>
        <v>2.03513692737307</v>
      </c>
    </row>
    <row r="10303" customFormat="false" ht="15.75" hidden="false" customHeight="false" outlineLevel="0" collapsed="false">
      <c r="A10303" s="1" t="s">
        <v>1194</v>
      </c>
      <c r="B10303" s="1" t="n">
        <v>208.7</v>
      </c>
      <c r="C10303" s="1" t="n">
        <f aca="false">1/B10303</f>
        <v>0.00479156684235745</v>
      </c>
      <c r="D10303" s="1" t="n">
        <v>7.3025</v>
      </c>
      <c r="E10303" s="1" t="n">
        <f aca="false">LN(D10303)</f>
        <v>1.98821675527976</v>
      </c>
    </row>
    <row r="10304" customFormat="false" ht="15.75" hidden="false" customHeight="false" outlineLevel="0" collapsed="false">
      <c r="A10304" s="1" t="s">
        <v>1194</v>
      </c>
      <c r="B10304" s="1" t="n">
        <v>209.12</v>
      </c>
      <c r="C10304" s="1" t="n">
        <f aca="false">1/B10304</f>
        <v>0.00478194338179036</v>
      </c>
      <c r="D10304" s="1" t="n">
        <v>6.9828</v>
      </c>
      <c r="E10304" s="1" t="n">
        <f aca="false">LN(D10304)</f>
        <v>1.94344998246849</v>
      </c>
    </row>
    <row r="10305" customFormat="false" ht="15.75" hidden="false" customHeight="false" outlineLevel="0" collapsed="false">
      <c r="A10305" s="1" t="s">
        <v>1194</v>
      </c>
      <c r="B10305" s="1" t="n">
        <v>209.55</v>
      </c>
      <c r="C10305" s="1" t="n">
        <f aca="false">1/B10305</f>
        <v>0.00477213075638273</v>
      </c>
      <c r="D10305" s="1" t="n">
        <v>6.6901</v>
      </c>
      <c r="E10305" s="1" t="n">
        <f aca="false">LN(D10305)</f>
        <v>1.90062882171153</v>
      </c>
    </row>
    <row r="10306" customFormat="false" ht="15.75" hidden="false" customHeight="false" outlineLevel="0" collapsed="false">
      <c r="A10306" s="1" t="s">
        <v>1194</v>
      </c>
      <c r="B10306" s="1" t="n">
        <v>209.97</v>
      </c>
      <c r="C10306" s="1" t="n">
        <f aca="false">1/B10306</f>
        <v>0.00476258513120922</v>
      </c>
      <c r="D10306" s="1" t="n">
        <v>6.4211</v>
      </c>
      <c r="E10306" s="1" t="n">
        <f aca="false">LN(D10306)</f>
        <v>1.85958944258879</v>
      </c>
    </row>
    <row r="10307" customFormat="false" ht="15.75" hidden="false" customHeight="false" outlineLevel="0" collapsed="false">
      <c r="A10307" s="1" t="s">
        <v>1194</v>
      </c>
      <c r="B10307" s="1" t="n">
        <v>210.39</v>
      </c>
      <c r="C10307" s="1" t="n">
        <f aca="false">1/B10307</f>
        <v>0.0047530776177575</v>
      </c>
      <c r="D10307" s="1" t="n">
        <v>6.1731</v>
      </c>
      <c r="E10307" s="1" t="n">
        <f aca="false">LN(D10307)</f>
        <v>1.82020114285936</v>
      </c>
    </row>
    <row r="10308" customFormat="false" ht="15.75" hidden="false" customHeight="false" outlineLevel="0" collapsed="false">
      <c r="A10308" s="1" t="s">
        <v>1194</v>
      </c>
      <c r="B10308" s="1" t="n">
        <v>210.82</v>
      </c>
      <c r="C10308" s="1" t="n">
        <f aca="false">1/B10308</f>
        <v>0.00474338298074187</v>
      </c>
      <c r="D10308" s="1" t="n">
        <v>5.9436</v>
      </c>
      <c r="E10308" s="1" t="n">
        <f aca="false">LN(D10308)</f>
        <v>1.78231501040006</v>
      </c>
    </row>
    <row r="10309" customFormat="false" ht="15.75" hidden="false" customHeight="false" outlineLevel="0" collapsed="false">
      <c r="A10309" s="1" t="s">
        <v>1194</v>
      </c>
      <c r="B10309" s="1" t="n">
        <v>211.24</v>
      </c>
      <c r="C10309" s="1" t="n">
        <f aca="false">1/B10309</f>
        <v>0.00473395190304866</v>
      </c>
      <c r="D10309" s="1" t="n">
        <v>5.7306</v>
      </c>
      <c r="E10309" s="1" t="n">
        <f aca="false">LN(D10309)</f>
        <v>1.74582023728661</v>
      </c>
    </row>
    <row r="10310" customFormat="false" ht="15.75" hidden="false" customHeight="false" outlineLevel="0" collapsed="false">
      <c r="A10310" s="1" t="s">
        <v>1194</v>
      </c>
      <c r="B10310" s="1" t="n">
        <v>211.66</v>
      </c>
      <c r="C10310" s="1" t="n">
        <f aca="false">1/B10310</f>
        <v>0.00472455825380327</v>
      </c>
      <c r="D10310" s="1" t="n">
        <v>5.5324</v>
      </c>
      <c r="E10310" s="1" t="n">
        <f aca="false">LN(D10310)</f>
        <v>1.71062171776842</v>
      </c>
    </row>
    <row r="10311" customFormat="false" ht="15.75" hidden="false" customHeight="false" outlineLevel="0" collapsed="false">
      <c r="A10311" s="1" t="s">
        <v>1194</v>
      </c>
      <c r="B10311" s="1" t="n">
        <v>212.09</v>
      </c>
      <c r="C10311" s="1" t="n">
        <f aca="false">1/B10311</f>
        <v>0.00471497948983922</v>
      </c>
      <c r="D10311" s="1" t="n">
        <v>5.3474</v>
      </c>
      <c r="E10311" s="1" t="n">
        <f aca="false">LN(D10311)</f>
        <v>1.67661046147231</v>
      </c>
    </row>
    <row r="10312" customFormat="false" ht="15.75" hidden="false" customHeight="false" outlineLevel="0" collapsed="false">
      <c r="A10312" s="1" t="s">
        <v>1194</v>
      </c>
      <c r="B10312" s="1" t="n">
        <v>212.51</v>
      </c>
      <c r="C10312" s="1" t="n">
        <f aca="false">1/B10312</f>
        <v>0.00470566091007482</v>
      </c>
      <c r="D10312" s="1" t="n">
        <v>5.1744</v>
      </c>
      <c r="E10312" s="1" t="n">
        <f aca="false">LN(D10312)</f>
        <v>1.64372339040065</v>
      </c>
    </row>
    <row r="10313" customFormat="false" ht="15.75" hidden="false" customHeight="false" outlineLevel="0" collapsed="false">
      <c r="A10313" s="1" t="s">
        <v>1194</v>
      </c>
      <c r="B10313" s="1" t="n">
        <v>212.93</v>
      </c>
      <c r="C10313" s="1" t="n">
        <f aca="false">1/B10313</f>
        <v>0.00469637909172028</v>
      </c>
      <c r="D10313" s="1" t="n">
        <v>5.0122</v>
      </c>
      <c r="E10313" s="1" t="n">
        <f aca="false">LN(D10313)</f>
        <v>1.61187494046752</v>
      </c>
    </row>
    <row r="10314" customFormat="false" ht="15.75" hidden="false" customHeight="false" outlineLevel="0" collapsed="false">
      <c r="A10314" s="1" t="s">
        <v>1194</v>
      </c>
      <c r="B10314" s="1" t="n">
        <v>213.36</v>
      </c>
      <c r="C10314" s="1" t="n">
        <f aca="false">1/B10314</f>
        <v>0.00468691413573303</v>
      </c>
      <c r="D10314" s="1" t="n">
        <v>4.8599</v>
      </c>
      <c r="E10314" s="1" t="n">
        <f aca="false">LN(D10314)</f>
        <v>1.58101786156902</v>
      </c>
    </row>
    <row r="10315" customFormat="false" ht="15.75" hidden="false" customHeight="false" outlineLevel="0" collapsed="false">
      <c r="A10315" s="1" t="s">
        <v>1194</v>
      </c>
      <c r="B10315" s="1" t="n">
        <v>213.78</v>
      </c>
      <c r="C10315" s="1" t="n">
        <f aca="false">1/B10315</f>
        <v>0.00467770605295163</v>
      </c>
      <c r="D10315" s="1" t="n">
        <v>4.7164</v>
      </c>
      <c r="E10315" s="1" t="n">
        <f aca="false">LN(D10315)</f>
        <v>1.55104579672038</v>
      </c>
    </row>
    <row r="10316" customFormat="false" ht="15.75" hidden="false" customHeight="false" outlineLevel="0" collapsed="false">
      <c r="A10316" s="1" t="s">
        <v>1194</v>
      </c>
      <c r="B10316" s="1" t="n">
        <v>214.2</v>
      </c>
      <c r="C10316" s="1" t="n">
        <f aca="false">1/B10316</f>
        <v>0.00466853408029879</v>
      </c>
      <c r="D10316" s="1" t="n">
        <v>4.5811</v>
      </c>
      <c r="E10316" s="1" t="n">
        <f aca="false">LN(D10316)</f>
        <v>1.52193914396126</v>
      </c>
    </row>
    <row r="10317" customFormat="false" ht="15.75" hidden="false" customHeight="false" outlineLevel="0" collapsed="false">
      <c r="A10317" s="1" t="s">
        <v>1194</v>
      </c>
      <c r="B10317" s="1" t="n">
        <v>214.63</v>
      </c>
      <c r="C10317" s="1" t="n">
        <f aca="false">1/B10317</f>
        <v>0.00465918091599497</v>
      </c>
      <c r="D10317" s="1" t="n">
        <v>4.4533</v>
      </c>
      <c r="E10317" s="1" t="n">
        <f aca="false">LN(D10317)</f>
        <v>1.49364539438244</v>
      </c>
    </row>
    <row r="10318" customFormat="false" ht="15.75" hidden="false" customHeight="false" outlineLevel="0" collapsed="false">
      <c r="A10318" s="1" t="s">
        <v>1194</v>
      </c>
      <c r="B10318" s="1" t="n">
        <v>215.05</v>
      </c>
      <c r="C10318" s="1" t="n">
        <f aca="false">1/B10318</f>
        <v>0.00465008137642409</v>
      </c>
      <c r="D10318" s="1" t="n">
        <v>4.3323</v>
      </c>
      <c r="E10318" s="1" t="n">
        <f aca="false">LN(D10318)</f>
        <v>1.46609857881849</v>
      </c>
    </row>
    <row r="10319" customFormat="false" ht="15.75" hidden="false" customHeight="false" outlineLevel="0" collapsed="false">
      <c r="A10319" s="1" t="s">
        <v>1194</v>
      </c>
      <c r="B10319" s="1" t="n">
        <v>215.47</v>
      </c>
      <c r="C10319" s="1" t="n">
        <f aca="false">1/B10319</f>
        <v>0.00464101731099457</v>
      </c>
      <c r="D10319" s="1" t="n">
        <v>4.2177</v>
      </c>
      <c r="E10319" s="1" t="n">
        <f aca="false">LN(D10319)</f>
        <v>1.43928995577183</v>
      </c>
    </row>
    <row r="10320" customFormat="false" ht="15.75" hidden="false" customHeight="false" outlineLevel="0" collapsed="false">
      <c r="A10320" s="1" t="s">
        <v>1194</v>
      </c>
      <c r="B10320" s="1" t="n">
        <v>215.9</v>
      </c>
      <c r="C10320" s="1" t="n">
        <f aca="false">1/B10320</f>
        <v>0.00463177396943029</v>
      </c>
      <c r="D10320" s="1" t="n">
        <v>4.1088</v>
      </c>
      <c r="E10320" s="1" t="n">
        <f aca="false">LN(D10320)</f>
        <v>1.41313101507345</v>
      </c>
    </row>
    <row r="10321" customFormat="false" ht="15.75" hidden="false" customHeight="false" outlineLevel="0" collapsed="false">
      <c r="A10321" s="1" t="s">
        <v>1194</v>
      </c>
      <c r="B10321" s="1" t="n">
        <v>216.32</v>
      </c>
      <c r="C10321" s="1" t="n">
        <f aca="false">1/B10321</f>
        <v>0.00462278106508876</v>
      </c>
      <c r="D10321" s="1" t="n">
        <v>4.0053</v>
      </c>
      <c r="E10321" s="1" t="n">
        <f aca="false">LN(D10321)</f>
        <v>1.38761848408202</v>
      </c>
    </row>
    <row r="10322" customFormat="false" ht="15.75" hidden="false" customHeight="false" outlineLevel="0" collapsed="false">
      <c r="A10322" s="1" t="s">
        <v>1194</v>
      </c>
      <c r="B10322" s="1" t="n">
        <v>216.74</v>
      </c>
      <c r="C10322" s="1" t="n">
        <f aca="false">1/B10322</f>
        <v>0.00461382301374919</v>
      </c>
      <c r="D10322" s="1" t="n">
        <v>3.9069</v>
      </c>
      <c r="E10322" s="1" t="n">
        <f aca="false">LN(D10322)</f>
        <v>1.36274422065963</v>
      </c>
    </row>
    <row r="10323" customFormat="false" ht="15.75" hidden="false" customHeight="false" outlineLevel="0" collapsed="false">
      <c r="A10323" s="1" t="s">
        <v>1194</v>
      </c>
      <c r="B10323" s="1" t="n">
        <v>217.17</v>
      </c>
      <c r="C10323" s="1" t="n">
        <f aca="false">1/B10323</f>
        <v>0.00460468757194824</v>
      </c>
      <c r="D10323" s="1" t="n">
        <v>3.813</v>
      </c>
      <c r="E10323" s="1" t="n">
        <f aca="false">LN(D10323)</f>
        <v>1.33841628087543</v>
      </c>
    </row>
    <row r="10324" customFormat="false" ht="15.75" hidden="false" customHeight="false" outlineLevel="0" collapsed="false">
      <c r="A10324" s="1" t="s">
        <v>1194</v>
      </c>
      <c r="B10324" s="1" t="n">
        <v>217.59</v>
      </c>
      <c r="C10324" s="1" t="n">
        <f aca="false">1/B10324</f>
        <v>0.00459579943931247</v>
      </c>
      <c r="D10324" s="1" t="n">
        <v>3.7234</v>
      </c>
      <c r="E10324" s="1" t="n">
        <f aca="false">LN(D10324)</f>
        <v>1.31463722935566</v>
      </c>
    </row>
    <row r="10325" customFormat="false" ht="15.75" hidden="false" customHeight="false" outlineLevel="0" collapsed="false">
      <c r="A10325" s="1" t="s">
        <v>1194</v>
      </c>
      <c r="B10325" s="1" t="n">
        <v>218.01</v>
      </c>
      <c r="C10325" s="1" t="n">
        <f aca="false">1/B10325</f>
        <v>0.00458694555295629</v>
      </c>
      <c r="D10325" s="1" t="n">
        <v>3.6379</v>
      </c>
      <c r="E10325" s="1" t="n">
        <f aca="false">LN(D10325)</f>
        <v>1.29140659208757</v>
      </c>
    </row>
    <row r="10326" customFormat="false" ht="15.75" hidden="false" customHeight="false" outlineLevel="0" collapsed="false">
      <c r="A10326" s="1" t="s">
        <v>1194</v>
      </c>
      <c r="B10326" s="1" t="n">
        <v>218.44</v>
      </c>
      <c r="C10326" s="1" t="n">
        <f aca="false">1/B10326</f>
        <v>0.00457791613257645</v>
      </c>
      <c r="D10326" s="1" t="n">
        <v>3.556</v>
      </c>
      <c r="E10326" s="1" t="n">
        <f aca="false">LN(D10326)</f>
        <v>1.26863631765166</v>
      </c>
    </row>
    <row r="10327" customFormat="false" ht="15.75" hidden="false" customHeight="false" outlineLevel="0" collapsed="false">
      <c r="A10327" s="1" t="s">
        <v>1194</v>
      </c>
      <c r="B10327" s="1" t="n">
        <v>218.86</v>
      </c>
      <c r="C10327" s="1" t="n">
        <f aca="false">1/B10327</f>
        <v>0.00456913095129306</v>
      </c>
      <c r="D10327" s="1" t="n">
        <v>3.4777</v>
      </c>
      <c r="E10327" s="1" t="n">
        <f aca="false">LN(D10327)</f>
        <v>1.24637115574255</v>
      </c>
    </row>
    <row r="10328" customFormat="false" ht="15.75" hidden="false" customHeight="false" outlineLevel="0" collapsed="false">
      <c r="A10328" s="1" t="s">
        <v>1194</v>
      </c>
      <c r="B10328" s="1" t="n">
        <v>219.28</v>
      </c>
      <c r="C10328" s="1" t="n">
        <f aca="false">1/B10328</f>
        <v>0.00456037942356804</v>
      </c>
      <c r="D10328" s="1" t="n">
        <v>3.4026</v>
      </c>
      <c r="E10328" s="1" t="n">
        <f aca="false">LN(D10328)</f>
        <v>1.2245398452659</v>
      </c>
    </row>
    <row r="10329" customFormat="false" ht="15.75" hidden="false" customHeight="false" outlineLevel="0" collapsed="false">
      <c r="A10329" s="1" t="s">
        <v>1194</v>
      </c>
      <c r="B10329" s="1" t="n">
        <v>219.71</v>
      </c>
      <c r="C10329" s="1" t="n">
        <f aca="false">1/B10329</f>
        <v>0.00455145418961358</v>
      </c>
      <c r="D10329" s="1" t="n">
        <v>3.3306</v>
      </c>
      <c r="E10329" s="1" t="n">
        <f aca="false">LN(D10329)</f>
        <v>1.20315246794203</v>
      </c>
    </row>
    <row r="10330" customFormat="false" ht="15.75" hidden="false" customHeight="false" outlineLevel="0" collapsed="false">
      <c r="A10330" s="1" t="s">
        <v>1194</v>
      </c>
      <c r="B10330" s="1" t="n">
        <v>220.13</v>
      </c>
      <c r="C10330" s="1" t="n">
        <f aca="false">1/B10330</f>
        <v>0.00454277018125653</v>
      </c>
      <c r="D10330" s="1" t="n">
        <v>3.2615</v>
      </c>
      <c r="E10330" s="1" t="n">
        <f aca="false">LN(D10330)</f>
        <v>1.18218721225401</v>
      </c>
    </row>
    <row r="10331" customFormat="false" ht="15.75" hidden="false" customHeight="false" outlineLevel="0" collapsed="false">
      <c r="A10331" s="1" t="s">
        <v>1194</v>
      </c>
      <c r="B10331" s="1" t="n">
        <v>220.55</v>
      </c>
      <c r="C10331" s="1" t="n">
        <f aca="false">1/B10331</f>
        <v>0.00453411924733621</v>
      </c>
      <c r="D10331" s="1" t="n">
        <v>3.1951</v>
      </c>
      <c r="E10331" s="1" t="n">
        <f aca="false">LN(D10331)</f>
        <v>1.16161838624424</v>
      </c>
    </row>
    <row r="10332" customFormat="false" ht="15.75" hidden="false" customHeight="false" outlineLevel="0" collapsed="false">
      <c r="A10332" s="1" t="s">
        <v>1194</v>
      </c>
      <c r="B10332" s="1" t="n">
        <v>220.98</v>
      </c>
      <c r="C10332" s="1" t="n">
        <f aca="false">1/B10332</f>
        <v>0.00452529640691465</v>
      </c>
      <c r="D10332" s="1" t="n">
        <v>3.1312</v>
      </c>
      <c r="E10332" s="1" t="n">
        <f aca="false">LN(D10332)</f>
        <v>1.14141631765967</v>
      </c>
    </row>
    <row r="10333" customFormat="false" ht="15.75" hidden="false" customHeight="false" outlineLevel="0" collapsed="false">
      <c r="A10333" s="1" t="s">
        <v>1194</v>
      </c>
      <c r="B10333" s="1" t="n">
        <v>221.4</v>
      </c>
      <c r="C10333" s="1" t="n">
        <f aca="false">1/B10333</f>
        <v>0.004516711833785</v>
      </c>
      <c r="D10333" s="1" t="n">
        <v>3.0697</v>
      </c>
      <c r="E10333" s="1" t="n">
        <f aca="false">LN(D10333)</f>
        <v>1.1215798369545</v>
      </c>
    </row>
    <row r="10334" customFormat="false" ht="15.75" hidden="false" customHeight="false" outlineLevel="0" collapsed="false">
      <c r="A10334" s="1" t="s">
        <v>1194</v>
      </c>
      <c r="B10334" s="1" t="n">
        <v>221.82</v>
      </c>
      <c r="C10334" s="1" t="n">
        <f aca="false">1/B10334</f>
        <v>0.00450815976918222</v>
      </c>
      <c r="D10334" s="1" t="n">
        <v>3.0105</v>
      </c>
      <c r="E10334" s="1" t="n">
        <f aca="false">LN(D10334)</f>
        <v>1.10210617792237</v>
      </c>
    </row>
    <row r="10335" customFormat="false" ht="15.75" hidden="false" customHeight="false" outlineLevel="0" collapsed="false">
      <c r="A10335" s="1" t="s">
        <v>1194</v>
      </c>
      <c r="B10335" s="1" t="n">
        <v>222.25</v>
      </c>
      <c r="C10335" s="1" t="n">
        <f aca="false">1/B10335</f>
        <v>0.00449943757030371</v>
      </c>
      <c r="D10335" s="1" t="n">
        <v>2.9534</v>
      </c>
      <c r="E10335" s="1" t="n">
        <f aca="false">LN(D10335)</f>
        <v>1.08295704905754</v>
      </c>
    </row>
    <row r="10336" customFormat="false" ht="15.75" hidden="false" customHeight="false" outlineLevel="0" collapsed="false">
      <c r="A10336" s="1" t="s">
        <v>1194</v>
      </c>
      <c r="B10336" s="1" t="n">
        <v>222.67</v>
      </c>
      <c r="C10336" s="1" t="n">
        <f aca="false">1/B10336</f>
        <v>0.00449095073427045</v>
      </c>
      <c r="D10336" s="1" t="n">
        <v>2.8983</v>
      </c>
      <c r="E10336" s="1" t="n">
        <f aca="false">LN(D10336)</f>
        <v>1.06412435820944</v>
      </c>
    </row>
    <row r="10337" customFormat="false" ht="15.75" hidden="false" customHeight="false" outlineLevel="0" collapsed="false">
      <c r="A10337" s="1" t="s">
        <v>1194</v>
      </c>
      <c r="B10337" s="1" t="n">
        <v>223.09</v>
      </c>
      <c r="C10337" s="1" t="n">
        <f aca="false">1/B10337</f>
        <v>0.00448249585369133</v>
      </c>
      <c r="D10337" s="1" t="n">
        <v>2.8451</v>
      </c>
      <c r="E10337" s="1" t="n">
        <f aca="false">LN(D10337)</f>
        <v>1.04559821634546</v>
      </c>
    </row>
    <row r="10338" customFormat="false" ht="15.75" hidden="false" customHeight="false" outlineLevel="0" collapsed="false">
      <c r="A10338" s="1" t="s">
        <v>1194</v>
      </c>
      <c r="B10338" s="1" t="n">
        <v>223.52</v>
      </c>
      <c r="C10338" s="1" t="n">
        <f aca="false">1/B10338</f>
        <v>0.0044738725841088</v>
      </c>
      <c r="D10338" s="1" t="n">
        <v>2.7938</v>
      </c>
      <c r="E10338" s="1" t="n">
        <f aca="false">LN(D10338)</f>
        <v>1.02740267631131</v>
      </c>
    </row>
    <row r="10339" customFormat="false" ht="15.75" hidden="false" customHeight="false" outlineLevel="0" collapsed="false">
      <c r="A10339" s="1" t="s">
        <v>1194</v>
      </c>
      <c r="B10339" s="1" t="n">
        <v>223.94</v>
      </c>
      <c r="C10339" s="1" t="n">
        <f aca="false">1/B10339</f>
        <v>0.00446548182548897</v>
      </c>
      <c r="D10339" s="1" t="n">
        <v>2.7442</v>
      </c>
      <c r="E10339" s="1" t="n">
        <f aca="false">LN(D10339)</f>
        <v>1.00948959350494</v>
      </c>
    </row>
    <row r="10340" customFormat="false" ht="15.75" hidden="false" customHeight="false" outlineLevel="0" collapsed="false">
      <c r="A10340" s="1" t="s">
        <v>1194</v>
      </c>
      <c r="B10340" s="1" t="n">
        <v>224.36</v>
      </c>
      <c r="C10340" s="1" t="n">
        <f aca="false">1/B10340</f>
        <v>0.0044571224817258</v>
      </c>
      <c r="D10340" s="1" t="n">
        <v>2.6962</v>
      </c>
      <c r="E10340" s="1" t="n">
        <f aca="false">LN(D10340)</f>
        <v>0.991843374274827</v>
      </c>
    </row>
    <row r="10341" customFormat="false" ht="15.75" hidden="false" customHeight="false" outlineLevel="0" collapsed="false">
      <c r="A10341" s="1" t="s">
        <v>1194</v>
      </c>
      <c r="B10341" s="1" t="n">
        <v>224.79</v>
      </c>
      <c r="C10341" s="1" t="n">
        <f aca="false">1/B10341</f>
        <v>0.0044485964678144</v>
      </c>
      <c r="D10341" s="1" t="n">
        <v>2.6497</v>
      </c>
      <c r="E10341" s="1" t="n">
        <f aca="false">LN(D10341)</f>
        <v>0.974446426042503</v>
      </c>
    </row>
    <row r="10342" customFormat="false" ht="15.75" hidden="false" customHeight="false" outlineLevel="0" collapsed="false">
      <c r="A10342" s="1" t="s">
        <v>1194</v>
      </c>
      <c r="B10342" s="1" t="n">
        <v>225.21</v>
      </c>
      <c r="C10342" s="1" t="n">
        <f aca="false">1/B10342</f>
        <v>0.00444030016429111</v>
      </c>
      <c r="D10342" s="1" t="n">
        <v>2.6048</v>
      </c>
      <c r="E10342" s="1" t="n">
        <f aca="false">LN(D10342)</f>
        <v>0.957355896826084</v>
      </c>
    </row>
    <row r="10343" customFormat="false" ht="15.75" hidden="false" customHeight="false" outlineLevel="0" collapsed="false">
      <c r="A10343" s="1" t="s">
        <v>1194</v>
      </c>
      <c r="B10343" s="1" t="n">
        <v>225.63</v>
      </c>
      <c r="C10343" s="1" t="n">
        <f aca="false">1/B10343</f>
        <v>0.00443203474715242</v>
      </c>
      <c r="D10343" s="1" t="n">
        <v>2.5612</v>
      </c>
      <c r="E10343" s="1" t="n">
        <f aca="false">LN(D10343)</f>
        <v>0.94047589866251</v>
      </c>
    </row>
    <row r="10344" customFormat="false" ht="15.75" hidden="false" customHeight="false" outlineLevel="0" collapsed="false">
      <c r="A10344" s="1" t="s">
        <v>1194</v>
      </c>
      <c r="B10344" s="1" t="n">
        <v>226.06</v>
      </c>
      <c r="C10344" s="1" t="n">
        <f aca="false">1/B10344</f>
        <v>0.00442360435282668</v>
      </c>
      <c r="D10344" s="1" t="n">
        <v>2.519</v>
      </c>
      <c r="E10344" s="1" t="n">
        <f aca="false">LN(D10344)</f>
        <v>0.923861997370473</v>
      </c>
    </row>
    <row r="10345" customFormat="false" ht="15.75" hidden="false" customHeight="false" outlineLevel="0" collapsed="false">
      <c r="A10345" s="1" t="s">
        <v>1194</v>
      </c>
      <c r="B10345" s="1" t="n">
        <v>226.48</v>
      </c>
      <c r="C10345" s="1" t="n">
        <f aca="false">1/B10345</f>
        <v>0.00441540091840339</v>
      </c>
      <c r="D10345" s="1" t="n">
        <v>2.478</v>
      </c>
      <c r="E10345" s="1" t="n">
        <f aca="false">LN(D10345)</f>
        <v>0.907451783206951</v>
      </c>
    </row>
    <row r="10346" customFormat="false" ht="15.75" hidden="false" customHeight="false" outlineLevel="0" collapsed="false">
      <c r="A10346" s="1" t="s">
        <v>1194</v>
      </c>
      <c r="B10346" s="1" t="n">
        <v>226.9</v>
      </c>
      <c r="C10346" s="1" t="n">
        <f aca="false">1/B10346</f>
        <v>0.00440722785368004</v>
      </c>
      <c r="D10346" s="1" t="n">
        <v>2.4383</v>
      </c>
      <c r="E10346" s="1" t="n">
        <f aca="false">LN(D10346)</f>
        <v>0.891301075170549</v>
      </c>
    </row>
    <row r="10347" customFormat="false" ht="15.75" hidden="false" customHeight="false" outlineLevel="0" collapsed="false">
      <c r="A10347" s="1" t="s">
        <v>1194</v>
      </c>
      <c r="B10347" s="1" t="n">
        <v>227.33</v>
      </c>
      <c r="C10347" s="1" t="n">
        <f aca="false">1/B10347</f>
        <v>0.0043988914793472</v>
      </c>
      <c r="D10347" s="1" t="n">
        <v>2.3998</v>
      </c>
      <c r="E10347" s="1" t="n">
        <f aca="false">LN(D10347)</f>
        <v>0.875385400548151</v>
      </c>
    </row>
    <row r="10348" customFormat="false" ht="15.75" hidden="false" customHeight="false" outlineLevel="0" collapsed="false">
      <c r="A10348" s="1" t="s">
        <v>1194</v>
      </c>
      <c r="B10348" s="1" t="n">
        <v>227.75</v>
      </c>
      <c r="C10348" s="1" t="n">
        <f aca="false">1/B10348</f>
        <v>0.00439077936333699</v>
      </c>
      <c r="D10348" s="1" t="n">
        <v>2.3623</v>
      </c>
      <c r="E10348" s="1" t="n">
        <f aca="false">LN(D10348)</f>
        <v>0.859635720717576</v>
      </c>
    </row>
    <row r="10349" customFormat="false" ht="15.75" hidden="false" customHeight="false" outlineLevel="0" collapsed="false">
      <c r="A10349" s="1" t="s">
        <v>1194</v>
      </c>
      <c r="B10349" s="1" t="n">
        <v>228.17</v>
      </c>
      <c r="C10349" s="1" t="n">
        <f aca="false">1/B10349</f>
        <v>0.0043826971118026</v>
      </c>
      <c r="D10349" s="1" t="n">
        <v>2.3259</v>
      </c>
      <c r="E10349" s="1" t="n">
        <f aca="false">LN(D10349)</f>
        <v>0.844107060910886</v>
      </c>
    </row>
    <row r="10350" customFormat="false" ht="15.75" hidden="false" customHeight="false" outlineLevel="0" collapsed="false">
      <c r="A10350" s="1" t="s">
        <v>1194</v>
      </c>
      <c r="B10350" s="1" t="n">
        <v>228.6</v>
      </c>
      <c r="C10350" s="1" t="n">
        <f aca="false">1/B10350</f>
        <v>0.00437445319335083</v>
      </c>
      <c r="D10350" s="1" t="n">
        <v>2.2906</v>
      </c>
      <c r="E10350" s="1" t="n">
        <f aca="false">LN(D10350)</f>
        <v>0.828813791981479</v>
      </c>
    </row>
    <row r="10351" customFormat="false" ht="15.75" hidden="false" customHeight="false" outlineLevel="0" collapsed="false">
      <c r="A10351" s="1" t="s">
        <v>1194</v>
      </c>
      <c r="B10351" s="1" t="n">
        <v>229.02</v>
      </c>
      <c r="C10351" s="1" t="n">
        <f aca="false">1/B10351</f>
        <v>0.00436643087939918</v>
      </c>
      <c r="D10351" s="1" t="n">
        <v>2.2562</v>
      </c>
      <c r="E10351" s="1" t="n">
        <f aca="false">LN(D10351)</f>
        <v>0.813681982188683</v>
      </c>
    </row>
    <row r="10352" customFormat="false" ht="15.75" hidden="false" customHeight="false" outlineLevel="0" collapsed="false">
      <c r="A10352" s="1" t="s">
        <v>1194</v>
      </c>
      <c r="B10352" s="1" t="n">
        <v>229.44</v>
      </c>
      <c r="C10352" s="1" t="n">
        <f aca="false">1/B10352</f>
        <v>0.00435843793584379</v>
      </c>
      <c r="D10352" s="1" t="n">
        <v>2.2227</v>
      </c>
      <c r="E10352" s="1" t="n">
        <f aca="false">LN(D10352)</f>
        <v>0.798722673108584</v>
      </c>
    </row>
    <row r="10353" customFormat="false" ht="15.75" hidden="false" customHeight="false" outlineLevel="0" collapsed="false">
      <c r="A10353" s="1" t="s">
        <v>1194</v>
      </c>
      <c r="B10353" s="1" t="n">
        <v>229.87</v>
      </c>
      <c r="C10353" s="1" t="n">
        <f aca="false">1/B10353</f>
        <v>0.00435028494366381</v>
      </c>
      <c r="D10353" s="1" t="n">
        <v>2.1901</v>
      </c>
      <c r="E10353" s="1" t="n">
        <f aca="false">LN(D10353)</f>
        <v>0.783947204886384</v>
      </c>
    </row>
    <row r="10354" customFormat="false" ht="15.75" hidden="false" customHeight="false" outlineLevel="0" collapsed="false">
      <c r="A10354" s="1" t="s">
        <v>1194</v>
      </c>
      <c r="B10354" s="1" t="n">
        <v>230.29</v>
      </c>
      <c r="C10354" s="1" t="n">
        <f aca="false">1/B10354</f>
        <v>0.00434235094880368</v>
      </c>
      <c r="D10354" s="1" t="n">
        <v>2.1584</v>
      </c>
      <c r="E10354" s="1" t="n">
        <f aca="false">LN(D10354)</f>
        <v>0.769367206471354</v>
      </c>
    </row>
    <row r="10355" customFormat="false" ht="15.75" hidden="false" customHeight="false" outlineLevel="0" collapsed="false">
      <c r="A10355" s="1" t="s">
        <v>1194</v>
      </c>
      <c r="B10355" s="1" t="n">
        <v>230.71</v>
      </c>
      <c r="C10355" s="1" t="n">
        <f aca="false">1/B10355</f>
        <v>0.00433444584109922</v>
      </c>
      <c r="D10355" s="1" t="n">
        <v>2.1276</v>
      </c>
      <c r="E10355" s="1" t="n">
        <f aca="false">LN(D10355)</f>
        <v>0.754994583886026</v>
      </c>
    </row>
    <row r="10356" customFormat="false" ht="15.75" hidden="false" customHeight="false" outlineLevel="0" collapsed="false">
      <c r="A10356" s="1" t="s">
        <v>1194</v>
      </c>
      <c r="B10356" s="1" t="n">
        <v>231.14</v>
      </c>
      <c r="C10356" s="1" t="n">
        <f aca="false">1/B10356</f>
        <v>0.00432638227913819</v>
      </c>
      <c r="D10356" s="1" t="n">
        <v>2.0975</v>
      </c>
      <c r="E10356" s="1" t="n">
        <f aca="false">LN(D10356)</f>
        <v>0.740746159359224</v>
      </c>
    </row>
    <row r="10357" customFormat="false" ht="15.75" hidden="false" customHeight="false" outlineLevel="0" collapsed="false">
      <c r="A10357" s="1" t="s">
        <v>1194</v>
      </c>
      <c r="B10357" s="1" t="n">
        <v>231.56</v>
      </c>
      <c r="C10357" s="1" t="n">
        <f aca="false">1/B10357</f>
        <v>0.00431853515287614</v>
      </c>
      <c r="D10357" s="1" t="n">
        <v>2.0682</v>
      </c>
      <c r="E10357" s="1" t="n">
        <f aca="false">LN(D10357)</f>
        <v>0.726678663768738</v>
      </c>
    </row>
    <row r="10358" customFormat="false" ht="15.75" hidden="false" customHeight="false" outlineLevel="0" collapsed="false">
      <c r="A10358" s="1" t="s">
        <v>1194</v>
      </c>
      <c r="B10358" s="1" t="n">
        <v>231.98</v>
      </c>
      <c r="C10358" s="1" t="n">
        <f aca="false">1/B10358</f>
        <v>0.00431071644107251</v>
      </c>
      <c r="D10358" s="1" t="n">
        <v>2.0396</v>
      </c>
      <c r="E10358" s="1" t="n">
        <f aca="false">LN(D10358)</f>
        <v>0.712753710198864</v>
      </c>
    </row>
    <row r="10359" customFormat="false" ht="15.75" hidden="false" customHeight="false" outlineLevel="0" collapsed="false">
      <c r="A10359" s="1" t="s">
        <v>1194</v>
      </c>
      <c r="B10359" s="1" t="n">
        <v>232.41</v>
      </c>
      <c r="C10359" s="1" t="n">
        <f aca="false">1/B10359</f>
        <v>0.00430274084591885</v>
      </c>
      <c r="D10359" s="1" t="n">
        <v>2.0117</v>
      </c>
      <c r="E10359" s="1" t="n">
        <f aca="false">LN(D10359)</f>
        <v>0.698980135752389</v>
      </c>
    </row>
    <row r="10360" customFormat="false" ht="15.75" hidden="false" customHeight="false" outlineLevel="0" collapsed="false">
      <c r="A10360" s="1" t="s">
        <v>1194</v>
      </c>
      <c r="B10360" s="1" t="n">
        <v>232.83</v>
      </c>
      <c r="C10360" s="1" t="n">
        <f aca="false">1/B10360</f>
        <v>0.00429497916935103</v>
      </c>
      <c r="D10360" s="1" t="n">
        <v>1.9845</v>
      </c>
      <c r="E10360" s="1" t="n">
        <f aca="false">LN(D10360)</f>
        <v>0.685366993240983</v>
      </c>
    </row>
    <row r="10361" customFormat="false" ht="15.75" hidden="false" customHeight="false" outlineLevel="0" collapsed="false">
      <c r="A10361" s="1" t="s">
        <v>1194</v>
      </c>
      <c r="B10361" s="1" t="n">
        <v>233.25</v>
      </c>
      <c r="C10361" s="1" t="n">
        <f aca="false">1/B10361</f>
        <v>0.00428724544480172</v>
      </c>
      <c r="D10361" s="1" t="n">
        <v>1.958</v>
      </c>
      <c r="E10361" s="1" t="n">
        <f aca="false">LN(D10361)</f>
        <v>0.671923544108319</v>
      </c>
    </row>
    <row r="10362" customFormat="false" ht="15.75" hidden="false" customHeight="false" outlineLevel="0" collapsed="false">
      <c r="A10362" s="1" t="s">
        <v>1194</v>
      </c>
      <c r="B10362" s="1" t="n">
        <v>233.68</v>
      </c>
      <c r="C10362" s="1" t="n">
        <f aca="false">1/B10362</f>
        <v>0.00427935638479973</v>
      </c>
      <c r="D10362" s="1" t="n">
        <v>1.9321</v>
      </c>
      <c r="E10362" s="1" t="n">
        <f aca="false">LN(D10362)</f>
        <v>0.658607494285201</v>
      </c>
    </row>
    <row r="10363" customFormat="false" ht="15.75" hidden="false" customHeight="false" outlineLevel="0" collapsed="false">
      <c r="A10363" s="1" t="s">
        <v>1194</v>
      </c>
      <c r="B10363" s="1" t="n">
        <v>234.1</v>
      </c>
      <c r="C10363" s="1" t="n">
        <f aca="false">1/B10363</f>
        <v>0.00427167876975652</v>
      </c>
      <c r="D10363" s="1" t="n">
        <v>1.9068</v>
      </c>
      <c r="E10363" s="1" t="n">
        <f aca="false">LN(D10363)</f>
        <v>0.645426444348534</v>
      </c>
    </row>
    <row r="10364" customFormat="false" ht="15.75" hidden="false" customHeight="false" outlineLevel="0" collapsed="false">
      <c r="A10364" s="1" t="s">
        <v>1194</v>
      </c>
      <c r="B10364" s="1" t="n">
        <v>234.52</v>
      </c>
      <c r="C10364" s="1" t="n">
        <f aca="false">1/B10364</f>
        <v>0.00426402865427256</v>
      </c>
      <c r="D10364" s="1" t="n">
        <v>1.882</v>
      </c>
      <c r="E10364" s="1" t="n">
        <f aca="false">LN(D10364)</f>
        <v>0.632335041163188</v>
      </c>
    </row>
    <row r="10365" customFormat="false" ht="15.75" hidden="false" customHeight="false" outlineLevel="0" collapsed="false">
      <c r="A10365" s="1" t="s">
        <v>1194</v>
      </c>
      <c r="B10365" s="1" t="n">
        <v>234.95</v>
      </c>
      <c r="C10365" s="1" t="n">
        <f aca="false">1/B10365</f>
        <v>0.00425622472866567</v>
      </c>
      <c r="D10365" s="1" t="n">
        <v>1.8579</v>
      </c>
      <c r="E10365" s="1" t="n">
        <f aca="false">LN(D10365)</f>
        <v>0.619446817629988</v>
      </c>
    </row>
    <row r="10366" customFormat="false" ht="15.75" hidden="false" customHeight="false" outlineLevel="0" collapsed="false">
      <c r="A10366" s="1" t="s">
        <v>1194</v>
      </c>
      <c r="B10366" s="1" t="n">
        <v>235.37</v>
      </c>
      <c r="C10366" s="1" t="n">
        <f aca="false">1/B10366</f>
        <v>0.00424862981688406</v>
      </c>
      <c r="D10366" s="1" t="n">
        <v>1.8343</v>
      </c>
      <c r="E10366" s="1" t="n">
        <f aca="false">LN(D10366)</f>
        <v>0.606662937338168</v>
      </c>
    </row>
    <row r="10367" customFormat="false" ht="15.75" hidden="false" customHeight="false" outlineLevel="0" collapsed="false">
      <c r="A10367" s="1" t="s">
        <v>1194</v>
      </c>
      <c r="B10367" s="1" t="n">
        <v>235.79</v>
      </c>
      <c r="C10367" s="1" t="n">
        <f aca="false">1/B10367</f>
        <v>0.00424106196191526</v>
      </c>
      <c r="D10367" s="1" t="n">
        <v>1.8112</v>
      </c>
      <c r="E10367" s="1" t="n">
        <f aca="false">LN(D10367)</f>
        <v>0.593989609026727</v>
      </c>
    </row>
    <row r="10368" customFormat="false" ht="15.75" hidden="false" customHeight="false" outlineLevel="0" collapsed="false">
      <c r="A10368" s="1" t="s">
        <v>1194</v>
      </c>
      <c r="B10368" s="1" t="n">
        <v>236.22</v>
      </c>
      <c r="C10368" s="1" t="n">
        <f aca="false">1/B10368</f>
        <v>0.00423334180001693</v>
      </c>
      <c r="D10368" s="1" t="n">
        <v>1.7886</v>
      </c>
      <c r="E10368" s="1" t="n">
        <f aca="false">LN(D10368)</f>
        <v>0.581433190929944</v>
      </c>
    </row>
    <row r="10369" customFormat="false" ht="15.75" hidden="false" customHeight="false" outlineLevel="0" collapsed="false">
      <c r="A10369" s="1" t="s">
        <v>1194</v>
      </c>
      <c r="B10369" s="1" t="n">
        <v>236.64</v>
      </c>
      <c r="C10369" s="1" t="n">
        <f aca="false">1/B10369</f>
        <v>0.00422582826233942</v>
      </c>
      <c r="D10369" s="1" t="n">
        <v>1.7666</v>
      </c>
      <c r="E10369" s="1" t="n">
        <f aca="false">LN(D10369)</f>
        <v>0.569056795328895</v>
      </c>
    </row>
    <row r="10370" customFormat="false" ht="15.75" hidden="false" customHeight="false" outlineLevel="0" collapsed="false">
      <c r="A10370" s="1" t="s">
        <v>1194</v>
      </c>
      <c r="B10370" s="1" t="n">
        <v>237.06</v>
      </c>
      <c r="C10370" s="1" t="n">
        <f aca="false">1/B10370</f>
        <v>0.0042183413481819</v>
      </c>
      <c r="D10370" s="1" t="n">
        <v>1.745</v>
      </c>
      <c r="E10370" s="1" t="n">
        <f aca="false">LN(D10370)</f>
        <v>0.556754555654391</v>
      </c>
    </row>
    <row r="10371" customFormat="false" ht="15.75" hidden="false" customHeight="false" outlineLevel="0" collapsed="false">
      <c r="A10371" s="1" t="s">
        <v>1194</v>
      </c>
      <c r="B10371" s="1" t="n">
        <v>237.49</v>
      </c>
      <c r="C10371" s="1" t="n">
        <f aca="false">1/B10371</f>
        <v>0.00421070360857299</v>
      </c>
      <c r="D10371" s="1" t="n">
        <v>1.7238</v>
      </c>
      <c r="E10371" s="1" t="n">
        <f aca="false">LN(D10371)</f>
        <v>0.544531156231162</v>
      </c>
    </row>
    <row r="10372" customFormat="false" ht="15.75" hidden="false" customHeight="false" outlineLevel="0" collapsed="false">
      <c r="A10372" s="1" t="s">
        <v>1194</v>
      </c>
      <c r="B10372" s="1" t="n">
        <v>237.91</v>
      </c>
      <c r="C10372" s="1" t="n">
        <f aca="false">1/B10372</f>
        <v>0.00420327014417217</v>
      </c>
      <c r="D10372" s="1" t="n">
        <v>1.7032</v>
      </c>
      <c r="E10372" s="1" t="n">
        <f aca="false">LN(D10372)</f>
        <v>0.532508834597133</v>
      </c>
    </row>
    <row r="10373" customFormat="false" ht="15.75" hidden="false" customHeight="false" outlineLevel="0" collapsed="false">
      <c r="A10373" s="1" t="s">
        <v>1194</v>
      </c>
      <c r="B10373" s="1" t="n">
        <v>238.33</v>
      </c>
      <c r="C10373" s="1" t="n">
        <f aca="false">1/B10373</f>
        <v>0.00419586287920111</v>
      </c>
      <c r="D10373" s="1" t="n">
        <v>1.6829</v>
      </c>
      <c r="E10373" s="1" t="n">
        <f aca="false">LN(D10373)</f>
        <v>0.520518495736891</v>
      </c>
    </row>
    <row r="10374" customFormat="false" ht="15.75" hidden="false" customHeight="false" outlineLevel="0" collapsed="false">
      <c r="A10374" s="1" t="s">
        <v>1194</v>
      </c>
      <c r="B10374" s="1" t="n">
        <v>238.76</v>
      </c>
      <c r="C10374" s="1" t="n">
        <f aca="false">1/B10374</f>
        <v>0.00418830624895292</v>
      </c>
      <c r="D10374" s="1" t="n">
        <v>1.6631</v>
      </c>
      <c r="E10374" s="1" t="n">
        <f aca="false">LN(D10374)</f>
        <v>0.508683330693957</v>
      </c>
    </row>
    <row r="10375" customFormat="false" ht="15.75" hidden="false" customHeight="false" outlineLevel="0" collapsed="false">
      <c r="A10375" s="1" t="s">
        <v>1194</v>
      </c>
      <c r="B10375" s="1" t="n">
        <v>239.18</v>
      </c>
      <c r="C10375" s="1" t="n">
        <f aca="false">1/B10375</f>
        <v>0.00418095158458065</v>
      </c>
      <c r="D10375" s="1" t="n">
        <v>1.6437</v>
      </c>
      <c r="E10375" s="1" t="n">
        <f aca="false">LN(D10375)</f>
        <v>0.496949798230343</v>
      </c>
    </row>
    <row r="10376" customFormat="false" ht="15.75" hidden="false" customHeight="false" outlineLevel="0" collapsed="false">
      <c r="A10376" s="1" t="s">
        <v>1194</v>
      </c>
      <c r="B10376" s="1" t="n">
        <v>239.6</v>
      </c>
      <c r="C10376" s="1" t="n">
        <f aca="false">1/B10376</f>
        <v>0.00417362270450751</v>
      </c>
      <c r="D10376" s="1" t="n">
        <v>1.6246</v>
      </c>
      <c r="E10376" s="1" t="n">
        <f aca="false">LN(D10376)</f>
        <v>0.485261631634717</v>
      </c>
    </row>
    <row r="10377" customFormat="false" ht="15.75" hidden="false" customHeight="false" outlineLevel="0" collapsed="false">
      <c r="A10377" s="1" t="s">
        <v>1194</v>
      </c>
      <c r="B10377" s="1" t="n">
        <v>240.03</v>
      </c>
      <c r="C10377" s="1" t="n">
        <f aca="false">1/B10377</f>
        <v>0.00416614589842936</v>
      </c>
      <c r="D10377" s="1" t="n">
        <v>1.606</v>
      </c>
      <c r="E10377" s="1" t="n">
        <f aca="false">LN(D10377)</f>
        <v>0.47374661552457</v>
      </c>
    </row>
    <row r="10378" customFormat="false" ht="15.75" hidden="false" customHeight="false" outlineLevel="0" collapsed="false">
      <c r="A10378" s="1" t="s">
        <v>1194</v>
      </c>
      <c r="B10378" s="1" t="n">
        <v>240.45</v>
      </c>
      <c r="C10378" s="1" t="n">
        <f aca="false">1/B10378</f>
        <v>0.00415886878768975</v>
      </c>
      <c r="D10378" s="1" t="n">
        <v>1.5877</v>
      </c>
      <c r="E10378" s="1" t="n">
        <f aca="false">LN(D10378)</f>
        <v>0.462286428101329</v>
      </c>
    </row>
    <row r="10379" customFormat="false" ht="15.75" hidden="false" customHeight="false" outlineLevel="0" collapsed="false">
      <c r="A10379" s="1" t="s">
        <v>1194</v>
      </c>
      <c r="B10379" s="1" t="n">
        <v>240.87</v>
      </c>
      <c r="C10379" s="1" t="n">
        <f aca="false">1/B10379</f>
        <v>0.00415161705484286</v>
      </c>
      <c r="D10379" s="1" t="n">
        <v>1.5698</v>
      </c>
      <c r="E10379" s="1" t="n">
        <f aca="false">LN(D10379)</f>
        <v>0.450948222710576</v>
      </c>
    </row>
    <row r="10380" customFormat="false" ht="15.75" hidden="false" customHeight="false" outlineLevel="0" collapsed="false">
      <c r="A10380" s="1" t="s">
        <v>1194</v>
      </c>
      <c r="B10380" s="1" t="n">
        <v>241.3</v>
      </c>
      <c r="C10380" s="1" t="n">
        <f aca="false">1/B10380</f>
        <v>0.00414421881475342</v>
      </c>
      <c r="D10380" s="1" t="n">
        <v>1.5522</v>
      </c>
      <c r="E10380" s="1" t="n">
        <f aca="false">LN(D10380)</f>
        <v>0.439673279437901</v>
      </c>
    </row>
    <row r="10381" customFormat="false" ht="15.75" hidden="false" customHeight="false" outlineLevel="0" collapsed="false">
      <c r="A10381" s="1" t="s">
        <v>1194</v>
      </c>
      <c r="B10381" s="1" t="n">
        <v>241.72</v>
      </c>
      <c r="C10381" s="1" t="n">
        <f aca="false">1/B10381</f>
        <v>0.00413701803739864</v>
      </c>
      <c r="D10381" s="1" t="n">
        <v>1.535</v>
      </c>
      <c r="E10381" s="1" t="n">
        <f aca="false">LN(D10381)</f>
        <v>0.42853038103916</v>
      </c>
    </row>
    <row r="10382" customFormat="false" ht="15.75" hidden="false" customHeight="false" outlineLevel="0" collapsed="false">
      <c r="A10382" s="1" t="s">
        <v>1194</v>
      </c>
      <c r="B10382" s="1" t="n">
        <v>242.14</v>
      </c>
      <c r="C10382" s="1" t="n">
        <f aca="false">1/B10382</f>
        <v>0.00412984224002643</v>
      </c>
      <c r="D10382" s="1" t="n">
        <v>1.5181</v>
      </c>
      <c r="E10382" s="1" t="n">
        <f aca="false">LN(D10382)</f>
        <v>0.417459552956532</v>
      </c>
    </row>
    <row r="10383" customFormat="false" ht="15.75" hidden="false" customHeight="false" outlineLevel="0" collapsed="false">
      <c r="A10383" s="1" t="s">
        <v>1194</v>
      </c>
      <c r="B10383" s="1" t="n">
        <v>242.57</v>
      </c>
      <c r="C10383" s="1" t="n">
        <f aca="false">1/B10383</f>
        <v>0.0041225213340479</v>
      </c>
      <c r="D10383" s="1" t="n">
        <v>1.5015</v>
      </c>
      <c r="E10383" s="1" t="n">
        <f aca="false">LN(D10383)</f>
        <v>0.406464608441248</v>
      </c>
    </row>
    <row r="10384" customFormat="false" ht="15.75" hidden="false" customHeight="false" outlineLevel="0" collapsed="false">
      <c r="A10384" s="1" t="s">
        <v>1194</v>
      </c>
      <c r="B10384" s="1" t="n">
        <v>242.99</v>
      </c>
      <c r="C10384" s="1" t="n">
        <f aca="false">1/B10384</f>
        <v>0.0041153956952961</v>
      </c>
      <c r="D10384" s="1" t="n">
        <v>1.4852</v>
      </c>
      <c r="E10384" s="1" t="n">
        <f aca="false">LN(D10384)</f>
        <v>0.395549443320788</v>
      </c>
    </row>
    <row r="10385" customFormat="false" ht="15.75" hidden="false" customHeight="false" outlineLevel="0" collapsed="false">
      <c r="A10385" s="1" t="s">
        <v>1194</v>
      </c>
      <c r="B10385" s="1" t="n">
        <v>243.41</v>
      </c>
      <c r="C10385" s="1" t="n">
        <f aca="false">1/B10385</f>
        <v>0.00410829464689208</v>
      </c>
      <c r="D10385" s="1" t="n">
        <v>1.4692</v>
      </c>
      <c r="E10385" s="1" t="n">
        <f aca="false">LN(D10385)</f>
        <v>0.384718034963375</v>
      </c>
    </row>
    <row r="10386" customFormat="false" ht="15.75" hidden="false" customHeight="false" outlineLevel="0" collapsed="false">
      <c r="A10386" s="1" t="s">
        <v>1194</v>
      </c>
      <c r="B10386" s="1" t="n">
        <v>243.84</v>
      </c>
      <c r="C10386" s="1" t="n">
        <f aca="false">1/B10386</f>
        <v>0.0041010498687664</v>
      </c>
      <c r="D10386" s="1" t="n">
        <v>1.4535</v>
      </c>
      <c r="E10386" s="1" t="n">
        <f aca="false">LN(D10386)</f>
        <v>0.373974441016794</v>
      </c>
    </row>
    <row r="10387" customFormat="false" ht="15.75" hidden="false" customHeight="false" outlineLevel="0" collapsed="false">
      <c r="A10387" s="1" t="s">
        <v>1194</v>
      </c>
      <c r="B10387" s="1" t="n">
        <v>244.26</v>
      </c>
      <c r="C10387" s="1" t="n">
        <f aca="false">1/B10387</f>
        <v>0.00409399819864079</v>
      </c>
      <c r="D10387" s="1" t="n">
        <v>1.4382</v>
      </c>
      <c r="E10387" s="1" t="n">
        <f aca="false">LN(D10387)</f>
        <v>0.363392331686257</v>
      </c>
    </row>
    <row r="10388" customFormat="false" ht="15.75" hidden="false" customHeight="false" outlineLevel="0" collapsed="false">
      <c r="A10388" s="1" t="s">
        <v>1194</v>
      </c>
      <c r="B10388" s="1" t="n">
        <v>244.68</v>
      </c>
      <c r="C10388" s="1" t="n">
        <f aca="false">1/B10388</f>
        <v>0.00408697073728952</v>
      </c>
      <c r="D10388" s="1" t="n">
        <v>1.423</v>
      </c>
      <c r="E10388" s="1" t="n">
        <f aca="false">LN(D10388)</f>
        <v>0.352767319107715</v>
      </c>
    </row>
    <row r="10389" customFormat="false" ht="15.75" hidden="false" customHeight="false" outlineLevel="0" collapsed="false">
      <c r="A10389" s="1" t="s">
        <v>1194</v>
      </c>
      <c r="B10389" s="1" t="n">
        <v>245.11</v>
      </c>
      <c r="C10389" s="1" t="n">
        <f aca="false">1/B10389</f>
        <v>0.0040798009057158</v>
      </c>
      <c r="D10389" s="1" t="n">
        <v>1.4082</v>
      </c>
      <c r="E10389" s="1" t="n">
        <f aca="false">LN(D10389)</f>
        <v>0.342312293102896</v>
      </c>
    </row>
    <row r="10390" customFormat="false" ht="15.75" hidden="false" customHeight="false" outlineLevel="0" collapsed="false">
      <c r="A10390" s="1" t="s">
        <v>1194</v>
      </c>
      <c r="B10390" s="1" t="n">
        <v>245.53</v>
      </c>
      <c r="C10390" s="1" t="n">
        <f aca="false">1/B10390</f>
        <v>0.00407282205840427</v>
      </c>
      <c r="D10390" s="1" t="n">
        <v>1.3936</v>
      </c>
      <c r="E10390" s="1" t="n">
        <f aca="false">LN(D10390)</f>
        <v>0.331890327116101</v>
      </c>
    </row>
    <row r="10391" customFormat="false" ht="15.75" hidden="false" customHeight="false" outlineLevel="0" collapsed="false">
      <c r="A10391" s="1" t="s">
        <v>1194</v>
      </c>
      <c r="B10391" s="1" t="n">
        <v>245.95</v>
      </c>
      <c r="C10391" s="1" t="n">
        <f aca="false">1/B10391</f>
        <v>0.00406586704614759</v>
      </c>
      <c r="D10391" s="1" t="n">
        <v>1.3793</v>
      </c>
      <c r="E10391" s="1" t="n">
        <f aca="false">LN(D10391)</f>
        <v>0.321576124099337</v>
      </c>
    </row>
    <row r="10392" customFormat="false" ht="15.75" hidden="false" customHeight="false" outlineLevel="0" collapsed="false">
      <c r="A10392" s="1" t="s">
        <v>1194</v>
      </c>
      <c r="B10392" s="1" t="n">
        <v>246.38</v>
      </c>
      <c r="C10392" s="1" t="n">
        <f aca="false">1/B10392</f>
        <v>0.00405877100413995</v>
      </c>
      <c r="D10392" s="1" t="n">
        <v>1.3652</v>
      </c>
      <c r="E10392" s="1" t="n">
        <f aca="false">LN(D10392)</f>
        <v>0.311300938050415</v>
      </c>
    </row>
    <row r="10393" customFormat="false" ht="15.75" hidden="false" customHeight="false" outlineLevel="0" collapsed="false">
      <c r="A10393" s="1" t="s">
        <v>1194</v>
      </c>
      <c r="B10393" s="1" t="n">
        <v>246.8</v>
      </c>
      <c r="C10393" s="1" t="n">
        <f aca="false">1/B10393</f>
        <v>0.00405186385737439</v>
      </c>
      <c r="D10393" s="1" t="n">
        <v>1.3514</v>
      </c>
      <c r="E10393" s="1" t="n">
        <f aca="false">LN(D10393)</f>
        <v>0.301141092135937</v>
      </c>
    </row>
    <row r="10394" customFormat="false" ht="15.75" hidden="false" customHeight="false" outlineLevel="0" collapsed="false">
      <c r="A10394" s="1" t="s">
        <v>1194</v>
      </c>
      <c r="B10394" s="1" t="n">
        <v>247.22</v>
      </c>
      <c r="C10394" s="1" t="n">
        <f aca="false">1/B10394</f>
        <v>0.00404498017959712</v>
      </c>
      <c r="D10394" s="1" t="n">
        <v>1.3378</v>
      </c>
      <c r="E10394" s="1" t="n">
        <f aca="false">LN(D10394)</f>
        <v>0.291026473702171</v>
      </c>
    </row>
    <row r="10395" customFormat="false" ht="15.75" hidden="false" customHeight="false" outlineLevel="0" collapsed="false">
      <c r="A10395" s="1" t="s">
        <v>1194</v>
      </c>
      <c r="B10395" s="1" t="n">
        <v>247.65</v>
      </c>
      <c r="C10395" s="1" t="n">
        <f aca="false">1/B10395</f>
        <v>0.00403795679386231</v>
      </c>
      <c r="D10395" s="1" t="n">
        <v>1.3244</v>
      </c>
      <c r="E10395" s="1" t="n">
        <f aca="false">LN(D10395)</f>
        <v>0.280959526690954</v>
      </c>
    </row>
    <row r="10396" customFormat="false" ht="15.75" hidden="false" customHeight="false" outlineLevel="0" collapsed="false">
      <c r="A10396" s="1" t="s">
        <v>1194</v>
      </c>
      <c r="B10396" s="1" t="n">
        <v>248.07</v>
      </c>
      <c r="C10396" s="1" t="n">
        <f aca="false">1/B10396</f>
        <v>0.00403112024831701</v>
      </c>
      <c r="D10396" s="1" t="n">
        <v>1.3113</v>
      </c>
      <c r="E10396" s="1" t="n">
        <f aca="false">LN(D10396)</f>
        <v>0.271019011555241</v>
      </c>
    </row>
    <row r="10397" customFormat="false" ht="15.75" hidden="false" customHeight="false" outlineLevel="0" collapsed="false">
      <c r="A10397" s="1" t="s">
        <v>1194</v>
      </c>
      <c r="B10397" s="1" t="n">
        <v>248.49</v>
      </c>
      <c r="C10397" s="1" t="n">
        <f aca="false">1/B10397</f>
        <v>0.00402430681315143</v>
      </c>
      <c r="D10397" s="1" t="n">
        <v>1.2983</v>
      </c>
      <c r="E10397" s="1" t="n">
        <f aca="false">LN(D10397)</f>
        <v>0.261055716384071</v>
      </c>
    </row>
    <row r="10398" customFormat="false" ht="15.75" hidden="false" customHeight="false" outlineLevel="0" collapsed="false">
      <c r="A10398" s="1" t="s">
        <v>1194</v>
      </c>
      <c r="B10398" s="1" t="n">
        <v>248.92</v>
      </c>
      <c r="C10398" s="1" t="n">
        <f aca="false">1/B10398</f>
        <v>0.00401735497348546</v>
      </c>
      <c r="D10398" s="1" t="n">
        <v>1.2856</v>
      </c>
      <c r="E10398" s="1" t="n">
        <f aca="false">LN(D10398)</f>
        <v>0.251225535441166</v>
      </c>
    </row>
    <row r="10399" customFormat="false" ht="15.75" hidden="false" customHeight="false" outlineLevel="0" collapsed="false">
      <c r="A10399" s="1" t="s">
        <v>1194</v>
      </c>
      <c r="B10399" s="1" t="n">
        <v>249.34</v>
      </c>
      <c r="C10399" s="1" t="n">
        <f aca="false">1/B10399</f>
        <v>0.00401058795219379</v>
      </c>
      <c r="D10399" s="1" t="n">
        <v>1.2731</v>
      </c>
      <c r="E10399" s="1" t="n">
        <f aca="false">LN(D10399)</f>
        <v>0.241454871085463</v>
      </c>
    </row>
    <row r="10400" customFormat="false" ht="15.75" hidden="false" customHeight="false" outlineLevel="0" collapsed="false">
      <c r="A10400" s="1" t="s">
        <v>1194</v>
      </c>
      <c r="B10400" s="1" t="n">
        <v>249.76</v>
      </c>
      <c r="C10400" s="1" t="n">
        <f aca="false">1/B10400</f>
        <v>0.00400384368994235</v>
      </c>
      <c r="D10400" s="1" t="n">
        <v>1.2608</v>
      </c>
      <c r="E10400" s="1" t="n">
        <f aca="false">LN(D10400)</f>
        <v>0.231746440121478</v>
      </c>
    </row>
    <row r="10401" customFormat="false" ht="15.75" hidden="false" customHeight="false" outlineLevel="0" collapsed="false">
      <c r="A10401" s="1" t="s">
        <v>1194</v>
      </c>
      <c r="B10401" s="1" t="n">
        <v>250.19</v>
      </c>
      <c r="C10401" s="1" t="n">
        <f aca="false">1/B10401</f>
        <v>0.00399696230864543</v>
      </c>
      <c r="D10401" s="1" t="n">
        <v>1.2487</v>
      </c>
      <c r="E10401" s="1" t="n">
        <f aca="false">LN(D10401)</f>
        <v>0.222103010138962</v>
      </c>
    </row>
    <row r="10402" customFormat="false" ht="15.75" hidden="false" customHeight="false" outlineLevel="0" collapsed="false">
      <c r="A10402" s="1" t="s">
        <v>1194</v>
      </c>
      <c r="B10402" s="1" t="n">
        <v>250.61</v>
      </c>
      <c r="C10402" s="1" t="n">
        <f aca="false">1/B10402</f>
        <v>0.0039902637564343</v>
      </c>
      <c r="D10402" s="1" t="n">
        <v>1.2368</v>
      </c>
      <c r="E10402" s="1" t="n">
        <f aca="false">LN(D10402)</f>
        <v>0.21252739885102</v>
      </c>
    </row>
    <row r="10403" customFormat="false" ht="15.75" hidden="false" customHeight="false" outlineLevel="0" collapsed="false">
      <c r="A10403" s="1" t="s">
        <v>1194</v>
      </c>
      <c r="B10403" s="1" t="n">
        <v>251.03</v>
      </c>
      <c r="C10403" s="1" t="n">
        <f aca="false">1/B10403</f>
        <v>0.00398358761900968</v>
      </c>
      <c r="D10403" s="1" t="n">
        <v>1.2251</v>
      </c>
      <c r="E10403" s="1" t="n">
        <f aca="false">LN(D10403)</f>
        <v>0.203022473317988</v>
      </c>
    </row>
    <row r="10404" customFormat="false" ht="15.75" hidden="false" customHeight="false" outlineLevel="0" collapsed="false">
      <c r="A10404" s="1" t="s">
        <v>1194</v>
      </c>
      <c r="B10404" s="1" t="n">
        <v>251.46</v>
      </c>
      <c r="C10404" s="1" t="n">
        <f aca="false">1/B10404</f>
        <v>0.00397677563031894</v>
      </c>
      <c r="D10404" s="1" t="n">
        <v>1.2136</v>
      </c>
      <c r="E10404" s="1" t="n">
        <f aca="false">LN(D10404)</f>
        <v>0.193591149052185</v>
      </c>
    </row>
    <row r="10405" customFormat="false" ht="15.75" hidden="false" customHeight="false" outlineLevel="0" collapsed="false">
      <c r="A10405" s="1" t="s">
        <v>1194</v>
      </c>
      <c r="B10405" s="1" t="n">
        <v>251.88</v>
      </c>
      <c r="C10405" s="1" t="n">
        <f aca="false">1/B10405</f>
        <v>0.00397014451326028</v>
      </c>
      <c r="D10405" s="1" t="n">
        <v>1.2022</v>
      </c>
      <c r="E10405" s="1" t="n">
        <f aca="false">LN(D10405)</f>
        <v>0.184153211622925</v>
      </c>
    </row>
    <row r="10406" customFormat="false" ht="15.75" hidden="false" customHeight="false" outlineLevel="0" collapsed="false">
      <c r="A10406" s="1" t="s">
        <v>1194</v>
      </c>
      <c r="B10406" s="1" t="n">
        <v>252.3</v>
      </c>
      <c r="C10406" s="1" t="n">
        <f aca="false">1/B10406</f>
        <v>0.00396353547364249</v>
      </c>
      <c r="D10406" s="1" t="n">
        <v>1.191</v>
      </c>
      <c r="E10406" s="1" t="n">
        <f aca="false">LN(D10406)</f>
        <v>0.174793290373163</v>
      </c>
    </row>
    <row r="10407" customFormat="false" ht="15.75" hidden="false" customHeight="false" outlineLevel="0" collapsed="false">
      <c r="A10407" s="1" t="s">
        <v>1194</v>
      </c>
      <c r="B10407" s="1" t="n">
        <v>252.73</v>
      </c>
      <c r="C10407" s="1" t="n">
        <f aca="false">1/B10407</f>
        <v>0.00395679183318166</v>
      </c>
      <c r="D10407" s="1" t="n">
        <v>1.18</v>
      </c>
      <c r="E10407" s="1" t="n">
        <f aca="false">LN(D10407)</f>
        <v>0.165514438477573</v>
      </c>
    </row>
    <row r="10408" customFormat="false" ht="15.75" hidden="false" customHeight="false" outlineLevel="0" collapsed="false">
      <c r="A10408" s="1" t="s">
        <v>1194</v>
      </c>
      <c r="B10408" s="1" t="n">
        <v>253.15</v>
      </c>
      <c r="C10408" s="1" t="n">
        <f aca="false">1/B10408</f>
        <v>0.00395022713806044</v>
      </c>
      <c r="D10408" s="1" t="n">
        <v>1.1692</v>
      </c>
      <c r="E10408" s="1" t="n">
        <f aca="false">LN(D10408)</f>
        <v>0.156319754254954</v>
      </c>
    </row>
    <row r="10409" customFormat="false" ht="15.75" hidden="false" customHeight="false" outlineLevel="0" collapsed="false">
      <c r="A10409" s="1" t="s">
        <v>1194</v>
      </c>
      <c r="B10409" s="1" t="n">
        <v>253.57</v>
      </c>
      <c r="C10409" s="1" t="n">
        <f aca="false">1/B10409</f>
        <v>0.00394368418977008</v>
      </c>
      <c r="D10409" s="1" t="n">
        <v>1.1585</v>
      </c>
      <c r="E10409" s="1" t="n">
        <f aca="false">LN(D10409)</f>
        <v>0.147126064890294</v>
      </c>
    </row>
    <row r="10410" customFormat="false" ht="15.75" hidden="false" customHeight="false" outlineLevel="0" collapsed="false">
      <c r="A10410" s="1" t="s">
        <v>1194</v>
      </c>
      <c r="B10410" s="1" t="n">
        <v>254</v>
      </c>
      <c r="C10410" s="1" t="n">
        <f aca="false">1/B10410</f>
        <v>0.00393700787401575</v>
      </c>
      <c r="D10410" s="1" t="n">
        <v>1.148</v>
      </c>
      <c r="E10410" s="1" t="n">
        <f aca="false">LN(D10410)</f>
        <v>0.138021297897375</v>
      </c>
    </row>
    <row r="10411" customFormat="false" ht="15.75" hidden="false" customHeight="false" outlineLevel="0" collapsed="false">
      <c r="A10411" s="1" t="s">
        <v>1194</v>
      </c>
      <c r="B10411" s="1" t="n">
        <v>254.42</v>
      </c>
      <c r="C10411" s="1" t="n">
        <f aca="false">1/B10411</f>
        <v>0.00393050860781385</v>
      </c>
      <c r="D10411" s="1" t="n">
        <v>1.1376</v>
      </c>
      <c r="E10411" s="1" t="n">
        <f aca="false">LN(D10411)</f>
        <v>0.128920780066839</v>
      </c>
    </row>
    <row r="10412" customFormat="false" ht="15.75" hidden="false" customHeight="false" outlineLevel="0" collapsed="false">
      <c r="A10412" s="1" t="s">
        <v>1194</v>
      </c>
      <c r="B10412" s="1" t="n">
        <v>254.84</v>
      </c>
      <c r="C10412" s="1" t="n">
        <f aca="false">1/B10412</f>
        <v>0.00392403076440119</v>
      </c>
      <c r="D10412" s="1" t="n">
        <v>1.1274</v>
      </c>
      <c r="E10412" s="1" t="n">
        <f aca="false">LN(D10412)</f>
        <v>0.119914096665338</v>
      </c>
    </row>
    <row r="10413" customFormat="false" ht="15.75" hidden="false" customHeight="false" outlineLevel="0" collapsed="false">
      <c r="A10413" s="1" t="s">
        <v>1194</v>
      </c>
      <c r="B10413" s="1" t="n">
        <v>255.27</v>
      </c>
      <c r="C10413" s="1" t="n">
        <f aca="false">1/B10413</f>
        <v>0.00391742077016492</v>
      </c>
      <c r="D10413" s="1" t="n">
        <v>1.1174</v>
      </c>
      <c r="E10413" s="1" t="n">
        <f aca="false">LN(D10413)</f>
        <v>0.111004558042911</v>
      </c>
    </row>
    <row r="10414" customFormat="false" ht="15.75" hidden="false" customHeight="false" outlineLevel="0" collapsed="false">
      <c r="A10414" s="1" t="s">
        <v>1194</v>
      </c>
      <c r="B10414" s="1" t="n">
        <v>255.69</v>
      </c>
      <c r="C10414" s="1" t="n">
        <f aca="false">1/B10414</f>
        <v>0.00391098595956041</v>
      </c>
      <c r="D10414" s="1" t="n">
        <v>1.1075</v>
      </c>
      <c r="E10414" s="1" t="n">
        <f aca="false">LN(D10414)</f>
        <v>0.102105222937154</v>
      </c>
    </row>
    <row r="10415" customFormat="false" ht="15.75" hidden="false" customHeight="false" outlineLevel="0" collapsed="false">
      <c r="A10415" s="1" t="s">
        <v>1194</v>
      </c>
      <c r="B10415" s="1" t="n">
        <v>256.11</v>
      </c>
      <c r="C10415" s="1" t="n">
        <f aca="false">1/B10415</f>
        <v>0.00390457225410956</v>
      </c>
      <c r="D10415" s="1" t="n">
        <v>1.0977</v>
      </c>
      <c r="E10415" s="1" t="n">
        <f aca="false">LN(D10415)</f>
        <v>0.0932170817111337</v>
      </c>
    </row>
    <row r="10416" customFormat="false" ht="15.75" hidden="false" customHeight="false" outlineLevel="0" collapsed="false">
      <c r="A10416" s="1" t="s">
        <v>1194</v>
      </c>
      <c r="B10416" s="1" t="n">
        <v>256.54</v>
      </c>
      <c r="C10416" s="1" t="n">
        <f aca="false">1/B10416</f>
        <v>0.00389802759803539</v>
      </c>
      <c r="D10416" s="1" t="n">
        <v>1.0881</v>
      </c>
      <c r="E10416" s="1" t="n">
        <f aca="false">LN(D10416)</f>
        <v>0.0844330559748294</v>
      </c>
    </row>
    <row r="10417" customFormat="false" ht="15.75" hidden="false" customHeight="false" outlineLevel="0" collapsed="false">
      <c r="A10417" s="1" t="s">
        <v>1194</v>
      </c>
      <c r="B10417" s="1" t="n">
        <v>256.96</v>
      </c>
      <c r="C10417" s="1" t="n">
        <f aca="false">1/B10417</f>
        <v>0.00389165628891656</v>
      </c>
      <c r="D10417" s="1" t="n">
        <v>1.0786</v>
      </c>
      <c r="E10417" s="1" t="n">
        <f aca="false">LN(D10417)</f>
        <v>0.0756639039209896</v>
      </c>
    </row>
    <row r="10418" customFormat="false" ht="15.75" hidden="false" customHeight="false" outlineLevel="0" collapsed="false">
      <c r="A10418" s="1" t="s">
        <v>1194</v>
      </c>
      <c r="B10418" s="1" t="n">
        <v>257.38</v>
      </c>
      <c r="C10418" s="1" t="n">
        <f aca="false">1/B10418</f>
        <v>0.00388530577356438</v>
      </c>
      <c r="D10418" s="1" t="n">
        <v>1.0693</v>
      </c>
      <c r="E10418" s="1" t="n">
        <f aca="false">LN(D10418)</f>
        <v>0.0670042287804738</v>
      </c>
    </row>
    <row r="10419" customFormat="false" ht="15.75" hidden="false" customHeight="false" outlineLevel="0" collapsed="false">
      <c r="A10419" s="1" t="s">
        <v>1194</v>
      </c>
      <c r="B10419" s="1" t="n">
        <v>257.81</v>
      </c>
      <c r="C10419" s="1" t="n">
        <f aca="false">1/B10419</f>
        <v>0.00387882549164113</v>
      </c>
      <c r="D10419" s="1" t="n">
        <v>1.0601</v>
      </c>
      <c r="E10419" s="1" t="n">
        <f aca="false">LN(D10419)</f>
        <v>0.058363243296915</v>
      </c>
    </row>
    <row r="10420" customFormat="false" ht="15.75" hidden="false" customHeight="false" outlineLevel="0" collapsed="false">
      <c r="A10420" s="1" t="s">
        <v>1194</v>
      </c>
      <c r="B10420" s="1" t="n">
        <v>258.23</v>
      </c>
      <c r="C10420" s="1" t="n">
        <f aca="false">1/B10420</f>
        <v>0.00387251674863494</v>
      </c>
      <c r="D10420" s="1" t="n">
        <v>1.051</v>
      </c>
      <c r="E10420" s="1" t="n">
        <f aca="false">LN(D10420)</f>
        <v>0.049742091894814</v>
      </c>
    </row>
    <row r="10421" customFormat="false" ht="15.75" hidden="false" customHeight="false" outlineLevel="0" collapsed="false">
      <c r="A10421" s="1" t="s">
        <v>1194</v>
      </c>
      <c r="B10421" s="1" t="n">
        <v>258.65</v>
      </c>
      <c r="C10421" s="1" t="n">
        <f aca="false">1/B10421</f>
        <v>0.003866228494104</v>
      </c>
      <c r="D10421" s="1" t="n">
        <v>1.042</v>
      </c>
      <c r="E10421" s="1" t="n">
        <f aca="false">LN(D10421)</f>
        <v>0.0411419433311752</v>
      </c>
    </row>
    <row r="10422" customFormat="false" ht="15.75" hidden="false" customHeight="false" outlineLevel="0" collapsed="false">
      <c r="A10422" s="1" t="s">
        <v>1194</v>
      </c>
      <c r="B10422" s="1" t="n">
        <v>259.08</v>
      </c>
      <c r="C10422" s="1" t="n">
        <f aca="false">1/B10422</f>
        <v>0.00385981164119191</v>
      </c>
      <c r="D10422" s="1" t="n">
        <v>1.0332</v>
      </c>
      <c r="E10422" s="1" t="n">
        <f aca="false">LN(D10422)</f>
        <v>0.0326607822395483</v>
      </c>
    </row>
    <row r="10423" customFormat="false" ht="15.75" hidden="false" customHeight="false" outlineLevel="0" collapsed="false">
      <c r="A10423" s="1" t="s">
        <v>1194</v>
      </c>
      <c r="B10423" s="1" t="n">
        <v>259.5</v>
      </c>
      <c r="C10423" s="1" t="n">
        <f aca="false">1/B10423</f>
        <v>0.00385356454720617</v>
      </c>
      <c r="D10423" s="1" t="n">
        <v>1.0245</v>
      </c>
      <c r="E10423" s="1" t="n">
        <f aca="false">LN(D10423)</f>
        <v>0.0242046886968174</v>
      </c>
    </row>
    <row r="10424" customFormat="false" ht="15.75" hidden="false" customHeight="false" outlineLevel="0" collapsed="false">
      <c r="A10424" s="1" t="s">
        <v>1194</v>
      </c>
      <c r="B10424" s="1" t="n">
        <v>259.92</v>
      </c>
      <c r="C10424" s="1" t="n">
        <f aca="false">1/B10424</f>
        <v>0.00384733764235149</v>
      </c>
      <c r="D10424" s="1" t="n">
        <v>1.0159</v>
      </c>
      <c r="E10424" s="1" t="n">
        <f aca="false">LN(D10424)</f>
        <v>0.0157749191153622</v>
      </c>
    </row>
    <row r="10425" customFormat="false" ht="15.75" hidden="false" customHeight="false" outlineLevel="0" collapsed="false">
      <c r="A10425" s="1" t="s">
        <v>1194</v>
      </c>
      <c r="B10425" s="1" t="n">
        <v>260.35</v>
      </c>
      <c r="C10425" s="1" t="n">
        <f aca="false">1/B10425</f>
        <v>0.00384098329172268</v>
      </c>
      <c r="D10425" s="1" t="n">
        <v>1.0074</v>
      </c>
      <c r="E10425" s="1" t="n">
        <f aca="false">LN(D10425)</f>
        <v>0.00737275432941316</v>
      </c>
    </row>
    <row r="10426" customFormat="false" ht="15.75" hidden="false" customHeight="false" outlineLevel="0" collapsed="false">
      <c r="A10426" s="1" t="s">
        <v>1194</v>
      </c>
      <c r="B10426" s="1" t="n">
        <v>260.77</v>
      </c>
      <c r="C10426" s="1" t="n">
        <f aca="false">1/B10426</f>
        <v>0.00383479694750163</v>
      </c>
      <c r="D10426" s="1" t="n">
        <v>0.99902</v>
      </c>
      <c r="E10426" s="1" t="n">
        <f aca="false">LN(D10426)</f>
        <v>-0.00098048051396142</v>
      </c>
    </row>
    <row r="10427" customFormat="false" ht="15.75" hidden="false" customHeight="false" outlineLevel="0" collapsed="false">
      <c r="A10427" s="1" t="s">
        <v>1194</v>
      </c>
      <c r="B10427" s="1" t="n">
        <v>261.19</v>
      </c>
      <c r="C10427" s="1" t="n">
        <f aca="false">1/B10427</f>
        <v>0.00382863049887055</v>
      </c>
      <c r="D10427" s="1" t="n">
        <v>0.99077</v>
      </c>
      <c r="E10427" s="1" t="n">
        <f aca="false">LN(D10427)</f>
        <v>-0.00927286038811501</v>
      </c>
    </row>
    <row r="10428" customFormat="false" ht="15.75" hidden="false" customHeight="false" outlineLevel="0" collapsed="false">
      <c r="A10428" s="1" t="s">
        <v>1194</v>
      </c>
      <c r="B10428" s="1" t="n">
        <v>261.62</v>
      </c>
      <c r="C10428" s="1" t="n">
        <f aca="false">1/B10428</f>
        <v>0.00382233774176286</v>
      </c>
      <c r="D10428" s="1" t="n">
        <v>0.98262</v>
      </c>
      <c r="E10428" s="1" t="n">
        <f aca="false">LN(D10428)</f>
        <v>-0.0175328052923061</v>
      </c>
    </row>
    <row r="10429" customFormat="false" ht="15.75" hidden="false" customHeight="false" outlineLevel="0" collapsed="false">
      <c r="A10429" s="1" t="s">
        <v>1194</v>
      </c>
      <c r="B10429" s="1" t="n">
        <v>262.04</v>
      </c>
      <c r="C10429" s="1" t="n">
        <f aca="false">1/B10429</f>
        <v>0.00381621126545566</v>
      </c>
      <c r="D10429" s="1" t="n">
        <v>0.97459</v>
      </c>
      <c r="E10429" s="1" t="n">
        <f aca="false">LN(D10429)</f>
        <v>-0.0257384092451132</v>
      </c>
    </row>
    <row r="10430" customFormat="false" ht="15.75" hidden="false" customHeight="false" outlineLevel="0" collapsed="false">
      <c r="A10430" s="1" t="s">
        <v>1194</v>
      </c>
      <c r="B10430" s="1" t="n">
        <v>262.46</v>
      </c>
      <c r="C10430" s="1" t="n">
        <f aca="false">1/B10430</f>
        <v>0.00381010439686047</v>
      </c>
      <c r="D10430" s="1" t="n">
        <v>0.96666</v>
      </c>
      <c r="E10430" s="1" t="n">
        <f aca="false">LN(D10430)</f>
        <v>-0.0339084482511868</v>
      </c>
    </row>
    <row r="10431" customFormat="false" ht="15.75" hidden="false" customHeight="false" outlineLevel="0" collapsed="false">
      <c r="A10431" s="1" t="s">
        <v>1194</v>
      </c>
      <c r="B10431" s="1" t="n">
        <v>262.89</v>
      </c>
      <c r="C10431" s="1" t="n">
        <f aca="false">1/B10431</f>
        <v>0.0038038723420442</v>
      </c>
      <c r="D10431" s="1" t="n">
        <v>0.95883</v>
      </c>
      <c r="E10431" s="1" t="n">
        <f aca="false">LN(D10431)</f>
        <v>-0.0420414878000126</v>
      </c>
    </row>
    <row r="10432" customFormat="false" ht="15.75" hidden="false" customHeight="false" outlineLevel="0" collapsed="false">
      <c r="A10432" s="1" t="s">
        <v>1194</v>
      </c>
      <c r="B10432" s="1" t="n">
        <v>263.31</v>
      </c>
      <c r="C10432" s="1" t="n">
        <f aca="false">1/B10432</f>
        <v>0.00379780486878584</v>
      </c>
      <c r="D10432" s="1" t="n">
        <v>0.9511</v>
      </c>
      <c r="E10432" s="1" t="n">
        <f aca="false">LN(D10432)</f>
        <v>-0.0501360694937973</v>
      </c>
    </row>
    <row r="10433" customFormat="false" ht="15.75" hidden="false" customHeight="false" outlineLevel="0" collapsed="false">
      <c r="A10433" s="1" t="s">
        <v>1194</v>
      </c>
      <c r="B10433" s="1" t="n">
        <v>263.73</v>
      </c>
      <c r="C10433" s="1" t="n">
        <f aca="false">1/B10433</f>
        <v>0.00379175672088879</v>
      </c>
      <c r="D10433" s="1" t="n">
        <v>0.94347</v>
      </c>
      <c r="E10433" s="1" t="n">
        <f aca="false">LN(D10433)</f>
        <v>-0.0581907111814364</v>
      </c>
    </row>
    <row r="10434" customFormat="false" ht="15.75" hidden="false" customHeight="false" outlineLevel="0" collapsed="false">
      <c r="A10434" s="1" t="s">
        <v>1194</v>
      </c>
      <c r="B10434" s="1" t="n">
        <v>264.16</v>
      </c>
      <c r="C10434" s="1" t="n">
        <f aca="false">1/B10434</f>
        <v>0.00378558449424591</v>
      </c>
      <c r="D10434" s="1" t="n">
        <v>0.93594</v>
      </c>
      <c r="E10434" s="1" t="n">
        <f aca="false">LN(D10434)</f>
        <v>-0.0662039071233048</v>
      </c>
    </row>
    <row r="10435" customFormat="false" ht="15.75" hidden="false" customHeight="false" outlineLevel="0" collapsed="false">
      <c r="A10435" s="1" t="s">
        <v>1194</v>
      </c>
      <c r="B10435" s="1" t="n">
        <v>264.58</v>
      </c>
      <c r="C10435" s="1" t="n">
        <f aca="false">1/B10435</f>
        <v>0.00377957517575025</v>
      </c>
      <c r="D10435" s="1" t="n">
        <v>0.92851</v>
      </c>
      <c r="E10435" s="1" t="n">
        <f aca="false">LN(D10435)</f>
        <v>-0.074174128188138</v>
      </c>
    </row>
    <row r="10436" customFormat="false" ht="15.75" hidden="false" customHeight="false" outlineLevel="0" collapsed="false">
      <c r="A10436" s="1" t="s">
        <v>1194</v>
      </c>
      <c r="B10436" s="1" t="n">
        <v>265</v>
      </c>
      <c r="C10436" s="1" t="n">
        <f aca="false">1/B10436</f>
        <v>0.00377358490566038</v>
      </c>
      <c r="D10436" s="1" t="n">
        <v>0.92117</v>
      </c>
      <c r="E10436" s="1" t="n">
        <f aca="false">LN(D10436)</f>
        <v>-0.0821106777838742</v>
      </c>
    </row>
    <row r="10437" customFormat="false" ht="15.75" hidden="false" customHeight="false" outlineLevel="0" collapsed="false">
      <c r="A10437" s="1" t="s">
        <v>1194</v>
      </c>
      <c r="B10437" s="1" t="n">
        <v>265.43</v>
      </c>
      <c r="C10437" s="1" t="n">
        <f aca="false">1/B10437</f>
        <v>0.00376747164977584</v>
      </c>
      <c r="D10437" s="1" t="n">
        <v>0.91392</v>
      </c>
      <c r="E10437" s="1" t="n">
        <f aca="false">LN(D10437)</f>
        <v>-0.0900122387110269</v>
      </c>
    </row>
    <row r="10438" customFormat="false" ht="15.75" hidden="false" customHeight="false" outlineLevel="0" collapsed="false">
      <c r="A10438" s="1" t="s">
        <v>1194</v>
      </c>
      <c r="B10438" s="1" t="n">
        <v>265.85</v>
      </c>
      <c r="C10438" s="1" t="n">
        <f aca="false">1/B10438</f>
        <v>0.00376151965394019</v>
      </c>
      <c r="D10438" s="1" t="n">
        <v>0.90676</v>
      </c>
      <c r="E10438" s="1" t="n">
        <f aca="false">LN(D10438)</f>
        <v>-0.0978774724818125</v>
      </c>
    </row>
    <row r="10439" customFormat="false" ht="15.75" hidden="false" customHeight="false" outlineLevel="0" collapsed="false">
      <c r="A10439" s="1" t="s">
        <v>1194</v>
      </c>
      <c r="B10439" s="1" t="n">
        <v>266.27</v>
      </c>
      <c r="C10439" s="1" t="n">
        <f aca="false">1/B10439</f>
        <v>0.0037555864348218</v>
      </c>
      <c r="D10439" s="1" t="n">
        <v>0.89969</v>
      </c>
      <c r="E10439" s="1" t="n">
        <f aca="false">LN(D10439)</f>
        <v>-0.105705019436884</v>
      </c>
    </row>
    <row r="10440" customFormat="false" ht="15.75" hidden="false" customHeight="false" outlineLevel="0" collapsed="false">
      <c r="A10440" s="1" t="s">
        <v>1194</v>
      </c>
      <c r="B10440" s="1" t="n">
        <v>266.7</v>
      </c>
      <c r="C10440" s="1" t="n">
        <f aca="false">1/B10440</f>
        <v>0.00374953130858643</v>
      </c>
      <c r="D10440" s="1" t="n">
        <v>0.89271</v>
      </c>
      <c r="E10440" s="1" t="n">
        <f aca="false">LN(D10440)</f>
        <v>-0.113493498888015</v>
      </c>
    </row>
    <row r="10441" customFormat="false" ht="15.75" hidden="false" customHeight="false" outlineLevel="0" collapsed="false">
      <c r="A10441" s="1" t="s">
        <v>1194</v>
      </c>
      <c r="B10441" s="1" t="n">
        <v>267.12</v>
      </c>
      <c r="C10441" s="1" t="n">
        <f aca="false">1/B10441</f>
        <v>0.00374363581910752</v>
      </c>
      <c r="D10441" s="1" t="n">
        <v>0.88582</v>
      </c>
      <c r="E10441" s="1" t="n">
        <f aca="false">LN(D10441)</f>
        <v>-0.12124150928778</v>
      </c>
    </row>
    <row r="10442" customFormat="false" ht="15.75" hidden="false" customHeight="false" outlineLevel="0" collapsed="false">
      <c r="A10442" s="1" t="s">
        <v>1194</v>
      </c>
      <c r="B10442" s="1" t="n">
        <v>267.54</v>
      </c>
      <c r="C10442" s="1" t="n">
        <f aca="false">1/B10442</f>
        <v>0.00373775883979966</v>
      </c>
      <c r="D10442" s="1" t="n">
        <v>0.879</v>
      </c>
      <c r="E10442" s="1" t="n">
        <f aca="false">LN(D10442)</f>
        <v>-0.12897038129696</v>
      </c>
    </row>
    <row r="10443" customFormat="false" ht="15.75" hidden="false" customHeight="false" outlineLevel="0" collapsed="false">
      <c r="A10443" s="1" t="s">
        <v>1194</v>
      </c>
      <c r="B10443" s="1" t="n">
        <v>267.97</v>
      </c>
      <c r="C10443" s="1" t="n">
        <f aca="false">1/B10443</f>
        <v>0.00373176101802441</v>
      </c>
      <c r="D10443" s="1" t="n">
        <v>0.87227</v>
      </c>
      <c r="E10443" s="1" t="n">
        <f aca="false">LN(D10443)</f>
        <v>-0.136656269972048</v>
      </c>
    </row>
    <row r="10444" customFormat="false" ht="15.75" hidden="false" customHeight="false" outlineLevel="0" collapsed="false">
      <c r="A10444" s="1" t="s">
        <v>1194</v>
      </c>
      <c r="B10444" s="1" t="n">
        <v>268.39</v>
      </c>
      <c r="C10444" s="1" t="n">
        <f aca="false">1/B10444</f>
        <v>0.00372592123402511</v>
      </c>
      <c r="D10444" s="1" t="n">
        <v>0.86562</v>
      </c>
      <c r="E10444" s="1" t="n">
        <f aca="false">LN(D10444)</f>
        <v>-0.144309265796401</v>
      </c>
    </row>
    <row r="10445" customFormat="false" ht="15.75" hidden="false" customHeight="false" outlineLevel="0" collapsed="false">
      <c r="A10445" s="1" t="s">
        <v>1194</v>
      </c>
      <c r="B10445" s="1" t="n">
        <v>268.81</v>
      </c>
      <c r="C10445" s="1" t="n">
        <f aca="false">1/B10445</f>
        <v>0.00372009969867192</v>
      </c>
      <c r="D10445" s="1" t="n">
        <v>0.85906</v>
      </c>
      <c r="E10445" s="1" t="n">
        <f aca="false">LN(D10445)</f>
        <v>-0.151916510775952</v>
      </c>
    </row>
    <row r="10446" customFormat="false" ht="15.75" hidden="false" customHeight="false" outlineLevel="0" collapsed="false">
      <c r="A10446" s="1" t="s">
        <v>1194</v>
      </c>
      <c r="B10446" s="1" t="n">
        <v>269.24</v>
      </c>
      <c r="C10446" s="1" t="n">
        <f aca="false">1/B10446</f>
        <v>0.00371415837171297</v>
      </c>
      <c r="D10446" s="1" t="n">
        <v>0.85256</v>
      </c>
      <c r="E10446" s="1" t="n">
        <f aca="false">LN(D10446)</f>
        <v>-0.159511691069436</v>
      </c>
    </row>
    <row r="10447" customFormat="false" ht="15.75" hidden="false" customHeight="false" outlineLevel="0" collapsed="false">
      <c r="A10447" s="1" t="s">
        <v>1194</v>
      </c>
      <c r="B10447" s="1" t="n">
        <v>269.66</v>
      </c>
      <c r="C10447" s="1" t="n">
        <f aca="false">1/B10447</f>
        <v>0.00370837350737966</v>
      </c>
      <c r="D10447" s="1" t="n">
        <v>0.84615</v>
      </c>
      <c r="E10447" s="1" t="n">
        <f aca="false">LN(D10447)</f>
        <v>-0.167058630128042</v>
      </c>
    </row>
    <row r="10448" customFormat="false" ht="15.75" hidden="false" customHeight="false" outlineLevel="0" collapsed="false">
      <c r="A10448" s="1" t="s">
        <v>1194</v>
      </c>
      <c r="B10448" s="1" t="n">
        <v>270.08</v>
      </c>
      <c r="C10448" s="1" t="n">
        <f aca="false">1/B10448</f>
        <v>0.00370260663507109</v>
      </c>
      <c r="D10448" s="1" t="n">
        <v>0.83981</v>
      </c>
      <c r="E10448" s="1" t="n">
        <f aca="false">LN(D10448)</f>
        <v>-0.174579603205892</v>
      </c>
    </row>
    <row r="10449" customFormat="false" ht="15.75" hidden="false" customHeight="false" outlineLevel="0" collapsed="false">
      <c r="A10449" s="1" t="s">
        <v>1194</v>
      </c>
      <c r="B10449" s="1" t="n">
        <v>270.51</v>
      </c>
      <c r="C10449" s="1" t="n">
        <f aca="false">1/B10449</f>
        <v>0.00369672100846549</v>
      </c>
      <c r="D10449" s="1" t="n">
        <v>0.83355</v>
      </c>
      <c r="E10449" s="1" t="n">
        <f aca="false">LN(D10449)</f>
        <v>-0.182061590588097</v>
      </c>
    </row>
    <row r="10450" customFormat="false" ht="15.75" hidden="false" customHeight="false" outlineLevel="0" collapsed="false">
      <c r="A10450" s="1" t="s">
        <v>1194</v>
      </c>
      <c r="B10450" s="1" t="n">
        <v>270.93</v>
      </c>
      <c r="C10450" s="1" t="n">
        <f aca="false">1/B10450</f>
        <v>0.00369099029269553</v>
      </c>
      <c r="D10450" s="1" t="n">
        <v>0.82735</v>
      </c>
      <c r="E10450" s="1" t="n">
        <f aca="false">LN(D10450)</f>
        <v>-0.189527457044284</v>
      </c>
    </row>
    <row r="10451" customFormat="false" ht="15.75" hidden="false" customHeight="false" outlineLevel="0" collapsed="false">
      <c r="A10451" s="1" t="s">
        <v>1194</v>
      </c>
      <c r="B10451" s="1" t="n">
        <v>271.35</v>
      </c>
      <c r="C10451" s="1" t="n">
        <f aca="false">1/B10451</f>
        <v>0.00368527731711811</v>
      </c>
      <c r="D10451" s="1" t="n">
        <v>0.82123</v>
      </c>
      <c r="E10451" s="1" t="n">
        <f aca="false">LN(D10451)</f>
        <v>-0.196952062600102</v>
      </c>
    </row>
    <row r="10452" customFormat="false" ht="15.75" hidden="false" customHeight="false" outlineLevel="0" collapsed="false">
      <c r="A10452" s="1" t="s">
        <v>1194</v>
      </c>
      <c r="B10452" s="1" t="n">
        <v>271.78</v>
      </c>
      <c r="C10452" s="1" t="n">
        <f aca="false">1/B10452</f>
        <v>0.00367944661122967</v>
      </c>
      <c r="D10452" s="1" t="n">
        <v>0.81518</v>
      </c>
      <c r="E10452" s="1" t="n">
        <f aca="false">LN(D10452)</f>
        <v>-0.204346331231304</v>
      </c>
    </row>
    <row r="10453" customFormat="false" ht="15.75" hidden="false" customHeight="false" outlineLevel="0" collapsed="false">
      <c r="A10453" s="1" t="s">
        <v>1194</v>
      </c>
      <c r="B10453" s="1" t="n">
        <v>272.2</v>
      </c>
      <c r="C10453" s="1" t="n">
        <f aca="false">1/B10453</f>
        <v>0.00367376928728876</v>
      </c>
      <c r="D10453" s="1" t="n">
        <v>0.8092</v>
      </c>
      <c r="E10453" s="1" t="n">
        <f aca="false">LN(D10453)</f>
        <v>-0.211709173688547</v>
      </c>
    </row>
    <row r="10454" customFormat="false" ht="15.75" hidden="false" customHeight="false" outlineLevel="0" collapsed="false">
      <c r="A10454" s="1" t="s">
        <v>1194</v>
      </c>
      <c r="B10454" s="1" t="n">
        <v>272.62</v>
      </c>
      <c r="C10454" s="1" t="n">
        <f aca="false">1/B10454</f>
        <v>0.00366810945638618</v>
      </c>
      <c r="D10454" s="1" t="n">
        <v>0.80329</v>
      </c>
      <c r="E10454" s="1" t="n">
        <f aca="false">LN(D10454)</f>
        <v>-0.219039484529177</v>
      </c>
    </row>
    <row r="10455" customFormat="false" ht="15.75" hidden="false" customHeight="false" outlineLevel="0" collapsed="false">
      <c r="A10455" s="1" t="s">
        <v>1194</v>
      </c>
      <c r="B10455" s="1" t="n">
        <v>273.05</v>
      </c>
      <c r="C10455" s="1" t="n">
        <f aca="false">1/B10455</f>
        <v>0.00366233290606116</v>
      </c>
      <c r="D10455" s="1" t="n">
        <v>0.79744</v>
      </c>
      <c r="E10455" s="1" t="n">
        <f aca="false">LN(D10455)</f>
        <v>-0.226348682263158</v>
      </c>
    </row>
    <row r="10456" customFormat="false" ht="15.75" hidden="false" customHeight="false" outlineLevel="0" collapsed="false">
      <c r="A10456" s="1" t="s">
        <v>1194</v>
      </c>
      <c r="B10456" s="1" t="n">
        <v>273.47</v>
      </c>
      <c r="C10456" s="1" t="n">
        <f aca="false">1/B10456</f>
        <v>0.00365670823125023</v>
      </c>
      <c r="D10456" s="1" t="n">
        <v>0.79166</v>
      </c>
      <c r="E10456" s="1" t="n">
        <f aca="false">LN(D10456)</f>
        <v>-0.233623272269594</v>
      </c>
    </row>
    <row r="10457" customFormat="false" ht="15.75" hidden="false" customHeight="false" outlineLevel="0" collapsed="false">
      <c r="A10457" s="1" t="s">
        <v>1194</v>
      </c>
      <c r="B10457" s="1" t="n">
        <v>273.89</v>
      </c>
      <c r="C10457" s="1" t="n">
        <f aca="false">1/B10457</f>
        <v>0.00365110080689328</v>
      </c>
      <c r="D10457" s="1" t="n">
        <v>0.78595</v>
      </c>
      <c r="E10457" s="1" t="n">
        <f aca="false">LN(D10457)</f>
        <v>-0.24086210180789</v>
      </c>
    </row>
    <row r="10458" customFormat="false" ht="15.75" hidden="false" customHeight="false" outlineLevel="0" collapsed="false">
      <c r="A10458" s="1" t="s">
        <v>1194</v>
      </c>
      <c r="B10458" s="1" t="n">
        <v>274.32</v>
      </c>
      <c r="C10458" s="1" t="n">
        <f aca="false">1/B10458</f>
        <v>0.00364537766112569</v>
      </c>
      <c r="D10458" s="1" t="n">
        <v>0.7803</v>
      </c>
      <c r="E10458" s="1" t="n">
        <f aca="false">LN(D10458)</f>
        <v>-0.248076817859421</v>
      </c>
    </row>
    <row r="10459" customFormat="false" ht="15.75" hidden="false" customHeight="false" outlineLevel="0" collapsed="false">
      <c r="A10459" s="1" t="s">
        <v>1194</v>
      </c>
      <c r="B10459" s="1" t="n">
        <v>274.74</v>
      </c>
      <c r="C10459" s="1" t="n">
        <f aca="false">1/B10459</f>
        <v>0.00363980490645701</v>
      </c>
      <c r="D10459" s="1" t="n">
        <v>0.77471</v>
      </c>
      <c r="E10459" s="1" t="n">
        <f aca="false">LN(D10459)</f>
        <v>-0.255266513205053</v>
      </c>
    </row>
    <row r="10460" customFormat="false" ht="15.75" hidden="false" customHeight="false" outlineLevel="0" collapsed="false">
      <c r="A10460" s="1" t="s">
        <v>1194</v>
      </c>
      <c r="B10460" s="1" t="n">
        <v>275.16</v>
      </c>
      <c r="C10460" s="1" t="n">
        <f aca="false">1/B10460</f>
        <v>0.00363424916412269</v>
      </c>
      <c r="D10460" s="1" t="n">
        <v>0.76918</v>
      </c>
      <c r="E10460" s="1" t="n">
        <f aca="false">LN(D10460)</f>
        <v>-0.262430266645587</v>
      </c>
    </row>
    <row r="10461" customFormat="false" ht="15.75" hidden="false" customHeight="false" outlineLevel="0" collapsed="false">
      <c r="A10461" s="1" t="s">
        <v>1194</v>
      </c>
      <c r="B10461" s="1" t="n">
        <v>275.59</v>
      </c>
      <c r="C10461" s="1" t="n">
        <f aca="false">1/B10461</f>
        <v>0.0036285786857288</v>
      </c>
      <c r="D10461" s="1" t="n">
        <v>0.76371</v>
      </c>
      <c r="E10461" s="1" t="n">
        <f aca="false">LN(D10461)</f>
        <v>-0.26956714302661</v>
      </c>
    </row>
    <row r="10462" customFormat="false" ht="15.75" hidden="false" customHeight="false" outlineLevel="0" collapsed="false">
      <c r="A10462" s="1" t="s">
        <v>1194</v>
      </c>
      <c r="B10462" s="1" t="n">
        <v>276.01</v>
      </c>
      <c r="C10462" s="1" t="n">
        <f aca="false">1/B10462</f>
        <v>0.00362305713561103</v>
      </c>
      <c r="D10462" s="1" t="n">
        <v>0.7583</v>
      </c>
      <c r="E10462" s="1" t="n">
        <f aca="false">LN(D10462)</f>
        <v>-0.276676193275247</v>
      </c>
    </row>
    <row r="10463" customFormat="false" ht="15.75" hidden="false" customHeight="false" outlineLevel="0" collapsed="false">
      <c r="A10463" s="1" t="s">
        <v>1194</v>
      </c>
      <c r="B10463" s="1" t="n">
        <v>276.43</v>
      </c>
      <c r="C10463" s="1" t="n">
        <f aca="false">1/B10463</f>
        <v>0.00361755236407047</v>
      </c>
      <c r="D10463" s="1" t="n">
        <v>0.75295</v>
      </c>
      <c r="E10463" s="1" t="n">
        <f aca="false">LN(D10463)</f>
        <v>-0.283756454449309</v>
      </c>
    </row>
    <row r="10464" customFormat="false" ht="15.75" hidden="false" customHeight="false" outlineLevel="0" collapsed="false">
      <c r="A10464" s="1" t="s">
        <v>1194</v>
      </c>
      <c r="B10464" s="1" t="n">
        <v>276.86</v>
      </c>
      <c r="C10464" s="1" t="n">
        <f aca="false">1/B10464</f>
        <v>0.00361193382937225</v>
      </c>
      <c r="D10464" s="1" t="n">
        <v>0.74766</v>
      </c>
      <c r="E10464" s="1" t="n">
        <f aca="false">LN(D10464)</f>
        <v>-0.290806949799306</v>
      </c>
    </row>
    <row r="10465" customFormat="false" ht="15.75" hidden="false" customHeight="false" outlineLevel="0" collapsed="false">
      <c r="A10465" s="1" t="s">
        <v>1194</v>
      </c>
      <c r="B10465" s="1" t="n">
        <v>277.28</v>
      </c>
      <c r="C10465" s="1" t="n">
        <f aca="false">1/B10465</f>
        <v>0.0036064627813041</v>
      </c>
      <c r="D10465" s="1" t="n">
        <v>0.74243</v>
      </c>
      <c r="E10465" s="1" t="n">
        <f aca="false">LN(D10465)</f>
        <v>-0.297826688843829</v>
      </c>
    </row>
    <row r="10466" customFormat="false" ht="15.75" hidden="false" customHeight="false" outlineLevel="0" collapsed="false">
      <c r="A10466" s="1" t="s">
        <v>1194</v>
      </c>
      <c r="B10466" s="1" t="n">
        <v>277.7</v>
      </c>
      <c r="C10466" s="1" t="n">
        <f aca="false">1/B10466</f>
        <v>0.00360100828231905</v>
      </c>
      <c r="D10466" s="1" t="n">
        <v>0.73725</v>
      </c>
      <c r="E10466" s="1" t="n">
        <f aca="false">LN(D10466)</f>
        <v>-0.304828231286751</v>
      </c>
    </row>
    <row r="10467" customFormat="false" ht="15.75" hidden="false" customHeight="false" outlineLevel="0" collapsed="false">
      <c r="A10467" s="1" t="s">
        <v>1194</v>
      </c>
      <c r="B10467" s="1" t="n">
        <v>278.13</v>
      </c>
      <c r="C10467" s="1" t="n">
        <f aca="false">1/B10467</f>
        <v>0.0035954409808363</v>
      </c>
      <c r="D10467" s="1" t="n">
        <v>0.73212</v>
      </c>
      <c r="E10467" s="1" t="n">
        <f aca="false">LN(D10467)</f>
        <v>-0.311810844030376</v>
      </c>
    </row>
    <row r="10468" customFormat="false" ht="15.75" hidden="false" customHeight="false" outlineLevel="0" collapsed="false">
      <c r="A10468" s="1" t="s">
        <v>1194</v>
      </c>
      <c r="B10468" s="1" t="n">
        <v>278.55</v>
      </c>
      <c r="C10468" s="1" t="n">
        <f aca="false">1/B10468</f>
        <v>0.0035900197451086</v>
      </c>
      <c r="D10468" s="1" t="n">
        <v>0.72705</v>
      </c>
      <c r="E10468" s="1" t="n">
        <f aca="false">LN(D10468)</f>
        <v>-0.318760028022642</v>
      </c>
    </row>
    <row r="10469" customFormat="false" ht="15.75" hidden="false" customHeight="false" outlineLevel="0" collapsed="false">
      <c r="A10469" s="1" t="s">
        <v>1194</v>
      </c>
      <c r="B10469" s="1" t="n">
        <v>278.97</v>
      </c>
      <c r="C10469" s="1" t="n">
        <f aca="false">1/B10469</f>
        <v>0.00358461483313618</v>
      </c>
      <c r="D10469" s="1" t="n">
        <v>0.72203</v>
      </c>
      <c r="E10469" s="1" t="n">
        <f aca="false">LN(D10469)</f>
        <v>-0.325688589706003</v>
      </c>
    </row>
    <row r="10470" customFormat="false" ht="15.75" hidden="false" customHeight="false" outlineLevel="0" collapsed="false">
      <c r="A10470" s="1" t="s">
        <v>1194</v>
      </c>
      <c r="B10470" s="1" t="n">
        <v>279.4</v>
      </c>
      <c r="C10470" s="1" t="n">
        <f aca="false">1/B10470</f>
        <v>0.00357909806728704</v>
      </c>
      <c r="D10470" s="1" t="n">
        <v>0.71707</v>
      </c>
      <c r="E10470" s="1" t="n">
        <f aca="false">LN(D10470)</f>
        <v>-0.332581814138155</v>
      </c>
    </row>
    <row r="10471" customFormat="false" ht="15.75" hidden="false" customHeight="false" outlineLevel="0" collapsed="false">
      <c r="A10471" s="1" t="s">
        <v>1194</v>
      </c>
      <c r="B10471" s="1" t="n">
        <v>279.82</v>
      </c>
      <c r="C10471" s="1" t="n">
        <f aca="false">1/B10471</f>
        <v>0.00357372596669287</v>
      </c>
      <c r="D10471" s="1" t="n">
        <v>0.71216</v>
      </c>
      <c r="E10471" s="1" t="n">
        <f aca="false">LN(D10471)</f>
        <v>-0.339452673714593</v>
      </c>
    </row>
    <row r="10472" customFormat="false" ht="15.75" hidden="false" customHeight="false" outlineLevel="0" collapsed="false">
      <c r="A10472" s="1" t="s">
        <v>1194</v>
      </c>
      <c r="B10472" s="1" t="n">
        <v>280.24</v>
      </c>
      <c r="C10472" s="1" t="n">
        <f aca="false">1/B10472</f>
        <v>0.00356836996859834</v>
      </c>
      <c r="D10472" s="1" t="n">
        <v>0.70729</v>
      </c>
      <c r="E10472" s="1" t="n">
        <f aca="false">LN(D10472)</f>
        <v>-0.346314513312442</v>
      </c>
    </row>
    <row r="10473" customFormat="false" ht="15.75" hidden="false" customHeight="false" outlineLevel="0" collapsed="false">
      <c r="A10473" s="1" t="s">
        <v>1194</v>
      </c>
      <c r="B10473" s="1" t="n">
        <v>280.67</v>
      </c>
      <c r="C10473" s="1" t="n">
        <f aca="false">1/B10473</f>
        <v>0.00356290305340792</v>
      </c>
      <c r="D10473" s="1" t="n">
        <v>0.70248</v>
      </c>
      <c r="E10473" s="1" t="n">
        <f aca="false">LN(D10473)</f>
        <v>-0.353138347930397</v>
      </c>
    </row>
    <row r="10474" customFormat="false" ht="15.75" hidden="false" customHeight="false" outlineLevel="0" collapsed="false">
      <c r="A10474" s="1" t="s">
        <v>1194</v>
      </c>
      <c r="B10474" s="1" t="n">
        <v>281.09</v>
      </c>
      <c r="C10474" s="1" t="n">
        <f aca="false">1/B10474</f>
        <v>0.00355757942296062</v>
      </c>
      <c r="D10474" s="1" t="n">
        <v>0.69772</v>
      </c>
      <c r="E10474" s="1" t="n">
        <f aca="false">LN(D10474)</f>
        <v>-0.359937402832203</v>
      </c>
    </row>
    <row r="10475" customFormat="false" ht="15.75" hidden="false" customHeight="false" outlineLevel="0" collapsed="false">
      <c r="A10475" s="1" t="s">
        <v>1194</v>
      </c>
      <c r="B10475" s="1" t="n">
        <v>281.51</v>
      </c>
      <c r="C10475" s="1" t="n">
        <f aca="false">1/B10475</f>
        <v>0.00355227167773791</v>
      </c>
      <c r="D10475" s="1" t="n">
        <v>0.693</v>
      </c>
      <c r="E10475" s="1" t="n">
        <f aca="false">LN(D10475)</f>
        <v>-0.366725279792234</v>
      </c>
    </row>
    <row r="10476" customFormat="false" ht="15.75" hidden="false" customHeight="false" outlineLevel="0" collapsed="false">
      <c r="A10476" s="1" t="s">
        <v>1194</v>
      </c>
      <c r="B10476" s="1" t="n">
        <v>281.94</v>
      </c>
      <c r="C10476" s="1" t="n">
        <f aca="false">1/B10476</f>
        <v>0.00354685394055473</v>
      </c>
      <c r="D10476" s="1" t="n">
        <v>0.68834</v>
      </c>
      <c r="E10476" s="1" t="n">
        <f aca="false">LN(D10476)</f>
        <v>-0.373472377071991</v>
      </c>
    </row>
    <row r="10477" customFormat="false" ht="15.75" hidden="false" customHeight="false" outlineLevel="0" collapsed="false">
      <c r="A10477" s="1" t="s">
        <v>1194</v>
      </c>
      <c r="B10477" s="1" t="n">
        <v>282.36</v>
      </c>
      <c r="C10477" s="1" t="n">
        <f aca="false">1/B10477</f>
        <v>0.00354157812721349</v>
      </c>
      <c r="D10477" s="1" t="n">
        <v>0.68372</v>
      </c>
      <c r="E10477" s="1" t="n">
        <f aca="false">LN(D10477)</f>
        <v>-0.38020680189407</v>
      </c>
    </row>
    <row r="10478" customFormat="false" ht="15.75" hidden="false" customHeight="false" outlineLevel="0" collapsed="false">
      <c r="A10478" s="1" t="s">
        <v>1194</v>
      </c>
      <c r="B10478" s="1" t="n">
        <v>282.78</v>
      </c>
      <c r="C10478" s="1" t="n">
        <f aca="false">1/B10478</f>
        <v>0.00353631798571328</v>
      </c>
      <c r="D10478" s="1" t="n">
        <v>0.67914</v>
      </c>
      <c r="E10478" s="1" t="n">
        <f aca="false">LN(D10478)</f>
        <v>-0.386927987109753</v>
      </c>
    </row>
    <row r="10479" customFormat="false" ht="15.75" hidden="false" customHeight="false" outlineLevel="0" collapsed="false">
      <c r="A10479" s="1" t="s">
        <v>1194</v>
      </c>
      <c r="B10479" s="1" t="n">
        <v>283.21</v>
      </c>
      <c r="C10479" s="1" t="n">
        <f aca="false">1/B10479</f>
        <v>0.00353094876593341</v>
      </c>
      <c r="D10479" s="1" t="n">
        <v>0.67461</v>
      </c>
      <c r="E10479" s="1" t="n">
        <f aca="false">LN(D10479)</f>
        <v>-0.393620532865286</v>
      </c>
    </row>
    <row r="10480" customFormat="false" ht="15.75" hidden="false" customHeight="false" outlineLevel="0" collapsed="false">
      <c r="A10480" s="1" t="s">
        <v>1194</v>
      </c>
      <c r="B10480" s="1" t="n">
        <v>283.63</v>
      </c>
      <c r="C10480" s="1" t="n">
        <f aca="false">1/B10480</f>
        <v>0.00352572012833621</v>
      </c>
      <c r="D10480" s="1" t="n">
        <v>0.67013</v>
      </c>
      <c r="E10480" s="1" t="n">
        <f aca="false">LN(D10480)</f>
        <v>-0.400283555567736</v>
      </c>
    </row>
    <row r="10481" customFormat="false" ht="15.75" hidden="false" customHeight="false" outlineLevel="0" collapsed="false">
      <c r="A10481" s="1" t="s">
        <v>1194</v>
      </c>
      <c r="B10481" s="1" t="n">
        <v>284.05</v>
      </c>
      <c r="C10481" s="1" t="n">
        <f aca="false">1/B10481</f>
        <v>0.00352050695300123</v>
      </c>
      <c r="D10481" s="1" t="n">
        <v>0.66569</v>
      </c>
      <c r="E10481" s="1" t="n">
        <f aca="false">LN(D10481)</f>
        <v>-0.40693118226989</v>
      </c>
    </row>
    <row r="10482" customFormat="false" ht="15.75" hidden="false" customHeight="false" outlineLevel="0" collapsed="false">
      <c r="A10482" s="1" t="s">
        <v>1194</v>
      </c>
      <c r="B10482" s="1" t="n">
        <v>284.48</v>
      </c>
      <c r="C10482" s="1" t="n">
        <f aca="false">1/B10482</f>
        <v>0.00351518560179977</v>
      </c>
      <c r="D10482" s="1" t="n">
        <v>0.6613</v>
      </c>
      <c r="E10482" s="1" t="n">
        <f aca="false">LN(D10482)</f>
        <v>-0.41354768430152</v>
      </c>
    </row>
    <row r="10483" customFormat="false" ht="15.75" hidden="false" customHeight="false" outlineLevel="0" collapsed="false">
      <c r="A10483" s="1" t="s">
        <v>1194</v>
      </c>
      <c r="B10483" s="1" t="n">
        <v>284.9</v>
      </c>
      <c r="C10483" s="1" t="n">
        <f aca="false">1/B10483</f>
        <v>0.00351000351000351</v>
      </c>
      <c r="D10483" s="1" t="n">
        <v>0.65694</v>
      </c>
      <c r="E10483" s="1" t="n">
        <f aca="false">LN(D10483)</f>
        <v>-0.420162588868749</v>
      </c>
    </row>
    <row r="10484" customFormat="false" ht="15.75" hidden="false" customHeight="false" outlineLevel="0" collapsed="false">
      <c r="A10484" s="1" t="s">
        <v>1194</v>
      </c>
      <c r="B10484" s="1" t="n">
        <v>285.32</v>
      </c>
      <c r="C10484" s="1" t="n">
        <f aca="false">1/B10484</f>
        <v>0.00350483667461096</v>
      </c>
      <c r="D10484" s="1" t="n">
        <v>0.65263</v>
      </c>
      <c r="E10484" s="1" t="n">
        <f aca="false">LN(D10484)</f>
        <v>-0.426744925913215</v>
      </c>
    </row>
    <row r="10485" customFormat="false" ht="15.75" hidden="false" customHeight="false" outlineLevel="0" collapsed="false">
      <c r="A10485" s="1" t="s">
        <v>1194</v>
      </c>
      <c r="B10485" s="1" t="n">
        <v>285.75</v>
      </c>
      <c r="C10485" s="1" t="n">
        <f aca="false">1/B10485</f>
        <v>0.00349956255468066</v>
      </c>
      <c r="D10485" s="1" t="n">
        <v>0.64837</v>
      </c>
      <c r="E10485" s="1" t="n">
        <f aca="false">LN(D10485)</f>
        <v>-0.433293757926966</v>
      </c>
    </row>
    <row r="10486" customFormat="false" ht="15.75" hidden="false" customHeight="false" outlineLevel="0" collapsed="false">
      <c r="A10486" s="1" t="s">
        <v>1194</v>
      </c>
      <c r="B10486" s="1" t="n">
        <v>286.17</v>
      </c>
      <c r="C10486" s="1" t="n">
        <f aca="false">1/B10486</f>
        <v>0.0034944263899081</v>
      </c>
      <c r="D10486" s="1" t="n">
        <v>0.64414</v>
      </c>
      <c r="E10486" s="1" t="n">
        <f aca="false">LN(D10486)</f>
        <v>-0.439839185199501</v>
      </c>
    </row>
    <row r="10487" customFormat="false" ht="15.75" hidden="false" customHeight="false" outlineLevel="0" collapsed="false">
      <c r="A10487" s="1" t="s">
        <v>1194</v>
      </c>
      <c r="B10487" s="1" t="n">
        <v>286.59</v>
      </c>
      <c r="C10487" s="1" t="n">
        <f aca="false">1/B10487</f>
        <v>0.00348930527931889</v>
      </c>
      <c r="D10487" s="1" t="n">
        <v>0.63995</v>
      </c>
      <c r="E10487" s="1" t="n">
        <f aca="false">LN(D10487)</f>
        <v>-0.446365230680336</v>
      </c>
    </row>
    <row r="10488" customFormat="false" ht="15.75" hidden="false" customHeight="false" outlineLevel="0" collapsed="false">
      <c r="A10488" s="1" t="s">
        <v>1194</v>
      </c>
      <c r="B10488" s="1" t="n">
        <v>287.02</v>
      </c>
      <c r="C10488" s="1" t="n">
        <f aca="false">1/B10488</f>
        <v>0.00348407776461571</v>
      </c>
      <c r="D10488" s="1" t="n">
        <v>0.63581</v>
      </c>
      <c r="E10488" s="1" t="n">
        <f aca="false">LN(D10488)</f>
        <v>-0.452855502412702</v>
      </c>
    </row>
    <row r="10489" customFormat="false" ht="15.75" hidden="false" customHeight="false" outlineLevel="0" collapsed="false">
      <c r="A10489" s="1" t="s">
        <v>1194</v>
      </c>
      <c r="B10489" s="1" t="n">
        <v>287.44</v>
      </c>
      <c r="C10489" s="1" t="n">
        <f aca="false">1/B10489</f>
        <v>0.00347898691900918</v>
      </c>
      <c r="D10489" s="1" t="n">
        <v>0.6317</v>
      </c>
      <c r="E10489" s="1" t="n">
        <f aca="false">LN(D10489)</f>
        <v>-0.459340681077482</v>
      </c>
    </row>
    <row r="10490" customFormat="false" ht="15.75" hidden="false" customHeight="false" outlineLevel="0" collapsed="false">
      <c r="A10490" s="1" t="s">
        <v>1194</v>
      </c>
      <c r="B10490" s="1" t="n">
        <v>287.86</v>
      </c>
      <c r="C10490" s="1" t="n">
        <f aca="false">1/B10490</f>
        <v>0.00347391092892378</v>
      </c>
      <c r="D10490" s="1" t="n">
        <v>0.62763</v>
      </c>
      <c r="E10490" s="1" t="n">
        <f aca="false">LN(D10490)</f>
        <v>-0.46580445811847</v>
      </c>
    </row>
    <row r="10491" customFormat="false" ht="15.75" hidden="false" customHeight="false" outlineLevel="0" collapsed="false">
      <c r="A10491" s="1" t="s">
        <v>1194</v>
      </c>
      <c r="B10491" s="1" t="n">
        <v>288.29</v>
      </c>
      <c r="C10491" s="1" t="n">
        <f aca="false">1/B10491</f>
        <v>0.00346872940441916</v>
      </c>
      <c r="D10491" s="1" t="n">
        <v>0.6236</v>
      </c>
      <c r="E10491" s="1" t="n">
        <f aca="false">LN(D10491)</f>
        <v>-0.472246141798516</v>
      </c>
    </row>
    <row r="10492" customFormat="false" ht="15.75" hidden="false" customHeight="false" outlineLevel="0" collapsed="false">
      <c r="A10492" s="1" t="s">
        <v>1194</v>
      </c>
      <c r="B10492" s="1" t="n">
        <v>288.71</v>
      </c>
      <c r="C10492" s="1" t="n">
        <f aca="false">1/B10492</f>
        <v>0.0034636832808008</v>
      </c>
      <c r="D10492" s="1" t="n">
        <v>0.61961</v>
      </c>
      <c r="E10492" s="1" t="n">
        <f aca="false">LN(D10492)</f>
        <v>-0.47866503112486</v>
      </c>
    </row>
    <row r="10493" customFormat="false" ht="15.75" hidden="false" customHeight="false" outlineLevel="0" collapsed="false">
      <c r="A10493" s="1" t="s">
        <v>1194</v>
      </c>
      <c r="B10493" s="1" t="n">
        <v>289.13</v>
      </c>
      <c r="C10493" s="1" t="n">
        <f aca="false">1/B10493</f>
        <v>0.00345865181752153</v>
      </c>
      <c r="D10493" s="1" t="n">
        <v>0.61566</v>
      </c>
      <c r="E10493" s="1" t="n">
        <f aca="false">LN(D10493)</f>
        <v>-0.485060415879964</v>
      </c>
    </row>
    <row r="10494" customFormat="false" ht="15.75" hidden="false" customHeight="false" outlineLevel="0" collapsed="false">
      <c r="A10494" s="1" t="s">
        <v>1194</v>
      </c>
      <c r="B10494" s="1" t="n">
        <v>289.56</v>
      </c>
      <c r="C10494" s="1" t="n">
        <f aca="false">1/B10494</f>
        <v>0.00345351567896118</v>
      </c>
      <c r="D10494" s="1" t="n">
        <v>0.61174</v>
      </c>
      <c r="E10494" s="1" t="n">
        <f aca="false">LN(D10494)</f>
        <v>-0.491447923339754</v>
      </c>
    </row>
    <row r="10495" customFormat="false" ht="15.75" hidden="false" customHeight="false" outlineLevel="0" collapsed="false">
      <c r="A10495" s="1" t="s">
        <v>1194</v>
      </c>
      <c r="B10495" s="1" t="n">
        <v>289.98</v>
      </c>
      <c r="C10495" s="1" t="n">
        <f aca="false">1/B10495</f>
        <v>0.00344851369059935</v>
      </c>
      <c r="D10495" s="1" t="n">
        <v>0.60786</v>
      </c>
      <c r="E10495" s="1" t="n">
        <f aca="false">LN(D10495)</f>
        <v>-0.497810686688496</v>
      </c>
    </row>
    <row r="10496" customFormat="false" ht="15.75" hidden="false" customHeight="false" outlineLevel="0" collapsed="false">
      <c r="A10496" s="1" t="s">
        <v>1194</v>
      </c>
      <c r="B10496" s="1" t="n">
        <v>290.4</v>
      </c>
      <c r="C10496" s="1" t="n">
        <f aca="false">1/B10496</f>
        <v>0.0034435261707989</v>
      </c>
      <c r="D10496" s="1" t="n">
        <v>0.60401</v>
      </c>
      <c r="E10496" s="1" t="n">
        <f aca="false">LN(D10496)</f>
        <v>-0.504164524892985</v>
      </c>
    </row>
    <row r="10497" customFormat="false" ht="15.75" hidden="false" customHeight="false" outlineLevel="0" collapsed="false">
      <c r="A10497" s="1" t="s">
        <v>1194</v>
      </c>
      <c r="B10497" s="1" t="n">
        <v>290.83</v>
      </c>
      <c r="C10497" s="1" t="n">
        <f aca="false">1/B10497</f>
        <v>0.0034384348244679</v>
      </c>
      <c r="D10497" s="1" t="n">
        <v>0.6002</v>
      </c>
      <c r="E10497" s="1" t="n">
        <f aca="false">LN(D10497)</f>
        <v>-0.51049234597587</v>
      </c>
    </row>
    <row r="10498" customFormat="false" ht="15.75" hidden="false" customHeight="false" outlineLevel="0" collapsed="false">
      <c r="A10498" s="1" t="s">
        <v>1194</v>
      </c>
      <c r="B10498" s="1" t="n">
        <v>291.25</v>
      </c>
      <c r="C10498" s="1" t="n">
        <f aca="false">1/B10498</f>
        <v>0.00343347639484978</v>
      </c>
      <c r="D10498" s="1" t="n">
        <v>0.59642</v>
      </c>
      <c r="E10498" s="1" t="n">
        <f aca="false">LN(D10498)</f>
        <v>-0.516810162113247</v>
      </c>
    </row>
    <row r="10499" customFormat="false" ht="15.75" hidden="false" customHeight="false" outlineLevel="0" collapsed="false">
      <c r="A10499" s="1" t="s">
        <v>1194</v>
      </c>
      <c r="B10499" s="1" t="n">
        <v>291.67</v>
      </c>
      <c r="C10499" s="1" t="n">
        <f aca="false">1/B10499</f>
        <v>0.00342853224534577</v>
      </c>
      <c r="D10499" s="1" t="n">
        <v>0.59268</v>
      </c>
      <c r="E10499" s="1" t="n">
        <f aca="false">LN(D10499)</f>
        <v>-0.523100654641603</v>
      </c>
    </row>
    <row r="10500" customFormat="false" ht="15.75" hidden="false" customHeight="false" outlineLevel="0" collapsed="false">
      <c r="A10500" s="1" t="s">
        <v>1194</v>
      </c>
      <c r="B10500" s="1" t="n">
        <v>292.1</v>
      </c>
      <c r="C10500" s="1" t="n">
        <f aca="false">1/B10500</f>
        <v>0.00342348510783978</v>
      </c>
      <c r="D10500" s="1" t="n">
        <v>0.58897</v>
      </c>
      <c r="E10500" s="1" t="n">
        <f aca="false">LN(D10500)</f>
        <v>-0.529380030413798</v>
      </c>
    </row>
    <row r="10501" customFormat="false" ht="15.75" hidden="false" customHeight="false" outlineLevel="0" collapsed="false">
      <c r="A10501" s="1" t="s">
        <v>1194</v>
      </c>
      <c r="B10501" s="1" t="n">
        <v>292.52</v>
      </c>
      <c r="C10501" s="1" t="n">
        <f aca="false">1/B10501</f>
        <v>0.00341856967044988</v>
      </c>
      <c r="D10501" s="1" t="n">
        <v>0.5853</v>
      </c>
      <c r="E10501" s="1" t="n">
        <f aca="false">LN(D10501)</f>
        <v>-0.535630742684962</v>
      </c>
    </row>
    <row r="10502" customFormat="false" ht="15.75" hidden="false" customHeight="false" outlineLevel="0" collapsed="false">
      <c r="A10502" s="1" t="s">
        <v>1194</v>
      </c>
      <c r="B10502" s="1" t="n">
        <v>292.94</v>
      </c>
      <c r="C10502" s="1" t="n">
        <f aca="false">1/B10502</f>
        <v>0.00341366832798525</v>
      </c>
      <c r="D10502" s="1" t="n">
        <v>0.58166</v>
      </c>
      <c r="E10502" s="1" t="n">
        <f aca="false">LN(D10502)</f>
        <v>-0.541869194397452</v>
      </c>
    </row>
    <row r="10503" customFormat="false" ht="15.75" hidden="false" customHeight="false" outlineLevel="0" collapsed="false">
      <c r="A10503" s="1" t="s">
        <v>1194</v>
      </c>
      <c r="B10503" s="1" t="n">
        <v>293.37</v>
      </c>
      <c r="C10503" s="1" t="n">
        <f aca="false">1/B10503</f>
        <v>0.00340866482598766</v>
      </c>
      <c r="D10503" s="1" t="n">
        <v>0.57805</v>
      </c>
      <c r="E10503" s="1" t="n">
        <f aca="false">LN(D10503)</f>
        <v>-0.548094908860807</v>
      </c>
    </row>
    <row r="10504" customFormat="false" ht="15.75" hidden="false" customHeight="false" outlineLevel="0" collapsed="false">
      <c r="A10504" s="1" t="s">
        <v>1194</v>
      </c>
      <c r="B10504" s="1" t="n">
        <v>293.79</v>
      </c>
      <c r="C10504" s="1" t="n">
        <f aca="false">1/B10504</f>
        <v>0.00340379182409204</v>
      </c>
      <c r="D10504" s="1" t="n">
        <v>0.57447</v>
      </c>
      <c r="E10504" s="1" t="n">
        <f aca="false">LN(D10504)</f>
        <v>-0.554307402377952</v>
      </c>
    </row>
    <row r="10505" customFormat="false" ht="15.75" hidden="false" customHeight="false" outlineLevel="0" collapsed="false">
      <c r="A10505" s="1" t="s">
        <v>1194</v>
      </c>
      <c r="B10505" s="1" t="n">
        <v>294.21</v>
      </c>
      <c r="C10505" s="1" t="n">
        <f aca="false">1/B10505</f>
        <v>0.00339893273512117</v>
      </c>
      <c r="D10505" s="1" t="n">
        <v>0.57092</v>
      </c>
      <c r="E10505" s="1" t="n">
        <f aca="false">LN(D10505)</f>
        <v>-0.560506184220569</v>
      </c>
    </row>
    <row r="10506" customFormat="false" ht="15.75" hidden="false" customHeight="false" outlineLevel="0" collapsed="false">
      <c r="A10506" s="1" t="s">
        <v>1194</v>
      </c>
      <c r="B10506" s="1" t="n">
        <v>294.64</v>
      </c>
      <c r="C10506" s="1" t="n">
        <f aca="false">1/B10506</f>
        <v>0.00339397230518599</v>
      </c>
      <c r="D10506" s="1" t="n">
        <v>0.56741</v>
      </c>
      <c r="E10506" s="1" t="n">
        <f aca="false">LN(D10506)</f>
        <v>-0.566673132511722</v>
      </c>
    </row>
    <row r="10507" customFormat="false" ht="15.75" hidden="false" customHeight="false" outlineLevel="0" collapsed="false">
      <c r="A10507" s="1" t="s">
        <v>1194</v>
      </c>
      <c r="B10507" s="1" t="n">
        <v>295.06</v>
      </c>
      <c r="C10507" s="1" t="n">
        <f aca="false">1/B10507</f>
        <v>0.00338914119162204</v>
      </c>
      <c r="D10507" s="1" t="n">
        <v>0.56392</v>
      </c>
      <c r="E10507" s="1" t="n">
        <f aca="false">LN(D10507)</f>
        <v>-0.572842881516517</v>
      </c>
    </row>
    <row r="10508" customFormat="false" ht="15.75" hidden="false" customHeight="false" outlineLevel="0" collapsed="false">
      <c r="A10508" s="1" t="s">
        <v>1194</v>
      </c>
      <c r="B10508" s="1" t="n">
        <v>295.48</v>
      </c>
      <c r="C10508" s="1" t="n">
        <f aca="false">1/B10508</f>
        <v>0.00338432381210234</v>
      </c>
      <c r="D10508" s="1" t="n">
        <v>0.56047</v>
      </c>
      <c r="E10508" s="1" t="n">
        <f aca="false">LN(D10508)</f>
        <v>-0.578979561541971</v>
      </c>
    </row>
    <row r="10509" customFormat="false" ht="15.75" hidden="false" customHeight="false" outlineLevel="0" collapsed="false">
      <c r="A10509" s="1" t="s">
        <v>1194</v>
      </c>
      <c r="B10509" s="1" t="n">
        <v>295.91</v>
      </c>
      <c r="C10509" s="1" t="n">
        <f aca="false">1/B10509</f>
        <v>0.0033794059004427</v>
      </c>
      <c r="D10509" s="1" t="n">
        <v>0.55705</v>
      </c>
      <c r="E10509" s="1" t="n">
        <f aca="false">LN(D10509)</f>
        <v>-0.585100276476811</v>
      </c>
    </row>
    <row r="10510" customFormat="false" ht="15.75" hidden="false" customHeight="false" outlineLevel="0" collapsed="false">
      <c r="A10510" s="1" t="s">
        <v>1194</v>
      </c>
      <c r="B10510" s="1" t="n">
        <v>296.33</v>
      </c>
      <c r="C10510" s="1" t="n">
        <f aca="false">1/B10510</f>
        <v>0.00337461613741437</v>
      </c>
      <c r="D10510" s="1" t="n">
        <v>0.55365</v>
      </c>
      <c r="E10510" s="1" t="n">
        <f aca="false">LN(D10510)</f>
        <v>-0.59122256083802</v>
      </c>
    </row>
    <row r="10511" customFormat="false" ht="15.75" hidden="false" customHeight="false" outlineLevel="0" collapsed="false">
      <c r="A10511" s="1" t="s">
        <v>1194</v>
      </c>
      <c r="B10511" s="1" t="n">
        <v>296.75</v>
      </c>
      <c r="C10511" s="1" t="n">
        <f aca="false">1/B10511</f>
        <v>0.0033698399326032</v>
      </c>
      <c r="D10511" s="1" t="n">
        <v>0.55029</v>
      </c>
      <c r="E10511" s="1" t="n">
        <f aca="false">LN(D10511)</f>
        <v>-0.597309866987768</v>
      </c>
    </row>
    <row r="10512" customFormat="false" ht="15.75" hidden="false" customHeight="false" outlineLevel="0" collapsed="false">
      <c r="A10512" s="1" t="s">
        <v>1194</v>
      </c>
      <c r="B10512" s="1" t="n">
        <v>297.18</v>
      </c>
      <c r="C10512" s="1" t="n">
        <f aca="false">1/B10512</f>
        <v>0.00336496399488525</v>
      </c>
      <c r="D10512" s="1" t="n">
        <v>0.54695</v>
      </c>
      <c r="E10512" s="1" t="n">
        <f aca="false">LN(D10512)</f>
        <v>-0.603397888416337</v>
      </c>
    </row>
    <row r="10513" customFormat="false" ht="15.75" hidden="false" customHeight="false" outlineLevel="0" collapsed="false">
      <c r="A10513" s="1" t="s">
        <v>1194</v>
      </c>
      <c r="B10513" s="1" t="n">
        <v>297.6</v>
      </c>
      <c r="C10513" s="1" t="n">
        <f aca="false">1/B10513</f>
        <v>0.00336021505376344</v>
      </c>
      <c r="D10513" s="1" t="n">
        <v>0.54364</v>
      </c>
      <c r="E10513" s="1" t="n">
        <f aca="false">LN(D10513)</f>
        <v>-0.60946801589499</v>
      </c>
    </row>
    <row r="10514" customFormat="false" ht="15.75" hidden="false" customHeight="false" outlineLevel="0" collapsed="false">
      <c r="A10514" s="1" t="s">
        <v>1194</v>
      </c>
      <c r="B10514" s="1" t="n">
        <v>298.02</v>
      </c>
      <c r="C10514" s="1" t="n">
        <f aca="false">1/B10514</f>
        <v>0.00335547949802027</v>
      </c>
      <c r="D10514" s="1" t="n">
        <v>0.54036</v>
      </c>
      <c r="E10514" s="1" t="n">
        <f aca="false">LN(D10514)</f>
        <v>-0.615519694880657</v>
      </c>
    </row>
    <row r="10515" customFormat="false" ht="15.75" hidden="false" customHeight="false" outlineLevel="0" collapsed="false">
      <c r="A10515" s="1" t="s">
        <v>1194</v>
      </c>
      <c r="B10515" s="1" t="n">
        <v>298.07</v>
      </c>
      <c r="C10515" s="1" t="n">
        <f aca="false">1/B10515</f>
        <v>0.00335491663032174</v>
      </c>
      <c r="D10515" s="1" t="n">
        <v>0.53999</v>
      </c>
      <c r="E10515" s="1" t="n">
        <f aca="false">LN(D10515)</f>
        <v>-0.616204658113805</v>
      </c>
    </row>
    <row r="10516" customFormat="false" ht="15.75" hidden="false" customHeight="false" outlineLevel="0" collapsed="false">
      <c r="A10516" s="1" t="s">
        <v>1196</v>
      </c>
      <c r="B10516" s="1" t="n">
        <v>170</v>
      </c>
      <c r="C10516" s="1" t="n">
        <f aca="false">1/B10516</f>
        <v>0.00588235294117647</v>
      </c>
      <c r="D10516" s="1" t="n">
        <v>5.8132</v>
      </c>
      <c r="E10516" s="1" t="n">
        <f aca="false">LN(D10516)</f>
        <v>1.76013119376988</v>
      </c>
    </row>
    <row r="10517" customFormat="false" ht="15.75" hidden="false" customHeight="false" outlineLevel="0" collapsed="false">
      <c r="A10517" s="1" t="s">
        <v>1196</v>
      </c>
      <c r="B10517" s="1" t="n">
        <v>170.45</v>
      </c>
      <c r="C10517" s="1" t="n">
        <f aca="false">1/B10517</f>
        <v>0.00586682311528308</v>
      </c>
      <c r="D10517" s="1" t="n">
        <v>5.7385</v>
      </c>
      <c r="E10517" s="1" t="n">
        <f aca="false">LN(D10517)</f>
        <v>1.74719785213859</v>
      </c>
    </row>
    <row r="10518" customFormat="false" ht="15.75" hidden="false" customHeight="false" outlineLevel="0" collapsed="false">
      <c r="A10518" s="1" t="s">
        <v>1196</v>
      </c>
      <c r="B10518" s="1" t="n">
        <v>170.9</v>
      </c>
      <c r="C10518" s="1" t="n">
        <f aca="false">1/B10518</f>
        <v>0.00585137507314219</v>
      </c>
      <c r="D10518" s="1" t="n">
        <v>5.6649</v>
      </c>
      <c r="E10518" s="1" t="n">
        <f aca="false">LN(D10518)</f>
        <v>1.73428924207351</v>
      </c>
    </row>
    <row r="10519" customFormat="false" ht="15.75" hidden="false" customHeight="false" outlineLevel="0" collapsed="false">
      <c r="A10519" s="1" t="s">
        <v>1196</v>
      </c>
      <c r="B10519" s="1" t="n">
        <v>171.35</v>
      </c>
      <c r="C10519" s="1" t="n">
        <f aca="false">1/B10519</f>
        <v>0.00583600817041144</v>
      </c>
      <c r="D10519" s="1" t="n">
        <v>5.5924</v>
      </c>
      <c r="E10519" s="1" t="n">
        <f aca="false">LN(D10519)</f>
        <v>1.72140853313153</v>
      </c>
    </row>
    <row r="10520" customFormat="false" ht="15.75" hidden="false" customHeight="false" outlineLevel="0" collapsed="false">
      <c r="A10520" s="1" t="s">
        <v>1196</v>
      </c>
      <c r="B10520" s="1" t="n">
        <v>171.8</v>
      </c>
      <c r="C10520" s="1" t="n">
        <f aca="false">1/B10520</f>
        <v>0.00582072176949942</v>
      </c>
      <c r="D10520" s="1" t="n">
        <v>5.5209</v>
      </c>
      <c r="E10520" s="1" t="n">
        <f aca="false">LN(D10520)</f>
        <v>1.70854089047712</v>
      </c>
    </row>
    <row r="10521" customFormat="false" ht="15.75" hidden="false" customHeight="false" outlineLevel="0" collapsed="false">
      <c r="A10521" s="1" t="s">
        <v>1196</v>
      </c>
      <c r="B10521" s="1" t="n">
        <v>172.25</v>
      </c>
      <c r="C10521" s="1" t="n">
        <f aca="false">1/B10521</f>
        <v>0.0058055152394775</v>
      </c>
      <c r="D10521" s="1" t="n">
        <v>5.4505</v>
      </c>
      <c r="E10521" s="1" t="n">
        <f aca="false">LN(D10521)</f>
        <v>1.69570734758628</v>
      </c>
    </row>
    <row r="10522" customFormat="false" ht="15.75" hidden="false" customHeight="false" outlineLevel="0" collapsed="false">
      <c r="A10522" s="1" t="s">
        <v>1196</v>
      </c>
      <c r="B10522" s="1" t="n">
        <v>172.7</v>
      </c>
      <c r="C10522" s="1" t="n">
        <f aca="false">1/B10522</f>
        <v>0.00579038795599305</v>
      </c>
      <c r="D10522" s="1" t="n">
        <v>5.3811</v>
      </c>
      <c r="E10522" s="1" t="n">
        <f aca="false">LN(D10522)</f>
        <v>1.68289281424094</v>
      </c>
    </row>
    <row r="10523" customFormat="false" ht="15.75" hidden="false" customHeight="false" outlineLevel="0" collapsed="false">
      <c r="A10523" s="1" t="s">
        <v>1196</v>
      </c>
      <c r="B10523" s="1" t="n">
        <v>173.15</v>
      </c>
      <c r="C10523" s="1" t="n">
        <f aca="false">1/B10523</f>
        <v>0.00577533930118394</v>
      </c>
      <c r="D10523" s="1" t="n">
        <v>5.3127</v>
      </c>
      <c r="E10523" s="1" t="n">
        <f aca="false">LN(D10523)</f>
        <v>1.67010018060073</v>
      </c>
    </row>
    <row r="10524" customFormat="false" ht="15.75" hidden="false" customHeight="false" outlineLevel="0" collapsed="false">
      <c r="A10524" s="1" t="s">
        <v>1196</v>
      </c>
      <c r="B10524" s="1" t="n">
        <v>173.6</v>
      </c>
      <c r="C10524" s="1" t="n">
        <f aca="false">1/B10524</f>
        <v>0.00576036866359447</v>
      </c>
      <c r="D10524" s="1" t="n">
        <v>5.2453</v>
      </c>
      <c r="E10524" s="1" t="n">
        <f aca="false">LN(D10524)</f>
        <v>1.65733243754335</v>
      </c>
    </row>
    <row r="10525" customFormat="false" ht="15.75" hidden="false" customHeight="false" outlineLevel="0" collapsed="false">
      <c r="A10525" s="1" t="s">
        <v>1196</v>
      </c>
      <c r="B10525" s="1" t="n">
        <v>174.05</v>
      </c>
      <c r="C10525" s="1" t="n">
        <f aca="false">1/B10525</f>
        <v>0.0057454754380925</v>
      </c>
      <c r="D10525" s="1" t="n">
        <v>5.1789</v>
      </c>
      <c r="E10525" s="1" t="n">
        <f aca="false">LN(D10525)</f>
        <v>1.64459267850848</v>
      </c>
    </row>
    <row r="10526" customFormat="false" ht="15.75" hidden="false" customHeight="false" outlineLevel="0" collapsed="false">
      <c r="A10526" s="1" t="s">
        <v>1196</v>
      </c>
      <c r="B10526" s="1" t="n">
        <v>174.5</v>
      </c>
      <c r="C10526" s="1" t="n">
        <f aca="false">1/B10526</f>
        <v>0.00573065902578797</v>
      </c>
      <c r="D10526" s="1" t="n">
        <v>5.1135</v>
      </c>
      <c r="E10526" s="1" t="n">
        <f aca="false">LN(D10526)</f>
        <v>1.63188410126393</v>
      </c>
    </row>
    <row r="10527" customFormat="false" ht="15.75" hidden="false" customHeight="false" outlineLevel="0" collapsed="false">
      <c r="A10527" s="1" t="s">
        <v>1196</v>
      </c>
      <c r="B10527" s="1" t="n">
        <v>174.95</v>
      </c>
      <c r="C10527" s="1" t="n">
        <f aca="false">1/B10527</f>
        <v>0.00571591883395256</v>
      </c>
      <c r="D10527" s="1" t="n">
        <v>5.049</v>
      </c>
      <c r="E10527" s="1" t="n">
        <f aca="false">LN(D10527)</f>
        <v>1.61919020387678</v>
      </c>
    </row>
    <row r="10528" customFormat="false" ht="15.75" hidden="false" customHeight="false" outlineLevel="0" collapsed="false">
      <c r="A10528" s="1" t="s">
        <v>1196</v>
      </c>
      <c r="B10528" s="1" t="n">
        <v>175.4</v>
      </c>
      <c r="C10528" s="1" t="n">
        <f aca="false">1/B10528</f>
        <v>0.00570125427594071</v>
      </c>
      <c r="D10528" s="1" t="n">
        <v>4.9855</v>
      </c>
      <c r="E10528" s="1" t="n">
        <f aca="false">LN(D10528)</f>
        <v>1.60653369928671</v>
      </c>
    </row>
    <row r="10529" customFormat="false" ht="15.75" hidden="false" customHeight="false" outlineLevel="0" collapsed="false">
      <c r="A10529" s="1" t="s">
        <v>1196</v>
      </c>
      <c r="B10529" s="1" t="n">
        <v>175.85</v>
      </c>
      <c r="C10529" s="1" t="n">
        <f aca="false">1/B10529</f>
        <v>0.00568666477111174</v>
      </c>
      <c r="D10529" s="1" t="n">
        <v>4.9229</v>
      </c>
      <c r="E10529" s="1" t="n">
        <f aca="false">LN(D10529)</f>
        <v>1.59389778775237</v>
      </c>
    </row>
    <row r="10530" customFormat="false" ht="15.75" hidden="false" customHeight="false" outlineLevel="0" collapsed="false">
      <c r="A10530" s="1" t="s">
        <v>1196</v>
      </c>
      <c r="B10530" s="1" t="n">
        <v>176.3</v>
      </c>
      <c r="C10530" s="1" t="n">
        <f aca="false">1/B10530</f>
        <v>0.00567214974475326</v>
      </c>
      <c r="D10530" s="1" t="n">
        <v>4.8611</v>
      </c>
      <c r="E10530" s="1" t="n">
        <f aca="false">LN(D10530)</f>
        <v>1.58126474975051</v>
      </c>
    </row>
    <row r="10531" customFormat="false" ht="15.75" hidden="false" customHeight="false" outlineLevel="0" collapsed="false">
      <c r="A10531" s="1" t="s">
        <v>1196</v>
      </c>
      <c r="B10531" s="1" t="n">
        <v>176.75</v>
      </c>
      <c r="C10531" s="1" t="n">
        <f aca="false">1/B10531</f>
        <v>0.00565770862800566</v>
      </c>
      <c r="D10531" s="1" t="n">
        <v>4.8003</v>
      </c>
      <c r="E10531" s="1" t="n">
        <f aca="false">LN(D10531)</f>
        <v>1.5686784159608</v>
      </c>
    </row>
    <row r="10532" customFormat="false" ht="15.75" hidden="false" customHeight="false" outlineLevel="0" collapsed="false">
      <c r="A10532" s="1" t="s">
        <v>1196</v>
      </c>
      <c r="B10532" s="1" t="n">
        <v>177.2</v>
      </c>
      <c r="C10532" s="1" t="n">
        <f aca="false">1/B10532</f>
        <v>0.00564334085778781</v>
      </c>
      <c r="D10532" s="1" t="n">
        <v>4.7404</v>
      </c>
      <c r="E10532" s="1" t="n">
        <f aca="false">LN(D10532)</f>
        <v>1.55612152033216</v>
      </c>
    </row>
    <row r="10533" customFormat="false" ht="15.75" hidden="false" customHeight="false" outlineLevel="0" collapsed="false">
      <c r="A10533" s="1" t="s">
        <v>1196</v>
      </c>
      <c r="B10533" s="1" t="n">
        <v>177.65</v>
      </c>
      <c r="C10533" s="1" t="n">
        <f aca="false">1/B10533</f>
        <v>0.0056290458767239</v>
      </c>
      <c r="D10533" s="1" t="n">
        <v>4.6813</v>
      </c>
      <c r="E10533" s="1" t="n">
        <f aca="false">LN(D10533)</f>
        <v>1.54357584913423</v>
      </c>
    </row>
    <row r="10534" customFormat="false" ht="15.75" hidden="false" customHeight="false" outlineLevel="0" collapsed="false">
      <c r="A10534" s="1" t="s">
        <v>1196</v>
      </c>
      <c r="B10534" s="1" t="n">
        <v>178.1</v>
      </c>
      <c r="C10534" s="1" t="n">
        <f aca="false">1/B10534</f>
        <v>0.00561482313307131</v>
      </c>
      <c r="D10534" s="1" t="n">
        <v>4.6231</v>
      </c>
      <c r="E10534" s="1" t="n">
        <f aca="false">LN(D10534)</f>
        <v>1.5310654757477</v>
      </c>
    </row>
    <row r="10535" customFormat="false" ht="15.75" hidden="false" customHeight="false" outlineLevel="0" collapsed="false">
      <c r="A10535" s="1" t="s">
        <v>1196</v>
      </c>
      <c r="B10535" s="1" t="n">
        <v>178.55</v>
      </c>
      <c r="C10535" s="1" t="n">
        <f aca="false">1/B10535</f>
        <v>0.00560067208064968</v>
      </c>
      <c r="D10535" s="1" t="n">
        <v>4.5657</v>
      </c>
      <c r="E10535" s="1" t="n">
        <f aca="false">LN(D10535)</f>
        <v>1.51857184292673</v>
      </c>
    </row>
    <row r="10536" customFormat="false" ht="15.75" hidden="false" customHeight="false" outlineLevel="0" collapsed="false">
      <c r="A10536" s="1" t="s">
        <v>1196</v>
      </c>
      <c r="B10536" s="1" t="n">
        <v>179</v>
      </c>
      <c r="C10536" s="1" t="n">
        <f aca="false">1/B10536</f>
        <v>0.00558659217877095</v>
      </c>
      <c r="D10536" s="1" t="n">
        <v>4.5091</v>
      </c>
      <c r="E10536" s="1" t="n">
        <f aca="false">LN(D10536)</f>
        <v>1.50609757705951</v>
      </c>
    </row>
    <row r="10537" customFormat="false" ht="15.75" hidden="false" customHeight="false" outlineLevel="0" collapsed="false">
      <c r="A10537" s="1" t="s">
        <v>1196</v>
      </c>
      <c r="B10537" s="1" t="n">
        <v>179.45</v>
      </c>
      <c r="C10537" s="1" t="n">
        <f aca="false">1/B10537</f>
        <v>0.00557258289217052</v>
      </c>
      <c r="D10537" s="1" t="n">
        <v>4.4533</v>
      </c>
      <c r="E10537" s="1" t="n">
        <f aca="false">LN(D10537)</f>
        <v>1.49364539438244</v>
      </c>
    </row>
    <row r="10538" customFormat="false" ht="15.75" hidden="false" customHeight="false" outlineLevel="0" collapsed="false">
      <c r="A10538" s="1" t="s">
        <v>1196</v>
      </c>
      <c r="B10538" s="1" t="n">
        <v>179.9</v>
      </c>
      <c r="C10538" s="1" t="n">
        <f aca="false">1/B10538</f>
        <v>0.00555864369093941</v>
      </c>
      <c r="D10538" s="1" t="n">
        <v>4.3983</v>
      </c>
      <c r="E10538" s="1" t="n">
        <f aca="false">LN(D10538)</f>
        <v>1.48121810263019</v>
      </c>
    </row>
    <row r="10539" customFormat="false" ht="15.75" hidden="false" customHeight="false" outlineLevel="0" collapsed="false">
      <c r="A10539" s="1" t="s">
        <v>1196</v>
      </c>
      <c r="B10539" s="1" t="n">
        <v>180.35</v>
      </c>
      <c r="C10539" s="1" t="n">
        <f aca="false">1/B10539</f>
        <v>0.00554477405045744</v>
      </c>
      <c r="D10539" s="1" t="n">
        <v>4.3442</v>
      </c>
      <c r="E10539" s="1" t="n">
        <f aca="false">LN(D10539)</f>
        <v>1.46884162208746</v>
      </c>
    </row>
    <row r="10540" customFormat="false" ht="15.75" hidden="false" customHeight="false" outlineLevel="0" collapsed="false">
      <c r="A10540" s="1" t="s">
        <v>1196</v>
      </c>
      <c r="B10540" s="1" t="n">
        <v>180.8</v>
      </c>
      <c r="C10540" s="1" t="n">
        <f aca="false">1/B10540</f>
        <v>0.00553097345132743</v>
      </c>
      <c r="D10540" s="1" t="n">
        <v>4.2907</v>
      </c>
      <c r="E10540" s="1" t="n">
        <f aca="false">LN(D10540)</f>
        <v>1.45644988979229</v>
      </c>
    </row>
    <row r="10541" customFormat="false" ht="15.75" hidden="false" customHeight="false" outlineLevel="0" collapsed="false">
      <c r="A10541" s="1" t="s">
        <v>1196</v>
      </c>
      <c r="B10541" s="1" t="n">
        <v>181.25</v>
      </c>
      <c r="C10541" s="1" t="n">
        <f aca="false">1/B10541</f>
        <v>0.00551724137931034</v>
      </c>
      <c r="D10541" s="1" t="n">
        <v>4.2381</v>
      </c>
      <c r="E10541" s="1" t="n">
        <f aca="false">LN(D10541)</f>
        <v>1.44411505560359</v>
      </c>
    </row>
    <row r="10542" customFormat="false" ht="15.75" hidden="false" customHeight="false" outlineLevel="0" collapsed="false">
      <c r="A10542" s="1" t="s">
        <v>1196</v>
      </c>
      <c r="B10542" s="1" t="n">
        <v>181.7</v>
      </c>
      <c r="C10542" s="1" t="n">
        <f aca="false">1/B10542</f>
        <v>0.00550357732526142</v>
      </c>
      <c r="D10542" s="1" t="n">
        <v>4.1862</v>
      </c>
      <c r="E10542" s="1" t="n">
        <f aca="false">LN(D10542)</f>
        <v>1.43179340119111</v>
      </c>
    </row>
    <row r="10543" customFormat="false" ht="15.75" hidden="false" customHeight="false" outlineLevel="0" collapsed="false">
      <c r="A10543" s="1" t="s">
        <v>1196</v>
      </c>
      <c r="B10543" s="1" t="n">
        <v>182.15</v>
      </c>
      <c r="C10543" s="1" t="n">
        <f aca="false">1/B10543</f>
        <v>0.00548998078506725</v>
      </c>
      <c r="D10543" s="1" t="n">
        <v>4.135</v>
      </c>
      <c r="E10543" s="1" t="n">
        <f aca="false">LN(D10543)</f>
        <v>1.41948732847565</v>
      </c>
    </row>
    <row r="10544" customFormat="false" ht="15.75" hidden="false" customHeight="false" outlineLevel="0" collapsed="false">
      <c r="A10544" s="1" t="s">
        <v>1196</v>
      </c>
      <c r="B10544" s="1" t="n">
        <v>182.6</v>
      </c>
      <c r="C10544" s="1" t="n">
        <f aca="false">1/B10544</f>
        <v>0.00547645125958379</v>
      </c>
      <c r="D10544" s="1" t="n">
        <v>4.0846</v>
      </c>
      <c r="E10544" s="1" t="n">
        <f aca="false">LN(D10544)</f>
        <v>1.40722380430092</v>
      </c>
    </row>
    <row r="10545" customFormat="false" ht="15.75" hidden="false" customHeight="false" outlineLevel="0" collapsed="false">
      <c r="A10545" s="1" t="s">
        <v>1196</v>
      </c>
      <c r="B10545" s="1" t="n">
        <v>183.05</v>
      </c>
      <c r="C10545" s="1" t="n">
        <f aca="false">1/B10545</f>
        <v>0.00546298825457525</v>
      </c>
      <c r="D10545" s="1" t="n">
        <v>4.0348</v>
      </c>
      <c r="E10545" s="1" t="n">
        <f aca="false">LN(D10545)</f>
        <v>1.39495673419854</v>
      </c>
    </row>
    <row r="10546" customFormat="false" ht="15.75" hidden="false" customHeight="false" outlineLevel="0" collapsed="false">
      <c r="A10546" s="1" t="s">
        <v>1196</v>
      </c>
      <c r="B10546" s="1" t="n">
        <v>183.5</v>
      </c>
      <c r="C10546" s="1" t="n">
        <f aca="false">1/B10546</f>
        <v>0.00544959128065395</v>
      </c>
      <c r="D10546" s="1" t="n">
        <v>3.9858</v>
      </c>
      <c r="E10546" s="1" t="n">
        <f aca="false">LN(D10546)</f>
        <v>1.38273804491711</v>
      </c>
    </row>
    <row r="10547" customFormat="false" ht="15.75" hidden="false" customHeight="false" outlineLevel="0" collapsed="false">
      <c r="A10547" s="1" t="s">
        <v>1196</v>
      </c>
      <c r="B10547" s="1" t="n">
        <v>183.95</v>
      </c>
      <c r="C10547" s="1" t="n">
        <f aca="false">1/B10547</f>
        <v>0.00543625985322098</v>
      </c>
      <c r="D10547" s="1" t="n">
        <v>3.9375</v>
      </c>
      <c r="E10547" s="1" t="n">
        <f aca="false">LN(D10547)</f>
        <v>1.37054600415175</v>
      </c>
    </row>
    <row r="10548" customFormat="false" ht="15.75" hidden="false" customHeight="false" outlineLevel="0" collapsed="false">
      <c r="A10548" s="1" t="s">
        <v>1196</v>
      </c>
      <c r="B10548" s="1" t="n">
        <v>184.4</v>
      </c>
      <c r="C10548" s="1" t="n">
        <f aca="false">1/B10548</f>
        <v>0.00542299349240781</v>
      </c>
      <c r="D10548" s="1" t="n">
        <v>3.8898</v>
      </c>
      <c r="E10548" s="1" t="n">
        <f aca="false">LN(D10548)</f>
        <v>1.35835774242687</v>
      </c>
    </row>
    <row r="10549" customFormat="false" ht="15.75" hidden="false" customHeight="false" outlineLevel="0" collapsed="false">
      <c r="A10549" s="1" t="s">
        <v>1196</v>
      </c>
      <c r="B10549" s="1" t="n">
        <v>184.85</v>
      </c>
      <c r="C10549" s="1" t="n">
        <f aca="false">1/B10549</f>
        <v>0.00540979172301866</v>
      </c>
      <c r="D10549" s="1" t="n">
        <v>3.8428</v>
      </c>
      <c r="E10549" s="1" t="n">
        <f aca="false">LN(D10549)</f>
        <v>1.34620126755345</v>
      </c>
    </row>
    <row r="10550" customFormat="false" ht="15.75" hidden="false" customHeight="false" outlineLevel="0" collapsed="false">
      <c r="A10550" s="1" t="s">
        <v>1196</v>
      </c>
      <c r="B10550" s="1" t="n">
        <v>185.3</v>
      </c>
      <c r="C10550" s="1" t="n">
        <f aca="false">1/B10550</f>
        <v>0.00539665407447383</v>
      </c>
      <c r="D10550" s="1" t="n">
        <v>3.7965</v>
      </c>
      <c r="E10550" s="1" t="n">
        <f aca="false">LN(D10550)</f>
        <v>1.33407958967115</v>
      </c>
    </row>
    <row r="10551" customFormat="false" ht="15.75" hidden="false" customHeight="false" outlineLevel="0" collapsed="false">
      <c r="A10551" s="1" t="s">
        <v>1196</v>
      </c>
      <c r="B10551" s="1" t="n">
        <v>185.75</v>
      </c>
      <c r="C10551" s="1" t="n">
        <f aca="false">1/B10551</f>
        <v>0.0053835800807537</v>
      </c>
      <c r="D10551" s="1" t="n">
        <v>3.7508</v>
      </c>
      <c r="E10551" s="1" t="n">
        <f aca="false">LN(D10551)</f>
        <v>1.32196915056333</v>
      </c>
    </row>
    <row r="10552" customFormat="false" ht="15.75" hidden="false" customHeight="false" outlineLevel="0" collapsed="false">
      <c r="A10552" s="1" t="s">
        <v>1196</v>
      </c>
      <c r="B10552" s="1" t="n">
        <v>186.2</v>
      </c>
      <c r="C10552" s="1" t="n">
        <f aca="false">1/B10552</f>
        <v>0.00537056928034372</v>
      </c>
      <c r="D10552" s="1" t="n">
        <v>3.7058</v>
      </c>
      <c r="E10552" s="1" t="n">
        <f aca="false">LN(D10552)</f>
        <v>1.30989915986618</v>
      </c>
    </row>
    <row r="10553" customFormat="false" ht="15.75" hidden="false" customHeight="false" outlineLevel="0" collapsed="false">
      <c r="A10553" s="1" t="s">
        <v>1196</v>
      </c>
      <c r="B10553" s="1" t="n">
        <v>186.65</v>
      </c>
      <c r="C10553" s="1" t="n">
        <f aca="false">1/B10553</f>
        <v>0.00535762121618002</v>
      </c>
      <c r="D10553" s="1" t="n">
        <v>3.6614</v>
      </c>
      <c r="E10553" s="1" t="n">
        <f aca="false">LN(D10553)</f>
        <v>1.29784558793478</v>
      </c>
    </row>
    <row r="10554" customFormat="false" ht="15.75" hidden="false" customHeight="false" outlineLevel="0" collapsed="false">
      <c r="A10554" s="1" t="s">
        <v>1196</v>
      </c>
      <c r="B10554" s="1" t="n">
        <v>187.1</v>
      </c>
      <c r="C10554" s="1" t="n">
        <f aca="false">1/B10554</f>
        <v>0.00534473543559594</v>
      </c>
      <c r="D10554" s="1" t="n">
        <v>3.6176</v>
      </c>
      <c r="E10554" s="1" t="n">
        <f aca="false">LN(D10554)</f>
        <v>1.28581082254157</v>
      </c>
    </row>
    <row r="10555" customFormat="false" ht="15.75" hidden="false" customHeight="false" outlineLevel="0" collapsed="false">
      <c r="A10555" s="1" t="s">
        <v>1196</v>
      </c>
      <c r="B10555" s="1" t="n">
        <v>187.55</v>
      </c>
      <c r="C10555" s="1" t="n">
        <f aca="false">1/B10555</f>
        <v>0.00533191149026926</v>
      </c>
      <c r="D10555" s="1" t="n">
        <v>3.5744</v>
      </c>
      <c r="E10555" s="1" t="n">
        <f aca="false">LN(D10555)</f>
        <v>1.27379732989274</v>
      </c>
    </row>
    <row r="10556" customFormat="false" ht="15.75" hidden="false" customHeight="false" outlineLevel="0" collapsed="false">
      <c r="A10556" s="1" t="s">
        <v>1196</v>
      </c>
      <c r="B10556" s="1" t="n">
        <v>188</v>
      </c>
      <c r="C10556" s="1" t="n">
        <f aca="false">1/B10556</f>
        <v>0.00531914893617021</v>
      </c>
      <c r="D10556" s="1" t="n">
        <v>3.5318</v>
      </c>
      <c r="E10556" s="1" t="n">
        <f aca="false">LN(D10556)</f>
        <v>1.26180765599689</v>
      </c>
    </row>
    <row r="10557" customFormat="false" ht="15.75" hidden="false" customHeight="false" outlineLevel="0" collapsed="false">
      <c r="A10557" s="1" t="s">
        <v>1196</v>
      </c>
      <c r="B10557" s="1" t="n">
        <v>188.45</v>
      </c>
      <c r="C10557" s="1" t="n">
        <f aca="false">1/B10557</f>
        <v>0.00530644733351021</v>
      </c>
      <c r="D10557" s="1" t="n">
        <v>3.4899</v>
      </c>
      <c r="E10557" s="1" t="n">
        <f aca="false">LN(D10557)</f>
        <v>1.24987308250869</v>
      </c>
    </row>
    <row r="10558" customFormat="false" ht="15.75" hidden="false" customHeight="false" outlineLevel="0" collapsed="false">
      <c r="A10558" s="1" t="s">
        <v>1196</v>
      </c>
      <c r="B10558" s="1" t="n">
        <v>188.9</v>
      </c>
      <c r="C10558" s="1" t="n">
        <f aca="false">1/B10558</f>
        <v>0.00529380624669137</v>
      </c>
      <c r="D10558" s="1" t="n">
        <v>3.4485</v>
      </c>
      <c r="E10558" s="1" t="n">
        <f aca="false">LN(D10558)</f>
        <v>1.23793935388921</v>
      </c>
    </row>
    <row r="10559" customFormat="false" ht="15.75" hidden="false" customHeight="false" outlineLevel="0" collapsed="false">
      <c r="A10559" s="1" t="s">
        <v>1196</v>
      </c>
      <c r="B10559" s="1" t="n">
        <v>189.35</v>
      </c>
      <c r="C10559" s="1" t="n">
        <f aca="false">1/B10559</f>
        <v>0.00528122524425667</v>
      </c>
      <c r="D10559" s="1" t="n">
        <v>3.4076</v>
      </c>
      <c r="E10559" s="1" t="n">
        <f aca="false">LN(D10559)</f>
        <v>1.22600823118655</v>
      </c>
    </row>
    <row r="10560" customFormat="false" ht="15.75" hidden="false" customHeight="false" outlineLevel="0" collapsed="false">
      <c r="A10560" s="1" t="s">
        <v>1196</v>
      </c>
      <c r="B10560" s="1" t="n">
        <v>189.8</v>
      </c>
      <c r="C10560" s="1" t="n">
        <f aca="false">1/B10560</f>
        <v>0.00526870389884089</v>
      </c>
      <c r="D10560" s="1" t="n">
        <v>3.3674</v>
      </c>
      <c r="E10560" s="1" t="n">
        <f aca="false">LN(D10560)</f>
        <v>1.21414093324156</v>
      </c>
    </row>
    <row r="10561" customFormat="false" ht="15.75" hidden="false" customHeight="false" outlineLevel="0" collapsed="false">
      <c r="A10561" s="1" t="s">
        <v>1196</v>
      </c>
      <c r="B10561" s="1" t="n">
        <v>190.25</v>
      </c>
      <c r="C10561" s="1" t="n">
        <f aca="false">1/B10561</f>
        <v>0.00525624178712221</v>
      </c>
      <c r="D10561" s="1" t="n">
        <v>3.3277</v>
      </c>
      <c r="E10561" s="1" t="n">
        <f aca="false">LN(D10561)</f>
        <v>1.20228137466496</v>
      </c>
    </row>
    <row r="10562" customFormat="false" ht="15.75" hidden="false" customHeight="false" outlineLevel="0" collapsed="false">
      <c r="A10562" s="1" t="s">
        <v>1196</v>
      </c>
      <c r="B10562" s="1" t="n">
        <v>190.7</v>
      </c>
      <c r="C10562" s="1" t="n">
        <f aca="false">1/B10562</f>
        <v>0.00524383848977451</v>
      </c>
      <c r="D10562" s="1" t="n">
        <v>3.2885</v>
      </c>
      <c r="E10562" s="1" t="n">
        <f aca="false">LN(D10562)</f>
        <v>1.19043153375927</v>
      </c>
    </row>
    <row r="10563" customFormat="false" ht="15.75" hidden="false" customHeight="false" outlineLevel="0" collapsed="false">
      <c r="A10563" s="1" t="s">
        <v>1196</v>
      </c>
      <c r="B10563" s="1" t="n">
        <v>191.15</v>
      </c>
      <c r="C10563" s="1" t="n">
        <f aca="false">1/B10563</f>
        <v>0.00523149359142035</v>
      </c>
      <c r="D10563" s="1" t="n">
        <v>3.2499</v>
      </c>
      <c r="E10563" s="1" t="n">
        <f aca="false">LN(D10563)</f>
        <v>1.17862422663749</v>
      </c>
    </row>
    <row r="10564" customFormat="false" ht="15.75" hidden="false" customHeight="false" outlineLevel="0" collapsed="false">
      <c r="A10564" s="1" t="s">
        <v>1196</v>
      </c>
      <c r="B10564" s="1" t="n">
        <v>191.6</v>
      </c>
      <c r="C10564" s="1" t="n">
        <f aca="false">1/B10564</f>
        <v>0.00521920668058455</v>
      </c>
      <c r="D10564" s="1" t="n">
        <v>3.2118</v>
      </c>
      <c r="E10564" s="1" t="n">
        <f aca="false">LN(D10564)</f>
        <v>1.16683152764525</v>
      </c>
    </row>
    <row r="10565" customFormat="false" ht="15.75" hidden="false" customHeight="false" outlineLevel="0" collapsed="false">
      <c r="A10565" s="1" t="s">
        <v>1196</v>
      </c>
      <c r="B10565" s="1" t="n">
        <v>192.05</v>
      </c>
      <c r="C10565" s="1" t="n">
        <f aca="false">1/B10565</f>
        <v>0.00520697734964853</v>
      </c>
      <c r="D10565" s="1" t="n">
        <v>3.1743</v>
      </c>
      <c r="E10565" s="1" t="n">
        <f aca="false">LN(D10565)</f>
        <v>1.15508713559609</v>
      </c>
    </row>
    <row r="10566" customFormat="false" ht="15.75" hidden="false" customHeight="false" outlineLevel="0" collapsed="false">
      <c r="A10566" s="1" t="s">
        <v>1196</v>
      </c>
      <c r="B10566" s="1" t="n">
        <v>192.5</v>
      </c>
      <c r="C10566" s="1" t="n">
        <f aca="false">1/B10566</f>
        <v>0.0051948051948052</v>
      </c>
      <c r="D10566" s="1" t="n">
        <v>3.1372</v>
      </c>
      <c r="E10566" s="1" t="n">
        <f aca="false">LN(D10566)</f>
        <v>1.14333068235637</v>
      </c>
    </row>
    <row r="10567" customFormat="false" ht="15.75" hidden="false" customHeight="false" outlineLevel="0" collapsed="false">
      <c r="A10567" s="1" t="s">
        <v>1196</v>
      </c>
      <c r="B10567" s="1" t="n">
        <v>192.95</v>
      </c>
      <c r="C10567" s="1" t="n">
        <f aca="false">1/B10567</f>
        <v>0.00518268981601451</v>
      </c>
      <c r="D10567" s="1" t="n">
        <v>3.1007</v>
      </c>
      <c r="E10567" s="1" t="n">
        <f aca="false">LN(D10567)</f>
        <v>1.13162789245227</v>
      </c>
    </row>
    <row r="10568" customFormat="false" ht="15.75" hidden="false" customHeight="false" outlineLevel="0" collapsed="false">
      <c r="A10568" s="1" t="s">
        <v>1196</v>
      </c>
      <c r="B10568" s="1" t="n">
        <v>193.4</v>
      </c>
      <c r="C10568" s="1" t="n">
        <f aca="false">1/B10568</f>
        <v>0.00517063081695967</v>
      </c>
      <c r="D10568" s="1" t="n">
        <v>3.0646</v>
      </c>
      <c r="E10568" s="1" t="n">
        <f aca="false">LN(D10568)</f>
        <v>1.11991705516194</v>
      </c>
    </row>
    <row r="10569" customFormat="false" ht="15.75" hidden="false" customHeight="false" outlineLevel="0" collapsed="false">
      <c r="A10569" s="1" t="s">
        <v>1196</v>
      </c>
      <c r="B10569" s="1" t="n">
        <v>193.85</v>
      </c>
      <c r="C10569" s="1" t="n">
        <f aca="false">1/B10569</f>
        <v>0.00515862780500387</v>
      </c>
      <c r="D10569" s="1" t="n">
        <v>3.0291</v>
      </c>
      <c r="E10569" s="1" t="n">
        <f aca="false">LN(D10569)</f>
        <v>1.10826554569625</v>
      </c>
    </row>
    <row r="10570" customFormat="false" ht="15.75" hidden="false" customHeight="false" outlineLevel="0" collapsed="false">
      <c r="A10570" s="1" t="s">
        <v>1196</v>
      </c>
      <c r="B10570" s="1" t="n">
        <v>194.3</v>
      </c>
      <c r="C10570" s="1" t="n">
        <f aca="false">1/B10570</f>
        <v>0.00514668039114771</v>
      </c>
      <c r="D10570" s="1" t="n">
        <v>2.994</v>
      </c>
      <c r="E10570" s="1" t="n">
        <f aca="false">LN(D10570)</f>
        <v>1.09661028599744</v>
      </c>
    </row>
    <row r="10571" customFormat="false" ht="15.75" hidden="false" customHeight="false" outlineLevel="0" collapsed="false">
      <c r="A10571" s="1" t="s">
        <v>1196</v>
      </c>
      <c r="B10571" s="1" t="n">
        <v>194.75</v>
      </c>
      <c r="C10571" s="1" t="n">
        <f aca="false">1/B10571</f>
        <v>0.00513478818998716</v>
      </c>
      <c r="D10571" s="1" t="n">
        <v>2.9595</v>
      </c>
      <c r="E10571" s="1" t="n">
        <f aca="false">LN(D10571)</f>
        <v>1.08502033514864</v>
      </c>
    </row>
    <row r="10572" customFormat="false" ht="15.75" hidden="false" customHeight="false" outlineLevel="0" collapsed="false">
      <c r="A10572" s="1" t="s">
        <v>1196</v>
      </c>
      <c r="B10572" s="1" t="n">
        <v>195.2</v>
      </c>
      <c r="C10572" s="1" t="n">
        <f aca="false">1/B10572</f>
        <v>0.00512295081967213</v>
      </c>
      <c r="D10572" s="1" t="n">
        <v>2.9254</v>
      </c>
      <c r="E10572" s="1" t="n">
        <f aca="false">LN(D10572)</f>
        <v>1.07343122347085</v>
      </c>
    </row>
    <row r="10573" customFormat="false" ht="15.75" hidden="false" customHeight="false" outlineLevel="0" collapsed="false">
      <c r="A10573" s="1" t="s">
        <v>1196</v>
      </c>
      <c r="B10573" s="1" t="n">
        <v>195.65</v>
      </c>
      <c r="C10573" s="1" t="n">
        <f aca="false">1/B10573</f>
        <v>0.00511116790186558</v>
      </c>
      <c r="D10573" s="1" t="n">
        <v>2.8917</v>
      </c>
      <c r="E10573" s="1" t="n">
        <f aca="false">LN(D10573)</f>
        <v>1.0618445644759</v>
      </c>
    </row>
    <row r="10574" customFormat="false" ht="15.75" hidden="false" customHeight="false" outlineLevel="0" collapsed="false">
      <c r="A10574" s="1" t="s">
        <v>1196</v>
      </c>
      <c r="B10574" s="1" t="n">
        <v>196.1</v>
      </c>
      <c r="C10574" s="1" t="n">
        <f aca="false">1/B10574</f>
        <v>0.00509943906170321</v>
      </c>
      <c r="D10574" s="1" t="n">
        <v>2.8585</v>
      </c>
      <c r="E10574" s="1" t="n">
        <f aca="false">LN(D10574)</f>
        <v>1.05029701172189</v>
      </c>
    </row>
    <row r="10575" customFormat="false" ht="15.75" hidden="false" customHeight="false" outlineLevel="0" collapsed="false">
      <c r="A10575" s="1" t="s">
        <v>1196</v>
      </c>
      <c r="B10575" s="1" t="n">
        <v>196.55</v>
      </c>
      <c r="C10575" s="1" t="n">
        <f aca="false">1/B10575</f>
        <v>0.00508776392775375</v>
      </c>
      <c r="D10575" s="1" t="n">
        <v>2.8258</v>
      </c>
      <c r="E10575" s="1" t="n">
        <f aca="false">LN(D10575)</f>
        <v>1.03879151034957</v>
      </c>
    </row>
    <row r="10576" customFormat="false" ht="15.75" hidden="false" customHeight="false" outlineLevel="0" collapsed="false">
      <c r="A10576" s="1" t="s">
        <v>1196</v>
      </c>
      <c r="B10576" s="1" t="n">
        <v>197</v>
      </c>
      <c r="C10576" s="1" t="n">
        <f aca="false">1/B10576</f>
        <v>0.00507614213197969</v>
      </c>
      <c r="D10576" s="1" t="n">
        <v>2.7935</v>
      </c>
      <c r="E10576" s="1" t="n">
        <f aca="false">LN(D10576)</f>
        <v>1.02729528991707</v>
      </c>
    </row>
    <row r="10577" customFormat="false" ht="15.75" hidden="false" customHeight="false" outlineLevel="0" collapsed="false">
      <c r="A10577" s="1" t="s">
        <v>1196</v>
      </c>
      <c r="B10577" s="1" t="n">
        <v>197.45</v>
      </c>
      <c r="C10577" s="1" t="n">
        <f aca="false">1/B10577</f>
        <v>0.00506457330969866</v>
      </c>
      <c r="D10577" s="1" t="n">
        <v>2.7617</v>
      </c>
      <c r="E10577" s="1" t="n">
        <f aca="false">LN(D10577)</f>
        <v>1.01584643214361</v>
      </c>
    </row>
    <row r="10578" customFormat="false" ht="15.75" hidden="false" customHeight="false" outlineLevel="0" collapsed="false">
      <c r="A10578" s="1" t="s">
        <v>1196</v>
      </c>
      <c r="B10578" s="1" t="n">
        <v>197.9</v>
      </c>
      <c r="C10578" s="1" t="n">
        <f aca="false">1/B10578</f>
        <v>0.00505305709954523</v>
      </c>
      <c r="D10578" s="1" t="n">
        <v>2.7302</v>
      </c>
      <c r="E10578" s="1" t="n">
        <f aca="false">LN(D10578)</f>
        <v>1.00437486658674</v>
      </c>
    </row>
    <row r="10579" customFormat="false" ht="15.75" hidden="false" customHeight="false" outlineLevel="0" collapsed="false">
      <c r="A10579" s="1" t="s">
        <v>1196</v>
      </c>
      <c r="B10579" s="1" t="n">
        <v>198.35</v>
      </c>
      <c r="C10579" s="1" t="n">
        <f aca="false">1/B10579</f>
        <v>0.00504159314343332</v>
      </c>
      <c r="D10579" s="1" t="n">
        <v>2.6992</v>
      </c>
      <c r="E10579" s="1" t="n">
        <f aca="false">LN(D10579)</f>
        <v>0.992955432809567</v>
      </c>
    </row>
    <row r="10580" customFormat="false" ht="15.75" hidden="false" customHeight="false" outlineLevel="0" collapsed="false">
      <c r="A10580" s="1" t="s">
        <v>1196</v>
      </c>
      <c r="B10580" s="1" t="n">
        <v>198.8</v>
      </c>
      <c r="C10580" s="1" t="n">
        <f aca="false">1/B10580</f>
        <v>0.00503018108651911</v>
      </c>
      <c r="D10580" s="1" t="n">
        <v>2.6687</v>
      </c>
      <c r="E10580" s="1" t="n">
        <f aca="false">LN(D10580)</f>
        <v>0.981591462456291</v>
      </c>
    </row>
    <row r="10581" customFormat="false" ht="15.75" hidden="false" customHeight="false" outlineLevel="0" collapsed="false">
      <c r="A10581" s="1" t="s">
        <v>1196</v>
      </c>
      <c r="B10581" s="1" t="n">
        <v>199.25</v>
      </c>
      <c r="C10581" s="1" t="n">
        <f aca="false">1/B10581</f>
        <v>0.00501882057716437</v>
      </c>
      <c r="D10581" s="1" t="n">
        <v>2.6385</v>
      </c>
      <c r="E10581" s="1" t="n">
        <f aca="false">LN(D10581)</f>
        <v>0.970210573863585</v>
      </c>
    </row>
    <row r="10582" customFormat="false" ht="15.75" hidden="false" customHeight="false" outlineLevel="0" collapsed="false">
      <c r="A10582" s="1" t="s">
        <v>1196</v>
      </c>
      <c r="B10582" s="1" t="n">
        <v>199.7</v>
      </c>
      <c r="C10582" s="1" t="n">
        <f aca="false">1/B10582</f>
        <v>0.00500751126690035</v>
      </c>
      <c r="D10582" s="1" t="n">
        <v>2.6087</v>
      </c>
      <c r="E10582" s="1" t="n">
        <f aca="false">LN(D10582)</f>
        <v>0.958852012958229</v>
      </c>
    </row>
    <row r="10583" customFormat="false" ht="15.75" hidden="false" customHeight="false" outlineLevel="0" collapsed="false">
      <c r="A10583" s="1" t="s">
        <v>1196</v>
      </c>
      <c r="B10583" s="1" t="n">
        <v>200.15</v>
      </c>
      <c r="C10583" s="1" t="n">
        <f aca="false">1/B10583</f>
        <v>0.00499625281039221</v>
      </c>
      <c r="D10583" s="1" t="n">
        <v>2.5794</v>
      </c>
      <c r="E10583" s="1" t="n">
        <f aca="false">LN(D10583)</f>
        <v>0.947556813748154</v>
      </c>
    </row>
    <row r="10584" customFormat="false" ht="15.75" hidden="false" customHeight="false" outlineLevel="0" collapsed="false">
      <c r="A10584" s="1" t="s">
        <v>1196</v>
      </c>
      <c r="B10584" s="1" t="n">
        <v>200.6</v>
      </c>
      <c r="C10584" s="1" t="n">
        <f aca="false">1/B10584</f>
        <v>0.00498504486540379</v>
      </c>
      <c r="D10584" s="1" t="n">
        <v>2.5504</v>
      </c>
      <c r="E10584" s="1" t="n">
        <f aca="false">LN(D10584)</f>
        <v>0.936250209613759</v>
      </c>
    </row>
    <row r="10585" customFormat="false" ht="15.75" hidden="false" customHeight="false" outlineLevel="0" collapsed="false">
      <c r="A10585" s="1" t="s">
        <v>1196</v>
      </c>
      <c r="B10585" s="1" t="n">
        <v>201.05</v>
      </c>
      <c r="C10585" s="1" t="n">
        <f aca="false">1/B10585</f>
        <v>0.00497388709276299</v>
      </c>
      <c r="D10585" s="1" t="n">
        <v>2.5218</v>
      </c>
      <c r="E10585" s="1" t="n">
        <f aca="false">LN(D10585)</f>
        <v>0.924972932256989</v>
      </c>
    </row>
    <row r="10586" customFormat="false" ht="15.75" hidden="false" customHeight="false" outlineLevel="0" collapsed="false">
      <c r="A10586" s="1" t="s">
        <v>1196</v>
      </c>
      <c r="B10586" s="1" t="n">
        <v>201.5</v>
      </c>
      <c r="C10586" s="1" t="n">
        <f aca="false">1/B10586</f>
        <v>0.00496277915632754</v>
      </c>
      <c r="D10586" s="1" t="n">
        <v>2.4936</v>
      </c>
      <c r="E10586" s="1" t="n">
        <f aca="false">LN(D10586)</f>
        <v>0.91372744947099</v>
      </c>
    </row>
    <row r="10587" customFormat="false" ht="15.75" hidden="false" customHeight="false" outlineLevel="0" collapsed="false">
      <c r="A10587" s="1" t="s">
        <v>1196</v>
      </c>
      <c r="B10587" s="1" t="n">
        <v>201.95</v>
      </c>
      <c r="C10587" s="1" t="n">
        <f aca="false">1/B10587</f>
        <v>0.00495172072295123</v>
      </c>
      <c r="D10587" s="1" t="n">
        <v>2.4658</v>
      </c>
      <c r="E10587" s="1" t="n">
        <f aca="false">LN(D10587)</f>
        <v>0.902516298452315</v>
      </c>
    </row>
    <row r="10588" customFormat="false" ht="15.75" hidden="false" customHeight="false" outlineLevel="0" collapsed="false">
      <c r="A10588" s="1" t="s">
        <v>1196</v>
      </c>
      <c r="B10588" s="1" t="n">
        <v>202.4</v>
      </c>
      <c r="C10588" s="1" t="n">
        <f aca="false">1/B10588</f>
        <v>0.00494071146245059</v>
      </c>
      <c r="D10588" s="1" t="n">
        <v>2.4384</v>
      </c>
      <c r="E10588" s="1" t="n">
        <f aca="false">LN(D10588)</f>
        <v>0.89134208651019</v>
      </c>
    </row>
    <row r="10589" customFormat="false" ht="15.75" hidden="false" customHeight="false" outlineLevel="0" collapsed="false">
      <c r="A10589" s="1" t="s">
        <v>1196</v>
      </c>
      <c r="B10589" s="1" t="n">
        <v>202.85</v>
      </c>
      <c r="C10589" s="1" t="n">
        <f aca="false">1/B10589</f>
        <v>0.0049297510475721</v>
      </c>
      <c r="D10589" s="1" t="n">
        <v>2.4113</v>
      </c>
      <c r="E10589" s="1" t="n">
        <f aca="false">LN(D10589)</f>
        <v>0.880166021155522</v>
      </c>
    </row>
    <row r="10590" customFormat="false" ht="15.75" hidden="false" customHeight="false" outlineLevel="0" collapsed="false">
      <c r="A10590" s="1" t="s">
        <v>1196</v>
      </c>
      <c r="B10590" s="1" t="n">
        <v>203.3</v>
      </c>
      <c r="C10590" s="1" t="n">
        <f aca="false">1/B10590</f>
        <v>0.00491883915395967</v>
      </c>
      <c r="D10590" s="1" t="n">
        <v>2.3846</v>
      </c>
      <c r="E10590" s="1" t="n">
        <f aca="false">LN(D10590)</f>
        <v>0.869031395389894</v>
      </c>
    </row>
    <row r="10591" customFormat="false" ht="15.75" hidden="false" customHeight="false" outlineLevel="0" collapsed="false">
      <c r="A10591" s="1" t="s">
        <v>1196</v>
      </c>
      <c r="B10591" s="1" t="n">
        <v>203.75</v>
      </c>
      <c r="C10591" s="1" t="n">
        <f aca="false">1/B10591</f>
        <v>0.0049079754601227</v>
      </c>
      <c r="D10591" s="1" t="n">
        <v>2.3582</v>
      </c>
      <c r="E10591" s="1" t="n">
        <f aca="false">LN(D10591)</f>
        <v>0.857898616160436</v>
      </c>
    </row>
    <row r="10592" customFormat="false" ht="15.75" hidden="false" customHeight="false" outlineLevel="0" collapsed="false">
      <c r="A10592" s="1" t="s">
        <v>1196</v>
      </c>
      <c r="B10592" s="1" t="n">
        <v>204.2</v>
      </c>
      <c r="C10592" s="1" t="n">
        <f aca="false">1/B10592</f>
        <v>0.00489715964740451</v>
      </c>
      <c r="D10592" s="1" t="n">
        <v>2.3322</v>
      </c>
      <c r="E10592" s="1" t="n">
        <f aca="false">LN(D10592)</f>
        <v>0.846812028104095</v>
      </c>
    </row>
    <row r="10593" customFormat="false" ht="15.75" hidden="false" customHeight="false" outlineLevel="0" collapsed="false">
      <c r="A10593" s="1" t="s">
        <v>1196</v>
      </c>
      <c r="B10593" s="1" t="n">
        <v>204.65</v>
      </c>
      <c r="C10593" s="1" t="n">
        <f aca="false">1/B10593</f>
        <v>0.00488639139995114</v>
      </c>
      <c r="D10593" s="1" t="n">
        <v>2.3065</v>
      </c>
      <c r="E10593" s="1" t="n">
        <f aca="false">LN(D10593)</f>
        <v>0.835731224015738</v>
      </c>
    </row>
    <row r="10594" customFormat="false" ht="15.75" hidden="false" customHeight="false" outlineLevel="0" collapsed="false">
      <c r="A10594" s="1" t="s">
        <v>1196</v>
      </c>
      <c r="B10594" s="1" t="n">
        <v>205.1</v>
      </c>
      <c r="C10594" s="1" t="n">
        <f aca="false">1/B10594</f>
        <v>0.00487567040468064</v>
      </c>
      <c r="D10594" s="1" t="n">
        <v>2.2812</v>
      </c>
      <c r="E10594" s="1" t="n">
        <f aca="false">LN(D10594)</f>
        <v>0.824701620300247</v>
      </c>
    </row>
    <row r="10595" customFormat="false" ht="15.75" hidden="false" customHeight="false" outlineLevel="0" collapsed="false">
      <c r="A10595" s="1" t="s">
        <v>1196</v>
      </c>
      <c r="B10595" s="1" t="n">
        <v>205.55</v>
      </c>
      <c r="C10595" s="1" t="n">
        <f aca="false">1/B10595</f>
        <v>0.00486499635125274</v>
      </c>
      <c r="D10595" s="1" t="n">
        <v>2.2562</v>
      </c>
      <c r="E10595" s="1" t="n">
        <f aca="false">LN(D10595)</f>
        <v>0.813681982188683</v>
      </c>
    </row>
    <row r="10596" customFormat="false" ht="15.75" hidden="false" customHeight="false" outlineLevel="0" collapsed="false">
      <c r="A10596" s="1" t="s">
        <v>1196</v>
      </c>
      <c r="B10596" s="1" t="n">
        <v>206</v>
      </c>
      <c r="C10596" s="1" t="n">
        <f aca="false">1/B10596</f>
        <v>0.00485436893203883</v>
      </c>
      <c r="D10596" s="1" t="n">
        <v>2.2315</v>
      </c>
      <c r="E10596" s="1" t="n">
        <f aca="false">LN(D10596)</f>
        <v>0.802674005087188</v>
      </c>
    </row>
    <row r="10597" customFormat="false" ht="15.75" hidden="false" customHeight="false" outlineLevel="0" collapsed="false">
      <c r="A10597" s="1" t="s">
        <v>1196</v>
      </c>
      <c r="B10597" s="1" t="n">
        <v>206.45</v>
      </c>
      <c r="C10597" s="1" t="n">
        <f aca="false">1/B10597</f>
        <v>0.00484378784209252</v>
      </c>
      <c r="D10597" s="1" t="n">
        <v>2.2072</v>
      </c>
      <c r="E10597" s="1" t="n">
        <f aca="false">LN(D10597)</f>
        <v>0.791724743920939</v>
      </c>
    </row>
    <row r="10598" customFormat="false" ht="15.75" hidden="false" customHeight="false" outlineLevel="0" collapsed="false">
      <c r="A10598" s="1" t="s">
        <v>1196</v>
      </c>
      <c r="B10598" s="1" t="n">
        <v>206.9</v>
      </c>
      <c r="C10598" s="1" t="n">
        <f aca="false">1/B10598</f>
        <v>0.00483325277912035</v>
      </c>
      <c r="D10598" s="1" t="n">
        <v>2.1831</v>
      </c>
      <c r="E10598" s="1" t="n">
        <f aca="false">LN(D10598)</f>
        <v>0.780745885039013</v>
      </c>
    </row>
    <row r="10599" customFormat="false" ht="15.75" hidden="false" customHeight="false" outlineLevel="0" collapsed="false">
      <c r="A10599" s="1" t="s">
        <v>1196</v>
      </c>
      <c r="B10599" s="1" t="n">
        <v>207.35</v>
      </c>
      <c r="C10599" s="1" t="n">
        <f aca="false">1/B10599</f>
        <v>0.0048227634434531</v>
      </c>
      <c r="D10599" s="1" t="n">
        <v>2.1594</v>
      </c>
      <c r="E10599" s="1" t="n">
        <f aca="false">LN(D10599)</f>
        <v>0.769830405330903</v>
      </c>
    </row>
    <row r="10600" customFormat="false" ht="15.75" hidden="false" customHeight="false" outlineLevel="0" collapsed="false">
      <c r="A10600" s="1" t="s">
        <v>1196</v>
      </c>
      <c r="B10600" s="1" t="n">
        <v>207.8</v>
      </c>
      <c r="C10600" s="1" t="n">
        <f aca="false">1/B10600</f>
        <v>0.00481231953801732</v>
      </c>
      <c r="D10600" s="1" t="n">
        <v>2.1361</v>
      </c>
      <c r="E10600" s="1" t="n">
        <f aca="false">LN(D10600)</f>
        <v>0.758981736481492</v>
      </c>
    </row>
    <row r="10601" customFormat="false" ht="15.75" hidden="false" customHeight="false" outlineLevel="0" collapsed="false">
      <c r="A10601" s="1" t="s">
        <v>1196</v>
      </c>
      <c r="B10601" s="1" t="n">
        <v>208.25</v>
      </c>
      <c r="C10601" s="1" t="n">
        <f aca="false">1/B10601</f>
        <v>0.00480192076830732</v>
      </c>
      <c r="D10601" s="1" t="n">
        <v>2.113</v>
      </c>
      <c r="E10601" s="1" t="n">
        <f aca="false">LN(D10601)</f>
        <v>0.74810873863392</v>
      </c>
    </row>
    <row r="10602" customFormat="false" ht="15.75" hidden="false" customHeight="false" outlineLevel="0" collapsed="false">
      <c r="A10602" s="1" t="s">
        <v>1196</v>
      </c>
      <c r="B10602" s="1" t="n">
        <v>208.7</v>
      </c>
      <c r="C10602" s="1" t="n">
        <f aca="false">1/B10602</f>
        <v>0.00479156684235745</v>
      </c>
      <c r="D10602" s="1" t="n">
        <v>2.0902</v>
      </c>
      <c r="E10602" s="1" t="n">
        <f aca="false">LN(D10602)</f>
        <v>0.737259755178266</v>
      </c>
    </row>
    <row r="10603" customFormat="false" ht="15.75" hidden="false" customHeight="false" outlineLevel="0" collapsed="false">
      <c r="A10603" s="1" t="s">
        <v>1196</v>
      </c>
      <c r="B10603" s="1" t="n">
        <v>209.15</v>
      </c>
      <c r="C10603" s="1" t="n">
        <f aca="false">1/B10603</f>
        <v>0.0047812574707148</v>
      </c>
      <c r="D10603" s="1" t="n">
        <v>2.0677</v>
      </c>
      <c r="E10603" s="1" t="n">
        <f aca="false">LN(D10603)</f>
        <v>0.726436878424587</v>
      </c>
    </row>
    <row r="10604" customFormat="false" ht="15.75" hidden="false" customHeight="false" outlineLevel="0" collapsed="false">
      <c r="A10604" s="1" t="s">
        <v>1196</v>
      </c>
      <c r="B10604" s="1" t="n">
        <v>209.6</v>
      </c>
      <c r="C10604" s="1" t="n">
        <f aca="false">1/B10604</f>
        <v>0.00477099236641221</v>
      </c>
      <c r="D10604" s="1" t="n">
        <v>2.0455</v>
      </c>
      <c r="E10604" s="1" t="n">
        <f aca="false">LN(D10604)</f>
        <v>0.715642258387316</v>
      </c>
    </row>
    <row r="10605" customFormat="false" ht="15.75" hidden="false" customHeight="false" outlineLevel="0" collapsed="false">
      <c r="A10605" s="1" t="s">
        <v>1196</v>
      </c>
      <c r="B10605" s="1" t="n">
        <v>210.05</v>
      </c>
      <c r="C10605" s="1" t="n">
        <f aca="false">1/B10605</f>
        <v>0.00476077124494168</v>
      </c>
      <c r="D10605" s="1" t="n">
        <v>2.0236</v>
      </c>
      <c r="E10605" s="1" t="n">
        <f aca="false">LN(D10605)</f>
        <v>0.704878103435644</v>
      </c>
    </row>
    <row r="10606" customFormat="false" ht="15.75" hidden="false" customHeight="false" outlineLevel="0" collapsed="false">
      <c r="A10606" s="1" t="s">
        <v>1196</v>
      </c>
      <c r="B10606" s="1" t="n">
        <v>210.5</v>
      </c>
      <c r="C10606" s="1" t="n">
        <f aca="false">1/B10606</f>
        <v>0.00475059382422803</v>
      </c>
      <c r="D10606" s="1" t="n">
        <v>2.002</v>
      </c>
      <c r="E10606" s="1" t="n">
        <f aca="false">LN(D10606)</f>
        <v>0.694146680893029</v>
      </c>
    </row>
    <row r="10607" customFormat="false" ht="15.75" hidden="false" customHeight="false" outlineLevel="0" collapsed="false">
      <c r="A10607" s="1" t="s">
        <v>1196</v>
      </c>
      <c r="B10607" s="1" t="n">
        <v>210.95</v>
      </c>
      <c r="C10607" s="1" t="n">
        <f aca="false">1/B10607</f>
        <v>0.00474045982460299</v>
      </c>
      <c r="D10607" s="1" t="n">
        <v>1.9807</v>
      </c>
      <c r="E10607" s="1" t="n">
        <f aca="false">LN(D10607)</f>
        <v>0.683450317581081</v>
      </c>
    </row>
    <row r="10608" customFormat="false" ht="15.75" hidden="false" customHeight="false" outlineLevel="0" collapsed="false">
      <c r="A10608" s="1" t="s">
        <v>1196</v>
      </c>
      <c r="B10608" s="1" t="n">
        <v>211.4</v>
      </c>
      <c r="C10608" s="1" t="n">
        <f aca="false">1/B10608</f>
        <v>0.00473036896877956</v>
      </c>
      <c r="D10608" s="1" t="n">
        <v>1.9596</v>
      </c>
      <c r="E10608" s="1" t="n">
        <f aca="false">LN(D10608)</f>
        <v>0.672740370782283</v>
      </c>
    </row>
    <row r="10609" customFormat="false" ht="15.75" hidden="false" customHeight="false" outlineLevel="0" collapsed="false">
      <c r="A10609" s="1" t="s">
        <v>1196</v>
      </c>
      <c r="B10609" s="1" t="n">
        <v>211.85</v>
      </c>
      <c r="C10609" s="1" t="n">
        <f aca="false">1/B10609</f>
        <v>0.00472032098182676</v>
      </c>
      <c r="D10609" s="1" t="n">
        <v>1.9388</v>
      </c>
      <c r="E10609" s="1" t="n">
        <f aca="false">LN(D10609)</f>
        <v>0.662069224989084</v>
      </c>
    </row>
    <row r="10610" customFormat="false" ht="15.75" hidden="false" customHeight="false" outlineLevel="0" collapsed="false">
      <c r="A10610" s="1" t="s">
        <v>1196</v>
      </c>
      <c r="B10610" s="1" t="n">
        <v>212.3</v>
      </c>
      <c r="C10610" s="1" t="n">
        <f aca="false">1/B10610</f>
        <v>0.00471031559114461</v>
      </c>
      <c r="D10610" s="1" t="n">
        <v>1.9183</v>
      </c>
      <c r="E10610" s="1" t="n">
        <f aca="false">LN(D10610)</f>
        <v>0.651439377160155</v>
      </c>
    </row>
    <row r="10611" customFormat="false" ht="15.75" hidden="false" customHeight="false" outlineLevel="0" collapsed="false">
      <c r="A10611" s="1" t="s">
        <v>1196</v>
      </c>
      <c r="B10611" s="1" t="n">
        <v>212.75</v>
      </c>
      <c r="C10611" s="1" t="n">
        <f aca="false">1/B10611</f>
        <v>0.00470035252643948</v>
      </c>
      <c r="D10611" s="1" t="n">
        <v>1.8981</v>
      </c>
      <c r="E10611" s="1" t="n">
        <f aca="false">LN(D10611)</f>
        <v>0.640853385838811</v>
      </c>
    </row>
    <row r="10612" customFormat="false" ht="15.75" hidden="false" customHeight="false" outlineLevel="0" collapsed="false">
      <c r="A10612" s="1" t="s">
        <v>1196</v>
      </c>
      <c r="B10612" s="1" t="n">
        <v>213.2</v>
      </c>
      <c r="C10612" s="1" t="n">
        <f aca="false">1/B10612</f>
        <v>0.00469043151969981</v>
      </c>
      <c r="D10612" s="1" t="n">
        <v>1.8781</v>
      </c>
      <c r="E10612" s="1" t="n">
        <f aca="false">LN(D10612)</f>
        <v>0.630260627504755</v>
      </c>
    </row>
    <row r="10613" customFormat="false" ht="15.75" hidden="false" customHeight="false" outlineLevel="0" collapsed="false">
      <c r="A10613" s="1" t="s">
        <v>1196</v>
      </c>
      <c r="B10613" s="1" t="n">
        <v>213.65</v>
      </c>
      <c r="C10613" s="1" t="n">
        <f aca="false">1/B10613</f>
        <v>0.00468055230517201</v>
      </c>
      <c r="D10613" s="1" t="n">
        <v>1.8584</v>
      </c>
      <c r="E10613" s="1" t="n">
        <f aca="false">LN(D10613)</f>
        <v>0.619715902474062</v>
      </c>
    </row>
    <row r="10614" customFormat="false" ht="15.75" hidden="false" customHeight="false" outlineLevel="0" collapsed="false">
      <c r="A10614" s="1" t="s">
        <v>1196</v>
      </c>
      <c r="B10614" s="1" t="n">
        <v>214.1</v>
      </c>
      <c r="C10614" s="1" t="n">
        <f aca="false">1/B10614</f>
        <v>0.00467071461933676</v>
      </c>
      <c r="D10614" s="1" t="n">
        <v>1.8389</v>
      </c>
      <c r="E10614" s="1" t="n">
        <f aca="false">LN(D10614)</f>
        <v>0.60916756676467</v>
      </c>
    </row>
    <row r="10615" customFormat="false" ht="15.75" hidden="false" customHeight="false" outlineLevel="0" collapsed="false">
      <c r="A10615" s="1" t="s">
        <v>1196</v>
      </c>
      <c r="B10615" s="1" t="n">
        <v>214.55</v>
      </c>
      <c r="C10615" s="1" t="n">
        <f aca="false">1/B10615</f>
        <v>0.00466091820088557</v>
      </c>
      <c r="D10615" s="1" t="n">
        <v>1.8197</v>
      </c>
      <c r="E10615" s="1" t="n">
        <f aca="false">LN(D10615)</f>
        <v>0.59867165233706</v>
      </c>
    </row>
    <row r="10616" customFormat="false" ht="15.75" hidden="false" customHeight="false" outlineLevel="0" collapsed="false">
      <c r="A10616" s="1" t="s">
        <v>1196</v>
      </c>
      <c r="B10616" s="1" t="n">
        <v>215</v>
      </c>
      <c r="C10616" s="1" t="n">
        <f aca="false">1/B10616</f>
        <v>0.00465116279069768</v>
      </c>
      <c r="D10616" s="1" t="n">
        <v>1.8007</v>
      </c>
      <c r="E10616" s="1" t="n">
        <f aca="false">LN(D10616)</f>
        <v>0.588175478193323</v>
      </c>
    </row>
    <row r="10617" customFormat="false" ht="15.75" hidden="false" customHeight="false" outlineLevel="0" collapsed="false">
      <c r="A10617" s="1" t="s">
        <v>1196</v>
      </c>
      <c r="B10617" s="1" t="n">
        <v>215.45</v>
      </c>
      <c r="C10617" s="1" t="n">
        <f aca="false">1/B10617</f>
        <v>0.00464144813181713</v>
      </c>
      <c r="D10617" s="1" t="n">
        <v>1.782</v>
      </c>
      <c r="E10617" s="1" t="n">
        <f aca="false">LN(D10617)</f>
        <v>0.577736329048618</v>
      </c>
    </row>
    <row r="10618" customFormat="false" ht="15.75" hidden="false" customHeight="false" outlineLevel="0" collapsed="false">
      <c r="A10618" s="1" t="s">
        <v>1196</v>
      </c>
      <c r="B10618" s="1" t="n">
        <v>215.9</v>
      </c>
      <c r="C10618" s="1" t="n">
        <f aca="false">1/B10618</f>
        <v>0.00463177396943029</v>
      </c>
      <c r="D10618" s="1" t="n">
        <v>1.7635</v>
      </c>
      <c r="E10618" s="1" t="n">
        <f aca="false">LN(D10618)</f>
        <v>0.56730047069397</v>
      </c>
    </row>
    <row r="10619" customFormat="false" ht="15.75" hidden="false" customHeight="false" outlineLevel="0" collapsed="false">
      <c r="A10619" s="1" t="s">
        <v>1196</v>
      </c>
      <c r="B10619" s="1" t="n">
        <v>216.35</v>
      </c>
      <c r="C10619" s="1" t="n">
        <f aca="false">1/B10619</f>
        <v>0.00462214005084354</v>
      </c>
      <c r="D10619" s="1" t="n">
        <v>1.7452</v>
      </c>
      <c r="E10619" s="1" t="n">
        <f aca="false">LN(D10619)</f>
        <v>0.556869162267317</v>
      </c>
    </row>
    <row r="10620" customFormat="false" ht="15.75" hidden="false" customHeight="false" outlineLevel="0" collapsed="false">
      <c r="A10620" s="1" t="s">
        <v>1196</v>
      </c>
      <c r="B10620" s="1" t="n">
        <v>216.8</v>
      </c>
      <c r="C10620" s="1" t="n">
        <f aca="false">1/B10620</f>
        <v>0.00461254612546126</v>
      </c>
      <c r="D10620" s="1" t="n">
        <v>1.7272</v>
      </c>
      <c r="E10620" s="1" t="n">
        <f aca="false">LN(D10620)</f>
        <v>0.546501600218461</v>
      </c>
    </row>
    <row r="10621" customFormat="false" ht="15.75" hidden="false" customHeight="false" outlineLevel="0" collapsed="false">
      <c r="A10621" s="1" t="s">
        <v>1196</v>
      </c>
      <c r="B10621" s="1" t="n">
        <v>217.25</v>
      </c>
      <c r="C10621" s="1" t="n">
        <f aca="false">1/B10621</f>
        <v>0.0046029919447641</v>
      </c>
      <c r="D10621" s="1" t="n">
        <v>1.7094</v>
      </c>
      <c r="E10621" s="1" t="n">
        <f aca="false">LN(D10621)</f>
        <v>0.536142431749781</v>
      </c>
    </row>
    <row r="10622" customFormat="false" ht="15.75" hidden="false" customHeight="false" outlineLevel="0" collapsed="false">
      <c r="A10622" s="1" t="s">
        <v>1196</v>
      </c>
      <c r="B10622" s="1" t="n">
        <v>217.7</v>
      </c>
      <c r="C10622" s="1" t="n">
        <f aca="false">1/B10622</f>
        <v>0.00459347726228755</v>
      </c>
      <c r="D10622" s="1" t="n">
        <v>1.6919</v>
      </c>
      <c r="E10622" s="1" t="n">
        <f aca="false">LN(D10622)</f>
        <v>0.525852157782613</v>
      </c>
    </row>
    <row r="10623" customFormat="false" ht="15.75" hidden="false" customHeight="false" outlineLevel="0" collapsed="false">
      <c r="A10623" s="1" t="s">
        <v>1196</v>
      </c>
      <c r="B10623" s="1" t="n">
        <v>218.15</v>
      </c>
      <c r="C10623" s="1" t="n">
        <f aca="false">1/B10623</f>
        <v>0.00458400183360073</v>
      </c>
      <c r="D10623" s="1" t="n">
        <v>1.6745</v>
      </c>
      <c r="E10623" s="1" t="n">
        <f aca="false">LN(D10623)</f>
        <v>0.515514613252122</v>
      </c>
    </row>
    <row r="10624" customFormat="false" ht="15.75" hidden="false" customHeight="false" outlineLevel="0" collapsed="false">
      <c r="A10624" s="1" t="s">
        <v>1196</v>
      </c>
      <c r="B10624" s="1" t="n">
        <v>218.6</v>
      </c>
      <c r="C10624" s="1" t="n">
        <f aca="false">1/B10624</f>
        <v>0.00457456541628545</v>
      </c>
      <c r="D10624" s="1" t="n">
        <v>1.6574</v>
      </c>
      <c r="E10624" s="1" t="n">
        <f aca="false">LN(D10624)</f>
        <v>0.505250109432805</v>
      </c>
    </row>
    <row r="10625" customFormat="false" ht="15.75" hidden="false" customHeight="false" outlineLevel="0" collapsed="false">
      <c r="A10625" s="1" t="s">
        <v>1196</v>
      </c>
      <c r="B10625" s="1" t="n">
        <v>219.05</v>
      </c>
      <c r="C10625" s="1" t="n">
        <f aca="false">1/B10625</f>
        <v>0.00456516776991554</v>
      </c>
      <c r="D10625" s="1" t="n">
        <v>1.6405</v>
      </c>
      <c r="E10625" s="1" t="n">
        <f aca="false">LN(D10625)</f>
        <v>0.495001073419019</v>
      </c>
    </row>
    <row r="10626" customFormat="false" ht="15.75" hidden="false" customHeight="false" outlineLevel="0" collapsed="false">
      <c r="A10626" s="1" t="s">
        <v>1196</v>
      </c>
      <c r="B10626" s="1" t="n">
        <v>219.5</v>
      </c>
      <c r="C10626" s="1" t="n">
        <f aca="false">1/B10626</f>
        <v>0.00455580865603645</v>
      </c>
      <c r="D10626" s="1" t="n">
        <v>1.6239</v>
      </c>
      <c r="E10626" s="1" t="n">
        <f aca="false">LN(D10626)</f>
        <v>0.484830663488905</v>
      </c>
    </row>
    <row r="10627" customFormat="false" ht="15.75" hidden="false" customHeight="false" outlineLevel="0" collapsed="false">
      <c r="A10627" s="1" t="s">
        <v>1196</v>
      </c>
      <c r="B10627" s="1" t="n">
        <v>219.95</v>
      </c>
      <c r="C10627" s="1" t="n">
        <f aca="false">1/B10627</f>
        <v>0.00454648783814503</v>
      </c>
      <c r="D10627" s="1" t="n">
        <v>1.6074</v>
      </c>
      <c r="E10627" s="1" t="n">
        <f aca="false">LN(D10627)</f>
        <v>0.474617966796481</v>
      </c>
    </row>
    <row r="10628" customFormat="false" ht="15.75" hidden="false" customHeight="false" outlineLevel="0" collapsed="false">
      <c r="A10628" s="1" t="s">
        <v>1196</v>
      </c>
      <c r="B10628" s="1" t="n">
        <v>220.4</v>
      </c>
      <c r="C10628" s="1" t="n">
        <f aca="false">1/B10628</f>
        <v>0.00453720508166969</v>
      </c>
      <c r="D10628" s="1" t="n">
        <v>1.5911</v>
      </c>
      <c r="E10628" s="1" t="n">
        <f aca="false">LN(D10628)</f>
        <v>0.464425600931674</v>
      </c>
    </row>
    <row r="10629" customFormat="false" ht="15.75" hidden="false" customHeight="false" outlineLevel="0" collapsed="false">
      <c r="A10629" s="1" t="s">
        <v>1196</v>
      </c>
      <c r="B10629" s="1" t="n">
        <v>220.85</v>
      </c>
      <c r="C10629" s="1" t="n">
        <f aca="false">1/B10629</f>
        <v>0.00452796015395065</v>
      </c>
      <c r="D10629" s="1" t="n">
        <v>1.5751</v>
      </c>
      <c r="E10629" s="1" t="n">
        <f aca="false">LN(D10629)</f>
        <v>0.454318762325553</v>
      </c>
    </row>
    <row r="10630" customFormat="false" ht="15.75" hidden="false" customHeight="false" outlineLevel="0" collapsed="false">
      <c r="A10630" s="1" t="s">
        <v>1196</v>
      </c>
      <c r="B10630" s="1" t="n">
        <v>221.3</v>
      </c>
      <c r="C10630" s="1" t="n">
        <f aca="false">1/B10630</f>
        <v>0.00451875282422052</v>
      </c>
      <c r="D10630" s="1" t="n">
        <v>1.5592</v>
      </c>
      <c r="E10630" s="1" t="n">
        <f aca="false">LN(D10630)</f>
        <v>0.444172869211214</v>
      </c>
    </row>
    <row r="10631" customFormat="false" ht="15.75" hidden="false" customHeight="false" outlineLevel="0" collapsed="false">
      <c r="A10631" s="1" t="s">
        <v>1196</v>
      </c>
      <c r="B10631" s="1" t="n">
        <v>221.75</v>
      </c>
      <c r="C10631" s="1" t="n">
        <f aca="false">1/B10631</f>
        <v>0.00450958286358512</v>
      </c>
      <c r="D10631" s="1" t="n">
        <v>1.5436</v>
      </c>
      <c r="E10631" s="1" t="n">
        <f aca="false">LN(D10631)</f>
        <v>0.434117350681327</v>
      </c>
    </row>
    <row r="10632" customFormat="false" ht="15.75" hidden="false" customHeight="false" outlineLevel="0" collapsed="false">
      <c r="A10632" s="1" t="s">
        <v>1196</v>
      </c>
      <c r="B10632" s="1" t="n">
        <v>222.2</v>
      </c>
      <c r="C10632" s="1" t="n">
        <f aca="false">1/B10632</f>
        <v>0.0045004500450045</v>
      </c>
      <c r="D10632" s="1" t="n">
        <v>1.5281</v>
      </c>
      <c r="E10632" s="1" t="n">
        <f aca="false">LN(D10632)</f>
        <v>0.424025133629074</v>
      </c>
    </row>
    <row r="10633" customFormat="false" ht="15.75" hidden="false" customHeight="false" outlineLevel="0" collapsed="false">
      <c r="A10633" s="1" t="s">
        <v>1196</v>
      </c>
      <c r="B10633" s="1" t="n">
        <v>222.65</v>
      </c>
      <c r="C10633" s="1" t="n">
        <f aca="false">1/B10633</f>
        <v>0.0044913541432742</v>
      </c>
      <c r="D10633" s="1" t="n">
        <v>1.5129</v>
      </c>
      <c r="E10633" s="1" t="n">
        <f aca="false">LN(D10633)</f>
        <v>0.414028338768652</v>
      </c>
    </row>
    <row r="10634" customFormat="false" ht="15.75" hidden="false" customHeight="false" outlineLevel="0" collapsed="false">
      <c r="A10634" s="1" t="s">
        <v>1196</v>
      </c>
      <c r="B10634" s="1" t="n">
        <v>223.1</v>
      </c>
      <c r="C10634" s="1" t="n">
        <f aca="false">1/B10634</f>
        <v>0.00448229493500672</v>
      </c>
      <c r="D10634" s="1" t="n">
        <v>1.4978</v>
      </c>
      <c r="E10634" s="1" t="n">
        <f aca="false">LN(D10634)</f>
        <v>0.40399736483313</v>
      </c>
    </row>
    <row r="10635" customFormat="false" ht="15.75" hidden="false" customHeight="false" outlineLevel="0" collapsed="false">
      <c r="A10635" s="1" t="s">
        <v>1196</v>
      </c>
      <c r="B10635" s="1" t="n">
        <v>223.55</v>
      </c>
      <c r="C10635" s="1" t="n">
        <f aca="false">1/B10635</f>
        <v>0.00447327219861328</v>
      </c>
      <c r="D10635" s="1" t="n">
        <v>1.4829</v>
      </c>
      <c r="E10635" s="1" t="n">
        <f aca="false">LN(D10635)</f>
        <v>0.393999629998886</v>
      </c>
    </row>
    <row r="10636" customFormat="false" ht="15.75" hidden="false" customHeight="false" outlineLevel="0" collapsed="false">
      <c r="A10636" s="1" t="s">
        <v>1196</v>
      </c>
      <c r="B10636" s="1" t="n">
        <v>224</v>
      </c>
      <c r="C10636" s="1" t="n">
        <f aca="false">1/B10636</f>
        <v>0.00446428571428571</v>
      </c>
      <c r="D10636" s="1" t="n">
        <v>1.4682</v>
      </c>
      <c r="E10636" s="1" t="n">
        <f aca="false">LN(D10636)</f>
        <v>0.384037160694544</v>
      </c>
    </row>
    <row r="10637" customFormat="false" ht="15.75" hidden="false" customHeight="false" outlineLevel="0" collapsed="false">
      <c r="A10637" s="1" t="s">
        <v>1196</v>
      </c>
      <c r="B10637" s="1" t="n">
        <v>224.45</v>
      </c>
      <c r="C10637" s="1" t="n">
        <f aca="false">1/B10637</f>
        <v>0.00445533526397862</v>
      </c>
      <c r="D10637" s="1" t="n">
        <v>1.4537</v>
      </c>
      <c r="E10637" s="1" t="n">
        <f aca="false">LN(D10637)</f>
        <v>0.374112030450142</v>
      </c>
    </row>
    <row r="10638" customFormat="false" ht="15.75" hidden="false" customHeight="false" outlineLevel="0" collapsed="false">
      <c r="A10638" s="1" t="s">
        <v>1196</v>
      </c>
      <c r="B10638" s="1" t="n">
        <v>224.9</v>
      </c>
      <c r="C10638" s="1" t="n">
        <f aca="false">1/B10638</f>
        <v>0.00444642063139173</v>
      </c>
      <c r="D10638" s="1" t="n">
        <v>1.4394</v>
      </c>
      <c r="E10638" s="1" t="n">
        <f aca="false">LN(D10638)</f>
        <v>0.364226360091567</v>
      </c>
    </row>
    <row r="10639" customFormat="false" ht="15.75" hidden="false" customHeight="false" outlineLevel="0" collapsed="false">
      <c r="A10639" s="1" t="s">
        <v>1196</v>
      </c>
      <c r="B10639" s="1" t="n">
        <v>225.35</v>
      </c>
      <c r="C10639" s="1" t="n">
        <f aca="false">1/B10639</f>
        <v>0.00443754160195252</v>
      </c>
      <c r="D10639" s="1" t="n">
        <v>1.4252</v>
      </c>
      <c r="E10639" s="1" t="n">
        <f aca="false">LN(D10639)</f>
        <v>0.354312154749544</v>
      </c>
    </row>
    <row r="10640" customFormat="false" ht="15.75" hidden="false" customHeight="false" outlineLevel="0" collapsed="false">
      <c r="A10640" s="1" t="s">
        <v>1196</v>
      </c>
      <c r="B10640" s="1" t="n">
        <v>225.8</v>
      </c>
      <c r="C10640" s="1" t="n">
        <f aca="false">1/B10640</f>
        <v>0.00442869796279894</v>
      </c>
      <c r="D10640" s="1" t="n">
        <v>1.4113</v>
      </c>
      <c r="E10640" s="1" t="n">
        <f aca="false">LN(D10640)</f>
        <v>0.344511265437824</v>
      </c>
    </row>
    <row r="10641" customFormat="false" ht="15.75" hidden="false" customHeight="false" outlineLevel="0" collapsed="false">
      <c r="A10641" s="1" t="s">
        <v>1196</v>
      </c>
      <c r="B10641" s="1" t="n">
        <v>226.25</v>
      </c>
      <c r="C10641" s="1" t="n">
        <f aca="false">1/B10641</f>
        <v>0.00441988950276243</v>
      </c>
      <c r="D10641" s="1" t="n">
        <v>1.3975</v>
      </c>
      <c r="E10641" s="1" t="n">
        <f aca="false">LN(D10641)</f>
        <v>0.334684926047117</v>
      </c>
    </row>
    <row r="10642" customFormat="false" ht="15.75" hidden="false" customHeight="false" outlineLevel="0" collapsed="false">
      <c r="A10642" s="1" t="s">
        <v>1196</v>
      </c>
      <c r="B10642" s="1" t="n">
        <v>226.7</v>
      </c>
      <c r="C10642" s="1" t="n">
        <f aca="false">1/B10642</f>
        <v>0.00441111601235113</v>
      </c>
      <c r="D10642" s="1" t="n">
        <v>1.3839</v>
      </c>
      <c r="E10642" s="1" t="n">
        <f aca="false">LN(D10642)</f>
        <v>0.324905600249747</v>
      </c>
    </row>
    <row r="10643" customFormat="false" ht="15.75" hidden="false" customHeight="false" outlineLevel="0" collapsed="false">
      <c r="A10643" s="1" t="s">
        <v>1196</v>
      </c>
      <c r="B10643" s="1" t="n">
        <v>227.15</v>
      </c>
      <c r="C10643" s="1" t="n">
        <f aca="false">1/B10643</f>
        <v>0.00440237728373322</v>
      </c>
      <c r="D10643" s="1" t="n">
        <v>1.3704</v>
      </c>
      <c r="E10643" s="1" t="n">
        <f aca="false">LN(D10643)</f>
        <v>0.315102668027773</v>
      </c>
    </row>
    <row r="10644" customFormat="false" ht="15.75" hidden="false" customHeight="false" outlineLevel="0" collapsed="false">
      <c r="A10644" s="1" t="s">
        <v>1196</v>
      </c>
      <c r="B10644" s="1" t="n">
        <v>227.6</v>
      </c>
      <c r="C10644" s="1" t="n">
        <f aca="false">1/B10644</f>
        <v>0.00439367311072056</v>
      </c>
      <c r="D10644" s="1" t="n">
        <v>1.3571</v>
      </c>
      <c r="E10644" s="1" t="n">
        <f aca="false">LN(D10644)</f>
        <v>0.305350070105188</v>
      </c>
    </row>
    <row r="10645" customFormat="false" ht="15.75" hidden="false" customHeight="false" outlineLevel="0" collapsed="false">
      <c r="A10645" s="1" t="s">
        <v>1196</v>
      </c>
      <c r="B10645" s="1" t="n">
        <v>228.05</v>
      </c>
      <c r="C10645" s="1" t="n">
        <f aca="false">1/B10645</f>
        <v>0.00438500328875247</v>
      </c>
      <c r="D10645" s="1" t="n">
        <v>1.344</v>
      </c>
      <c r="E10645" s="1" t="n">
        <f aca="false">LN(D10645)</f>
        <v>0.295650242100958</v>
      </c>
    </row>
    <row r="10646" customFormat="false" ht="15.75" hidden="false" customHeight="false" outlineLevel="0" collapsed="false">
      <c r="A10646" s="1" t="s">
        <v>1196</v>
      </c>
      <c r="B10646" s="1" t="n">
        <v>228.5</v>
      </c>
      <c r="C10646" s="1" t="n">
        <f aca="false">1/B10646</f>
        <v>0.00437636761487965</v>
      </c>
      <c r="D10646" s="1" t="n">
        <v>1.331</v>
      </c>
      <c r="E10646" s="1" t="n">
        <f aca="false">LN(D10646)</f>
        <v>0.285930539412975</v>
      </c>
    </row>
    <row r="10647" customFormat="false" ht="15.75" hidden="false" customHeight="false" outlineLevel="0" collapsed="false">
      <c r="A10647" s="1" t="s">
        <v>1196</v>
      </c>
      <c r="B10647" s="1" t="n">
        <v>228.95</v>
      </c>
      <c r="C10647" s="1" t="n">
        <f aca="false">1/B10647</f>
        <v>0.00436776588774842</v>
      </c>
      <c r="D10647" s="1" t="n">
        <v>1.3182</v>
      </c>
      <c r="E10647" s="1" t="n">
        <f aca="false">LN(D10647)</f>
        <v>0.276267169636482</v>
      </c>
    </row>
    <row r="10648" customFormat="false" ht="15.75" hidden="false" customHeight="false" outlineLevel="0" collapsed="false">
      <c r="A10648" s="1" t="s">
        <v>1196</v>
      </c>
      <c r="B10648" s="1" t="n">
        <v>229.4</v>
      </c>
      <c r="C10648" s="1" t="n">
        <f aca="false">1/B10648</f>
        <v>0.004359197907585</v>
      </c>
      <c r="D10648" s="1" t="n">
        <v>1.3056</v>
      </c>
      <c r="E10648" s="1" t="n">
        <f aca="false">LN(D10648)</f>
        <v>0.266662705227706</v>
      </c>
    </row>
    <row r="10649" customFormat="false" ht="15.75" hidden="false" customHeight="false" outlineLevel="0" collapsed="false">
      <c r="A10649" s="1" t="s">
        <v>1196</v>
      </c>
      <c r="B10649" s="1" t="n">
        <v>229.85</v>
      </c>
      <c r="C10649" s="1" t="n">
        <f aca="false">1/B10649</f>
        <v>0.00435066347618012</v>
      </c>
      <c r="D10649" s="1" t="n">
        <v>1.2931</v>
      </c>
      <c r="E10649" s="1" t="n">
        <f aca="false">LN(D10649)</f>
        <v>0.257042436319669</v>
      </c>
    </row>
    <row r="10650" customFormat="false" ht="15.75" hidden="false" customHeight="false" outlineLevel="0" collapsed="false">
      <c r="A10650" s="1" t="s">
        <v>1196</v>
      </c>
      <c r="B10650" s="1" t="n">
        <v>230.3</v>
      </c>
      <c r="C10650" s="1" t="n">
        <f aca="false">1/B10650</f>
        <v>0.00434216239687364</v>
      </c>
      <c r="D10650" s="1" t="n">
        <v>1.2808</v>
      </c>
      <c r="E10650" s="1" t="n">
        <f aca="false">LN(D10650)</f>
        <v>0.247484882700368</v>
      </c>
    </row>
    <row r="10651" customFormat="false" ht="15.75" hidden="false" customHeight="false" outlineLevel="0" collapsed="false">
      <c r="A10651" s="1" t="s">
        <v>1196</v>
      </c>
      <c r="B10651" s="1" t="n">
        <v>230.75</v>
      </c>
      <c r="C10651" s="1" t="n">
        <f aca="false">1/B10651</f>
        <v>0.00433369447453955</v>
      </c>
      <c r="D10651" s="1" t="n">
        <v>1.2686</v>
      </c>
      <c r="E10651" s="1" t="n">
        <f aca="false">LN(D10651)</f>
        <v>0.23791393021766</v>
      </c>
    </row>
    <row r="10652" customFormat="false" ht="15.75" hidden="false" customHeight="false" outlineLevel="0" collapsed="false">
      <c r="A10652" s="1" t="s">
        <v>1196</v>
      </c>
      <c r="B10652" s="1" t="n">
        <v>231.2</v>
      </c>
      <c r="C10652" s="1" t="n">
        <f aca="false">1/B10652</f>
        <v>0.00432525951557093</v>
      </c>
      <c r="D10652" s="1" t="n">
        <v>1.2565</v>
      </c>
      <c r="E10652" s="1" t="n">
        <f aca="false">LN(D10652)</f>
        <v>0.22833007800151</v>
      </c>
    </row>
    <row r="10653" customFormat="false" ht="15.75" hidden="false" customHeight="false" outlineLevel="0" collapsed="false">
      <c r="A10653" s="1" t="s">
        <v>1196</v>
      </c>
      <c r="B10653" s="1" t="n">
        <v>231.65</v>
      </c>
      <c r="C10653" s="1" t="n">
        <f aca="false">1/B10653</f>
        <v>0.00431685732786531</v>
      </c>
      <c r="D10653" s="1" t="n">
        <v>1.2446</v>
      </c>
      <c r="E10653" s="1" t="n">
        <f aca="false">LN(D10653)</f>
        <v>0.21881419315298</v>
      </c>
    </row>
    <row r="10654" customFormat="false" ht="15.75" hidden="false" customHeight="false" outlineLevel="0" collapsed="false">
      <c r="A10654" s="1" t="s">
        <v>1196</v>
      </c>
      <c r="B10654" s="1" t="n">
        <v>232.1</v>
      </c>
      <c r="C10654" s="1" t="n">
        <f aca="false">1/B10654</f>
        <v>0.00430848772081</v>
      </c>
      <c r="D10654" s="1" t="n">
        <v>1.2329</v>
      </c>
      <c r="E10654" s="1" t="n">
        <f aca="false">LN(D10654)</f>
        <v>0.20936911789237</v>
      </c>
    </row>
    <row r="10655" customFormat="false" ht="15.75" hidden="false" customHeight="false" outlineLevel="0" collapsed="false">
      <c r="A10655" s="1" t="s">
        <v>1196</v>
      </c>
      <c r="B10655" s="1" t="n">
        <v>232.55</v>
      </c>
      <c r="C10655" s="1" t="n">
        <f aca="false">1/B10655</f>
        <v>0.00430015050526768</v>
      </c>
      <c r="D10655" s="1" t="n">
        <v>1.2213</v>
      </c>
      <c r="E10655" s="1" t="n">
        <f aca="false">LN(D10655)</f>
        <v>0.199915865194906</v>
      </c>
    </row>
    <row r="10656" customFormat="false" ht="15.75" hidden="false" customHeight="false" outlineLevel="0" collapsed="false">
      <c r="A10656" s="1" t="s">
        <v>1196</v>
      </c>
      <c r="B10656" s="1" t="n">
        <v>233</v>
      </c>
      <c r="C10656" s="1" t="n">
        <f aca="false">1/B10656</f>
        <v>0.00429184549356223</v>
      </c>
      <c r="D10656" s="1" t="n">
        <v>1.2098</v>
      </c>
      <c r="E10656" s="1" t="n">
        <f aca="false">LN(D10656)</f>
        <v>0.190455056690677</v>
      </c>
    </row>
    <row r="10657" customFormat="false" ht="15.75" hidden="false" customHeight="false" outlineLevel="0" collapsed="false">
      <c r="A10657" s="1" t="s">
        <v>1196</v>
      </c>
      <c r="B10657" s="1" t="n">
        <v>233.45</v>
      </c>
      <c r="C10657" s="1" t="n">
        <f aca="false">1/B10657</f>
        <v>0.00428357249946455</v>
      </c>
      <c r="D10657" s="1" t="n">
        <v>1.1985</v>
      </c>
      <c r="E10657" s="1" t="n">
        <f aca="false">LN(D10657)</f>
        <v>0.181070774892302</v>
      </c>
    </row>
    <row r="10658" customFormat="false" ht="15.75" hidden="false" customHeight="false" outlineLevel="0" collapsed="false">
      <c r="A10658" s="1" t="s">
        <v>1196</v>
      </c>
      <c r="B10658" s="1" t="n">
        <v>233.9</v>
      </c>
      <c r="C10658" s="1" t="n">
        <f aca="false">1/B10658</f>
        <v>0.00427533133817871</v>
      </c>
      <c r="D10658" s="1" t="n">
        <v>1.1874</v>
      </c>
      <c r="E10658" s="1" t="n">
        <f aca="false">LN(D10658)</f>
        <v>0.171766042854438</v>
      </c>
    </row>
    <row r="10659" customFormat="false" ht="15.75" hidden="false" customHeight="false" outlineLevel="0" collapsed="false">
      <c r="A10659" s="1" t="s">
        <v>1196</v>
      </c>
      <c r="B10659" s="1" t="n">
        <v>234.35</v>
      </c>
      <c r="C10659" s="1" t="n">
        <f aca="false">1/B10659</f>
        <v>0.00426712182632814</v>
      </c>
      <c r="D10659" s="1" t="n">
        <v>1.1763</v>
      </c>
      <c r="E10659" s="1" t="n">
        <f aca="false">LN(D10659)</f>
        <v>0.162373918984259</v>
      </c>
    </row>
    <row r="10660" customFormat="false" ht="15.75" hidden="false" customHeight="false" outlineLevel="0" collapsed="false">
      <c r="A10660" s="1" t="s">
        <v>1196</v>
      </c>
      <c r="B10660" s="1" t="n">
        <v>234.8</v>
      </c>
      <c r="C10660" s="1" t="n">
        <f aca="false">1/B10660</f>
        <v>0.00425894378194208</v>
      </c>
      <c r="D10660" s="1" t="n">
        <v>1.1654</v>
      </c>
      <c r="E10660" s="1" t="n">
        <f aca="false">LN(D10660)</f>
        <v>0.153064375726837</v>
      </c>
    </row>
    <row r="10661" customFormat="false" ht="15.75" hidden="false" customHeight="false" outlineLevel="0" collapsed="false">
      <c r="A10661" s="1" t="s">
        <v>1196</v>
      </c>
      <c r="B10661" s="1" t="n">
        <v>235.25</v>
      </c>
      <c r="C10661" s="1" t="n">
        <f aca="false">1/B10661</f>
        <v>0.00425079702444208</v>
      </c>
      <c r="D10661" s="1" t="n">
        <v>1.1546</v>
      </c>
      <c r="E10661" s="1" t="n">
        <f aca="false">LN(D10661)</f>
        <v>0.143753963644696</v>
      </c>
    </row>
    <row r="10662" customFormat="false" ht="15.75" hidden="false" customHeight="false" outlineLevel="0" collapsed="false">
      <c r="A10662" s="1" t="s">
        <v>1196</v>
      </c>
      <c r="B10662" s="1" t="n">
        <v>235.7</v>
      </c>
      <c r="C10662" s="1" t="n">
        <f aca="false">1/B10662</f>
        <v>0.00424268137462877</v>
      </c>
      <c r="D10662" s="1" t="n">
        <v>1.144</v>
      </c>
      <c r="E10662" s="1" t="n">
        <f aca="false">LN(D10662)</f>
        <v>0.134530892957606</v>
      </c>
    </row>
    <row r="10663" customFormat="false" ht="15.75" hidden="false" customHeight="false" outlineLevel="0" collapsed="false">
      <c r="A10663" s="1" t="s">
        <v>1196</v>
      </c>
      <c r="B10663" s="1" t="n">
        <v>236.15</v>
      </c>
      <c r="C10663" s="1" t="n">
        <f aca="false">1/B10663</f>
        <v>0.00423459665466864</v>
      </c>
      <c r="D10663" s="1" t="n">
        <v>1.1334</v>
      </c>
      <c r="E10663" s="1" t="n">
        <f aca="false">LN(D10663)</f>
        <v>0.125221964753382</v>
      </c>
    </row>
    <row r="10664" customFormat="false" ht="15.75" hidden="false" customHeight="false" outlineLevel="0" collapsed="false">
      <c r="A10664" s="1" t="s">
        <v>1196</v>
      </c>
      <c r="B10664" s="1" t="n">
        <v>236.6</v>
      </c>
      <c r="C10664" s="1" t="n">
        <f aca="false">1/B10664</f>
        <v>0.00422654268808115</v>
      </c>
      <c r="D10664" s="1" t="n">
        <v>1.1231</v>
      </c>
      <c r="E10664" s="1" t="n">
        <f aca="false">LN(D10664)</f>
        <v>0.116092718986853</v>
      </c>
    </row>
    <row r="10665" customFormat="false" ht="15.75" hidden="false" customHeight="false" outlineLevel="0" collapsed="false">
      <c r="A10665" s="1" t="s">
        <v>1196</v>
      </c>
      <c r="B10665" s="1" t="n">
        <v>237.05</v>
      </c>
      <c r="C10665" s="1" t="n">
        <f aca="false">1/B10665</f>
        <v>0.0042185192997258</v>
      </c>
      <c r="D10665" s="1" t="n">
        <v>1.1128</v>
      </c>
      <c r="E10665" s="1" t="n">
        <f aca="false">LN(D10665)</f>
        <v>0.106879361627096</v>
      </c>
    </row>
    <row r="10666" customFormat="false" ht="15.75" hidden="false" customHeight="false" outlineLevel="0" collapsed="false">
      <c r="A10666" s="1" t="s">
        <v>1196</v>
      </c>
      <c r="B10666" s="1" t="n">
        <v>237.5</v>
      </c>
      <c r="C10666" s="1" t="n">
        <f aca="false">1/B10666</f>
        <v>0.00421052631578947</v>
      </c>
      <c r="D10666" s="1" t="n">
        <v>1.1026</v>
      </c>
      <c r="E10666" s="1" t="n">
        <f aca="false">LN(D10666)</f>
        <v>0.0976710271734462</v>
      </c>
    </row>
    <row r="10667" customFormat="false" ht="15.75" hidden="false" customHeight="false" outlineLevel="0" collapsed="false">
      <c r="A10667" s="1" t="s">
        <v>1196</v>
      </c>
      <c r="B10667" s="1" t="n">
        <v>237.95</v>
      </c>
      <c r="C10667" s="1" t="n">
        <f aca="false">1/B10667</f>
        <v>0.0042025635637739</v>
      </c>
      <c r="D10667" s="1" t="n">
        <v>1.0926</v>
      </c>
      <c r="E10667" s="1" t="n">
        <f aca="false">LN(D10667)</f>
        <v>0.0885601769794802</v>
      </c>
    </row>
    <row r="10668" customFormat="false" ht="15.75" hidden="false" customHeight="false" outlineLevel="0" collapsed="false">
      <c r="A10668" s="1" t="s">
        <v>1196</v>
      </c>
      <c r="B10668" s="1" t="n">
        <v>238.4</v>
      </c>
      <c r="C10668" s="1" t="n">
        <f aca="false">1/B10668</f>
        <v>0.00419463087248322</v>
      </c>
      <c r="D10668" s="1" t="n">
        <v>1.0827</v>
      </c>
      <c r="E10668" s="1" t="n">
        <f aca="false">LN(D10668)</f>
        <v>0.0794579213347155</v>
      </c>
    </row>
    <row r="10669" customFormat="false" ht="15.75" hidden="false" customHeight="false" outlineLevel="0" collapsed="false">
      <c r="A10669" s="1" t="s">
        <v>1196</v>
      </c>
      <c r="B10669" s="1" t="n">
        <v>238.85</v>
      </c>
      <c r="C10669" s="1" t="n">
        <f aca="false">1/B10669</f>
        <v>0.00418672807201172</v>
      </c>
      <c r="D10669" s="1" t="n">
        <v>1.0729</v>
      </c>
      <c r="E10669" s="1" t="n">
        <f aca="false">LN(D10669)</f>
        <v>0.0703652626605634</v>
      </c>
    </row>
    <row r="10670" customFormat="false" ht="15.75" hidden="false" customHeight="false" outlineLevel="0" collapsed="false">
      <c r="A10670" s="1" t="s">
        <v>1196</v>
      </c>
      <c r="B10670" s="1" t="n">
        <v>239.3</v>
      </c>
      <c r="C10670" s="1" t="n">
        <f aca="false">1/B10670</f>
        <v>0.00417885499373172</v>
      </c>
      <c r="D10670" s="1" t="n">
        <v>1.0633</v>
      </c>
      <c r="E10670" s="1" t="n">
        <f aca="false">LN(D10670)</f>
        <v>0.0613772796749033</v>
      </c>
    </row>
    <row r="10671" customFormat="false" ht="15.75" hidden="false" customHeight="false" outlineLevel="0" collapsed="false">
      <c r="A10671" s="1" t="s">
        <v>1196</v>
      </c>
      <c r="B10671" s="1" t="n">
        <v>239.75</v>
      </c>
      <c r="C10671" s="1" t="n">
        <f aca="false">1/B10671</f>
        <v>0.00417101147028154</v>
      </c>
      <c r="D10671" s="1" t="n">
        <v>1.0537</v>
      </c>
      <c r="E10671" s="1" t="n">
        <f aca="false">LN(D10671)</f>
        <v>0.0523077796233449</v>
      </c>
    </row>
    <row r="10672" customFormat="false" ht="15.75" hidden="false" customHeight="false" outlineLevel="0" collapsed="false">
      <c r="A10672" s="1" t="s">
        <v>1196</v>
      </c>
      <c r="B10672" s="1" t="n">
        <v>240.2</v>
      </c>
      <c r="C10672" s="1" t="n">
        <f aca="false">1/B10672</f>
        <v>0.00416319733555371</v>
      </c>
      <c r="D10672" s="1" t="n">
        <v>1.0443</v>
      </c>
      <c r="E10672" s="1" t="n">
        <f aca="false">LN(D10672)</f>
        <v>0.0433468045033659</v>
      </c>
    </row>
    <row r="10673" customFormat="false" ht="15.75" hidden="false" customHeight="false" outlineLevel="0" collapsed="false">
      <c r="A10673" s="1" t="s">
        <v>1196</v>
      </c>
      <c r="B10673" s="1" t="n">
        <v>240.65</v>
      </c>
      <c r="C10673" s="1" t="n">
        <f aca="false">1/B10673</f>
        <v>0.00415541242468315</v>
      </c>
      <c r="D10673" s="1" t="n">
        <v>1.0349</v>
      </c>
      <c r="E10673" s="1" t="n">
        <f aca="false">LN(D10673)</f>
        <v>0.0343048036919902</v>
      </c>
    </row>
    <row r="10674" customFormat="false" ht="15.75" hidden="false" customHeight="false" outlineLevel="0" collapsed="false">
      <c r="A10674" s="1" t="s">
        <v>1196</v>
      </c>
      <c r="B10674" s="1" t="n">
        <v>241.1</v>
      </c>
      <c r="C10674" s="1" t="n">
        <f aca="false">1/B10674</f>
        <v>0.00414765657403567</v>
      </c>
      <c r="D10674" s="1" t="n">
        <v>1.0257</v>
      </c>
      <c r="E10674" s="1" t="n">
        <f aca="false">LN(D10674)</f>
        <v>0.0253753063312283</v>
      </c>
    </row>
    <row r="10675" customFormat="false" ht="15.75" hidden="false" customHeight="false" outlineLevel="0" collapsed="false">
      <c r="A10675" s="1" t="s">
        <v>1196</v>
      </c>
      <c r="B10675" s="1" t="n">
        <v>241.55</v>
      </c>
      <c r="C10675" s="1" t="n">
        <f aca="false">1/B10675</f>
        <v>0.00413992962119644</v>
      </c>
      <c r="D10675" s="1" t="n">
        <v>1.0166</v>
      </c>
      <c r="E10675" s="1" t="n">
        <f aca="false">LN(D10675)</f>
        <v>0.016463726030665</v>
      </c>
    </row>
    <row r="10676" customFormat="false" ht="15.75" hidden="false" customHeight="false" outlineLevel="0" collapsed="false">
      <c r="A10676" s="1" t="s">
        <v>1196</v>
      </c>
      <c r="B10676" s="1" t="n">
        <v>242</v>
      </c>
      <c r="C10676" s="1" t="n">
        <f aca="false">1/B10676</f>
        <v>0.00413223140495868</v>
      </c>
      <c r="D10676" s="1" t="n">
        <v>1.0076</v>
      </c>
      <c r="E10676" s="1" t="n">
        <f aca="false">LN(D10676)</f>
        <v>0.00757126549631813</v>
      </c>
    </row>
    <row r="10677" customFormat="false" ht="15.75" hidden="false" customHeight="false" outlineLevel="0" collapsed="false">
      <c r="A10677" s="1" t="s">
        <v>1196</v>
      </c>
      <c r="B10677" s="1" t="n">
        <v>242.45</v>
      </c>
      <c r="C10677" s="1" t="n">
        <f aca="false">1/B10677</f>
        <v>0.00412456176531244</v>
      </c>
      <c r="D10677" s="1" t="n">
        <v>0.99872</v>
      </c>
      <c r="E10677" s="1" t="n">
        <f aca="false">LN(D10677)</f>
        <v>-0.00128081989972239</v>
      </c>
    </row>
    <row r="10678" customFormat="false" ht="15.75" hidden="false" customHeight="false" outlineLevel="0" collapsed="false">
      <c r="A10678" s="1" t="s">
        <v>1196</v>
      </c>
      <c r="B10678" s="1" t="n">
        <v>242.9</v>
      </c>
      <c r="C10678" s="1" t="n">
        <f aca="false">1/B10678</f>
        <v>0.00411692054343351</v>
      </c>
      <c r="D10678" s="1" t="n">
        <v>0.98993</v>
      </c>
      <c r="E10678" s="1" t="n">
        <f aca="false">LN(D10678)</f>
        <v>-0.0101210454240713</v>
      </c>
    </row>
    <row r="10679" customFormat="false" ht="15.75" hidden="false" customHeight="false" outlineLevel="0" collapsed="false">
      <c r="A10679" s="1" t="s">
        <v>1196</v>
      </c>
      <c r="B10679" s="1" t="n">
        <v>243.35</v>
      </c>
      <c r="C10679" s="1" t="n">
        <f aca="false">1/B10679</f>
        <v>0.00410930758167249</v>
      </c>
      <c r="D10679" s="1" t="n">
        <v>0.98124</v>
      </c>
      <c r="E10679" s="1" t="n">
        <f aca="false">LN(D10679)</f>
        <v>-0.0189382010202508</v>
      </c>
    </row>
    <row r="10680" customFormat="false" ht="15.75" hidden="false" customHeight="false" outlineLevel="0" collapsed="false">
      <c r="A10680" s="1" t="s">
        <v>1196</v>
      </c>
      <c r="B10680" s="1" t="n">
        <v>243.8</v>
      </c>
      <c r="C10680" s="1" t="n">
        <f aca="false">1/B10680</f>
        <v>0.00410172272354389</v>
      </c>
      <c r="D10680" s="1" t="n">
        <v>0.97265</v>
      </c>
      <c r="E10680" s="1" t="n">
        <f aca="false">LN(D10680)</f>
        <v>-0.027730973738311</v>
      </c>
    </row>
    <row r="10681" customFormat="false" ht="15.75" hidden="false" customHeight="false" outlineLevel="0" collapsed="false">
      <c r="A10681" s="1" t="s">
        <v>1196</v>
      </c>
      <c r="B10681" s="1" t="n">
        <v>244.25</v>
      </c>
      <c r="C10681" s="1" t="n">
        <f aca="false">1/B10681</f>
        <v>0.00409416581371546</v>
      </c>
      <c r="D10681" s="1" t="n">
        <v>0.96417</v>
      </c>
      <c r="E10681" s="1" t="n">
        <f aca="false">LN(D10681)</f>
        <v>-0.0364876513714509</v>
      </c>
    </row>
    <row r="10682" customFormat="false" ht="15.75" hidden="false" customHeight="false" outlineLevel="0" collapsed="false">
      <c r="A10682" s="1" t="s">
        <v>1196</v>
      </c>
      <c r="B10682" s="1" t="n">
        <v>244.7</v>
      </c>
      <c r="C10682" s="1" t="n">
        <f aca="false">1/B10682</f>
        <v>0.00408663669799755</v>
      </c>
      <c r="D10682" s="1" t="n">
        <v>0.95578</v>
      </c>
      <c r="E10682" s="1" t="n">
        <f aca="false">LN(D10682)</f>
        <v>-0.0452275179366895</v>
      </c>
    </row>
    <row r="10683" customFormat="false" ht="15.75" hidden="false" customHeight="false" outlineLevel="0" collapsed="false">
      <c r="A10683" s="1" t="s">
        <v>1196</v>
      </c>
      <c r="B10683" s="1" t="n">
        <v>245.15</v>
      </c>
      <c r="C10683" s="1" t="n">
        <f aca="false">1/B10683</f>
        <v>0.00407913522333265</v>
      </c>
      <c r="D10683" s="1" t="n">
        <v>0.9475</v>
      </c>
      <c r="E10683" s="1" t="n">
        <f aca="false">LN(D10683)</f>
        <v>-0.0539283420255556</v>
      </c>
    </row>
    <row r="10684" customFormat="false" ht="15.75" hidden="false" customHeight="false" outlineLevel="0" collapsed="false">
      <c r="A10684" s="1" t="s">
        <v>1196</v>
      </c>
      <c r="B10684" s="1" t="n">
        <v>245.6</v>
      </c>
      <c r="C10684" s="1" t="n">
        <f aca="false">1/B10684</f>
        <v>0.00407166123778502</v>
      </c>
      <c r="D10684" s="1" t="n">
        <v>0.93931</v>
      </c>
      <c r="E10684" s="1" t="n">
        <f aca="false">LN(D10684)</f>
        <v>-0.0626097158124251</v>
      </c>
    </row>
    <row r="10685" customFormat="false" ht="15.75" hidden="false" customHeight="false" outlineLevel="0" collapsed="false">
      <c r="A10685" s="1" t="s">
        <v>1196</v>
      </c>
      <c r="B10685" s="1" t="n">
        <v>246.05</v>
      </c>
      <c r="C10685" s="1" t="n">
        <f aca="false">1/B10685</f>
        <v>0.00406421459053038</v>
      </c>
      <c r="D10685" s="1" t="n">
        <v>0.93121</v>
      </c>
      <c r="E10685" s="1" t="n">
        <f aca="false">LN(D10685)</f>
        <v>-0.0712704632310094</v>
      </c>
    </row>
    <row r="10686" customFormat="false" ht="15.75" hidden="false" customHeight="false" outlineLevel="0" collapsed="false">
      <c r="A10686" s="1" t="s">
        <v>1196</v>
      </c>
      <c r="B10686" s="1" t="n">
        <v>246.5</v>
      </c>
      <c r="C10686" s="1" t="n">
        <f aca="false">1/B10686</f>
        <v>0.00405679513184584</v>
      </c>
      <c r="D10686" s="1" t="n">
        <v>0.92321</v>
      </c>
      <c r="E10686" s="1" t="n">
        <f aca="false">LN(D10686)</f>
        <v>-0.079898551397885</v>
      </c>
    </row>
    <row r="10687" customFormat="false" ht="15.75" hidden="false" customHeight="false" outlineLevel="0" collapsed="false">
      <c r="A10687" s="1" t="s">
        <v>1196</v>
      </c>
      <c r="B10687" s="1" t="n">
        <v>246.95</v>
      </c>
      <c r="C10687" s="1" t="n">
        <f aca="false">1/B10687</f>
        <v>0.00404940271309982</v>
      </c>
      <c r="D10687" s="1" t="n">
        <v>0.9153</v>
      </c>
      <c r="E10687" s="1" t="n">
        <f aca="false">LN(D10687)</f>
        <v>-0.0885033985914034</v>
      </c>
    </row>
    <row r="10688" customFormat="false" ht="15.75" hidden="false" customHeight="false" outlineLevel="0" collapsed="false">
      <c r="A10688" s="1" t="s">
        <v>1196</v>
      </c>
      <c r="B10688" s="1" t="n">
        <v>247.4</v>
      </c>
      <c r="C10688" s="1" t="n">
        <f aca="false">1/B10688</f>
        <v>0.00404203718674212</v>
      </c>
      <c r="D10688" s="1" t="n">
        <v>0.90748</v>
      </c>
      <c r="E10688" s="1" t="n">
        <f aca="false">LN(D10688)</f>
        <v>-0.0970837516534772</v>
      </c>
    </row>
    <row r="10689" customFormat="false" ht="15.75" hidden="false" customHeight="false" outlineLevel="0" collapsed="false">
      <c r="A10689" s="1" t="s">
        <v>1196</v>
      </c>
      <c r="B10689" s="1" t="n">
        <v>247.85</v>
      </c>
      <c r="C10689" s="1" t="n">
        <f aca="false">1/B10689</f>
        <v>0.00403469840629413</v>
      </c>
      <c r="D10689" s="1" t="n">
        <v>0.89975</v>
      </c>
      <c r="E10689" s="1" t="n">
        <f aca="false">LN(D10689)</f>
        <v>-0.105638332022997</v>
      </c>
    </row>
    <row r="10690" customFormat="false" ht="15.75" hidden="false" customHeight="false" outlineLevel="0" collapsed="false">
      <c r="A10690" s="1" t="s">
        <v>1196</v>
      </c>
      <c r="B10690" s="1" t="n">
        <v>248.3</v>
      </c>
      <c r="C10690" s="1" t="n">
        <f aca="false">1/B10690</f>
        <v>0.00402738622633911</v>
      </c>
      <c r="D10690" s="1" t="n">
        <v>0.89211</v>
      </c>
      <c r="E10690" s="1" t="n">
        <f aca="false">LN(D10690)</f>
        <v>-0.114165835619565</v>
      </c>
    </row>
    <row r="10691" customFormat="false" ht="15.75" hidden="false" customHeight="false" outlineLevel="0" collapsed="false">
      <c r="A10691" s="1" t="s">
        <v>1196</v>
      </c>
      <c r="B10691" s="1" t="n">
        <v>248.75</v>
      </c>
      <c r="C10691" s="1" t="n">
        <f aca="false">1/B10691</f>
        <v>0.00402010050251256</v>
      </c>
      <c r="D10691" s="1" t="n">
        <v>0.88456</v>
      </c>
      <c r="E10691" s="1" t="n">
        <f aca="false">LN(D10691)</f>
        <v>-0.122664932747991</v>
      </c>
    </row>
    <row r="10692" customFormat="false" ht="15.75" hidden="false" customHeight="false" outlineLevel="0" collapsed="false">
      <c r="A10692" s="1" t="s">
        <v>1196</v>
      </c>
      <c r="B10692" s="1" t="n">
        <v>249.2</v>
      </c>
      <c r="C10692" s="1" t="n">
        <f aca="false">1/B10692</f>
        <v>0.00401284109149278</v>
      </c>
      <c r="D10692" s="1" t="n">
        <v>0.8771</v>
      </c>
      <c r="E10692" s="1" t="n">
        <f aca="false">LN(D10692)</f>
        <v>-0.131134268024801</v>
      </c>
    </row>
    <row r="10693" customFormat="false" ht="15.75" hidden="false" customHeight="false" outlineLevel="0" collapsed="false">
      <c r="A10693" s="1" t="s">
        <v>1196</v>
      </c>
      <c r="B10693" s="1" t="n">
        <v>249.65</v>
      </c>
      <c r="C10693" s="1" t="n">
        <f aca="false">1/B10693</f>
        <v>0.00400560785099139</v>
      </c>
      <c r="D10693" s="1" t="n">
        <v>0.86972</v>
      </c>
      <c r="E10693" s="1" t="n">
        <f aca="false">LN(D10693)</f>
        <v>-0.139583958215279</v>
      </c>
    </row>
    <row r="10694" customFormat="false" ht="15.75" hidden="false" customHeight="false" outlineLevel="0" collapsed="false">
      <c r="A10694" s="1" t="s">
        <v>1196</v>
      </c>
      <c r="B10694" s="1" t="n">
        <v>250.1</v>
      </c>
      <c r="C10694" s="1" t="n">
        <f aca="false">1/B10694</f>
        <v>0.0039984006397441</v>
      </c>
      <c r="D10694" s="1" t="n">
        <v>0.86243</v>
      </c>
      <c r="E10694" s="1" t="n">
        <f aca="false">LN(D10694)</f>
        <v>-0.148001292790516</v>
      </c>
    </row>
    <row r="10695" customFormat="false" ht="15.75" hidden="false" customHeight="false" outlineLevel="0" collapsed="false">
      <c r="A10695" s="1" t="s">
        <v>1196</v>
      </c>
      <c r="B10695" s="1" t="n">
        <v>250.55</v>
      </c>
      <c r="C10695" s="1" t="n">
        <f aca="false">1/B10695</f>
        <v>0.0039912193175015</v>
      </c>
      <c r="D10695" s="1" t="n">
        <v>0.85522</v>
      </c>
      <c r="E10695" s="1" t="n">
        <f aca="false">LN(D10695)</f>
        <v>-0.156396533202382</v>
      </c>
    </row>
    <row r="10696" customFormat="false" ht="15.75" hidden="false" customHeight="false" outlineLevel="0" collapsed="false">
      <c r="A10696" s="1" t="s">
        <v>1196</v>
      </c>
      <c r="B10696" s="1" t="n">
        <v>251</v>
      </c>
      <c r="C10696" s="1" t="n">
        <f aca="false">1/B10696</f>
        <v>0.00398406374501992</v>
      </c>
      <c r="D10696" s="1" t="n">
        <v>0.84809</v>
      </c>
      <c r="E10696" s="1" t="n">
        <f aca="false">LN(D10696)</f>
        <v>-0.164768516746373</v>
      </c>
    </row>
    <row r="10697" customFormat="false" ht="15.75" hidden="false" customHeight="false" outlineLevel="0" collapsed="false">
      <c r="A10697" s="1" t="s">
        <v>1196</v>
      </c>
      <c r="B10697" s="1" t="n">
        <v>251.45</v>
      </c>
      <c r="C10697" s="1" t="n">
        <f aca="false">1/B10697</f>
        <v>0.0039769337840525</v>
      </c>
      <c r="D10697" s="1" t="n">
        <v>0.84104</v>
      </c>
      <c r="E10697" s="1" t="n">
        <f aca="false">LN(D10697)</f>
        <v>-0.173116057714562</v>
      </c>
    </row>
    <row r="10698" customFormat="false" ht="15.75" hidden="false" customHeight="false" outlineLevel="0" collapsed="false">
      <c r="A10698" s="1" t="s">
        <v>1196</v>
      </c>
      <c r="B10698" s="1" t="n">
        <v>251.9</v>
      </c>
      <c r="C10698" s="1" t="n">
        <f aca="false">1/B10698</f>
        <v>0.00396982929734021</v>
      </c>
      <c r="D10698" s="1" t="n">
        <v>0.83407</v>
      </c>
      <c r="E10698" s="1" t="n">
        <f aca="false">LN(D10698)</f>
        <v>-0.181437947291838</v>
      </c>
    </row>
    <row r="10699" customFormat="false" ht="15.75" hidden="false" customHeight="false" outlineLevel="0" collapsed="false">
      <c r="A10699" s="1" t="s">
        <v>1196</v>
      </c>
      <c r="B10699" s="1" t="n">
        <v>252.35</v>
      </c>
      <c r="C10699" s="1" t="n">
        <f aca="false">1/B10699</f>
        <v>0.00396275014860313</v>
      </c>
      <c r="D10699" s="1" t="n">
        <v>0.82718</v>
      </c>
      <c r="E10699" s="1" t="n">
        <f aca="false">LN(D10699)</f>
        <v>-0.189732953469974</v>
      </c>
    </row>
    <row r="10700" customFormat="false" ht="15.75" hidden="false" customHeight="false" outlineLevel="0" collapsed="false">
      <c r="A10700" s="1" t="s">
        <v>1196</v>
      </c>
      <c r="B10700" s="1" t="n">
        <v>252.8</v>
      </c>
      <c r="C10700" s="1" t="n">
        <f aca="false">1/B10700</f>
        <v>0.00395569620253164</v>
      </c>
      <c r="D10700" s="1" t="n">
        <v>0.82037</v>
      </c>
      <c r="E10700" s="1" t="n">
        <f aca="false">LN(D10700)</f>
        <v>-0.197999820980555</v>
      </c>
    </row>
    <row r="10701" customFormat="false" ht="15.75" hidden="false" customHeight="false" outlineLevel="0" collapsed="false">
      <c r="A10701" s="1" t="s">
        <v>1196</v>
      </c>
      <c r="B10701" s="1" t="n">
        <v>253.25</v>
      </c>
      <c r="C10701" s="1" t="n">
        <f aca="false">1/B10701</f>
        <v>0.00394866732477789</v>
      </c>
      <c r="D10701" s="1" t="n">
        <v>0.81364</v>
      </c>
      <c r="E10701" s="1" t="n">
        <f aca="false">LN(D10701)</f>
        <v>-0.206237271247851</v>
      </c>
    </row>
    <row r="10702" customFormat="false" ht="15.75" hidden="false" customHeight="false" outlineLevel="0" collapsed="false">
      <c r="A10702" s="1" t="s">
        <v>1196</v>
      </c>
      <c r="B10702" s="1" t="n">
        <v>253.7</v>
      </c>
      <c r="C10702" s="1" t="n">
        <f aca="false">1/B10702</f>
        <v>0.00394166338194718</v>
      </c>
      <c r="D10702" s="1" t="n">
        <v>0.80698</v>
      </c>
      <c r="E10702" s="1" t="n">
        <f aca="false">LN(D10702)</f>
        <v>-0.214456394166755</v>
      </c>
    </row>
    <row r="10703" customFormat="false" ht="15.75" hidden="false" customHeight="false" outlineLevel="0" collapsed="false">
      <c r="A10703" s="1" t="s">
        <v>1196</v>
      </c>
      <c r="B10703" s="1" t="n">
        <v>254.15</v>
      </c>
      <c r="C10703" s="1" t="n">
        <f aca="false">1/B10703</f>
        <v>0.00393468424158961</v>
      </c>
      <c r="D10703" s="1" t="n">
        <v>0.8004</v>
      </c>
      <c r="E10703" s="1" t="n">
        <f aca="false">LN(D10703)</f>
        <v>-0.222643676272559</v>
      </c>
    </row>
    <row r="10704" customFormat="false" ht="15.75" hidden="false" customHeight="false" outlineLevel="0" collapsed="false">
      <c r="A10704" s="1" t="s">
        <v>1196</v>
      </c>
      <c r="B10704" s="1" t="n">
        <v>254.6</v>
      </c>
      <c r="C10704" s="1" t="n">
        <f aca="false">1/B10704</f>
        <v>0.00392772977219167</v>
      </c>
      <c r="D10704" s="1" t="n">
        <v>0.79389</v>
      </c>
      <c r="E10704" s="1" t="n">
        <f aca="false">LN(D10704)</f>
        <v>-0.230810366375242</v>
      </c>
    </row>
    <row r="10705" customFormat="false" ht="15.75" hidden="false" customHeight="false" outlineLevel="0" collapsed="false">
      <c r="A10705" s="1" t="s">
        <v>1196</v>
      </c>
      <c r="B10705" s="1" t="n">
        <v>255.05</v>
      </c>
      <c r="C10705" s="1" t="n">
        <f aca="false">1/B10705</f>
        <v>0.00392079984316801</v>
      </c>
      <c r="D10705" s="1" t="n">
        <v>0.78745</v>
      </c>
      <c r="E10705" s="1" t="n">
        <f aca="false">LN(D10705)</f>
        <v>-0.238955402361547</v>
      </c>
    </row>
    <row r="10706" customFormat="false" ht="15.75" hidden="false" customHeight="false" outlineLevel="0" collapsed="false">
      <c r="A10706" s="1" t="s">
        <v>1196</v>
      </c>
      <c r="B10706" s="1" t="n">
        <v>255.5</v>
      </c>
      <c r="C10706" s="1" t="n">
        <f aca="false">1/B10706</f>
        <v>0.00391389432485323</v>
      </c>
      <c r="D10706" s="1" t="n">
        <v>0.78109</v>
      </c>
      <c r="E10706" s="1" t="n">
        <f aca="false">LN(D10706)</f>
        <v>-0.24706489890591</v>
      </c>
    </row>
    <row r="10707" customFormat="false" ht="15.75" hidden="false" customHeight="false" outlineLevel="0" collapsed="false">
      <c r="A10707" s="1" t="s">
        <v>1196</v>
      </c>
      <c r="B10707" s="1" t="n">
        <v>255.95</v>
      </c>
      <c r="C10707" s="1" t="n">
        <f aca="false">1/B10707</f>
        <v>0.00390701308849385</v>
      </c>
      <c r="D10707" s="1" t="n">
        <v>0.77479</v>
      </c>
      <c r="E10707" s="1" t="n">
        <f aca="false">LN(D10707)</f>
        <v>-0.255163254089117</v>
      </c>
    </row>
    <row r="10708" customFormat="false" ht="15.75" hidden="false" customHeight="false" outlineLevel="0" collapsed="false">
      <c r="A10708" s="1" t="s">
        <v>1196</v>
      </c>
      <c r="B10708" s="1" t="n">
        <v>256.4</v>
      </c>
      <c r="C10708" s="1" t="n">
        <f aca="false">1/B10708</f>
        <v>0.00390015600624025</v>
      </c>
      <c r="D10708" s="1" t="n">
        <v>0.76857</v>
      </c>
      <c r="E10708" s="1" t="n">
        <f aca="false">LN(D10708)</f>
        <v>-0.263223633619407</v>
      </c>
    </row>
    <row r="10709" customFormat="false" ht="15.75" hidden="false" customHeight="false" outlineLevel="0" collapsed="false">
      <c r="A10709" s="1" t="s">
        <v>1196</v>
      </c>
      <c r="B10709" s="1" t="n">
        <v>256.85</v>
      </c>
      <c r="C10709" s="1" t="n">
        <f aca="false">1/B10709</f>
        <v>0.0038933229511388</v>
      </c>
      <c r="D10709" s="1" t="n">
        <v>0.76242</v>
      </c>
      <c r="E10709" s="1" t="n">
        <f aca="false">LN(D10709)</f>
        <v>-0.271257694037639</v>
      </c>
    </row>
    <row r="10710" customFormat="false" ht="15.75" hidden="false" customHeight="false" outlineLevel="0" collapsed="false">
      <c r="A10710" s="1" t="s">
        <v>1196</v>
      </c>
      <c r="B10710" s="1" t="n">
        <v>257.3</v>
      </c>
      <c r="C10710" s="1" t="n">
        <f aca="false">1/B10710</f>
        <v>0.00388651379712398</v>
      </c>
      <c r="D10710" s="1" t="n">
        <v>0.75633</v>
      </c>
      <c r="E10710" s="1" t="n">
        <f aca="false">LN(D10710)</f>
        <v>-0.279277490107971</v>
      </c>
    </row>
    <row r="10711" customFormat="false" ht="15.75" hidden="false" customHeight="false" outlineLevel="0" collapsed="false">
      <c r="A10711" s="1" t="s">
        <v>1196</v>
      </c>
      <c r="B10711" s="1" t="n">
        <v>257.75</v>
      </c>
      <c r="C10711" s="1" t="n">
        <f aca="false">1/B10711</f>
        <v>0.00387972841901067</v>
      </c>
      <c r="D10711" s="1" t="n">
        <v>0.75031</v>
      </c>
      <c r="E10711" s="1" t="n">
        <f aca="false">LN(D10711)</f>
        <v>-0.287268824517138</v>
      </c>
    </row>
    <row r="10712" customFormat="false" ht="15.75" hidden="false" customHeight="false" outlineLevel="0" collapsed="false">
      <c r="A10712" s="1" t="s">
        <v>1196</v>
      </c>
      <c r="B10712" s="1" t="n">
        <v>258.2</v>
      </c>
      <c r="C10712" s="1" t="n">
        <f aca="false">1/B10712</f>
        <v>0.00387296669248644</v>
      </c>
      <c r="D10712" s="1" t="n">
        <v>0.74436</v>
      </c>
      <c r="E10712" s="1" t="n">
        <f aca="false">LN(D10712)</f>
        <v>-0.295230490209111</v>
      </c>
    </row>
    <row r="10713" customFormat="false" ht="15.75" hidden="false" customHeight="false" outlineLevel="0" collapsed="false">
      <c r="A10713" s="1" t="s">
        <v>1196</v>
      </c>
      <c r="B10713" s="1" t="n">
        <v>258.65</v>
      </c>
      <c r="C10713" s="1" t="n">
        <f aca="false">1/B10713</f>
        <v>0.003866228494104</v>
      </c>
      <c r="D10713" s="1" t="n">
        <v>0.73847</v>
      </c>
      <c r="E10713" s="1" t="n">
        <f aca="false">LN(D10713)</f>
        <v>-0.303174800720059</v>
      </c>
    </row>
    <row r="10714" customFormat="false" ht="15.75" hidden="false" customHeight="false" outlineLevel="0" collapsed="false">
      <c r="A10714" s="1" t="s">
        <v>1196</v>
      </c>
      <c r="B10714" s="1" t="n">
        <v>259.1</v>
      </c>
      <c r="C10714" s="1" t="n">
        <f aca="false">1/B10714</f>
        <v>0.00385951370127364</v>
      </c>
      <c r="D10714" s="1" t="n">
        <v>0.73265</v>
      </c>
      <c r="E10714" s="1" t="n">
        <f aca="false">LN(D10714)</f>
        <v>-0.311087180898103</v>
      </c>
    </row>
    <row r="10715" customFormat="false" ht="15.75" hidden="false" customHeight="false" outlineLevel="0" collapsed="false">
      <c r="A10715" s="1" t="s">
        <v>1196</v>
      </c>
      <c r="B10715" s="1" t="n">
        <v>259.55</v>
      </c>
      <c r="C10715" s="1" t="n">
        <f aca="false">1/B10715</f>
        <v>0.00385282219225583</v>
      </c>
      <c r="D10715" s="1" t="n">
        <v>0.72689</v>
      </c>
      <c r="E10715" s="1" t="n">
        <f aca="false">LN(D10715)</f>
        <v>-0.318980119636665</v>
      </c>
    </row>
    <row r="10716" customFormat="false" ht="15.75" hidden="false" customHeight="false" outlineLevel="0" collapsed="false">
      <c r="A10716" s="1" t="s">
        <v>1196</v>
      </c>
      <c r="B10716" s="1" t="n">
        <v>260</v>
      </c>
      <c r="C10716" s="1" t="n">
        <f aca="false">1/B10716</f>
        <v>0.00384615384615385</v>
      </c>
      <c r="D10716" s="1" t="n">
        <v>0.72119</v>
      </c>
      <c r="E10716" s="1" t="n">
        <f aca="false">LN(D10716)</f>
        <v>-0.326852653528362</v>
      </c>
    </row>
    <row r="10717" customFormat="false" ht="15.75" hidden="false" customHeight="false" outlineLevel="0" collapsed="false">
      <c r="A10717" s="1" t="s">
        <v>1196</v>
      </c>
      <c r="B10717" s="1" t="n">
        <v>260.45</v>
      </c>
      <c r="C10717" s="1" t="n">
        <f aca="false">1/B10717</f>
        <v>0.00383950854290651</v>
      </c>
      <c r="D10717" s="1" t="n">
        <v>0.71556</v>
      </c>
      <c r="E10717" s="1" t="n">
        <f aca="false">LN(D10717)</f>
        <v>-0.334689826059122</v>
      </c>
    </row>
    <row r="10718" customFormat="false" ht="15.75" hidden="false" customHeight="false" outlineLevel="0" collapsed="false">
      <c r="A10718" s="1" t="s">
        <v>1196</v>
      </c>
      <c r="B10718" s="1" t="n">
        <v>260.9</v>
      </c>
      <c r="C10718" s="1" t="n">
        <f aca="false">1/B10718</f>
        <v>0.00383288616328095</v>
      </c>
      <c r="D10718" s="1" t="n">
        <v>0.70999</v>
      </c>
      <c r="E10718" s="1" t="n">
        <f aca="false">LN(D10718)</f>
        <v>-0.342504393553006</v>
      </c>
    </row>
    <row r="10719" customFormat="false" ht="15.75" hidden="false" customHeight="false" outlineLevel="0" collapsed="false">
      <c r="A10719" s="1" t="s">
        <v>1196</v>
      </c>
      <c r="B10719" s="1" t="n">
        <v>261.35</v>
      </c>
      <c r="C10719" s="1" t="n">
        <f aca="false">1/B10719</f>
        <v>0.00382628658886551</v>
      </c>
      <c r="D10719" s="1" t="n">
        <v>0.70448</v>
      </c>
      <c r="E10719" s="1" t="n">
        <f aca="false">LN(D10719)</f>
        <v>-0.350295336974693</v>
      </c>
    </row>
    <row r="10720" customFormat="false" ht="15.75" hidden="false" customHeight="false" outlineLevel="0" collapsed="false">
      <c r="A10720" s="1" t="s">
        <v>1196</v>
      </c>
      <c r="B10720" s="1" t="n">
        <v>261.8</v>
      </c>
      <c r="C10720" s="1" t="n">
        <f aca="false">1/B10720</f>
        <v>0.00381970970206264</v>
      </c>
      <c r="D10720" s="1" t="n">
        <v>0.69902</v>
      </c>
      <c r="E10720" s="1" t="n">
        <f aca="false">LN(D10720)</f>
        <v>-0.358075924854361</v>
      </c>
    </row>
    <row r="10721" customFormat="false" ht="15.75" hidden="false" customHeight="false" outlineLevel="0" collapsed="false">
      <c r="A10721" s="1" t="s">
        <v>1196</v>
      </c>
      <c r="B10721" s="1" t="n">
        <v>262.25</v>
      </c>
      <c r="C10721" s="1" t="n">
        <f aca="false">1/B10721</f>
        <v>0.00381315538608198</v>
      </c>
      <c r="D10721" s="1" t="n">
        <v>0.69363</v>
      </c>
      <c r="E10721" s="1" t="n">
        <f aca="false">LN(D10721)</f>
        <v>-0.365816601856016</v>
      </c>
    </row>
    <row r="10722" customFormat="false" ht="15.75" hidden="false" customHeight="false" outlineLevel="0" collapsed="false">
      <c r="A10722" s="1" t="s">
        <v>1196</v>
      </c>
      <c r="B10722" s="1" t="n">
        <v>262.7</v>
      </c>
      <c r="C10722" s="1" t="n">
        <f aca="false">1/B10722</f>
        <v>0.00380662352493338</v>
      </c>
      <c r="D10722" s="1" t="n">
        <v>0.6883</v>
      </c>
      <c r="E10722" s="1" t="n">
        <f aca="false">LN(D10722)</f>
        <v>-0.373530489577819</v>
      </c>
    </row>
    <row r="10723" customFormat="false" ht="15.75" hidden="false" customHeight="false" outlineLevel="0" collapsed="false">
      <c r="A10723" s="1" t="s">
        <v>1196</v>
      </c>
      <c r="B10723" s="1" t="n">
        <v>263.15</v>
      </c>
      <c r="C10723" s="1" t="n">
        <f aca="false">1/B10723</f>
        <v>0.0038001140034201</v>
      </c>
      <c r="D10723" s="1" t="n">
        <v>0.68302</v>
      </c>
      <c r="E10723" s="1" t="n">
        <f aca="false">LN(D10723)</f>
        <v>-0.381231137263207</v>
      </c>
    </row>
    <row r="10724" customFormat="false" ht="15.75" hidden="false" customHeight="false" outlineLevel="0" collapsed="false">
      <c r="A10724" s="1" t="s">
        <v>1196</v>
      </c>
      <c r="B10724" s="1" t="n">
        <v>263.6</v>
      </c>
      <c r="C10724" s="1" t="n">
        <f aca="false">1/B10724</f>
        <v>0.00379362670713202</v>
      </c>
      <c r="D10724" s="1" t="n">
        <v>0.6778</v>
      </c>
      <c r="E10724" s="1" t="n">
        <f aca="false">LN(D10724)</f>
        <v>-0.388903019809186</v>
      </c>
    </row>
    <row r="10725" customFormat="false" ht="15.75" hidden="false" customHeight="false" outlineLevel="0" collapsed="false">
      <c r="A10725" s="1" t="s">
        <v>1196</v>
      </c>
      <c r="B10725" s="1" t="n">
        <v>264.05</v>
      </c>
      <c r="C10725" s="1" t="n">
        <f aca="false">1/B10725</f>
        <v>0.00378716152243893</v>
      </c>
      <c r="D10725" s="1" t="n">
        <v>0.67263</v>
      </c>
      <c r="E10725" s="1" t="n">
        <f aca="false">LN(D10725)</f>
        <v>-0.396559877637647</v>
      </c>
    </row>
    <row r="10726" customFormat="false" ht="15.75" hidden="false" customHeight="false" outlineLevel="0" collapsed="false">
      <c r="A10726" s="1" t="s">
        <v>1196</v>
      </c>
      <c r="B10726" s="1" t="n">
        <v>264.5</v>
      </c>
      <c r="C10726" s="1" t="n">
        <f aca="false">1/B10726</f>
        <v>0.00378071833648393</v>
      </c>
      <c r="D10726" s="1" t="n">
        <v>0.66753</v>
      </c>
      <c r="E10726" s="1" t="n">
        <f aca="false">LN(D10726)</f>
        <v>-0.404170945897451</v>
      </c>
    </row>
    <row r="10727" customFormat="false" ht="15.75" hidden="false" customHeight="false" outlineLevel="0" collapsed="false">
      <c r="A10727" s="1" t="s">
        <v>1196</v>
      </c>
      <c r="B10727" s="1" t="n">
        <v>264.95</v>
      </c>
      <c r="C10727" s="1" t="n">
        <f aca="false">1/B10727</f>
        <v>0.00377429703717683</v>
      </c>
      <c r="D10727" s="1" t="n">
        <v>0.66247</v>
      </c>
      <c r="E10727" s="1" t="n">
        <f aca="false">LN(D10727)</f>
        <v>-0.411780005165935</v>
      </c>
    </row>
    <row r="10728" customFormat="false" ht="15.75" hidden="false" customHeight="false" outlineLevel="0" collapsed="false">
      <c r="A10728" s="1" t="s">
        <v>1196</v>
      </c>
      <c r="B10728" s="1" t="n">
        <v>265.4</v>
      </c>
      <c r="C10728" s="1" t="n">
        <f aca="false">1/B10728</f>
        <v>0.00376789751318764</v>
      </c>
      <c r="D10728" s="1" t="n">
        <v>0.65747</v>
      </c>
      <c r="E10728" s="1" t="n">
        <f aca="false">LN(D10728)</f>
        <v>-0.419356143347604</v>
      </c>
    </row>
    <row r="10729" customFormat="false" ht="15.75" hidden="false" customHeight="false" outlineLevel="0" collapsed="false">
      <c r="A10729" s="1" t="s">
        <v>1196</v>
      </c>
      <c r="B10729" s="1" t="n">
        <v>265.85</v>
      </c>
      <c r="C10729" s="1" t="n">
        <f aca="false">1/B10729</f>
        <v>0.00376151965394019</v>
      </c>
      <c r="D10729" s="1" t="n">
        <v>0.65252</v>
      </c>
      <c r="E10729" s="1" t="n">
        <f aca="false">LN(D10729)</f>
        <v>-0.426913488914035</v>
      </c>
    </row>
    <row r="10730" customFormat="false" ht="15.75" hidden="false" customHeight="false" outlineLevel="0" collapsed="false">
      <c r="A10730" s="1" t="s">
        <v>1196</v>
      </c>
      <c r="B10730" s="1" t="n">
        <v>266.3</v>
      </c>
      <c r="C10730" s="1" t="n">
        <f aca="false">1/B10730</f>
        <v>0.00375516334960571</v>
      </c>
      <c r="D10730" s="1" t="n">
        <v>0.64763</v>
      </c>
      <c r="E10730" s="1" t="n">
        <f aca="false">LN(D10730)</f>
        <v>-0.434435733359713</v>
      </c>
    </row>
    <row r="10731" customFormat="false" ht="15.75" hidden="false" customHeight="false" outlineLevel="0" collapsed="false">
      <c r="A10731" s="1" t="s">
        <v>1196</v>
      </c>
      <c r="B10731" s="1" t="n">
        <v>266.75</v>
      </c>
      <c r="C10731" s="1" t="n">
        <f aca="false">1/B10731</f>
        <v>0.00374882849109653</v>
      </c>
      <c r="D10731" s="1" t="n">
        <v>0.64278</v>
      </c>
      <c r="E10731" s="1" t="n">
        <f aca="false">LN(D10731)</f>
        <v>-0.441952759479615</v>
      </c>
    </row>
    <row r="10732" customFormat="false" ht="15.75" hidden="false" customHeight="false" outlineLevel="0" collapsed="false">
      <c r="A10732" s="1" t="s">
        <v>1196</v>
      </c>
      <c r="B10732" s="1" t="n">
        <v>267.2</v>
      </c>
      <c r="C10732" s="1" t="n">
        <f aca="false">1/B10732</f>
        <v>0.00374251497005988</v>
      </c>
      <c r="D10732" s="1" t="n">
        <v>0.63799</v>
      </c>
      <c r="E10732" s="1" t="n">
        <f aca="false">LN(D10732)</f>
        <v>-0.449432669741377</v>
      </c>
    </row>
    <row r="10733" customFormat="false" ht="15.75" hidden="false" customHeight="false" outlineLevel="0" collapsed="false">
      <c r="A10733" s="1" t="s">
        <v>1196</v>
      </c>
      <c r="B10733" s="1" t="n">
        <v>267.65</v>
      </c>
      <c r="C10733" s="1" t="n">
        <f aca="false">1/B10733</f>
        <v>0.00373622267887166</v>
      </c>
      <c r="D10733" s="1" t="n">
        <v>0.63325</v>
      </c>
      <c r="E10733" s="1" t="n">
        <f aca="false">LN(D10733)</f>
        <v>-0.456889990100352</v>
      </c>
    </row>
    <row r="10734" customFormat="false" ht="15.75" hidden="false" customHeight="false" outlineLevel="0" collapsed="false">
      <c r="A10734" s="1" t="s">
        <v>1196</v>
      </c>
      <c r="B10734" s="1" t="n">
        <v>268.1</v>
      </c>
      <c r="C10734" s="1" t="n">
        <f aca="false">1/B10734</f>
        <v>0.00372995151063036</v>
      </c>
      <c r="D10734" s="1" t="n">
        <v>0.62855</v>
      </c>
      <c r="E10734" s="1" t="n">
        <f aca="false">LN(D10734)</f>
        <v>-0.464339699621297</v>
      </c>
    </row>
    <row r="10735" customFormat="false" ht="15.75" hidden="false" customHeight="false" outlineLevel="0" collapsed="false">
      <c r="A10735" s="1" t="s">
        <v>1196</v>
      </c>
      <c r="B10735" s="1" t="n">
        <v>268.55</v>
      </c>
      <c r="C10735" s="1" t="n">
        <f aca="false">1/B10735</f>
        <v>0.003723701359151</v>
      </c>
      <c r="D10735" s="1" t="n">
        <v>0.62391</v>
      </c>
      <c r="E10735" s="1" t="n">
        <f aca="false">LN(D10735)</f>
        <v>-0.471749151784198</v>
      </c>
    </row>
    <row r="10736" customFormat="false" ht="15.75" hidden="false" customHeight="false" outlineLevel="0" collapsed="false">
      <c r="A10736" s="1" t="s">
        <v>1196</v>
      </c>
      <c r="B10736" s="1" t="n">
        <v>269</v>
      </c>
      <c r="C10736" s="1" t="n">
        <f aca="false">1/B10736</f>
        <v>0.00371747211895911</v>
      </c>
      <c r="D10736" s="1" t="n">
        <v>0.61932</v>
      </c>
      <c r="E10736" s="1" t="n">
        <f aca="false">LN(D10736)</f>
        <v>-0.479133177033501</v>
      </c>
    </row>
    <row r="10737" customFormat="false" ht="15.75" hidden="false" customHeight="false" outlineLevel="0" collapsed="false">
      <c r="A10737" s="1" t="s">
        <v>1196</v>
      </c>
      <c r="B10737" s="1" t="n">
        <v>269.45</v>
      </c>
      <c r="C10737" s="1" t="n">
        <f aca="false">1/B10737</f>
        <v>0.00371126368528484</v>
      </c>
      <c r="D10737" s="1" t="n">
        <v>0.61477</v>
      </c>
      <c r="E10737" s="1" t="n">
        <f aca="false">LN(D10737)</f>
        <v>-0.486507064864816</v>
      </c>
    </row>
    <row r="10738" customFormat="false" ht="15.75" hidden="false" customHeight="false" outlineLevel="0" collapsed="false">
      <c r="A10738" s="1" t="s">
        <v>1196</v>
      </c>
      <c r="B10738" s="1" t="n">
        <v>269.9</v>
      </c>
      <c r="C10738" s="1" t="n">
        <f aca="false">1/B10738</f>
        <v>0.00370507595405706</v>
      </c>
      <c r="D10738" s="1" t="n">
        <v>0.61027</v>
      </c>
      <c r="E10738" s="1" t="n">
        <f aca="false">LN(D10738)</f>
        <v>-0.493853796792603</v>
      </c>
    </row>
    <row r="10739" customFormat="false" ht="15.75" hidden="false" customHeight="false" outlineLevel="0" collapsed="false">
      <c r="A10739" s="1" t="s">
        <v>1196</v>
      </c>
      <c r="B10739" s="1" t="n">
        <v>270.35</v>
      </c>
      <c r="C10739" s="1" t="n">
        <f aca="false">1/B10739</f>
        <v>0.00369890882189754</v>
      </c>
      <c r="D10739" s="1" t="n">
        <v>0.60581</v>
      </c>
      <c r="E10739" s="1" t="n">
        <f aca="false">LN(D10739)</f>
        <v>-0.501188873427189</v>
      </c>
    </row>
    <row r="10740" customFormat="false" ht="15.75" hidden="false" customHeight="false" outlineLevel="0" collapsed="false">
      <c r="A10740" s="1" t="s">
        <v>1196</v>
      </c>
      <c r="B10740" s="1" t="n">
        <v>270.8</v>
      </c>
      <c r="C10740" s="1" t="n">
        <f aca="false">1/B10740</f>
        <v>0.00369276218611521</v>
      </c>
      <c r="D10740" s="1" t="n">
        <v>0.60141</v>
      </c>
      <c r="E10740" s="1" t="n">
        <f aca="false">LN(D10740)</f>
        <v>-0.508478380697643</v>
      </c>
    </row>
    <row r="10741" customFormat="false" ht="15.75" hidden="false" customHeight="false" outlineLevel="0" collapsed="false">
      <c r="A10741" s="1" t="s">
        <v>1196</v>
      </c>
      <c r="B10741" s="1" t="n">
        <v>271.25</v>
      </c>
      <c r="C10741" s="1" t="n">
        <f aca="false">1/B10741</f>
        <v>0.00368663594470046</v>
      </c>
      <c r="D10741" s="1" t="n">
        <v>0.59704</v>
      </c>
      <c r="E10741" s="1" t="n">
        <f aca="false">LN(D10741)</f>
        <v>-0.515771166159005</v>
      </c>
    </row>
    <row r="10742" customFormat="false" ht="15.75" hidden="false" customHeight="false" outlineLevel="0" collapsed="false">
      <c r="A10742" s="1" t="s">
        <v>1196</v>
      </c>
      <c r="B10742" s="1" t="n">
        <v>271.7</v>
      </c>
      <c r="C10742" s="1" t="n">
        <f aca="false">1/B10742</f>
        <v>0.00368052999631947</v>
      </c>
      <c r="D10742" s="1" t="n">
        <v>0.59273</v>
      </c>
      <c r="E10742" s="1" t="n">
        <f aca="false">LN(D10742)</f>
        <v>-0.523016295643401</v>
      </c>
    </row>
    <row r="10743" customFormat="false" ht="15.75" hidden="false" customHeight="false" outlineLevel="0" collapsed="false">
      <c r="A10743" s="1" t="s">
        <v>1196</v>
      </c>
      <c r="B10743" s="1" t="n">
        <v>272.15</v>
      </c>
      <c r="C10743" s="1" t="n">
        <f aca="false">1/B10743</f>
        <v>0.00367444424030865</v>
      </c>
      <c r="D10743" s="1" t="n">
        <v>0.58845</v>
      </c>
      <c r="E10743" s="1" t="n">
        <f aca="false">LN(D10743)</f>
        <v>-0.530263317658466</v>
      </c>
    </row>
    <row r="10744" customFormat="false" ht="15.75" hidden="false" customHeight="false" outlineLevel="0" collapsed="false">
      <c r="A10744" s="1" t="s">
        <v>1196</v>
      </c>
      <c r="B10744" s="1" t="n">
        <v>272.6</v>
      </c>
      <c r="C10744" s="1" t="n">
        <f aca="false">1/B10744</f>
        <v>0.00366837857666911</v>
      </c>
      <c r="D10744" s="1" t="n">
        <v>0.58423</v>
      </c>
      <c r="E10744" s="1" t="n">
        <f aca="false">LN(D10744)</f>
        <v>-0.537460538070362</v>
      </c>
    </row>
    <row r="10745" customFormat="false" ht="15.75" hidden="false" customHeight="false" outlineLevel="0" collapsed="false">
      <c r="A10745" s="1" t="s">
        <v>1196</v>
      </c>
      <c r="B10745" s="1" t="n">
        <v>273.05</v>
      </c>
      <c r="C10745" s="1" t="n">
        <f aca="false">1/B10745</f>
        <v>0.00366233290606116</v>
      </c>
      <c r="D10745" s="1" t="n">
        <v>0.58004</v>
      </c>
      <c r="E10745" s="1" t="n">
        <f aca="false">LN(D10745)</f>
        <v>-0.544658212302443</v>
      </c>
    </row>
    <row r="10746" customFormat="false" ht="15.75" hidden="false" customHeight="false" outlineLevel="0" collapsed="false">
      <c r="A10746" s="1" t="s">
        <v>1196</v>
      </c>
      <c r="B10746" s="1" t="n">
        <v>273.5</v>
      </c>
      <c r="C10746" s="1" t="n">
        <f aca="false">1/B10746</f>
        <v>0.0036563071297989</v>
      </c>
      <c r="D10746" s="1" t="n">
        <v>0.57589</v>
      </c>
      <c r="E10746" s="1" t="n">
        <f aca="false">LN(D10746)</f>
        <v>-0.551838608745985</v>
      </c>
    </row>
    <row r="10747" customFormat="false" ht="15.75" hidden="false" customHeight="false" outlineLevel="0" collapsed="false">
      <c r="A10747" s="1" t="s">
        <v>1196</v>
      </c>
      <c r="B10747" s="1" t="n">
        <v>273.95</v>
      </c>
      <c r="C10747" s="1" t="n">
        <f aca="false">1/B10747</f>
        <v>0.00365030114984486</v>
      </c>
      <c r="D10747" s="1" t="n">
        <v>0.57179</v>
      </c>
      <c r="E10747" s="1" t="n">
        <f aca="false">LN(D10747)</f>
        <v>-0.558983487879242</v>
      </c>
    </row>
    <row r="10748" customFormat="false" ht="15.75" hidden="false" customHeight="false" outlineLevel="0" collapsed="false">
      <c r="A10748" s="1" t="s">
        <v>1196</v>
      </c>
      <c r="B10748" s="1" t="n">
        <v>274.4</v>
      </c>
      <c r="C10748" s="1" t="n">
        <f aca="false">1/B10748</f>
        <v>0.00364431486880466</v>
      </c>
      <c r="D10748" s="1" t="n">
        <v>0.56773</v>
      </c>
      <c r="E10748" s="1" t="n">
        <f aca="false">LN(D10748)</f>
        <v>-0.566109325389294</v>
      </c>
    </row>
    <row r="10749" customFormat="false" ht="15.75" hidden="false" customHeight="false" outlineLevel="0" collapsed="false">
      <c r="A10749" s="1" t="s">
        <v>1196</v>
      </c>
      <c r="B10749" s="1" t="n">
        <v>274.85</v>
      </c>
      <c r="C10749" s="1" t="n">
        <f aca="false">1/B10749</f>
        <v>0.00363834818992178</v>
      </c>
      <c r="D10749" s="1" t="n">
        <v>0.56371</v>
      </c>
      <c r="E10749" s="1" t="n">
        <f aca="false">LN(D10749)</f>
        <v>-0.57321534411937</v>
      </c>
    </row>
    <row r="10750" customFormat="false" ht="15.75" hidden="false" customHeight="false" outlineLevel="0" collapsed="false">
      <c r="A10750" s="1" t="s">
        <v>1196</v>
      </c>
      <c r="B10750" s="1" t="n">
        <v>275.3</v>
      </c>
      <c r="C10750" s="1" t="n">
        <f aca="false">1/B10750</f>
        <v>0.00363240101707228</v>
      </c>
      <c r="D10750" s="1" t="n">
        <v>0.55973</v>
      </c>
      <c r="E10750" s="1" t="n">
        <f aca="false">LN(D10750)</f>
        <v>-0.580300754378326</v>
      </c>
    </row>
    <row r="10751" customFormat="false" ht="15.75" hidden="false" customHeight="false" outlineLevel="0" collapsed="false">
      <c r="A10751" s="1" t="s">
        <v>1196</v>
      </c>
      <c r="B10751" s="1" t="n">
        <v>275.75</v>
      </c>
      <c r="C10751" s="1" t="n">
        <f aca="false">1/B10751</f>
        <v>0.00362647325475975</v>
      </c>
      <c r="D10751" s="1" t="n">
        <v>0.5558</v>
      </c>
      <c r="E10751" s="1" t="n">
        <f aca="false">LN(D10751)</f>
        <v>-0.587346761673734</v>
      </c>
    </row>
    <row r="10752" customFormat="false" ht="15.75" hidden="false" customHeight="false" outlineLevel="0" collapsed="false">
      <c r="A10752" s="1" t="s">
        <v>1196</v>
      </c>
      <c r="B10752" s="1" t="n">
        <v>276.2</v>
      </c>
      <c r="C10752" s="1" t="n">
        <f aca="false">1/B10752</f>
        <v>0.00362056480811006</v>
      </c>
      <c r="D10752" s="1" t="n">
        <v>0.5519</v>
      </c>
      <c r="E10752" s="1" t="n">
        <f aca="false">LN(D10752)</f>
        <v>-0.594388408536682</v>
      </c>
    </row>
    <row r="10753" customFormat="false" ht="15.75" hidden="false" customHeight="false" outlineLevel="0" collapsed="false">
      <c r="A10753" s="1" t="s">
        <v>1196</v>
      </c>
      <c r="B10753" s="1" t="n">
        <v>276.65</v>
      </c>
      <c r="C10753" s="1" t="n">
        <f aca="false">1/B10753</f>
        <v>0.00361467558286644</v>
      </c>
      <c r="D10753" s="1" t="n">
        <v>0.54803</v>
      </c>
      <c r="E10753" s="1" t="n">
        <f aca="false">LN(D10753)</f>
        <v>-0.601425249007001</v>
      </c>
    </row>
    <row r="10754" customFormat="false" ht="15.75" hidden="false" customHeight="false" outlineLevel="0" collapsed="false">
      <c r="A10754" s="1" t="s">
        <v>1196</v>
      </c>
      <c r="B10754" s="1" t="n">
        <v>277.1</v>
      </c>
      <c r="C10754" s="1" t="n">
        <f aca="false">1/B10754</f>
        <v>0.00360880548538434</v>
      </c>
      <c r="D10754" s="1" t="n">
        <v>0.54421</v>
      </c>
      <c r="E10754" s="1" t="n">
        <f aca="false">LN(D10754)</f>
        <v>-0.608420077204613</v>
      </c>
    </row>
    <row r="10755" customFormat="false" ht="15.75" hidden="false" customHeight="false" outlineLevel="0" collapsed="false">
      <c r="A10755" s="1" t="s">
        <v>1196</v>
      </c>
      <c r="B10755" s="1" t="n">
        <v>277.55</v>
      </c>
      <c r="C10755" s="1" t="n">
        <f aca="false">1/B10755</f>
        <v>0.00360295442262655</v>
      </c>
      <c r="D10755" s="1" t="n">
        <v>0.54043</v>
      </c>
      <c r="E10755" s="1" t="n">
        <f aca="false">LN(D10755)</f>
        <v>-0.61539016000321</v>
      </c>
    </row>
    <row r="10756" customFormat="false" ht="15.75" hidden="false" customHeight="false" outlineLevel="0" collapsed="false">
      <c r="A10756" s="1" t="s">
        <v>1196</v>
      </c>
      <c r="B10756" s="1" t="n">
        <v>278</v>
      </c>
      <c r="C10756" s="1" t="n">
        <f aca="false">1/B10756</f>
        <v>0.00359712230215827</v>
      </c>
      <c r="D10756" s="1" t="n">
        <v>0.53668</v>
      </c>
      <c r="E10756" s="1" t="n">
        <f aca="false">LN(D10756)</f>
        <v>-0.622353265259866</v>
      </c>
    </row>
    <row r="10757" customFormat="false" ht="15.75" hidden="false" customHeight="false" outlineLevel="0" collapsed="false">
      <c r="A10757" s="1" t="s">
        <v>1196</v>
      </c>
      <c r="B10757" s="1" t="n">
        <v>278.45</v>
      </c>
      <c r="C10757" s="1" t="n">
        <f aca="false">1/B10757</f>
        <v>0.00359130903214222</v>
      </c>
      <c r="D10757" s="1" t="n">
        <v>0.53297</v>
      </c>
      <c r="E10757" s="1" t="n">
        <f aca="false">LN(D10757)</f>
        <v>-0.629290141578599</v>
      </c>
    </row>
    <row r="10758" customFormat="false" ht="15.75" hidden="false" customHeight="false" outlineLevel="0" collapsed="false">
      <c r="A10758" s="1" t="s">
        <v>1196</v>
      </c>
      <c r="B10758" s="1" t="n">
        <v>278.9</v>
      </c>
      <c r="C10758" s="1" t="n">
        <f aca="false">1/B10758</f>
        <v>0.00358551452133381</v>
      </c>
      <c r="D10758" s="1" t="n">
        <v>0.5293</v>
      </c>
      <c r="E10758" s="1" t="n">
        <f aca="false">LN(D10758)</f>
        <v>-0.636199900118195</v>
      </c>
    </row>
    <row r="10759" customFormat="false" ht="15.75" hidden="false" customHeight="false" outlineLevel="0" collapsed="false">
      <c r="A10759" s="1" t="s">
        <v>1196</v>
      </c>
      <c r="B10759" s="1" t="n">
        <v>279.35</v>
      </c>
      <c r="C10759" s="1" t="n">
        <f aca="false">1/B10759</f>
        <v>0.00357973867907643</v>
      </c>
      <c r="D10759" s="1" t="n">
        <v>0.52566</v>
      </c>
      <c r="E10759" s="1" t="n">
        <f aca="false">LN(D10759)</f>
        <v>-0.64310066307581</v>
      </c>
    </row>
    <row r="10760" customFormat="false" ht="15.75" hidden="false" customHeight="false" outlineLevel="0" collapsed="false">
      <c r="A10760" s="1" t="s">
        <v>1196</v>
      </c>
      <c r="B10760" s="1" t="n">
        <v>279.8</v>
      </c>
      <c r="C10760" s="1" t="n">
        <f aca="false">1/B10760</f>
        <v>0.00357398141529664</v>
      </c>
      <c r="D10760" s="1" t="n">
        <v>0.52206</v>
      </c>
      <c r="E10760" s="1" t="n">
        <f aca="false">LN(D10760)</f>
        <v>-0.649972755176149</v>
      </c>
    </row>
    <row r="10761" customFormat="false" ht="15.75" hidden="false" customHeight="false" outlineLevel="0" collapsed="false">
      <c r="A10761" s="1" t="s">
        <v>1196</v>
      </c>
      <c r="B10761" s="1" t="n">
        <v>280.25</v>
      </c>
      <c r="C10761" s="1" t="n">
        <f aca="false">1/B10761</f>
        <v>0.00356824264049955</v>
      </c>
      <c r="D10761" s="1" t="n">
        <v>0.51849</v>
      </c>
      <c r="E10761" s="1" t="n">
        <f aca="false">LN(D10761)</f>
        <v>-0.656834537901626</v>
      </c>
    </row>
    <row r="10762" customFormat="false" ht="15.75" hidden="false" customHeight="false" outlineLevel="0" collapsed="false">
      <c r="A10762" s="1" t="s">
        <v>1196</v>
      </c>
      <c r="B10762" s="1" t="n">
        <v>280.7</v>
      </c>
      <c r="C10762" s="1" t="n">
        <f aca="false">1/B10762</f>
        <v>0.00356252226576416</v>
      </c>
      <c r="D10762" s="1" t="n">
        <v>0.51496</v>
      </c>
      <c r="E10762" s="1" t="n">
        <f aca="false">LN(D10762)</f>
        <v>-0.663666051237777</v>
      </c>
    </row>
    <row r="10763" customFormat="false" ht="15.75" hidden="false" customHeight="false" outlineLevel="0" collapsed="false">
      <c r="A10763" s="1" t="s">
        <v>1196</v>
      </c>
      <c r="B10763" s="1" t="n">
        <v>281.15</v>
      </c>
      <c r="C10763" s="1" t="n">
        <f aca="false">1/B10763</f>
        <v>0.00355682020273875</v>
      </c>
      <c r="D10763" s="1" t="n">
        <v>0.51146</v>
      </c>
      <c r="E10763" s="1" t="n">
        <f aca="false">LN(D10763)</f>
        <v>-0.670485898016866</v>
      </c>
    </row>
    <row r="10764" customFormat="false" ht="15.75" hidden="false" customHeight="false" outlineLevel="0" collapsed="false">
      <c r="A10764" s="1" t="s">
        <v>1196</v>
      </c>
      <c r="B10764" s="1" t="n">
        <v>281.6</v>
      </c>
      <c r="C10764" s="1" t="n">
        <f aca="false">1/B10764</f>
        <v>0.00355113636363636</v>
      </c>
      <c r="D10764" s="1" t="n">
        <v>0.50799</v>
      </c>
      <c r="E10764" s="1" t="n">
        <f aca="false">LN(D10764)</f>
        <v>-0.677293516636778</v>
      </c>
    </row>
    <row r="10765" customFormat="false" ht="15.75" hidden="false" customHeight="false" outlineLevel="0" collapsed="false">
      <c r="A10765" s="1" t="s">
        <v>1196</v>
      </c>
      <c r="B10765" s="1" t="n">
        <v>282.05</v>
      </c>
      <c r="C10765" s="1" t="n">
        <f aca="false">1/B10765</f>
        <v>0.00354547066123028</v>
      </c>
      <c r="D10765" s="1" t="n">
        <v>0.50456</v>
      </c>
      <c r="E10765" s="1" t="n">
        <f aca="false">LN(D10765)</f>
        <v>-0.684068516626741</v>
      </c>
    </row>
    <row r="10766" customFormat="false" ht="15.75" hidden="false" customHeight="false" outlineLevel="0" collapsed="false">
      <c r="A10766" s="1" t="s">
        <v>1196</v>
      </c>
      <c r="B10766" s="1" t="n">
        <v>282.5</v>
      </c>
      <c r="C10766" s="1" t="n">
        <f aca="false">1/B10766</f>
        <v>0.00353982300884956</v>
      </c>
      <c r="D10766" s="1" t="n">
        <v>0.50116</v>
      </c>
      <c r="E10766" s="1" t="n">
        <f aca="false">LN(D10766)</f>
        <v>-0.690829867604785</v>
      </c>
    </row>
    <row r="10767" customFormat="false" ht="15.75" hidden="false" customHeight="false" outlineLevel="0" collapsed="false">
      <c r="A10767" s="1" t="s">
        <v>1196</v>
      </c>
      <c r="B10767" s="1" t="n">
        <v>282.95</v>
      </c>
      <c r="C10767" s="1" t="n">
        <f aca="false">1/B10767</f>
        <v>0.00353419332037462</v>
      </c>
      <c r="D10767" s="1" t="n">
        <v>0.4978</v>
      </c>
      <c r="E10767" s="1" t="n">
        <f aca="false">LN(D10767)</f>
        <v>-0.697556889048645</v>
      </c>
    </row>
    <row r="10768" customFormat="false" ht="15.75" hidden="false" customHeight="false" outlineLevel="0" collapsed="false">
      <c r="A10768" s="1" t="s">
        <v>1196</v>
      </c>
      <c r="B10768" s="1" t="n">
        <v>283.4</v>
      </c>
      <c r="C10768" s="1" t="n">
        <f aca="false">1/B10768</f>
        <v>0.00352858151023289</v>
      </c>
      <c r="D10768" s="1" t="n">
        <v>0.49446</v>
      </c>
      <c r="E10768" s="1" t="n">
        <f aca="false">LN(D10768)</f>
        <v>-0.70428902097879</v>
      </c>
    </row>
    <row r="10769" customFormat="false" ht="15.75" hidden="false" customHeight="false" outlineLevel="0" collapsed="false">
      <c r="A10769" s="1" t="s">
        <v>1196</v>
      </c>
      <c r="B10769" s="1" t="n">
        <v>283.85</v>
      </c>
      <c r="C10769" s="1" t="n">
        <f aca="false">1/B10769</f>
        <v>0.0035229874933944</v>
      </c>
      <c r="D10769" s="1" t="n">
        <v>0.49116</v>
      </c>
      <c r="E10769" s="1" t="n">
        <f aca="false">LN(D10769)</f>
        <v>-0.710985338689825</v>
      </c>
    </row>
    <row r="10770" customFormat="false" ht="15.75" hidden="false" customHeight="false" outlineLevel="0" collapsed="false">
      <c r="A10770" s="1" t="s">
        <v>1196</v>
      </c>
      <c r="B10770" s="1" t="n">
        <v>284.3</v>
      </c>
      <c r="C10770" s="1" t="n">
        <f aca="false">1/B10770</f>
        <v>0.00351741118536757</v>
      </c>
      <c r="D10770" s="1" t="n">
        <v>0.48789</v>
      </c>
      <c r="E10770" s="1" t="n">
        <f aca="false">LN(D10770)</f>
        <v>-0.717665308373671</v>
      </c>
    </row>
    <row r="10771" customFormat="false" ht="15.75" hidden="false" customHeight="false" outlineLevel="0" collapsed="false">
      <c r="A10771" s="1" t="s">
        <v>1196</v>
      </c>
      <c r="B10771" s="1" t="n">
        <v>284.75</v>
      </c>
      <c r="C10771" s="1" t="n">
        <f aca="false">1/B10771</f>
        <v>0.00351185250219491</v>
      </c>
      <c r="D10771" s="1" t="n">
        <v>0.48465</v>
      </c>
      <c r="E10771" s="1" t="n">
        <f aca="false">LN(D10771)</f>
        <v>-0.72432829804352</v>
      </c>
    </row>
    <row r="10772" customFormat="false" ht="15.75" hidden="false" customHeight="false" outlineLevel="0" collapsed="false">
      <c r="A10772" s="1" t="s">
        <v>1196</v>
      </c>
      <c r="B10772" s="1" t="n">
        <v>285.2</v>
      </c>
      <c r="C10772" s="1" t="n">
        <f aca="false">1/B10772</f>
        <v>0.00350631136044881</v>
      </c>
      <c r="D10772" s="1" t="n">
        <v>0.48144</v>
      </c>
      <c r="E10772" s="1" t="n">
        <f aca="false">LN(D10772)</f>
        <v>-0.730973666100402</v>
      </c>
    </row>
    <row r="10773" customFormat="false" ht="15.75" hidden="false" customHeight="false" outlineLevel="0" collapsed="false">
      <c r="A10773" s="1" t="s">
        <v>1196</v>
      </c>
      <c r="B10773" s="1" t="n">
        <v>285.65</v>
      </c>
      <c r="C10773" s="1" t="n">
        <f aca="false">1/B10773</f>
        <v>0.00350078767722738</v>
      </c>
      <c r="D10773" s="1" t="n">
        <v>0.47826</v>
      </c>
      <c r="E10773" s="1" t="n">
        <f aca="false">LN(D10773)</f>
        <v>-0.73760076131425</v>
      </c>
    </row>
    <row r="10774" customFormat="false" ht="15.75" hidden="false" customHeight="false" outlineLevel="0" collapsed="false">
      <c r="A10774" s="1" t="s">
        <v>1196</v>
      </c>
      <c r="B10774" s="1" t="n">
        <v>286.1</v>
      </c>
      <c r="C10774" s="1" t="n">
        <f aca="false">1/B10774</f>
        <v>0.0034952813701503</v>
      </c>
      <c r="D10774" s="1" t="n">
        <v>0.47511</v>
      </c>
      <c r="E10774" s="1" t="n">
        <f aca="false">LN(D10774)</f>
        <v>-0.744208922810393</v>
      </c>
    </row>
    <row r="10775" customFormat="false" ht="15.75" hidden="false" customHeight="false" outlineLevel="0" collapsed="false">
      <c r="A10775" s="1" t="s">
        <v>1196</v>
      </c>
      <c r="B10775" s="1" t="n">
        <v>286.55</v>
      </c>
      <c r="C10775" s="1" t="n">
        <f aca="false">1/B10775</f>
        <v>0.00348979235735474</v>
      </c>
      <c r="D10775" s="1" t="n">
        <v>0.47199</v>
      </c>
      <c r="E10775" s="1" t="n">
        <f aca="false">LN(D10775)</f>
        <v>-0.750797480061695</v>
      </c>
    </row>
    <row r="10776" customFormat="false" ht="15.75" hidden="false" customHeight="false" outlineLevel="0" collapsed="false">
      <c r="A10776" s="1" t="s">
        <v>1196</v>
      </c>
      <c r="B10776" s="1" t="n">
        <v>287</v>
      </c>
      <c r="C10776" s="1" t="n">
        <f aca="false">1/B10776</f>
        <v>0.00348432055749129</v>
      </c>
      <c r="D10776" s="1" t="n">
        <v>0.4689</v>
      </c>
      <c r="E10776" s="1" t="n">
        <f aca="false">LN(D10776)</f>
        <v>-0.757365752886596</v>
      </c>
    </row>
    <row r="10777" customFormat="false" ht="15.75" hidden="false" customHeight="false" outlineLevel="0" collapsed="false">
      <c r="A10777" s="1" t="s">
        <v>1196</v>
      </c>
      <c r="B10777" s="1" t="n">
        <v>287.45</v>
      </c>
      <c r="C10777" s="1" t="n">
        <f aca="false">1/B10777</f>
        <v>0.00347886588971995</v>
      </c>
      <c r="D10777" s="1" t="n">
        <v>0.46583</v>
      </c>
      <c r="E10777" s="1" t="n">
        <f aca="false">LN(D10777)</f>
        <v>-0.763934518281657</v>
      </c>
    </row>
    <row r="10778" customFormat="false" ht="15.75" hidden="false" customHeight="false" outlineLevel="0" collapsed="false">
      <c r="A10778" s="1" t="s">
        <v>1196</v>
      </c>
      <c r="B10778" s="1" t="n">
        <v>287.87</v>
      </c>
      <c r="C10778" s="1" t="n">
        <f aca="false">1/B10778</f>
        <v>0.00347379025254455</v>
      </c>
      <c r="D10778" s="1" t="n">
        <v>0.463</v>
      </c>
      <c r="E10778" s="1" t="n">
        <f aca="false">LN(D10778)</f>
        <v>-0.770028224895903</v>
      </c>
    </row>
    <row r="10779" customFormat="false" ht="15.75" hidden="false" customHeight="false" outlineLevel="0" collapsed="false">
      <c r="A10779" s="1" t="s">
        <v>1198</v>
      </c>
      <c r="B10779" s="1" t="n">
        <v>234</v>
      </c>
      <c r="C10779" s="1" t="n">
        <f aca="false">1/B10779</f>
        <v>0.00427350427350427</v>
      </c>
      <c r="D10779" s="1" t="n">
        <v>1.1018</v>
      </c>
      <c r="E10779" s="1" t="n">
        <f aca="false">LN(D10779)</f>
        <v>0.096945206056479</v>
      </c>
    </row>
    <row r="10780" customFormat="false" ht="15.75" hidden="false" customHeight="false" outlineLevel="0" collapsed="false">
      <c r="A10780" s="1" t="s">
        <v>1198</v>
      </c>
      <c r="B10780" s="1" t="n">
        <v>234.65</v>
      </c>
      <c r="C10780" s="1" t="n">
        <f aca="false">1/B10780</f>
        <v>0.00426166631152781</v>
      </c>
      <c r="D10780" s="1" t="n">
        <v>1.0859</v>
      </c>
      <c r="E10780" s="1" t="n">
        <f aca="false">LN(D10780)</f>
        <v>0.0824091362407178</v>
      </c>
    </row>
    <row r="10781" customFormat="false" ht="15.75" hidden="false" customHeight="false" outlineLevel="0" collapsed="false">
      <c r="A10781" s="1" t="s">
        <v>1198</v>
      </c>
      <c r="B10781" s="1" t="n">
        <v>235.3</v>
      </c>
      <c r="C10781" s="1" t="n">
        <f aca="false">1/B10781</f>
        <v>0.00424989375265618</v>
      </c>
      <c r="D10781" s="1" t="n">
        <v>1.0704</v>
      </c>
      <c r="E10781" s="1" t="n">
        <f aca="false">LN(D10781)</f>
        <v>0.068032410391827</v>
      </c>
    </row>
    <row r="10782" customFormat="false" ht="15.75" hidden="false" customHeight="false" outlineLevel="0" collapsed="false">
      <c r="A10782" s="1" t="s">
        <v>1198</v>
      </c>
      <c r="B10782" s="1" t="n">
        <v>235.95</v>
      </c>
      <c r="C10782" s="1" t="n">
        <f aca="false">1/B10782</f>
        <v>0.00423818605636787</v>
      </c>
      <c r="D10782" s="1" t="n">
        <v>1.0551</v>
      </c>
      <c r="E10782" s="1" t="n">
        <f aca="false">LN(D10782)</f>
        <v>0.0536355491659093</v>
      </c>
    </row>
    <row r="10783" customFormat="false" ht="15.75" hidden="false" customHeight="false" outlineLevel="0" collapsed="false">
      <c r="A10783" s="1" t="s">
        <v>1198</v>
      </c>
      <c r="B10783" s="1" t="n">
        <v>236.6</v>
      </c>
      <c r="C10783" s="1" t="n">
        <f aca="false">1/B10783</f>
        <v>0.00422654268808115</v>
      </c>
      <c r="D10783" s="1" t="n">
        <v>1.0402</v>
      </c>
      <c r="E10783" s="1" t="n">
        <f aca="false">LN(D10783)</f>
        <v>0.0394130023568351</v>
      </c>
    </row>
    <row r="10784" customFormat="false" ht="15.75" hidden="false" customHeight="false" outlineLevel="0" collapsed="false">
      <c r="A10784" s="1" t="s">
        <v>1198</v>
      </c>
      <c r="B10784" s="1" t="n">
        <v>237.25</v>
      </c>
      <c r="C10784" s="1" t="n">
        <f aca="false">1/B10784</f>
        <v>0.00421496311907271</v>
      </c>
      <c r="D10784" s="1" t="n">
        <v>1.0256</v>
      </c>
      <c r="E10784" s="1" t="n">
        <f aca="false">LN(D10784)</f>
        <v>0.0252778071842686</v>
      </c>
    </row>
    <row r="10785" customFormat="false" ht="15.75" hidden="false" customHeight="false" outlineLevel="0" collapsed="false">
      <c r="A10785" s="1" t="s">
        <v>1198</v>
      </c>
      <c r="B10785" s="1" t="n">
        <v>237.9</v>
      </c>
      <c r="C10785" s="1" t="n">
        <f aca="false">1/B10785</f>
        <v>0.00420344682639765</v>
      </c>
      <c r="D10785" s="1" t="n">
        <v>1.0112</v>
      </c>
      <c r="E10785" s="1" t="n">
        <f aca="false">LN(D10785)</f>
        <v>0.011137744410456</v>
      </c>
    </row>
    <row r="10786" customFormat="false" ht="15.75" hidden="false" customHeight="false" outlineLevel="0" collapsed="false">
      <c r="A10786" s="1" t="s">
        <v>1198</v>
      </c>
      <c r="B10786" s="1" t="n">
        <v>238.55</v>
      </c>
      <c r="C10786" s="1" t="n">
        <f aca="false">1/B10786</f>
        <v>0.00419199329281073</v>
      </c>
      <c r="D10786" s="1" t="n">
        <v>0.9972</v>
      </c>
      <c r="E10786" s="1" t="n">
        <f aca="false">LN(D10786)</f>
        <v>-0.00280392733273426</v>
      </c>
    </row>
    <row r="10787" customFormat="false" ht="15.75" hidden="false" customHeight="false" outlineLevel="0" collapsed="false">
      <c r="A10787" s="1" t="s">
        <v>1198</v>
      </c>
      <c r="B10787" s="1" t="n">
        <v>239.19</v>
      </c>
      <c r="C10787" s="1" t="n">
        <f aca="false">1/B10787</f>
        <v>0.00418077678832727</v>
      </c>
      <c r="D10787" s="1" t="n">
        <v>0.98344</v>
      </c>
      <c r="E10787" s="1" t="n">
        <f aca="false">LN(D10787)</f>
        <v>-0.0166986496230515</v>
      </c>
    </row>
    <row r="10788" customFormat="false" ht="15.75" hidden="false" customHeight="false" outlineLevel="0" collapsed="false">
      <c r="A10788" s="1" t="s">
        <v>1198</v>
      </c>
      <c r="B10788" s="1" t="n">
        <v>239.84</v>
      </c>
      <c r="C10788" s="1" t="n">
        <f aca="false">1/B10788</f>
        <v>0.00416944629753169</v>
      </c>
      <c r="D10788" s="1" t="n">
        <v>0.96995</v>
      </c>
      <c r="E10788" s="1" t="n">
        <f aca="false">LN(D10788)</f>
        <v>-0.0305107552050221</v>
      </c>
    </row>
    <row r="10789" customFormat="false" ht="15.75" hidden="false" customHeight="false" outlineLevel="0" collapsed="false">
      <c r="A10789" s="1" t="s">
        <v>1198</v>
      </c>
      <c r="B10789" s="1" t="n">
        <v>240.49</v>
      </c>
      <c r="C10789" s="1" t="n">
        <f aca="false">1/B10789</f>
        <v>0.00415817705517901</v>
      </c>
      <c r="D10789" s="1" t="n">
        <v>0.95673</v>
      </c>
      <c r="E10789" s="1" t="n">
        <f aca="false">LN(D10789)</f>
        <v>-0.0442340589972493</v>
      </c>
    </row>
    <row r="10790" customFormat="false" ht="15.75" hidden="false" customHeight="false" outlineLevel="0" collapsed="false">
      <c r="A10790" s="1" t="s">
        <v>1198</v>
      </c>
      <c r="B10790" s="1" t="n">
        <v>241.14</v>
      </c>
      <c r="C10790" s="1" t="n">
        <f aca="false">1/B10790</f>
        <v>0.00414696856597827</v>
      </c>
      <c r="D10790" s="1" t="n">
        <v>0.94377</v>
      </c>
      <c r="E10790" s="1" t="n">
        <f aca="false">LN(D10790)</f>
        <v>-0.0578727865904709</v>
      </c>
    </row>
    <row r="10791" customFormat="false" ht="15.75" hidden="false" customHeight="false" outlineLevel="0" collapsed="false">
      <c r="A10791" s="1" t="s">
        <v>1198</v>
      </c>
      <c r="B10791" s="1" t="n">
        <v>241.79</v>
      </c>
      <c r="C10791" s="1" t="n">
        <f aca="false">1/B10791</f>
        <v>0.00413582033996443</v>
      </c>
      <c r="D10791" s="1" t="n">
        <v>0.93106</v>
      </c>
      <c r="E10791" s="1" t="n">
        <f aca="false">LN(D10791)</f>
        <v>-0.0714315569503137</v>
      </c>
    </row>
    <row r="10792" customFormat="false" ht="15.75" hidden="false" customHeight="false" outlineLevel="0" collapsed="false">
      <c r="A10792" s="1" t="s">
        <v>1198</v>
      </c>
      <c r="B10792" s="1" t="n">
        <v>242.44</v>
      </c>
      <c r="C10792" s="1" t="n">
        <f aca="false">1/B10792</f>
        <v>0.00412473189242699</v>
      </c>
      <c r="D10792" s="1" t="n">
        <v>0.9186</v>
      </c>
      <c r="E10792" s="1" t="n">
        <f aca="false">LN(D10792)</f>
        <v>-0.084904507090444</v>
      </c>
    </row>
    <row r="10793" customFormat="false" ht="15.75" hidden="false" customHeight="false" outlineLevel="0" collapsed="false">
      <c r="A10793" s="1" t="s">
        <v>1198</v>
      </c>
      <c r="B10793" s="1" t="n">
        <v>243.09</v>
      </c>
      <c r="C10793" s="1" t="n">
        <f aca="false">1/B10793</f>
        <v>0.00411370274383973</v>
      </c>
      <c r="D10793" s="1" t="n">
        <v>0.90638</v>
      </c>
      <c r="E10793" s="1" t="n">
        <f aca="false">LN(D10793)</f>
        <v>-0.0982966348251106</v>
      </c>
    </row>
    <row r="10794" customFormat="false" ht="15.75" hidden="false" customHeight="false" outlineLevel="0" collapsed="false">
      <c r="A10794" s="1" t="s">
        <v>1198</v>
      </c>
      <c r="B10794" s="1" t="n">
        <v>243.74</v>
      </c>
      <c r="C10794" s="1" t="n">
        <f aca="false">1/B10794</f>
        <v>0.00410273241979158</v>
      </c>
      <c r="D10794" s="1" t="n">
        <v>0.89439</v>
      </c>
      <c r="E10794" s="1" t="n">
        <f aca="false">LN(D10794)</f>
        <v>-0.111613357323592</v>
      </c>
    </row>
    <row r="10795" customFormat="false" ht="15.75" hidden="false" customHeight="false" outlineLevel="0" collapsed="false">
      <c r="A10795" s="1" t="s">
        <v>1198</v>
      </c>
      <c r="B10795" s="1" t="n">
        <v>244.39</v>
      </c>
      <c r="C10795" s="1" t="n">
        <f aca="false">1/B10795</f>
        <v>0.00409182045091861</v>
      </c>
      <c r="D10795" s="1" t="n">
        <v>0.88263</v>
      </c>
      <c r="E10795" s="1" t="n">
        <f aca="false">LN(D10795)</f>
        <v>-0.124849192241689</v>
      </c>
    </row>
    <row r="10796" customFormat="false" ht="15.75" hidden="false" customHeight="false" outlineLevel="0" collapsed="false">
      <c r="A10796" s="1" t="s">
        <v>1198</v>
      </c>
      <c r="B10796" s="1" t="n">
        <v>245.04</v>
      </c>
      <c r="C10796" s="1" t="n">
        <f aca="false">1/B10796</f>
        <v>0.00408096637283709</v>
      </c>
      <c r="D10796" s="1" t="n">
        <v>0.87109</v>
      </c>
      <c r="E10796" s="1" t="n">
        <f aca="false">LN(D10796)</f>
        <v>-0.138009977961445</v>
      </c>
    </row>
    <row r="10797" customFormat="false" ht="15.75" hidden="false" customHeight="false" outlineLevel="0" collapsed="false">
      <c r="A10797" s="1" t="s">
        <v>1198</v>
      </c>
      <c r="B10797" s="1" t="n">
        <v>245.69</v>
      </c>
      <c r="C10797" s="1" t="n">
        <f aca="false">1/B10797</f>
        <v>0.00407016972607758</v>
      </c>
      <c r="D10797" s="1" t="n">
        <v>0.85977</v>
      </c>
      <c r="E10797" s="1" t="n">
        <f aca="false">LN(D10797)</f>
        <v>-0.151090367364001</v>
      </c>
    </row>
    <row r="10798" customFormat="false" ht="15.75" hidden="false" customHeight="false" outlineLevel="0" collapsed="false">
      <c r="A10798" s="1" t="s">
        <v>1198</v>
      </c>
      <c r="B10798" s="1" t="n">
        <v>246.34</v>
      </c>
      <c r="C10798" s="1" t="n">
        <f aca="false">1/B10798</f>
        <v>0.00405943005602014</v>
      </c>
      <c r="D10798" s="1" t="n">
        <v>0.84865</v>
      </c>
      <c r="E10798" s="1" t="n">
        <f aca="false">LN(D10798)</f>
        <v>-0.164108427374597</v>
      </c>
    </row>
    <row r="10799" customFormat="false" ht="15.75" hidden="false" customHeight="false" outlineLevel="0" collapsed="false">
      <c r="A10799" s="1" t="s">
        <v>1198</v>
      </c>
      <c r="B10799" s="1" t="n">
        <v>246.99</v>
      </c>
      <c r="C10799" s="1" t="n">
        <f aca="false">1/B10799</f>
        <v>0.00404874691283048</v>
      </c>
      <c r="D10799" s="1" t="n">
        <v>0.83775</v>
      </c>
      <c r="E10799" s="1" t="n">
        <f aca="false">LN(D10799)</f>
        <v>-0.177035552364717</v>
      </c>
    </row>
    <row r="10800" customFormat="false" ht="15.75" hidden="false" customHeight="false" outlineLevel="0" collapsed="false">
      <c r="A10800" s="1" t="s">
        <v>1198</v>
      </c>
      <c r="B10800" s="1" t="n">
        <v>247.64</v>
      </c>
      <c r="C10800" s="1" t="n">
        <f aca="false">1/B10800</f>
        <v>0.00403811985139719</v>
      </c>
      <c r="D10800" s="1" t="n">
        <v>0.82704</v>
      </c>
      <c r="E10800" s="1" t="n">
        <f aca="false">LN(D10800)</f>
        <v>-0.189902217534408</v>
      </c>
    </row>
    <row r="10801" customFormat="false" ht="15.75" hidden="false" customHeight="false" outlineLevel="0" collapsed="false">
      <c r="A10801" s="1" t="s">
        <v>1198</v>
      </c>
      <c r="B10801" s="1" t="n">
        <v>248.29</v>
      </c>
      <c r="C10801" s="1" t="n">
        <f aca="false">1/B10801</f>
        <v>0.00402754843126989</v>
      </c>
      <c r="D10801" s="1" t="n">
        <v>0.81653</v>
      </c>
      <c r="E10801" s="1" t="n">
        <f aca="false">LN(D10801)</f>
        <v>-0.202691625054311</v>
      </c>
    </row>
    <row r="10802" customFormat="false" ht="15.75" hidden="false" customHeight="false" outlineLevel="0" collapsed="false">
      <c r="A10802" s="1" t="s">
        <v>1198</v>
      </c>
      <c r="B10802" s="1" t="n">
        <v>248.94</v>
      </c>
      <c r="C10802" s="1" t="n">
        <f aca="false">1/B10802</f>
        <v>0.00401703221659838</v>
      </c>
      <c r="D10802" s="1" t="n">
        <v>0.80621</v>
      </c>
      <c r="E10802" s="1" t="n">
        <f aca="false">LN(D10802)</f>
        <v>-0.215411024505992</v>
      </c>
    </row>
    <row r="10803" customFormat="false" ht="15.75" hidden="false" customHeight="false" outlineLevel="0" collapsed="false">
      <c r="A10803" s="1" t="s">
        <v>1198</v>
      </c>
      <c r="B10803" s="1" t="n">
        <v>249.59</v>
      </c>
      <c r="C10803" s="1" t="n">
        <f aca="false">1/B10803</f>
        <v>0.00400657077607276</v>
      </c>
      <c r="D10803" s="1" t="n">
        <v>0.79608</v>
      </c>
      <c r="E10803" s="1" t="n">
        <f aca="false">LN(D10803)</f>
        <v>-0.22805559567523</v>
      </c>
    </row>
    <row r="10804" customFormat="false" ht="15.75" hidden="false" customHeight="false" outlineLevel="0" collapsed="false">
      <c r="A10804" s="1" t="s">
        <v>1198</v>
      </c>
      <c r="B10804" s="1" t="n">
        <v>250.23</v>
      </c>
      <c r="C10804" s="1" t="n">
        <f aca="false">1/B10804</f>
        <v>0.00399632338248811</v>
      </c>
      <c r="D10804" s="1" t="n">
        <v>0.78613</v>
      </c>
      <c r="E10804" s="1" t="n">
        <f aca="false">LN(D10804)</f>
        <v>-0.240633105827041</v>
      </c>
    </row>
    <row r="10805" customFormat="false" ht="15.75" hidden="false" customHeight="false" outlineLevel="0" collapsed="false">
      <c r="A10805" s="1" t="s">
        <v>1198</v>
      </c>
      <c r="B10805" s="1" t="n">
        <v>250.88</v>
      </c>
      <c r="C10805" s="1" t="n">
        <f aca="false">1/B10805</f>
        <v>0.0039859693877551</v>
      </c>
      <c r="D10805" s="1" t="n">
        <v>0.77636</v>
      </c>
      <c r="E10805" s="1" t="n">
        <f aca="false">LN(D10805)</f>
        <v>-0.253138948849611</v>
      </c>
    </row>
    <row r="10806" customFormat="false" ht="15.75" hidden="false" customHeight="false" outlineLevel="0" collapsed="false">
      <c r="A10806" s="1" t="s">
        <v>1198</v>
      </c>
      <c r="B10806" s="1" t="n">
        <v>251.53</v>
      </c>
      <c r="C10806" s="1" t="n">
        <f aca="false">1/B10806</f>
        <v>0.00397566890629348</v>
      </c>
      <c r="D10806" s="1" t="n">
        <v>0.76676</v>
      </c>
      <c r="E10806" s="1" t="n">
        <f aca="false">LN(D10806)</f>
        <v>-0.265581434012177</v>
      </c>
    </row>
    <row r="10807" customFormat="false" ht="15.75" hidden="false" customHeight="false" outlineLevel="0" collapsed="false">
      <c r="A10807" s="1" t="s">
        <v>1198</v>
      </c>
      <c r="B10807" s="1" t="n">
        <v>252.18</v>
      </c>
      <c r="C10807" s="1" t="n">
        <f aca="false">1/B10807</f>
        <v>0.00396542152430803</v>
      </c>
      <c r="D10807" s="1" t="n">
        <v>0.75732</v>
      </c>
      <c r="E10807" s="1" t="n">
        <f aca="false">LN(D10807)</f>
        <v>-0.277969393597989</v>
      </c>
    </row>
    <row r="10808" customFormat="false" ht="15.75" hidden="false" customHeight="false" outlineLevel="0" collapsed="false">
      <c r="A10808" s="1" t="s">
        <v>1198</v>
      </c>
      <c r="B10808" s="1" t="n">
        <v>252.83</v>
      </c>
      <c r="C10808" s="1" t="n">
        <f aca="false">1/B10808</f>
        <v>0.00395522683225883</v>
      </c>
      <c r="D10808" s="1" t="n">
        <v>0.74806</v>
      </c>
      <c r="E10808" s="1" t="n">
        <f aca="false">LN(D10808)</f>
        <v>-0.29027209032088</v>
      </c>
    </row>
    <row r="10809" customFormat="false" ht="15.75" hidden="false" customHeight="false" outlineLevel="0" collapsed="false">
      <c r="A10809" s="1" t="s">
        <v>1198</v>
      </c>
      <c r="B10809" s="1" t="n">
        <v>253.48</v>
      </c>
      <c r="C10809" s="1" t="n">
        <f aca="false">1/B10809</f>
        <v>0.00394508442480669</v>
      </c>
      <c r="D10809" s="1" t="n">
        <v>0.73895</v>
      </c>
      <c r="E10809" s="1" t="n">
        <f aca="false">LN(D10809)</f>
        <v>-0.302525019321555</v>
      </c>
    </row>
    <row r="10810" customFormat="false" ht="15.75" hidden="false" customHeight="false" outlineLevel="0" collapsed="false">
      <c r="A10810" s="1" t="s">
        <v>1198</v>
      </c>
      <c r="B10810" s="1" t="n">
        <v>254.13</v>
      </c>
      <c r="C10810" s="1" t="n">
        <f aca="false">1/B10810</f>
        <v>0.00393499390075945</v>
      </c>
      <c r="D10810" s="1" t="n">
        <v>0.73</v>
      </c>
      <c r="E10810" s="1" t="n">
        <f aca="false">LN(D10810)</f>
        <v>-0.3147107448397</v>
      </c>
    </row>
    <row r="10811" customFormat="false" ht="15.75" hidden="false" customHeight="false" outlineLevel="0" collapsed="false">
      <c r="A10811" s="1" t="s">
        <v>1198</v>
      </c>
      <c r="B10811" s="1" t="n">
        <v>254.78</v>
      </c>
      <c r="C10811" s="1" t="n">
        <f aca="false">1/B10811</f>
        <v>0.00392495486301907</v>
      </c>
      <c r="D10811" s="1" t="n">
        <v>0.72121</v>
      </c>
      <c r="E10811" s="1" t="n">
        <f aca="false">LN(D10811)</f>
        <v>-0.326824921969847</v>
      </c>
    </row>
    <row r="10812" customFormat="false" ht="15.75" hidden="false" customHeight="false" outlineLevel="0" collapsed="false">
      <c r="A10812" s="1" t="s">
        <v>1198</v>
      </c>
      <c r="B10812" s="1" t="n">
        <v>255.43</v>
      </c>
      <c r="C10812" s="1" t="n">
        <f aca="false">1/B10812</f>
        <v>0.00391496691852954</v>
      </c>
      <c r="D10812" s="1" t="n">
        <v>0.71256</v>
      </c>
      <c r="E10812" s="1" t="n">
        <f aca="false">LN(D10812)</f>
        <v>-0.338891159858523</v>
      </c>
    </row>
    <row r="10813" customFormat="false" ht="15.75" hidden="false" customHeight="false" outlineLevel="0" collapsed="false">
      <c r="A10813" s="1" t="s">
        <v>1198</v>
      </c>
      <c r="B10813" s="1" t="n">
        <v>256.08</v>
      </c>
      <c r="C10813" s="1" t="n">
        <f aca="false">1/B10813</f>
        <v>0.00390502967822555</v>
      </c>
      <c r="D10813" s="1" t="n">
        <v>0.70407</v>
      </c>
      <c r="E10813" s="1" t="n">
        <f aca="false">LN(D10813)</f>
        <v>-0.350877495948928</v>
      </c>
    </row>
    <row r="10814" customFormat="false" ht="15.75" hidden="false" customHeight="false" outlineLevel="0" collapsed="false">
      <c r="A10814" s="1" t="s">
        <v>1198</v>
      </c>
      <c r="B10814" s="1" t="n">
        <v>256.73</v>
      </c>
      <c r="C10814" s="1" t="n">
        <f aca="false">1/B10814</f>
        <v>0.00389514275698204</v>
      </c>
      <c r="D10814" s="1" t="n">
        <v>0.69571</v>
      </c>
      <c r="E10814" s="1" t="n">
        <f aca="false">LN(D10814)</f>
        <v>-0.36282237214406</v>
      </c>
    </row>
    <row r="10815" customFormat="false" ht="15.75" hidden="false" customHeight="false" outlineLevel="0" collapsed="false">
      <c r="A10815" s="1" t="s">
        <v>1198</v>
      </c>
      <c r="B10815" s="1" t="n">
        <v>257.38</v>
      </c>
      <c r="C10815" s="1" t="n">
        <f aca="false">1/B10815</f>
        <v>0.00388530577356438</v>
      </c>
      <c r="D10815" s="1" t="n">
        <v>0.6875</v>
      </c>
      <c r="E10815" s="1" t="n">
        <f aca="false">LN(D10815)</f>
        <v>-0.374693449441411</v>
      </c>
    </row>
    <row r="10816" customFormat="false" ht="15.75" hidden="false" customHeight="false" outlineLevel="0" collapsed="false">
      <c r="A10816" s="1" t="s">
        <v>1198</v>
      </c>
      <c r="B10816" s="1" t="n">
        <v>258.03</v>
      </c>
      <c r="C10816" s="1" t="n">
        <f aca="false">1/B10816</f>
        <v>0.00387551835057939</v>
      </c>
      <c r="D10816" s="1" t="n">
        <v>0.67942</v>
      </c>
      <c r="E10816" s="1" t="n">
        <f aca="false">LN(D10816)</f>
        <v>-0.386515785949754</v>
      </c>
    </row>
    <row r="10817" customFormat="false" ht="15.75" hidden="false" customHeight="false" outlineLevel="0" collapsed="false">
      <c r="A10817" s="1" t="s">
        <v>1198</v>
      </c>
      <c r="B10817" s="1" t="n">
        <v>258.68</v>
      </c>
      <c r="C10817" s="1" t="n">
        <f aca="false">1/B10817</f>
        <v>0.00386578011442709</v>
      </c>
      <c r="D10817" s="1" t="n">
        <v>0.67147</v>
      </c>
      <c r="E10817" s="1" t="n">
        <f aca="false">LN(D10817)</f>
        <v>-0.398285940115139</v>
      </c>
    </row>
    <row r="10818" customFormat="false" ht="15.75" hidden="false" customHeight="false" outlineLevel="0" collapsed="false">
      <c r="A10818" s="1" t="s">
        <v>1198</v>
      </c>
      <c r="B10818" s="1" t="n">
        <v>259.33</v>
      </c>
      <c r="C10818" s="1" t="n">
        <f aca="false">1/B10818</f>
        <v>0.00385609069525315</v>
      </c>
      <c r="D10818" s="1" t="n">
        <v>0.66366</v>
      </c>
      <c r="E10818" s="1" t="n">
        <f aca="false">LN(D10818)</f>
        <v>-0.409985308839919</v>
      </c>
    </row>
    <row r="10819" customFormat="false" ht="15.75" hidden="false" customHeight="false" outlineLevel="0" collapsed="false">
      <c r="A10819" s="1" t="s">
        <v>1198</v>
      </c>
      <c r="B10819" s="1" t="n">
        <v>259.98</v>
      </c>
      <c r="C10819" s="1" t="n">
        <f aca="false">1/B10819</f>
        <v>0.00384644972690207</v>
      </c>
      <c r="D10819" s="1" t="n">
        <v>0.65597</v>
      </c>
      <c r="E10819" s="1" t="n">
        <f aca="false">LN(D10819)</f>
        <v>-0.421640222791091</v>
      </c>
    </row>
    <row r="10820" customFormat="false" ht="15.75" hidden="false" customHeight="false" outlineLevel="0" collapsed="false">
      <c r="A10820" s="1" t="s">
        <v>1198</v>
      </c>
      <c r="B10820" s="1" t="n">
        <v>260.63</v>
      </c>
      <c r="C10820" s="1" t="n">
        <f aca="false">1/B10820</f>
        <v>0.00383685684687104</v>
      </c>
      <c r="D10820" s="1" t="n">
        <v>0.64841</v>
      </c>
      <c r="E10820" s="1" t="n">
        <f aca="false">LN(D10820)</f>
        <v>-0.433232066660888</v>
      </c>
    </row>
    <row r="10821" customFormat="false" ht="15.75" hidden="false" customHeight="false" outlineLevel="0" collapsed="false">
      <c r="A10821" s="1" t="s">
        <v>1198</v>
      </c>
      <c r="B10821" s="1" t="n">
        <v>261.27</v>
      </c>
      <c r="C10821" s="1" t="n">
        <f aca="false">1/B10821</f>
        <v>0.00382745818501933</v>
      </c>
      <c r="D10821" s="1" t="n">
        <v>0.64097</v>
      </c>
      <c r="E10821" s="1" t="n">
        <f aca="false">LN(D10821)</f>
        <v>-0.444772625028784</v>
      </c>
    </row>
    <row r="10822" customFormat="false" ht="15.75" hidden="false" customHeight="false" outlineLevel="0" collapsed="false">
      <c r="A10822" s="1" t="s">
        <v>1198</v>
      </c>
      <c r="B10822" s="1" t="n">
        <v>261.92</v>
      </c>
      <c r="C10822" s="1" t="n">
        <f aca="false">1/B10822</f>
        <v>0.00381795968234575</v>
      </c>
      <c r="D10822" s="1" t="n">
        <v>0.63365</v>
      </c>
      <c r="E10822" s="1" t="n">
        <f aca="false">LN(D10822)</f>
        <v>-0.456258527454064</v>
      </c>
    </row>
    <row r="10823" customFormat="false" ht="15.75" hidden="false" customHeight="false" outlineLevel="0" collapsed="false">
      <c r="A10823" s="1" t="s">
        <v>1198</v>
      </c>
      <c r="B10823" s="1" t="n">
        <v>262.57</v>
      </c>
      <c r="C10823" s="1" t="n">
        <f aca="false">1/B10823</f>
        <v>0.00380850820733519</v>
      </c>
      <c r="D10823" s="1" t="n">
        <v>0.62644</v>
      </c>
      <c r="E10823" s="1" t="n">
        <f aca="false">LN(D10823)</f>
        <v>-0.467702279383904</v>
      </c>
    </row>
    <row r="10824" customFormat="false" ht="15.75" hidden="false" customHeight="false" outlineLevel="0" collapsed="false">
      <c r="A10824" s="1" t="s">
        <v>1198</v>
      </c>
      <c r="B10824" s="1" t="n">
        <v>263.22</v>
      </c>
      <c r="C10824" s="1" t="n">
        <f aca="false">1/B10824</f>
        <v>0.00379910341159486</v>
      </c>
      <c r="D10824" s="1" t="n">
        <v>0.61935</v>
      </c>
      <c r="E10824" s="1" t="n">
        <f aca="false">LN(D10824)</f>
        <v>-0.479084737981928</v>
      </c>
    </row>
    <row r="10825" customFormat="false" ht="15.75" hidden="false" customHeight="false" outlineLevel="0" collapsed="false">
      <c r="A10825" s="1" t="s">
        <v>1198</v>
      </c>
      <c r="B10825" s="1" t="n">
        <v>263.87</v>
      </c>
      <c r="C10825" s="1" t="n">
        <f aca="false">1/B10825</f>
        <v>0.00378974495016485</v>
      </c>
      <c r="D10825" s="1" t="n">
        <v>0.61238</v>
      </c>
      <c r="E10825" s="1" t="n">
        <f aca="false">LN(D10825)</f>
        <v>-0.490402274125112</v>
      </c>
    </row>
    <row r="10826" customFormat="false" ht="15.75" hidden="false" customHeight="false" outlineLevel="0" collapsed="false">
      <c r="A10826" s="1" t="s">
        <v>1198</v>
      </c>
      <c r="B10826" s="1" t="n">
        <v>264.52</v>
      </c>
      <c r="C10826" s="1" t="n">
        <f aca="false">1/B10826</f>
        <v>0.00378043248147588</v>
      </c>
      <c r="D10826" s="1" t="n">
        <v>0.60551</v>
      </c>
      <c r="E10826" s="1" t="n">
        <f aca="false">LN(D10826)</f>
        <v>-0.501684200848735</v>
      </c>
    </row>
    <row r="10827" customFormat="false" ht="15.75" hidden="false" customHeight="false" outlineLevel="0" collapsed="false">
      <c r="A10827" s="1" t="s">
        <v>1198</v>
      </c>
      <c r="B10827" s="1" t="n">
        <v>265.17</v>
      </c>
      <c r="C10827" s="1" t="n">
        <f aca="false">1/B10827</f>
        <v>0.00377116566730776</v>
      </c>
      <c r="D10827" s="1" t="n">
        <v>0.59874</v>
      </c>
      <c r="E10827" s="1" t="n">
        <f aca="false">LN(D10827)</f>
        <v>-0.512927831857861</v>
      </c>
    </row>
    <row r="10828" customFormat="false" ht="15.75" hidden="false" customHeight="false" outlineLevel="0" collapsed="false">
      <c r="A10828" s="1" t="s">
        <v>1198</v>
      </c>
      <c r="B10828" s="1" t="n">
        <v>265.82</v>
      </c>
      <c r="C10828" s="1" t="n">
        <f aca="false">1/B10828</f>
        <v>0.00376194417274848</v>
      </c>
      <c r="D10828" s="1" t="n">
        <v>0.59209</v>
      </c>
      <c r="E10828" s="1" t="n">
        <f aca="false">LN(D10828)</f>
        <v>-0.524096628626042</v>
      </c>
    </row>
    <row r="10829" customFormat="false" ht="15.75" hidden="false" customHeight="false" outlineLevel="0" collapsed="false">
      <c r="A10829" s="1" t="s">
        <v>1198</v>
      </c>
      <c r="B10829" s="1" t="n">
        <v>266.47</v>
      </c>
      <c r="C10829" s="1" t="n">
        <f aca="false">1/B10829</f>
        <v>0.00375276766615379</v>
      </c>
      <c r="D10829" s="1" t="n">
        <v>0.58553</v>
      </c>
      <c r="E10829" s="1" t="n">
        <f aca="false">LN(D10829)</f>
        <v>-0.5352378589991</v>
      </c>
    </row>
    <row r="10830" customFormat="false" ht="15.75" hidden="false" customHeight="false" outlineLevel="0" collapsed="false">
      <c r="A10830" s="1" t="s">
        <v>1198</v>
      </c>
      <c r="B10830" s="1" t="n">
        <v>266.86</v>
      </c>
      <c r="C10830" s="1" t="n">
        <f aca="false">1/B10830</f>
        <v>0.00374728321966574</v>
      </c>
      <c r="D10830" s="1" t="n">
        <v>0.58167</v>
      </c>
      <c r="E10830" s="1" t="n">
        <f aca="false">LN(D10830)</f>
        <v>-0.541852002371114</v>
      </c>
    </row>
    <row r="10831" customFormat="false" ht="15.75" hidden="false" customHeight="false" outlineLevel="0" collapsed="false">
      <c r="A10831" s="1" t="s">
        <v>1200</v>
      </c>
      <c r="B10831" s="1" t="n">
        <v>206.73</v>
      </c>
      <c r="C10831" s="1" t="n">
        <f aca="false">1/B10831</f>
        <v>0.00483722730131089</v>
      </c>
      <c r="D10831" s="1" t="n">
        <v>1.852</v>
      </c>
      <c r="E10831" s="1" t="n">
        <f aca="false">LN(D10831)</f>
        <v>0.616266136223988</v>
      </c>
    </row>
    <row r="10832" customFormat="false" ht="15.75" hidden="false" customHeight="false" outlineLevel="0" collapsed="false">
      <c r="A10832" s="1" t="s">
        <v>1200</v>
      </c>
      <c r="B10832" s="1" t="n">
        <v>207.24</v>
      </c>
      <c r="C10832" s="1" t="n">
        <f aca="false">1/B10832</f>
        <v>0.00482532329666088</v>
      </c>
      <c r="D10832" s="1" t="n">
        <v>1.8108</v>
      </c>
      <c r="E10832" s="1" t="n">
        <f aca="false">LN(D10832)</f>
        <v>0.593768736579666</v>
      </c>
    </row>
    <row r="10833" customFormat="false" ht="15.75" hidden="false" customHeight="false" outlineLevel="0" collapsed="false">
      <c r="A10833" s="1" t="s">
        <v>1200</v>
      </c>
      <c r="B10833" s="1" t="n">
        <v>207.75</v>
      </c>
      <c r="C10833" s="1" t="n">
        <f aca="false">1/B10833</f>
        <v>0.00481347773766546</v>
      </c>
      <c r="D10833" s="1" t="n">
        <v>1.7714</v>
      </c>
      <c r="E10833" s="1" t="n">
        <f aca="false">LN(D10833)</f>
        <v>0.571770194393346</v>
      </c>
    </row>
    <row r="10834" customFormat="false" ht="15.75" hidden="false" customHeight="false" outlineLevel="0" collapsed="false">
      <c r="A10834" s="1" t="s">
        <v>1200</v>
      </c>
      <c r="B10834" s="1" t="n">
        <v>208.26</v>
      </c>
      <c r="C10834" s="1" t="n">
        <f aca="false">1/B10834</f>
        <v>0.00480169019494862</v>
      </c>
      <c r="D10834" s="1" t="n">
        <v>1.7335</v>
      </c>
      <c r="E10834" s="1" t="n">
        <f aca="false">LN(D10834)</f>
        <v>0.550142486142941</v>
      </c>
    </row>
    <row r="10835" customFormat="false" ht="15.75" hidden="false" customHeight="false" outlineLevel="0" collapsed="false">
      <c r="A10835" s="1" t="s">
        <v>1200</v>
      </c>
      <c r="B10835" s="1" t="n">
        <v>208.77</v>
      </c>
      <c r="C10835" s="1" t="n">
        <f aca="false">1/B10835</f>
        <v>0.00478996024332998</v>
      </c>
      <c r="D10835" s="1" t="n">
        <v>1.6971</v>
      </c>
      <c r="E10835" s="1" t="n">
        <f aca="false">LN(D10835)</f>
        <v>0.528920912035083</v>
      </c>
    </row>
    <row r="10836" customFormat="false" ht="15.75" hidden="false" customHeight="false" outlineLevel="0" collapsed="false">
      <c r="A10836" s="1" t="s">
        <v>1200</v>
      </c>
      <c r="B10836" s="1" t="n">
        <v>209.28</v>
      </c>
      <c r="C10836" s="1" t="n">
        <f aca="false">1/B10836</f>
        <v>0.0047782874617737</v>
      </c>
      <c r="D10836" s="1" t="n">
        <v>1.662</v>
      </c>
      <c r="E10836" s="1" t="n">
        <f aca="false">LN(D10836)</f>
        <v>0.508021696433256</v>
      </c>
    </row>
    <row r="10837" customFormat="false" ht="15.75" hidden="false" customHeight="false" outlineLevel="0" collapsed="false">
      <c r="A10837" s="1" t="s">
        <v>1200</v>
      </c>
      <c r="B10837" s="1" t="n">
        <v>209.79</v>
      </c>
      <c r="C10837" s="1" t="n">
        <f aca="false">1/B10837</f>
        <v>0.0047666714333381</v>
      </c>
      <c r="D10837" s="1" t="n">
        <v>1.6283</v>
      </c>
      <c r="E10837" s="1" t="n">
        <f aca="false">LN(D10837)</f>
        <v>0.487536525788038</v>
      </c>
    </row>
    <row r="10838" customFormat="false" ht="15.75" hidden="false" customHeight="false" outlineLevel="0" collapsed="false">
      <c r="A10838" s="1" t="s">
        <v>1200</v>
      </c>
      <c r="B10838" s="1" t="n">
        <v>210.3</v>
      </c>
      <c r="C10838" s="1" t="n">
        <f aca="false">1/B10838</f>
        <v>0.00475511174512601</v>
      </c>
      <c r="D10838" s="1" t="n">
        <v>1.5958</v>
      </c>
      <c r="E10838" s="1" t="n">
        <f aca="false">LN(D10838)</f>
        <v>0.467375177892044</v>
      </c>
    </row>
    <row r="10839" customFormat="false" ht="15.75" hidden="false" customHeight="false" outlineLevel="0" collapsed="false">
      <c r="A10839" s="1" t="s">
        <v>1200</v>
      </c>
      <c r="B10839" s="1" t="n">
        <v>210.81</v>
      </c>
      <c r="C10839" s="1" t="n">
        <f aca="false">1/B10839</f>
        <v>0.00474360798823585</v>
      </c>
      <c r="D10839" s="1" t="n">
        <v>1.5645</v>
      </c>
      <c r="E10839" s="1" t="n">
        <f aca="false">LN(D10839)</f>
        <v>0.4475662841268</v>
      </c>
    </row>
    <row r="10840" customFormat="false" ht="15.75" hidden="false" customHeight="false" outlineLevel="0" collapsed="false">
      <c r="A10840" s="1" t="s">
        <v>1200</v>
      </c>
      <c r="B10840" s="1" t="n">
        <v>211.32</v>
      </c>
      <c r="C10840" s="1" t="n">
        <f aca="false">1/B10840</f>
        <v>0.00473215975771342</v>
      </c>
      <c r="D10840" s="1" t="n">
        <v>1.5343</v>
      </c>
      <c r="E10840" s="1" t="n">
        <f aca="false">LN(D10840)</f>
        <v>0.428074250969023</v>
      </c>
    </row>
    <row r="10841" customFormat="false" ht="15.75" hidden="false" customHeight="false" outlineLevel="0" collapsed="false">
      <c r="A10841" s="1" t="s">
        <v>1200</v>
      </c>
      <c r="B10841" s="1" t="n">
        <v>211.83</v>
      </c>
      <c r="C10841" s="1" t="n">
        <f aca="false">1/B10841</f>
        <v>0.00472076665250437</v>
      </c>
      <c r="D10841" s="1" t="n">
        <v>1.5052</v>
      </c>
      <c r="E10841" s="1" t="n">
        <f aca="false">LN(D10841)</f>
        <v>0.408925779737145</v>
      </c>
    </row>
    <row r="10842" customFormat="false" ht="15.75" hidden="false" customHeight="false" outlineLevel="0" collapsed="false">
      <c r="A10842" s="1" t="s">
        <v>1200</v>
      </c>
      <c r="B10842" s="1" t="n">
        <v>212.34</v>
      </c>
      <c r="C10842" s="1" t="n">
        <f aca="false">1/B10842</f>
        <v>0.00470942827540737</v>
      </c>
      <c r="D10842" s="1" t="n">
        <v>1.477</v>
      </c>
      <c r="E10842" s="1" t="n">
        <f aca="false">LN(D10842)</f>
        <v>0.390013003549243</v>
      </c>
    </row>
    <row r="10843" customFormat="false" ht="15.75" hidden="false" customHeight="false" outlineLevel="0" collapsed="false">
      <c r="A10843" s="1" t="s">
        <v>1200</v>
      </c>
      <c r="B10843" s="1" t="n">
        <v>212.85</v>
      </c>
      <c r="C10843" s="1" t="n">
        <f aca="false">1/B10843</f>
        <v>0.00469814423302795</v>
      </c>
      <c r="D10843" s="1" t="n">
        <v>1.4498</v>
      </c>
      <c r="E10843" s="1" t="n">
        <f aca="false">LN(D10843)</f>
        <v>0.37142561588464</v>
      </c>
    </row>
    <row r="10844" customFormat="false" ht="15.75" hidden="false" customHeight="false" outlineLevel="0" collapsed="false">
      <c r="A10844" s="1" t="s">
        <v>1200</v>
      </c>
      <c r="B10844" s="1" t="n">
        <v>213.36</v>
      </c>
      <c r="C10844" s="1" t="n">
        <f aca="false">1/B10844</f>
        <v>0.00468691413573303</v>
      </c>
      <c r="D10844" s="1" t="n">
        <v>1.4235</v>
      </c>
      <c r="E10844" s="1" t="n">
        <f aca="false">LN(D10844)</f>
        <v>0.353118627735955</v>
      </c>
    </row>
    <row r="10845" customFormat="false" ht="15.75" hidden="false" customHeight="false" outlineLevel="0" collapsed="false">
      <c r="A10845" s="1" t="s">
        <v>1200</v>
      </c>
      <c r="B10845" s="1" t="n">
        <v>213.87</v>
      </c>
      <c r="C10845" s="1" t="n">
        <f aca="false">1/B10845</f>
        <v>0.00467573759760602</v>
      </c>
      <c r="D10845" s="1" t="n">
        <v>1.398</v>
      </c>
      <c r="E10845" s="1" t="n">
        <f aca="false">LN(D10845)</f>
        <v>0.335042643811618</v>
      </c>
    </row>
    <row r="10846" customFormat="false" ht="15.75" hidden="false" customHeight="false" outlineLevel="0" collapsed="false">
      <c r="A10846" s="1" t="s">
        <v>1200</v>
      </c>
      <c r="B10846" s="1" t="n">
        <v>214.38</v>
      </c>
      <c r="C10846" s="1" t="n">
        <f aca="false">1/B10846</f>
        <v>0.00466461423640265</v>
      </c>
      <c r="D10846" s="1" t="n">
        <v>1.3733</v>
      </c>
      <c r="E10846" s="1" t="n">
        <f aca="false">LN(D10846)</f>
        <v>0.317216602554099</v>
      </c>
    </row>
    <row r="10847" customFormat="false" ht="15.75" hidden="false" customHeight="false" outlineLevel="0" collapsed="false">
      <c r="A10847" s="1" t="s">
        <v>1200</v>
      </c>
      <c r="B10847" s="1" t="n">
        <v>214.89</v>
      </c>
      <c r="C10847" s="1" t="n">
        <f aca="false">1/B10847</f>
        <v>0.00465354367350738</v>
      </c>
      <c r="D10847" s="1" t="n">
        <v>1.3494</v>
      </c>
      <c r="E10847" s="1" t="n">
        <f aca="false">LN(D10847)</f>
        <v>0.299660049211188</v>
      </c>
    </row>
    <row r="10848" customFormat="false" ht="15.75" hidden="false" customHeight="false" outlineLevel="0" collapsed="false">
      <c r="A10848" s="1" t="s">
        <v>1200</v>
      </c>
      <c r="B10848" s="1" t="n">
        <v>215.4</v>
      </c>
      <c r="C10848" s="1" t="n">
        <f aca="false">1/B10848</f>
        <v>0.00464252553389044</v>
      </c>
      <c r="D10848" s="1" t="n">
        <v>1.3263</v>
      </c>
      <c r="E10848" s="1" t="n">
        <f aca="false">LN(D10848)</f>
        <v>0.28239311051817</v>
      </c>
    </row>
    <row r="10849" customFormat="false" ht="15.75" hidden="false" customHeight="false" outlineLevel="0" collapsed="false">
      <c r="A10849" s="1" t="s">
        <v>1200</v>
      </c>
      <c r="B10849" s="1" t="n">
        <v>215.91</v>
      </c>
      <c r="C10849" s="1" t="n">
        <f aca="false">1/B10849</f>
        <v>0.00463155944606549</v>
      </c>
      <c r="D10849" s="1" t="n">
        <v>1.3038</v>
      </c>
      <c r="E10849" s="1" t="n">
        <f aca="false">LN(D10849)</f>
        <v>0.265283077508302</v>
      </c>
    </row>
    <row r="10850" customFormat="false" ht="15.75" hidden="false" customHeight="false" outlineLevel="0" collapsed="false">
      <c r="A10850" s="1" t="s">
        <v>1200</v>
      </c>
      <c r="B10850" s="1" t="n">
        <v>216.42</v>
      </c>
      <c r="C10850" s="1" t="n">
        <f aca="false">1/B10850</f>
        <v>0.00462064504204787</v>
      </c>
      <c r="D10850" s="1" t="n">
        <v>1.282</v>
      </c>
      <c r="E10850" s="1" t="n">
        <f aca="false">LN(D10850)</f>
        <v>0.248421358498478</v>
      </c>
    </row>
    <row r="10851" customFormat="false" ht="15.75" hidden="false" customHeight="false" outlineLevel="0" collapsed="false">
      <c r="A10851" s="1" t="s">
        <v>1200</v>
      </c>
      <c r="B10851" s="1" t="n">
        <v>216.93</v>
      </c>
      <c r="C10851" s="1" t="n">
        <f aca="false">1/B10851</f>
        <v>0.00460978195731342</v>
      </c>
      <c r="D10851" s="1" t="n">
        <v>1.2609</v>
      </c>
      <c r="E10851" s="1" t="n">
        <f aca="false">LN(D10851)</f>
        <v>0.231825751697044</v>
      </c>
    </row>
    <row r="10852" customFormat="false" ht="15.75" hidden="false" customHeight="false" outlineLevel="0" collapsed="false">
      <c r="A10852" s="1" t="s">
        <v>1200</v>
      </c>
      <c r="B10852" s="1" t="n">
        <v>217.44</v>
      </c>
      <c r="C10852" s="1" t="n">
        <f aca="false">1/B10852</f>
        <v>0.00459896983075791</v>
      </c>
      <c r="D10852" s="1" t="n">
        <v>1.2403</v>
      </c>
      <c r="E10852" s="1" t="n">
        <f aca="false">LN(D10852)</f>
        <v>0.215353285839147</v>
      </c>
    </row>
    <row r="10853" customFormat="false" ht="15.75" hidden="false" customHeight="false" outlineLevel="0" collapsed="false">
      <c r="A10853" s="1" t="s">
        <v>1200</v>
      </c>
      <c r="B10853" s="1" t="n">
        <v>217.95</v>
      </c>
      <c r="C10853" s="1" t="n">
        <f aca="false">1/B10853</f>
        <v>0.00458820830465703</v>
      </c>
      <c r="D10853" s="1" t="n">
        <v>1.2204</v>
      </c>
      <c r="E10853" s="1" t="n">
        <f aca="false">LN(D10853)</f>
        <v>0.199178673860377</v>
      </c>
    </row>
    <row r="10854" customFormat="false" ht="15.75" hidden="false" customHeight="false" outlineLevel="0" collapsed="false">
      <c r="A10854" s="1" t="s">
        <v>1200</v>
      </c>
      <c r="B10854" s="1" t="n">
        <v>218.46</v>
      </c>
      <c r="C10854" s="1" t="n">
        <f aca="false">1/B10854</f>
        <v>0.00457749702462693</v>
      </c>
      <c r="D10854" s="1" t="n">
        <v>1.201</v>
      </c>
      <c r="E10854" s="1" t="n">
        <f aca="false">LN(D10854)</f>
        <v>0.183154543097847</v>
      </c>
    </row>
    <row r="10855" customFormat="false" ht="15.75" hidden="false" customHeight="false" outlineLevel="0" collapsed="false">
      <c r="A10855" s="1" t="s">
        <v>1200</v>
      </c>
      <c r="B10855" s="1" t="n">
        <v>218.97</v>
      </c>
      <c r="C10855" s="1" t="n">
        <f aca="false">1/B10855</f>
        <v>0.00456683563958533</v>
      </c>
      <c r="D10855" s="1" t="n">
        <v>1.1821</v>
      </c>
      <c r="E10855" s="1" t="n">
        <f aca="false">LN(D10855)</f>
        <v>0.167292517774194</v>
      </c>
    </row>
    <row r="10856" customFormat="false" ht="15.75" hidden="false" customHeight="false" outlineLevel="0" collapsed="false">
      <c r="A10856" s="1" t="s">
        <v>1200</v>
      </c>
      <c r="B10856" s="1" t="n">
        <v>219.48</v>
      </c>
      <c r="C10856" s="1" t="n">
        <f aca="false">1/B10856</f>
        <v>0.00455622380171314</v>
      </c>
      <c r="D10856" s="1" t="n">
        <v>1.1638</v>
      </c>
      <c r="E10856" s="1" t="n">
        <f aca="false">LN(D10856)</f>
        <v>0.151690513240432</v>
      </c>
    </row>
    <row r="10857" customFormat="false" ht="15.75" hidden="false" customHeight="false" outlineLevel="0" collapsed="false">
      <c r="A10857" s="1" t="s">
        <v>1200</v>
      </c>
      <c r="B10857" s="1" t="n">
        <v>219.99</v>
      </c>
      <c r="C10857" s="1" t="n">
        <f aca="false">1/B10857</f>
        <v>0.00454566116641665</v>
      </c>
      <c r="D10857" s="1" t="n">
        <v>1.1459</v>
      </c>
      <c r="E10857" s="1" t="n">
        <f aca="false">LN(D10857)</f>
        <v>0.136190354450265</v>
      </c>
    </row>
    <row r="10858" customFormat="false" ht="15.75" hidden="false" customHeight="false" outlineLevel="0" collapsed="false">
      <c r="A10858" s="1" t="s">
        <v>1200</v>
      </c>
      <c r="B10858" s="1" t="n">
        <v>220.5</v>
      </c>
      <c r="C10858" s="1" t="n">
        <f aca="false">1/B10858</f>
        <v>0.00453514739229025</v>
      </c>
      <c r="D10858" s="1" t="n">
        <v>1.1285</v>
      </c>
      <c r="E10858" s="1" t="n">
        <f aca="false">LN(D10858)</f>
        <v>0.120889317275453</v>
      </c>
    </row>
    <row r="10859" customFormat="false" ht="15.75" hidden="false" customHeight="false" outlineLevel="0" collapsed="false">
      <c r="A10859" s="1" t="s">
        <v>1200</v>
      </c>
      <c r="B10859" s="1" t="n">
        <v>221.01</v>
      </c>
      <c r="C10859" s="1" t="n">
        <f aca="false">1/B10859</f>
        <v>0.00452468214107959</v>
      </c>
      <c r="D10859" s="1" t="n">
        <v>1.1116</v>
      </c>
      <c r="E10859" s="1" t="n">
        <f aca="false">LN(D10859)</f>
        <v>0.105800418886212</v>
      </c>
    </row>
    <row r="10860" customFormat="false" ht="15.75" hidden="false" customHeight="false" outlineLevel="0" collapsed="false">
      <c r="A10860" s="1" t="s">
        <v>1200</v>
      </c>
      <c r="B10860" s="1" t="n">
        <v>221.52</v>
      </c>
      <c r="C10860" s="1" t="n">
        <f aca="false">1/B10860</f>
        <v>0.00451426507764536</v>
      </c>
      <c r="D10860" s="1" t="n">
        <v>1.0951</v>
      </c>
      <c r="E10860" s="1" t="n">
        <f aca="false">LN(D10860)</f>
        <v>0.0908456832995764</v>
      </c>
    </row>
    <row r="10861" customFormat="false" ht="15.75" hidden="false" customHeight="false" outlineLevel="0" collapsed="false">
      <c r="A10861" s="1" t="s">
        <v>1200</v>
      </c>
      <c r="B10861" s="1" t="n">
        <v>222.03</v>
      </c>
      <c r="C10861" s="1" t="n">
        <f aca="false">1/B10861</f>
        <v>0.00450389586992749</v>
      </c>
      <c r="D10861" s="1" t="n">
        <v>1.079</v>
      </c>
      <c r="E10861" s="1" t="n">
        <f aca="false">LN(D10861)</f>
        <v>0.0760346862759976</v>
      </c>
    </row>
    <row r="10862" customFormat="false" ht="15.75" hidden="false" customHeight="false" outlineLevel="0" collapsed="false">
      <c r="A10862" s="1" t="s">
        <v>1200</v>
      </c>
      <c r="B10862" s="1" t="n">
        <v>222.54</v>
      </c>
      <c r="C10862" s="1" t="n">
        <f aca="false">1/B10862</f>
        <v>0.00449357418890986</v>
      </c>
      <c r="D10862" s="1" t="n">
        <v>1.0634</v>
      </c>
      <c r="E10862" s="1" t="n">
        <f aca="false">LN(D10862)</f>
        <v>0.061471322088101</v>
      </c>
    </row>
    <row r="10863" customFormat="false" ht="15.75" hidden="false" customHeight="false" outlineLevel="0" collapsed="false">
      <c r="A10863" s="1" t="s">
        <v>1200</v>
      </c>
      <c r="B10863" s="1" t="n">
        <v>223.05</v>
      </c>
      <c r="C10863" s="1" t="n">
        <f aca="false">1/B10863</f>
        <v>0.00448329970858552</v>
      </c>
      <c r="D10863" s="1" t="n">
        <v>1.0481</v>
      </c>
      <c r="E10863" s="1" t="n">
        <f aca="false">LN(D10863)</f>
        <v>0.0469790011939946</v>
      </c>
    </row>
    <row r="10864" customFormat="false" ht="15.75" hidden="false" customHeight="false" outlineLevel="0" collapsed="false">
      <c r="A10864" s="1" t="s">
        <v>1200</v>
      </c>
      <c r="B10864" s="1" t="n">
        <v>223.56</v>
      </c>
      <c r="C10864" s="1" t="n">
        <f aca="false">1/B10864</f>
        <v>0.00447307210592235</v>
      </c>
      <c r="D10864" s="1" t="n">
        <v>1.0332</v>
      </c>
      <c r="E10864" s="1" t="n">
        <f aca="false">LN(D10864)</f>
        <v>0.0326607822395483</v>
      </c>
    </row>
    <row r="10865" customFormat="false" ht="15.75" hidden="false" customHeight="false" outlineLevel="0" collapsed="false">
      <c r="A10865" s="1" t="s">
        <v>1200</v>
      </c>
      <c r="B10865" s="1" t="n">
        <v>224.07</v>
      </c>
      <c r="C10865" s="1" t="n">
        <f aca="false">1/B10865</f>
        <v>0.00446289106082921</v>
      </c>
      <c r="D10865" s="1" t="n">
        <v>1.0186</v>
      </c>
      <c r="E10865" s="1" t="n">
        <f aca="false">LN(D10865)</f>
        <v>0.0184291354683671</v>
      </c>
    </row>
    <row r="10866" customFormat="false" ht="15.75" hidden="false" customHeight="false" outlineLevel="0" collapsed="false">
      <c r="A10866" s="1" t="s">
        <v>1200</v>
      </c>
      <c r="B10866" s="1" t="n">
        <v>224.58</v>
      </c>
      <c r="C10866" s="1" t="n">
        <f aca="false">1/B10866</f>
        <v>0.00445275625612254</v>
      </c>
      <c r="D10866" s="1" t="n">
        <v>1.0044</v>
      </c>
      <c r="E10866" s="1" t="n">
        <f aca="false">LN(D10866)</f>
        <v>0.00439034830129285</v>
      </c>
    </row>
    <row r="10867" customFormat="false" ht="15.75" hidden="false" customHeight="false" outlineLevel="0" collapsed="false">
      <c r="A10867" s="1" t="s">
        <v>1200</v>
      </c>
      <c r="B10867" s="1" t="n">
        <v>225.09</v>
      </c>
      <c r="C10867" s="1" t="n">
        <f aca="false">1/B10867</f>
        <v>0.00444266737749345</v>
      </c>
      <c r="D10867" s="1" t="n">
        <v>0.99057</v>
      </c>
      <c r="E10867" s="1" t="n">
        <f aca="false">LN(D10867)</f>
        <v>-0.0094747439625438</v>
      </c>
    </row>
    <row r="10868" customFormat="false" ht="15.75" hidden="false" customHeight="false" outlineLevel="0" collapsed="false">
      <c r="A10868" s="1" t="s">
        <v>1200</v>
      </c>
      <c r="B10868" s="1" t="n">
        <v>225.6</v>
      </c>
      <c r="C10868" s="1" t="n">
        <f aca="false">1/B10868</f>
        <v>0.00443262411347518</v>
      </c>
      <c r="D10868" s="1" t="n">
        <v>0.97703</v>
      </c>
      <c r="E10868" s="1" t="n">
        <f aca="false">LN(D10868)</f>
        <v>-0.0232379211671785</v>
      </c>
    </row>
    <row r="10869" customFormat="false" ht="15.75" hidden="false" customHeight="false" outlineLevel="0" collapsed="false">
      <c r="A10869" s="1" t="s">
        <v>1200</v>
      </c>
      <c r="B10869" s="1" t="n">
        <v>226.11</v>
      </c>
      <c r="C10869" s="1" t="n">
        <f aca="false">1/B10869</f>
        <v>0.00442262615541108</v>
      </c>
      <c r="D10869" s="1" t="n">
        <v>0.96381</v>
      </c>
      <c r="E10869" s="1" t="n">
        <f aca="false">LN(D10869)</f>
        <v>-0.0368610992331341</v>
      </c>
    </row>
    <row r="10870" customFormat="false" ht="15.75" hidden="false" customHeight="false" outlineLevel="0" collapsed="false">
      <c r="A10870" s="1" t="s">
        <v>1200</v>
      </c>
      <c r="B10870" s="1" t="n">
        <v>226.62</v>
      </c>
      <c r="C10870" s="1" t="n">
        <f aca="false">1/B10870</f>
        <v>0.004412673197423</v>
      </c>
      <c r="D10870" s="1" t="n">
        <v>0.95088</v>
      </c>
      <c r="E10870" s="1" t="n">
        <f aca="false">LN(D10870)</f>
        <v>-0.0503674073637866</v>
      </c>
    </row>
    <row r="10871" customFormat="false" ht="15.75" hidden="false" customHeight="false" outlineLevel="0" collapsed="false">
      <c r="A10871" s="1" t="s">
        <v>1200</v>
      </c>
      <c r="B10871" s="1" t="n">
        <v>227.13</v>
      </c>
      <c r="C10871" s="1" t="n">
        <f aca="false">1/B10871</f>
        <v>0.00440276493638005</v>
      </c>
      <c r="D10871" s="1" t="n">
        <v>0.93825</v>
      </c>
      <c r="E10871" s="1" t="n">
        <f aca="false">LN(D10871)</f>
        <v>-0.0637388409670068</v>
      </c>
    </row>
    <row r="10872" customFormat="false" ht="15.75" hidden="false" customHeight="false" outlineLevel="0" collapsed="false">
      <c r="A10872" s="1" t="s">
        <v>1200</v>
      </c>
      <c r="B10872" s="1" t="n">
        <v>227.64</v>
      </c>
      <c r="C10872" s="1" t="n">
        <f aca="false">1/B10872</f>
        <v>0.00439290107186786</v>
      </c>
      <c r="D10872" s="1" t="n">
        <v>0.9259</v>
      </c>
      <c r="E10872" s="1" t="n">
        <f aca="false">LN(D10872)</f>
        <v>-0.0769890415281357</v>
      </c>
    </row>
    <row r="10873" customFormat="false" ht="15.75" hidden="false" customHeight="false" outlineLevel="0" collapsed="false">
      <c r="A10873" s="1" t="s">
        <v>1200</v>
      </c>
      <c r="B10873" s="1" t="n">
        <v>228.15</v>
      </c>
      <c r="C10873" s="1" t="n">
        <f aca="false">1/B10873</f>
        <v>0.00438308130615823</v>
      </c>
      <c r="D10873" s="1" t="n">
        <v>0.91382</v>
      </c>
      <c r="E10873" s="1" t="n">
        <f aca="false">LN(D10873)</f>
        <v>-0.090121663465204</v>
      </c>
    </row>
    <row r="10874" customFormat="false" ht="15.75" hidden="false" customHeight="false" outlineLevel="0" collapsed="false">
      <c r="A10874" s="1" t="s">
        <v>1200</v>
      </c>
      <c r="B10874" s="1" t="n">
        <v>228.66</v>
      </c>
      <c r="C10874" s="1" t="n">
        <f aca="false">1/B10874</f>
        <v>0.00437330534417913</v>
      </c>
      <c r="D10874" s="1" t="n">
        <v>0.902</v>
      </c>
      <c r="E10874" s="1" t="n">
        <f aca="false">LN(D10874)</f>
        <v>-0.103140758919513</v>
      </c>
    </row>
    <row r="10875" customFormat="false" ht="15.75" hidden="false" customHeight="false" outlineLevel="0" collapsed="false">
      <c r="A10875" s="1" t="s">
        <v>1200</v>
      </c>
      <c r="B10875" s="1" t="n">
        <v>229.17</v>
      </c>
      <c r="C10875" s="1" t="n">
        <f aca="false">1/B10875</f>
        <v>0.00436357289348519</v>
      </c>
      <c r="D10875" s="1" t="n">
        <v>0.89044</v>
      </c>
      <c r="E10875" s="1" t="n">
        <f aca="false">LN(D10875)</f>
        <v>-0.116039556400009</v>
      </c>
    </row>
    <row r="10876" customFormat="false" ht="15.75" hidden="false" customHeight="false" outlineLevel="0" collapsed="false">
      <c r="A10876" s="1" t="s">
        <v>1200</v>
      </c>
      <c r="B10876" s="1" t="n">
        <v>229.68</v>
      </c>
      <c r="C10876" s="1" t="n">
        <f aca="false">1/B10876</f>
        <v>0.00435388366422849</v>
      </c>
      <c r="D10876" s="1" t="n">
        <v>0.87912</v>
      </c>
      <c r="E10876" s="1" t="n">
        <f aca="false">LN(D10876)</f>
        <v>-0.128833871843468</v>
      </c>
    </row>
    <row r="10877" customFormat="false" ht="15.75" hidden="false" customHeight="false" outlineLevel="0" collapsed="false">
      <c r="A10877" s="1" t="s">
        <v>1200</v>
      </c>
      <c r="B10877" s="1" t="n">
        <v>230.19</v>
      </c>
      <c r="C10877" s="1" t="n">
        <f aca="false">1/B10877</f>
        <v>0.00434423736912985</v>
      </c>
      <c r="D10877" s="1" t="n">
        <v>0.86804</v>
      </c>
      <c r="E10877" s="1" t="n">
        <f aca="false">LN(D10877)</f>
        <v>-0.141517482434265</v>
      </c>
    </row>
    <row r="10878" customFormat="false" ht="15.75" hidden="false" customHeight="false" outlineLevel="0" collapsed="false">
      <c r="A10878" s="1" t="s">
        <v>1200</v>
      </c>
      <c r="B10878" s="1" t="n">
        <v>230.7</v>
      </c>
      <c r="C10878" s="1" t="n">
        <f aca="false">1/B10878</f>
        <v>0.00433463372345037</v>
      </c>
      <c r="D10878" s="1" t="n">
        <v>0.8572</v>
      </c>
      <c r="E10878" s="1" t="n">
        <f aca="false">LN(D10878)</f>
        <v>-0.154084015382715</v>
      </c>
    </row>
    <row r="10879" customFormat="false" ht="15.75" hidden="false" customHeight="false" outlineLevel="0" collapsed="false">
      <c r="A10879" s="1" t="s">
        <v>1200</v>
      </c>
      <c r="B10879" s="1" t="n">
        <v>231.21</v>
      </c>
      <c r="C10879" s="1" t="n">
        <f aca="false">1/B10879</f>
        <v>0.00432507244496345</v>
      </c>
      <c r="D10879" s="1" t="n">
        <v>0.84657</v>
      </c>
      <c r="E10879" s="1" t="n">
        <f aca="false">LN(D10879)</f>
        <v>-0.16656238738427</v>
      </c>
    </row>
    <row r="10880" customFormat="false" ht="15.75" hidden="false" customHeight="false" outlineLevel="0" collapsed="false">
      <c r="A10880" s="1" t="s">
        <v>1200</v>
      </c>
      <c r="B10880" s="1" t="n">
        <v>231.72</v>
      </c>
      <c r="C10880" s="1" t="n">
        <f aca="false">1/B10880</f>
        <v>0.00431555325392715</v>
      </c>
      <c r="D10880" s="1" t="n">
        <v>0.83617</v>
      </c>
      <c r="E10880" s="1" t="n">
        <f aca="false">LN(D10880)</f>
        <v>-0.178923337287802</v>
      </c>
    </row>
    <row r="10881" customFormat="false" ht="15.75" hidden="false" customHeight="false" outlineLevel="0" collapsed="false">
      <c r="A10881" s="1" t="s">
        <v>1200</v>
      </c>
      <c r="B10881" s="1" t="n">
        <v>232.23</v>
      </c>
      <c r="C10881" s="1" t="n">
        <f aca="false">1/B10881</f>
        <v>0.00430607587305688</v>
      </c>
      <c r="D10881" s="1" t="n">
        <v>0.82597</v>
      </c>
      <c r="E10881" s="1" t="n">
        <f aca="false">LN(D10881)</f>
        <v>-0.191196825733323</v>
      </c>
    </row>
    <row r="10882" customFormat="false" ht="15.75" hidden="false" customHeight="false" outlineLevel="0" collapsed="false">
      <c r="A10882" s="1" t="s">
        <v>1200</v>
      </c>
      <c r="B10882" s="1" t="n">
        <v>232.74</v>
      </c>
      <c r="C10882" s="1" t="n">
        <f aca="false">1/B10882</f>
        <v>0.0042966400274985</v>
      </c>
      <c r="D10882" s="1" t="n">
        <v>0.81598</v>
      </c>
      <c r="E10882" s="1" t="n">
        <f aca="false">LN(D10882)</f>
        <v>-0.203365434122322</v>
      </c>
    </row>
    <row r="10883" customFormat="false" ht="15.75" hidden="false" customHeight="false" outlineLevel="0" collapsed="false">
      <c r="A10883" s="1" t="s">
        <v>1200</v>
      </c>
      <c r="B10883" s="1" t="n">
        <v>233.25</v>
      </c>
      <c r="C10883" s="1" t="n">
        <f aca="false">1/B10883</f>
        <v>0.00428724544480172</v>
      </c>
      <c r="D10883" s="1" t="n">
        <v>0.80619</v>
      </c>
      <c r="E10883" s="1" t="n">
        <f aca="false">LN(D10883)</f>
        <v>-0.215435832246008</v>
      </c>
    </row>
    <row r="10884" customFormat="false" ht="15.75" hidden="false" customHeight="false" outlineLevel="0" collapsed="false">
      <c r="A10884" s="1" t="s">
        <v>1200</v>
      </c>
      <c r="B10884" s="1" t="n">
        <v>233.76</v>
      </c>
      <c r="C10884" s="1" t="n">
        <f aca="false">1/B10884</f>
        <v>0.00427789185489391</v>
      </c>
      <c r="D10884" s="1" t="n">
        <v>0.79659</v>
      </c>
      <c r="E10884" s="1" t="n">
        <f aca="false">LN(D10884)</f>
        <v>-0.227415161665132</v>
      </c>
    </row>
    <row r="10885" customFormat="false" ht="15.75" hidden="false" customHeight="false" outlineLevel="0" collapsed="false">
      <c r="A10885" s="1" t="s">
        <v>1200</v>
      </c>
      <c r="B10885" s="1" t="n">
        <v>234.27</v>
      </c>
      <c r="C10885" s="1" t="n">
        <f aca="false">1/B10885</f>
        <v>0.00426857899005421</v>
      </c>
      <c r="D10885" s="1" t="n">
        <v>0.78718</v>
      </c>
      <c r="E10885" s="1" t="n">
        <f aca="false">LN(D10885)</f>
        <v>-0.239298340070909</v>
      </c>
    </row>
    <row r="10886" customFormat="false" ht="15.75" hidden="false" customHeight="false" outlineLevel="0" collapsed="false">
      <c r="A10886" s="1" t="s">
        <v>1200</v>
      </c>
      <c r="B10886" s="1" t="n">
        <v>234.78</v>
      </c>
      <c r="C10886" s="1" t="n">
        <f aca="false">1/B10886</f>
        <v>0.00425930658488798</v>
      </c>
      <c r="D10886" s="1" t="n">
        <v>0.77794</v>
      </c>
      <c r="E10886" s="1" t="n">
        <f aca="false">LN(D10886)</f>
        <v>-0.251105878600331</v>
      </c>
    </row>
    <row r="10887" customFormat="false" ht="15.75" hidden="false" customHeight="false" outlineLevel="0" collapsed="false">
      <c r="A10887" s="1" t="s">
        <v>1200</v>
      </c>
      <c r="B10887" s="1" t="n">
        <v>235.29</v>
      </c>
      <c r="C10887" s="1" t="n">
        <f aca="false">1/B10887</f>
        <v>0.00425007437630159</v>
      </c>
      <c r="D10887" s="1" t="n">
        <v>0.76889</v>
      </c>
      <c r="E10887" s="1" t="n">
        <f aca="false">LN(D10887)</f>
        <v>-0.26280736262098</v>
      </c>
    </row>
    <row r="10888" customFormat="false" ht="15.75" hidden="false" customHeight="false" outlineLevel="0" collapsed="false">
      <c r="A10888" s="1" t="s">
        <v>1200</v>
      </c>
      <c r="B10888" s="1" t="n">
        <v>235.8</v>
      </c>
      <c r="C10888" s="1" t="n">
        <f aca="false">1/B10888</f>
        <v>0.00424088210347752</v>
      </c>
      <c r="D10888" s="1" t="n">
        <v>0.76</v>
      </c>
      <c r="E10888" s="1" t="n">
        <f aca="false">LN(D10888)</f>
        <v>-0.27443684570176</v>
      </c>
    </row>
    <row r="10889" customFormat="false" ht="15.75" hidden="false" customHeight="false" outlineLevel="0" collapsed="false">
      <c r="A10889" s="1" t="s">
        <v>1200</v>
      </c>
      <c r="B10889" s="1" t="n">
        <v>236.31</v>
      </c>
      <c r="C10889" s="1" t="n">
        <f aca="false">1/B10889</f>
        <v>0.00423172950784986</v>
      </c>
      <c r="D10889" s="1" t="n">
        <v>0.75128</v>
      </c>
      <c r="E10889" s="1" t="n">
        <f aca="false">LN(D10889)</f>
        <v>-0.285976860485779</v>
      </c>
    </row>
    <row r="10890" customFormat="false" ht="15.75" hidden="false" customHeight="false" outlineLevel="0" collapsed="false">
      <c r="A10890" s="1" t="s">
        <v>1200</v>
      </c>
      <c r="B10890" s="1" t="n">
        <v>236.82</v>
      </c>
      <c r="C10890" s="1" t="n">
        <f aca="false">1/B10890</f>
        <v>0.00422261633307998</v>
      </c>
      <c r="D10890" s="1" t="n">
        <v>0.74272</v>
      </c>
      <c r="E10890" s="1" t="n">
        <f aca="false">LN(D10890)</f>
        <v>-0.297436155896065</v>
      </c>
    </row>
    <row r="10891" customFormat="false" ht="15.75" hidden="false" customHeight="false" outlineLevel="0" collapsed="false">
      <c r="A10891" s="1" t="s">
        <v>1200</v>
      </c>
      <c r="B10891" s="1" t="n">
        <v>237.33</v>
      </c>
      <c r="C10891" s="1" t="n">
        <f aca="false">1/B10891</f>
        <v>0.00421354232503266</v>
      </c>
      <c r="D10891" s="1" t="n">
        <v>0.73432</v>
      </c>
      <c r="E10891" s="1" t="n">
        <f aca="false">LN(D10891)</f>
        <v>-0.308810378071302</v>
      </c>
    </row>
    <row r="10892" customFormat="false" ht="15.75" hidden="false" customHeight="false" outlineLevel="0" collapsed="false">
      <c r="A10892" s="1" t="s">
        <v>1200</v>
      </c>
      <c r="B10892" s="1" t="n">
        <v>237.84</v>
      </c>
      <c r="C10892" s="1" t="n">
        <f aca="false">1/B10892</f>
        <v>0.00420450723175244</v>
      </c>
      <c r="D10892" s="1" t="n">
        <v>0.72608</v>
      </c>
      <c r="E10892" s="1" t="n">
        <f aca="false">LN(D10892)</f>
        <v>-0.32009507739066</v>
      </c>
    </row>
    <row r="10893" customFormat="false" ht="15.75" hidden="false" customHeight="false" outlineLevel="0" collapsed="false">
      <c r="A10893" s="1" t="s">
        <v>1200</v>
      </c>
      <c r="B10893" s="1" t="n">
        <v>238.35</v>
      </c>
      <c r="C10893" s="1" t="n">
        <f aca="false">1/B10893</f>
        <v>0.00419551080344032</v>
      </c>
      <c r="D10893" s="1" t="n">
        <v>0.71798</v>
      </c>
      <c r="E10893" s="1" t="n">
        <f aca="false">LN(D10893)</f>
        <v>-0.331313565475078</v>
      </c>
    </row>
    <row r="10894" customFormat="false" ht="15.75" hidden="false" customHeight="false" outlineLevel="0" collapsed="false">
      <c r="A10894" s="1" t="s">
        <v>1200</v>
      </c>
      <c r="B10894" s="1" t="n">
        <v>238.86</v>
      </c>
      <c r="C10894" s="1" t="n">
        <f aca="false">1/B10894</f>
        <v>0.00418655279243071</v>
      </c>
      <c r="D10894" s="1" t="n">
        <v>0.71002</v>
      </c>
      <c r="E10894" s="1" t="n">
        <f aca="false">LN(D10894)</f>
        <v>-0.342462140329431</v>
      </c>
    </row>
    <row r="10895" customFormat="false" ht="15.75" hidden="false" customHeight="false" outlineLevel="0" collapsed="false">
      <c r="A10895" s="1" t="s">
        <v>1200</v>
      </c>
      <c r="B10895" s="1" t="n">
        <v>239.37</v>
      </c>
      <c r="C10895" s="1" t="n">
        <f aca="false">1/B10895</f>
        <v>0.00417763295316873</v>
      </c>
      <c r="D10895" s="1" t="n">
        <v>0.70221</v>
      </c>
      <c r="E10895" s="1" t="n">
        <f aca="false">LN(D10895)</f>
        <v>-0.353522774392214</v>
      </c>
    </row>
    <row r="10896" customFormat="false" ht="15.75" hidden="false" customHeight="false" outlineLevel="0" collapsed="false">
      <c r="A10896" s="1" t="s">
        <v>1200</v>
      </c>
      <c r="B10896" s="1" t="n">
        <v>239.88</v>
      </c>
      <c r="C10896" s="1" t="n">
        <f aca="false">1/B10896</f>
        <v>0.00416875104218776</v>
      </c>
      <c r="D10896" s="1" t="n">
        <v>0.69454</v>
      </c>
      <c r="E10896" s="1" t="n">
        <f aca="false">LN(D10896)</f>
        <v>-0.364505523053921</v>
      </c>
    </row>
    <row r="10897" customFormat="false" ht="15.75" hidden="false" customHeight="false" outlineLevel="0" collapsed="false">
      <c r="A10897" s="1" t="s">
        <v>1200</v>
      </c>
      <c r="B10897" s="1" t="n">
        <v>240.39</v>
      </c>
      <c r="C10897" s="1" t="n">
        <f aca="false">1/B10897</f>
        <v>0.00415990681808728</v>
      </c>
      <c r="D10897" s="1" t="n">
        <v>0.68699</v>
      </c>
      <c r="E10897" s="1" t="n">
        <f aca="false">LN(D10897)</f>
        <v>-0.375435542906485</v>
      </c>
    </row>
    <row r="10898" customFormat="false" ht="15.75" hidden="false" customHeight="false" outlineLevel="0" collapsed="false">
      <c r="A10898" s="1" t="s">
        <v>1200</v>
      </c>
      <c r="B10898" s="1" t="n">
        <v>240.9</v>
      </c>
      <c r="C10898" s="1" t="n">
        <f aca="false">1/B10898</f>
        <v>0.004151100041511</v>
      </c>
      <c r="D10898" s="1" t="n">
        <v>0.67958</v>
      </c>
      <c r="E10898" s="1" t="n">
        <f aca="false">LN(D10898)</f>
        <v>-0.386280318693331</v>
      </c>
    </row>
    <row r="10899" customFormat="false" ht="15.75" hidden="false" customHeight="false" outlineLevel="0" collapsed="false">
      <c r="A10899" s="1" t="s">
        <v>1200</v>
      </c>
      <c r="B10899" s="1" t="n">
        <v>241.41</v>
      </c>
      <c r="C10899" s="1" t="n">
        <f aca="false">1/B10899</f>
        <v>0.00414233047512531</v>
      </c>
      <c r="D10899" s="1" t="n">
        <v>0.6723</v>
      </c>
      <c r="E10899" s="1" t="n">
        <f aca="false">LN(D10899)</f>
        <v>-0.397050609507146</v>
      </c>
    </row>
    <row r="10900" customFormat="false" ht="15.75" hidden="false" customHeight="false" outlineLevel="0" collapsed="false">
      <c r="A10900" s="1" t="s">
        <v>1200</v>
      </c>
      <c r="B10900" s="1" t="n">
        <v>241.92</v>
      </c>
      <c r="C10900" s="1" t="n">
        <f aca="false">1/B10900</f>
        <v>0.00413359788359788</v>
      </c>
      <c r="D10900" s="1" t="n">
        <v>0.66514</v>
      </c>
      <c r="E10900" s="1" t="n">
        <f aca="false">LN(D10900)</f>
        <v>-0.407757734168049</v>
      </c>
    </row>
    <row r="10901" customFormat="false" ht="15.75" hidden="false" customHeight="false" outlineLevel="0" collapsed="false">
      <c r="A10901" s="1" t="s">
        <v>1200</v>
      </c>
      <c r="B10901" s="1" t="n">
        <v>242.43</v>
      </c>
      <c r="C10901" s="1" t="n">
        <f aca="false">1/B10901</f>
        <v>0.0041249020335767</v>
      </c>
      <c r="D10901" s="1" t="n">
        <v>0.6581</v>
      </c>
      <c r="E10901" s="1" t="n">
        <f aca="false">LN(D10901)</f>
        <v>-0.418398383520064</v>
      </c>
    </row>
    <row r="10902" customFormat="false" ht="15.75" hidden="false" customHeight="false" outlineLevel="0" collapsed="false">
      <c r="A10902" s="1" t="s">
        <v>1200</v>
      </c>
      <c r="B10902" s="1" t="n">
        <v>242.94</v>
      </c>
      <c r="C10902" s="1" t="n">
        <f aca="false">1/B10902</f>
        <v>0.00411624269366922</v>
      </c>
      <c r="D10902" s="1" t="n">
        <v>0.65117</v>
      </c>
      <c r="E10902" s="1" t="n">
        <f aca="false">LN(D10902)</f>
        <v>-0.428984534151075</v>
      </c>
    </row>
    <row r="10903" customFormat="false" ht="15.75" hidden="false" customHeight="false" outlineLevel="0" collapsed="false">
      <c r="A10903" s="1" t="s">
        <v>1200</v>
      </c>
      <c r="B10903" s="1" t="n">
        <v>243.45</v>
      </c>
      <c r="C10903" s="1" t="n">
        <f aca="false">1/B10903</f>
        <v>0.00410761963442185</v>
      </c>
      <c r="D10903" s="1" t="n">
        <v>0.64437</v>
      </c>
      <c r="E10903" s="1" t="n">
        <f aca="false">LN(D10903)</f>
        <v>-0.439482183697855</v>
      </c>
    </row>
    <row r="10904" customFormat="false" ht="15.75" hidden="false" customHeight="false" outlineLevel="0" collapsed="false">
      <c r="A10904" s="1" t="s">
        <v>1200</v>
      </c>
      <c r="B10904" s="1" t="n">
        <v>243.96</v>
      </c>
      <c r="C10904" s="1" t="n">
        <f aca="false">1/B10904</f>
        <v>0.00409903262829972</v>
      </c>
      <c r="D10904" s="1" t="n">
        <v>0.63767</v>
      </c>
      <c r="E10904" s="1" t="n">
        <f aca="false">LN(D10904)</f>
        <v>-0.449934370832125</v>
      </c>
    </row>
    <row r="10905" customFormat="false" ht="15.75" hidden="false" customHeight="false" outlineLevel="0" collapsed="false">
      <c r="A10905" s="1" t="s">
        <v>1200</v>
      </c>
      <c r="B10905" s="1" t="n">
        <v>244.47</v>
      </c>
      <c r="C10905" s="1" t="n">
        <f aca="false">1/B10905</f>
        <v>0.00409048144966663</v>
      </c>
      <c r="D10905" s="1" t="n">
        <v>0.63108</v>
      </c>
      <c r="E10905" s="1" t="n">
        <f aca="false">LN(D10905)</f>
        <v>-0.460322641592884</v>
      </c>
    </row>
    <row r="10906" customFormat="false" ht="15.75" hidden="false" customHeight="false" outlineLevel="0" collapsed="false">
      <c r="A10906" s="1" t="s">
        <v>1200</v>
      </c>
      <c r="B10906" s="1" t="n">
        <v>244.98</v>
      </c>
      <c r="C10906" s="1" t="n">
        <f aca="false">1/B10906</f>
        <v>0.00408196587476529</v>
      </c>
      <c r="D10906" s="1" t="n">
        <v>0.6246</v>
      </c>
      <c r="E10906" s="1" t="n">
        <f aca="false">LN(D10906)</f>
        <v>-0.470643834133159</v>
      </c>
    </row>
    <row r="10907" customFormat="false" ht="15.75" hidden="false" customHeight="false" outlineLevel="0" collapsed="false">
      <c r="A10907" s="1" t="s">
        <v>1200</v>
      </c>
      <c r="B10907" s="1" t="n">
        <v>245.49</v>
      </c>
      <c r="C10907" s="1" t="n">
        <f aca="false">1/B10907</f>
        <v>0.00407348568169783</v>
      </c>
      <c r="D10907" s="1" t="n">
        <v>0.61822</v>
      </c>
      <c r="E10907" s="1" t="n">
        <f aca="false">LN(D10907)</f>
        <v>-0.480910897817788</v>
      </c>
    </row>
    <row r="10908" customFormat="false" ht="15.75" hidden="false" customHeight="false" outlineLevel="0" collapsed="false">
      <c r="A10908" s="1" t="s">
        <v>1200</v>
      </c>
      <c r="B10908" s="1" t="n">
        <v>246</v>
      </c>
      <c r="C10908" s="1" t="n">
        <f aca="false">1/B10908</f>
        <v>0.0040650406504065</v>
      </c>
      <c r="D10908" s="1" t="n">
        <v>0.61195</v>
      </c>
      <c r="E10908" s="1" t="n">
        <f aca="false">LN(D10908)</f>
        <v>-0.49110469915379</v>
      </c>
    </row>
    <row r="10909" customFormat="false" ht="15.75" hidden="false" customHeight="false" outlineLevel="0" collapsed="false">
      <c r="A10909" s="1" t="s">
        <v>1200</v>
      </c>
      <c r="B10909" s="1" t="n">
        <v>246.51</v>
      </c>
      <c r="C10909" s="1" t="n">
        <f aca="false">1/B10909</f>
        <v>0.00405663056265466</v>
      </c>
      <c r="D10909" s="1" t="n">
        <v>0.60577</v>
      </c>
      <c r="E10909" s="1" t="n">
        <f aca="false">LN(D10909)</f>
        <v>-0.501254902909376</v>
      </c>
    </row>
    <row r="10910" customFormat="false" ht="15.75" hidden="false" customHeight="false" outlineLevel="0" collapsed="false">
      <c r="A10910" s="1" t="s">
        <v>1200</v>
      </c>
      <c r="B10910" s="1" t="n">
        <v>247.02</v>
      </c>
      <c r="C10910" s="1" t="n">
        <f aca="false">1/B10910</f>
        <v>0.00404825520200793</v>
      </c>
      <c r="D10910" s="1" t="n">
        <v>0.59969</v>
      </c>
      <c r="E10910" s="1" t="n">
        <f aca="false">LN(D10910)</f>
        <v>-0.511342423950871</v>
      </c>
    </row>
    <row r="10911" customFormat="false" ht="15.75" hidden="false" customHeight="false" outlineLevel="0" collapsed="false">
      <c r="A10911" s="1" t="s">
        <v>1200</v>
      </c>
      <c r="B10911" s="1" t="n">
        <v>247.53</v>
      </c>
      <c r="C10911" s="1" t="n">
        <f aca="false">1/B10911</f>
        <v>0.0040399143538157</v>
      </c>
      <c r="D10911" s="1" t="n">
        <v>0.59371</v>
      </c>
      <c r="E10911" s="1" t="n">
        <f aca="false">LN(D10911)</f>
        <v>-0.521364294323693</v>
      </c>
    </row>
    <row r="10912" customFormat="false" ht="15.75" hidden="false" customHeight="false" outlineLevel="0" collapsed="false">
      <c r="A10912" s="1" t="s">
        <v>1200</v>
      </c>
      <c r="B10912" s="1" t="n">
        <v>248.04</v>
      </c>
      <c r="C10912" s="1" t="n">
        <f aca="false">1/B10912</f>
        <v>0.00403160780519271</v>
      </c>
      <c r="D10912" s="1" t="n">
        <v>0.58781</v>
      </c>
      <c r="E10912" s="1" t="n">
        <f aca="false">LN(D10912)</f>
        <v>-0.531351512552716</v>
      </c>
    </row>
    <row r="10913" customFormat="false" ht="15.75" hidden="false" customHeight="false" outlineLevel="0" collapsed="false">
      <c r="A10913" s="1" t="s">
        <v>1200</v>
      </c>
      <c r="B10913" s="1" t="n">
        <v>248.55</v>
      </c>
      <c r="C10913" s="1" t="n">
        <f aca="false">1/B10913</f>
        <v>0.00402333534500101</v>
      </c>
      <c r="D10913" s="1" t="n">
        <v>0.58201</v>
      </c>
      <c r="E10913" s="1" t="n">
        <f aca="false">LN(D10913)</f>
        <v>-0.541267649267726</v>
      </c>
    </row>
    <row r="10914" customFormat="false" ht="15.75" hidden="false" customHeight="false" outlineLevel="0" collapsed="false">
      <c r="A10914" s="1" t="s">
        <v>1200</v>
      </c>
      <c r="B10914" s="1" t="n">
        <v>249.06</v>
      </c>
      <c r="C10914" s="1" t="n">
        <f aca="false">1/B10914</f>
        <v>0.00401509676383201</v>
      </c>
      <c r="D10914" s="1" t="n">
        <v>0.5763</v>
      </c>
      <c r="E10914" s="1" t="n">
        <f aca="false">LN(D10914)</f>
        <v>-0.551126920539516</v>
      </c>
    </row>
    <row r="10915" customFormat="false" ht="15.75" hidden="false" customHeight="false" outlineLevel="0" collapsed="false">
      <c r="A10915" s="1" t="s">
        <v>1200</v>
      </c>
      <c r="B10915" s="1" t="n">
        <v>249.57</v>
      </c>
      <c r="C10915" s="1" t="n">
        <f aca="false">1/B10915</f>
        <v>0.00400689185398886</v>
      </c>
      <c r="D10915" s="1" t="n">
        <v>0.57067</v>
      </c>
      <c r="E10915" s="1" t="n">
        <f aca="false">LN(D10915)</f>
        <v>-0.560944169844123</v>
      </c>
    </row>
    <row r="10916" customFormat="false" ht="15.75" hidden="false" customHeight="false" outlineLevel="0" collapsed="false">
      <c r="A10916" s="1" t="s">
        <v>1200</v>
      </c>
      <c r="B10916" s="1" t="n">
        <v>250.08</v>
      </c>
      <c r="C10916" s="1" t="n">
        <f aca="false">1/B10916</f>
        <v>0.00399872040946897</v>
      </c>
      <c r="D10916" s="1" t="n">
        <v>0.56512</v>
      </c>
      <c r="E10916" s="1" t="n">
        <f aca="false">LN(D10916)</f>
        <v>-0.570717181006597</v>
      </c>
    </row>
    <row r="10917" customFormat="false" ht="15.75" hidden="false" customHeight="false" outlineLevel="0" collapsed="false">
      <c r="A10917" s="1" t="s">
        <v>1200</v>
      </c>
      <c r="B10917" s="1" t="n">
        <v>250.59</v>
      </c>
      <c r="C10917" s="1" t="n">
        <f aca="false">1/B10917</f>
        <v>0.00399058222594677</v>
      </c>
      <c r="D10917" s="1" t="n">
        <v>0.55966</v>
      </c>
      <c r="E10917" s="1" t="n">
        <f aca="false">LN(D10917)</f>
        <v>-0.580425822495946</v>
      </c>
    </row>
    <row r="10918" customFormat="false" ht="15.75" hidden="false" customHeight="false" outlineLevel="0" collapsed="false">
      <c r="A10918" s="1" t="s">
        <v>1200</v>
      </c>
      <c r="B10918" s="1" t="n">
        <v>251.1</v>
      </c>
      <c r="C10918" s="1" t="n">
        <f aca="false">1/B10918</f>
        <v>0.00398247710075667</v>
      </c>
      <c r="D10918" s="1" t="n">
        <v>0.55428</v>
      </c>
      <c r="E10918" s="1" t="n">
        <f aca="false">LN(D10918)</f>
        <v>-0.590085304751623</v>
      </c>
    </row>
    <row r="10919" customFormat="false" ht="15.75" hidden="false" customHeight="false" outlineLevel="0" collapsed="false">
      <c r="A10919" s="1" t="s">
        <v>1200</v>
      </c>
      <c r="B10919" s="1" t="n">
        <v>251.61</v>
      </c>
      <c r="C10919" s="1" t="n">
        <f aca="false">1/B10919</f>
        <v>0.00397440483287628</v>
      </c>
      <c r="D10919" s="1" t="n">
        <v>0.54897</v>
      </c>
      <c r="E10919" s="1" t="n">
        <f aca="false">LN(D10919)</f>
        <v>-0.599711483774432</v>
      </c>
    </row>
    <row r="10920" customFormat="false" ht="15.75" hidden="false" customHeight="false" outlineLevel="0" collapsed="false">
      <c r="A10920" s="1" t="s">
        <v>1200</v>
      </c>
      <c r="B10920" s="1" t="n">
        <v>252.12</v>
      </c>
      <c r="C10920" s="1" t="n">
        <f aca="false">1/B10920</f>
        <v>0.00396636522290973</v>
      </c>
      <c r="D10920" s="1" t="n">
        <v>0.54375</v>
      </c>
      <c r="E10920" s="1" t="n">
        <f aca="false">LN(D10920)</f>
        <v>-0.609265696579243</v>
      </c>
    </row>
    <row r="10921" customFormat="false" ht="15.75" hidden="false" customHeight="false" outlineLevel="0" collapsed="false">
      <c r="A10921" s="1" t="s">
        <v>1200</v>
      </c>
      <c r="B10921" s="1" t="n">
        <v>252.63</v>
      </c>
      <c r="C10921" s="1" t="n">
        <f aca="false">1/B10921</f>
        <v>0.00395835807307129</v>
      </c>
      <c r="D10921" s="1" t="n">
        <v>0.5386</v>
      </c>
      <c r="E10921" s="1" t="n">
        <f aca="false">LN(D10921)</f>
        <v>-0.618782098604639</v>
      </c>
    </row>
    <row r="10922" customFormat="false" ht="15.75" hidden="false" customHeight="false" outlineLevel="0" collapsed="false">
      <c r="A10922" s="1" t="s">
        <v>1200</v>
      </c>
      <c r="B10922" s="1" t="n">
        <v>253.14</v>
      </c>
      <c r="C10922" s="1" t="n">
        <f aca="false">1/B10922</f>
        <v>0.00395038318716916</v>
      </c>
      <c r="D10922" s="1" t="n">
        <v>0.53352</v>
      </c>
      <c r="E10922" s="1" t="n">
        <f aca="false">LN(D10922)</f>
        <v>-0.628258720658086</v>
      </c>
    </row>
    <row r="10923" customFormat="false" ht="15.75" hidden="false" customHeight="false" outlineLevel="0" collapsed="false">
      <c r="A10923" s="1" t="s">
        <v>1200</v>
      </c>
      <c r="B10923" s="1" t="n">
        <v>253.65</v>
      </c>
      <c r="C10923" s="1" t="n">
        <f aca="false">1/B10923</f>
        <v>0.00394244037058939</v>
      </c>
      <c r="D10923" s="1" t="n">
        <v>0.52851</v>
      </c>
      <c r="E10923" s="1" t="n">
        <f aca="false">LN(D10923)</f>
        <v>-0.637693552374978</v>
      </c>
    </row>
    <row r="10924" customFormat="false" ht="15.75" hidden="false" customHeight="false" outlineLevel="0" collapsed="false">
      <c r="A10924" s="1" t="s">
        <v>1200</v>
      </c>
      <c r="B10924" s="1" t="n">
        <v>254.16</v>
      </c>
      <c r="C10924" s="1" t="n">
        <f aca="false">1/B10924</f>
        <v>0.00393452943028014</v>
      </c>
      <c r="D10924" s="1" t="n">
        <v>0.52358</v>
      </c>
      <c r="E10924" s="1" t="n">
        <f aca="false">LN(D10924)</f>
        <v>-0.64706544277294</v>
      </c>
    </row>
    <row r="10925" customFormat="false" ht="15.75" hidden="false" customHeight="false" outlineLevel="0" collapsed="false">
      <c r="A10925" s="1" t="s">
        <v>1200</v>
      </c>
      <c r="B10925" s="1" t="n">
        <v>254.67</v>
      </c>
      <c r="C10925" s="1" t="n">
        <f aca="false">1/B10925</f>
        <v>0.00392665017473593</v>
      </c>
      <c r="D10925" s="1" t="n">
        <v>0.51871</v>
      </c>
      <c r="E10925" s="1" t="n">
        <f aca="false">LN(D10925)</f>
        <v>-0.656410318843972</v>
      </c>
    </row>
    <row r="10926" customFormat="false" ht="15.75" hidden="false" customHeight="false" outlineLevel="0" collapsed="false">
      <c r="A10926" s="1" t="s">
        <v>1200</v>
      </c>
      <c r="B10926" s="1" t="n">
        <v>255.18</v>
      </c>
      <c r="C10926" s="1" t="n">
        <f aca="false">1/B10926</f>
        <v>0.00391880241398229</v>
      </c>
      <c r="D10926" s="1" t="n">
        <v>0.51392</v>
      </c>
      <c r="E10926" s="1" t="n">
        <f aca="false">LN(D10926)</f>
        <v>-0.665687667663795</v>
      </c>
    </row>
    <row r="10927" customFormat="false" ht="15.75" hidden="false" customHeight="false" outlineLevel="0" collapsed="false">
      <c r="A10927" s="1" t="s">
        <v>1200</v>
      </c>
      <c r="B10927" s="1" t="n">
        <v>255.69</v>
      </c>
      <c r="C10927" s="1" t="n">
        <f aca="false">1/B10927</f>
        <v>0.00391098595956041</v>
      </c>
      <c r="D10927" s="1" t="n">
        <v>0.50919</v>
      </c>
      <c r="E10927" s="1" t="n">
        <f aca="false">LN(D10927)</f>
        <v>-0.674934051140587</v>
      </c>
    </row>
    <row r="10928" customFormat="false" ht="15.75" hidden="false" customHeight="false" outlineLevel="0" collapsed="false">
      <c r="A10928" s="1" t="s">
        <v>1200</v>
      </c>
      <c r="B10928" s="1" t="n">
        <v>256.2</v>
      </c>
      <c r="C10928" s="1" t="n">
        <f aca="false">1/B10928</f>
        <v>0.0039032006245121</v>
      </c>
      <c r="D10928" s="1" t="n">
        <v>0.50452</v>
      </c>
      <c r="E10928" s="1" t="n">
        <f aca="false">LN(D10928)</f>
        <v>-0.684147796763145</v>
      </c>
    </row>
    <row r="10929" customFormat="false" ht="15.75" hidden="false" customHeight="false" outlineLevel="0" collapsed="false">
      <c r="A10929" s="1" t="s">
        <v>1200</v>
      </c>
      <c r="B10929" s="1" t="n">
        <v>256.71</v>
      </c>
      <c r="C10929" s="1" t="n">
        <f aca="false">1/B10929</f>
        <v>0.00389544622336489</v>
      </c>
      <c r="D10929" s="1" t="n">
        <v>0.49992</v>
      </c>
      <c r="E10929" s="1" t="n">
        <f aca="false">LN(D10929)</f>
        <v>-0.693307193361311</v>
      </c>
    </row>
    <row r="10930" customFormat="false" ht="15.75" hidden="false" customHeight="false" outlineLevel="0" collapsed="false">
      <c r="A10930" s="1" t="s">
        <v>1200</v>
      </c>
      <c r="B10930" s="1" t="n">
        <v>257.22</v>
      </c>
      <c r="C10930" s="1" t="n">
        <f aca="false">1/B10930</f>
        <v>0.00388772257211725</v>
      </c>
      <c r="D10930" s="1" t="n">
        <v>0.49537</v>
      </c>
      <c r="E10930" s="1" t="n">
        <f aca="false">LN(D10930)</f>
        <v>-0.70245032088609</v>
      </c>
    </row>
    <row r="10931" customFormat="false" ht="15.75" hidden="false" customHeight="false" outlineLevel="0" collapsed="false">
      <c r="A10931" s="1" t="s">
        <v>1200</v>
      </c>
      <c r="B10931" s="1" t="n">
        <v>257.73</v>
      </c>
      <c r="C10931" s="1" t="n">
        <f aca="false">1/B10931</f>
        <v>0.00388002948822411</v>
      </c>
      <c r="D10931" s="1" t="n">
        <v>0.49089</v>
      </c>
      <c r="E10931" s="1" t="n">
        <f aca="false">LN(D10931)</f>
        <v>-0.711535208873223</v>
      </c>
    </row>
    <row r="10932" customFormat="false" ht="15.75" hidden="false" customHeight="false" outlineLevel="0" collapsed="false">
      <c r="A10932" s="1" t="s">
        <v>1200</v>
      </c>
      <c r="B10932" s="1" t="n">
        <v>258.24</v>
      </c>
      <c r="C10932" s="1" t="n">
        <f aca="false">1/B10932</f>
        <v>0.0038723667905824</v>
      </c>
      <c r="D10932" s="1" t="n">
        <v>0.48647</v>
      </c>
      <c r="E10932" s="1" t="n">
        <f aca="false">LN(D10932)</f>
        <v>-0.72058004421119</v>
      </c>
    </row>
    <row r="10933" customFormat="false" ht="15.75" hidden="false" customHeight="false" outlineLevel="0" collapsed="false">
      <c r="A10933" s="1" t="s">
        <v>1200</v>
      </c>
      <c r="B10933" s="1" t="n">
        <v>258.75</v>
      </c>
      <c r="C10933" s="1" t="n">
        <f aca="false">1/B10933</f>
        <v>0.00386473429951691</v>
      </c>
      <c r="D10933" s="1" t="n">
        <v>0.48211</v>
      </c>
      <c r="E10933" s="1" t="n">
        <f aca="false">LN(D10933)</f>
        <v>-0.729582975201159</v>
      </c>
    </row>
    <row r="10934" customFormat="false" ht="15.75" hidden="false" customHeight="false" outlineLevel="0" collapsed="false">
      <c r="A10934" s="1" t="s">
        <v>1200</v>
      </c>
      <c r="B10934" s="1" t="n">
        <v>259.26</v>
      </c>
      <c r="C10934" s="1" t="n">
        <f aca="false">1/B10934</f>
        <v>0.00385713183676618</v>
      </c>
      <c r="D10934" s="1" t="n">
        <v>0.47781</v>
      </c>
      <c r="E10934" s="1" t="n">
        <f aca="false">LN(D10934)</f>
        <v>-0.738542115050338</v>
      </c>
    </row>
    <row r="10935" customFormat="false" ht="15.75" hidden="false" customHeight="false" outlineLevel="0" collapsed="false">
      <c r="A10935" s="1" t="s">
        <v>1200</v>
      </c>
      <c r="B10935" s="1" t="n">
        <v>259.77</v>
      </c>
      <c r="C10935" s="1" t="n">
        <f aca="false">1/B10935</f>
        <v>0.00384955922546868</v>
      </c>
      <c r="D10935" s="1" t="n">
        <v>0.47356</v>
      </c>
      <c r="E10935" s="1" t="n">
        <f aca="false">LN(D10935)</f>
        <v>-0.747476658438702</v>
      </c>
    </row>
    <row r="10936" customFormat="false" ht="15.75" hidden="false" customHeight="false" outlineLevel="0" collapsed="false">
      <c r="A10936" s="1" t="s">
        <v>1200</v>
      </c>
      <c r="B10936" s="1" t="n">
        <v>260.28</v>
      </c>
      <c r="C10936" s="1" t="n">
        <f aca="false">1/B10936</f>
        <v>0.00384201629014907</v>
      </c>
      <c r="D10936" s="1" t="n">
        <v>0.46937</v>
      </c>
      <c r="E10936" s="1" t="n">
        <f aca="false">LN(D10936)</f>
        <v>-0.756363908983858</v>
      </c>
    </row>
    <row r="10937" customFormat="false" ht="15.75" hidden="false" customHeight="false" outlineLevel="0" collapsed="false">
      <c r="A10937" s="1" t="s">
        <v>1200</v>
      </c>
      <c r="B10937" s="1" t="n">
        <v>260.79</v>
      </c>
      <c r="C10937" s="1" t="n">
        <f aca="false">1/B10937</f>
        <v>0.00383450285670463</v>
      </c>
      <c r="D10937" s="1" t="n">
        <v>0.46523</v>
      </c>
      <c r="E10937" s="1" t="n">
        <f aca="false">LN(D10937)</f>
        <v>-0.765223372024825</v>
      </c>
    </row>
    <row r="10938" customFormat="false" ht="15.75" hidden="false" customHeight="false" outlineLevel="0" collapsed="false">
      <c r="A10938" s="1" t="s">
        <v>1200</v>
      </c>
      <c r="B10938" s="1" t="n">
        <v>261.3</v>
      </c>
      <c r="C10938" s="1" t="n">
        <f aca="false">1/B10938</f>
        <v>0.00382701875239189</v>
      </c>
      <c r="D10938" s="1" t="n">
        <v>0.46114</v>
      </c>
      <c r="E10938" s="1" t="n">
        <f aca="false">LN(D10938)</f>
        <v>-0.77405359445367</v>
      </c>
    </row>
    <row r="10939" customFormat="false" ht="15.75" hidden="false" customHeight="false" outlineLevel="0" collapsed="false">
      <c r="A10939" s="1" t="s">
        <v>1200</v>
      </c>
      <c r="B10939" s="1" t="n">
        <v>261.81</v>
      </c>
      <c r="C10939" s="1" t="n">
        <f aca="false">1/B10939</f>
        <v>0.00381956380581338</v>
      </c>
      <c r="D10939" s="1" t="n">
        <v>0.45711</v>
      </c>
      <c r="E10939" s="1" t="n">
        <f aca="false">LN(D10939)</f>
        <v>-0.782831216832764</v>
      </c>
    </row>
    <row r="10940" customFormat="false" ht="15.75" hidden="false" customHeight="false" outlineLevel="0" collapsed="false">
      <c r="A10940" s="1" t="s">
        <v>1200</v>
      </c>
      <c r="B10940" s="1" t="n">
        <v>262.32</v>
      </c>
      <c r="C10940" s="1" t="n">
        <f aca="false">1/B10940</f>
        <v>0.00381213784690454</v>
      </c>
      <c r="D10940" s="1" t="n">
        <v>0.45313</v>
      </c>
      <c r="E10940" s="1" t="n">
        <f aca="false">LN(D10940)</f>
        <v>-0.791576218951319</v>
      </c>
    </row>
    <row r="10941" customFormat="false" ht="15.75" hidden="false" customHeight="false" outlineLevel="0" collapsed="false">
      <c r="A10941" s="1" t="s">
        <v>1200</v>
      </c>
      <c r="B10941" s="1" t="n">
        <v>262.83</v>
      </c>
      <c r="C10941" s="1" t="n">
        <f aca="false">1/B10941</f>
        <v>0.00380474070692082</v>
      </c>
      <c r="D10941" s="1" t="n">
        <v>0.44919</v>
      </c>
      <c r="E10941" s="1" t="n">
        <f aca="false">LN(D10941)</f>
        <v>-0.8003093181644</v>
      </c>
    </row>
    <row r="10942" customFormat="false" ht="15.75" hidden="false" customHeight="false" outlineLevel="0" collapsed="false">
      <c r="A10942" s="1" t="s">
        <v>1200</v>
      </c>
      <c r="B10942" s="1" t="n">
        <v>263.34</v>
      </c>
      <c r="C10942" s="1" t="n">
        <f aca="false">1/B10942</f>
        <v>0.00379737221842485</v>
      </c>
      <c r="D10942" s="1" t="n">
        <v>0.44531</v>
      </c>
      <c r="E10942" s="1" t="n">
        <f aca="false">LN(D10942)</f>
        <v>-0.808984610135913</v>
      </c>
    </row>
    <row r="10943" customFormat="false" ht="15.75" hidden="false" customHeight="false" outlineLevel="0" collapsed="false">
      <c r="A10943" s="1" t="s">
        <v>1200</v>
      </c>
      <c r="B10943" s="1" t="n">
        <v>263.85</v>
      </c>
      <c r="C10943" s="1" t="n">
        <f aca="false">1/B10943</f>
        <v>0.00379003221527383</v>
      </c>
      <c r="D10943" s="1" t="n">
        <v>0.44147</v>
      </c>
      <c r="E10943" s="1" t="n">
        <f aca="false">LN(D10943)</f>
        <v>-0.817645211416715</v>
      </c>
    </row>
    <row r="10944" customFormat="false" ht="15.75" hidden="false" customHeight="false" outlineLevel="0" collapsed="false">
      <c r="A10944" s="1" t="s">
        <v>1200</v>
      </c>
      <c r="B10944" s="1" t="n">
        <v>264.36</v>
      </c>
      <c r="C10944" s="1" t="n">
        <f aca="false">1/B10944</f>
        <v>0.00378272053260705</v>
      </c>
      <c r="D10944" s="1" t="n">
        <v>0.43768</v>
      </c>
      <c r="E10944" s="1" t="n">
        <f aca="false">LN(D10944)</f>
        <v>-0.826267229226567</v>
      </c>
    </row>
    <row r="10945" customFormat="false" ht="15.75" hidden="false" customHeight="false" outlineLevel="0" collapsed="false">
      <c r="A10945" s="1" t="s">
        <v>1200</v>
      </c>
      <c r="B10945" s="1" t="n">
        <v>264.87</v>
      </c>
      <c r="C10945" s="1" t="n">
        <f aca="false">1/B10945</f>
        <v>0.00377543700683354</v>
      </c>
      <c r="D10945" s="1" t="n">
        <v>0.43394</v>
      </c>
      <c r="E10945" s="1" t="n">
        <f aca="false">LN(D10945)</f>
        <v>-0.834849003286911</v>
      </c>
    </row>
    <row r="10946" customFormat="false" ht="15.75" hidden="false" customHeight="false" outlineLevel="0" collapsed="false">
      <c r="A10946" s="1" t="s">
        <v>1200</v>
      </c>
      <c r="B10946" s="1" t="n">
        <v>265.38</v>
      </c>
      <c r="C10946" s="1" t="n">
        <f aca="false">1/B10946</f>
        <v>0.00376818147561987</v>
      </c>
      <c r="D10946" s="1" t="n">
        <v>0.43025</v>
      </c>
      <c r="E10946" s="1" t="n">
        <f aca="false">LN(D10946)</f>
        <v>-0.843388843890488</v>
      </c>
    </row>
    <row r="10947" customFormat="false" ht="15.75" hidden="false" customHeight="false" outlineLevel="0" collapsed="false">
      <c r="A10947" s="1" t="s">
        <v>1200</v>
      </c>
      <c r="B10947" s="1" t="n">
        <v>265.89</v>
      </c>
      <c r="C10947" s="1" t="n">
        <f aca="false">1/B10947</f>
        <v>0.00376095377787807</v>
      </c>
      <c r="D10947" s="1" t="n">
        <v>0.42659</v>
      </c>
      <c r="E10947" s="1" t="n">
        <f aca="false">LN(D10947)</f>
        <v>-0.851931914382317</v>
      </c>
    </row>
    <row r="10948" customFormat="false" ht="15.75" hidden="false" customHeight="false" outlineLevel="0" collapsed="false">
      <c r="A10948" s="1" t="s">
        <v>1200</v>
      </c>
      <c r="B10948" s="1" t="n">
        <v>266.4</v>
      </c>
      <c r="C10948" s="1" t="n">
        <f aca="false">1/B10948</f>
        <v>0.00375375375375375</v>
      </c>
      <c r="D10948" s="1" t="n">
        <v>0.42299</v>
      </c>
      <c r="E10948" s="1" t="n">
        <f aca="false">LN(D10948)</f>
        <v>-0.860406740877242</v>
      </c>
    </row>
    <row r="10949" customFormat="false" ht="15.75" hidden="false" customHeight="false" outlineLevel="0" collapsed="false">
      <c r="A10949" s="1" t="s">
        <v>1200</v>
      </c>
      <c r="B10949" s="1" t="n">
        <v>266.91</v>
      </c>
      <c r="C10949" s="1" t="n">
        <f aca="false">1/B10949</f>
        <v>0.00374658124461429</v>
      </c>
      <c r="D10949" s="1" t="n">
        <v>0.41942</v>
      </c>
      <c r="E10949" s="1" t="n">
        <f aca="false">LN(D10949)</f>
        <v>-0.868882474479164</v>
      </c>
    </row>
    <row r="10950" customFormat="false" ht="15.75" hidden="false" customHeight="false" outlineLevel="0" collapsed="false">
      <c r="A10950" s="1" t="s">
        <v>1200</v>
      </c>
      <c r="B10950" s="1" t="n">
        <v>267.42</v>
      </c>
      <c r="C10950" s="1" t="n">
        <f aca="false">1/B10950</f>
        <v>0.00373943609303717</v>
      </c>
      <c r="D10950" s="1" t="n">
        <v>0.4159</v>
      </c>
      <c r="E10950" s="1" t="n">
        <f aca="false">LN(D10950)</f>
        <v>-0.877310432233271</v>
      </c>
    </row>
    <row r="10951" customFormat="false" ht="15.75" hidden="false" customHeight="false" outlineLevel="0" collapsed="false">
      <c r="A10951" s="1" t="s">
        <v>1200</v>
      </c>
      <c r="B10951" s="1" t="n">
        <v>267.93</v>
      </c>
      <c r="C10951" s="1" t="n">
        <f aca="false">1/B10951</f>
        <v>0.00373231814279849</v>
      </c>
      <c r="D10951" s="1" t="n">
        <v>0.41241</v>
      </c>
      <c r="E10951" s="1" t="n">
        <f aca="false">LN(D10951)</f>
        <v>-0.885737278830699</v>
      </c>
    </row>
    <row r="10952" customFormat="false" ht="15.75" hidden="false" customHeight="false" outlineLevel="0" collapsed="false">
      <c r="A10952" s="1" t="s">
        <v>1200</v>
      </c>
      <c r="B10952" s="1" t="n">
        <v>268.44</v>
      </c>
      <c r="C10952" s="1" t="n">
        <f aca="false">1/B10952</f>
        <v>0.00372522723886157</v>
      </c>
      <c r="D10952" s="1" t="n">
        <v>0.40897</v>
      </c>
      <c r="E10952" s="1" t="n">
        <f aca="false">LN(D10952)</f>
        <v>-0.894113475262803</v>
      </c>
    </row>
    <row r="10953" customFormat="false" ht="15.75" hidden="false" customHeight="false" outlineLevel="0" collapsed="false">
      <c r="A10953" s="1" t="s">
        <v>1200</v>
      </c>
      <c r="B10953" s="1" t="n">
        <v>268.95</v>
      </c>
      <c r="C10953" s="1" t="n">
        <f aca="false">1/B10953</f>
        <v>0.00371816322736568</v>
      </c>
      <c r="D10953" s="1" t="n">
        <v>0.40557</v>
      </c>
      <c r="E10953" s="1" t="n">
        <f aca="false">LN(D10953)</f>
        <v>-0.902461793937713</v>
      </c>
    </row>
    <row r="10954" customFormat="false" ht="15.75" hidden="false" customHeight="false" outlineLevel="0" collapsed="false">
      <c r="A10954" s="1" t="s">
        <v>1200</v>
      </c>
      <c r="B10954" s="1" t="n">
        <v>269.46</v>
      </c>
      <c r="C10954" s="1" t="n">
        <f aca="false">1/B10954</f>
        <v>0.00371112595561493</v>
      </c>
      <c r="D10954" s="1" t="n">
        <v>0.40221</v>
      </c>
      <c r="E10954" s="1" t="n">
        <f aca="false">LN(D10954)</f>
        <v>-0.910780938700558</v>
      </c>
    </row>
    <row r="10955" customFormat="false" ht="15.75" hidden="false" customHeight="false" outlineLevel="0" collapsed="false">
      <c r="A10955" s="1" t="s">
        <v>1200</v>
      </c>
      <c r="B10955" s="1" t="n">
        <v>269.97</v>
      </c>
      <c r="C10955" s="1" t="n">
        <f aca="false">1/B10955</f>
        <v>0.00370411527206727</v>
      </c>
      <c r="D10955" s="1" t="n">
        <v>0.39889</v>
      </c>
      <c r="E10955" s="1" t="n">
        <f aca="false">LN(D10955)</f>
        <v>-0.919069589324591</v>
      </c>
    </row>
    <row r="10956" customFormat="false" ht="15.75" hidden="false" customHeight="false" outlineLevel="0" collapsed="false">
      <c r="A10956" s="1" t="s">
        <v>1200</v>
      </c>
      <c r="B10956" s="1" t="n">
        <v>270.48</v>
      </c>
      <c r="C10956" s="1" t="n">
        <f aca="false">1/B10956</f>
        <v>0.00369713102632357</v>
      </c>
      <c r="D10956" s="1" t="n">
        <v>0.3956</v>
      </c>
      <c r="E10956" s="1" t="n">
        <f aca="false">LN(D10956)</f>
        <v>-0.92735167923358</v>
      </c>
    </row>
    <row r="10957" customFormat="false" ht="15.75" hidden="false" customHeight="false" outlineLevel="0" collapsed="false">
      <c r="A10957" s="1" t="s">
        <v>1200</v>
      </c>
      <c r="B10957" s="1" t="n">
        <v>270.8</v>
      </c>
      <c r="C10957" s="1" t="n">
        <f aca="false">1/B10957</f>
        <v>0.00369276218611521</v>
      </c>
      <c r="D10957" s="1" t="n">
        <v>0.39359</v>
      </c>
      <c r="E10957" s="1" t="n">
        <f aca="false">LN(D10957)</f>
        <v>-0.932445520630854</v>
      </c>
    </row>
    <row r="10958" customFormat="false" ht="15.75" hidden="false" customHeight="false" outlineLevel="0" collapsed="false">
      <c r="A10958" s="1" t="s">
        <v>1202</v>
      </c>
      <c r="B10958" s="1" t="n">
        <v>156.42</v>
      </c>
      <c r="C10958" s="1" t="n">
        <f aca="false">1/B10958</f>
        <v>0.00639304436772791</v>
      </c>
      <c r="D10958" s="1" t="n">
        <v>289.35</v>
      </c>
      <c r="E10958" s="1" t="n">
        <f aca="false">LN(D10958)</f>
        <v>5.66763702801985</v>
      </c>
    </row>
    <row r="10959" customFormat="false" ht="15.75" hidden="false" customHeight="false" outlineLevel="0" collapsed="false">
      <c r="A10959" s="1" t="s">
        <v>1202</v>
      </c>
      <c r="B10959" s="1" t="n">
        <v>157</v>
      </c>
      <c r="C10959" s="1" t="n">
        <f aca="false">1/B10959</f>
        <v>0.00636942675159236</v>
      </c>
      <c r="D10959" s="1" t="n">
        <v>144.04</v>
      </c>
      <c r="E10959" s="1" t="n">
        <f aca="false">LN(D10959)</f>
        <v>4.97009103878068</v>
      </c>
    </row>
    <row r="10960" customFormat="false" ht="15.75" hidden="false" customHeight="false" outlineLevel="0" collapsed="false">
      <c r="A10960" s="1" t="s">
        <v>1202</v>
      </c>
      <c r="B10960" s="1" t="n">
        <v>157.59</v>
      </c>
      <c r="C10960" s="1" t="n">
        <f aca="false">1/B10960</f>
        <v>0.00634558030331874</v>
      </c>
      <c r="D10960" s="1" t="n">
        <v>95.846</v>
      </c>
      <c r="E10960" s="1" t="n">
        <f aca="false">LN(D10960)</f>
        <v>4.56274273674814</v>
      </c>
    </row>
    <row r="10961" customFormat="false" ht="15.75" hidden="false" customHeight="false" outlineLevel="0" collapsed="false">
      <c r="A10961" s="1" t="s">
        <v>1202</v>
      </c>
      <c r="B10961" s="1" t="n">
        <v>158.18</v>
      </c>
      <c r="C10961" s="1" t="n">
        <f aca="false">1/B10961</f>
        <v>0.00632191174611202</v>
      </c>
      <c r="D10961" s="1" t="n">
        <v>71.784</v>
      </c>
      <c r="E10961" s="1" t="n">
        <f aca="false">LN(D10961)</f>
        <v>4.27366160999576</v>
      </c>
    </row>
    <row r="10962" customFormat="false" ht="15.75" hidden="false" customHeight="false" outlineLevel="0" collapsed="false">
      <c r="A10962" s="1" t="s">
        <v>1202</v>
      </c>
      <c r="B10962" s="1" t="n">
        <v>158.76</v>
      </c>
      <c r="C10962" s="1" t="n">
        <f aca="false">1/B10962</f>
        <v>0.00629881582262535</v>
      </c>
      <c r="D10962" s="1" t="n">
        <v>57.353</v>
      </c>
      <c r="E10962" s="1" t="n">
        <f aca="false">LN(D10962)</f>
        <v>4.04922515258213</v>
      </c>
    </row>
    <row r="10963" customFormat="false" ht="15.75" hidden="false" customHeight="false" outlineLevel="0" collapsed="false">
      <c r="A10963" s="1" t="s">
        <v>1202</v>
      </c>
      <c r="B10963" s="1" t="n">
        <v>159.35</v>
      </c>
      <c r="C10963" s="1" t="n">
        <f aca="false">1/B10963</f>
        <v>0.00627549419516787</v>
      </c>
      <c r="D10963" s="1" t="n">
        <v>47.73</v>
      </c>
      <c r="E10963" s="1" t="n">
        <f aca="false">LN(D10963)</f>
        <v>3.8655601310178</v>
      </c>
    </row>
    <row r="10964" customFormat="false" ht="15.75" hidden="false" customHeight="false" outlineLevel="0" collapsed="false">
      <c r="A10964" s="1" t="s">
        <v>1202</v>
      </c>
      <c r="B10964" s="1" t="n">
        <v>159.94</v>
      </c>
      <c r="C10964" s="1" t="n">
        <f aca="false">1/B10964</f>
        <v>0.00625234462923596</v>
      </c>
      <c r="D10964" s="1" t="n">
        <v>40.853</v>
      </c>
      <c r="E10964" s="1" t="n">
        <f aca="false">LN(D10964)</f>
        <v>3.70998025802196</v>
      </c>
    </row>
    <row r="10965" customFormat="false" ht="15.75" hidden="false" customHeight="false" outlineLevel="0" collapsed="false">
      <c r="A10965" s="1" t="s">
        <v>1202</v>
      </c>
      <c r="B10965" s="1" t="n">
        <v>160.52</v>
      </c>
      <c r="C10965" s="1" t="n">
        <f aca="false">1/B10965</f>
        <v>0.00622975330176925</v>
      </c>
      <c r="D10965" s="1" t="n">
        <v>35.692</v>
      </c>
      <c r="E10965" s="1" t="n">
        <f aca="false">LN(D10965)</f>
        <v>3.5749265740379</v>
      </c>
    </row>
    <row r="10966" customFormat="false" ht="15.75" hidden="false" customHeight="false" outlineLevel="0" collapsed="false">
      <c r="A10966" s="1" t="s">
        <v>1202</v>
      </c>
      <c r="B10966" s="1" t="n">
        <v>161.11</v>
      </c>
      <c r="C10966" s="1" t="n">
        <f aca="false">1/B10966</f>
        <v>0.00620693935820247</v>
      </c>
      <c r="D10966" s="1" t="n">
        <v>31.674</v>
      </c>
      <c r="E10966" s="1" t="n">
        <f aca="false">LN(D10966)</f>
        <v>3.45549615506953</v>
      </c>
    </row>
    <row r="10967" customFormat="false" ht="15.75" hidden="false" customHeight="false" outlineLevel="0" collapsed="false">
      <c r="A10967" s="1" t="s">
        <v>1202</v>
      </c>
      <c r="B10967" s="1" t="n">
        <v>161.7</v>
      </c>
      <c r="C10967" s="1" t="n">
        <f aca="false">1/B10967</f>
        <v>0.00618429189857761</v>
      </c>
      <c r="D10967" s="1" t="n">
        <v>28.457</v>
      </c>
      <c r="E10967" s="1" t="n">
        <f aca="false">LN(D10967)</f>
        <v>3.34839417600226</v>
      </c>
    </row>
    <row r="10968" customFormat="false" ht="15.75" hidden="false" customHeight="false" outlineLevel="0" collapsed="false">
      <c r="A10968" s="1" t="s">
        <v>1202</v>
      </c>
      <c r="B10968" s="1" t="n">
        <v>162.28</v>
      </c>
      <c r="C10968" s="1" t="n">
        <f aca="false">1/B10968</f>
        <v>0.00616218880946512</v>
      </c>
      <c r="D10968" s="1" t="n">
        <v>25.821</v>
      </c>
      <c r="E10968" s="1" t="n">
        <f aca="false">LN(D10968)</f>
        <v>3.25118811433545</v>
      </c>
    </row>
    <row r="10969" customFormat="false" ht="15.75" hidden="false" customHeight="false" outlineLevel="0" collapsed="false">
      <c r="A10969" s="1" t="s">
        <v>1202</v>
      </c>
      <c r="B10969" s="1" t="n">
        <v>162.87</v>
      </c>
      <c r="C10969" s="1" t="n">
        <f aca="false">1/B10969</f>
        <v>0.00613986615091791</v>
      </c>
      <c r="D10969" s="1" t="n">
        <v>23.623</v>
      </c>
      <c r="E10969" s="1" t="n">
        <f aca="false">LN(D10969)</f>
        <v>3.16222081371162</v>
      </c>
    </row>
    <row r="10970" customFormat="false" ht="15.75" hidden="false" customHeight="false" outlineLevel="0" collapsed="false">
      <c r="A10970" s="1" t="s">
        <v>1202</v>
      </c>
      <c r="B10970" s="1" t="n">
        <v>163.45</v>
      </c>
      <c r="C10970" s="1" t="n">
        <f aca="false">1/B10970</f>
        <v>0.00611807892321811</v>
      </c>
      <c r="D10970" s="1" t="n">
        <v>21.76</v>
      </c>
      <c r="E10970" s="1" t="n">
        <f aca="false">LN(D10970)</f>
        <v>3.08007342198774</v>
      </c>
    </row>
    <row r="10971" customFormat="false" ht="15.75" hidden="false" customHeight="false" outlineLevel="0" collapsed="false">
      <c r="A10971" s="1" t="s">
        <v>1202</v>
      </c>
      <c r="B10971" s="1" t="n">
        <v>164.04</v>
      </c>
      <c r="C10971" s="1" t="n">
        <f aca="false">1/B10971</f>
        <v>0.0060960741282614</v>
      </c>
      <c r="D10971" s="1" t="n">
        <v>20.161</v>
      </c>
      <c r="E10971" s="1" t="n">
        <f aca="false">LN(D10971)</f>
        <v>3.00375004514757</v>
      </c>
    </row>
    <row r="10972" customFormat="false" ht="15.75" hidden="false" customHeight="false" outlineLevel="0" collapsed="false">
      <c r="A10972" s="1" t="s">
        <v>1202</v>
      </c>
      <c r="B10972" s="1" t="n">
        <v>164.63</v>
      </c>
      <c r="C10972" s="1" t="n">
        <f aca="false">1/B10972</f>
        <v>0.0060742270546073</v>
      </c>
      <c r="D10972" s="1" t="n">
        <v>18.773</v>
      </c>
      <c r="E10972" s="1" t="n">
        <f aca="false">LN(D10972)</f>
        <v>2.93241966734222</v>
      </c>
    </row>
    <row r="10973" customFormat="false" ht="15.75" hidden="false" customHeight="false" outlineLevel="0" collapsed="false">
      <c r="A10973" s="1" t="s">
        <v>1202</v>
      </c>
      <c r="B10973" s="1" t="n">
        <v>165.21</v>
      </c>
      <c r="C10973" s="1" t="n">
        <f aca="false">1/B10973</f>
        <v>0.00605290236668483</v>
      </c>
      <c r="D10973" s="1" t="n">
        <v>17.557</v>
      </c>
      <c r="E10973" s="1" t="n">
        <f aca="false">LN(D10973)</f>
        <v>2.86545273078707</v>
      </c>
    </row>
    <row r="10974" customFormat="false" ht="15.75" hidden="false" customHeight="false" outlineLevel="0" collapsed="false">
      <c r="A10974" s="1" t="s">
        <v>1202</v>
      </c>
      <c r="B10974" s="1" t="n">
        <v>165.8</v>
      </c>
      <c r="C10974" s="1" t="n">
        <f aca="false">1/B10974</f>
        <v>0.0060313630880579</v>
      </c>
      <c r="D10974" s="1" t="n">
        <v>16.483</v>
      </c>
      <c r="E10974" s="1" t="n">
        <f aca="false">LN(D10974)</f>
        <v>2.80232954674922</v>
      </c>
    </row>
    <row r="10975" customFormat="false" ht="15.75" hidden="false" customHeight="false" outlineLevel="0" collapsed="false">
      <c r="A10975" s="1" t="s">
        <v>1202</v>
      </c>
      <c r="B10975" s="1" t="n">
        <v>166.39</v>
      </c>
      <c r="C10975" s="1" t="n">
        <f aca="false">1/B10975</f>
        <v>0.00600997656109141</v>
      </c>
      <c r="D10975" s="1" t="n">
        <v>15.527</v>
      </c>
      <c r="E10975" s="1" t="n">
        <f aca="false">LN(D10975)</f>
        <v>2.74258044399903</v>
      </c>
    </row>
    <row r="10976" customFormat="false" ht="15.75" hidden="false" customHeight="false" outlineLevel="0" collapsed="false">
      <c r="A10976" s="1" t="s">
        <v>1202</v>
      </c>
      <c r="B10976" s="1" t="n">
        <v>166.97</v>
      </c>
      <c r="C10976" s="1" t="n">
        <f aca="false">1/B10976</f>
        <v>0.0059890998382943</v>
      </c>
      <c r="D10976" s="1" t="n">
        <v>14.67</v>
      </c>
      <c r="E10976" s="1" t="n">
        <f aca="false">LN(D10976)</f>
        <v>2.68580459215489</v>
      </c>
    </row>
    <row r="10977" customFormat="false" ht="15.75" hidden="false" customHeight="false" outlineLevel="0" collapsed="false">
      <c r="A10977" s="1" t="s">
        <v>1202</v>
      </c>
      <c r="B10977" s="1" t="n">
        <v>167.56</v>
      </c>
      <c r="C10977" s="1" t="n">
        <f aca="false">1/B10977</f>
        <v>0.005968011458582</v>
      </c>
      <c r="D10977" s="1" t="n">
        <v>13.897</v>
      </c>
      <c r="E10977" s="1" t="n">
        <f aca="false">LN(D10977)</f>
        <v>2.63167298950444</v>
      </c>
    </row>
    <row r="10978" customFormat="false" ht="15.75" hidden="false" customHeight="false" outlineLevel="0" collapsed="false">
      <c r="A10978" s="1" t="s">
        <v>1202</v>
      </c>
      <c r="B10978" s="1" t="n">
        <v>168.14</v>
      </c>
      <c r="C10978" s="1" t="n">
        <f aca="false">1/B10978</f>
        <v>0.00594742476507672</v>
      </c>
      <c r="D10978" s="1" t="n">
        <v>13.198</v>
      </c>
      <c r="E10978" s="1" t="n">
        <f aca="false">LN(D10978)</f>
        <v>2.58006530296123</v>
      </c>
    </row>
    <row r="10979" customFormat="false" ht="15.75" hidden="false" customHeight="false" outlineLevel="0" collapsed="false">
      <c r="A10979" s="1" t="s">
        <v>1202</v>
      </c>
      <c r="B10979" s="1" t="n">
        <v>168.73</v>
      </c>
      <c r="C10979" s="1" t="n">
        <f aca="false">1/B10979</f>
        <v>0.00592662834113673</v>
      </c>
      <c r="D10979" s="1" t="n">
        <v>12.561</v>
      </c>
      <c r="E10979" s="1" t="n">
        <f aca="false">LN(D10979)</f>
        <v>2.53059677570512</v>
      </c>
    </row>
    <row r="10980" customFormat="false" ht="15.75" hidden="false" customHeight="false" outlineLevel="0" collapsed="false">
      <c r="A10980" s="1" t="s">
        <v>1202</v>
      </c>
      <c r="B10980" s="1" t="n">
        <v>169.32</v>
      </c>
      <c r="C10980" s="1" t="n">
        <f aca="false">1/B10980</f>
        <v>0.00590597684857075</v>
      </c>
      <c r="D10980" s="1" t="n">
        <v>11.978</v>
      </c>
      <c r="E10980" s="1" t="n">
        <f aca="false">LN(D10980)</f>
        <v>2.48307163384227</v>
      </c>
    </row>
    <row r="10981" customFormat="false" ht="15.75" hidden="false" customHeight="false" outlineLevel="0" collapsed="false">
      <c r="A10981" s="1" t="s">
        <v>1202</v>
      </c>
      <c r="B10981" s="1" t="n">
        <v>169.9</v>
      </c>
      <c r="C10981" s="1" t="n">
        <f aca="false">1/B10981</f>
        <v>0.00588581518540318</v>
      </c>
      <c r="D10981" s="1" t="n">
        <v>11.444</v>
      </c>
      <c r="E10981" s="1" t="n">
        <f aca="false">LN(D10981)</f>
        <v>2.43746557518786</v>
      </c>
    </row>
    <row r="10982" customFormat="false" ht="15.75" hidden="false" customHeight="false" outlineLevel="0" collapsed="false">
      <c r="A10982" s="1" t="s">
        <v>1202</v>
      </c>
      <c r="B10982" s="1" t="n">
        <v>170.49</v>
      </c>
      <c r="C10982" s="1" t="n">
        <f aca="false">1/B10982</f>
        <v>0.00586544665376268</v>
      </c>
      <c r="D10982" s="1" t="n">
        <v>10.951</v>
      </c>
      <c r="E10982" s="1" t="n">
        <f aca="false">LN(D10982)</f>
        <v>2.39343077629362</v>
      </c>
    </row>
    <row r="10983" customFormat="false" ht="15.75" hidden="false" customHeight="false" outlineLevel="0" collapsed="false">
      <c r="A10983" s="1" t="s">
        <v>1202</v>
      </c>
      <c r="B10983" s="1" t="n">
        <v>171.08</v>
      </c>
      <c r="C10983" s="1" t="n">
        <f aca="false">1/B10983</f>
        <v>0.00584521861117606</v>
      </c>
      <c r="D10983" s="1" t="n">
        <v>10.496</v>
      </c>
      <c r="E10983" s="1" t="n">
        <f aca="false">LN(D10983)</f>
        <v>2.35099423220173</v>
      </c>
    </row>
    <row r="10984" customFormat="false" ht="15.75" hidden="false" customHeight="false" outlineLevel="0" collapsed="false">
      <c r="A10984" s="1" t="s">
        <v>1202</v>
      </c>
      <c r="B10984" s="1" t="n">
        <v>171.66</v>
      </c>
      <c r="C10984" s="1" t="n">
        <f aca="false">1/B10984</f>
        <v>0.0058254689502505</v>
      </c>
      <c r="D10984" s="1" t="n">
        <v>10.074</v>
      </c>
      <c r="E10984" s="1" t="n">
        <f aca="false">LN(D10984)</f>
        <v>2.30995784732346</v>
      </c>
    </row>
    <row r="10985" customFormat="false" ht="15.75" hidden="false" customHeight="false" outlineLevel="0" collapsed="false">
      <c r="A10985" s="1" t="s">
        <v>1202</v>
      </c>
      <c r="B10985" s="1" t="n">
        <v>172.25</v>
      </c>
      <c r="C10985" s="1" t="n">
        <f aca="false">1/B10985</f>
        <v>0.0058055152394775</v>
      </c>
      <c r="D10985" s="1" t="n">
        <v>9.6814</v>
      </c>
      <c r="E10985" s="1" t="n">
        <f aca="false">LN(D10985)</f>
        <v>2.27020651893002</v>
      </c>
    </row>
    <row r="10986" customFormat="false" ht="15.75" hidden="false" customHeight="false" outlineLevel="0" collapsed="false">
      <c r="A10986" s="1" t="s">
        <v>1202</v>
      </c>
      <c r="B10986" s="1" t="n">
        <v>172.84</v>
      </c>
      <c r="C10986" s="1" t="n">
        <f aca="false">1/B10986</f>
        <v>0.00578569775514927</v>
      </c>
      <c r="D10986" s="1" t="n">
        <v>9.3156</v>
      </c>
      <c r="E10986" s="1" t="n">
        <f aca="false">LN(D10986)</f>
        <v>2.2316904142175</v>
      </c>
    </row>
    <row r="10987" customFormat="false" ht="15.75" hidden="false" customHeight="false" outlineLevel="0" collapsed="false">
      <c r="A10987" s="1" t="s">
        <v>1202</v>
      </c>
      <c r="B10987" s="1" t="n">
        <v>173.42</v>
      </c>
      <c r="C10987" s="1" t="n">
        <f aca="false">1/B10987</f>
        <v>0.00576634759543305</v>
      </c>
      <c r="D10987" s="1" t="n">
        <v>8.9738</v>
      </c>
      <c r="E10987" s="1" t="n">
        <f aca="false">LN(D10987)</f>
        <v>2.19430922069969</v>
      </c>
    </row>
    <row r="10988" customFormat="false" ht="15.75" hidden="false" customHeight="false" outlineLevel="0" collapsed="false">
      <c r="A10988" s="1" t="s">
        <v>1202</v>
      </c>
      <c r="B10988" s="1" t="n">
        <v>174.01</v>
      </c>
      <c r="C10988" s="1" t="n">
        <f aca="false">1/B10988</f>
        <v>0.00574679616114017</v>
      </c>
      <c r="D10988" s="1" t="n">
        <v>8.6537</v>
      </c>
      <c r="E10988" s="1" t="n">
        <f aca="false">LN(D10988)</f>
        <v>2.15798697515143</v>
      </c>
    </row>
    <row r="10989" customFormat="false" ht="15.75" hidden="false" customHeight="false" outlineLevel="0" collapsed="false">
      <c r="A10989" s="1" t="s">
        <v>1202</v>
      </c>
      <c r="B10989" s="1" t="n">
        <v>174.59</v>
      </c>
      <c r="C10989" s="1" t="n">
        <f aca="false">1/B10989</f>
        <v>0.00572770490864311</v>
      </c>
      <c r="D10989" s="1" t="n">
        <v>8.3533</v>
      </c>
      <c r="E10989" s="1" t="n">
        <f aca="false">LN(D10989)</f>
        <v>2.12265667036887</v>
      </c>
    </row>
    <row r="10990" customFormat="false" ht="15.75" hidden="false" customHeight="false" outlineLevel="0" collapsed="false">
      <c r="A10990" s="1" t="s">
        <v>1202</v>
      </c>
      <c r="B10990" s="1" t="n">
        <v>175.18</v>
      </c>
      <c r="C10990" s="1" t="n">
        <f aca="false">1/B10990</f>
        <v>0.00570841420253454</v>
      </c>
      <c r="D10990" s="1" t="n">
        <v>8.0708</v>
      </c>
      <c r="E10990" s="1" t="n">
        <f aca="false">LN(D10990)</f>
        <v>2.08825260995839</v>
      </c>
    </row>
    <row r="10991" customFormat="false" ht="15.75" hidden="false" customHeight="false" outlineLevel="0" collapsed="false">
      <c r="A10991" s="1" t="s">
        <v>1202</v>
      </c>
      <c r="B10991" s="1" t="n">
        <v>175.77</v>
      </c>
      <c r="C10991" s="1" t="n">
        <f aca="false">1/B10991</f>
        <v>0.00568925300108096</v>
      </c>
      <c r="D10991" s="1" t="n">
        <v>7.8046</v>
      </c>
      <c r="E10991" s="1" t="n">
        <f aca="false">LN(D10991)</f>
        <v>2.05471330345488</v>
      </c>
    </row>
    <row r="10992" customFormat="false" ht="15.75" hidden="false" customHeight="false" outlineLevel="0" collapsed="false">
      <c r="A10992" s="1" t="s">
        <v>1202</v>
      </c>
      <c r="B10992" s="1" t="n">
        <v>176.35</v>
      </c>
      <c r="C10992" s="1" t="n">
        <f aca="false">1/B10992</f>
        <v>0.00567054153671676</v>
      </c>
      <c r="D10992" s="1" t="n">
        <v>7.5535</v>
      </c>
      <c r="E10992" s="1" t="n">
        <f aca="false">LN(D10992)</f>
        <v>2.02201103200164</v>
      </c>
    </row>
    <row r="10993" customFormat="false" ht="15.75" hidden="false" customHeight="false" outlineLevel="0" collapsed="false">
      <c r="A10993" s="1" t="s">
        <v>1202</v>
      </c>
      <c r="B10993" s="1" t="n">
        <v>176.94</v>
      </c>
      <c r="C10993" s="1" t="n">
        <f aca="false">1/B10993</f>
        <v>0.00565163332203007</v>
      </c>
      <c r="D10993" s="1" t="n">
        <v>7.3161</v>
      </c>
      <c r="E10993" s="1" t="n">
        <f aca="false">LN(D10993)</f>
        <v>1.99007739910661</v>
      </c>
    </row>
    <row r="10994" customFormat="false" ht="15.75" hidden="false" customHeight="false" outlineLevel="0" collapsed="false">
      <c r="A10994" s="1" t="s">
        <v>1202</v>
      </c>
      <c r="B10994" s="1" t="n">
        <v>177.53</v>
      </c>
      <c r="C10994" s="1" t="n">
        <f aca="false">1/B10994</f>
        <v>0.00563285078578268</v>
      </c>
      <c r="D10994" s="1" t="n">
        <v>7.0913</v>
      </c>
      <c r="E10994" s="1" t="n">
        <f aca="false">LN(D10994)</f>
        <v>1.95886868057685</v>
      </c>
    </row>
    <row r="10995" customFormat="false" ht="15.75" hidden="false" customHeight="false" outlineLevel="0" collapsed="false">
      <c r="A10995" s="1" t="s">
        <v>1202</v>
      </c>
      <c r="B10995" s="1" t="n">
        <v>178.11</v>
      </c>
      <c r="C10995" s="1" t="n">
        <f aca="false">1/B10995</f>
        <v>0.00561450788838358</v>
      </c>
      <c r="D10995" s="1" t="n">
        <v>6.8782</v>
      </c>
      <c r="E10995" s="1" t="n">
        <f aca="false">LN(D10995)</f>
        <v>1.92835698980772</v>
      </c>
    </row>
    <row r="10996" customFormat="false" ht="15.75" hidden="false" customHeight="false" outlineLevel="0" collapsed="false">
      <c r="A10996" s="1" t="s">
        <v>1202</v>
      </c>
      <c r="B10996" s="1" t="n">
        <v>178.7</v>
      </c>
      <c r="C10996" s="1" t="n">
        <f aca="false">1/B10996</f>
        <v>0.00559597090095132</v>
      </c>
      <c r="D10996" s="1" t="n">
        <v>6.6759</v>
      </c>
      <c r="E10996" s="1" t="n">
        <f aca="false">LN(D10996)</f>
        <v>1.89850402665804</v>
      </c>
    </row>
    <row r="10997" customFormat="false" ht="15.75" hidden="false" customHeight="false" outlineLevel="0" collapsed="false">
      <c r="A10997" s="1" t="s">
        <v>1202</v>
      </c>
      <c r="B10997" s="1" t="n">
        <v>179.28</v>
      </c>
      <c r="C10997" s="1" t="n">
        <f aca="false">1/B10997</f>
        <v>0.00557786702365016</v>
      </c>
      <c r="D10997" s="1" t="n">
        <v>6.4835</v>
      </c>
      <c r="E10997" s="1" t="n">
        <f aca="false">LN(D10997)</f>
        <v>1.8692604880068</v>
      </c>
    </row>
    <row r="10998" customFormat="false" ht="15.75" hidden="false" customHeight="false" outlineLevel="0" collapsed="false">
      <c r="A10998" s="1" t="s">
        <v>1202</v>
      </c>
      <c r="B10998" s="1" t="n">
        <v>179.87</v>
      </c>
      <c r="C10998" s="1" t="n">
        <f aca="false">1/B10998</f>
        <v>0.00555957080113415</v>
      </c>
      <c r="D10998" s="1" t="n">
        <v>6.3005</v>
      </c>
      <c r="E10998" s="1" t="n">
        <f aca="false">LN(D10998)</f>
        <v>1.84062899532761</v>
      </c>
    </row>
    <row r="10999" customFormat="false" ht="15.75" hidden="false" customHeight="false" outlineLevel="0" collapsed="false">
      <c r="A10999" s="1" t="s">
        <v>1202</v>
      </c>
      <c r="B10999" s="1" t="n">
        <v>180.46</v>
      </c>
      <c r="C10999" s="1" t="n">
        <f aca="false">1/B10999</f>
        <v>0.00554139421478444</v>
      </c>
      <c r="D10999" s="1" t="n">
        <v>6.126</v>
      </c>
      <c r="E10999" s="1" t="n">
        <f aca="false">LN(D10999)</f>
        <v>1.81254200841058</v>
      </c>
    </row>
    <row r="11000" customFormat="false" ht="15.75" hidden="false" customHeight="false" outlineLevel="0" collapsed="false">
      <c r="A11000" s="1" t="s">
        <v>1202</v>
      </c>
      <c r="B11000" s="1" t="n">
        <v>181.04</v>
      </c>
      <c r="C11000" s="1" t="n">
        <f aca="false">1/B11000</f>
        <v>0.00552364118426867</v>
      </c>
      <c r="D11000" s="1" t="n">
        <v>5.9596</v>
      </c>
      <c r="E11000" s="1" t="n">
        <f aca="false">LN(D11000)</f>
        <v>1.78500336473105</v>
      </c>
    </row>
    <row r="11001" customFormat="false" ht="15.75" hidden="false" customHeight="false" outlineLevel="0" collapsed="false">
      <c r="A11001" s="1" t="s">
        <v>1202</v>
      </c>
      <c r="B11001" s="1" t="n">
        <v>181.63</v>
      </c>
      <c r="C11001" s="1" t="n">
        <f aca="false">1/B11001</f>
        <v>0.00550569839784177</v>
      </c>
      <c r="D11001" s="1" t="n">
        <v>5.8007</v>
      </c>
      <c r="E11001" s="1" t="n">
        <f aca="false">LN(D11001)</f>
        <v>1.75797859992514</v>
      </c>
    </row>
    <row r="11002" customFormat="false" ht="15.75" hidden="false" customHeight="false" outlineLevel="0" collapsed="false">
      <c r="A11002" s="1" t="s">
        <v>1202</v>
      </c>
      <c r="B11002" s="1" t="n">
        <v>182.22</v>
      </c>
      <c r="C11002" s="1" t="n">
        <f aca="false">1/B11002</f>
        <v>0.00548787180331467</v>
      </c>
      <c r="D11002" s="1" t="n">
        <v>5.6488</v>
      </c>
      <c r="E11002" s="1" t="n">
        <f aca="false">LN(D11002)</f>
        <v>1.73144313322</v>
      </c>
    </row>
    <row r="11003" customFormat="false" ht="15.75" hidden="false" customHeight="false" outlineLevel="0" collapsed="false">
      <c r="A11003" s="1" t="s">
        <v>1202</v>
      </c>
      <c r="B11003" s="1" t="n">
        <v>182.8</v>
      </c>
      <c r="C11003" s="1" t="n">
        <f aca="false">1/B11003</f>
        <v>0.00547045951859956</v>
      </c>
      <c r="D11003" s="1" t="n">
        <v>5.5034</v>
      </c>
      <c r="E11003" s="1" t="n">
        <f aca="false">LN(D11003)</f>
        <v>1.70536608306094</v>
      </c>
    </row>
    <row r="11004" customFormat="false" ht="15.75" hidden="false" customHeight="false" outlineLevel="0" collapsed="false">
      <c r="A11004" s="1" t="s">
        <v>1202</v>
      </c>
      <c r="B11004" s="1" t="n">
        <v>183.39</v>
      </c>
      <c r="C11004" s="1" t="n">
        <f aca="false">1/B11004</f>
        <v>0.00545286002508316</v>
      </c>
      <c r="D11004" s="1" t="n">
        <v>5.3642</v>
      </c>
      <c r="E11004" s="1" t="n">
        <f aca="false">LN(D11004)</f>
        <v>1.6797472503321</v>
      </c>
    </row>
    <row r="11005" customFormat="false" ht="15.75" hidden="false" customHeight="false" outlineLevel="0" collapsed="false">
      <c r="A11005" s="1" t="s">
        <v>1202</v>
      </c>
      <c r="B11005" s="1" t="n">
        <v>183.98</v>
      </c>
      <c r="C11005" s="1" t="n">
        <f aca="false">1/B11005</f>
        <v>0.00543537341015328</v>
      </c>
      <c r="D11005" s="1" t="n">
        <v>5.2307</v>
      </c>
      <c r="E11005" s="1" t="n">
        <f aca="false">LN(D11005)</f>
        <v>1.65454511233287</v>
      </c>
    </row>
    <row r="11006" customFormat="false" ht="15.75" hidden="false" customHeight="false" outlineLevel="0" collapsed="false">
      <c r="A11006" s="1" t="s">
        <v>1202</v>
      </c>
      <c r="B11006" s="1" t="n">
        <v>184.56</v>
      </c>
      <c r="C11006" s="1" t="n">
        <f aca="false">1/B11006</f>
        <v>0.00541829215431296</v>
      </c>
      <c r="D11006" s="1" t="n">
        <v>5.1027</v>
      </c>
      <c r="E11006" s="1" t="n">
        <f aca="false">LN(D11006)</f>
        <v>1.62976981140602</v>
      </c>
    </row>
    <row r="11007" customFormat="false" ht="15.75" hidden="false" customHeight="false" outlineLevel="0" collapsed="false">
      <c r="A11007" s="1" t="s">
        <v>1202</v>
      </c>
      <c r="B11007" s="1" t="n">
        <v>185.15</v>
      </c>
      <c r="C11007" s="1" t="n">
        <f aca="false">1/B11007</f>
        <v>0.00540102619497705</v>
      </c>
      <c r="D11007" s="1" t="n">
        <v>4.9798</v>
      </c>
      <c r="E11007" s="1" t="n">
        <f aca="false">LN(D11007)</f>
        <v>1.60538972958753</v>
      </c>
    </row>
    <row r="11008" customFormat="false" ht="15.75" hidden="false" customHeight="false" outlineLevel="0" collapsed="false">
      <c r="A11008" s="1" t="s">
        <v>1202</v>
      </c>
      <c r="B11008" s="1" t="n">
        <v>185.73</v>
      </c>
      <c r="C11008" s="1" t="n">
        <f aca="false">1/B11008</f>
        <v>0.00538415980186292</v>
      </c>
      <c r="D11008" s="1" t="n">
        <v>4.8617</v>
      </c>
      <c r="E11008" s="1" t="n">
        <f aca="false">LN(D11008)</f>
        <v>1.58138817098734</v>
      </c>
    </row>
    <row r="11009" customFormat="false" ht="15.75" hidden="false" customHeight="false" outlineLevel="0" collapsed="false">
      <c r="A11009" s="1" t="s">
        <v>1202</v>
      </c>
      <c r="B11009" s="1" t="n">
        <v>186.32</v>
      </c>
      <c r="C11009" s="1" t="n">
        <f aca="false">1/B11009</f>
        <v>0.00536711034778875</v>
      </c>
      <c r="D11009" s="1" t="n">
        <v>4.7481</v>
      </c>
      <c r="E11009" s="1" t="n">
        <f aca="false">LN(D11009)</f>
        <v>1.55774453802521</v>
      </c>
    </row>
    <row r="11010" customFormat="false" ht="15.75" hidden="false" customHeight="false" outlineLevel="0" collapsed="false">
      <c r="A11010" s="1" t="s">
        <v>1202</v>
      </c>
      <c r="B11010" s="1" t="n">
        <v>186.91</v>
      </c>
      <c r="C11010" s="1" t="n">
        <f aca="false">1/B11010</f>
        <v>0.0053501685303087</v>
      </c>
      <c r="D11010" s="1" t="n">
        <v>4.6388</v>
      </c>
      <c r="E11010" s="1" t="n">
        <f aca="false">LN(D11010)</f>
        <v>1.53445571210041</v>
      </c>
    </row>
    <row r="11011" customFormat="false" ht="15.75" hidden="false" customHeight="false" outlineLevel="0" collapsed="false">
      <c r="A11011" s="1" t="s">
        <v>1202</v>
      </c>
      <c r="B11011" s="1" t="n">
        <v>187.49</v>
      </c>
      <c r="C11011" s="1" t="n">
        <f aca="false">1/B11011</f>
        <v>0.00533361779294896</v>
      </c>
      <c r="D11011" s="1" t="n">
        <v>4.5336</v>
      </c>
      <c r="E11011" s="1" t="n">
        <f aca="false">LN(D11011)</f>
        <v>1.51151632587327</v>
      </c>
    </row>
    <row r="11012" customFormat="false" ht="15.75" hidden="false" customHeight="false" outlineLevel="0" collapsed="false">
      <c r="A11012" s="1" t="s">
        <v>1202</v>
      </c>
      <c r="B11012" s="1" t="n">
        <v>188.08</v>
      </c>
      <c r="C11012" s="1" t="n">
        <f aca="false">1/B11012</f>
        <v>0.00531688643130583</v>
      </c>
      <c r="D11012" s="1" t="n">
        <v>4.4322</v>
      </c>
      <c r="E11012" s="1" t="n">
        <f aca="false">LN(D11012)</f>
        <v>1.48889607478061</v>
      </c>
    </row>
    <row r="11013" customFormat="false" ht="15.75" hidden="false" customHeight="false" outlineLevel="0" collapsed="false">
      <c r="A11013" s="1" t="s">
        <v>1202</v>
      </c>
      <c r="B11013" s="1" t="n">
        <v>188.67</v>
      </c>
      <c r="C11013" s="1" t="n">
        <f aca="false">1/B11013</f>
        <v>0.00530025971272592</v>
      </c>
      <c r="D11013" s="1" t="n">
        <v>4.3345</v>
      </c>
      <c r="E11013" s="1" t="n">
        <f aca="false">LN(D11013)</f>
        <v>1.46660626332656</v>
      </c>
    </row>
    <row r="11014" customFormat="false" ht="15.75" hidden="false" customHeight="false" outlineLevel="0" collapsed="false">
      <c r="A11014" s="1" t="s">
        <v>1202</v>
      </c>
      <c r="B11014" s="1" t="n">
        <v>189.25</v>
      </c>
      <c r="C11014" s="1" t="n">
        <f aca="false">1/B11014</f>
        <v>0.00528401585204756</v>
      </c>
      <c r="D11014" s="1" t="n">
        <v>4.2402</v>
      </c>
      <c r="E11014" s="1" t="n">
        <f aca="false">LN(D11014)</f>
        <v>1.44461043794273</v>
      </c>
    </row>
    <row r="11015" customFormat="false" ht="15.75" hidden="false" customHeight="false" outlineLevel="0" collapsed="false">
      <c r="A11015" s="1" t="s">
        <v>1202</v>
      </c>
      <c r="B11015" s="1" t="n">
        <v>189.84</v>
      </c>
      <c r="C11015" s="1" t="n">
        <f aca="false">1/B11015</f>
        <v>0.00526759376316898</v>
      </c>
      <c r="D11015" s="1" t="n">
        <v>4.1492</v>
      </c>
      <c r="E11015" s="1" t="n">
        <f aca="false">LN(D11015)</f>
        <v>1.42291554457554</v>
      </c>
    </row>
    <row r="11016" customFormat="false" ht="15.75" hidden="false" customHeight="false" outlineLevel="0" collapsed="false">
      <c r="A11016" s="1" t="s">
        <v>1202</v>
      </c>
      <c r="B11016" s="1" t="n">
        <v>190.42</v>
      </c>
      <c r="C11016" s="1" t="n">
        <f aca="false">1/B11016</f>
        <v>0.00525154920701607</v>
      </c>
      <c r="D11016" s="1" t="n">
        <v>4.0613</v>
      </c>
      <c r="E11016" s="1" t="n">
        <f aca="false">LN(D11016)</f>
        <v>1.40150311940584</v>
      </c>
    </row>
    <row r="11017" customFormat="false" ht="15.75" hidden="false" customHeight="false" outlineLevel="0" collapsed="false">
      <c r="A11017" s="1" t="s">
        <v>1202</v>
      </c>
      <c r="B11017" s="1" t="n">
        <v>191.01</v>
      </c>
      <c r="C11017" s="1" t="n">
        <f aca="false">1/B11017</f>
        <v>0.00523532799329878</v>
      </c>
      <c r="D11017" s="1" t="n">
        <v>3.9763</v>
      </c>
      <c r="E11017" s="1" t="n">
        <f aca="false">LN(D11017)</f>
        <v>1.38035173866421</v>
      </c>
    </row>
    <row r="11018" customFormat="false" ht="15.75" hidden="false" customHeight="false" outlineLevel="0" collapsed="false">
      <c r="A11018" s="1" t="s">
        <v>1202</v>
      </c>
      <c r="B11018" s="1" t="n">
        <v>191.6</v>
      </c>
      <c r="C11018" s="1" t="n">
        <f aca="false">1/B11018</f>
        <v>0.00521920668058455</v>
      </c>
      <c r="D11018" s="1" t="n">
        <v>3.8942</v>
      </c>
      <c r="E11018" s="1" t="n">
        <f aca="false">LN(D11018)</f>
        <v>1.35948826669938</v>
      </c>
    </row>
    <row r="11019" customFormat="false" ht="15.75" hidden="false" customHeight="false" outlineLevel="0" collapsed="false">
      <c r="A11019" s="1" t="s">
        <v>1202</v>
      </c>
      <c r="B11019" s="1" t="n">
        <v>192.18</v>
      </c>
      <c r="C11019" s="1" t="n">
        <f aca="false">1/B11019</f>
        <v>0.00520345509418254</v>
      </c>
      <c r="D11019" s="1" t="n">
        <v>3.8148</v>
      </c>
      <c r="E11019" s="1" t="n">
        <f aca="false">LN(D11019)</f>
        <v>1.33888823872262</v>
      </c>
    </row>
    <row r="11020" customFormat="false" ht="15.75" hidden="false" customHeight="false" outlineLevel="0" collapsed="false">
      <c r="A11020" s="1" t="s">
        <v>1202</v>
      </c>
      <c r="B11020" s="1" t="n">
        <v>192.77</v>
      </c>
      <c r="C11020" s="1" t="n">
        <f aca="false">1/B11020</f>
        <v>0.00518752917985164</v>
      </c>
      <c r="D11020" s="1" t="n">
        <v>3.7379</v>
      </c>
      <c r="E11020" s="1" t="n">
        <f aca="false">LN(D11020)</f>
        <v>1.31852395640158</v>
      </c>
    </row>
    <row r="11021" customFormat="false" ht="15.75" hidden="false" customHeight="false" outlineLevel="0" collapsed="false">
      <c r="A11021" s="1" t="s">
        <v>1202</v>
      </c>
      <c r="B11021" s="1" t="n">
        <v>193.36</v>
      </c>
      <c r="C11021" s="1" t="n">
        <f aca="false">1/B11021</f>
        <v>0.00517170045510964</v>
      </c>
      <c r="D11021" s="1" t="n">
        <v>3.6635</v>
      </c>
      <c r="E11021" s="1" t="n">
        <f aca="false">LN(D11021)</f>
        <v>1.29841897461788</v>
      </c>
    </row>
    <row r="11022" customFormat="false" ht="15.75" hidden="false" customHeight="false" outlineLevel="0" collapsed="false">
      <c r="A11022" s="1" t="s">
        <v>1202</v>
      </c>
      <c r="B11022" s="1" t="n">
        <v>193.94</v>
      </c>
      <c r="C11022" s="1" t="n">
        <f aca="false">1/B11022</f>
        <v>0.0051562338867691</v>
      </c>
      <c r="D11022" s="1" t="n">
        <v>3.5914</v>
      </c>
      <c r="E11022" s="1" t="n">
        <f aca="false">LN(D11022)</f>
        <v>1.27854209862566</v>
      </c>
    </row>
    <row r="11023" customFormat="false" ht="15.75" hidden="false" customHeight="false" outlineLevel="0" collapsed="false">
      <c r="A11023" s="1" t="s">
        <v>1202</v>
      </c>
      <c r="B11023" s="1" t="n">
        <v>194.53</v>
      </c>
      <c r="C11023" s="1" t="n">
        <f aca="false">1/B11023</f>
        <v>0.00514059528093353</v>
      </c>
      <c r="D11023" s="1" t="n">
        <v>3.5215</v>
      </c>
      <c r="E11023" s="1" t="n">
        <f aca="false">LN(D11023)</f>
        <v>1.25888703520333</v>
      </c>
    </row>
    <row r="11024" customFormat="false" ht="15.75" hidden="false" customHeight="false" outlineLevel="0" collapsed="false">
      <c r="A11024" s="1" t="s">
        <v>1202</v>
      </c>
      <c r="B11024" s="1" t="n">
        <v>195.12</v>
      </c>
      <c r="C11024" s="1" t="n">
        <f aca="false">1/B11024</f>
        <v>0.00512505125051251</v>
      </c>
      <c r="D11024" s="1" t="n">
        <v>3.4538</v>
      </c>
      <c r="E11024" s="1" t="n">
        <f aca="false">LN(D11024)</f>
        <v>1.23947507416843</v>
      </c>
    </row>
    <row r="11025" customFormat="false" ht="15.75" hidden="false" customHeight="false" outlineLevel="0" collapsed="false">
      <c r="A11025" s="1" t="s">
        <v>1202</v>
      </c>
      <c r="B11025" s="1" t="n">
        <v>195.7</v>
      </c>
      <c r="C11025" s="1" t="n">
        <f aca="false">1/B11025</f>
        <v>0.00510986203372509</v>
      </c>
      <c r="D11025" s="1" t="n">
        <v>3.3881</v>
      </c>
      <c r="E11025" s="1" t="n">
        <f aca="false">LN(D11025)</f>
        <v>1.22026929229283</v>
      </c>
    </row>
    <row r="11026" customFormat="false" ht="15.75" hidden="false" customHeight="false" outlineLevel="0" collapsed="false">
      <c r="A11026" s="1" t="s">
        <v>1202</v>
      </c>
      <c r="B11026" s="1" t="n">
        <v>196.29</v>
      </c>
      <c r="C11026" s="1" t="n">
        <f aca="false">1/B11026</f>
        <v>0.0050945030312293</v>
      </c>
      <c r="D11026" s="1" t="n">
        <v>3.3243</v>
      </c>
      <c r="E11026" s="1" t="n">
        <f aca="false">LN(D11026)</f>
        <v>1.20125912562825</v>
      </c>
    </row>
    <row r="11027" customFormat="false" ht="15.75" hidden="false" customHeight="false" outlineLevel="0" collapsed="false">
      <c r="A11027" s="1" t="s">
        <v>1202</v>
      </c>
      <c r="B11027" s="1" t="n">
        <v>196.87</v>
      </c>
      <c r="C11027" s="1" t="n">
        <f aca="false">1/B11027</f>
        <v>0.00507949408238939</v>
      </c>
      <c r="D11027" s="1" t="n">
        <v>3.2625</v>
      </c>
      <c r="E11027" s="1" t="n">
        <f aca="false">LN(D11027)</f>
        <v>1.18249377264881</v>
      </c>
    </row>
    <row r="11028" customFormat="false" ht="15.75" hidden="false" customHeight="false" outlineLevel="0" collapsed="false">
      <c r="A11028" s="1" t="s">
        <v>1202</v>
      </c>
      <c r="B11028" s="1" t="n">
        <v>197.46</v>
      </c>
      <c r="C11028" s="1" t="n">
        <f aca="false">1/B11028</f>
        <v>0.00506431682366049</v>
      </c>
      <c r="D11028" s="1" t="n">
        <v>3.2024</v>
      </c>
      <c r="E11028" s="1" t="n">
        <f aca="false">LN(D11028)</f>
        <v>1.16390052869623</v>
      </c>
    </row>
    <row r="11029" customFormat="false" ht="15.75" hidden="false" customHeight="false" outlineLevel="0" collapsed="false">
      <c r="A11029" s="1" t="s">
        <v>1202</v>
      </c>
      <c r="B11029" s="1" t="n">
        <v>198.05</v>
      </c>
      <c r="C11029" s="1" t="n">
        <f aca="false">1/B11029</f>
        <v>0.00504922999242616</v>
      </c>
      <c r="D11029" s="1" t="n">
        <v>3.144</v>
      </c>
      <c r="E11029" s="1" t="n">
        <f aca="false">LN(D11029)</f>
        <v>1.14549587456696</v>
      </c>
    </row>
    <row r="11030" customFormat="false" ht="15.75" hidden="false" customHeight="false" outlineLevel="0" collapsed="false">
      <c r="A11030" s="1" t="s">
        <v>1202</v>
      </c>
      <c r="B11030" s="1" t="n">
        <v>198.63</v>
      </c>
      <c r="C11030" s="1" t="n">
        <f aca="false">1/B11030</f>
        <v>0.00503448623068016</v>
      </c>
      <c r="D11030" s="1" t="n">
        <v>3.0873</v>
      </c>
      <c r="E11030" s="1" t="n">
        <f aca="false">LN(D11030)</f>
        <v>1.12729692252802</v>
      </c>
    </row>
    <row r="11031" customFormat="false" ht="15.75" hidden="false" customHeight="false" outlineLevel="0" collapsed="false">
      <c r="A11031" s="1" t="s">
        <v>1202</v>
      </c>
      <c r="B11031" s="1" t="n">
        <v>199.22</v>
      </c>
      <c r="C11031" s="1" t="n">
        <f aca="false">1/B11031</f>
        <v>0.00501957634775625</v>
      </c>
      <c r="D11031" s="1" t="n">
        <v>3.0322</v>
      </c>
      <c r="E11031" s="1" t="n">
        <f aca="false">LN(D11031)</f>
        <v>1.10928842866534</v>
      </c>
    </row>
    <row r="11032" customFormat="false" ht="15.75" hidden="false" customHeight="false" outlineLevel="0" collapsed="false">
      <c r="A11032" s="1" t="s">
        <v>1202</v>
      </c>
      <c r="B11032" s="1" t="n">
        <v>199.81</v>
      </c>
      <c r="C11032" s="1" t="n">
        <f aca="false">1/B11032</f>
        <v>0.00500475451679095</v>
      </c>
      <c r="D11032" s="1" t="n">
        <v>2.9786</v>
      </c>
      <c r="E11032" s="1" t="n">
        <f aca="false">LN(D11032)</f>
        <v>1.09145339146963</v>
      </c>
    </row>
    <row r="11033" customFormat="false" ht="15.75" hidden="false" customHeight="false" outlineLevel="0" collapsed="false">
      <c r="A11033" s="1" t="s">
        <v>1202</v>
      </c>
      <c r="B11033" s="1" t="n">
        <v>200.39</v>
      </c>
      <c r="C11033" s="1" t="n">
        <f aca="false">1/B11033</f>
        <v>0.00499026897549778</v>
      </c>
      <c r="D11033" s="1" t="n">
        <v>2.9265</v>
      </c>
      <c r="E11033" s="1" t="n">
        <f aca="false">LN(D11033)</f>
        <v>1.07380716974914</v>
      </c>
    </row>
    <row r="11034" customFormat="false" ht="15.75" hidden="false" customHeight="false" outlineLevel="0" collapsed="false">
      <c r="A11034" s="1" t="s">
        <v>1202</v>
      </c>
      <c r="B11034" s="1" t="n">
        <v>200.98</v>
      </c>
      <c r="C11034" s="1" t="n">
        <f aca="false">1/B11034</f>
        <v>0.00497561946462335</v>
      </c>
      <c r="D11034" s="1" t="n">
        <v>2.8758</v>
      </c>
      <c r="E11034" s="1" t="n">
        <f aca="false">LN(D11034)</f>
        <v>1.0563308964115</v>
      </c>
    </row>
    <row r="11035" customFormat="false" ht="15.75" hidden="false" customHeight="false" outlineLevel="0" collapsed="false">
      <c r="A11035" s="1" t="s">
        <v>1202</v>
      </c>
      <c r="B11035" s="1" t="n">
        <v>201.56</v>
      </c>
      <c r="C11035" s="1" t="n">
        <f aca="false">1/B11035</f>
        <v>0.00496130184560429</v>
      </c>
      <c r="D11035" s="1" t="n">
        <v>2.8264</v>
      </c>
      <c r="E11035" s="1" t="n">
        <f aca="false">LN(D11035)</f>
        <v>1.0390038170628</v>
      </c>
    </row>
    <row r="11036" customFormat="false" ht="15.75" hidden="false" customHeight="false" outlineLevel="0" collapsed="false">
      <c r="A11036" s="1" t="s">
        <v>1202</v>
      </c>
      <c r="B11036" s="1" t="n">
        <v>202.15</v>
      </c>
      <c r="C11036" s="1" t="n">
        <f aca="false">1/B11036</f>
        <v>0.0049468216670789</v>
      </c>
      <c r="D11036" s="1" t="n">
        <v>2.7783</v>
      </c>
      <c r="E11036" s="1" t="n">
        <f aca="false">LN(D11036)</f>
        <v>1.0218392298622</v>
      </c>
    </row>
    <row r="11037" customFormat="false" ht="15.75" hidden="false" customHeight="false" outlineLevel="0" collapsed="false">
      <c r="A11037" s="1" t="s">
        <v>1202</v>
      </c>
      <c r="B11037" s="1" t="n">
        <v>202.74</v>
      </c>
      <c r="C11037" s="1" t="n">
        <f aca="false">1/B11037</f>
        <v>0.00493242576699221</v>
      </c>
      <c r="D11037" s="1" t="n">
        <v>2.7315</v>
      </c>
      <c r="E11037" s="1" t="n">
        <f aca="false">LN(D11037)</f>
        <v>1.00485090885364</v>
      </c>
    </row>
    <row r="11038" customFormat="false" ht="15.75" hidden="false" customHeight="false" outlineLevel="0" collapsed="false">
      <c r="A11038" s="1" t="s">
        <v>1202</v>
      </c>
      <c r="B11038" s="1" t="n">
        <v>203.32</v>
      </c>
      <c r="C11038" s="1" t="n">
        <f aca="false">1/B11038</f>
        <v>0.00491835530198702</v>
      </c>
      <c r="D11038" s="1" t="n">
        <v>2.6859</v>
      </c>
      <c r="E11038" s="1" t="n">
        <f aca="false">LN(D11038)</f>
        <v>0.988015867326083</v>
      </c>
    </row>
    <row r="11039" customFormat="false" ht="15.75" hidden="false" customHeight="false" outlineLevel="0" collapsed="false">
      <c r="A11039" s="1" t="s">
        <v>1202</v>
      </c>
      <c r="B11039" s="1" t="n">
        <v>203.91</v>
      </c>
      <c r="C11039" s="1" t="n">
        <f aca="false">1/B11039</f>
        <v>0.00490412436859399</v>
      </c>
      <c r="D11039" s="1" t="n">
        <v>2.6415</v>
      </c>
      <c r="E11039" s="1" t="n">
        <f aca="false">LN(D11039)</f>
        <v>0.971346937622234</v>
      </c>
    </row>
    <row r="11040" customFormat="false" ht="15.75" hidden="false" customHeight="false" outlineLevel="0" collapsed="false">
      <c r="A11040" s="1" t="s">
        <v>1202</v>
      </c>
      <c r="B11040" s="1" t="n">
        <v>204.5</v>
      </c>
      <c r="C11040" s="1" t="n">
        <f aca="false">1/B11040</f>
        <v>0.00488997555012225</v>
      </c>
      <c r="D11040" s="1" t="n">
        <v>2.5982</v>
      </c>
      <c r="E11040" s="1" t="n">
        <f aca="false">LN(D11040)</f>
        <v>0.954818897579495</v>
      </c>
    </row>
    <row r="11041" customFormat="false" ht="15.75" hidden="false" customHeight="false" outlineLevel="0" collapsed="false">
      <c r="A11041" s="1" t="s">
        <v>1202</v>
      </c>
      <c r="B11041" s="1" t="n">
        <v>205.08</v>
      </c>
      <c r="C11041" s="1" t="n">
        <f aca="false">1/B11041</f>
        <v>0.00487614589428516</v>
      </c>
      <c r="D11041" s="1" t="n">
        <v>2.556</v>
      </c>
      <c r="E11041" s="1" t="n">
        <f aca="false">LN(D11041)</f>
        <v>0.938443536515288</v>
      </c>
    </row>
    <row r="11042" customFormat="false" ht="15.75" hidden="false" customHeight="false" outlineLevel="0" collapsed="false">
      <c r="A11042" s="1" t="s">
        <v>1202</v>
      </c>
      <c r="B11042" s="1" t="n">
        <v>205.67</v>
      </c>
      <c r="C11042" s="1" t="n">
        <f aca="false">1/B11042</f>
        <v>0.00486215782564302</v>
      </c>
      <c r="D11042" s="1" t="n">
        <v>2.5148</v>
      </c>
      <c r="E11042" s="1" t="n">
        <f aca="false">LN(D11042)</f>
        <v>0.922193277526769</v>
      </c>
    </row>
    <row r="11043" customFormat="false" ht="15.75" hidden="false" customHeight="false" outlineLevel="0" collapsed="false">
      <c r="A11043" s="1" t="s">
        <v>1202</v>
      </c>
      <c r="B11043" s="1" t="n">
        <v>206.26</v>
      </c>
      <c r="C11043" s="1" t="n">
        <f aca="false">1/B11043</f>
        <v>0.00484824978182876</v>
      </c>
      <c r="D11043" s="1" t="n">
        <v>2.4746</v>
      </c>
      <c r="E11043" s="1" t="n">
        <f aca="false">LN(D11043)</f>
        <v>0.906078766797738</v>
      </c>
    </row>
    <row r="11044" customFormat="false" ht="15.75" hidden="false" customHeight="false" outlineLevel="0" collapsed="false">
      <c r="A11044" s="1" t="s">
        <v>1202</v>
      </c>
      <c r="B11044" s="1" t="n">
        <v>206.84</v>
      </c>
      <c r="C11044" s="1" t="n">
        <f aca="false">1/B11044</f>
        <v>0.00483465480564688</v>
      </c>
      <c r="D11044" s="1" t="n">
        <v>2.4354</v>
      </c>
      <c r="E11044" s="1" t="n">
        <f aca="false">LN(D11044)</f>
        <v>0.89011101409077</v>
      </c>
    </row>
    <row r="11045" customFormat="false" ht="15.75" hidden="false" customHeight="false" outlineLevel="0" collapsed="false">
      <c r="A11045" s="1" t="s">
        <v>1202</v>
      </c>
      <c r="B11045" s="1" t="n">
        <v>207.43</v>
      </c>
      <c r="C11045" s="1" t="n">
        <f aca="false">1/B11045</f>
        <v>0.00482090343730415</v>
      </c>
      <c r="D11045" s="1" t="n">
        <v>2.3972</v>
      </c>
      <c r="E11045" s="1" t="n">
        <f aca="false">LN(D11045)</f>
        <v>0.874301389601893</v>
      </c>
    </row>
    <row r="11046" customFormat="false" ht="15.75" hidden="false" customHeight="false" outlineLevel="0" collapsed="false">
      <c r="A11046" s="1" t="s">
        <v>1202</v>
      </c>
      <c r="B11046" s="1" t="n">
        <v>208.01</v>
      </c>
      <c r="C11046" s="1" t="n">
        <f aca="false">1/B11046</f>
        <v>0.00480746117975097</v>
      </c>
      <c r="D11046" s="1" t="n">
        <v>2.3599</v>
      </c>
      <c r="E11046" s="1" t="n">
        <f aca="false">LN(D11046)</f>
        <v>0.858619245258407</v>
      </c>
    </row>
    <row r="11047" customFormat="false" ht="15.75" hidden="false" customHeight="false" outlineLevel="0" collapsed="false">
      <c r="A11047" s="1" t="s">
        <v>1202</v>
      </c>
      <c r="B11047" s="1" t="n">
        <v>208.6</v>
      </c>
      <c r="C11047" s="1" t="n">
        <f aca="false">1/B11047</f>
        <v>0.00479386385426654</v>
      </c>
      <c r="D11047" s="1" t="n">
        <v>2.3234</v>
      </c>
      <c r="E11047" s="1" t="n">
        <f aca="false">LN(D11047)</f>
        <v>0.843031630097237</v>
      </c>
    </row>
    <row r="11048" customFormat="false" ht="15.75" hidden="false" customHeight="false" outlineLevel="0" collapsed="false">
      <c r="A11048" s="1" t="s">
        <v>1202</v>
      </c>
      <c r="B11048" s="1" t="n">
        <v>209.19</v>
      </c>
      <c r="C11048" s="1" t="n">
        <f aca="false">1/B11048</f>
        <v>0.00478034322864382</v>
      </c>
      <c r="D11048" s="1" t="n">
        <v>2.2878</v>
      </c>
      <c r="E11048" s="1" t="n">
        <f aca="false">LN(D11048)</f>
        <v>0.827590657109436</v>
      </c>
    </row>
    <row r="11049" customFormat="false" ht="15.75" hidden="false" customHeight="false" outlineLevel="0" collapsed="false">
      <c r="A11049" s="1" t="s">
        <v>1202</v>
      </c>
      <c r="B11049" s="1" t="n">
        <v>209.77</v>
      </c>
      <c r="C11049" s="1" t="n">
        <f aca="false">1/B11049</f>
        <v>0.00476712589979501</v>
      </c>
      <c r="D11049" s="1" t="n">
        <v>2.253</v>
      </c>
      <c r="E11049" s="1" t="n">
        <f aca="false">LN(D11049)</f>
        <v>0.812262661450107</v>
      </c>
    </row>
    <row r="11050" customFormat="false" ht="15.75" hidden="false" customHeight="false" outlineLevel="0" collapsed="false">
      <c r="A11050" s="1" t="s">
        <v>1202</v>
      </c>
      <c r="B11050" s="1" t="n">
        <v>210.36</v>
      </c>
      <c r="C11050" s="1" t="n">
        <f aca="false">1/B11050</f>
        <v>0.00475375546681879</v>
      </c>
      <c r="D11050" s="1" t="n">
        <v>2.2191</v>
      </c>
      <c r="E11050" s="1" t="n">
        <f aca="false">LN(D11050)</f>
        <v>0.797101708279795</v>
      </c>
    </row>
    <row r="11051" customFormat="false" ht="15.75" hidden="false" customHeight="false" outlineLevel="0" collapsed="false">
      <c r="A11051" s="1" t="s">
        <v>1202</v>
      </c>
      <c r="B11051" s="1" t="n">
        <v>210.95</v>
      </c>
      <c r="C11051" s="1" t="n">
        <f aca="false">1/B11051</f>
        <v>0.00474045982460299</v>
      </c>
      <c r="D11051" s="1" t="n">
        <v>2.1859</v>
      </c>
      <c r="E11051" s="1" t="n">
        <f aca="false">LN(D11051)</f>
        <v>0.78202764305382</v>
      </c>
    </row>
    <row r="11052" customFormat="false" ht="15.75" hidden="false" customHeight="false" outlineLevel="0" collapsed="false">
      <c r="A11052" s="1" t="s">
        <v>1202</v>
      </c>
      <c r="B11052" s="1" t="n">
        <v>211.53</v>
      </c>
      <c r="C11052" s="1" t="n">
        <f aca="false">1/B11052</f>
        <v>0.00472746182574576</v>
      </c>
      <c r="D11052" s="1" t="n">
        <v>2.1534</v>
      </c>
      <c r="E11052" s="1" t="n">
        <f aca="false">LN(D11052)</f>
        <v>0.76704798839948</v>
      </c>
    </row>
    <row r="11053" customFormat="false" ht="15.75" hidden="false" customHeight="false" outlineLevel="0" collapsed="false">
      <c r="A11053" s="1" t="s">
        <v>1202</v>
      </c>
      <c r="B11053" s="1" t="n">
        <v>212.12</v>
      </c>
      <c r="C11053" s="1" t="n">
        <f aca="false">1/B11053</f>
        <v>0.00471431265321516</v>
      </c>
      <c r="D11053" s="1" t="n">
        <v>2.1217</v>
      </c>
      <c r="E11053" s="1" t="n">
        <f aca="false">LN(D11053)</f>
        <v>0.752217654136934</v>
      </c>
    </row>
    <row r="11054" customFormat="false" ht="15.75" hidden="false" customHeight="false" outlineLevel="0" collapsed="false">
      <c r="A11054" s="1" t="s">
        <v>1202</v>
      </c>
      <c r="B11054" s="1" t="n">
        <v>212.7</v>
      </c>
      <c r="C11054" s="1" t="n">
        <f aca="false">1/B11054</f>
        <v>0.00470145745181006</v>
      </c>
      <c r="D11054" s="1" t="n">
        <v>2.0907</v>
      </c>
      <c r="E11054" s="1" t="n">
        <f aca="false">LN(D11054)</f>
        <v>0.737498938130446</v>
      </c>
    </row>
    <row r="11055" customFormat="false" ht="15.75" hidden="false" customHeight="false" outlineLevel="0" collapsed="false">
      <c r="A11055" s="1" t="s">
        <v>1202</v>
      </c>
      <c r="B11055" s="1" t="n">
        <v>213.29</v>
      </c>
      <c r="C11055" s="1" t="n">
        <f aca="false">1/B11055</f>
        <v>0.00468845234188195</v>
      </c>
      <c r="D11055" s="1" t="n">
        <v>2.0603</v>
      </c>
      <c r="E11055" s="1" t="n">
        <f aca="false">LN(D11055)</f>
        <v>0.722851603266276</v>
      </c>
    </row>
    <row r="11056" customFormat="false" ht="15.75" hidden="false" customHeight="false" outlineLevel="0" collapsed="false">
      <c r="A11056" s="1" t="s">
        <v>1202</v>
      </c>
      <c r="B11056" s="1" t="n">
        <v>213.88</v>
      </c>
      <c r="C11056" s="1" t="n">
        <f aca="false">1/B11056</f>
        <v>0.00467551898260707</v>
      </c>
      <c r="D11056" s="1" t="n">
        <v>2.0307</v>
      </c>
      <c r="E11056" s="1" t="n">
        <f aca="false">LN(D11056)</f>
        <v>0.708380561200535</v>
      </c>
    </row>
    <row r="11057" customFormat="false" ht="15.75" hidden="false" customHeight="false" outlineLevel="0" collapsed="false">
      <c r="A11057" s="1" t="s">
        <v>1202</v>
      </c>
      <c r="B11057" s="1" t="n">
        <v>214.46</v>
      </c>
      <c r="C11057" s="1" t="n">
        <f aca="false">1/B11057</f>
        <v>0.0046628741956542</v>
      </c>
      <c r="D11057" s="1" t="n">
        <v>2.0016</v>
      </c>
      <c r="E11057" s="1" t="n">
        <f aca="false">LN(D11057)</f>
        <v>0.69394686073051</v>
      </c>
    </row>
    <row r="11058" customFormat="false" ht="15.75" hidden="false" customHeight="false" outlineLevel="0" collapsed="false">
      <c r="A11058" s="1" t="s">
        <v>1202</v>
      </c>
      <c r="B11058" s="1" t="n">
        <v>215.05</v>
      </c>
      <c r="C11058" s="1" t="n">
        <f aca="false">1/B11058</f>
        <v>0.00465008137642409</v>
      </c>
      <c r="D11058" s="1" t="n">
        <v>1.9732</v>
      </c>
      <c r="E11058" s="1" t="n">
        <f aca="false">LN(D11058)</f>
        <v>0.679656590377446</v>
      </c>
    </row>
    <row r="11059" customFormat="false" ht="15.75" hidden="false" customHeight="false" outlineLevel="0" collapsed="false">
      <c r="A11059" s="1" t="s">
        <v>1202</v>
      </c>
      <c r="B11059" s="1" t="n">
        <v>215.64</v>
      </c>
      <c r="C11059" s="1" t="n">
        <f aca="false">1/B11059</f>
        <v>0.0046373585605639</v>
      </c>
      <c r="D11059" s="1" t="n">
        <v>1.9454</v>
      </c>
      <c r="E11059" s="1" t="n">
        <f aca="false">LN(D11059)</f>
        <v>0.665467611453203</v>
      </c>
    </row>
    <row r="11060" customFormat="false" ht="15.75" hidden="false" customHeight="false" outlineLevel="0" collapsed="false">
      <c r="A11060" s="1" t="s">
        <v>1202</v>
      </c>
      <c r="B11060" s="1" t="n">
        <v>216.22</v>
      </c>
      <c r="C11060" s="1" t="n">
        <f aca="false">1/B11060</f>
        <v>0.00462491906391638</v>
      </c>
      <c r="D11060" s="1" t="n">
        <v>1.9182</v>
      </c>
      <c r="E11060" s="1" t="n">
        <f aca="false">LN(D11060)</f>
        <v>0.651387246311714</v>
      </c>
    </row>
    <row r="11061" customFormat="false" ht="15.75" hidden="false" customHeight="false" outlineLevel="0" collapsed="false">
      <c r="A11061" s="1" t="s">
        <v>1202</v>
      </c>
      <c r="B11061" s="1" t="n">
        <v>216.81</v>
      </c>
      <c r="C11061" s="1" t="n">
        <f aca="false">1/B11061</f>
        <v>0.00461233337945667</v>
      </c>
      <c r="D11061" s="1" t="n">
        <v>1.8915</v>
      </c>
      <c r="E11061" s="1" t="n">
        <f aca="false">LN(D11061)</f>
        <v>0.637370165090947</v>
      </c>
    </row>
    <row r="11062" customFormat="false" ht="15.75" hidden="false" customHeight="false" outlineLevel="0" collapsed="false">
      <c r="A11062" s="1" t="s">
        <v>1202</v>
      </c>
      <c r="B11062" s="1" t="n">
        <v>217.4</v>
      </c>
      <c r="C11062" s="1" t="n">
        <f aca="false">1/B11062</f>
        <v>0.00459981600735971</v>
      </c>
      <c r="D11062" s="1" t="n">
        <v>1.8655</v>
      </c>
      <c r="E11062" s="1" t="n">
        <f aca="false">LN(D11062)</f>
        <v>0.623529113679076</v>
      </c>
    </row>
    <row r="11063" customFormat="false" ht="15.75" hidden="false" customHeight="false" outlineLevel="0" collapsed="false">
      <c r="A11063" s="1" t="s">
        <v>1202</v>
      </c>
      <c r="B11063" s="1" t="n">
        <v>217.98</v>
      </c>
      <c r="C11063" s="1" t="n">
        <f aca="false">1/B11063</f>
        <v>0.0045875768419121</v>
      </c>
      <c r="D11063" s="1" t="n">
        <v>1.8399</v>
      </c>
      <c r="E11063" s="1" t="n">
        <f aca="false">LN(D11063)</f>
        <v>0.609711222317911</v>
      </c>
    </row>
    <row r="11064" customFormat="false" ht="15.75" hidden="false" customHeight="false" outlineLevel="0" collapsed="false">
      <c r="A11064" s="1" t="s">
        <v>1202</v>
      </c>
      <c r="B11064" s="1" t="n">
        <v>218.57</v>
      </c>
      <c r="C11064" s="1" t="n">
        <f aca="false">1/B11064</f>
        <v>0.00457519330191701</v>
      </c>
      <c r="D11064" s="1" t="n">
        <v>1.8149</v>
      </c>
      <c r="E11064" s="1" t="n">
        <f aca="false">LN(D11064)</f>
        <v>0.596030369780218</v>
      </c>
    </row>
    <row r="11065" customFormat="false" ht="15.75" hidden="false" customHeight="false" outlineLevel="0" collapsed="false">
      <c r="A11065" s="1" t="s">
        <v>1202</v>
      </c>
      <c r="B11065" s="1" t="n">
        <v>219.15</v>
      </c>
      <c r="C11065" s="1" t="n">
        <f aca="false">1/B11065</f>
        <v>0.00456308464522017</v>
      </c>
      <c r="D11065" s="1" t="n">
        <v>1.7903</v>
      </c>
      <c r="E11065" s="1" t="n">
        <f aca="false">LN(D11065)</f>
        <v>0.58238320357509</v>
      </c>
    </row>
    <row r="11066" customFormat="false" ht="15.75" hidden="false" customHeight="false" outlineLevel="0" collapsed="false">
      <c r="A11066" s="1" t="s">
        <v>1202</v>
      </c>
      <c r="B11066" s="1" t="n">
        <v>219.74</v>
      </c>
      <c r="C11066" s="1" t="n">
        <f aca="false">1/B11066</f>
        <v>0.00455083280240284</v>
      </c>
      <c r="D11066" s="1" t="n">
        <v>1.7663</v>
      </c>
      <c r="E11066" s="1" t="n">
        <f aca="false">LN(D11066)</f>
        <v>0.568886963179261</v>
      </c>
    </row>
    <row r="11067" customFormat="false" ht="15.75" hidden="false" customHeight="false" outlineLevel="0" collapsed="false">
      <c r="A11067" s="1" t="s">
        <v>1202</v>
      </c>
      <c r="B11067" s="1" t="n">
        <v>220.33</v>
      </c>
      <c r="C11067" s="1" t="n">
        <f aca="false">1/B11067</f>
        <v>0.00453864657559116</v>
      </c>
      <c r="D11067" s="1" t="n">
        <v>1.7427</v>
      </c>
      <c r="E11067" s="1" t="n">
        <f aca="false">LN(D11067)</f>
        <v>0.555435634684459</v>
      </c>
    </row>
    <row r="11068" customFormat="false" ht="15.75" hidden="false" customHeight="false" outlineLevel="0" collapsed="false">
      <c r="A11068" s="1" t="s">
        <v>1202</v>
      </c>
      <c r="B11068" s="1" t="n">
        <v>220.91</v>
      </c>
      <c r="C11068" s="1" t="n">
        <f aca="false">1/B11068</f>
        <v>0.00452673034267349</v>
      </c>
      <c r="D11068" s="1" t="n">
        <v>1.7196</v>
      </c>
      <c r="E11068" s="1" t="n">
        <f aca="false">LN(D11068)</f>
        <v>0.542091705639989</v>
      </c>
    </row>
    <row r="11069" customFormat="false" ht="15.75" hidden="false" customHeight="false" outlineLevel="0" collapsed="false">
      <c r="A11069" s="1" t="s">
        <v>1202</v>
      </c>
      <c r="B11069" s="1" t="n">
        <v>221.5</v>
      </c>
      <c r="C11069" s="1" t="n">
        <f aca="false">1/B11069</f>
        <v>0.00451467268623025</v>
      </c>
      <c r="D11069" s="1" t="n">
        <v>1.697</v>
      </c>
      <c r="E11069" s="1" t="n">
        <f aca="false">LN(D11069)</f>
        <v>0.528861986252089</v>
      </c>
    </row>
    <row r="11070" customFormat="false" ht="15.75" hidden="false" customHeight="false" outlineLevel="0" collapsed="false">
      <c r="A11070" s="1" t="s">
        <v>1202</v>
      </c>
      <c r="B11070" s="1" t="n">
        <v>222.09</v>
      </c>
      <c r="C11070" s="1" t="n">
        <f aca="false">1/B11070</f>
        <v>0.00450267909406097</v>
      </c>
      <c r="D11070" s="1" t="n">
        <v>1.6748</v>
      </c>
      <c r="E11070" s="1" t="n">
        <f aca="false">LN(D11070)</f>
        <v>0.515693755162851</v>
      </c>
    </row>
    <row r="11071" customFormat="false" ht="15.75" hidden="false" customHeight="false" outlineLevel="0" collapsed="false">
      <c r="A11071" s="1" t="s">
        <v>1202</v>
      </c>
      <c r="B11071" s="1" t="n">
        <v>222.67</v>
      </c>
      <c r="C11071" s="1" t="n">
        <f aca="false">1/B11071</f>
        <v>0.00449095073427045</v>
      </c>
      <c r="D11071" s="1" t="n">
        <v>1.653</v>
      </c>
      <c r="E11071" s="1" t="n">
        <f aca="false">LN(D11071)</f>
        <v>0.502591818838887</v>
      </c>
    </row>
    <row r="11072" customFormat="false" ht="15.75" hidden="false" customHeight="false" outlineLevel="0" collapsed="false">
      <c r="A11072" s="1" t="s">
        <v>1202</v>
      </c>
      <c r="B11072" s="1" t="n">
        <v>223.26</v>
      </c>
      <c r="C11072" s="1" t="n">
        <f aca="false">1/B11072</f>
        <v>0.00447908268386634</v>
      </c>
      <c r="D11072" s="1" t="n">
        <v>1.6317</v>
      </c>
      <c r="E11072" s="1" t="n">
        <f aca="false">LN(D11072)</f>
        <v>0.489622416114888</v>
      </c>
    </row>
    <row r="11073" customFormat="false" ht="15.75" hidden="false" customHeight="false" outlineLevel="0" collapsed="false">
      <c r="A11073" s="1" t="s">
        <v>1202</v>
      </c>
      <c r="B11073" s="1" t="n">
        <v>223.84</v>
      </c>
      <c r="C11073" s="1" t="n">
        <f aca="false">1/B11073</f>
        <v>0.0044674767691208</v>
      </c>
      <c r="D11073" s="1" t="n">
        <v>1.6107</v>
      </c>
      <c r="E11073" s="1" t="n">
        <f aca="false">LN(D11073)</f>
        <v>0.476668867114497</v>
      </c>
    </row>
    <row r="11074" customFormat="false" ht="15.75" hidden="false" customHeight="false" outlineLevel="0" collapsed="false">
      <c r="A11074" s="1" t="s">
        <v>1202</v>
      </c>
      <c r="B11074" s="1" t="n">
        <v>224.43</v>
      </c>
      <c r="C11074" s="1" t="n">
        <f aca="false">1/B11074</f>
        <v>0.00445573229960344</v>
      </c>
      <c r="D11074" s="1" t="n">
        <v>1.5902</v>
      </c>
      <c r="E11074" s="1" t="n">
        <f aca="false">LN(D11074)</f>
        <v>0.463859794485246</v>
      </c>
    </row>
    <row r="11075" customFormat="false" ht="15.75" hidden="false" customHeight="false" outlineLevel="0" collapsed="false">
      <c r="A11075" s="1" t="s">
        <v>1202</v>
      </c>
      <c r="B11075" s="1" t="n">
        <v>225.02</v>
      </c>
      <c r="C11075" s="1" t="n">
        <f aca="false">1/B11075</f>
        <v>0.00444404941782953</v>
      </c>
      <c r="D11075" s="1" t="n">
        <v>1.57</v>
      </c>
      <c r="E11075" s="1" t="n">
        <f aca="false">LN(D11075)</f>
        <v>0.451075619360217</v>
      </c>
    </row>
    <row r="11076" customFormat="false" ht="15.75" hidden="false" customHeight="false" outlineLevel="0" collapsed="false">
      <c r="A11076" s="1" t="s">
        <v>1202</v>
      </c>
      <c r="B11076" s="1" t="n">
        <v>225.6</v>
      </c>
      <c r="C11076" s="1" t="n">
        <f aca="false">1/B11076</f>
        <v>0.00443262411347518</v>
      </c>
      <c r="D11076" s="1" t="n">
        <v>1.5503</v>
      </c>
      <c r="E11076" s="1" t="n">
        <f aca="false">LN(D11076)</f>
        <v>0.438448460590179</v>
      </c>
    </row>
    <row r="11077" customFormat="false" ht="15.75" hidden="false" customHeight="false" outlineLevel="0" collapsed="false">
      <c r="A11077" s="1" t="s">
        <v>1202</v>
      </c>
      <c r="B11077" s="1" t="n">
        <v>226.19</v>
      </c>
      <c r="C11077" s="1" t="n">
        <f aca="false">1/B11077</f>
        <v>0.00442106193907777</v>
      </c>
      <c r="D11077" s="1" t="n">
        <v>1.5308</v>
      </c>
      <c r="E11077" s="1" t="n">
        <f aca="false">LN(D11077)</f>
        <v>0.42579047456941</v>
      </c>
    </row>
    <row r="11078" customFormat="false" ht="15.75" hidden="false" customHeight="false" outlineLevel="0" collapsed="false">
      <c r="A11078" s="1" t="s">
        <v>1202</v>
      </c>
      <c r="B11078" s="1" t="n">
        <v>226.78</v>
      </c>
      <c r="C11078" s="1" t="n">
        <f aca="false">1/B11078</f>
        <v>0.00440955992591939</v>
      </c>
      <c r="D11078" s="1" t="n">
        <v>1.5118</v>
      </c>
      <c r="E11078" s="1" t="n">
        <f aca="false">LN(D11078)</f>
        <v>0.413300993875939</v>
      </c>
    </row>
    <row r="11079" customFormat="false" ht="15.75" hidden="false" customHeight="false" outlineLevel="0" collapsed="false">
      <c r="A11079" s="1" t="s">
        <v>1202</v>
      </c>
      <c r="B11079" s="1" t="n">
        <v>227.36</v>
      </c>
      <c r="C11079" s="1" t="n">
        <f aca="false">1/B11079</f>
        <v>0.00439831104855735</v>
      </c>
      <c r="D11079" s="1" t="n">
        <v>1.4931</v>
      </c>
      <c r="E11079" s="1" t="n">
        <f aca="false">LN(D11079)</f>
        <v>0.400854495550481</v>
      </c>
    </row>
    <row r="11080" customFormat="false" ht="15.75" hidden="false" customHeight="false" outlineLevel="0" collapsed="false">
      <c r="A11080" s="1" t="s">
        <v>1202</v>
      </c>
      <c r="B11080" s="1" t="n">
        <v>227.95</v>
      </c>
      <c r="C11080" s="1" t="n">
        <f aca="false">1/B11080</f>
        <v>0.00438692695766616</v>
      </c>
      <c r="D11080" s="1" t="n">
        <v>1.4747</v>
      </c>
      <c r="E11080" s="1" t="n">
        <f aca="false">LN(D11080)</f>
        <v>0.388454579274758</v>
      </c>
    </row>
    <row r="11081" customFormat="false" ht="15.75" hidden="false" customHeight="false" outlineLevel="0" collapsed="false">
      <c r="A11081" s="1" t="s">
        <v>1202</v>
      </c>
      <c r="B11081" s="1" t="n">
        <v>228.54</v>
      </c>
      <c r="C11081" s="1" t="n">
        <f aca="false">1/B11081</f>
        <v>0.00437560164522622</v>
      </c>
      <c r="D11081" s="1" t="n">
        <v>1.4567</v>
      </c>
      <c r="E11081" s="1" t="n">
        <f aca="false">LN(D11081)</f>
        <v>0.376173603472765</v>
      </c>
    </row>
    <row r="11082" customFormat="false" ht="15.75" hidden="false" customHeight="false" outlineLevel="0" collapsed="false">
      <c r="A11082" s="1" t="s">
        <v>1202</v>
      </c>
      <c r="B11082" s="1" t="n">
        <v>229.12</v>
      </c>
      <c r="C11082" s="1" t="n">
        <f aca="false">1/B11082</f>
        <v>0.0043645251396648</v>
      </c>
      <c r="D11082" s="1" t="n">
        <v>1.439</v>
      </c>
      <c r="E11082" s="1" t="n">
        <f aca="false">LN(D11082)</f>
        <v>0.363948427905231</v>
      </c>
    </row>
    <row r="11083" customFormat="false" ht="15.75" hidden="false" customHeight="false" outlineLevel="0" collapsed="false">
      <c r="A11083" s="1" t="s">
        <v>1202</v>
      </c>
      <c r="B11083" s="1" t="n">
        <v>229.71</v>
      </c>
      <c r="C11083" s="1" t="n">
        <f aca="false">1/B11083</f>
        <v>0.00435331504941013</v>
      </c>
      <c r="D11083" s="1" t="n">
        <v>1.4216</v>
      </c>
      <c r="E11083" s="1" t="n">
        <f aca="false">LN(D11083)</f>
        <v>0.351782997858305</v>
      </c>
    </row>
    <row r="11084" customFormat="false" ht="15.75" hidden="false" customHeight="false" outlineLevel="0" collapsed="false">
      <c r="A11084" s="1" t="s">
        <v>1202</v>
      </c>
      <c r="B11084" s="1" t="n">
        <v>230.29</v>
      </c>
      <c r="C11084" s="1" t="n">
        <f aca="false">1/B11084</f>
        <v>0.00434235094880368</v>
      </c>
      <c r="D11084" s="1" t="n">
        <v>1.4045</v>
      </c>
      <c r="E11084" s="1" t="n">
        <f aca="false">LN(D11084)</f>
        <v>0.339681367562161</v>
      </c>
    </row>
    <row r="11085" customFormat="false" ht="15.75" hidden="false" customHeight="false" outlineLevel="0" collapsed="false">
      <c r="A11085" s="1" t="s">
        <v>1202</v>
      </c>
      <c r="B11085" s="1" t="n">
        <v>230.88</v>
      </c>
      <c r="C11085" s="1" t="n">
        <f aca="false">1/B11085</f>
        <v>0.00433125433125433</v>
      </c>
      <c r="D11085" s="1" t="n">
        <v>1.3877</v>
      </c>
      <c r="E11085" s="1" t="n">
        <f aca="false">LN(D11085)</f>
        <v>0.327647700394828</v>
      </c>
    </row>
    <row r="11086" customFormat="false" ht="15.75" hidden="false" customHeight="false" outlineLevel="0" collapsed="false">
      <c r="A11086" s="1" t="s">
        <v>1202</v>
      </c>
      <c r="B11086" s="1" t="n">
        <v>231.47</v>
      </c>
      <c r="C11086" s="1" t="n">
        <f aca="false">1/B11086</f>
        <v>0.00432021428262842</v>
      </c>
      <c r="D11086" s="1" t="n">
        <v>1.3712</v>
      </c>
      <c r="E11086" s="1" t="n">
        <f aca="false">LN(D11086)</f>
        <v>0.315686268861378</v>
      </c>
    </row>
    <row r="11087" customFormat="false" ht="15.75" hidden="false" customHeight="false" outlineLevel="0" collapsed="false">
      <c r="A11087" s="1" t="s">
        <v>1202</v>
      </c>
      <c r="B11087" s="1" t="n">
        <v>232.05</v>
      </c>
      <c r="C11087" s="1" t="n">
        <f aca="false">1/B11087</f>
        <v>0.00430941607412196</v>
      </c>
      <c r="D11087" s="1" t="n">
        <v>1.355</v>
      </c>
      <c r="E11087" s="1" t="n">
        <f aca="false">LN(D11087)</f>
        <v>0.303801454331664</v>
      </c>
    </row>
    <row r="11088" customFormat="false" ht="15.75" hidden="false" customHeight="false" outlineLevel="0" collapsed="false">
      <c r="A11088" s="1" t="s">
        <v>1202</v>
      </c>
      <c r="B11088" s="1" t="n">
        <v>232.64</v>
      </c>
      <c r="C11088" s="1" t="n">
        <f aca="false">1/B11088</f>
        <v>0.00429848693259973</v>
      </c>
      <c r="D11088" s="1" t="n">
        <v>1.339</v>
      </c>
      <c r="E11088" s="1" t="n">
        <f aca="false">LN(D11088)</f>
        <v>0.291923066709035</v>
      </c>
    </row>
    <row r="11089" customFormat="false" ht="15.75" hidden="false" customHeight="false" outlineLevel="0" collapsed="false">
      <c r="A11089" s="1" t="s">
        <v>1202</v>
      </c>
      <c r="B11089" s="1" t="n">
        <v>233.23</v>
      </c>
      <c r="C11089" s="1" t="n">
        <f aca="false">1/B11089</f>
        <v>0.00428761308579514</v>
      </c>
      <c r="D11089" s="1" t="n">
        <v>1.3234</v>
      </c>
      <c r="E11089" s="1" t="n">
        <f aca="false">LN(D11089)</f>
        <v>0.280204182595822</v>
      </c>
    </row>
    <row r="11090" customFormat="false" ht="15.75" hidden="false" customHeight="false" outlineLevel="0" collapsed="false">
      <c r="A11090" s="1" t="s">
        <v>1202</v>
      </c>
      <c r="B11090" s="1" t="n">
        <v>233.81</v>
      </c>
      <c r="C11090" s="1" t="n">
        <f aca="false">1/B11090</f>
        <v>0.00427697703263334</v>
      </c>
      <c r="D11090" s="1" t="n">
        <v>1.308</v>
      </c>
      <c r="E11090" s="1" t="n">
        <f aca="false">LN(D11090)</f>
        <v>0.268499253035007</v>
      </c>
    </row>
    <row r="11091" customFormat="false" ht="15.75" hidden="false" customHeight="false" outlineLevel="0" collapsed="false">
      <c r="A11091" s="1" t="s">
        <v>1202</v>
      </c>
      <c r="B11091" s="1" t="n">
        <v>234.4</v>
      </c>
      <c r="C11091" s="1" t="n">
        <f aca="false">1/B11091</f>
        <v>0.00426621160409556</v>
      </c>
      <c r="D11091" s="1" t="n">
        <v>1.2928</v>
      </c>
      <c r="E11091" s="1" t="n">
        <f aca="false">LN(D11091)</f>
        <v>0.256810408784694</v>
      </c>
    </row>
    <row r="11092" customFormat="false" ht="15.75" hidden="false" customHeight="false" outlineLevel="0" collapsed="false">
      <c r="A11092" s="1" t="s">
        <v>1202</v>
      </c>
      <c r="B11092" s="1" t="n">
        <v>234.98</v>
      </c>
      <c r="C11092" s="1" t="n">
        <f aca="false">1/B11092</f>
        <v>0.00425568133458167</v>
      </c>
      <c r="D11092" s="1" t="n">
        <v>1.2779</v>
      </c>
      <c r="E11092" s="1" t="n">
        <f aca="false">LN(D11092)</f>
        <v>0.245218105632521</v>
      </c>
    </row>
    <row r="11093" customFormat="false" ht="15.75" hidden="false" customHeight="false" outlineLevel="0" collapsed="false">
      <c r="A11093" s="1" t="s">
        <v>1202</v>
      </c>
      <c r="B11093" s="1" t="n">
        <v>235.57</v>
      </c>
      <c r="C11093" s="1" t="n">
        <f aca="false">1/B11093</f>
        <v>0.0042450227108715</v>
      </c>
      <c r="D11093" s="1" t="n">
        <v>1.2633</v>
      </c>
      <c r="E11093" s="1" t="n">
        <f aca="false">LN(D11093)</f>
        <v>0.233727344853855</v>
      </c>
    </row>
    <row r="11094" customFormat="false" ht="15.75" hidden="false" customHeight="false" outlineLevel="0" collapsed="false">
      <c r="A11094" s="1" t="s">
        <v>1202</v>
      </c>
      <c r="B11094" s="1" t="n">
        <v>236.16</v>
      </c>
      <c r="C11094" s="1" t="n">
        <f aca="false">1/B11094</f>
        <v>0.00423441734417344</v>
      </c>
      <c r="D11094" s="1" t="n">
        <v>1.2489</v>
      </c>
      <c r="E11094" s="1" t="n">
        <f aca="false">LN(D11094)</f>
        <v>0.222263163886902</v>
      </c>
    </row>
    <row r="11095" customFormat="false" ht="15.75" hidden="false" customHeight="false" outlineLevel="0" collapsed="false">
      <c r="A11095" s="1" t="s">
        <v>1202</v>
      </c>
      <c r="B11095" s="1" t="n">
        <v>236.74</v>
      </c>
      <c r="C11095" s="1" t="n">
        <f aca="false">1/B11095</f>
        <v>0.00422404325420292</v>
      </c>
      <c r="D11095" s="1" t="n">
        <v>1.2348</v>
      </c>
      <c r="E11095" s="1" t="n">
        <f aca="false">LN(D11095)</f>
        <v>0.210909013645867</v>
      </c>
    </row>
    <row r="11096" customFormat="false" ht="15.75" hidden="false" customHeight="false" outlineLevel="0" collapsed="false">
      <c r="A11096" s="1" t="s">
        <v>1202</v>
      </c>
      <c r="B11096" s="1" t="n">
        <v>237.33</v>
      </c>
      <c r="C11096" s="1" t="n">
        <f aca="false">1/B11096</f>
        <v>0.00421354232503266</v>
      </c>
      <c r="D11096" s="1" t="n">
        <v>1.2208</v>
      </c>
      <c r="E11096" s="1" t="n">
        <f aca="false">LN(D11096)</f>
        <v>0.199506381548056</v>
      </c>
    </row>
    <row r="11097" customFormat="false" ht="15.75" hidden="false" customHeight="false" outlineLevel="0" collapsed="false">
      <c r="A11097" s="1" t="s">
        <v>1202</v>
      </c>
      <c r="B11097" s="1" t="n">
        <v>237.92</v>
      </c>
      <c r="C11097" s="1" t="n">
        <f aca="false">1/B11097</f>
        <v>0.00420309347679892</v>
      </c>
      <c r="D11097" s="1" t="n">
        <v>1.2071</v>
      </c>
      <c r="E11097" s="1" t="n">
        <f aca="false">LN(D11097)</f>
        <v>0.188220788724944</v>
      </c>
    </row>
    <row r="11098" customFormat="false" ht="15.75" hidden="false" customHeight="false" outlineLevel="0" collapsed="false">
      <c r="A11098" s="1" t="s">
        <v>1202</v>
      </c>
      <c r="B11098" s="1" t="n">
        <v>238.5</v>
      </c>
      <c r="C11098" s="1" t="n">
        <f aca="false">1/B11098</f>
        <v>0.00419287211740042</v>
      </c>
      <c r="D11098" s="1" t="n">
        <v>1.1937</v>
      </c>
      <c r="E11098" s="1" t="n">
        <f aca="false">LN(D11098)</f>
        <v>0.177057727118856</v>
      </c>
    </row>
    <row r="11099" customFormat="false" ht="15.75" hidden="false" customHeight="false" outlineLevel="0" collapsed="false">
      <c r="A11099" s="1" t="s">
        <v>1202</v>
      </c>
      <c r="B11099" s="1" t="n">
        <v>239.09</v>
      </c>
      <c r="C11099" s="1" t="n">
        <f aca="false">1/B11099</f>
        <v>0.00418252540884186</v>
      </c>
      <c r="D11099" s="1" t="n">
        <v>1.1804</v>
      </c>
      <c r="E11099" s="1" t="n">
        <f aca="false">LN(D11099)</f>
        <v>0.165853364086647</v>
      </c>
    </row>
    <row r="11100" customFormat="false" ht="15.75" hidden="false" customHeight="false" outlineLevel="0" collapsed="false">
      <c r="A11100" s="1" t="s">
        <v>1202</v>
      </c>
      <c r="B11100" s="1" t="n">
        <v>239.68</v>
      </c>
      <c r="C11100" s="1" t="n">
        <f aca="false">1/B11100</f>
        <v>0.00417222963951936</v>
      </c>
      <c r="D11100" s="1" t="n">
        <v>1.1674</v>
      </c>
      <c r="E11100" s="1" t="n">
        <f aca="false">LN(D11100)</f>
        <v>0.154779053787554</v>
      </c>
    </row>
    <row r="11101" customFormat="false" ht="15.75" hidden="false" customHeight="false" outlineLevel="0" collapsed="false">
      <c r="A11101" s="1" t="s">
        <v>1202</v>
      </c>
      <c r="B11101" s="1" t="n">
        <v>240.26</v>
      </c>
      <c r="C11101" s="1" t="n">
        <f aca="false">1/B11101</f>
        <v>0.00416215766253226</v>
      </c>
      <c r="D11101" s="1" t="n">
        <v>1.1545</v>
      </c>
      <c r="E11101" s="1" t="n">
        <f aca="false">LN(D11101)</f>
        <v>0.143667349812413</v>
      </c>
    </row>
    <row r="11102" customFormat="false" ht="15.75" hidden="false" customHeight="false" outlineLevel="0" collapsed="false">
      <c r="A11102" s="1" t="s">
        <v>1202</v>
      </c>
      <c r="B11102" s="1" t="n">
        <v>240.85</v>
      </c>
      <c r="C11102" s="1" t="n">
        <f aca="false">1/B11102</f>
        <v>0.00415196180195142</v>
      </c>
      <c r="D11102" s="1" t="n">
        <v>1.1419</v>
      </c>
      <c r="E11102" s="1" t="n">
        <f aca="false">LN(D11102)</f>
        <v>0.132693541725465</v>
      </c>
    </row>
    <row r="11103" customFormat="false" ht="15.75" hidden="false" customHeight="false" outlineLevel="0" collapsed="false">
      <c r="A11103" s="1" t="s">
        <v>1202</v>
      </c>
      <c r="B11103" s="1" t="n">
        <v>241.43</v>
      </c>
      <c r="C11103" s="1" t="n">
        <f aca="false">1/B11103</f>
        <v>0.00414198732551878</v>
      </c>
      <c r="D11103" s="1" t="n">
        <v>1.1294</v>
      </c>
      <c r="E11103" s="1" t="n">
        <f aca="false">LN(D11103)</f>
        <v>0.121686518256599</v>
      </c>
    </row>
    <row r="11104" customFormat="false" ht="15.75" hidden="false" customHeight="false" outlineLevel="0" collapsed="false">
      <c r="A11104" s="1" t="s">
        <v>1202</v>
      </c>
      <c r="B11104" s="1" t="n">
        <v>242.02</v>
      </c>
      <c r="C11104" s="1" t="n">
        <f aca="false">1/B11104</f>
        <v>0.00413188992645236</v>
      </c>
      <c r="D11104" s="1" t="n">
        <v>1.1172</v>
      </c>
      <c r="E11104" s="1" t="n">
        <f aca="false">LN(D11104)</f>
        <v>0.110825555088885</v>
      </c>
    </row>
    <row r="11105" customFormat="false" ht="15.75" hidden="false" customHeight="false" outlineLevel="0" collapsed="false">
      <c r="A11105" s="1" t="s">
        <v>1202</v>
      </c>
      <c r="B11105" s="1" t="n">
        <v>242.61</v>
      </c>
      <c r="C11105" s="1" t="n">
        <f aca="false">1/B11105</f>
        <v>0.00412184163884424</v>
      </c>
      <c r="D11105" s="1" t="n">
        <v>1.1051</v>
      </c>
      <c r="E11105" s="1" t="n">
        <f aca="false">LN(D11105)</f>
        <v>0.0999358286125995</v>
      </c>
    </row>
    <row r="11106" customFormat="false" ht="15.75" hidden="false" customHeight="false" outlineLevel="0" collapsed="false">
      <c r="A11106" s="1" t="s">
        <v>1202</v>
      </c>
      <c r="B11106" s="1" t="n">
        <v>243.19</v>
      </c>
      <c r="C11106" s="1" t="n">
        <f aca="false">1/B11106</f>
        <v>0.00411201118467042</v>
      </c>
      <c r="D11106" s="1" t="n">
        <v>1.0933</v>
      </c>
      <c r="E11106" s="1" t="n">
        <f aca="false">LN(D11106)</f>
        <v>0.089200645458302</v>
      </c>
    </row>
    <row r="11107" customFormat="false" ht="15.75" hidden="false" customHeight="false" outlineLevel="0" collapsed="false">
      <c r="A11107" s="1" t="s">
        <v>1202</v>
      </c>
      <c r="B11107" s="1" t="n">
        <v>243.78</v>
      </c>
      <c r="C11107" s="1" t="n">
        <f aca="false">1/B11107</f>
        <v>0.00410205923373534</v>
      </c>
      <c r="D11107" s="1" t="n">
        <v>1.0816</v>
      </c>
      <c r="E11107" s="1" t="n">
        <f aca="false">LN(D11107)</f>
        <v>0.0784414263065625</v>
      </c>
    </row>
    <row r="11108" customFormat="false" ht="15.75" hidden="false" customHeight="false" outlineLevel="0" collapsed="false">
      <c r="A11108" s="1" t="s">
        <v>1202</v>
      </c>
      <c r="B11108" s="1" t="n">
        <v>244.37</v>
      </c>
      <c r="C11108" s="1" t="n">
        <f aca="false">1/B11108</f>
        <v>0.00409215533821664</v>
      </c>
      <c r="D11108" s="1" t="n">
        <v>1.07</v>
      </c>
      <c r="E11108" s="1" t="n">
        <f aca="false">LN(D11108)</f>
        <v>0.0676586484738149</v>
      </c>
    </row>
    <row r="11109" customFormat="false" ht="15.75" hidden="false" customHeight="false" outlineLevel="0" collapsed="false">
      <c r="A11109" s="1" t="s">
        <v>1202</v>
      </c>
      <c r="B11109" s="1" t="n">
        <v>244.95</v>
      </c>
      <c r="C11109" s="1" t="n">
        <f aca="false">1/B11109</f>
        <v>0.00408246580934885</v>
      </c>
      <c r="D11109" s="1" t="n">
        <v>1.0587</v>
      </c>
      <c r="E11109" s="1" t="n">
        <f aca="false">LN(D11109)</f>
        <v>0.057041740367197</v>
      </c>
    </row>
    <row r="11110" customFormat="false" ht="15.75" hidden="false" customHeight="false" outlineLevel="0" collapsed="false">
      <c r="A11110" s="1" t="s">
        <v>1202</v>
      </c>
      <c r="B11110" s="1" t="n">
        <v>245.54</v>
      </c>
      <c r="C11110" s="1" t="n">
        <f aca="false">1/B11110</f>
        <v>0.00407265618636475</v>
      </c>
      <c r="D11110" s="1" t="n">
        <v>1.0475</v>
      </c>
      <c r="E11110" s="1" t="n">
        <f aca="false">LN(D11110)</f>
        <v>0.0464063728141558</v>
      </c>
    </row>
    <row r="11111" customFormat="false" ht="15.75" hidden="false" customHeight="false" outlineLevel="0" collapsed="false">
      <c r="A11111" s="1" t="s">
        <v>1202</v>
      </c>
      <c r="B11111" s="1" t="n">
        <v>246.12</v>
      </c>
      <c r="C11111" s="1" t="n">
        <f aca="false">1/B11111</f>
        <v>0.0040630586705672</v>
      </c>
      <c r="D11111" s="1" t="n">
        <v>1.0365</v>
      </c>
      <c r="E11111" s="1" t="n">
        <f aca="false">LN(D11111)</f>
        <v>0.0358496528936972</v>
      </c>
    </row>
    <row r="11112" customFormat="false" ht="15.75" hidden="false" customHeight="false" outlineLevel="0" collapsed="false">
      <c r="A11112" s="1" t="s">
        <v>1202</v>
      </c>
      <c r="B11112" s="1" t="n">
        <v>246.71</v>
      </c>
      <c r="C11112" s="1" t="n">
        <f aca="false">1/B11112</f>
        <v>0.00405334198046289</v>
      </c>
      <c r="D11112" s="1" t="n">
        <v>1.0257</v>
      </c>
      <c r="E11112" s="1" t="n">
        <f aca="false">LN(D11112)</f>
        <v>0.0253753063312283</v>
      </c>
    </row>
    <row r="11113" customFormat="false" ht="15.75" hidden="false" customHeight="false" outlineLevel="0" collapsed="false">
      <c r="A11113" s="1" t="s">
        <v>1202</v>
      </c>
      <c r="B11113" s="1" t="n">
        <v>247.3</v>
      </c>
      <c r="C11113" s="1" t="n">
        <f aca="false">1/B11113</f>
        <v>0.00404367165386171</v>
      </c>
      <c r="D11113" s="1" t="n">
        <v>1.015</v>
      </c>
      <c r="E11113" s="1" t="n">
        <f aca="false">LN(D11113)</f>
        <v>0.0148886124937506</v>
      </c>
    </row>
    <row r="11114" customFormat="false" ht="15.75" hidden="false" customHeight="false" outlineLevel="0" collapsed="false">
      <c r="A11114" s="1" t="s">
        <v>1202</v>
      </c>
      <c r="B11114" s="1" t="n">
        <v>247.88</v>
      </c>
      <c r="C11114" s="1" t="n">
        <f aca="false">1/B11114</f>
        <v>0.00403421010166209</v>
      </c>
      <c r="D11114" s="1" t="n">
        <v>1.0045</v>
      </c>
      <c r="E11114" s="1" t="n">
        <f aca="false">LN(D11114)</f>
        <v>0.004489905272852</v>
      </c>
    </row>
    <row r="11115" customFormat="false" ht="15.75" hidden="false" customHeight="false" outlineLevel="0" collapsed="false">
      <c r="A11115" s="1" t="s">
        <v>1202</v>
      </c>
      <c r="B11115" s="1" t="n">
        <v>248.47</v>
      </c>
      <c r="C11115" s="1" t="n">
        <f aca="false">1/B11115</f>
        <v>0.00402463074012959</v>
      </c>
      <c r="D11115" s="1" t="n">
        <v>0.99413</v>
      </c>
      <c r="E11115" s="1" t="n">
        <f aca="false">LN(D11115)</f>
        <v>-0.00588729616888792</v>
      </c>
    </row>
    <row r="11116" customFormat="false" ht="15.75" hidden="false" customHeight="false" outlineLevel="0" collapsed="false">
      <c r="A11116" s="1" t="s">
        <v>1202</v>
      </c>
      <c r="B11116" s="1" t="n">
        <v>249.06</v>
      </c>
      <c r="C11116" s="1" t="n">
        <f aca="false">1/B11116</f>
        <v>0.00401509676383201</v>
      </c>
      <c r="D11116" s="1" t="n">
        <v>0.98392</v>
      </c>
      <c r="E11116" s="1" t="n">
        <f aca="false">LN(D11116)</f>
        <v>-0.016210686047982</v>
      </c>
    </row>
    <row r="11117" customFormat="false" ht="15.75" hidden="false" customHeight="false" outlineLevel="0" collapsed="false">
      <c r="A11117" s="1" t="s">
        <v>1202</v>
      </c>
      <c r="B11117" s="1" t="n">
        <v>249.64</v>
      </c>
      <c r="C11117" s="1" t="n">
        <f aca="false">1/B11117</f>
        <v>0.00400576830636116</v>
      </c>
      <c r="D11117" s="1" t="n">
        <v>0.97385</v>
      </c>
      <c r="E11117" s="1" t="n">
        <f aca="false">LN(D11117)</f>
        <v>-0.0264979913062282</v>
      </c>
    </row>
    <row r="11118" customFormat="false" ht="15.75" hidden="false" customHeight="false" outlineLevel="0" collapsed="false">
      <c r="A11118" s="1" t="s">
        <v>1202</v>
      </c>
      <c r="B11118" s="1" t="n">
        <v>250.23</v>
      </c>
      <c r="C11118" s="1" t="n">
        <f aca="false">1/B11118</f>
        <v>0.00399632338248811</v>
      </c>
      <c r="D11118" s="1" t="n">
        <v>0.96392</v>
      </c>
      <c r="E11118" s="1" t="n">
        <f aca="false">LN(D11118)</f>
        <v>-0.0367469753671161</v>
      </c>
    </row>
    <row r="11119" customFormat="false" ht="15.75" hidden="false" customHeight="false" outlineLevel="0" collapsed="false">
      <c r="A11119" s="1" t="s">
        <v>1202</v>
      </c>
      <c r="B11119" s="1" t="n">
        <v>250.82</v>
      </c>
      <c r="C11119" s="1" t="n">
        <f aca="false">1/B11119</f>
        <v>0.00398692289291125</v>
      </c>
      <c r="D11119" s="1" t="n">
        <v>0.95414</v>
      </c>
      <c r="E11119" s="1" t="n">
        <f aca="false">LN(D11119)</f>
        <v>-0.0469448677765463</v>
      </c>
    </row>
    <row r="11120" customFormat="false" ht="15.75" hidden="false" customHeight="false" outlineLevel="0" collapsed="false">
      <c r="A11120" s="1" t="s">
        <v>1202</v>
      </c>
      <c r="B11120" s="1" t="n">
        <v>251.4</v>
      </c>
      <c r="C11120" s="1" t="n">
        <f aca="false">1/B11120</f>
        <v>0.00397772474144789</v>
      </c>
      <c r="D11120" s="1" t="n">
        <v>0.94449</v>
      </c>
      <c r="E11120" s="1" t="n">
        <f aca="false">LN(D11120)</f>
        <v>-0.0571101797091153</v>
      </c>
    </row>
    <row r="11121" customFormat="false" ht="15.75" hidden="false" customHeight="false" outlineLevel="0" collapsed="false">
      <c r="A11121" s="1" t="s">
        <v>1202</v>
      </c>
      <c r="B11121" s="1" t="n">
        <v>251.99</v>
      </c>
      <c r="C11121" s="1" t="n">
        <f aca="false">1/B11121</f>
        <v>0.00396841144489861</v>
      </c>
      <c r="D11121" s="1" t="n">
        <v>0.93499</v>
      </c>
      <c r="E11121" s="1" t="n">
        <f aca="false">LN(D11121)</f>
        <v>-0.0672194449378098</v>
      </c>
    </row>
    <row r="11122" customFormat="false" ht="15.75" hidden="false" customHeight="false" outlineLevel="0" collapsed="false">
      <c r="A11122" s="1" t="s">
        <v>1202</v>
      </c>
      <c r="B11122" s="1" t="n">
        <v>252.57</v>
      </c>
      <c r="C11122" s="1" t="n">
        <f aca="false">1/B11122</f>
        <v>0.00395929841232134</v>
      </c>
      <c r="D11122" s="1" t="n">
        <v>0.92561</v>
      </c>
      <c r="E11122" s="1" t="n">
        <f aca="false">LN(D11122)</f>
        <v>-0.0773022993580922</v>
      </c>
    </row>
    <row r="11123" customFormat="false" ht="15.75" hidden="false" customHeight="false" outlineLevel="0" collapsed="false">
      <c r="A11123" s="1" t="s">
        <v>1202</v>
      </c>
      <c r="B11123" s="1" t="n">
        <v>253.16</v>
      </c>
      <c r="C11123" s="1" t="n">
        <f aca="false">1/B11123</f>
        <v>0.00395007110127982</v>
      </c>
      <c r="D11123" s="1" t="n">
        <v>0.91637</v>
      </c>
      <c r="E11123" s="1" t="n">
        <f aca="false">LN(D11123)</f>
        <v>-0.0873350657348161</v>
      </c>
    </row>
    <row r="11124" customFormat="false" ht="15.75" hidden="false" customHeight="false" outlineLevel="0" collapsed="false">
      <c r="A11124" s="1" t="s">
        <v>1202</v>
      </c>
      <c r="B11124" s="1" t="n">
        <v>253.75</v>
      </c>
      <c r="C11124" s="1" t="n">
        <f aca="false">1/B11124</f>
        <v>0.00394088669950739</v>
      </c>
      <c r="D11124" s="1" t="n">
        <v>0.90725</v>
      </c>
      <c r="E11124" s="1" t="n">
        <f aca="false">LN(D11124)</f>
        <v>-0.0973372328889573</v>
      </c>
    </row>
    <row r="11125" customFormat="false" ht="15.75" hidden="false" customHeight="false" outlineLevel="0" collapsed="false">
      <c r="A11125" s="1" t="s">
        <v>1202</v>
      </c>
      <c r="B11125" s="1" t="n">
        <v>254.33</v>
      </c>
      <c r="C11125" s="1" t="n">
        <f aca="false">1/B11125</f>
        <v>0.00393189950064876</v>
      </c>
      <c r="D11125" s="1" t="n">
        <v>0.89826</v>
      </c>
      <c r="E11125" s="1" t="n">
        <f aca="false">LN(D11125)</f>
        <v>-0.107295720292337</v>
      </c>
    </row>
    <row r="11126" customFormat="false" ht="15.75" hidden="false" customHeight="false" outlineLevel="0" collapsed="false">
      <c r="A11126" s="1" t="s">
        <v>1202</v>
      </c>
      <c r="B11126" s="1" t="n">
        <v>254.92</v>
      </c>
      <c r="C11126" s="1" t="n">
        <f aca="false">1/B11126</f>
        <v>0.00392279930958732</v>
      </c>
      <c r="D11126" s="1" t="n">
        <v>0.8894</v>
      </c>
      <c r="E11126" s="1" t="n">
        <f aca="false">LN(D11126)</f>
        <v>-0.117208200905541</v>
      </c>
    </row>
    <row r="11127" customFormat="false" ht="15.75" hidden="false" customHeight="false" outlineLevel="0" collapsed="false">
      <c r="A11127" s="1" t="s">
        <v>1202</v>
      </c>
      <c r="B11127" s="1" t="n">
        <v>255.51</v>
      </c>
      <c r="C11127" s="1" t="n">
        <f aca="false">1/B11127</f>
        <v>0.00391374114516066</v>
      </c>
      <c r="D11127" s="1" t="n">
        <v>0.88065</v>
      </c>
      <c r="E11127" s="1" t="n">
        <f aca="false">LN(D11127)</f>
        <v>-0.127095007803832</v>
      </c>
    </row>
    <row r="11128" customFormat="false" ht="15.75" hidden="false" customHeight="false" outlineLevel="0" collapsed="false">
      <c r="A11128" s="1" t="s">
        <v>1202</v>
      </c>
      <c r="B11128" s="1" t="n">
        <v>256.09</v>
      </c>
      <c r="C11128" s="1" t="n">
        <f aca="false">1/B11128</f>
        <v>0.00390487719161232</v>
      </c>
      <c r="D11128" s="1" t="n">
        <v>0.87202</v>
      </c>
      <c r="E11128" s="1" t="n">
        <f aca="false">LN(D11128)</f>
        <v>-0.136942919556362</v>
      </c>
    </row>
    <row r="11129" customFormat="false" ht="15.75" hidden="false" customHeight="false" outlineLevel="0" collapsed="false">
      <c r="A11129" s="1" t="s">
        <v>1202</v>
      </c>
      <c r="B11129" s="1" t="n">
        <v>256.68</v>
      </c>
      <c r="C11129" s="1" t="n">
        <f aca="false">1/B11129</f>
        <v>0.00389590151160979</v>
      </c>
      <c r="D11129" s="1" t="n">
        <v>0.86351</v>
      </c>
      <c r="E11129" s="1" t="n">
        <f aca="false">LN(D11129)</f>
        <v>-0.146749800686548</v>
      </c>
    </row>
    <row r="11130" customFormat="false" ht="15.75" hidden="false" customHeight="false" outlineLevel="0" collapsed="false">
      <c r="A11130" s="1" t="s">
        <v>1202</v>
      </c>
      <c r="B11130" s="1" t="n">
        <v>257.26</v>
      </c>
      <c r="C11130" s="1" t="n">
        <f aca="false">1/B11130</f>
        <v>0.00388711809064759</v>
      </c>
      <c r="D11130" s="1" t="n">
        <v>0.85512</v>
      </c>
      <c r="E11130" s="1" t="n">
        <f aca="false">LN(D11130)</f>
        <v>-0.156513469016447</v>
      </c>
    </row>
    <row r="11131" customFormat="false" ht="15.75" hidden="false" customHeight="false" outlineLevel="0" collapsed="false">
      <c r="A11131" s="1" t="s">
        <v>1202</v>
      </c>
      <c r="B11131" s="1" t="n">
        <v>257.85</v>
      </c>
      <c r="C11131" s="1" t="n">
        <f aca="false">1/B11131</f>
        <v>0.00387822377351173</v>
      </c>
      <c r="D11131" s="1" t="n">
        <v>0.84683</v>
      </c>
      <c r="E11131" s="1" t="n">
        <f aca="false">LN(D11131)</f>
        <v>-0.166255312857232</v>
      </c>
    </row>
    <row r="11132" customFormat="false" ht="15.75" hidden="false" customHeight="false" outlineLevel="0" collapsed="false">
      <c r="A11132" s="1" t="s">
        <v>1202</v>
      </c>
      <c r="B11132" s="1" t="n">
        <v>258.44</v>
      </c>
      <c r="C11132" s="1" t="n">
        <f aca="false">1/B11132</f>
        <v>0.00386937006655317</v>
      </c>
      <c r="D11132" s="1" t="n">
        <v>0.83866</v>
      </c>
      <c r="E11132" s="1" t="n">
        <f aca="false">LN(D11132)</f>
        <v>-0.175949898987106</v>
      </c>
    </row>
    <row r="11133" customFormat="false" ht="15.75" hidden="false" customHeight="false" outlineLevel="0" collapsed="false">
      <c r="A11133" s="1" t="s">
        <v>1202</v>
      </c>
      <c r="B11133" s="1" t="n">
        <v>259.02</v>
      </c>
      <c r="C11133" s="1" t="n">
        <f aca="false">1/B11133</f>
        <v>0.00386070573700873</v>
      </c>
      <c r="D11133" s="1" t="n">
        <v>0.8306</v>
      </c>
      <c r="E11133" s="1" t="n">
        <f aca="false">LN(D11133)</f>
        <v>-0.185606947785484</v>
      </c>
    </row>
    <row r="11134" customFormat="false" ht="15.75" hidden="false" customHeight="false" outlineLevel="0" collapsed="false">
      <c r="A11134" s="1" t="s">
        <v>1202</v>
      </c>
      <c r="B11134" s="1" t="n">
        <v>259.61</v>
      </c>
      <c r="C11134" s="1" t="n">
        <f aca="false">1/B11134</f>
        <v>0.0038519317437695</v>
      </c>
      <c r="D11134" s="1" t="n">
        <v>0.82264</v>
      </c>
      <c r="E11134" s="1" t="n">
        <f aca="false">LN(D11134)</f>
        <v>-0.195236598061202</v>
      </c>
    </row>
    <row r="11135" customFormat="false" ht="15.75" hidden="false" customHeight="false" outlineLevel="0" collapsed="false">
      <c r="A11135" s="1" t="s">
        <v>1202</v>
      </c>
      <c r="B11135" s="1" t="n">
        <v>260.2</v>
      </c>
      <c r="C11135" s="1" t="n">
        <f aca="false">1/B11135</f>
        <v>0.00384319754035357</v>
      </c>
      <c r="D11135" s="1" t="n">
        <v>0.81478</v>
      </c>
      <c r="E11135" s="1" t="n">
        <f aca="false">LN(D11135)</f>
        <v>-0.204837140831576</v>
      </c>
    </row>
    <row r="11136" customFormat="false" ht="15.75" hidden="false" customHeight="false" outlineLevel="0" collapsed="false">
      <c r="A11136" s="1" t="s">
        <v>1202</v>
      </c>
      <c r="B11136" s="1" t="n">
        <v>260.78</v>
      </c>
      <c r="C11136" s="1" t="n">
        <f aca="false">1/B11136</f>
        <v>0.00383464989646445</v>
      </c>
      <c r="D11136" s="1" t="n">
        <v>0.80703</v>
      </c>
      <c r="E11136" s="1" t="n">
        <f aca="false">LN(D11136)</f>
        <v>-0.214394436681961</v>
      </c>
    </row>
    <row r="11137" customFormat="false" ht="15.75" hidden="false" customHeight="false" outlineLevel="0" collapsed="false">
      <c r="A11137" s="1" t="s">
        <v>1202</v>
      </c>
      <c r="B11137" s="1" t="n">
        <v>261.37</v>
      </c>
      <c r="C11137" s="1" t="n">
        <f aca="false">1/B11137</f>
        <v>0.00382599380189004</v>
      </c>
      <c r="D11137" s="1" t="n">
        <v>0.79938</v>
      </c>
      <c r="E11137" s="1" t="n">
        <f aca="false">LN(D11137)</f>
        <v>-0.223918851781961</v>
      </c>
    </row>
    <row r="11138" customFormat="false" ht="15.75" hidden="false" customHeight="false" outlineLevel="0" collapsed="false">
      <c r="A11138" s="1" t="s">
        <v>1202</v>
      </c>
      <c r="B11138" s="1" t="n">
        <v>261.96</v>
      </c>
      <c r="C11138" s="1" t="n">
        <f aca="false">1/B11138</f>
        <v>0.00381737669873263</v>
      </c>
      <c r="D11138" s="1" t="n">
        <v>0.79182</v>
      </c>
      <c r="E11138" s="1" t="n">
        <f aca="false">LN(D11138)</f>
        <v>-0.233421185725344</v>
      </c>
    </row>
    <row r="11139" customFormat="false" ht="15.75" hidden="false" customHeight="false" outlineLevel="0" collapsed="false">
      <c r="A11139" s="1" t="s">
        <v>1202</v>
      </c>
      <c r="B11139" s="1" t="n">
        <v>262.54</v>
      </c>
      <c r="C11139" s="1" t="n">
        <f aca="false">1/B11139</f>
        <v>0.00380894339910109</v>
      </c>
      <c r="D11139" s="1" t="n">
        <v>0.78436</v>
      </c>
      <c r="E11139" s="1" t="n">
        <f aca="false">LN(D11139)</f>
        <v>-0.242887180350821</v>
      </c>
    </row>
    <row r="11140" customFormat="false" ht="15.75" hidden="false" customHeight="false" outlineLevel="0" collapsed="false">
      <c r="A11140" s="1" t="s">
        <v>1202</v>
      </c>
      <c r="B11140" s="1" t="n">
        <v>263.13</v>
      </c>
      <c r="C11140" s="1" t="n">
        <f aca="false">1/B11140</f>
        <v>0.00380040284270133</v>
      </c>
      <c r="D11140" s="1" t="n">
        <v>0.777</v>
      </c>
      <c r="E11140" s="1" t="n">
        <f aca="false">LN(D11140)</f>
        <v>-0.25231492861449</v>
      </c>
    </row>
    <row r="11141" customFormat="false" ht="15.75" hidden="false" customHeight="false" outlineLevel="0" collapsed="false">
      <c r="A11141" s="1" t="s">
        <v>1202</v>
      </c>
      <c r="B11141" s="1" t="n">
        <v>263.71</v>
      </c>
      <c r="C11141" s="1" t="n">
        <f aca="false">1/B11141</f>
        <v>0.00379204429107732</v>
      </c>
      <c r="D11141" s="1" t="n">
        <v>0.76973</v>
      </c>
      <c r="E11141" s="1" t="n">
        <f aca="false">LN(D11141)</f>
        <v>-0.261715474976916</v>
      </c>
    </row>
    <row r="11142" customFormat="false" ht="15.75" hidden="false" customHeight="false" outlineLevel="0" collapsed="false">
      <c r="A11142" s="1" t="s">
        <v>1202</v>
      </c>
      <c r="B11142" s="1" t="n">
        <v>264.3</v>
      </c>
      <c r="C11142" s="1" t="n">
        <f aca="false">1/B11142</f>
        <v>0.00378357926598562</v>
      </c>
      <c r="D11142" s="1" t="n">
        <v>0.76256</v>
      </c>
      <c r="E11142" s="1" t="n">
        <f aca="false">LN(D11142)</f>
        <v>-0.27107408507176</v>
      </c>
    </row>
    <row r="11143" customFormat="false" ht="15.75" hidden="false" customHeight="false" outlineLevel="0" collapsed="false">
      <c r="A11143" s="1" t="s">
        <v>1202</v>
      </c>
      <c r="B11143" s="1" t="n">
        <v>264.89</v>
      </c>
      <c r="C11143" s="1" t="n">
        <f aca="false">1/B11143</f>
        <v>0.00377515194986598</v>
      </c>
      <c r="D11143" s="1" t="n">
        <v>0.75547</v>
      </c>
      <c r="E11143" s="1" t="n">
        <f aca="false">LN(D11143)</f>
        <v>-0.280415206859876</v>
      </c>
    </row>
    <row r="11144" customFormat="false" ht="15.75" hidden="false" customHeight="false" outlineLevel="0" collapsed="false">
      <c r="A11144" s="1" t="s">
        <v>1202</v>
      </c>
      <c r="B11144" s="1" t="n">
        <v>265.47</v>
      </c>
      <c r="C11144" s="1" t="n">
        <f aca="false">1/B11144</f>
        <v>0.00376690398161751</v>
      </c>
      <c r="D11144" s="1" t="n">
        <v>0.74847</v>
      </c>
      <c r="E11144" s="1" t="n">
        <f aca="false">LN(D11144)</f>
        <v>-0.289724156086006</v>
      </c>
    </row>
    <row r="11145" customFormat="false" ht="15.75" hidden="false" customHeight="false" outlineLevel="0" collapsed="false">
      <c r="A11145" s="1" t="s">
        <v>1202</v>
      </c>
      <c r="B11145" s="1" t="n">
        <v>266.06</v>
      </c>
      <c r="C11145" s="1" t="n">
        <f aca="false">1/B11145</f>
        <v>0.00375855070284898</v>
      </c>
      <c r="D11145" s="1" t="n">
        <v>0.74156</v>
      </c>
      <c r="E11145" s="1" t="n">
        <f aca="false">LN(D11145)</f>
        <v>-0.298999203617745</v>
      </c>
    </row>
    <row r="11146" customFormat="false" ht="15.75" hidden="false" customHeight="false" outlineLevel="0" collapsed="false">
      <c r="A11146" s="1" t="s">
        <v>1202</v>
      </c>
      <c r="B11146" s="1" t="n">
        <v>266.65</v>
      </c>
      <c r="C11146" s="1" t="n">
        <f aca="false">1/B11146</f>
        <v>0.00375023438964935</v>
      </c>
      <c r="D11146" s="1" t="n">
        <v>0.73473</v>
      </c>
      <c r="E11146" s="1" t="n">
        <f aca="false">LN(D11146)</f>
        <v>-0.308252194196491</v>
      </c>
    </row>
    <row r="11147" customFormat="false" ht="15.75" hidden="false" customHeight="false" outlineLevel="0" collapsed="false">
      <c r="A11147" s="1" t="s">
        <v>1202</v>
      </c>
      <c r="B11147" s="1" t="n">
        <v>267.23</v>
      </c>
      <c r="C11147" s="1" t="n">
        <f aca="false">1/B11147</f>
        <v>0.00374209482468286</v>
      </c>
      <c r="D11147" s="1" t="n">
        <v>0.72799</v>
      </c>
      <c r="E11147" s="1" t="n">
        <f aca="false">LN(D11147)</f>
        <v>-0.317467967143531</v>
      </c>
    </row>
    <row r="11148" customFormat="false" ht="15.75" hidden="false" customHeight="false" outlineLevel="0" collapsed="false">
      <c r="A11148" s="1" t="s">
        <v>1202</v>
      </c>
      <c r="B11148" s="1" t="n">
        <v>267.82</v>
      </c>
      <c r="C11148" s="1" t="n">
        <f aca="false">1/B11148</f>
        <v>0.00373385109401837</v>
      </c>
      <c r="D11148" s="1" t="n">
        <v>0.72133</v>
      </c>
      <c r="E11148" s="1" t="n">
        <f aca="false">LN(D11148)</f>
        <v>-0.32665854876664</v>
      </c>
    </row>
    <row r="11149" customFormat="false" ht="15.75" hidden="false" customHeight="false" outlineLevel="0" collapsed="false">
      <c r="A11149" s="1" t="s">
        <v>1202</v>
      </c>
      <c r="B11149" s="1" t="n">
        <v>268.4</v>
      </c>
      <c r="C11149" s="1" t="n">
        <f aca="false">1/B11149</f>
        <v>0.003725782414307</v>
      </c>
      <c r="D11149" s="1" t="n">
        <v>0.71475</v>
      </c>
      <c r="E11149" s="1" t="n">
        <f aca="false">LN(D11149)</f>
        <v>-0.335822447779716</v>
      </c>
    </row>
    <row r="11150" customFormat="false" ht="15.75" hidden="false" customHeight="false" outlineLevel="0" collapsed="false">
      <c r="A11150" s="1" t="s">
        <v>1202</v>
      </c>
      <c r="B11150" s="1" t="n">
        <v>268.99</v>
      </c>
      <c r="C11150" s="1" t="n">
        <f aca="false">1/B11150</f>
        <v>0.00371761032008625</v>
      </c>
      <c r="D11150" s="1" t="n">
        <v>0.70825</v>
      </c>
      <c r="E11150" s="1" t="n">
        <f aca="false">LN(D11150)</f>
        <v>-0.344958140271511</v>
      </c>
    </row>
    <row r="11151" customFormat="false" ht="15.75" hidden="false" customHeight="false" outlineLevel="0" collapsed="false">
      <c r="A11151" s="1" t="s">
        <v>1202</v>
      </c>
      <c r="B11151" s="1" t="n">
        <v>269.58</v>
      </c>
      <c r="C11151" s="1" t="n">
        <f aca="false">1/B11151</f>
        <v>0.00370947399658728</v>
      </c>
      <c r="D11151" s="1" t="n">
        <v>0.70182</v>
      </c>
      <c r="E11151" s="1" t="n">
        <f aca="false">LN(D11151)</f>
        <v>-0.354078318091466</v>
      </c>
    </row>
    <row r="11152" customFormat="false" ht="15.75" hidden="false" customHeight="false" outlineLevel="0" collapsed="false">
      <c r="A11152" s="1" t="s">
        <v>1202</v>
      </c>
      <c r="B11152" s="1" t="n">
        <v>270.16</v>
      </c>
      <c r="C11152" s="1" t="n">
        <f aca="false">1/B11152</f>
        <v>0.0037015102161682</v>
      </c>
      <c r="D11152" s="1" t="n">
        <v>0.69548</v>
      </c>
      <c r="E11152" s="1" t="n">
        <f aca="false">LN(D11152)</f>
        <v>-0.363153024322548</v>
      </c>
    </row>
    <row r="11153" customFormat="false" ht="15.75" hidden="false" customHeight="false" outlineLevel="0" collapsed="false">
      <c r="A11153" s="1" t="s">
        <v>1202</v>
      </c>
      <c r="B11153" s="1" t="n">
        <v>270.75</v>
      </c>
      <c r="C11153" s="1" t="n">
        <f aca="false">1/B11153</f>
        <v>0.00369344413665743</v>
      </c>
      <c r="D11153" s="1" t="n">
        <v>0.68921</v>
      </c>
      <c r="E11153" s="1" t="n">
        <f aca="false">LN(D11153)</f>
        <v>-0.372209264857305</v>
      </c>
    </row>
    <row r="11154" customFormat="false" ht="15.75" hidden="false" customHeight="false" outlineLevel="0" collapsed="false">
      <c r="A11154" s="1" t="s">
        <v>1202</v>
      </c>
      <c r="B11154" s="1" t="n">
        <v>271.34</v>
      </c>
      <c r="C11154" s="1" t="n">
        <f aca="false">1/B11154</f>
        <v>0.00368541313481241</v>
      </c>
      <c r="D11154" s="1" t="n">
        <v>0.68301</v>
      </c>
      <c r="E11154" s="1" t="n">
        <f aca="false">LN(D11154)</f>
        <v>-0.381245778230096</v>
      </c>
    </row>
    <row r="11155" customFormat="false" ht="15.75" hidden="false" customHeight="false" outlineLevel="0" collapsed="false">
      <c r="A11155" s="1" t="s">
        <v>1202</v>
      </c>
      <c r="B11155" s="1" t="n">
        <v>271.92</v>
      </c>
      <c r="C11155" s="1" t="n">
        <f aca="false">1/B11155</f>
        <v>0.00367755222124154</v>
      </c>
      <c r="D11155" s="1" t="n">
        <v>0.67689</v>
      </c>
      <c r="E11155" s="1" t="n">
        <f aca="false">LN(D11155)</f>
        <v>-0.390246500807606</v>
      </c>
    </row>
    <row r="11156" customFormat="false" ht="15.75" hidden="false" customHeight="false" outlineLevel="0" collapsed="false">
      <c r="A11156" s="1" t="s">
        <v>1202</v>
      </c>
      <c r="B11156" s="1" t="n">
        <v>272.51</v>
      </c>
      <c r="C11156" s="1" t="n">
        <f aca="false">1/B11156</f>
        <v>0.00366959010678507</v>
      </c>
      <c r="D11156" s="1" t="n">
        <v>0.67084</v>
      </c>
      <c r="E11156" s="1" t="n">
        <f aca="false">LN(D11156)</f>
        <v>-0.39922462051871</v>
      </c>
    </row>
    <row r="11157" customFormat="false" ht="15.75" hidden="false" customHeight="false" outlineLevel="0" collapsed="false">
      <c r="A11157" s="1" t="s">
        <v>1202</v>
      </c>
      <c r="B11157" s="1" t="n">
        <v>273.1</v>
      </c>
      <c r="C11157" s="1" t="n">
        <f aca="false">1/B11157</f>
        <v>0.00366166239472721</v>
      </c>
      <c r="D11157" s="1" t="n">
        <v>0.66486</v>
      </c>
      <c r="E11157" s="1" t="n">
        <f aca="false">LN(D11157)</f>
        <v>-0.408178786805848</v>
      </c>
    </row>
    <row r="11158" customFormat="false" ht="15.75" hidden="false" customHeight="false" outlineLevel="0" collapsed="false">
      <c r="A11158" s="1" t="s">
        <v>1202</v>
      </c>
      <c r="B11158" s="1" t="n">
        <v>273.68</v>
      </c>
      <c r="C11158" s="1" t="n">
        <f aca="false">1/B11158</f>
        <v>0.00365390236772873</v>
      </c>
      <c r="D11158" s="1" t="n">
        <v>0.65895</v>
      </c>
      <c r="E11158" s="1" t="n">
        <f aca="false">LN(D11158)</f>
        <v>-0.417107619892239</v>
      </c>
    </row>
    <row r="11159" customFormat="false" ht="15.75" hidden="false" customHeight="false" outlineLevel="0" collapsed="false">
      <c r="A11159" s="1" t="s">
        <v>1202</v>
      </c>
      <c r="B11159" s="1" t="n">
        <v>274.27</v>
      </c>
      <c r="C11159" s="1" t="n">
        <f aca="false">1/B11159</f>
        <v>0.00364604222116892</v>
      </c>
      <c r="D11159" s="1" t="n">
        <v>0.65311</v>
      </c>
      <c r="E11159" s="1" t="n">
        <f aca="false">LN(D11159)</f>
        <v>-0.426009710599873</v>
      </c>
    </row>
    <row r="11160" customFormat="false" ht="15.75" hidden="false" customHeight="false" outlineLevel="0" collapsed="false">
      <c r="A11160" s="1" t="s">
        <v>1202</v>
      </c>
      <c r="B11160" s="1" t="n">
        <v>274.85</v>
      </c>
      <c r="C11160" s="1" t="n">
        <f aca="false">1/B11160</f>
        <v>0.00363834818992178</v>
      </c>
      <c r="D11160" s="1" t="n">
        <v>0.64733</v>
      </c>
      <c r="E11160" s="1" t="n">
        <f aca="false">LN(D11160)</f>
        <v>-0.434899068142822</v>
      </c>
    </row>
    <row r="11161" customFormat="false" ht="15.75" hidden="false" customHeight="false" outlineLevel="0" collapsed="false">
      <c r="A11161" s="1" t="s">
        <v>1202</v>
      </c>
      <c r="B11161" s="1" t="n">
        <v>275.44</v>
      </c>
      <c r="C11161" s="1" t="n">
        <f aca="false">1/B11161</f>
        <v>0.00363055474876561</v>
      </c>
      <c r="D11161" s="1" t="n">
        <v>0.64163</v>
      </c>
      <c r="E11161" s="1" t="n">
        <f aca="false">LN(D11161)</f>
        <v>-0.44374346541822</v>
      </c>
    </row>
    <row r="11162" customFormat="false" ht="15.75" hidden="false" customHeight="false" outlineLevel="0" collapsed="false">
      <c r="A11162" s="1" t="s">
        <v>1202</v>
      </c>
      <c r="B11162" s="1" t="n">
        <v>276.03</v>
      </c>
      <c r="C11162" s="1" t="n">
        <f aca="false">1/B11162</f>
        <v>0.00362279462377278</v>
      </c>
      <c r="D11162" s="1" t="n">
        <v>0.63598</v>
      </c>
      <c r="E11162" s="1" t="n">
        <f aca="false">LN(D11162)</f>
        <v>-0.452588162677348</v>
      </c>
    </row>
    <row r="11163" customFormat="false" ht="15.75" hidden="false" customHeight="false" outlineLevel="0" collapsed="false">
      <c r="A11163" s="1" t="s">
        <v>1202</v>
      </c>
      <c r="B11163" s="1" t="n">
        <v>276.61</v>
      </c>
      <c r="C11163" s="1" t="n">
        <f aca="false">1/B11163</f>
        <v>0.00361519829362641</v>
      </c>
      <c r="D11163" s="1" t="n">
        <v>0.6304</v>
      </c>
      <c r="E11163" s="1" t="n">
        <f aca="false">LN(D11163)</f>
        <v>-0.461400740438468</v>
      </c>
    </row>
    <row r="11164" customFormat="false" ht="15.75" hidden="false" customHeight="false" outlineLevel="0" collapsed="false">
      <c r="A11164" s="1" t="s">
        <v>1202</v>
      </c>
      <c r="B11164" s="1" t="n">
        <v>277.2</v>
      </c>
      <c r="C11164" s="1" t="n">
        <f aca="false">1/B11164</f>
        <v>0.00360750360750361</v>
      </c>
      <c r="D11164" s="1" t="n">
        <v>0.62488</v>
      </c>
      <c r="E11164" s="1" t="n">
        <f aca="false">LN(D11164)</f>
        <v>-0.470195647680095</v>
      </c>
    </row>
    <row r="11165" customFormat="false" ht="15.75" hidden="false" customHeight="false" outlineLevel="0" collapsed="false">
      <c r="A11165" s="1" t="s">
        <v>1202</v>
      </c>
      <c r="B11165" s="1" t="n">
        <v>277.79</v>
      </c>
      <c r="C11165" s="1" t="n">
        <f aca="false">1/B11165</f>
        <v>0.00359984160696929</v>
      </c>
      <c r="D11165" s="1" t="n">
        <v>0.61943</v>
      </c>
      <c r="E11165" s="1" t="n">
        <f aca="false">LN(D11165)</f>
        <v>-0.478955578647565</v>
      </c>
    </row>
    <row r="11166" customFormat="false" ht="15.75" hidden="false" customHeight="false" outlineLevel="0" collapsed="false">
      <c r="A11166" s="1" t="s">
        <v>1202</v>
      </c>
      <c r="B11166" s="1" t="n">
        <v>278.37</v>
      </c>
      <c r="C11166" s="1" t="n">
        <f aca="false">1/B11166</f>
        <v>0.00359234112871358</v>
      </c>
      <c r="D11166" s="1" t="n">
        <v>0.61403</v>
      </c>
      <c r="E11166" s="1" t="n">
        <f aca="false">LN(D11166)</f>
        <v>-0.487711492093749</v>
      </c>
    </row>
    <row r="11167" customFormat="false" ht="15.75" hidden="false" customHeight="false" outlineLevel="0" collapsed="false">
      <c r="A11167" s="1" t="s">
        <v>1202</v>
      </c>
      <c r="B11167" s="1" t="n">
        <v>278.96</v>
      </c>
      <c r="C11167" s="1" t="n">
        <f aca="false">1/B11167</f>
        <v>0.0035847433323774</v>
      </c>
      <c r="D11167" s="1" t="n">
        <v>0.6087</v>
      </c>
      <c r="E11167" s="1" t="n">
        <f aca="false">LN(D11167)</f>
        <v>-0.496429743482258</v>
      </c>
    </row>
    <row r="11168" customFormat="false" ht="15.75" hidden="false" customHeight="false" outlineLevel="0" collapsed="false">
      <c r="A11168" s="1" t="s">
        <v>1202</v>
      </c>
      <c r="B11168" s="1" t="n">
        <v>279.54</v>
      </c>
      <c r="C11168" s="1" t="n">
        <f aca="false">1/B11168</f>
        <v>0.00357730557344208</v>
      </c>
      <c r="D11168" s="1" t="n">
        <v>0.60342</v>
      </c>
      <c r="E11168" s="1" t="n">
        <f aca="false">LN(D11168)</f>
        <v>-0.505141807297693</v>
      </c>
    </row>
    <row r="11169" customFormat="false" ht="15.75" hidden="false" customHeight="false" outlineLevel="0" collapsed="false">
      <c r="A11169" s="1" t="s">
        <v>1202</v>
      </c>
      <c r="B11169" s="1" t="n">
        <v>280.13</v>
      </c>
      <c r="C11169" s="1" t="n">
        <f aca="false">1/B11169</f>
        <v>0.00356977117766751</v>
      </c>
      <c r="D11169" s="1" t="n">
        <v>0.5982</v>
      </c>
      <c r="E11169" s="1" t="n">
        <f aca="false">LN(D11169)</f>
        <v>-0.51383013278629</v>
      </c>
    </row>
    <row r="11170" customFormat="false" ht="15.75" hidden="false" customHeight="false" outlineLevel="0" collapsed="false">
      <c r="A11170" s="1" t="s">
        <v>1202</v>
      </c>
      <c r="B11170" s="1" t="n">
        <v>280.72</v>
      </c>
      <c r="C11170" s="1" t="n">
        <f aca="false">1/B11170</f>
        <v>0.00356226845255058</v>
      </c>
      <c r="D11170" s="1" t="n">
        <v>0.59304</v>
      </c>
      <c r="E11170" s="1" t="n">
        <f aca="false">LN(D11170)</f>
        <v>-0.522493428633673</v>
      </c>
    </row>
    <row r="11171" customFormat="false" ht="15.75" hidden="false" customHeight="false" outlineLevel="0" collapsed="false">
      <c r="A11171" s="1" t="s">
        <v>1202</v>
      </c>
      <c r="B11171" s="1" t="n">
        <v>281.3</v>
      </c>
      <c r="C11171" s="1" t="n">
        <f aca="false">1/B11171</f>
        <v>0.00355492356914326</v>
      </c>
      <c r="D11171" s="1" t="n">
        <v>0.58794</v>
      </c>
      <c r="E11171" s="1" t="n">
        <f aca="false">LN(D11171)</f>
        <v>-0.531130377106355</v>
      </c>
    </row>
    <row r="11172" customFormat="false" ht="15.75" hidden="false" customHeight="false" outlineLevel="0" collapsed="false">
      <c r="A11172" s="1" t="s">
        <v>1202</v>
      </c>
      <c r="B11172" s="1" t="n">
        <v>281.89</v>
      </c>
      <c r="C11172" s="1" t="n">
        <f aca="false">1/B11172</f>
        <v>0.00354748306076838</v>
      </c>
      <c r="D11172" s="1" t="n">
        <v>0.58289</v>
      </c>
      <c r="E11172" s="1" t="n">
        <f aca="false">LN(D11172)</f>
        <v>-0.539756789679096</v>
      </c>
    </row>
    <row r="11173" customFormat="false" ht="15.75" hidden="false" customHeight="false" outlineLevel="0" collapsed="false">
      <c r="A11173" s="1" t="s">
        <v>1202</v>
      </c>
      <c r="B11173" s="1" t="n">
        <v>282.48</v>
      </c>
      <c r="C11173" s="1" t="n">
        <f aca="false">1/B11173</f>
        <v>0.00354007363353158</v>
      </c>
      <c r="D11173" s="1" t="n">
        <v>0.57789</v>
      </c>
      <c r="E11173" s="1" t="n">
        <f aca="false">LN(D11173)</f>
        <v>-0.548371739839961</v>
      </c>
    </row>
    <row r="11174" customFormat="false" ht="15.75" hidden="false" customHeight="false" outlineLevel="0" collapsed="false">
      <c r="A11174" s="1" t="s">
        <v>1202</v>
      </c>
      <c r="B11174" s="1" t="n">
        <v>283.06</v>
      </c>
      <c r="C11174" s="1" t="n">
        <f aca="false">1/B11174</f>
        <v>0.00353281989684166</v>
      </c>
      <c r="D11174" s="1" t="n">
        <v>0.57295</v>
      </c>
      <c r="E11174" s="1" t="n">
        <f aca="false">LN(D11174)</f>
        <v>-0.55695682610968</v>
      </c>
    </row>
    <row r="11175" customFormat="false" ht="15.75" hidden="false" customHeight="false" outlineLevel="0" collapsed="false">
      <c r="A11175" s="1" t="s">
        <v>1202</v>
      </c>
      <c r="B11175" s="1" t="n">
        <v>283.65</v>
      </c>
      <c r="C11175" s="1" t="n">
        <f aca="false">1/B11175</f>
        <v>0.00352547153181738</v>
      </c>
      <c r="D11175" s="1" t="n">
        <v>0.56806</v>
      </c>
      <c r="E11175" s="1" t="n">
        <f aca="false">LN(D11175)</f>
        <v>-0.565528232037026</v>
      </c>
    </row>
    <row r="11176" customFormat="false" ht="15.75" hidden="false" customHeight="false" outlineLevel="0" collapsed="false">
      <c r="A11176" s="1" t="s">
        <v>1202</v>
      </c>
      <c r="B11176" s="1" t="n">
        <v>284.24</v>
      </c>
      <c r="C11176" s="1" t="n">
        <f aca="false">1/B11176</f>
        <v>0.00351815367295243</v>
      </c>
      <c r="D11176" s="1" t="n">
        <v>0.56323</v>
      </c>
      <c r="E11176" s="1" t="n">
        <f aca="false">LN(D11176)</f>
        <v>-0.574067208511489</v>
      </c>
    </row>
    <row r="11177" customFormat="false" ht="15.75" hidden="false" customHeight="false" outlineLevel="0" collapsed="false">
      <c r="A11177" s="1" t="s">
        <v>1202</v>
      </c>
      <c r="B11177" s="1" t="n">
        <v>284.82</v>
      </c>
      <c r="C11177" s="1" t="n">
        <f aca="false">1/B11177</f>
        <v>0.00351098939681202</v>
      </c>
      <c r="D11177" s="1" t="n">
        <v>0.55844</v>
      </c>
      <c r="E11177" s="1" t="n">
        <f aca="false">LN(D11177)</f>
        <v>-0.58260809686169</v>
      </c>
    </row>
    <row r="11178" customFormat="false" ht="15.75" hidden="false" customHeight="false" outlineLevel="0" collapsed="false">
      <c r="A11178" s="1" t="s">
        <v>1202</v>
      </c>
      <c r="B11178" s="1" t="n">
        <v>285.41</v>
      </c>
      <c r="C11178" s="1" t="n">
        <f aca="false">1/B11178</f>
        <v>0.00350373147401983</v>
      </c>
      <c r="D11178" s="1" t="n">
        <v>0.5537</v>
      </c>
      <c r="E11178" s="1" t="n">
        <f aca="false">LN(D11178)</f>
        <v>-0.591132255153216</v>
      </c>
    </row>
    <row r="11179" customFormat="false" ht="15.75" hidden="false" customHeight="false" outlineLevel="0" collapsed="false">
      <c r="A11179" s="1" t="s">
        <v>1202</v>
      </c>
      <c r="B11179" s="1" t="n">
        <v>285.99</v>
      </c>
      <c r="C11179" s="1" t="n">
        <f aca="false">1/B11179</f>
        <v>0.00349662575614532</v>
      </c>
      <c r="D11179" s="1" t="n">
        <v>0.54902</v>
      </c>
      <c r="E11179" s="1" t="n">
        <f aca="false">LN(D11179)</f>
        <v>-0.599620408263663</v>
      </c>
    </row>
    <row r="11180" customFormat="false" ht="15.75" hidden="false" customHeight="false" outlineLevel="0" collapsed="false">
      <c r="A11180" s="1" t="s">
        <v>1202</v>
      </c>
      <c r="B11180" s="1" t="n">
        <v>286.58</v>
      </c>
      <c r="C11180" s="1" t="n">
        <f aca="false">1/B11180</f>
        <v>0.00348942703608068</v>
      </c>
      <c r="D11180" s="1" t="n">
        <v>0.54438</v>
      </c>
      <c r="E11180" s="1" t="n">
        <f aca="false">LN(D11180)</f>
        <v>-0.608107746572544</v>
      </c>
    </row>
    <row r="11181" customFormat="false" ht="15.75" hidden="false" customHeight="false" outlineLevel="0" collapsed="false">
      <c r="A11181" s="1" t="s">
        <v>1202</v>
      </c>
      <c r="B11181" s="1" t="n">
        <v>287.17</v>
      </c>
      <c r="C11181" s="1" t="n">
        <f aca="false">1/B11181</f>
        <v>0.00348225789601978</v>
      </c>
      <c r="D11181" s="1" t="n">
        <v>0.53979</v>
      </c>
      <c r="E11181" s="1" t="n">
        <f aca="false">LN(D11181)</f>
        <v>-0.6165751039496</v>
      </c>
    </row>
    <row r="11182" customFormat="false" ht="15.75" hidden="false" customHeight="false" outlineLevel="0" collapsed="false">
      <c r="A11182" s="1" t="s">
        <v>1202</v>
      </c>
      <c r="B11182" s="1" t="n">
        <v>287.75</v>
      </c>
      <c r="C11182" s="1" t="n">
        <f aca="false">1/B11182</f>
        <v>0.00347523892267593</v>
      </c>
      <c r="D11182" s="1" t="n">
        <v>0.53525</v>
      </c>
      <c r="E11182" s="1" t="n">
        <f aca="false">LN(D11182)</f>
        <v>-0.625021351512345</v>
      </c>
    </row>
    <row r="11183" customFormat="false" ht="15.75" hidden="false" customHeight="false" outlineLevel="0" collapsed="false">
      <c r="A11183" s="1" t="s">
        <v>1202</v>
      </c>
      <c r="B11183" s="1" t="n">
        <v>288.34</v>
      </c>
      <c r="C11183" s="1" t="n">
        <f aca="false">1/B11183</f>
        <v>0.00346812790455712</v>
      </c>
      <c r="D11183" s="1" t="n">
        <v>0.53075</v>
      </c>
      <c r="E11183" s="1" t="n">
        <f aca="false">LN(D11183)</f>
        <v>-0.633464178398771</v>
      </c>
    </row>
    <row r="11184" customFormat="false" ht="15.75" hidden="false" customHeight="false" outlineLevel="0" collapsed="false">
      <c r="A11184" s="1" t="s">
        <v>1202</v>
      </c>
      <c r="B11184" s="1" t="n">
        <v>288.93</v>
      </c>
      <c r="C11184" s="1" t="n">
        <f aca="false">1/B11184</f>
        <v>0.00346104592807947</v>
      </c>
      <c r="D11184" s="1" t="n">
        <v>0.5263</v>
      </c>
      <c r="E11184" s="1" t="n">
        <f aca="false">LN(D11184)</f>
        <v>-0.641883886622404</v>
      </c>
    </row>
    <row r="11185" customFormat="false" ht="15.75" hidden="false" customHeight="false" outlineLevel="0" collapsed="false">
      <c r="A11185" s="1" t="s">
        <v>1202</v>
      </c>
      <c r="B11185" s="1" t="n">
        <v>289.51</v>
      </c>
      <c r="C11185" s="1" t="n">
        <f aca="false">1/B11185</f>
        <v>0.00345411212047943</v>
      </c>
      <c r="D11185" s="1" t="n">
        <v>0.5219</v>
      </c>
      <c r="E11185" s="1" t="n">
        <f aca="false">LN(D11185)</f>
        <v>-0.650279280332769</v>
      </c>
    </row>
    <row r="11186" customFormat="false" ht="15.75" hidden="false" customHeight="false" outlineLevel="0" collapsed="false">
      <c r="A11186" s="1" t="s">
        <v>1202</v>
      </c>
      <c r="B11186" s="1" t="n">
        <v>290.1</v>
      </c>
      <c r="C11186" s="1" t="n">
        <f aca="false">1/B11186</f>
        <v>0.00344708721130645</v>
      </c>
      <c r="D11186" s="1" t="n">
        <v>0.51754</v>
      </c>
      <c r="E11186" s="1" t="n">
        <f aca="false">LN(D11186)</f>
        <v>-0.658668462143703</v>
      </c>
    </row>
    <row r="11187" customFormat="false" ht="15.75" hidden="false" customHeight="false" outlineLevel="0" collapsed="false">
      <c r="A11187" s="1" t="s">
        <v>1202</v>
      </c>
      <c r="B11187" s="1" t="n">
        <v>290.68</v>
      </c>
      <c r="C11187" s="1" t="n">
        <f aca="false">1/B11187</f>
        <v>0.00344020916471721</v>
      </c>
      <c r="D11187" s="1" t="n">
        <v>0.51322</v>
      </c>
      <c r="E11187" s="1" t="n">
        <f aca="false">LN(D11187)</f>
        <v>-0.667050675838671</v>
      </c>
    </row>
    <row r="11188" customFormat="false" ht="15.75" hidden="false" customHeight="false" outlineLevel="0" collapsed="false">
      <c r="A11188" s="1" t="s">
        <v>1202</v>
      </c>
      <c r="B11188" s="1" t="n">
        <v>291.27</v>
      </c>
      <c r="C11188" s="1" t="n">
        <f aca="false">1/B11188</f>
        <v>0.00343324063583617</v>
      </c>
      <c r="D11188" s="1" t="n">
        <v>0.50895</v>
      </c>
      <c r="E11188" s="1" t="n">
        <f aca="false">LN(D11188)</f>
        <v>-0.675405499083788</v>
      </c>
    </row>
    <row r="11189" customFormat="false" ht="15.75" hidden="false" customHeight="false" outlineLevel="0" collapsed="false">
      <c r="A11189" s="1" t="s">
        <v>1202</v>
      </c>
      <c r="B11189" s="1" t="n">
        <v>291.86</v>
      </c>
      <c r="C11189" s="1" t="n">
        <f aca="false">1/B11189</f>
        <v>0.00342630028095662</v>
      </c>
      <c r="D11189" s="1" t="n">
        <v>0.50472</v>
      </c>
      <c r="E11189" s="1" t="n">
        <f aca="false">LN(D11189)</f>
        <v>-0.683751458919583</v>
      </c>
    </row>
    <row r="11190" customFormat="false" ht="15.75" hidden="false" customHeight="false" outlineLevel="0" collapsed="false">
      <c r="A11190" s="1" t="s">
        <v>1202</v>
      </c>
      <c r="B11190" s="1" t="n">
        <v>292.44</v>
      </c>
      <c r="C11190" s="1" t="n">
        <f aca="false">1/B11190</f>
        <v>0.00341950485569689</v>
      </c>
      <c r="D11190" s="1" t="n">
        <v>0.50053</v>
      </c>
      <c r="E11190" s="1" t="n">
        <f aca="false">LN(D11190)</f>
        <v>-0.692087741963255</v>
      </c>
    </row>
    <row r="11191" customFormat="false" ht="15.75" hidden="false" customHeight="false" outlineLevel="0" collapsed="false">
      <c r="A11191" s="1" t="s">
        <v>1202</v>
      </c>
      <c r="B11191" s="1" t="n">
        <v>293.03</v>
      </c>
      <c r="C11191" s="1" t="n">
        <f aca="false">1/B11191</f>
        <v>0.00341261986827287</v>
      </c>
      <c r="D11191" s="1" t="n">
        <v>0.49638</v>
      </c>
      <c r="E11191" s="1" t="n">
        <f aca="false">LN(D11191)</f>
        <v>-0.700413516551991</v>
      </c>
    </row>
    <row r="11192" customFormat="false" ht="15.75" hidden="false" customHeight="false" outlineLevel="0" collapsed="false">
      <c r="A11192" s="1" t="s">
        <v>1202</v>
      </c>
      <c r="B11192" s="1" t="n">
        <v>293.62</v>
      </c>
      <c r="C11192" s="1" t="n">
        <f aca="false">1/B11192</f>
        <v>0.003405762550235</v>
      </c>
      <c r="D11192" s="1" t="n">
        <v>0.49227</v>
      </c>
      <c r="E11192" s="1" t="n">
        <f aca="false">LN(D11192)</f>
        <v>-0.708727932526968</v>
      </c>
    </row>
    <row r="11193" customFormat="false" ht="15.75" hidden="false" customHeight="false" outlineLevel="0" collapsed="false">
      <c r="A11193" s="1" t="s">
        <v>1202</v>
      </c>
      <c r="B11193" s="1" t="n">
        <v>294.2</v>
      </c>
      <c r="C11193" s="1" t="n">
        <f aca="false">1/B11193</f>
        <v>0.00339904826648538</v>
      </c>
      <c r="D11193" s="1" t="n">
        <v>0.48821</v>
      </c>
      <c r="E11193" s="1" t="n">
        <f aca="false">LN(D11193)</f>
        <v>-0.71700963782462</v>
      </c>
    </row>
    <row r="11194" customFormat="false" ht="15.75" hidden="false" customHeight="false" outlineLevel="0" collapsed="false">
      <c r="A11194" s="1" t="s">
        <v>1202</v>
      </c>
      <c r="B11194" s="1" t="n">
        <v>294.79</v>
      </c>
      <c r="C11194" s="1" t="n">
        <f aca="false">1/B11194</f>
        <v>0.00339224532718206</v>
      </c>
      <c r="D11194" s="1" t="n">
        <v>0.48418</v>
      </c>
      <c r="E11194" s="1" t="n">
        <f aca="false">LN(D11194)</f>
        <v>-0.72529854057703</v>
      </c>
    </row>
    <row r="11195" customFormat="false" ht="15.75" hidden="false" customHeight="false" outlineLevel="0" collapsed="false">
      <c r="A11195" s="1" t="s">
        <v>1202</v>
      </c>
      <c r="B11195" s="1" t="n">
        <v>295.38</v>
      </c>
      <c r="C11195" s="1" t="n">
        <f aca="false">1/B11195</f>
        <v>0.00338546956462861</v>
      </c>
      <c r="D11195" s="1" t="n">
        <v>0.48019</v>
      </c>
      <c r="E11195" s="1" t="n">
        <f aca="false">LN(D11195)</f>
        <v>-0.733573420068214</v>
      </c>
    </row>
    <row r="11196" customFormat="false" ht="15.75" hidden="false" customHeight="false" outlineLevel="0" collapsed="false">
      <c r="A11196" s="1" t="s">
        <v>1202</v>
      </c>
      <c r="B11196" s="1" t="n">
        <v>295.96</v>
      </c>
      <c r="C11196" s="1" t="n">
        <f aca="false">1/B11196</f>
        <v>0.00337883497769969</v>
      </c>
      <c r="D11196" s="1" t="n">
        <v>0.47624</v>
      </c>
      <c r="E11196" s="1" t="n">
        <f aca="false">LN(D11196)</f>
        <v>-0.741833350137002</v>
      </c>
    </row>
    <row r="11197" customFormat="false" ht="15.75" hidden="false" customHeight="false" outlineLevel="0" collapsed="false">
      <c r="A11197" s="1" t="s">
        <v>1202</v>
      </c>
      <c r="B11197" s="1" t="n">
        <v>296.55</v>
      </c>
      <c r="C11197" s="1" t="n">
        <f aca="false">1/B11197</f>
        <v>0.00337211262856179</v>
      </c>
      <c r="D11197" s="1" t="n">
        <v>0.47233</v>
      </c>
      <c r="E11197" s="1" t="n">
        <f aca="false">LN(D11197)</f>
        <v>-0.750077385147489</v>
      </c>
    </row>
    <row r="11198" customFormat="false" ht="15.75" hidden="false" customHeight="false" outlineLevel="0" collapsed="false">
      <c r="A11198" s="1" t="s">
        <v>1202</v>
      </c>
      <c r="B11198" s="1" t="n">
        <v>297.13</v>
      </c>
      <c r="C11198" s="1" t="n">
        <f aca="false">1/B11198</f>
        <v>0.0033655302392892</v>
      </c>
      <c r="D11198" s="1" t="n">
        <v>0.46845</v>
      </c>
      <c r="E11198" s="1" t="n">
        <f aca="false">LN(D11198)</f>
        <v>-0.75832590658494</v>
      </c>
    </row>
    <row r="11199" customFormat="false" ht="15.75" hidden="false" customHeight="false" outlineLevel="0" collapsed="false">
      <c r="A11199" s="1" t="s">
        <v>1202</v>
      </c>
      <c r="B11199" s="1" t="n">
        <v>297.72</v>
      </c>
      <c r="C11199" s="1" t="n">
        <f aca="false">1/B11199</f>
        <v>0.00335886067445922</v>
      </c>
      <c r="D11199" s="1" t="n">
        <v>0.46462</v>
      </c>
      <c r="E11199" s="1" t="n">
        <f aca="false">LN(D11199)</f>
        <v>-0.766535411789318</v>
      </c>
    </row>
    <row r="11200" customFormat="false" ht="15.75" hidden="false" customHeight="false" outlineLevel="0" collapsed="false">
      <c r="A11200" s="1" t="s">
        <v>1202</v>
      </c>
      <c r="B11200" s="1" t="n">
        <v>298.31</v>
      </c>
      <c r="C11200" s="1" t="n">
        <f aca="false">1/B11200</f>
        <v>0.00335221749187087</v>
      </c>
      <c r="D11200" s="1" t="n">
        <v>0.46081</v>
      </c>
      <c r="E11200" s="1" t="n">
        <f aca="false">LN(D11200)</f>
        <v>-0.774769468447038</v>
      </c>
    </row>
    <row r="11201" customFormat="false" ht="15.75" hidden="false" customHeight="false" outlineLevel="0" collapsed="false">
      <c r="A11201" s="1" t="s">
        <v>1202</v>
      </c>
      <c r="B11201" s="1" t="n">
        <v>298.89</v>
      </c>
      <c r="C11201" s="1" t="n">
        <f aca="false">1/B11201</f>
        <v>0.00334571246947037</v>
      </c>
      <c r="D11201" s="1" t="n">
        <v>0.45705</v>
      </c>
      <c r="E11201" s="1" t="n">
        <f aca="false">LN(D11201)</f>
        <v>-0.782962484882309</v>
      </c>
    </row>
    <row r="11202" customFormat="false" ht="15.75" hidden="false" customHeight="false" outlineLevel="0" collapsed="false">
      <c r="A11202" s="1" t="s">
        <v>1202</v>
      </c>
      <c r="B11202" s="1" t="n">
        <v>299.48</v>
      </c>
      <c r="C11202" s="1" t="n">
        <f aca="false">1/B11202</f>
        <v>0.00333912114331508</v>
      </c>
      <c r="D11202" s="1" t="n">
        <v>0.45332</v>
      </c>
      <c r="E11202" s="1" t="n">
        <f aca="false">LN(D11202)</f>
        <v>-0.791157001117389</v>
      </c>
    </row>
    <row r="11203" customFormat="false" ht="15.75" hidden="false" customHeight="false" outlineLevel="0" collapsed="false">
      <c r="A11203" s="1" t="s">
        <v>1202</v>
      </c>
      <c r="B11203" s="1" t="n">
        <v>300.07</v>
      </c>
      <c r="C11203" s="1" t="n">
        <f aca="false">1/B11203</f>
        <v>0.0033325557369947</v>
      </c>
      <c r="D11203" s="1" t="n">
        <v>0.44962</v>
      </c>
      <c r="E11203" s="1" t="n">
        <f aca="false">LN(D11203)</f>
        <v>-0.799352497406274</v>
      </c>
    </row>
    <row r="11204" customFormat="false" ht="15.75" hidden="false" customHeight="false" outlineLevel="0" collapsed="false">
      <c r="A11204" s="1" t="s">
        <v>1202</v>
      </c>
      <c r="B11204" s="1" t="n">
        <v>300.65</v>
      </c>
      <c r="C11204" s="1" t="n">
        <f aca="false">1/B11204</f>
        <v>0.00332612672542824</v>
      </c>
      <c r="D11204" s="1" t="n">
        <v>0.44596</v>
      </c>
      <c r="E11204" s="1" t="n">
        <f aca="false">LN(D11204)</f>
        <v>-0.807526017082766</v>
      </c>
    </row>
    <row r="11205" customFormat="false" ht="15.75" hidden="false" customHeight="false" outlineLevel="0" collapsed="false">
      <c r="A11205" s="1" t="s">
        <v>1202</v>
      </c>
      <c r="B11205" s="1" t="n">
        <v>301.24</v>
      </c>
      <c r="C11205" s="1" t="n">
        <f aca="false">1/B11205</f>
        <v>0.00331961226928695</v>
      </c>
      <c r="D11205" s="1" t="n">
        <v>0.44233</v>
      </c>
      <c r="E11205" s="1" t="n">
        <f aca="false">LN(D11205)</f>
        <v>-0.81569906914146</v>
      </c>
    </row>
    <row r="11206" customFormat="false" ht="15.75" hidden="false" customHeight="false" outlineLevel="0" collapsed="false">
      <c r="A11206" s="1" t="s">
        <v>1202</v>
      </c>
      <c r="B11206" s="1" t="n">
        <v>301.82</v>
      </c>
      <c r="C11206" s="1" t="n">
        <f aca="false">1/B11206</f>
        <v>0.00331323305281294</v>
      </c>
      <c r="D11206" s="1" t="n">
        <v>0.43873</v>
      </c>
      <c r="E11206" s="1" t="n">
        <f aca="false">LN(D11206)</f>
        <v>-0.82387108928663</v>
      </c>
    </row>
    <row r="11207" customFormat="false" ht="15.75" hidden="false" customHeight="false" outlineLevel="0" collapsed="false">
      <c r="A11207" s="1" t="s">
        <v>1202</v>
      </c>
      <c r="B11207" s="1" t="n">
        <v>302.09</v>
      </c>
      <c r="C11207" s="1" t="n">
        <f aca="false">1/B11207</f>
        <v>0.00331027177331259</v>
      </c>
      <c r="D11207" s="1" t="n">
        <v>0.43709</v>
      </c>
      <c r="E11207" s="1" t="n">
        <f aca="false">LN(D11207)</f>
        <v>-0.827616155434516</v>
      </c>
    </row>
    <row r="11208" customFormat="false" ht="15.75" hidden="false" customHeight="false" outlineLevel="0" collapsed="false">
      <c r="A11208" s="1" t="s">
        <v>1204</v>
      </c>
      <c r="B11208" s="1" t="n">
        <v>197.7</v>
      </c>
      <c r="C11208" s="1" t="n">
        <f aca="false">1/B11208</f>
        <v>0.00505816894284269</v>
      </c>
      <c r="D11208" s="1" t="n">
        <v>1.0003</v>
      </c>
      <c r="E11208" s="1" t="n">
        <f aca="false">LN(D11208)</f>
        <v>0.000299955008997942</v>
      </c>
    </row>
    <row r="11209" customFormat="false" ht="15.75" hidden="false" customHeight="false" outlineLevel="0" collapsed="false">
      <c r="A11209" s="1" t="s">
        <v>1204</v>
      </c>
      <c r="B11209" s="1" t="n">
        <v>198.25</v>
      </c>
      <c r="C11209" s="1" t="n">
        <f aca="false">1/B11209</f>
        <v>0.00504413619167718</v>
      </c>
      <c r="D11209" s="1" t="n">
        <v>0.99097</v>
      </c>
      <c r="E11209" s="1" t="n">
        <f aca="false">LN(D11209)</f>
        <v>-0.00907101756243759</v>
      </c>
    </row>
    <row r="11210" customFormat="false" ht="15.75" hidden="false" customHeight="false" outlineLevel="0" collapsed="false">
      <c r="A11210" s="1" t="s">
        <v>1204</v>
      </c>
      <c r="B11210" s="1" t="n">
        <v>198.79</v>
      </c>
      <c r="C11210" s="1" t="n">
        <f aca="false">1/B11210</f>
        <v>0.00503043412646511</v>
      </c>
      <c r="D11210" s="1" t="n">
        <v>0.98181</v>
      </c>
      <c r="E11210" s="1" t="n">
        <f aca="false">LN(D11210)</f>
        <v>-0.0183574720362523</v>
      </c>
    </row>
    <row r="11211" customFormat="false" ht="15.75" hidden="false" customHeight="false" outlineLevel="0" collapsed="false">
      <c r="A11211" s="1" t="s">
        <v>1204</v>
      </c>
      <c r="B11211" s="1" t="n">
        <v>199.34</v>
      </c>
      <c r="C11211" s="1" t="n">
        <f aca="false">1/B11211</f>
        <v>0.00501655463027992</v>
      </c>
      <c r="D11211" s="1" t="n">
        <v>0.97278</v>
      </c>
      <c r="E11211" s="1" t="n">
        <f aca="false">LN(D11211)</f>
        <v>-0.0275973271921043</v>
      </c>
    </row>
    <row r="11212" customFormat="false" ht="15.75" hidden="false" customHeight="false" outlineLevel="0" collapsed="false">
      <c r="A11212" s="1" t="s">
        <v>1204</v>
      </c>
      <c r="B11212" s="1" t="n">
        <v>199.88</v>
      </c>
      <c r="C11212" s="1" t="n">
        <f aca="false">1/B11212</f>
        <v>0.00500300180108065</v>
      </c>
      <c r="D11212" s="1" t="n">
        <v>0.96388</v>
      </c>
      <c r="E11212" s="1" t="n">
        <f aca="false">LN(D11212)</f>
        <v>-0.0367884734478358</v>
      </c>
    </row>
    <row r="11213" customFormat="false" ht="15.75" hidden="false" customHeight="false" outlineLevel="0" collapsed="false">
      <c r="A11213" s="1" t="s">
        <v>1204</v>
      </c>
      <c r="B11213" s="1" t="n">
        <v>200.43</v>
      </c>
      <c r="C11213" s="1" t="n">
        <f aca="false">1/B11213</f>
        <v>0.00498927306291473</v>
      </c>
      <c r="D11213" s="1" t="n">
        <v>0.95511</v>
      </c>
      <c r="E11213" s="1" t="n">
        <f aca="false">LN(D11213)</f>
        <v>-0.0459287618884142</v>
      </c>
    </row>
    <row r="11214" customFormat="false" ht="15.75" hidden="false" customHeight="false" outlineLevel="0" collapsed="false">
      <c r="A11214" s="1" t="s">
        <v>1204</v>
      </c>
      <c r="B11214" s="1" t="n">
        <v>200.97</v>
      </c>
      <c r="C11214" s="1" t="n">
        <f aca="false">1/B11214</f>
        <v>0.00497586704483256</v>
      </c>
      <c r="D11214" s="1" t="n">
        <v>0.94648</v>
      </c>
      <c r="E11214" s="1" t="n">
        <f aca="false">LN(D11214)</f>
        <v>-0.0550054390367297</v>
      </c>
    </row>
    <row r="11215" customFormat="false" ht="15.75" hidden="false" customHeight="false" outlineLevel="0" collapsed="false">
      <c r="A11215" s="1" t="s">
        <v>1204</v>
      </c>
      <c r="B11215" s="1" t="n">
        <v>201.52</v>
      </c>
      <c r="C11215" s="1" t="n">
        <f aca="false">1/B11215</f>
        <v>0.00496228662167527</v>
      </c>
      <c r="D11215" s="1" t="n">
        <v>0.93796</v>
      </c>
      <c r="E11215" s="1" t="n">
        <f aca="false">LN(D11215)</f>
        <v>-0.0640479748084313</v>
      </c>
    </row>
    <row r="11216" customFormat="false" ht="15.75" hidden="false" customHeight="false" outlineLevel="0" collapsed="false">
      <c r="A11216" s="1" t="s">
        <v>1204</v>
      </c>
      <c r="B11216" s="1" t="n">
        <v>202.06</v>
      </c>
      <c r="C11216" s="1" t="n">
        <f aca="false">1/B11216</f>
        <v>0.00494902504206671</v>
      </c>
      <c r="D11216" s="1" t="n">
        <v>0.92957</v>
      </c>
      <c r="E11216" s="1" t="n">
        <f aca="false">LN(D11216)</f>
        <v>-0.0730331653501632</v>
      </c>
    </row>
    <row r="11217" customFormat="false" ht="15.75" hidden="false" customHeight="false" outlineLevel="0" collapsed="false">
      <c r="A11217" s="1" t="s">
        <v>1204</v>
      </c>
      <c r="B11217" s="1" t="n">
        <v>202.61</v>
      </c>
      <c r="C11217" s="1" t="n">
        <f aca="false">1/B11217</f>
        <v>0.00493559054340852</v>
      </c>
      <c r="D11217" s="1" t="n">
        <v>0.92129</v>
      </c>
      <c r="E11217" s="1" t="n">
        <f aca="false">LN(D11217)</f>
        <v>-0.0819804171538799</v>
      </c>
    </row>
    <row r="11218" customFormat="false" ht="15.75" hidden="false" customHeight="false" outlineLevel="0" collapsed="false">
      <c r="A11218" s="1" t="s">
        <v>1204</v>
      </c>
      <c r="B11218" s="1" t="n">
        <v>203.16</v>
      </c>
      <c r="C11218" s="1" t="n">
        <f aca="false">1/B11218</f>
        <v>0.00492222878519394</v>
      </c>
      <c r="D11218" s="1" t="n">
        <v>0.91314</v>
      </c>
      <c r="E11218" s="1" t="n">
        <f aca="false">LN(D11218)</f>
        <v>-0.0908660695073738</v>
      </c>
    </row>
    <row r="11219" customFormat="false" ht="15.75" hidden="false" customHeight="false" outlineLevel="0" collapsed="false">
      <c r="A11219" s="1" t="s">
        <v>1204</v>
      </c>
      <c r="B11219" s="1" t="n">
        <v>203.7</v>
      </c>
      <c r="C11219" s="1" t="n">
        <f aca="false">1/B11219</f>
        <v>0.00490918016691213</v>
      </c>
      <c r="D11219" s="1" t="n">
        <v>0.9051</v>
      </c>
      <c r="E11219" s="1" t="n">
        <f aca="false">LN(D11219)</f>
        <v>-0.0997098441490119</v>
      </c>
    </row>
    <row r="11220" customFormat="false" ht="15.75" hidden="false" customHeight="false" outlineLevel="0" collapsed="false">
      <c r="A11220" s="1" t="s">
        <v>1204</v>
      </c>
      <c r="B11220" s="1" t="n">
        <v>204.25</v>
      </c>
      <c r="C11220" s="1" t="n">
        <f aca="false">1/B11220</f>
        <v>0.00489596083231334</v>
      </c>
      <c r="D11220" s="1" t="n">
        <v>0.89717</v>
      </c>
      <c r="E11220" s="1" t="n">
        <f aca="false">LN(D11220)</f>
        <v>-0.108509914255802</v>
      </c>
    </row>
    <row r="11221" customFormat="false" ht="15.75" hidden="false" customHeight="false" outlineLevel="0" collapsed="false">
      <c r="A11221" s="1" t="s">
        <v>1204</v>
      </c>
      <c r="B11221" s="1" t="n">
        <v>204.79</v>
      </c>
      <c r="C11221" s="1" t="n">
        <f aca="false">1/B11221</f>
        <v>0.0048830509302212</v>
      </c>
      <c r="D11221" s="1" t="n">
        <v>0.88935</v>
      </c>
      <c r="E11221" s="1" t="n">
        <f aca="false">LN(D11221)</f>
        <v>-0.117264420160651</v>
      </c>
    </row>
    <row r="11222" customFormat="false" ht="15.75" hidden="false" customHeight="false" outlineLevel="0" collapsed="false">
      <c r="A11222" s="1" t="s">
        <v>1204</v>
      </c>
      <c r="B11222" s="1" t="n">
        <v>205.34</v>
      </c>
      <c r="C11222" s="1" t="n">
        <f aca="false">1/B11222</f>
        <v>0.00486997175416383</v>
      </c>
      <c r="D11222" s="1" t="n">
        <v>0.88164</v>
      </c>
      <c r="E11222" s="1" t="n">
        <f aca="false">LN(D11222)</f>
        <v>-0.125971469561951</v>
      </c>
    </row>
    <row r="11223" customFormat="false" ht="15.75" hidden="false" customHeight="false" outlineLevel="0" collapsed="false">
      <c r="A11223" s="1" t="s">
        <v>1204</v>
      </c>
      <c r="B11223" s="1" t="n">
        <v>205.88</v>
      </c>
      <c r="C11223" s="1" t="n">
        <f aca="false">1/B11223</f>
        <v>0.00485719836798135</v>
      </c>
      <c r="D11223" s="1" t="n">
        <v>0.87403</v>
      </c>
      <c r="E11223" s="1" t="n">
        <f aca="false">LN(D11223)</f>
        <v>-0.134640578972897</v>
      </c>
    </row>
    <row r="11224" customFormat="false" ht="15.75" hidden="false" customHeight="false" outlineLevel="0" collapsed="false">
      <c r="A11224" s="1" t="s">
        <v>1204</v>
      </c>
      <c r="B11224" s="1" t="n">
        <v>206.43</v>
      </c>
      <c r="C11224" s="1" t="n">
        <f aca="false">1/B11224</f>
        <v>0.00484425713316863</v>
      </c>
      <c r="D11224" s="1" t="n">
        <v>0.86653</v>
      </c>
      <c r="E11224" s="1" t="n">
        <f aca="false">LN(D11224)</f>
        <v>-0.143258548383105</v>
      </c>
    </row>
    <row r="11225" customFormat="false" ht="15.75" hidden="false" customHeight="false" outlineLevel="0" collapsed="false">
      <c r="A11225" s="1" t="s">
        <v>1204</v>
      </c>
      <c r="B11225" s="1" t="n">
        <v>206.97</v>
      </c>
      <c r="C11225" s="1" t="n">
        <f aca="false">1/B11225</f>
        <v>0.00483161810890467</v>
      </c>
      <c r="D11225" s="1" t="n">
        <v>0.85912</v>
      </c>
      <c r="E11225" s="1" t="n">
        <f aca="false">LN(D11225)</f>
        <v>-0.151846669432176</v>
      </c>
    </row>
    <row r="11226" customFormat="false" ht="15.75" hidden="false" customHeight="false" outlineLevel="0" collapsed="false">
      <c r="A11226" s="1" t="s">
        <v>1204</v>
      </c>
      <c r="B11226" s="1" t="n">
        <v>207.52</v>
      </c>
      <c r="C11226" s="1" t="n">
        <f aca="false">1/B11226</f>
        <v>0.00481881264456438</v>
      </c>
      <c r="D11226" s="1" t="n">
        <v>0.85182</v>
      </c>
      <c r="E11226" s="1" t="n">
        <f aca="false">LN(D11226)</f>
        <v>-0.160380042078599</v>
      </c>
    </row>
    <row r="11227" customFormat="false" ht="15.75" hidden="false" customHeight="false" outlineLevel="0" collapsed="false">
      <c r="A11227" s="1" t="s">
        <v>1204</v>
      </c>
      <c r="B11227" s="1" t="n">
        <v>208.06</v>
      </c>
      <c r="C11227" s="1" t="n">
        <f aca="false">1/B11227</f>
        <v>0.00480630587330578</v>
      </c>
      <c r="D11227" s="1" t="n">
        <v>0.84462</v>
      </c>
      <c r="E11227" s="1" t="n">
        <f aca="false">LN(D11227)</f>
        <v>-0.168868456914208</v>
      </c>
    </row>
    <row r="11228" customFormat="false" ht="15.75" hidden="false" customHeight="false" outlineLevel="0" collapsed="false">
      <c r="A11228" s="1" t="s">
        <v>1204</v>
      </c>
      <c r="B11228" s="1" t="n">
        <v>208.61</v>
      </c>
      <c r="C11228" s="1" t="n">
        <f aca="false">1/B11228</f>
        <v>0.00479363405397632</v>
      </c>
      <c r="D11228" s="1" t="n">
        <v>0.83751</v>
      </c>
      <c r="E11228" s="1" t="n">
        <f aca="false">LN(D11228)</f>
        <v>-0.177322075055693</v>
      </c>
    </row>
    <row r="11229" customFormat="false" ht="15.75" hidden="false" customHeight="false" outlineLevel="0" collapsed="false">
      <c r="A11229" s="1" t="s">
        <v>1204</v>
      </c>
      <c r="B11229" s="1" t="n">
        <v>209.16</v>
      </c>
      <c r="C11229" s="1" t="n">
        <f aca="false">1/B11229</f>
        <v>0.00478102887741442</v>
      </c>
      <c r="D11229" s="1" t="n">
        <v>0.83049</v>
      </c>
      <c r="E11229" s="1" t="n">
        <f aca="false">LN(D11229)</f>
        <v>-0.185739390940474</v>
      </c>
    </row>
    <row r="11230" customFormat="false" ht="15.75" hidden="false" customHeight="false" outlineLevel="0" collapsed="false">
      <c r="A11230" s="1" t="s">
        <v>1204</v>
      </c>
      <c r="B11230" s="1" t="n">
        <v>209.7</v>
      </c>
      <c r="C11230" s="1" t="n">
        <f aca="false">1/B11230</f>
        <v>0.00476871721506915</v>
      </c>
      <c r="D11230" s="1" t="n">
        <v>0.82357</v>
      </c>
      <c r="E11230" s="1" t="n">
        <f aca="false">LN(D11230)</f>
        <v>-0.194106729941173</v>
      </c>
    </row>
    <row r="11231" customFormat="false" ht="15.75" hidden="false" customHeight="false" outlineLevel="0" collapsed="false">
      <c r="A11231" s="1" t="s">
        <v>1204</v>
      </c>
      <c r="B11231" s="1" t="n">
        <v>210.25</v>
      </c>
      <c r="C11231" s="1" t="n">
        <f aca="false">1/B11231</f>
        <v>0.00475624256837099</v>
      </c>
      <c r="D11231" s="1" t="n">
        <v>0.81674</v>
      </c>
      <c r="E11231" s="1" t="n">
        <f aca="false">LN(D11231)</f>
        <v>-0.202434472224519</v>
      </c>
    </row>
    <row r="11232" customFormat="false" ht="15.75" hidden="false" customHeight="false" outlineLevel="0" collapsed="false">
      <c r="A11232" s="1" t="s">
        <v>1204</v>
      </c>
      <c r="B11232" s="1" t="n">
        <v>210.79</v>
      </c>
      <c r="C11232" s="1" t="n">
        <f aca="false">1/B11232</f>
        <v>0.00474405806727074</v>
      </c>
      <c r="D11232" s="1" t="n">
        <v>0.80999</v>
      </c>
      <c r="E11232" s="1" t="n">
        <f aca="false">LN(D11232)</f>
        <v>-0.210733377070873</v>
      </c>
    </row>
    <row r="11233" customFormat="false" ht="15.75" hidden="false" customHeight="false" outlineLevel="0" collapsed="false">
      <c r="A11233" s="1" t="s">
        <v>1204</v>
      </c>
      <c r="B11233" s="1" t="n">
        <v>211.34</v>
      </c>
      <c r="C11233" s="1" t="n">
        <f aca="false">1/B11233</f>
        <v>0.0047317119333775</v>
      </c>
      <c r="D11233" s="1" t="n">
        <v>0.80334</v>
      </c>
      <c r="E11233" s="1" t="n">
        <f aca="false">LN(D11233)</f>
        <v>-0.218977242444794</v>
      </c>
    </row>
    <row r="11234" customFormat="false" ht="15.75" hidden="false" customHeight="false" outlineLevel="0" collapsed="false">
      <c r="A11234" s="1" t="s">
        <v>1204</v>
      </c>
      <c r="B11234" s="1" t="n">
        <v>211.88</v>
      </c>
      <c r="C11234" s="1" t="n">
        <f aca="false">1/B11234</f>
        <v>0.00471965263356617</v>
      </c>
      <c r="D11234" s="1" t="n">
        <v>0.79676</v>
      </c>
      <c r="E11234" s="1" t="n">
        <f aca="false">LN(D11234)</f>
        <v>-0.227201774775064</v>
      </c>
    </row>
    <row r="11235" customFormat="false" ht="15.75" hidden="false" customHeight="false" outlineLevel="0" collapsed="false">
      <c r="A11235" s="1" t="s">
        <v>1204</v>
      </c>
      <c r="B11235" s="1" t="n">
        <v>212.43</v>
      </c>
      <c r="C11235" s="1" t="n">
        <f aca="false">1/B11235</f>
        <v>0.00470743303676505</v>
      </c>
      <c r="D11235" s="1" t="n">
        <v>0.79027</v>
      </c>
      <c r="E11235" s="1" t="n">
        <f aca="false">LN(D11235)</f>
        <v>-0.235380619759969</v>
      </c>
    </row>
    <row r="11236" customFormat="false" ht="15.75" hidden="false" customHeight="false" outlineLevel="0" collapsed="false">
      <c r="A11236" s="1" t="s">
        <v>1204</v>
      </c>
      <c r="B11236" s="1" t="n">
        <v>212.97</v>
      </c>
      <c r="C11236" s="1" t="n">
        <f aca="false">1/B11236</f>
        <v>0.00469549701835939</v>
      </c>
      <c r="D11236" s="1" t="n">
        <v>0.78387</v>
      </c>
      <c r="E11236" s="1" t="n">
        <f aca="false">LN(D11236)</f>
        <v>-0.243512088707307</v>
      </c>
    </row>
    <row r="11237" customFormat="false" ht="15.75" hidden="false" customHeight="false" outlineLevel="0" collapsed="false">
      <c r="A11237" s="1" t="s">
        <v>1204</v>
      </c>
      <c r="B11237" s="1" t="n">
        <v>213.52</v>
      </c>
      <c r="C11237" s="1" t="n">
        <f aca="false">1/B11237</f>
        <v>0.00468340202322967</v>
      </c>
      <c r="D11237" s="1" t="n">
        <v>0.77754</v>
      </c>
      <c r="E11237" s="1" t="n">
        <f aca="false">LN(D11237)</f>
        <v>-0.251620189306759</v>
      </c>
    </row>
    <row r="11238" customFormat="false" ht="15.75" hidden="false" customHeight="false" outlineLevel="0" collapsed="false">
      <c r="A11238" s="1" t="s">
        <v>1204</v>
      </c>
      <c r="B11238" s="1" t="n">
        <v>214.07</v>
      </c>
      <c r="C11238" s="1" t="n">
        <f aca="false">1/B11238</f>
        <v>0.00467136917830616</v>
      </c>
      <c r="D11238" s="1" t="n">
        <v>0.77129</v>
      </c>
      <c r="E11238" s="1" t="n">
        <f aca="false">LN(D11238)</f>
        <v>-0.259690841250048</v>
      </c>
    </row>
    <row r="11239" customFormat="false" ht="15.75" hidden="false" customHeight="false" outlineLevel="0" collapsed="false">
      <c r="A11239" s="1" t="s">
        <v>1204</v>
      </c>
      <c r="B11239" s="1" t="n">
        <v>214.61</v>
      </c>
      <c r="C11239" s="1" t="n">
        <f aca="false">1/B11239</f>
        <v>0.00465961511579144</v>
      </c>
      <c r="D11239" s="1" t="n">
        <v>0.76512</v>
      </c>
      <c r="E11239" s="1" t="n">
        <f aca="false">LN(D11239)</f>
        <v>-0.267722594712177</v>
      </c>
    </row>
    <row r="11240" customFormat="false" ht="15.75" hidden="false" customHeight="false" outlineLevel="0" collapsed="false">
      <c r="A11240" s="1" t="s">
        <v>1204</v>
      </c>
      <c r="B11240" s="1" t="n">
        <v>215.16</v>
      </c>
      <c r="C11240" s="1" t="n">
        <f aca="false">1/B11240</f>
        <v>0.0046477040342071</v>
      </c>
      <c r="D11240" s="1" t="n">
        <v>0.75903</v>
      </c>
      <c r="E11240" s="1" t="n">
        <f aca="false">LN(D11240)</f>
        <v>-0.275713976675927</v>
      </c>
    </row>
    <row r="11241" customFormat="false" ht="15.75" hidden="false" customHeight="false" outlineLevel="0" collapsed="false">
      <c r="A11241" s="1" t="s">
        <v>1204</v>
      </c>
      <c r="B11241" s="1" t="n">
        <v>215.7</v>
      </c>
      <c r="C11241" s="1" t="n">
        <f aca="false">1/B11241</f>
        <v>0.00463606861381548</v>
      </c>
      <c r="D11241" s="1" t="n">
        <v>0.75301</v>
      </c>
      <c r="E11241" s="1" t="n">
        <f aca="false">LN(D11241)</f>
        <v>-0.283676771057941</v>
      </c>
    </row>
    <row r="11242" customFormat="false" ht="15.75" hidden="false" customHeight="false" outlineLevel="0" collapsed="false">
      <c r="A11242" s="1" t="s">
        <v>1204</v>
      </c>
      <c r="B11242" s="1" t="n">
        <v>216.25</v>
      </c>
      <c r="C11242" s="1" t="n">
        <f aca="false">1/B11242</f>
        <v>0.0046242774566474</v>
      </c>
      <c r="D11242" s="1" t="n">
        <v>0.74706</v>
      </c>
      <c r="E11242" s="1" t="n">
        <f aca="false">LN(D11242)</f>
        <v>-0.291609775789761</v>
      </c>
    </row>
    <row r="11243" customFormat="false" ht="15.75" hidden="false" customHeight="false" outlineLevel="0" collapsed="false">
      <c r="A11243" s="1" t="s">
        <v>1204</v>
      </c>
      <c r="B11243" s="1" t="n">
        <v>216.79</v>
      </c>
      <c r="C11243" s="1" t="n">
        <f aca="false">1/B11243</f>
        <v>0.00461275889109276</v>
      </c>
      <c r="D11243" s="1" t="n">
        <v>0.74119</v>
      </c>
      <c r="E11243" s="1" t="n">
        <f aca="false">LN(D11243)</f>
        <v>-0.299498276297131</v>
      </c>
    </row>
    <row r="11244" customFormat="false" ht="15.75" hidden="false" customHeight="false" outlineLevel="0" collapsed="false">
      <c r="A11244" s="1" t="s">
        <v>1204</v>
      </c>
      <c r="B11244" s="1" t="n">
        <v>217.34</v>
      </c>
      <c r="C11244" s="1" t="n">
        <f aca="false">1/B11244</f>
        <v>0.00460108585626208</v>
      </c>
      <c r="D11244" s="1" t="n">
        <v>0.73539</v>
      </c>
      <c r="E11244" s="1" t="n">
        <f aca="false">LN(D11244)</f>
        <v>-0.307354308249302</v>
      </c>
    </row>
    <row r="11245" customFormat="false" ht="15.75" hidden="false" customHeight="false" outlineLevel="0" collapsed="false">
      <c r="A11245" s="1" t="s">
        <v>1204</v>
      </c>
      <c r="B11245" s="1" t="n">
        <v>217.88</v>
      </c>
      <c r="C11245" s="1" t="n">
        <f aca="false">1/B11245</f>
        <v>0.00458968239397834</v>
      </c>
      <c r="D11245" s="1" t="n">
        <v>0.72966</v>
      </c>
      <c r="E11245" s="1" t="n">
        <f aca="false">LN(D11245)</f>
        <v>-0.315176606761174</v>
      </c>
    </row>
    <row r="11246" customFormat="false" ht="15.75" hidden="false" customHeight="false" outlineLevel="0" collapsed="false">
      <c r="A11246" s="1" t="s">
        <v>1204</v>
      </c>
      <c r="B11246" s="1" t="n">
        <v>218.43</v>
      </c>
      <c r="C11246" s="1" t="n">
        <f aca="false">1/B11246</f>
        <v>0.00457812571533214</v>
      </c>
      <c r="D11246" s="1" t="n">
        <v>0.72399</v>
      </c>
      <c r="E11246" s="1" t="n">
        <f aca="false">LN(D11246)</f>
        <v>-0.322977698846505</v>
      </c>
    </row>
    <row r="11247" customFormat="false" ht="15.75" hidden="false" customHeight="false" outlineLevel="0" collapsed="false">
      <c r="A11247" s="1" t="s">
        <v>1204</v>
      </c>
      <c r="B11247" s="1" t="n">
        <v>218.97</v>
      </c>
      <c r="C11247" s="1" t="n">
        <f aca="false">1/B11247</f>
        <v>0.00456683563958533</v>
      </c>
      <c r="D11247" s="1" t="n">
        <v>0.71839</v>
      </c>
      <c r="E11247" s="1" t="n">
        <f aca="false">LN(D11247)</f>
        <v>-0.330742681912855</v>
      </c>
    </row>
    <row r="11248" customFormat="false" ht="15.75" hidden="false" customHeight="false" outlineLevel="0" collapsed="false">
      <c r="A11248" s="1" t="s">
        <v>1204</v>
      </c>
      <c r="B11248" s="1" t="n">
        <v>219.52</v>
      </c>
      <c r="C11248" s="1" t="n">
        <f aca="false">1/B11248</f>
        <v>0.00455539358600583</v>
      </c>
      <c r="D11248" s="1" t="n">
        <v>0.71286</v>
      </c>
      <c r="E11248" s="1" t="n">
        <f aca="false">LN(D11248)</f>
        <v>-0.338470231283886</v>
      </c>
    </row>
    <row r="11249" customFormat="false" ht="15.75" hidden="false" customHeight="false" outlineLevel="0" collapsed="false">
      <c r="A11249" s="1" t="s">
        <v>1204</v>
      </c>
      <c r="B11249" s="1" t="n">
        <v>220.07</v>
      </c>
      <c r="C11249" s="1" t="n">
        <f aca="false">1/B11249</f>
        <v>0.00454400872449675</v>
      </c>
      <c r="D11249" s="1" t="n">
        <v>0.70739</v>
      </c>
      <c r="E11249" s="1" t="n">
        <f aca="false">LN(D11249)</f>
        <v>-0.346173138584353</v>
      </c>
    </row>
    <row r="11250" customFormat="false" ht="15.75" hidden="false" customHeight="false" outlineLevel="0" collapsed="false">
      <c r="A11250" s="1" t="s">
        <v>1204</v>
      </c>
      <c r="B11250" s="1" t="n">
        <v>220.61</v>
      </c>
      <c r="C11250" s="1" t="n">
        <f aca="false">1/B11250</f>
        <v>0.00453288608857259</v>
      </c>
      <c r="D11250" s="1" t="n">
        <v>0.70199</v>
      </c>
      <c r="E11250" s="1" t="n">
        <f aca="false">LN(D11250)</f>
        <v>-0.353836120072032</v>
      </c>
    </row>
    <row r="11251" customFormat="false" ht="15.75" hidden="false" customHeight="false" outlineLevel="0" collapsed="false">
      <c r="A11251" s="1" t="s">
        <v>1204</v>
      </c>
      <c r="B11251" s="1" t="n">
        <v>221.16</v>
      </c>
      <c r="C11251" s="1" t="n">
        <f aca="false">1/B11251</f>
        <v>0.00452161331162959</v>
      </c>
      <c r="D11251" s="1" t="n">
        <v>0.69665</v>
      </c>
      <c r="E11251" s="1" t="n">
        <f aca="false">LN(D11251)</f>
        <v>-0.361472146422536</v>
      </c>
    </row>
    <row r="11252" customFormat="false" ht="15.75" hidden="false" customHeight="false" outlineLevel="0" collapsed="false">
      <c r="A11252" s="1" t="s">
        <v>1204</v>
      </c>
      <c r="B11252" s="1" t="n">
        <v>221.7</v>
      </c>
      <c r="C11252" s="1" t="n">
        <f aca="false">1/B11252</f>
        <v>0.004510599909788</v>
      </c>
      <c r="D11252" s="1" t="n">
        <v>0.69137</v>
      </c>
      <c r="E11252" s="1" t="n">
        <f aca="false">LN(D11252)</f>
        <v>-0.369080142658732</v>
      </c>
    </row>
    <row r="11253" customFormat="false" ht="15.75" hidden="false" customHeight="false" outlineLevel="0" collapsed="false">
      <c r="A11253" s="1" t="s">
        <v>1204</v>
      </c>
      <c r="B11253" s="1" t="n">
        <v>222.25</v>
      </c>
      <c r="C11253" s="1" t="n">
        <f aca="false">1/B11253</f>
        <v>0.00449943757030371</v>
      </c>
      <c r="D11253" s="1" t="n">
        <v>0.68615</v>
      </c>
      <c r="E11253" s="1" t="n">
        <f aca="false">LN(D11253)</f>
        <v>-0.376659016266495</v>
      </c>
    </row>
    <row r="11254" customFormat="false" ht="15.75" hidden="false" customHeight="false" outlineLevel="0" collapsed="false">
      <c r="A11254" s="1" t="s">
        <v>1204</v>
      </c>
      <c r="B11254" s="1" t="n">
        <v>222.79</v>
      </c>
      <c r="C11254" s="1" t="n">
        <f aca="false">1/B11254</f>
        <v>0.00448853180124781</v>
      </c>
      <c r="D11254" s="1" t="n">
        <v>0.68099</v>
      </c>
      <c r="E11254" s="1" t="n">
        <f aca="false">LN(D11254)</f>
        <v>-0.384207657228252</v>
      </c>
    </row>
    <row r="11255" customFormat="false" ht="15.75" hidden="false" customHeight="false" outlineLevel="0" collapsed="false">
      <c r="A11255" s="1" t="s">
        <v>1204</v>
      </c>
      <c r="B11255" s="1" t="n">
        <v>223.34</v>
      </c>
      <c r="C11255" s="1" t="n">
        <f aca="false">1/B11255</f>
        <v>0.00447747828423032</v>
      </c>
      <c r="D11255" s="1" t="n">
        <v>0.67589</v>
      </c>
      <c r="E11255" s="1" t="n">
        <f aca="false">LN(D11255)</f>
        <v>-0.391724938073308</v>
      </c>
    </row>
    <row r="11256" customFormat="false" ht="15.75" hidden="false" customHeight="false" outlineLevel="0" collapsed="false">
      <c r="A11256" s="1" t="s">
        <v>1204</v>
      </c>
      <c r="B11256" s="1" t="n">
        <v>223.88</v>
      </c>
      <c r="C11256" s="1" t="n">
        <f aca="false">1/B11256</f>
        <v>0.00446667857780954</v>
      </c>
      <c r="D11256" s="1" t="n">
        <v>0.67085</v>
      </c>
      <c r="E11256" s="1" t="n">
        <f aca="false">LN(D11256)</f>
        <v>-0.399209713945656</v>
      </c>
    </row>
    <row r="11257" customFormat="false" ht="15.75" hidden="false" customHeight="false" outlineLevel="0" collapsed="false">
      <c r="A11257" s="1" t="s">
        <v>1204</v>
      </c>
      <c r="B11257" s="1" t="n">
        <v>224.43</v>
      </c>
      <c r="C11257" s="1" t="n">
        <f aca="false">1/B11257</f>
        <v>0.00445573229960344</v>
      </c>
      <c r="D11257" s="1" t="n">
        <v>0.66586</v>
      </c>
      <c r="E11257" s="1" t="n">
        <f aca="false">LN(D11257)</f>
        <v>-0.406675840749221</v>
      </c>
    </row>
    <row r="11258" customFormat="false" ht="15.75" hidden="false" customHeight="false" outlineLevel="0" collapsed="false">
      <c r="A11258" s="1" t="s">
        <v>1204</v>
      </c>
      <c r="B11258" s="1" t="n">
        <v>224.98</v>
      </c>
      <c r="C11258" s="1" t="n">
        <f aca="false">1/B11258</f>
        <v>0.00444483954129256</v>
      </c>
      <c r="D11258" s="1" t="n">
        <v>0.66093</v>
      </c>
      <c r="E11258" s="1" t="n">
        <f aca="false">LN(D11258)</f>
        <v>-0.414107344889554</v>
      </c>
    </row>
    <row r="11259" customFormat="false" ht="15.75" hidden="false" customHeight="false" outlineLevel="0" collapsed="false">
      <c r="A11259" s="1" t="s">
        <v>1204</v>
      </c>
      <c r="B11259" s="1" t="n">
        <v>225.52</v>
      </c>
      <c r="C11259" s="1" t="n">
        <f aca="false">1/B11259</f>
        <v>0.00443419652358993</v>
      </c>
      <c r="D11259" s="1" t="n">
        <v>0.65605</v>
      </c>
      <c r="E11259" s="1" t="n">
        <f aca="false">LN(D11259)</f>
        <v>-0.421518273430412</v>
      </c>
    </row>
    <row r="11260" customFormat="false" ht="15.75" hidden="false" customHeight="false" outlineLevel="0" collapsed="false">
      <c r="A11260" s="1" t="s">
        <v>1204</v>
      </c>
      <c r="B11260" s="1" t="n">
        <v>226.07</v>
      </c>
      <c r="C11260" s="1" t="n">
        <f aca="false">1/B11260</f>
        <v>0.00442340867872783</v>
      </c>
      <c r="D11260" s="1" t="n">
        <v>0.65123</v>
      </c>
      <c r="E11260" s="1" t="n">
        <f aca="false">LN(D11260)</f>
        <v>-0.428892396558872</v>
      </c>
    </row>
    <row r="11261" customFormat="false" ht="15.75" hidden="false" customHeight="false" outlineLevel="0" collapsed="false">
      <c r="A11261" s="1" t="s">
        <v>1204</v>
      </c>
      <c r="B11261" s="1" t="n">
        <v>226.61</v>
      </c>
      <c r="C11261" s="1" t="n">
        <f aca="false">1/B11261</f>
        <v>0.00441286792286307</v>
      </c>
      <c r="D11261" s="1" t="n">
        <v>0.64646</v>
      </c>
      <c r="E11261" s="1" t="n">
        <f aca="false">LN(D11261)</f>
        <v>-0.436243954300748</v>
      </c>
    </row>
    <row r="11262" customFormat="false" ht="15.75" hidden="false" customHeight="false" outlineLevel="0" collapsed="false">
      <c r="A11262" s="1" t="s">
        <v>1204</v>
      </c>
      <c r="B11262" s="1" t="n">
        <v>227.16</v>
      </c>
      <c r="C11262" s="1" t="n">
        <f aca="false">1/B11262</f>
        <v>0.00440218348300757</v>
      </c>
      <c r="D11262" s="1" t="n">
        <v>0.64174</v>
      </c>
      <c r="E11262" s="1" t="n">
        <f aca="false">LN(D11262)</f>
        <v>-0.443572041744191</v>
      </c>
    </row>
    <row r="11263" customFormat="false" ht="15.75" hidden="false" customHeight="false" outlineLevel="0" collapsed="false">
      <c r="A11263" s="1" t="s">
        <v>1204</v>
      </c>
      <c r="B11263" s="1" t="n">
        <v>227.7</v>
      </c>
      <c r="C11263" s="1" t="n">
        <f aca="false">1/B11263</f>
        <v>0.00439174352217831</v>
      </c>
      <c r="D11263" s="1" t="n">
        <v>0.63708</v>
      </c>
      <c r="E11263" s="1" t="n">
        <f aca="false">LN(D11263)</f>
        <v>-0.450860042598557</v>
      </c>
    </row>
    <row r="11264" customFormat="false" ht="15.75" hidden="false" customHeight="false" outlineLevel="0" collapsed="false">
      <c r="A11264" s="1" t="s">
        <v>1204</v>
      </c>
      <c r="B11264" s="1" t="n">
        <v>228.25</v>
      </c>
      <c r="C11264" s="1" t="n">
        <f aca="false">1/B11264</f>
        <v>0.00438116100766703</v>
      </c>
      <c r="D11264" s="1" t="n">
        <v>0.63246</v>
      </c>
      <c r="E11264" s="1" t="n">
        <f aca="false">LN(D11264)</f>
        <v>-0.458138301486984</v>
      </c>
    </row>
    <row r="11265" customFormat="false" ht="15.75" hidden="false" customHeight="false" outlineLevel="0" collapsed="false">
      <c r="A11265" s="1" t="s">
        <v>1204</v>
      </c>
      <c r="B11265" s="1" t="n">
        <v>228.79</v>
      </c>
      <c r="C11265" s="1" t="n">
        <f aca="false">1/B11265</f>
        <v>0.00437082040298964</v>
      </c>
      <c r="D11265" s="1" t="n">
        <v>0.6279</v>
      </c>
      <c r="E11265" s="1" t="n">
        <f aca="false">LN(D11265)</f>
        <v>-0.465374360862073</v>
      </c>
    </row>
    <row r="11266" customFormat="false" ht="15.75" hidden="false" customHeight="false" outlineLevel="0" collapsed="false">
      <c r="A11266" s="1" t="s">
        <v>1204</v>
      </c>
      <c r="B11266" s="1" t="n">
        <v>229.34</v>
      </c>
      <c r="C11266" s="1" t="n">
        <f aca="false">1/B11266</f>
        <v>0.00436033836225691</v>
      </c>
      <c r="D11266" s="1" t="n">
        <v>0.62338</v>
      </c>
      <c r="E11266" s="1" t="n">
        <f aca="false">LN(D11266)</f>
        <v>-0.472598994293796</v>
      </c>
    </row>
    <row r="11267" customFormat="false" ht="15.75" hidden="false" customHeight="false" outlineLevel="0" collapsed="false">
      <c r="A11267" s="1" t="s">
        <v>1204</v>
      </c>
      <c r="B11267" s="1" t="n">
        <v>229.88</v>
      </c>
      <c r="C11267" s="1" t="n">
        <f aca="false">1/B11267</f>
        <v>0.00435009570210545</v>
      </c>
      <c r="D11267" s="1" t="n">
        <v>0.61891</v>
      </c>
      <c r="E11267" s="1" t="n">
        <f aca="false">LN(D11267)</f>
        <v>-0.479795412668212</v>
      </c>
    </row>
    <row r="11268" customFormat="false" ht="15.75" hidden="false" customHeight="false" outlineLevel="0" collapsed="false">
      <c r="A11268" s="1" t="s">
        <v>1204</v>
      </c>
      <c r="B11268" s="1" t="n">
        <v>230.43</v>
      </c>
      <c r="C11268" s="1" t="n">
        <f aca="false">1/B11268</f>
        <v>0.00433971271101853</v>
      </c>
      <c r="D11268" s="1" t="n">
        <v>0.61449</v>
      </c>
      <c r="E11268" s="1" t="n">
        <f aca="false">LN(D11268)</f>
        <v>-0.486962623501463</v>
      </c>
    </row>
    <row r="11269" customFormat="false" ht="15.75" hidden="false" customHeight="false" outlineLevel="0" collapsed="false">
      <c r="A11269" s="1" t="s">
        <v>1204</v>
      </c>
      <c r="B11269" s="1" t="n">
        <v>230.98</v>
      </c>
      <c r="C11269" s="1" t="n">
        <f aca="false">1/B11269</f>
        <v>0.00432937916702745</v>
      </c>
      <c r="D11269" s="1" t="n">
        <v>0.61011</v>
      </c>
      <c r="E11269" s="1" t="n">
        <f aca="false">LN(D11269)</f>
        <v>-0.494116010203043</v>
      </c>
    </row>
    <row r="11270" customFormat="false" ht="15.75" hidden="false" customHeight="false" outlineLevel="0" collapsed="false">
      <c r="A11270" s="1" t="s">
        <v>1204</v>
      </c>
      <c r="B11270" s="1" t="n">
        <v>231.52</v>
      </c>
      <c r="C11270" s="1" t="n">
        <f aca="false">1/B11270</f>
        <v>0.00431928127159641</v>
      </c>
      <c r="D11270" s="1" t="n">
        <v>0.60578</v>
      </c>
      <c r="E11270" s="1" t="n">
        <f aca="false">LN(D11270)</f>
        <v>-0.501238395130085</v>
      </c>
    </row>
    <row r="11271" customFormat="false" ht="15.75" hidden="false" customHeight="false" outlineLevel="0" collapsed="false">
      <c r="A11271" s="1" t="s">
        <v>1204</v>
      </c>
      <c r="B11271" s="1" t="n">
        <v>232.07</v>
      </c>
      <c r="C11271" s="1" t="n">
        <f aca="false">1/B11271</f>
        <v>0.00430904468479338</v>
      </c>
      <c r="D11271" s="1" t="n">
        <v>0.6015</v>
      </c>
      <c r="E11271" s="1" t="n">
        <f aca="false">LN(D11271)</f>
        <v>-0.508328743567403</v>
      </c>
    </row>
    <row r="11272" customFormat="false" ht="15.75" hidden="false" customHeight="false" outlineLevel="0" collapsed="false">
      <c r="A11272" s="1" t="s">
        <v>1204</v>
      </c>
      <c r="B11272" s="1" t="n">
        <v>232.61</v>
      </c>
      <c r="C11272" s="1" t="n">
        <f aca="false">1/B11272</f>
        <v>0.00429904131378703</v>
      </c>
      <c r="D11272" s="1" t="n">
        <v>0.59726</v>
      </c>
      <c r="E11272" s="1" t="n">
        <f aca="false">LN(D11272)</f>
        <v>-0.515402749509104</v>
      </c>
    </row>
    <row r="11273" customFormat="false" ht="15.75" hidden="false" customHeight="false" outlineLevel="0" collapsed="false">
      <c r="A11273" s="1" t="s">
        <v>1204</v>
      </c>
      <c r="B11273" s="1" t="n">
        <v>233.16</v>
      </c>
      <c r="C11273" s="1" t="n">
        <f aca="false">1/B11273</f>
        <v>0.00428890032595643</v>
      </c>
      <c r="D11273" s="1" t="n">
        <v>0.59306</v>
      </c>
      <c r="E11273" s="1" t="n">
        <f aca="false">LN(D11273)</f>
        <v>-0.522459704664358</v>
      </c>
    </row>
    <row r="11274" customFormat="false" ht="15.75" hidden="false" customHeight="false" outlineLevel="0" collapsed="false">
      <c r="A11274" s="1" t="s">
        <v>1204</v>
      </c>
      <c r="B11274" s="1" t="n">
        <v>233.7</v>
      </c>
      <c r="C11274" s="1" t="n">
        <f aca="false">1/B11274</f>
        <v>0.00427899015832264</v>
      </c>
      <c r="D11274" s="1" t="n">
        <v>0.58891</v>
      </c>
      <c r="E11274" s="1" t="n">
        <f aca="false">LN(D11274)</f>
        <v>-0.529481908364101</v>
      </c>
    </row>
    <row r="11275" customFormat="false" ht="15.75" hidden="false" customHeight="false" outlineLevel="0" collapsed="false">
      <c r="A11275" s="1" t="s">
        <v>1204</v>
      </c>
      <c r="B11275" s="1" t="n">
        <v>234.25</v>
      </c>
      <c r="C11275" s="1" t="n">
        <f aca="false">1/B11275</f>
        <v>0.00426894343649947</v>
      </c>
      <c r="D11275" s="1" t="n">
        <v>0.5848</v>
      </c>
      <c r="E11275" s="1" t="n">
        <f aca="false">LN(D11275)</f>
        <v>-0.536485370546568</v>
      </c>
    </row>
    <row r="11276" customFormat="false" ht="15.75" hidden="false" customHeight="false" outlineLevel="0" collapsed="false">
      <c r="A11276" s="1" t="s">
        <v>1204</v>
      </c>
      <c r="B11276" s="1" t="n">
        <v>234.79</v>
      </c>
      <c r="C11276" s="1" t="n">
        <f aca="false">1/B11276</f>
        <v>0.00425912517568891</v>
      </c>
      <c r="D11276" s="1" t="n">
        <v>0.58073</v>
      </c>
      <c r="E11276" s="1" t="n">
        <f aca="false">LN(D11276)</f>
        <v>-0.543469346151059</v>
      </c>
    </row>
    <row r="11277" customFormat="false" ht="15.75" hidden="false" customHeight="false" outlineLevel="0" collapsed="false">
      <c r="A11277" s="1" t="s">
        <v>1204</v>
      </c>
      <c r="B11277" s="1" t="n">
        <v>235.34</v>
      </c>
      <c r="C11277" s="1" t="n">
        <f aca="false">1/B11277</f>
        <v>0.00424917141157474</v>
      </c>
      <c r="D11277" s="1" t="n">
        <v>0.5767</v>
      </c>
      <c r="E11277" s="1" t="n">
        <f aca="false">LN(D11277)</f>
        <v>-0.55043307836077</v>
      </c>
    </row>
    <row r="11278" customFormat="false" ht="15.75" hidden="false" customHeight="false" outlineLevel="0" collapsed="false">
      <c r="A11278" s="1" t="s">
        <v>1204</v>
      </c>
      <c r="B11278" s="1" t="n">
        <v>235.89</v>
      </c>
      <c r="C11278" s="1" t="n">
        <f aca="false">1/B11278</f>
        <v>0.00423926406375853</v>
      </c>
      <c r="D11278" s="1" t="n">
        <v>0.57272</v>
      </c>
      <c r="E11278" s="1" t="n">
        <f aca="false">LN(D11278)</f>
        <v>-0.557358337894207</v>
      </c>
    </row>
    <row r="11279" customFormat="false" ht="15.75" hidden="false" customHeight="false" outlineLevel="0" collapsed="false">
      <c r="A11279" s="1" t="s">
        <v>1204</v>
      </c>
      <c r="B11279" s="1" t="n">
        <v>236.43</v>
      </c>
      <c r="C11279" s="1" t="n">
        <f aca="false">1/B11279</f>
        <v>0.00422958169437043</v>
      </c>
      <c r="D11279" s="1" t="n">
        <v>0.56877</v>
      </c>
      <c r="E11279" s="1" t="n">
        <f aca="false">LN(D11279)</f>
        <v>-0.56427914450008</v>
      </c>
    </row>
    <row r="11280" customFormat="false" ht="15.75" hidden="false" customHeight="false" outlineLevel="0" collapsed="false">
      <c r="A11280" s="1" t="s">
        <v>1204</v>
      </c>
      <c r="B11280" s="1" t="n">
        <v>236.98</v>
      </c>
      <c r="C11280" s="1" t="n">
        <f aca="false">1/B11280</f>
        <v>0.00421976538104481</v>
      </c>
      <c r="D11280" s="1" t="n">
        <v>0.56486</v>
      </c>
      <c r="E11280" s="1" t="n">
        <f aca="false">LN(D11280)</f>
        <v>-0.571177366150738</v>
      </c>
    </row>
    <row r="11281" customFormat="false" ht="15.75" hidden="false" customHeight="false" outlineLevel="0" collapsed="false">
      <c r="A11281" s="1" t="s">
        <v>1204</v>
      </c>
      <c r="B11281" s="1" t="n">
        <v>237.52</v>
      </c>
      <c r="C11281" s="1" t="n">
        <f aca="false">1/B11281</f>
        <v>0.00421017177500842</v>
      </c>
      <c r="D11281" s="1" t="n">
        <v>0.56099</v>
      </c>
      <c r="E11281" s="1" t="n">
        <f aca="false">LN(D11281)</f>
        <v>-0.578052198930256</v>
      </c>
    </row>
    <row r="11282" customFormat="false" ht="15.75" hidden="false" customHeight="false" outlineLevel="0" collapsed="false">
      <c r="A11282" s="1" t="s">
        <v>1204</v>
      </c>
      <c r="B11282" s="1" t="n">
        <v>238.07</v>
      </c>
      <c r="C11282" s="1" t="n">
        <f aca="false">1/B11282</f>
        <v>0.0042004452471962</v>
      </c>
      <c r="D11282" s="1" t="n">
        <v>0.55716</v>
      </c>
      <c r="E11282" s="1" t="n">
        <f aca="false">LN(D11282)</f>
        <v>-0.584902827162306</v>
      </c>
    </row>
    <row r="11283" customFormat="false" ht="15.75" hidden="false" customHeight="false" outlineLevel="0" collapsed="false">
      <c r="A11283" s="1" t="s">
        <v>1204</v>
      </c>
      <c r="B11283" s="1" t="n">
        <v>238.61</v>
      </c>
      <c r="C11283" s="1" t="n">
        <f aca="false">1/B11283</f>
        <v>0.00419093918947236</v>
      </c>
      <c r="D11283" s="1" t="n">
        <v>0.55337</v>
      </c>
      <c r="E11283" s="1" t="n">
        <f aca="false">LN(D11283)</f>
        <v>-0.591728423434849</v>
      </c>
    </row>
    <row r="11284" customFormat="false" ht="15.75" hidden="false" customHeight="false" outlineLevel="0" collapsed="false">
      <c r="A11284" s="1" t="s">
        <v>1204</v>
      </c>
      <c r="B11284" s="1" t="n">
        <v>239.16</v>
      </c>
      <c r="C11284" s="1" t="n">
        <f aca="false">1/B11284</f>
        <v>0.00418130122093996</v>
      </c>
      <c r="D11284" s="1" t="n">
        <v>0.54962</v>
      </c>
      <c r="E11284" s="1" t="n">
        <f aca="false">LN(D11284)</f>
        <v>-0.598528148634209</v>
      </c>
    </row>
    <row r="11285" customFormat="false" ht="15.75" hidden="false" customHeight="false" outlineLevel="0" collapsed="false">
      <c r="A11285" s="1" t="s">
        <v>1204</v>
      </c>
      <c r="B11285" s="1" t="n">
        <v>239.7</v>
      </c>
      <c r="C11285" s="1" t="n">
        <f aca="false">1/B11285</f>
        <v>0.00417188151856487</v>
      </c>
      <c r="D11285" s="1" t="n">
        <v>0.5459</v>
      </c>
      <c r="E11285" s="1" t="n">
        <f aca="false">LN(D11285)</f>
        <v>-0.605319470194425</v>
      </c>
    </row>
    <row r="11286" customFormat="false" ht="15.75" hidden="false" customHeight="false" outlineLevel="0" collapsed="false">
      <c r="A11286" s="1" t="s">
        <v>1204</v>
      </c>
      <c r="B11286" s="1" t="n">
        <v>240.25</v>
      </c>
      <c r="C11286" s="1" t="n">
        <f aca="false">1/B11286</f>
        <v>0.00416233090530697</v>
      </c>
      <c r="D11286" s="1" t="n">
        <v>0.54222</v>
      </c>
      <c r="E11286" s="1" t="n">
        <f aca="false">LN(D11286)</f>
        <v>-0.612083455840217</v>
      </c>
    </row>
    <row r="11287" customFormat="false" ht="15.75" hidden="false" customHeight="false" outlineLevel="0" collapsed="false">
      <c r="A11287" s="1" t="s">
        <v>1204</v>
      </c>
      <c r="B11287" s="1" t="n">
        <v>240.79</v>
      </c>
      <c r="C11287" s="1" t="n">
        <f aca="false">1/B11287</f>
        <v>0.00415299638689314</v>
      </c>
      <c r="D11287" s="1" t="n">
        <v>0.53857</v>
      </c>
      <c r="E11287" s="1" t="n">
        <f aca="false">LN(D11287)</f>
        <v>-0.618837800118806</v>
      </c>
    </row>
    <row r="11288" customFormat="false" ht="15.75" hidden="false" customHeight="false" outlineLevel="0" collapsed="false">
      <c r="A11288" s="1" t="s">
        <v>1204</v>
      </c>
      <c r="B11288" s="1" t="n">
        <v>241.34</v>
      </c>
      <c r="C11288" s="1" t="n">
        <f aca="false">1/B11288</f>
        <v>0.00414353194663131</v>
      </c>
      <c r="D11288" s="1" t="n">
        <v>0.53496</v>
      </c>
      <c r="E11288" s="1" t="n">
        <f aca="false">LN(D11288)</f>
        <v>-0.625563301236414</v>
      </c>
    </row>
    <row r="11289" customFormat="false" ht="15.75" hidden="false" customHeight="false" outlineLevel="0" collapsed="false">
      <c r="A11289" s="1" t="s">
        <v>1204</v>
      </c>
      <c r="B11289" s="1" t="n">
        <v>241.89</v>
      </c>
      <c r="C11289" s="1" t="n">
        <f aca="false">1/B11289</f>
        <v>0.004134110546116</v>
      </c>
      <c r="D11289" s="1" t="n">
        <v>0.53138</v>
      </c>
      <c r="E11289" s="1" t="n">
        <f aca="false">LN(D11289)</f>
        <v>-0.632277882796759</v>
      </c>
    </row>
    <row r="11290" customFormat="false" ht="15.75" hidden="false" customHeight="false" outlineLevel="0" collapsed="false">
      <c r="A11290" s="1" t="s">
        <v>1204</v>
      </c>
      <c r="B11290" s="1" t="n">
        <v>242.43</v>
      </c>
      <c r="C11290" s="1" t="n">
        <f aca="false">1/B11290</f>
        <v>0.0041249020335767</v>
      </c>
      <c r="D11290" s="1" t="n">
        <v>0.52784</v>
      </c>
      <c r="E11290" s="1" t="n">
        <f aca="false">LN(D11290)</f>
        <v>-0.638962071501866</v>
      </c>
    </row>
    <row r="11291" customFormat="false" ht="15.75" hidden="false" customHeight="false" outlineLevel="0" collapsed="false">
      <c r="A11291" s="1" t="s">
        <v>1204</v>
      </c>
      <c r="B11291" s="1" t="n">
        <v>242.98</v>
      </c>
      <c r="C11291" s="1" t="n">
        <f aca="false">1/B11291</f>
        <v>0.00411556506708371</v>
      </c>
      <c r="D11291" s="1" t="n">
        <v>0.52433</v>
      </c>
      <c r="E11291" s="1" t="n">
        <f aca="false">LN(D11291)</f>
        <v>-0.645634021891261</v>
      </c>
    </row>
    <row r="11292" customFormat="false" ht="15.75" hidden="false" customHeight="false" outlineLevel="0" collapsed="false">
      <c r="A11292" s="1" t="s">
        <v>1204</v>
      </c>
      <c r="B11292" s="1" t="n">
        <v>243.52</v>
      </c>
      <c r="C11292" s="1" t="n">
        <f aca="false">1/B11292</f>
        <v>0.00410643889618923</v>
      </c>
      <c r="D11292" s="1" t="n">
        <v>0.52085</v>
      </c>
      <c r="E11292" s="1" t="n">
        <f aca="false">LN(D11292)</f>
        <v>-0.652293186551679</v>
      </c>
    </row>
    <row r="11293" customFormat="false" ht="15.75" hidden="false" customHeight="false" outlineLevel="0" collapsed="false">
      <c r="A11293" s="1" t="s">
        <v>1204</v>
      </c>
      <c r="B11293" s="1" t="n">
        <v>244.07</v>
      </c>
      <c r="C11293" s="1" t="n">
        <f aca="false">1/B11293</f>
        <v>0.00409718523374442</v>
      </c>
      <c r="D11293" s="1" t="n">
        <v>0.51741</v>
      </c>
      <c r="E11293" s="1" t="n">
        <f aca="false">LN(D11293)</f>
        <v>-0.658919682010718</v>
      </c>
    </row>
    <row r="11294" customFormat="false" ht="15.75" hidden="false" customHeight="false" outlineLevel="0" collapsed="false">
      <c r="A11294" s="1" t="s">
        <v>1204</v>
      </c>
      <c r="B11294" s="1" t="n">
        <v>244.61</v>
      </c>
      <c r="C11294" s="1" t="n">
        <f aca="false">1/B11294</f>
        <v>0.00408814030497527</v>
      </c>
      <c r="D11294" s="1" t="n">
        <v>0.514</v>
      </c>
      <c r="E11294" s="1" t="n">
        <f aca="false">LN(D11294)</f>
        <v>-0.665532013526972</v>
      </c>
    </row>
    <row r="11295" customFormat="false" ht="15.75" hidden="false" customHeight="false" outlineLevel="0" collapsed="false">
      <c r="A11295" s="1" t="s">
        <v>1204</v>
      </c>
      <c r="B11295" s="1" t="n">
        <v>245.16</v>
      </c>
      <c r="C11295" s="1" t="n">
        <f aca="false">1/B11295</f>
        <v>0.00407896883667809</v>
      </c>
      <c r="D11295" s="1" t="n">
        <v>0.51062</v>
      </c>
      <c r="E11295" s="1" t="n">
        <f aca="false">LN(D11295)</f>
        <v>-0.672129605337476</v>
      </c>
    </row>
    <row r="11296" customFormat="false" ht="15.75" hidden="false" customHeight="false" outlineLevel="0" collapsed="false">
      <c r="A11296" s="1" t="s">
        <v>1204</v>
      </c>
      <c r="B11296" s="1" t="n">
        <v>245.7</v>
      </c>
      <c r="C11296" s="1" t="n">
        <f aca="false">1/B11296</f>
        <v>0.00407000407000407</v>
      </c>
      <c r="D11296" s="1" t="n">
        <v>0.50727</v>
      </c>
      <c r="E11296" s="1" t="n">
        <f aca="false">LN(D11296)</f>
        <v>-0.67871187276369</v>
      </c>
    </row>
    <row r="11297" customFormat="false" ht="15.75" hidden="false" customHeight="false" outlineLevel="0" collapsed="false">
      <c r="A11297" s="1" t="s">
        <v>1204</v>
      </c>
      <c r="B11297" s="1" t="n">
        <v>246.25</v>
      </c>
      <c r="C11297" s="1" t="n">
        <f aca="false">1/B11297</f>
        <v>0.00406091370558376</v>
      </c>
      <c r="D11297" s="1" t="n">
        <v>0.50396</v>
      </c>
      <c r="E11297" s="1" t="n">
        <f aca="false">LN(D11297)</f>
        <v>-0.685258379139708</v>
      </c>
    </row>
    <row r="11298" customFormat="false" ht="15.75" hidden="false" customHeight="false" outlineLevel="0" collapsed="false">
      <c r="A11298" s="1" t="s">
        <v>1204</v>
      </c>
      <c r="B11298" s="1" t="n">
        <v>246.8</v>
      </c>
      <c r="C11298" s="1" t="n">
        <f aca="false">1/B11298</f>
        <v>0.00405186385737439</v>
      </c>
      <c r="D11298" s="1" t="n">
        <v>0.50067</v>
      </c>
      <c r="E11298" s="1" t="n">
        <f aca="false">LN(D11298)</f>
        <v>-0.691808077558716</v>
      </c>
    </row>
    <row r="11299" customFormat="false" ht="15.75" hidden="false" customHeight="false" outlineLevel="0" collapsed="false">
      <c r="A11299" s="1" t="s">
        <v>1204</v>
      </c>
      <c r="B11299" s="1" t="n">
        <v>247.34</v>
      </c>
      <c r="C11299" s="1" t="n">
        <f aca="false">1/B11299</f>
        <v>0.00404301770841756</v>
      </c>
      <c r="D11299" s="1" t="n">
        <v>0.49741</v>
      </c>
      <c r="E11299" s="1" t="n">
        <f aca="false">LN(D11299)</f>
        <v>-0.6983406432713</v>
      </c>
    </row>
    <row r="11300" customFormat="false" ht="15.75" hidden="false" customHeight="false" outlineLevel="0" collapsed="false">
      <c r="A11300" s="1" t="s">
        <v>1204</v>
      </c>
      <c r="B11300" s="1" t="n">
        <v>247.89</v>
      </c>
      <c r="C11300" s="1" t="n">
        <f aca="false">1/B11300</f>
        <v>0.004034047359716</v>
      </c>
      <c r="D11300" s="1" t="n">
        <v>0.49419</v>
      </c>
      <c r="E11300" s="1" t="n">
        <f aca="false">LN(D11300)</f>
        <v>-0.704835220355136</v>
      </c>
    </row>
    <row r="11301" customFormat="false" ht="15.75" hidden="false" customHeight="false" outlineLevel="0" collapsed="false">
      <c r="A11301" s="1" t="s">
        <v>1204</v>
      </c>
      <c r="B11301" s="1" t="n">
        <v>248.43</v>
      </c>
      <c r="C11301" s="1" t="n">
        <f aca="false">1/B11301</f>
        <v>0.00402527875055348</v>
      </c>
      <c r="D11301" s="1" t="n">
        <v>0.49099</v>
      </c>
      <c r="E11301" s="1" t="n">
        <f aca="false">LN(D11301)</f>
        <v>-0.711331517993796</v>
      </c>
    </row>
    <row r="11302" customFormat="false" ht="15.75" hidden="false" customHeight="false" outlineLevel="0" collapsed="false">
      <c r="A11302" s="1" t="s">
        <v>1204</v>
      </c>
      <c r="B11302" s="1" t="n">
        <v>248.98</v>
      </c>
      <c r="C11302" s="1" t="n">
        <f aca="false">1/B11302</f>
        <v>0.0040163868583822</v>
      </c>
      <c r="D11302" s="1" t="n">
        <v>0.48782</v>
      </c>
      <c r="E11302" s="1" t="n">
        <f aca="false">LN(D11302)</f>
        <v>-0.717808793630807</v>
      </c>
    </row>
    <row r="11303" customFormat="false" ht="15.75" hidden="false" customHeight="false" outlineLevel="0" collapsed="false">
      <c r="A11303" s="1" t="s">
        <v>1204</v>
      </c>
      <c r="B11303" s="1" t="n">
        <v>249.52</v>
      </c>
      <c r="C11303" s="1" t="n">
        <f aca="false">1/B11303</f>
        <v>0.00400769477396602</v>
      </c>
      <c r="D11303" s="1" t="n">
        <v>0.48468</v>
      </c>
      <c r="E11303" s="1" t="n">
        <f aca="false">LN(D11303)</f>
        <v>-0.724266399618815</v>
      </c>
    </row>
    <row r="11304" customFormat="false" ht="15.75" hidden="false" customHeight="false" outlineLevel="0" collapsed="false">
      <c r="A11304" s="1" t="s">
        <v>1204</v>
      </c>
      <c r="B11304" s="1" t="n">
        <v>250.07</v>
      </c>
      <c r="C11304" s="1" t="n">
        <f aca="false">1/B11304</f>
        <v>0.00399888031351222</v>
      </c>
      <c r="D11304" s="1" t="n">
        <v>0.48157</v>
      </c>
      <c r="E11304" s="1" t="n">
        <f aca="false">LN(D11304)</f>
        <v>-0.730703679286579</v>
      </c>
    </row>
    <row r="11305" customFormat="false" ht="15.75" hidden="false" customHeight="false" outlineLevel="0" collapsed="false">
      <c r="A11305" s="1" t="s">
        <v>1204</v>
      </c>
      <c r="B11305" s="1" t="n">
        <v>250.61</v>
      </c>
      <c r="C11305" s="1" t="n">
        <f aca="false">1/B11305</f>
        <v>0.0039902637564343</v>
      </c>
      <c r="D11305" s="1" t="n">
        <v>0.47849</v>
      </c>
      <c r="E11305" s="1" t="n">
        <f aca="false">LN(D11305)</f>
        <v>-0.737119966949096</v>
      </c>
    </row>
    <row r="11306" customFormat="false" ht="15.75" hidden="false" customHeight="false" outlineLevel="0" collapsed="false">
      <c r="A11306" s="1" t="s">
        <v>1204</v>
      </c>
      <c r="B11306" s="1" t="n">
        <v>251.16</v>
      </c>
      <c r="C11306" s="1" t="n">
        <f aca="false">1/B11306</f>
        <v>0.00398152572065616</v>
      </c>
      <c r="D11306" s="1" t="n">
        <v>0.47544</v>
      </c>
      <c r="E11306" s="1" t="n">
        <f aca="false">LN(D11306)</f>
        <v>-0.743514587923732</v>
      </c>
    </row>
    <row r="11307" customFormat="false" ht="15.75" hidden="false" customHeight="false" outlineLevel="0" collapsed="false">
      <c r="A11307" s="1" t="s">
        <v>1204</v>
      </c>
      <c r="B11307" s="1" t="n">
        <v>251.7</v>
      </c>
      <c r="C11307" s="1" t="n">
        <f aca="false">1/B11307</f>
        <v>0.00397298371076679</v>
      </c>
      <c r="D11307" s="1" t="n">
        <v>0.47241</v>
      </c>
      <c r="E11307" s="1" t="n">
        <f aca="false">LN(D11307)</f>
        <v>-0.749908026381709</v>
      </c>
    </row>
    <row r="11308" customFormat="false" ht="15.75" hidden="false" customHeight="false" outlineLevel="0" collapsed="false">
      <c r="A11308" s="1" t="s">
        <v>1204</v>
      </c>
      <c r="B11308" s="1" t="n">
        <v>252.25</v>
      </c>
      <c r="C11308" s="1" t="n">
        <f aca="false">1/B11308</f>
        <v>0.00396432111000991</v>
      </c>
      <c r="D11308" s="1" t="n">
        <v>0.46941</v>
      </c>
      <c r="E11308" s="1" t="n">
        <f aca="false">LN(D11308)</f>
        <v>-0.756278692000061</v>
      </c>
    </row>
    <row r="11309" customFormat="false" ht="15.75" hidden="false" customHeight="false" outlineLevel="0" collapsed="false">
      <c r="A11309" s="1" t="s">
        <v>1204</v>
      </c>
      <c r="B11309" s="1" t="n">
        <v>252.8</v>
      </c>
      <c r="C11309" s="1" t="n">
        <f aca="false">1/B11309</f>
        <v>0.00395569620253164</v>
      </c>
      <c r="D11309" s="1" t="n">
        <v>0.46643</v>
      </c>
      <c r="E11309" s="1" t="n">
        <f aca="false">LN(D11309)</f>
        <v>-0.762647323544473</v>
      </c>
    </row>
    <row r="11310" customFormat="false" ht="15.75" hidden="false" customHeight="false" outlineLevel="0" collapsed="false">
      <c r="A11310" s="1" t="s">
        <v>1204</v>
      </c>
      <c r="B11310" s="1" t="n">
        <v>253.34</v>
      </c>
      <c r="C11310" s="1" t="n">
        <f aca="false">1/B11310</f>
        <v>0.00394726454566985</v>
      </c>
      <c r="D11310" s="1" t="n">
        <v>0.46348</v>
      </c>
      <c r="E11310" s="1" t="n">
        <f aca="false">LN(D11310)</f>
        <v>-0.768992044853275</v>
      </c>
    </row>
    <row r="11311" customFormat="false" ht="15.75" hidden="false" customHeight="false" outlineLevel="0" collapsed="false">
      <c r="A11311" s="1" t="s">
        <v>1204</v>
      </c>
      <c r="B11311" s="1" t="n">
        <v>253.89</v>
      </c>
      <c r="C11311" s="1" t="n">
        <f aca="false">1/B11311</f>
        <v>0.00393871361613297</v>
      </c>
      <c r="D11311" s="1" t="n">
        <v>0.46056</v>
      </c>
      <c r="E11311" s="1" t="n">
        <f aca="false">LN(D11311)</f>
        <v>-0.775312138614583</v>
      </c>
    </row>
    <row r="11312" customFormat="false" ht="15.75" hidden="false" customHeight="false" outlineLevel="0" collapsed="false">
      <c r="A11312" s="1" t="s">
        <v>1204</v>
      </c>
      <c r="B11312" s="1" t="n">
        <v>254.43</v>
      </c>
      <c r="C11312" s="1" t="n">
        <f aca="false">1/B11312</f>
        <v>0.00393035412490665</v>
      </c>
      <c r="D11312" s="1" t="n">
        <v>0.45766</v>
      </c>
      <c r="E11312" s="1" t="n">
        <f aca="false">LN(D11312)</f>
        <v>-0.781628728630759</v>
      </c>
    </row>
    <row r="11313" customFormat="false" ht="15.75" hidden="false" customHeight="false" outlineLevel="0" collapsed="false">
      <c r="A11313" s="1" t="s">
        <v>1204</v>
      </c>
      <c r="B11313" s="1" t="n">
        <v>254.98</v>
      </c>
      <c r="C11313" s="1" t="n">
        <f aca="false">1/B11313</f>
        <v>0.00392187622558632</v>
      </c>
      <c r="D11313" s="1" t="n">
        <v>0.45479</v>
      </c>
      <c r="E11313" s="1" t="n">
        <f aca="false">LN(D11313)</f>
        <v>-0.787919505034384</v>
      </c>
    </row>
    <row r="11314" customFormat="false" ht="15.75" hidden="false" customHeight="false" outlineLevel="0" collapsed="false">
      <c r="A11314" s="1" t="s">
        <v>1204</v>
      </c>
      <c r="B11314" s="1" t="n">
        <v>255.52</v>
      </c>
      <c r="C11314" s="1" t="n">
        <f aca="false">1/B11314</f>
        <v>0.00391358797745773</v>
      </c>
      <c r="D11314" s="1" t="n">
        <v>0.45194</v>
      </c>
      <c r="E11314" s="1" t="n">
        <f aca="false">LN(D11314)</f>
        <v>-0.794205851323918</v>
      </c>
    </row>
    <row r="11315" customFormat="false" ht="15.75" hidden="false" customHeight="false" outlineLevel="0" collapsed="false">
      <c r="A11315" s="1" t="s">
        <v>1204</v>
      </c>
      <c r="B11315" s="1" t="n">
        <v>256.07</v>
      </c>
      <c r="C11315" s="1" t="n">
        <f aca="false">1/B11315</f>
        <v>0.00390518217674855</v>
      </c>
      <c r="D11315" s="1" t="n">
        <v>0.44912</v>
      </c>
      <c r="E11315" s="1" t="n">
        <f aca="false">LN(D11315)</f>
        <v>-0.800465166368565</v>
      </c>
    </row>
    <row r="11316" customFormat="false" ht="15.75" hidden="false" customHeight="false" outlineLevel="0" collapsed="false">
      <c r="A11316" s="1" t="s">
        <v>1204</v>
      </c>
      <c r="B11316" s="1" t="n">
        <v>256.61</v>
      </c>
      <c r="C11316" s="1" t="n">
        <f aca="false">1/B11316</f>
        <v>0.00389696426483769</v>
      </c>
      <c r="D11316" s="1" t="n">
        <v>0.44632</v>
      </c>
      <c r="E11316" s="1" t="n">
        <f aca="false">LN(D11316)</f>
        <v>-0.806719095444864</v>
      </c>
    </row>
    <row r="11317" customFormat="false" ht="15.75" hidden="false" customHeight="false" outlineLevel="0" collapsed="false">
      <c r="A11317" s="1" t="s">
        <v>1204</v>
      </c>
      <c r="B11317" s="1" t="n">
        <v>257.16</v>
      </c>
      <c r="C11317" s="1" t="n">
        <f aca="false">1/B11317</f>
        <v>0.00388862964691243</v>
      </c>
      <c r="D11317" s="1" t="n">
        <v>0.44355</v>
      </c>
      <c r="E11317" s="1" t="n">
        <f aca="false">LN(D11317)</f>
        <v>-0.812944744015541</v>
      </c>
    </row>
    <row r="11318" customFormat="false" ht="15.75" hidden="false" customHeight="false" outlineLevel="0" collapsed="false">
      <c r="A11318" s="1" t="s">
        <v>1204</v>
      </c>
      <c r="B11318" s="1" t="n">
        <v>257.71</v>
      </c>
      <c r="C11318" s="1" t="n">
        <f aca="false">1/B11318</f>
        <v>0.00388033060416748</v>
      </c>
      <c r="D11318" s="1" t="n">
        <v>0.44079</v>
      </c>
      <c r="E11318" s="1" t="n">
        <f aca="false">LN(D11318)</f>
        <v>-0.819186707426172</v>
      </c>
    </row>
    <row r="11319" customFormat="false" ht="15.75" hidden="false" customHeight="false" outlineLevel="0" collapsed="false">
      <c r="A11319" s="1" t="s">
        <v>1204</v>
      </c>
      <c r="B11319" s="1" t="n">
        <v>258.25</v>
      </c>
      <c r="C11319" s="1" t="n">
        <f aca="false">1/B11319</f>
        <v>0.00387221684414327</v>
      </c>
      <c r="D11319" s="1" t="n">
        <v>0.43807</v>
      </c>
      <c r="E11319" s="1" t="n">
        <f aca="false">LN(D11319)</f>
        <v>-0.825376564023525</v>
      </c>
    </row>
    <row r="11320" customFormat="false" ht="15.75" hidden="false" customHeight="false" outlineLevel="0" collapsed="false">
      <c r="A11320" s="1" t="s">
        <v>1204</v>
      </c>
      <c r="B11320" s="1" t="n">
        <v>258.8</v>
      </c>
      <c r="C11320" s="1" t="n">
        <f aca="false">1/B11320</f>
        <v>0.00386398763523957</v>
      </c>
      <c r="D11320" s="1" t="n">
        <v>0.43536</v>
      </c>
      <c r="E11320" s="1" t="n">
        <f aca="false">LN(D11320)</f>
        <v>-0.831582003947201</v>
      </c>
    </row>
    <row r="11321" customFormat="false" ht="15.75" hidden="false" customHeight="false" outlineLevel="0" collapsed="false">
      <c r="A11321" s="1" t="s">
        <v>1204</v>
      </c>
      <c r="B11321" s="1" t="n">
        <v>259.34</v>
      </c>
      <c r="C11321" s="1" t="n">
        <f aca="false">1/B11321</f>
        <v>0.00385594200663222</v>
      </c>
      <c r="D11321" s="1" t="n">
        <v>0.43268</v>
      </c>
      <c r="E11321" s="1" t="n">
        <f aca="false">LN(D11321)</f>
        <v>-0.837756854220048</v>
      </c>
    </row>
    <row r="11322" customFormat="false" ht="15.75" hidden="false" customHeight="false" outlineLevel="0" collapsed="false">
      <c r="A11322" s="1" t="s">
        <v>1204</v>
      </c>
      <c r="B11322" s="1" t="n">
        <v>259.89</v>
      </c>
      <c r="C11322" s="1" t="n">
        <f aca="false">1/B11322</f>
        <v>0.00384778175381892</v>
      </c>
      <c r="D11322" s="1" t="n">
        <v>0.43002</v>
      </c>
      <c r="E11322" s="1" t="n">
        <f aca="false">LN(D11322)</f>
        <v>-0.843923559748254</v>
      </c>
    </row>
    <row r="11323" customFormat="false" ht="15.75" hidden="false" customHeight="false" outlineLevel="0" collapsed="false">
      <c r="A11323" s="1" t="s">
        <v>1204</v>
      </c>
      <c r="B11323" s="1" t="n">
        <v>260.43</v>
      </c>
      <c r="C11323" s="1" t="n">
        <f aca="false">1/B11323</f>
        <v>0.00383980340206581</v>
      </c>
      <c r="D11323" s="1" t="n">
        <v>0.42738</v>
      </c>
      <c r="E11323" s="1" t="n">
        <f aca="false">LN(D11323)</f>
        <v>-0.85008173176382</v>
      </c>
    </row>
    <row r="11324" customFormat="false" ht="15.75" hidden="false" customHeight="false" outlineLevel="0" collapsed="false">
      <c r="A11324" s="1" t="s">
        <v>1204</v>
      </c>
      <c r="B11324" s="1" t="n">
        <v>260.98</v>
      </c>
      <c r="C11324" s="1" t="n">
        <f aca="false">1/B11324</f>
        <v>0.00383171124224078</v>
      </c>
      <c r="D11324" s="1" t="n">
        <v>0.42477</v>
      </c>
      <c r="E11324" s="1" t="n">
        <f aca="false">LN(D11324)</f>
        <v>-0.856207433017148</v>
      </c>
    </row>
    <row r="11325" customFormat="false" ht="15.75" hidden="false" customHeight="false" outlineLevel="0" collapsed="false">
      <c r="A11325" s="1" t="s">
        <v>1204</v>
      </c>
      <c r="B11325" s="1" t="n">
        <v>261.52</v>
      </c>
      <c r="C11325" s="1" t="n">
        <f aca="false">1/B11325</f>
        <v>0.00382379932701132</v>
      </c>
      <c r="D11325" s="1" t="n">
        <v>0.42217</v>
      </c>
      <c r="E11325" s="1" t="n">
        <f aca="false">LN(D11325)</f>
        <v>-0.862347202463928</v>
      </c>
    </row>
    <row r="11326" customFormat="false" ht="15.75" hidden="false" customHeight="false" outlineLevel="0" collapsed="false">
      <c r="A11326" s="1" t="s">
        <v>1204</v>
      </c>
      <c r="B11326" s="1" t="n">
        <v>262.07</v>
      </c>
      <c r="C11326" s="1" t="n">
        <f aca="false">1/B11326</f>
        <v>0.0038157744114168</v>
      </c>
      <c r="D11326" s="1" t="n">
        <v>0.4196</v>
      </c>
      <c r="E11326" s="1" t="n">
        <f aca="false">LN(D11326)</f>
        <v>-0.868453402459995</v>
      </c>
    </row>
    <row r="11327" customFormat="false" ht="15.75" hidden="false" customHeight="false" outlineLevel="0" collapsed="false">
      <c r="A11327" s="1" t="s">
        <v>1204</v>
      </c>
      <c r="B11327" s="1" t="n">
        <v>262.61</v>
      </c>
      <c r="C11327" s="1" t="n">
        <f aca="false">1/B11327</f>
        <v>0.00380792810631735</v>
      </c>
      <c r="D11327" s="1" t="n">
        <v>0.41705</v>
      </c>
      <c r="E11327" s="1" t="n">
        <f aca="false">LN(D11327)</f>
        <v>-0.874549160294516</v>
      </c>
    </row>
    <row r="11328" customFormat="false" ht="15.75" hidden="false" customHeight="false" outlineLevel="0" collapsed="false">
      <c r="A11328" s="1" t="s">
        <v>1204</v>
      </c>
      <c r="B11328" s="1" t="n">
        <v>262.84</v>
      </c>
      <c r="C11328" s="1" t="n">
        <f aca="false">1/B11328</f>
        <v>0.00380459595190991</v>
      </c>
      <c r="D11328" s="1" t="n">
        <v>0.41599</v>
      </c>
      <c r="E11328" s="1" t="n">
        <f aca="false">LN(D11328)</f>
        <v>-0.877094057471341</v>
      </c>
    </row>
    <row r="11329" customFormat="false" ht="15.75" hidden="false" customHeight="false" outlineLevel="0" collapsed="false">
      <c r="A11329" s="1" t="s">
        <v>1497</v>
      </c>
      <c r="B11329" s="1" t="n">
        <v>187.7</v>
      </c>
      <c r="C11329" s="1" t="n">
        <f aca="false">1/B11329</f>
        <v>0.0053276505061268</v>
      </c>
      <c r="D11329" s="1" t="n">
        <v>0.54371</v>
      </c>
      <c r="E11329" s="1" t="n">
        <f aca="false">LN(D11329)</f>
        <v>-0.60933926250354</v>
      </c>
    </row>
    <row r="11330" customFormat="false" ht="15.75" hidden="false" customHeight="false" outlineLevel="0" collapsed="false">
      <c r="A11330" s="1" t="s">
        <v>1497</v>
      </c>
      <c r="B11330" s="1" t="n">
        <v>188.65</v>
      </c>
      <c r="C11330" s="1" t="n">
        <f aca="false">1/B11330</f>
        <v>0.00530082162735224</v>
      </c>
      <c r="D11330" s="1" t="n">
        <v>0.52559</v>
      </c>
      <c r="E11330" s="1" t="n">
        <f aca="false">LN(D11330)</f>
        <v>-0.643233837867921</v>
      </c>
    </row>
    <row r="11331" customFormat="false" ht="15.75" hidden="false" customHeight="false" outlineLevel="0" collapsed="false">
      <c r="A11331" s="1" t="s">
        <v>1497</v>
      </c>
      <c r="B11331" s="1" t="n">
        <v>189.61</v>
      </c>
      <c r="C11331" s="1" t="n">
        <f aca="false">1/B11331</f>
        <v>0.005273983439692</v>
      </c>
      <c r="D11331" s="1" t="n">
        <v>0.50863</v>
      </c>
      <c r="E11331" s="1" t="n">
        <f aca="false">LN(D11331)</f>
        <v>-0.676034442283435</v>
      </c>
    </row>
    <row r="11332" customFormat="false" ht="15.75" hidden="false" customHeight="false" outlineLevel="0" collapsed="false">
      <c r="A11332" s="1" t="s">
        <v>1497</v>
      </c>
      <c r="B11332" s="1" t="n">
        <v>190.56</v>
      </c>
      <c r="C11332" s="1" t="n">
        <f aca="false">1/B11332</f>
        <v>0.00524769101595298</v>
      </c>
      <c r="D11332" s="1" t="n">
        <v>0.49274</v>
      </c>
      <c r="E11332" s="1" t="n">
        <f aca="false">LN(D11332)</f>
        <v>-0.707773627422109</v>
      </c>
    </row>
    <row r="11333" customFormat="false" ht="15.75" hidden="false" customHeight="false" outlineLevel="0" collapsed="false">
      <c r="A11333" s="1" t="s">
        <v>1497</v>
      </c>
      <c r="B11333" s="1" t="n">
        <v>191.52</v>
      </c>
      <c r="C11333" s="1" t="n">
        <f aca="false">1/B11333</f>
        <v>0.00522138680033417</v>
      </c>
      <c r="D11333" s="1" t="n">
        <v>0.47784</v>
      </c>
      <c r="E11333" s="1" t="n">
        <f aca="false">LN(D11333)</f>
        <v>-0.738479330558087</v>
      </c>
    </row>
    <row r="11334" customFormat="false" ht="15.75" hidden="false" customHeight="false" outlineLevel="0" collapsed="false">
      <c r="A11334" s="1" t="s">
        <v>1497</v>
      </c>
      <c r="B11334" s="1" t="n">
        <v>192.47</v>
      </c>
      <c r="C11334" s="1" t="n">
        <f aca="false">1/B11334</f>
        <v>0.00519561490102354</v>
      </c>
      <c r="D11334" s="1" t="n">
        <v>0.46384</v>
      </c>
      <c r="E11334" s="1" t="n">
        <f aca="false">LN(D11334)</f>
        <v>-0.768215613808792</v>
      </c>
    </row>
    <row r="11335" customFormat="false" ht="15.75" hidden="false" customHeight="false" outlineLevel="0" collapsed="false">
      <c r="A11335" s="1" t="s">
        <v>1497</v>
      </c>
      <c r="B11335" s="1" t="n">
        <v>193.42</v>
      </c>
      <c r="C11335" s="1" t="n">
        <f aca="false">1/B11335</f>
        <v>0.00517009616378865</v>
      </c>
      <c r="D11335" s="1" t="n">
        <v>0.45069</v>
      </c>
      <c r="E11335" s="1" t="n">
        <f aca="false">LN(D11335)</f>
        <v>-0.796975537239695</v>
      </c>
    </row>
    <row r="11336" customFormat="false" ht="15.75" hidden="false" customHeight="false" outlineLevel="0" collapsed="false">
      <c r="A11336" s="1" t="s">
        <v>1497</v>
      </c>
      <c r="B11336" s="1" t="n">
        <v>194.38</v>
      </c>
      <c r="C11336" s="1" t="n">
        <f aca="false">1/B11336</f>
        <v>0.00514456219775697</v>
      </c>
      <c r="D11336" s="1" t="n">
        <v>0.43832</v>
      </c>
      <c r="E11336" s="1" t="n">
        <f aca="false">LN(D11336)</f>
        <v>-0.824806041751977</v>
      </c>
    </row>
    <row r="11337" customFormat="false" ht="15.75" hidden="false" customHeight="false" outlineLevel="0" collapsed="false">
      <c r="A11337" s="1" t="s">
        <v>1497</v>
      </c>
      <c r="B11337" s="1" t="n">
        <v>195.33</v>
      </c>
      <c r="C11337" s="1" t="n">
        <f aca="false">1/B11337</f>
        <v>0.0051195412891005</v>
      </c>
      <c r="D11337" s="1" t="n">
        <v>0.42667</v>
      </c>
      <c r="E11337" s="1" t="n">
        <f aca="false">LN(D11337)</f>
        <v>-0.851744398267101</v>
      </c>
    </row>
    <row r="11338" customFormat="false" ht="15.75" hidden="false" customHeight="false" outlineLevel="0" collapsed="false">
      <c r="A11338" s="1" t="s">
        <v>1497</v>
      </c>
      <c r="B11338" s="1" t="n">
        <v>196.28</v>
      </c>
      <c r="C11338" s="1" t="n">
        <f aca="false">1/B11338</f>
        <v>0.00509476258406358</v>
      </c>
      <c r="D11338" s="1" t="n">
        <v>0.4157</v>
      </c>
      <c r="E11338" s="1" t="n">
        <f aca="false">LN(D11338)</f>
        <v>-0.877791432723545</v>
      </c>
    </row>
    <row r="11339" customFormat="false" ht="15.75" hidden="false" customHeight="false" outlineLevel="0" collapsed="false">
      <c r="A11339" s="1" t="s">
        <v>1497</v>
      </c>
      <c r="B11339" s="1" t="n">
        <v>197.24</v>
      </c>
      <c r="C11339" s="1" t="n">
        <f aca="false">1/B11339</f>
        <v>0.00506996552423443</v>
      </c>
      <c r="D11339" s="1" t="n">
        <v>0.40535</v>
      </c>
      <c r="E11339" s="1" t="n">
        <f aca="false">LN(D11339)</f>
        <v>-0.903004387548421</v>
      </c>
    </row>
    <row r="11340" customFormat="false" ht="15.75" hidden="false" customHeight="false" outlineLevel="0" collapsed="false">
      <c r="A11340" s="1" t="s">
        <v>1497</v>
      </c>
      <c r="B11340" s="1" t="n">
        <v>198.19</v>
      </c>
      <c r="C11340" s="1" t="n">
        <f aca="false">1/B11340</f>
        <v>0.00504566325243453</v>
      </c>
      <c r="D11340" s="1" t="n">
        <v>0.39557</v>
      </c>
      <c r="E11340" s="1" t="n">
        <f aca="false">LN(D11340)</f>
        <v>-0.927427516285072</v>
      </c>
    </row>
    <row r="11341" customFormat="false" ht="15.75" hidden="false" customHeight="false" outlineLevel="0" collapsed="false">
      <c r="A11341" s="1" t="s">
        <v>1497</v>
      </c>
      <c r="B11341" s="1" t="n">
        <v>199.15</v>
      </c>
      <c r="C11341" s="1" t="n">
        <f aca="false">1/B11341</f>
        <v>0.00502134069796636</v>
      </c>
      <c r="D11341" s="1" t="n">
        <v>0.38633</v>
      </c>
      <c r="E11341" s="1" t="n">
        <f aca="false">LN(D11341)</f>
        <v>-0.951063352475414</v>
      </c>
    </row>
    <row r="11342" customFormat="false" ht="15.75" hidden="false" customHeight="false" outlineLevel="0" collapsed="false">
      <c r="A11342" s="1" t="s">
        <v>1497</v>
      </c>
      <c r="B11342" s="1" t="n">
        <v>200.1</v>
      </c>
      <c r="C11342" s="1" t="n">
        <f aca="false">1/B11342</f>
        <v>0.00499750124937531</v>
      </c>
      <c r="D11342" s="1" t="n">
        <v>0.37759</v>
      </c>
      <c r="E11342" s="1" t="n">
        <f aca="false">LN(D11342)</f>
        <v>-0.973946328112321</v>
      </c>
    </row>
    <row r="11343" customFormat="false" ht="15.75" hidden="false" customHeight="false" outlineLevel="0" collapsed="false">
      <c r="A11343" s="1" t="s">
        <v>1497</v>
      </c>
      <c r="B11343" s="1" t="n">
        <v>201.05</v>
      </c>
      <c r="C11343" s="1" t="n">
        <f aca="false">1/B11343</f>
        <v>0.00497388709276299</v>
      </c>
      <c r="D11343" s="1" t="n">
        <v>0.36931</v>
      </c>
      <c r="E11343" s="1" t="n">
        <f aca="false">LN(D11343)</f>
        <v>-0.996118879234068</v>
      </c>
    </row>
    <row r="11344" customFormat="false" ht="15.75" hidden="false" customHeight="false" outlineLevel="0" collapsed="false">
      <c r="A11344" s="1" t="s">
        <v>1497</v>
      </c>
      <c r="B11344" s="1" t="n">
        <v>202.01</v>
      </c>
      <c r="C11344" s="1" t="n">
        <f aca="false">1/B11344</f>
        <v>0.00495024998762437</v>
      </c>
      <c r="D11344" s="1" t="n">
        <v>0.36146</v>
      </c>
      <c r="E11344" s="1" t="n">
        <f aca="false">LN(D11344)</f>
        <v>-1.01760389357464</v>
      </c>
    </row>
    <row r="11345" customFormat="false" ht="15.75" hidden="false" customHeight="false" outlineLevel="0" collapsed="false">
      <c r="A11345" s="1" t="s">
        <v>1497</v>
      </c>
      <c r="B11345" s="1" t="n">
        <v>202.96</v>
      </c>
      <c r="C11345" s="1" t="n">
        <f aca="false">1/B11345</f>
        <v>0.00492707922743398</v>
      </c>
      <c r="D11345" s="1" t="n">
        <v>0.35401</v>
      </c>
      <c r="E11345" s="1" t="n">
        <f aca="false">LN(D11345)</f>
        <v>-1.03843011765978</v>
      </c>
    </row>
    <row r="11346" customFormat="false" ht="15.75" hidden="false" customHeight="false" outlineLevel="0" collapsed="false">
      <c r="A11346" s="1" t="s">
        <v>1497</v>
      </c>
      <c r="B11346" s="1" t="n">
        <v>203.92</v>
      </c>
      <c r="C11346" s="1" t="n">
        <f aca="false">1/B11346</f>
        <v>0.00490388387602982</v>
      </c>
      <c r="D11346" s="1" t="n">
        <v>0.34694</v>
      </c>
      <c r="E11346" s="1" t="n">
        <f aca="false">LN(D11346)</f>
        <v>-1.05860342464887</v>
      </c>
    </row>
    <row r="11347" customFormat="false" ht="15.75" hidden="false" customHeight="false" outlineLevel="0" collapsed="false">
      <c r="A11347" s="1" t="s">
        <v>1497</v>
      </c>
      <c r="B11347" s="1" t="n">
        <v>204.87</v>
      </c>
      <c r="C11347" s="1" t="n">
        <f aca="false">1/B11347</f>
        <v>0.00488114414018646</v>
      </c>
      <c r="D11347" s="1" t="n">
        <v>0.34021</v>
      </c>
      <c r="E11347" s="1" t="n">
        <f aca="false">LN(D11347)</f>
        <v>-1.07819220497855</v>
      </c>
    </row>
    <row r="11348" customFormat="false" ht="15.75" hidden="false" customHeight="false" outlineLevel="0" collapsed="false">
      <c r="A11348" s="1" t="s">
        <v>1497</v>
      </c>
      <c r="B11348" s="1" t="n">
        <v>205.82</v>
      </c>
      <c r="C11348" s="1" t="n">
        <f aca="false">1/B11348</f>
        <v>0.00485861432319503</v>
      </c>
      <c r="D11348" s="1" t="n">
        <v>0.33381</v>
      </c>
      <c r="E11348" s="1" t="n">
        <f aca="false">LN(D11348)</f>
        <v>-1.09718331014442</v>
      </c>
    </row>
    <row r="11349" customFormat="false" ht="15.75" hidden="false" customHeight="false" outlineLevel="0" collapsed="false">
      <c r="A11349" s="1" t="s">
        <v>1497</v>
      </c>
      <c r="B11349" s="1" t="n">
        <v>206.78</v>
      </c>
      <c r="C11349" s="1" t="n">
        <f aca="false">1/B11349</f>
        <v>0.00483605764580714</v>
      </c>
      <c r="D11349" s="1" t="n">
        <v>0.3277</v>
      </c>
      <c r="E11349" s="1" t="n">
        <f aca="false">LN(D11349)</f>
        <v>-1.11565672327737</v>
      </c>
    </row>
    <row r="11350" customFormat="false" ht="15.75" hidden="false" customHeight="false" outlineLevel="0" collapsed="false">
      <c r="A11350" s="1" t="s">
        <v>1497</v>
      </c>
      <c r="B11350" s="1" t="n">
        <v>207.73</v>
      </c>
      <c r="C11350" s="1" t="n">
        <f aca="false">1/B11350</f>
        <v>0.00481394117363886</v>
      </c>
      <c r="D11350" s="1" t="n">
        <v>0.32188</v>
      </c>
      <c r="E11350" s="1" t="n">
        <f aca="false">LN(D11350)</f>
        <v>-1.1335764737042</v>
      </c>
    </row>
    <row r="11351" customFormat="false" ht="15.75" hidden="false" customHeight="false" outlineLevel="0" collapsed="false">
      <c r="A11351" s="1" t="s">
        <v>1497</v>
      </c>
      <c r="B11351" s="1" t="n">
        <v>208.68</v>
      </c>
      <c r="C11351" s="1" t="n">
        <f aca="false">1/B11351</f>
        <v>0.00479202606862181</v>
      </c>
      <c r="D11351" s="1" t="n">
        <v>0.31633</v>
      </c>
      <c r="E11351" s="1" t="n">
        <f aca="false">LN(D11351)</f>
        <v>-1.15096930650364</v>
      </c>
    </row>
    <row r="11352" customFormat="false" ht="15.75" hidden="false" customHeight="false" outlineLevel="0" collapsed="false">
      <c r="A11352" s="1" t="s">
        <v>1497</v>
      </c>
      <c r="B11352" s="1" t="n">
        <v>209.64</v>
      </c>
      <c r="C11352" s="1" t="n">
        <f aca="false">1/B11352</f>
        <v>0.00477008204541118</v>
      </c>
      <c r="D11352" s="1" t="n">
        <v>0.31101</v>
      </c>
      <c r="E11352" s="1" t="n">
        <f aca="false">LN(D11352)</f>
        <v>-1.16793021297901</v>
      </c>
    </row>
    <row r="11353" customFormat="false" ht="15.75" hidden="false" customHeight="false" outlineLevel="0" collapsed="false">
      <c r="A11353" s="1" t="s">
        <v>1497</v>
      </c>
      <c r="B11353" s="1" t="n">
        <v>210.59</v>
      </c>
      <c r="C11353" s="1" t="n">
        <f aca="false">1/B11353</f>
        <v>0.00474856355952324</v>
      </c>
      <c r="D11353" s="1" t="n">
        <v>0.30593</v>
      </c>
      <c r="E11353" s="1" t="n">
        <f aca="false">LN(D11353)</f>
        <v>-1.18439896136883</v>
      </c>
    </row>
    <row r="11354" customFormat="false" ht="15.75" hidden="false" customHeight="false" outlineLevel="0" collapsed="false">
      <c r="A11354" s="1" t="s">
        <v>1497</v>
      </c>
      <c r="B11354" s="1" t="n">
        <v>211.55</v>
      </c>
      <c r="C11354" s="1" t="n">
        <f aca="false">1/B11354</f>
        <v>0.0047270148900969</v>
      </c>
      <c r="D11354" s="1" t="n">
        <v>0.30106</v>
      </c>
      <c r="E11354" s="1" t="n">
        <f aca="false">LN(D11354)</f>
        <v>-1.20044569854978</v>
      </c>
    </row>
    <row r="11355" customFormat="false" ht="15.75" hidden="false" customHeight="false" outlineLevel="0" collapsed="false">
      <c r="A11355" s="1" t="s">
        <v>1497</v>
      </c>
      <c r="B11355" s="1" t="n">
        <v>212.5</v>
      </c>
      <c r="C11355" s="1" t="n">
        <f aca="false">1/B11355</f>
        <v>0.00470588235294118</v>
      </c>
      <c r="D11355" s="1" t="n">
        <v>0.2964</v>
      </c>
      <c r="E11355" s="1" t="n">
        <f aca="false">LN(D11355)</f>
        <v>-1.21604538556021</v>
      </c>
    </row>
    <row r="11356" customFormat="false" ht="15.75" hidden="false" customHeight="false" outlineLevel="0" collapsed="false">
      <c r="A11356" s="1" t="s">
        <v>1497</v>
      </c>
      <c r="B11356" s="1" t="n">
        <v>212.6</v>
      </c>
      <c r="C11356" s="1" t="n">
        <f aca="false">1/B11356</f>
        <v>0.00470366886171214</v>
      </c>
      <c r="D11356" s="1" t="n">
        <v>0.29594</v>
      </c>
      <c r="E11356" s="1" t="n">
        <f aca="false">LN(D11356)</f>
        <v>-1.21759854790775</v>
      </c>
    </row>
    <row r="11357" customFormat="false" ht="15.75" hidden="false" customHeight="false" outlineLevel="0" collapsed="false">
      <c r="A11357" s="1" t="s">
        <v>1498</v>
      </c>
      <c r="B11357" s="1" t="n">
        <v>223.56</v>
      </c>
      <c r="C11357" s="1" t="n">
        <f aca="false">1/B11357</f>
        <v>0.00447307210592235</v>
      </c>
      <c r="D11357" s="1" t="n">
        <v>0.412</v>
      </c>
      <c r="E11357" s="1" t="n">
        <f aca="false">LN(D11357)</f>
        <v>-0.886731929632611</v>
      </c>
    </row>
    <row r="11358" customFormat="false" ht="15.75" hidden="false" customHeight="false" outlineLevel="0" collapsed="false">
      <c r="A11358" s="1" t="s">
        <v>1498</v>
      </c>
      <c r="B11358" s="1" t="n">
        <v>224.22</v>
      </c>
      <c r="C11358" s="1" t="n">
        <f aca="false">1/B11358</f>
        <v>0.00445990545000446</v>
      </c>
      <c r="D11358" s="1" t="n">
        <v>0.40801</v>
      </c>
      <c r="E11358" s="1" t="n">
        <f aca="false">LN(D11358)</f>
        <v>-0.896463595074414</v>
      </c>
    </row>
    <row r="11359" customFormat="false" ht="15.75" hidden="false" customHeight="false" outlineLevel="0" collapsed="false">
      <c r="A11359" s="1" t="s">
        <v>1498</v>
      </c>
      <c r="B11359" s="1" t="n">
        <v>224.89</v>
      </c>
      <c r="C11359" s="1" t="n">
        <f aca="false">1/B11359</f>
        <v>0.0044466183467473</v>
      </c>
      <c r="D11359" s="1" t="n">
        <v>0.40403</v>
      </c>
      <c r="E11359" s="1" t="n">
        <f aca="false">LN(D11359)</f>
        <v>-0.906266146352191</v>
      </c>
    </row>
    <row r="11360" customFormat="false" ht="15.75" hidden="false" customHeight="false" outlineLevel="0" collapsed="false">
      <c r="A11360" s="1" t="s">
        <v>1498</v>
      </c>
      <c r="B11360" s="1" t="n">
        <v>225.56</v>
      </c>
      <c r="C11360" s="1" t="n">
        <f aca="false">1/B11360</f>
        <v>0.00443341017910977</v>
      </c>
      <c r="D11360" s="1" t="n">
        <v>0.40009</v>
      </c>
      <c r="E11360" s="1" t="n">
        <f aca="false">LN(D11360)</f>
        <v>-0.916065757182859</v>
      </c>
    </row>
    <row r="11361" customFormat="false" ht="15.75" hidden="false" customHeight="false" outlineLevel="0" collapsed="false">
      <c r="A11361" s="1" t="s">
        <v>1498</v>
      </c>
      <c r="B11361" s="1" t="n">
        <v>226.23</v>
      </c>
      <c r="C11361" s="1" t="n">
        <f aca="false">1/B11361</f>
        <v>0.00442028024576758</v>
      </c>
      <c r="D11361" s="1" t="n">
        <v>0.39617</v>
      </c>
      <c r="E11361" s="1" t="n">
        <f aca="false">LN(D11361)</f>
        <v>-0.92591186691821</v>
      </c>
    </row>
    <row r="11362" customFormat="false" ht="15.75" hidden="false" customHeight="false" outlineLevel="0" collapsed="false">
      <c r="A11362" s="1" t="s">
        <v>1498</v>
      </c>
      <c r="B11362" s="1" t="n">
        <v>226.9</v>
      </c>
      <c r="C11362" s="1" t="n">
        <f aca="false">1/B11362</f>
        <v>0.00440722785368004</v>
      </c>
      <c r="D11362" s="1" t="n">
        <v>0.39228</v>
      </c>
      <c r="E11362" s="1" t="n">
        <f aca="false">LN(D11362)</f>
        <v>-0.935779408458017</v>
      </c>
    </row>
    <row r="11363" customFormat="false" ht="15.75" hidden="false" customHeight="false" outlineLevel="0" collapsed="false">
      <c r="A11363" s="1" t="s">
        <v>1498</v>
      </c>
      <c r="B11363" s="1" t="n">
        <v>227.57</v>
      </c>
      <c r="C11363" s="1" t="n">
        <f aca="false">1/B11363</f>
        <v>0.0043942523179681</v>
      </c>
      <c r="D11363" s="1" t="n">
        <v>0.38841</v>
      </c>
      <c r="E11363" s="1" t="n">
        <f aca="false">LN(D11363)</f>
        <v>-0.945693796243472</v>
      </c>
    </row>
    <row r="11364" customFormat="false" ht="15.75" hidden="false" customHeight="false" outlineLevel="0" collapsed="false">
      <c r="A11364" s="1" t="s">
        <v>1498</v>
      </c>
      <c r="B11364" s="1" t="n">
        <v>228.24</v>
      </c>
      <c r="C11364" s="1" t="n">
        <f aca="false">1/B11364</f>
        <v>0.0043813529617946</v>
      </c>
      <c r="D11364" s="1" t="n">
        <v>0.38456</v>
      </c>
      <c r="E11364" s="1" t="n">
        <f aca="false">LN(D11364)</f>
        <v>-0.955655455396432</v>
      </c>
    </row>
    <row r="11365" customFormat="false" ht="15.75" hidden="false" customHeight="false" outlineLevel="0" collapsed="false">
      <c r="A11365" s="1" t="s">
        <v>1498</v>
      </c>
      <c r="B11365" s="1" t="n">
        <v>228.91</v>
      </c>
      <c r="C11365" s="1" t="n">
        <f aca="false">1/B11365</f>
        <v>0.00436852911624656</v>
      </c>
      <c r="D11365" s="1" t="n">
        <v>0.38074</v>
      </c>
      <c r="E11365" s="1" t="n">
        <f aca="false">LN(D11365)</f>
        <v>-0.965638551504494</v>
      </c>
    </row>
    <row r="11366" customFormat="false" ht="15.75" hidden="false" customHeight="false" outlineLevel="0" collapsed="false">
      <c r="A11366" s="1" t="s">
        <v>1498</v>
      </c>
      <c r="B11366" s="1" t="n">
        <v>229.58</v>
      </c>
      <c r="C11366" s="1" t="n">
        <f aca="false">1/B11366</f>
        <v>0.00435578012021953</v>
      </c>
      <c r="D11366" s="1" t="n">
        <v>0.37694</v>
      </c>
      <c r="E11366" s="1" t="n">
        <f aca="false">LN(D11366)</f>
        <v>-0.975669255393655</v>
      </c>
    </row>
    <row r="11367" customFormat="false" ht="15.75" hidden="false" customHeight="false" outlineLevel="0" collapsed="false">
      <c r="A11367" s="1" t="s">
        <v>1498</v>
      </c>
      <c r="B11367" s="1" t="n">
        <v>230.25</v>
      </c>
      <c r="C11367" s="1" t="n">
        <f aca="false">1/B11367</f>
        <v>0.00434310532030402</v>
      </c>
      <c r="D11367" s="1" t="n">
        <v>0.37316</v>
      </c>
      <c r="E11367" s="1" t="n">
        <f aca="false">LN(D11367)</f>
        <v>-0.985747996889377</v>
      </c>
    </row>
    <row r="11368" customFormat="false" ht="15.75" hidden="false" customHeight="false" outlineLevel="0" collapsed="false">
      <c r="A11368" s="1" t="s">
        <v>1498</v>
      </c>
      <c r="B11368" s="1" t="n">
        <v>230.91</v>
      </c>
      <c r="C11368" s="1" t="n">
        <f aca="false">1/B11368</f>
        <v>0.00433069161145035</v>
      </c>
      <c r="D11368" s="1" t="n">
        <v>0.36941</v>
      </c>
      <c r="E11368" s="1" t="n">
        <f aca="false">LN(D11368)</f>
        <v>-0.995848140657583</v>
      </c>
    </row>
    <row r="11369" customFormat="false" ht="15.75" hidden="false" customHeight="false" outlineLevel="0" collapsed="false">
      <c r="A11369" s="1" t="s">
        <v>1498</v>
      </c>
      <c r="B11369" s="1" t="n">
        <v>231.58</v>
      </c>
      <c r="C11369" s="1" t="n">
        <f aca="false">1/B11369</f>
        <v>0.00431816219017186</v>
      </c>
      <c r="D11369" s="1" t="n">
        <v>0.36568</v>
      </c>
      <c r="E11369" s="1" t="n">
        <f aca="false">LN(D11369)</f>
        <v>-1.00599664495865</v>
      </c>
    </row>
    <row r="11370" customFormat="false" ht="15.75" hidden="false" customHeight="false" outlineLevel="0" collapsed="false">
      <c r="A11370" s="1" t="s">
        <v>1498</v>
      </c>
      <c r="B11370" s="1" t="n">
        <v>232.25</v>
      </c>
      <c r="C11370" s="1" t="n">
        <f aca="false">1/B11370</f>
        <v>0.00430570505920344</v>
      </c>
      <c r="D11370" s="1" t="n">
        <v>0.36197</v>
      </c>
      <c r="E11370" s="1" t="n">
        <f aca="false">LN(D11370)</f>
        <v>-1.01619394351869</v>
      </c>
    </row>
    <row r="11371" customFormat="false" ht="15.75" hidden="false" customHeight="false" outlineLevel="0" collapsed="false">
      <c r="A11371" s="1" t="s">
        <v>1498</v>
      </c>
      <c r="B11371" s="1" t="n">
        <v>232.92</v>
      </c>
      <c r="C11371" s="1" t="n">
        <f aca="false">1/B11371</f>
        <v>0.00429331959471063</v>
      </c>
      <c r="D11371" s="1" t="n">
        <v>0.35828</v>
      </c>
      <c r="E11371" s="1" t="n">
        <f aca="false">LN(D11371)</f>
        <v>-1.02644047537514</v>
      </c>
    </row>
    <row r="11372" customFormat="false" ht="15.75" hidden="false" customHeight="false" outlineLevel="0" collapsed="false">
      <c r="A11372" s="1" t="s">
        <v>1498</v>
      </c>
      <c r="B11372" s="1" t="n">
        <v>233.59</v>
      </c>
      <c r="C11372" s="1" t="n">
        <f aca="false">1/B11372</f>
        <v>0.00428100518001627</v>
      </c>
      <c r="D11372" s="1" t="n">
        <v>0.35462</v>
      </c>
      <c r="E11372" s="1" t="n">
        <f aca="false">LN(D11372)</f>
        <v>-1.03670848535329</v>
      </c>
    </row>
    <row r="11373" customFormat="false" ht="15.75" hidden="false" customHeight="false" outlineLevel="0" collapsed="false">
      <c r="A11373" s="1" t="s">
        <v>1498</v>
      </c>
      <c r="B11373" s="1" t="n">
        <v>234.26</v>
      </c>
      <c r="C11373" s="1" t="n">
        <f aca="false">1/B11373</f>
        <v>0.00426876120549817</v>
      </c>
      <c r="D11373" s="1" t="n">
        <v>0.35098</v>
      </c>
      <c r="E11373" s="1" t="n">
        <f aca="false">LN(D11373)</f>
        <v>-1.04702603719668</v>
      </c>
    </row>
    <row r="11374" customFormat="false" ht="15.75" hidden="false" customHeight="false" outlineLevel="0" collapsed="false">
      <c r="A11374" s="1" t="s">
        <v>1498</v>
      </c>
      <c r="B11374" s="1" t="n">
        <v>234.93</v>
      </c>
      <c r="C11374" s="1" t="n">
        <f aca="false">1/B11374</f>
        <v>0.00425658706848849</v>
      </c>
      <c r="D11374" s="1" t="n">
        <v>0.34736</v>
      </c>
      <c r="E11374" s="1" t="n">
        <f aca="false">LN(D11374)</f>
        <v>-1.05739357285216</v>
      </c>
    </row>
    <row r="11375" customFormat="false" ht="15.75" hidden="false" customHeight="false" outlineLevel="0" collapsed="false">
      <c r="A11375" s="1" t="s">
        <v>1498</v>
      </c>
      <c r="B11375" s="1" t="n">
        <v>235.6</v>
      </c>
      <c r="C11375" s="1" t="n">
        <f aca="false">1/B11375</f>
        <v>0.00424448217317487</v>
      </c>
      <c r="D11375" s="1" t="n">
        <v>0.34376</v>
      </c>
      <c r="E11375" s="1" t="n">
        <f aca="false">LN(D11375)</f>
        <v>-1.0678115395154</v>
      </c>
    </row>
    <row r="11376" customFormat="false" ht="15.75" hidden="false" customHeight="false" outlineLevel="0" collapsed="false">
      <c r="A11376" s="1" t="s">
        <v>1498</v>
      </c>
      <c r="B11376" s="1" t="n">
        <v>236.27</v>
      </c>
      <c r="C11376" s="1" t="n">
        <f aca="false">1/B11376</f>
        <v>0.00423244593050324</v>
      </c>
      <c r="D11376" s="1" t="n">
        <v>0.34019</v>
      </c>
      <c r="E11376" s="1" t="n">
        <f aca="false">LN(D11376)</f>
        <v>-1.07825099392624</v>
      </c>
    </row>
    <row r="11377" customFormat="false" ht="15.75" hidden="false" customHeight="false" outlineLevel="0" collapsed="false">
      <c r="A11377" s="1" t="s">
        <v>1498</v>
      </c>
      <c r="B11377" s="1" t="n">
        <v>236.94</v>
      </c>
      <c r="C11377" s="1" t="n">
        <f aca="false">1/B11377</f>
        <v>0.00422047775808222</v>
      </c>
      <c r="D11377" s="1" t="n">
        <v>0.33664</v>
      </c>
      <c r="E11377" s="1" t="n">
        <f aca="false">LN(D11377)</f>
        <v>-1.08874116887285</v>
      </c>
    </row>
    <row r="11378" customFormat="false" ht="15.75" hidden="false" customHeight="false" outlineLevel="0" collapsed="false">
      <c r="A11378" s="1" t="s">
        <v>1498</v>
      </c>
      <c r="B11378" s="1" t="n">
        <v>237.61</v>
      </c>
      <c r="C11378" s="1" t="n">
        <f aca="false">1/B11378</f>
        <v>0.00420857708008922</v>
      </c>
      <c r="D11378" s="1" t="n">
        <v>0.33311</v>
      </c>
      <c r="E11378" s="1" t="n">
        <f aca="false">LN(D11378)</f>
        <v>-1.09928251321841</v>
      </c>
    </row>
    <row r="11379" customFormat="false" ht="15.75" hidden="false" customHeight="false" outlineLevel="0" collapsed="false">
      <c r="A11379" s="1" t="s">
        <v>1498</v>
      </c>
      <c r="B11379" s="1" t="n">
        <v>238.27</v>
      </c>
      <c r="C11379" s="1" t="n">
        <f aca="false">1/B11379</f>
        <v>0.00419691946111554</v>
      </c>
      <c r="D11379" s="1" t="n">
        <v>0.32961</v>
      </c>
      <c r="E11379" s="1" t="n">
        <f aca="false">LN(D11379)</f>
        <v>-1.10984514160124</v>
      </c>
    </row>
    <row r="11380" customFormat="false" ht="15.75" hidden="false" customHeight="false" outlineLevel="0" collapsed="false">
      <c r="A11380" s="1" t="s">
        <v>1498</v>
      </c>
      <c r="B11380" s="1" t="n">
        <v>238.94</v>
      </c>
      <c r="C11380" s="1" t="n">
        <f aca="false">1/B11380</f>
        <v>0.00418515108395413</v>
      </c>
      <c r="D11380" s="1" t="n">
        <v>0.32613</v>
      </c>
      <c r="E11380" s="1" t="n">
        <f aca="false">LN(D11380)</f>
        <v>-1.12045920409812</v>
      </c>
    </row>
    <row r="11381" customFormat="false" ht="15.75" hidden="false" customHeight="false" outlineLevel="0" collapsed="false">
      <c r="A11381" s="1" t="s">
        <v>1498</v>
      </c>
      <c r="B11381" s="1" t="n">
        <v>239.61</v>
      </c>
      <c r="C11381" s="1" t="n">
        <f aca="false">1/B11381</f>
        <v>0.0041734485205125</v>
      </c>
      <c r="D11381" s="1" t="n">
        <v>0.32267</v>
      </c>
      <c r="E11381" s="1" t="n">
        <f aca="false">LN(D11381)</f>
        <v>-1.13112514984852</v>
      </c>
    </row>
    <row r="11382" customFormat="false" ht="15.75" hidden="false" customHeight="false" outlineLevel="0" collapsed="false">
      <c r="A11382" s="1" t="s">
        <v>1498</v>
      </c>
      <c r="B11382" s="1" t="n">
        <v>240.28</v>
      </c>
      <c r="C11382" s="1" t="n">
        <f aca="false">1/B11382</f>
        <v>0.00416181122024305</v>
      </c>
      <c r="D11382" s="1" t="n">
        <v>0.31923</v>
      </c>
      <c r="E11382" s="1" t="n">
        <f aca="false">LN(D11382)</f>
        <v>-1.14184343286039</v>
      </c>
    </row>
    <row r="11383" customFormat="false" ht="15.75" hidden="false" customHeight="false" outlineLevel="0" collapsed="false">
      <c r="A11383" s="1" t="s">
        <v>1498</v>
      </c>
      <c r="B11383" s="1" t="n">
        <v>240.95</v>
      </c>
      <c r="C11383" s="1" t="n">
        <f aca="false">1/B11383</f>
        <v>0.00415023863872173</v>
      </c>
      <c r="D11383" s="1" t="n">
        <v>0.31582</v>
      </c>
      <c r="E11383" s="1" t="n">
        <f aca="false">LN(D11383)</f>
        <v>-1.15258284794364</v>
      </c>
    </row>
    <row r="11384" customFormat="false" ht="15.75" hidden="false" customHeight="false" outlineLevel="0" collapsed="false">
      <c r="A11384" s="1" t="s">
        <v>1498</v>
      </c>
      <c r="B11384" s="1" t="n">
        <v>241.62</v>
      </c>
      <c r="C11384" s="1" t="n">
        <f aca="false">1/B11384</f>
        <v>0.00413873023756312</v>
      </c>
      <c r="D11384" s="1" t="n">
        <v>0.31243</v>
      </c>
      <c r="E11384" s="1" t="n">
        <f aca="false">LN(D11384)</f>
        <v>-1.16337483489743</v>
      </c>
    </row>
    <row r="11385" customFormat="false" ht="15.75" hidden="false" customHeight="false" outlineLevel="0" collapsed="false">
      <c r="A11385" s="1" t="s">
        <v>1498</v>
      </c>
      <c r="B11385" s="1" t="n">
        <v>242.29</v>
      </c>
      <c r="C11385" s="1" t="n">
        <f aca="false">1/B11385</f>
        <v>0.00412728548433695</v>
      </c>
      <c r="D11385" s="1" t="n">
        <v>0.30906</v>
      </c>
      <c r="E11385" s="1" t="n">
        <f aca="false">LN(D11385)</f>
        <v>-1.17421984617659</v>
      </c>
    </row>
    <row r="11386" customFormat="false" ht="15.75" hidden="false" customHeight="false" outlineLevel="0" collapsed="false">
      <c r="A11386" s="1" t="s">
        <v>1498</v>
      </c>
      <c r="B11386" s="1" t="n">
        <v>242.96</v>
      </c>
      <c r="C11386" s="1" t="n">
        <f aca="false">1/B11386</f>
        <v>0.00411590385248601</v>
      </c>
      <c r="D11386" s="1" t="n">
        <v>0.30572</v>
      </c>
      <c r="E11386" s="1" t="n">
        <f aca="false">LN(D11386)</f>
        <v>-1.18508562860745</v>
      </c>
    </row>
    <row r="11387" customFormat="false" ht="15.75" hidden="false" customHeight="false" outlineLevel="0" collapsed="false">
      <c r="A11387" s="1" t="s">
        <v>1498</v>
      </c>
      <c r="B11387" s="1" t="n">
        <v>243.59</v>
      </c>
      <c r="C11387" s="1" t="n">
        <f aca="false">1/B11387</f>
        <v>0.00410525883656965</v>
      </c>
      <c r="D11387" s="1" t="n">
        <v>0.30259</v>
      </c>
      <c r="E11387" s="1" t="n">
        <f aca="false">LN(D11387)</f>
        <v>-1.19537652510058</v>
      </c>
    </row>
    <row r="11388" customFormat="false" ht="15.75" hidden="false" customHeight="false" outlineLevel="0" collapsed="false">
      <c r="A11388" s="1" t="s">
        <v>1499</v>
      </c>
      <c r="B11388" s="1" t="n">
        <v>134.3</v>
      </c>
      <c r="C11388" s="1" t="n">
        <f aca="false">1/B11388</f>
        <v>0.00744601638123604</v>
      </c>
      <c r="D11388" s="1" t="n">
        <v>1.3583</v>
      </c>
      <c r="E11388" s="1" t="n">
        <f aca="false">LN(D11388)</f>
        <v>0.306233917846308</v>
      </c>
    </row>
    <row r="11389" customFormat="false" ht="15.75" hidden="false" customHeight="false" outlineLevel="0" collapsed="false">
      <c r="A11389" s="1" t="s">
        <v>1499</v>
      </c>
      <c r="B11389" s="1" t="n">
        <v>135.16</v>
      </c>
      <c r="C11389" s="1" t="n">
        <f aca="false">1/B11389</f>
        <v>0.00739863865048831</v>
      </c>
      <c r="D11389" s="1" t="n">
        <v>1.328</v>
      </c>
      <c r="E11389" s="1" t="n">
        <f aca="false">LN(D11389)</f>
        <v>0.283674051054242</v>
      </c>
    </row>
    <row r="11390" customFormat="false" ht="15.75" hidden="false" customHeight="false" outlineLevel="0" collapsed="false">
      <c r="A11390" s="1" t="s">
        <v>1499</v>
      </c>
      <c r="B11390" s="1" t="n">
        <v>136.02</v>
      </c>
      <c r="C11390" s="1" t="n">
        <f aca="false">1/B11390</f>
        <v>0.00735186002058521</v>
      </c>
      <c r="D11390" s="1" t="n">
        <v>1.2988</v>
      </c>
      <c r="E11390" s="1" t="n">
        <f aca="false">LN(D11390)</f>
        <v>0.261440761246554</v>
      </c>
    </row>
    <row r="11391" customFormat="false" ht="15.75" hidden="false" customHeight="false" outlineLevel="0" collapsed="false">
      <c r="A11391" s="1" t="s">
        <v>1499</v>
      </c>
      <c r="B11391" s="1" t="n">
        <v>136.88</v>
      </c>
      <c r="C11391" s="1" t="n">
        <f aca="false">1/B11391</f>
        <v>0.00730566919929866</v>
      </c>
      <c r="D11391" s="1" t="n">
        <v>1.2706</v>
      </c>
      <c r="E11391" s="1" t="n">
        <f aca="false">LN(D11391)</f>
        <v>0.239489229850296</v>
      </c>
    </row>
    <row r="11392" customFormat="false" ht="15.75" hidden="false" customHeight="false" outlineLevel="0" collapsed="false">
      <c r="A11392" s="1" t="s">
        <v>1499</v>
      </c>
      <c r="B11392" s="1" t="n">
        <v>137.74</v>
      </c>
      <c r="C11392" s="1" t="n">
        <f aca="false">1/B11392</f>
        <v>0.00726005517641934</v>
      </c>
      <c r="D11392" s="1" t="n">
        <v>1.2435</v>
      </c>
      <c r="E11392" s="1" t="n">
        <f aca="false">LN(D11392)</f>
        <v>0.217929984261322</v>
      </c>
    </row>
    <row r="11393" customFormat="false" ht="15.75" hidden="false" customHeight="false" outlineLevel="0" collapsed="false">
      <c r="A11393" s="1" t="s">
        <v>1499</v>
      </c>
      <c r="B11393" s="1" t="n">
        <v>138.6</v>
      </c>
      <c r="C11393" s="1" t="n">
        <f aca="false">1/B11393</f>
        <v>0.00721500721500721</v>
      </c>
      <c r="D11393" s="1" t="n">
        <v>1.2173</v>
      </c>
      <c r="E11393" s="1" t="n">
        <f aca="false">LN(D11393)</f>
        <v>0.196635291433414</v>
      </c>
    </row>
    <row r="11394" customFormat="false" ht="15.75" hidden="false" customHeight="false" outlineLevel="0" collapsed="false">
      <c r="A11394" s="1" t="s">
        <v>1499</v>
      </c>
      <c r="B11394" s="1" t="n">
        <v>139.46</v>
      </c>
      <c r="C11394" s="1" t="n">
        <f aca="false">1/B11394</f>
        <v>0.00717051484296572</v>
      </c>
      <c r="D11394" s="1" t="n">
        <v>1.1921</v>
      </c>
      <c r="E11394" s="1" t="n">
        <f aca="false">LN(D11394)</f>
        <v>0.175716457741819</v>
      </c>
    </row>
    <row r="11395" customFormat="false" ht="15.75" hidden="false" customHeight="false" outlineLevel="0" collapsed="false">
      <c r="A11395" s="1" t="s">
        <v>1499</v>
      </c>
      <c r="B11395" s="1" t="n">
        <v>140.32</v>
      </c>
      <c r="C11395" s="1" t="n">
        <f aca="false">1/B11395</f>
        <v>0.00712656784492588</v>
      </c>
      <c r="D11395" s="1" t="n">
        <v>1.1677</v>
      </c>
      <c r="E11395" s="1" t="n">
        <f aca="false">LN(D11395)</f>
        <v>0.155036002099532</v>
      </c>
    </row>
    <row r="11396" customFormat="false" ht="15.75" hidden="false" customHeight="false" outlineLevel="0" collapsed="false">
      <c r="A11396" s="1" t="s">
        <v>1499</v>
      </c>
      <c r="B11396" s="1" t="n">
        <v>141.18</v>
      </c>
      <c r="C11396" s="1" t="n">
        <f aca="false">1/B11396</f>
        <v>0.00708315625442697</v>
      </c>
      <c r="D11396" s="1" t="n">
        <v>1.1442</v>
      </c>
      <c r="E11396" s="1" t="n">
        <f aca="false">LN(D11396)</f>
        <v>0.134705702852291</v>
      </c>
    </row>
    <row r="11397" customFormat="false" ht="15.75" hidden="false" customHeight="false" outlineLevel="0" collapsed="false">
      <c r="A11397" s="1" t="s">
        <v>1499</v>
      </c>
      <c r="B11397" s="1" t="n">
        <v>142.04</v>
      </c>
      <c r="C11397" s="1" t="n">
        <f aca="false">1/B11397</f>
        <v>0.0070402703463813</v>
      </c>
      <c r="D11397" s="1" t="n">
        <v>1.1215</v>
      </c>
      <c r="E11397" s="1" t="n">
        <f aca="false">LN(D11397)</f>
        <v>0.114667074978126</v>
      </c>
    </row>
    <row r="11398" customFormat="false" ht="15.75" hidden="false" customHeight="false" outlineLevel="0" collapsed="false">
      <c r="A11398" s="1" t="s">
        <v>1499</v>
      </c>
      <c r="B11398" s="1" t="n">
        <v>142.89</v>
      </c>
      <c r="C11398" s="1" t="n">
        <f aca="false">1/B11398</f>
        <v>0.00699839037021485</v>
      </c>
      <c r="D11398" s="1" t="n">
        <v>1.0995</v>
      </c>
      <c r="E11398" s="1" t="n">
        <f aca="false">LN(D11398)</f>
        <v>0.0948555310126788</v>
      </c>
    </row>
    <row r="11399" customFormat="false" ht="15.75" hidden="false" customHeight="false" outlineLevel="0" collapsed="false">
      <c r="A11399" s="1" t="s">
        <v>1499</v>
      </c>
      <c r="B11399" s="1" t="n">
        <v>143.75</v>
      </c>
      <c r="C11399" s="1" t="n">
        <f aca="false">1/B11399</f>
        <v>0.00695652173913043</v>
      </c>
      <c r="D11399" s="1" t="n">
        <v>1.0783</v>
      </c>
      <c r="E11399" s="1" t="n">
        <f aca="false">LN(D11399)</f>
        <v>0.0753857269058897</v>
      </c>
    </row>
    <row r="11400" customFormat="false" ht="15.75" hidden="false" customHeight="false" outlineLevel="0" collapsed="false">
      <c r="A11400" s="1" t="s">
        <v>1499</v>
      </c>
      <c r="B11400" s="1" t="n">
        <v>144.61</v>
      </c>
      <c r="C11400" s="1" t="n">
        <f aca="false">1/B11400</f>
        <v>0.00691515109605145</v>
      </c>
      <c r="D11400" s="1" t="n">
        <v>1.0577</v>
      </c>
      <c r="E11400" s="1" t="n">
        <f aca="false">LN(D11400)</f>
        <v>0.0560967393518702</v>
      </c>
    </row>
    <row r="11401" customFormat="false" ht="15.75" hidden="false" customHeight="false" outlineLevel="0" collapsed="false">
      <c r="A11401" s="1" t="s">
        <v>1499</v>
      </c>
      <c r="B11401" s="1" t="n">
        <v>145.47</v>
      </c>
      <c r="C11401" s="1" t="n">
        <f aca="false">1/B11401</f>
        <v>0.00687426960885406</v>
      </c>
      <c r="D11401" s="1" t="n">
        <v>1.0378</v>
      </c>
      <c r="E11401" s="1" t="n">
        <f aca="false">LN(D11401)</f>
        <v>0.0371030879515023</v>
      </c>
    </row>
    <row r="11402" customFormat="false" ht="15.75" hidden="false" customHeight="false" outlineLevel="0" collapsed="false">
      <c r="A11402" s="1" t="s">
        <v>1499</v>
      </c>
      <c r="B11402" s="1" t="n">
        <v>146.33</v>
      </c>
      <c r="C11402" s="1" t="n">
        <f aca="false">1/B11402</f>
        <v>0.00683386865304449</v>
      </c>
      <c r="D11402" s="1" t="n">
        <v>1.0185</v>
      </c>
      <c r="E11402" s="1" t="n">
        <f aca="false">LN(D11402)</f>
        <v>0.0183309566847234</v>
      </c>
    </row>
    <row r="11403" customFormat="false" ht="15.75" hidden="false" customHeight="false" outlineLevel="0" collapsed="false">
      <c r="A11403" s="1" t="s">
        <v>1499</v>
      </c>
      <c r="B11403" s="1" t="n">
        <v>147.19</v>
      </c>
      <c r="C11403" s="1" t="n">
        <f aca="false">1/B11403</f>
        <v>0.00679393980569332</v>
      </c>
      <c r="D11403" s="1" t="n">
        <v>0.99984</v>
      </c>
      <c r="E11403" s="1" t="n">
        <f aca="false">LN(D11403)</f>
        <v>-0.000160012801365546</v>
      </c>
    </row>
    <row r="11404" customFormat="false" ht="15.75" hidden="false" customHeight="false" outlineLevel="0" collapsed="false">
      <c r="A11404" s="1" t="s">
        <v>1499</v>
      </c>
      <c r="B11404" s="1" t="n">
        <v>148.05</v>
      </c>
      <c r="C11404" s="1" t="n">
        <f aca="false">1/B11404</f>
        <v>0.00675447483958122</v>
      </c>
      <c r="D11404" s="1" t="n">
        <v>0.98174</v>
      </c>
      <c r="E11404" s="1" t="n">
        <f aca="false">LN(D11404)</f>
        <v>-0.0184287714684335</v>
      </c>
    </row>
    <row r="11405" customFormat="false" ht="15.75" hidden="false" customHeight="false" outlineLevel="0" collapsed="false">
      <c r="A11405" s="1" t="s">
        <v>1499</v>
      </c>
      <c r="B11405" s="1" t="n">
        <v>148.91</v>
      </c>
      <c r="C11405" s="1" t="n">
        <f aca="false">1/B11405</f>
        <v>0.00671546571754751</v>
      </c>
      <c r="D11405" s="1" t="n">
        <v>0.96419</v>
      </c>
      <c r="E11405" s="1" t="n">
        <f aca="false">LN(D11405)</f>
        <v>-0.0364669083566604</v>
      </c>
    </row>
    <row r="11406" customFormat="false" ht="15.75" hidden="false" customHeight="false" outlineLevel="0" collapsed="false">
      <c r="A11406" s="1" t="s">
        <v>1499</v>
      </c>
      <c r="B11406" s="1" t="n">
        <v>149.77</v>
      </c>
      <c r="C11406" s="1" t="n">
        <f aca="false">1/B11406</f>
        <v>0.00667690458703345</v>
      </c>
      <c r="D11406" s="1" t="n">
        <v>0.94716</v>
      </c>
      <c r="E11406" s="1" t="n">
        <f aca="false">LN(D11406)</f>
        <v>-0.0542872454738257</v>
      </c>
    </row>
    <row r="11407" customFormat="false" ht="15.75" hidden="false" customHeight="false" outlineLevel="0" collapsed="false">
      <c r="A11407" s="1" t="s">
        <v>1499</v>
      </c>
      <c r="B11407" s="1" t="n">
        <v>150.63</v>
      </c>
      <c r="C11407" s="1" t="n">
        <f aca="false">1/B11407</f>
        <v>0.00663878377481245</v>
      </c>
      <c r="D11407" s="1" t="n">
        <v>0.93064</v>
      </c>
      <c r="E11407" s="1" t="n">
        <f aca="false">LN(D11407)</f>
        <v>-0.0718827574736261</v>
      </c>
    </row>
    <row r="11408" customFormat="false" ht="15.75" hidden="false" customHeight="false" outlineLevel="0" collapsed="false">
      <c r="A11408" s="1" t="s">
        <v>1499</v>
      </c>
      <c r="B11408" s="1" t="n">
        <v>151.49</v>
      </c>
      <c r="C11408" s="1" t="n">
        <f aca="false">1/B11408</f>
        <v>0.0066010957818998</v>
      </c>
      <c r="D11408" s="1" t="n">
        <v>0.91461</v>
      </c>
      <c r="E11408" s="1" t="n">
        <f aca="false">LN(D11408)</f>
        <v>-0.0892575340764288</v>
      </c>
    </row>
    <row r="11409" customFormat="false" ht="15.75" hidden="false" customHeight="false" outlineLevel="0" collapsed="false">
      <c r="A11409" s="1" t="s">
        <v>1499</v>
      </c>
      <c r="B11409" s="1" t="n">
        <v>152.35</v>
      </c>
      <c r="C11409" s="1" t="n">
        <f aca="false">1/B11409</f>
        <v>0.00656383327863472</v>
      </c>
      <c r="D11409" s="1" t="n">
        <v>0.89903</v>
      </c>
      <c r="E11409" s="1" t="n">
        <f aca="false">LN(D11409)</f>
        <v>-0.106438874655728</v>
      </c>
    </row>
    <row r="11410" customFormat="false" ht="15.75" hidden="false" customHeight="false" outlineLevel="0" collapsed="false">
      <c r="A11410" s="1" t="s">
        <v>1499</v>
      </c>
      <c r="B11410" s="1" t="n">
        <v>153.21</v>
      </c>
      <c r="C11410" s="1" t="n">
        <f aca="false">1/B11410</f>
        <v>0.0065269890999282</v>
      </c>
      <c r="D11410" s="1" t="n">
        <v>0.8839</v>
      </c>
      <c r="E11410" s="1" t="n">
        <f aca="false">LN(D11410)</f>
        <v>-0.123411344915235</v>
      </c>
    </row>
    <row r="11411" customFormat="false" ht="15.75" hidden="false" customHeight="false" outlineLevel="0" collapsed="false">
      <c r="A11411" s="1" t="s">
        <v>1499</v>
      </c>
      <c r="B11411" s="1" t="n">
        <v>154.07</v>
      </c>
      <c r="C11411" s="1" t="n">
        <f aca="false">1/B11411</f>
        <v>0.00649055624066983</v>
      </c>
      <c r="D11411" s="1" t="n">
        <v>0.8692</v>
      </c>
      <c r="E11411" s="1" t="n">
        <f aca="false">LN(D11411)</f>
        <v>-0.140182030599863</v>
      </c>
    </row>
    <row r="11412" customFormat="false" ht="15.75" hidden="false" customHeight="false" outlineLevel="0" collapsed="false">
      <c r="A11412" s="1" t="s">
        <v>1499</v>
      </c>
      <c r="B11412" s="1" t="n">
        <v>154.93</v>
      </c>
      <c r="C11412" s="1" t="n">
        <f aca="false">1/B11412</f>
        <v>0.00645452785128768</v>
      </c>
      <c r="D11412" s="1" t="n">
        <v>0.8549</v>
      </c>
      <c r="E11412" s="1" t="n">
        <f aca="false">LN(D11412)</f>
        <v>-0.156770775949949</v>
      </c>
    </row>
    <row r="11413" customFormat="false" ht="15.75" hidden="false" customHeight="false" outlineLevel="0" collapsed="false">
      <c r="A11413" s="1" t="s">
        <v>1499</v>
      </c>
      <c r="B11413" s="1" t="n">
        <v>155.79</v>
      </c>
      <c r="C11413" s="1" t="n">
        <f aca="false">1/B11413</f>
        <v>0.00641889723345529</v>
      </c>
      <c r="D11413" s="1" t="n">
        <v>0.841</v>
      </c>
      <c r="E11413" s="1" t="n">
        <f aca="false">LN(D11413)</f>
        <v>-0.173163619009189</v>
      </c>
    </row>
    <row r="11414" customFormat="false" ht="15.75" hidden="false" customHeight="false" outlineLevel="0" collapsed="false">
      <c r="A11414" s="1" t="s">
        <v>1499</v>
      </c>
      <c r="B11414" s="1" t="n">
        <v>156.65</v>
      </c>
      <c r="C11414" s="1" t="n">
        <f aca="false">1/B11414</f>
        <v>0.00638365783593999</v>
      </c>
      <c r="D11414" s="1" t="n">
        <v>0.82747</v>
      </c>
      <c r="E11414" s="1" t="n">
        <f aca="false">LN(D11414)</f>
        <v>-0.189382426164538</v>
      </c>
    </row>
    <row r="11415" customFormat="false" ht="15.75" hidden="false" customHeight="false" outlineLevel="0" collapsed="false">
      <c r="A11415" s="1" t="s">
        <v>1499</v>
      </c>
      <c r="B11415" s="1" t="n">
        <v>157.51</v>
      </c>
      <c r="C11415" s="1" t="n">
        <f aca="false">1/B11415</f>
        <v>0.00634880325058726</v>
      </c>
      <c r="D11415" s="1" t="n">
        <v>0.8143</v>
      </c>
      <c r="E11415" s="1" t="n">
        <f aca="false">LN(D11415)</f>
        <v>-0.205426430509051</v>
      </c>
    </row>
    <row r="11416" customFormat="false" ht="15.75" hidden="false" customHeight="false" outlineLevel="0" collapsed="false">
      <c r="A11416" s="1" t="s">
        <v>1499</v>
      </c>
      <c r="B11416" s="1" t="n">
        <v>158.37</v>
      </c>
      <c r="C11416" s="1" t="n">
        <f aca="false">1/B11416</f>
        <v>0.00631432720843594</v>
      </c>
      <c r="D11416" s="1" t="n">
        <v>0.80149</v>
      </c>
      <c r="E11416" s="1" t="n">
        <f aca="false">LN(D11416)</f>
        <v>-0.221282783616726</v>
      </c>
    </row>
    <row r="11417" customFormat="false" ht="15.75" hidden="false" customHeight="false" outlineLevel="0" collapsed="false">
      <c r="A11417" s="1" t="s">
        <v>1499</v>
      </c>
      <c r="B11417" s="1" t="n">
        <v>159.23</v>
      </c>
      <c r="C11417" s="1" t="n">
        <f aca="false">1/B11417</f>
        <v>0.0062802235759593</v>
      </c>
      <c r="D11417" s="1" t="n">
        <v>0.789</v>
      </c>
      <c r="E11417" s="1" t="n">
        <f aca="false">LN(D11417)</f>
        <v>-0.236988958136263</v>
      </c>
    </row>
    <row r="11418" customFormat="false" ht="15.75" hidden="false" customHeight="false" outlineLevel="0" collapsed="false">
      <c r="A11418" s="1" t="s">
        <v>1499</v>
      </c>
      <c r="B11418" s="1" t="n">
        <v>160.08</v>
      </c>
      <c r="C11418" s="1" t="n">
        <f aca="false">1/B11418</f>
        <v>0.00624687656171914</v>
      </c>
      <c r="D11418" s="1" t="n">
        <v>0.77684</v>
      </c>
      <c r="E11418" s="1" t="n">
        <f aca="false">LN(D11418)</f>
        <v>-0.252520870024886</v>
      </c>
    </row>
    <row r="11419" customFormat="false" ht="15.75" hidden="false" customHeight="false" outlineLevel="0" collapsed="false">
      <c r="A11419" s="1" t="s">
        <v>1499</v>
      </c>
      <c r="B11419" s="1" t="n">
        <v>160.94</v>
      </c>
      <c r="C11419" s="1" t="n">
        <f aca="false">1/B11419</f>
        <v>0.00621349571268796</v>
      </c>
      <c r="D11419" s="1" t="n">
        <v>0.76499</v>
      </c>
      <c r="E11419" s="1" t="n">
        <f aca="false">LN(D11419)</f>
        <v>-0.267892517136464</v>
      </c>
    </row>
    <row r="11420" customFormat="false" ht="15.75" hidden="false" customHeight="false" outlineLevel="0" collapsed="false">
      <c r="A11420" s="1" t="s">
        <v>1499</v>
      </c>
      <c r="B11420" s="1" t="n">
        <v>161.8</v>
      </c>
      <c r="C11420" s="1" t="n">
        <f aca="false">1/B11420</f>
        <v>0.00618046971569839</v>
      </c>
      <c r="D11420" s="1" t="n">
        <v>0.75344</v>
      </c>
      <c r="E11420" s="1" t="n">
        <f aca="false">LN(D11420)</f>
        <v>-0.283105892486893</v>
      </c>
    </row>
    <row r="11421" customFormat="false" ht="15.75" hidden="false" customHeight="false" outlineLevel="0" collapsed="false">
      <c r="A11421" s="1" t="s">
        <v>1499</v>
      </c>
      <c r="B11421" s="1" t="n">
        <v>162.66</v>
      </c>
      <c r="C11421" s="1" t="n">
        <f aca="false">1/B11421</f>
        <v>0.0061477929423337</v>
      </c>
      <c r="D11421" s="1" t="n">
        <v>0.74218</v>
      </c>
      <c r="E11421" s="1" t="n">
        <f aca="false">LN(D11421)</f>
        <v>-0.298163477633293</v>
      </c>
    </row>
    <row r="11422" customFormat="false" ht="15.75" hidden="false" customHeight="false" outlineLevel="0" collapsed="false">
      <c r="A11422" s="1" t="s">
        <v>1499</v>
      </c>
      <c r="B11422" s="1" t="n">
        <v>163.52</v>
      </c>
      <c r="C11422" s="1" t="n">
        <f aca="false">1/B11422</f>
        <v>0.00611545988258317</v>
      </c>
      <c r="D11422" s="1" t="n">
        <v>0.73119</v>
      </c>
      <c r="E11422" s="1" t="n">
        <f aca="false">LN(D11422)</f>
        <v>-0.313081935084513</v>
      </c>
    </row>
    <row r="11423" customFormat="false" ht="15.75" hidden="false" customHeight="false" outlineLevel="0" collapsed="false">
      <c r="A11423" s="1" t="s">
        <v>1499</v>
      </c>
      <c r="B11423" s="1" t="n">
        <v>164.38</v>
      </c>
      <c r="C11423" s="1" t="n">
        <f aca="false">1/B11423</f>
        <v>0.00608346514174474</v>
      </c>
      <c r="D11423" s="1" t="n">
        <v>0.72047</v>
      </c>
      <c r="E11423" s="1" t="n">
        <f aca="false">LN(D11423)</f>
        <v>-0.327851502160997</v>
      </c>
    </row>
    <row r="11424" customFormat="false" ht="15.75" hidden="false" customHeight="false" outlineLevel="0" collapsed="false">
      <c r="A11424" s="1" t="s">
        <v>1499</v>
      </c>
      <c r="B11424" s="1" t="n">
        <v>165.24</v>
      </c>
      <c r="C11424" s="1" t="n">
        <f aca="false">1/B11424</f>
        <v>0.00605180343742435</v>
      </c>
      <c r="D11424" s="1" t="n">
        <v>0.71001</v>
      </c>
      <c r="E11424" s="1" t="n">
        <f aca="false">LN(D11424)</f>
        <v>-0.342476224538919</v>
      </c>
    </row>
    <row r="11425" customFormat="false" ht="15.75" hidden="false" customHeight="false" outlineLevel="0" collapsed="false">
      <c r="A11425" s="1" t="s">
        <v>1499</v>
      </c>
      <c r="B11425" s="1" t="n">
        <v>166.1</v>
      </c>
      <c r="C11425" s="1" t="n">
        <f aca="false">1/B11425</f>
        <v>0.00602046959662854</v>
      </c>
      <c r="D11425" s="1" t="n">
        <v>0.6998</v>
      </c>
      <c r="E11425" s="1" t="n">
        <f aca="false">LN(D11425)</f>
        <v>-0.356960699048549</v>
      </c>
    </row>
    <row r="11426" customFormat="false" ht="15.75" hidden="false" customHeight="false" outlineLevel="0" collapsed="false">
      <c r="A11426" s="1" t="s">
        <v>1499</v>
      </c>
      <c r="B11426" s="1" t="n">
        <v>166.96</v>
      </c>
      <c r="C11426" s="1" t="n">
        <f aca="false">1/B11426</f>
        <v>0.00598945855294681</v>
      </c>
      <c r="D11426" s="1" t="n">
        <v>0.68982</v>
      </c>
      <c r="E11426" s="1" t="n">
        <f aca="false">LN(D11426)</f>
        <v>-0.371324584988433</v>
      </c>
    </row>
    <row r="11427" customFormat="false" ht="15.75" hidden="false" customHeight="false" outlineLevel="0" collapsed="false">
      <c r="A11427" s="1" t="s">
        <v>1499</v>
      </c>
      <c r="B11427" s="1" t="n">
        <v>167.82</v>
      </c>
      <c r="C11427" s="1" t="n">
        <f aca="false">1/B11427</f>
        <v>0.00595876534382076</v>
      </c>
      <c r="D11427" s="1" t="n">
        <v>0.68008</v>
      </c>
      <c r="E11427" s="1" t="n">
        <f aca="false">LN(D11427)</f>
        <v>-0.385544840673034</v>
      </c>
    </row>
    <row r="11428" customFormat="false" ht="15.75" hidden="false" customHeight="false" outlineLevel="0" collapsed="false">
      <c r="A11428" s="1" t="s">
        <v>1499</v>
      </c>
      <c r="B11428" s="1" t="n">
        <v>168.68</v>
      </c>
      <c r="C11428" s="1" t="n">
        <f aca="false">1/B11428</f>
        <v>0.00592838510789661</v>
      </c>
      <c r="D11428" s="1" t="n">
        <v>0.67056</v>
      </c>
      <c r="E11428" s="1" t="n">
        <f aca="false">LN(D11428)</f>
        <v>-0.399642094805376</v>
      </c>
    </row>
    <row r="11429" customFormat="false" ht="15.75" hidden="false" customHeight="false" outlineLevel="0" collapsed="false">
      <c r="A11429" s="1" t="s">
        <v>1499</v>
      </c>
      <c r="B11429" s="1" t="n">
        <v>169.54</v>
      </c>
      <c r="C11429" s="1" t="n">
        <f aca="false">1/B11429</f>
        <v>0.00589831308245842</v>
      </c>
      <c r="D11429" s="1" t="n">
        <v>0.66126</v>
      </c>
      <c r="E11429" s="1" t="n">
        <f aca="false">LN(D11429)</f>
        <v>-0.413608173050632</v>
      </c>
    </row>
    <row r="11430" customFormat="false" ht="15.75" hidden="false" customHeight="false" outlineLevel="0" collapsed="false">
      <c r="A11430" s="1" t="s">
        <v>1499</v>
      </c>
      <c r="B11430" s="1" t="n">
        <v>170.4</v>
      </c>
      <c r="C11430" s="1" t="n">
        <f aca="false">1/B11430</f>
        <v>0.00586854460093897</v>
      </c>
      <c r="D11430" s="1" t="n">
        <v>0.65216</v>
      </c>
      <c r="E11430" s="1" t="n">
        <f aca="false">LN(D11430)</f>
        <v>-0.427465348387832</v>
      </c>
    </row>
    <row r="11431" customFormat="false" ht="15.75" hidden="false" customHeight="false" outlineLevel="0" collapsed="false">
      <c r="A11431" s="1" t="s">
        <v>1499</v>
      </c>
      <c r="B11431" s="1" t="n">
        <v>171.26</v>
      </c>
      <c r="C11431" s="1" t="n">
        <f aca="false">1/B11431</f>
        <v>0.00583907509050566</v>
      </c>
      <c r="D11431" s="1" t="n">
        <v>0.64327</v>
      </c>
      <c r="E11431" s="1" t="n">
        <f aca="false">LN(D11431)</f>
        <v>-0.441190736193256</v>
      </c>
    </row>
    <row r="11432" customFormat="false" ht="15.75" hidden="false" customHeight="false" outlineLevel="0" collapsed="false">
      <c r="A11432" s="1" t="s">
        <v>1499</v>
      </c>
      <c r="B11432" s="1" t="n">
        <v>172.12</v>
      </c>
      <c r="C11432" s="1" t="n">
        <f aca="false">1/B11432</f>
        <v>0.0058099000697188</v>
      </c>
      <c r="D11432" s="1" t="n">
        <v>0.63458</v>
      </c>
      <c r="E11432" s="1" t="n">
        <f aca="false">LN(D11432)</f>
        <v>-0.454791916245216</v>
      </c>
    </row>
    <row r="11433" customFormat="false" ht="15.75" hidden="false" customHeight="false" outlineLevel="0" collapsed="false">
      <c r="A11433" s="1" t="s">
        <v>1499</v>
      </c>
      <c r="B11433" s="1" t="n">
        <v>172.98</v>
      </c>
      <c r="C11433" s="1" t="n">
        <f aca="false">1/B11433</f>
        <v>0.00578101514625968</v>
      </c>
      <c r="D11433" s="1" t="n">
        <v>0.62607</v>
      </c>
      <c r="E11433" s="1" t="n">
        <f aca="false">LN(D11433)</f>
        <v>-0.468293093047288</v>
      </c>
    </row>
    <row r="11434" customFormat="false" ht="15.75" hidden="false" customHeight="false" outlineLevel="0" collapsed="false">
      <c r="A11434" s="1" t="s">
        <v>1499</v>
      </c>
      <c r="B11434" s="1" t="n">
        <v>173.84</v>
      </c>
      <c r="C11434" s="1" t="n">
        <f aca="false">1/B11434</f>
        <v>0.00575241601472618</v>
      </c>
      <c r="D11434" s="1" t="n">
        <v>0.61774</v>
      </c>
      <c r="E11434" s="1" t="n">
        <f aca="false">LN(D11434)</f>
        <v>-0.481687622022669</v>
      </c>
    </row>
    <row r="11435" customFormat="false" ht="15.75" hidden="false" customHeight="false" outlineLevel="0" collapsed="false">
      <c r="A11435" s="1" t="s">
        <v>1499</v>
      </c>
      <c r="B11435" s="1" t="n">
        <v>174.7</v>
      </c>
      <c r="C11435" s="1" t="n">
        <f aca="false">1/B11435</f>
        <v>0.00572409845449342</v>
      </c>
      <c r="D11435" s="1" t="n">
        <v>0.60959</v>
      </c>
      <c r="E11435" s="1" t="n">
        <f aca="false">LN(D11435)</f>
        <v>-0.494968678943726</v>
      </c>
    </row>
    <row r="11436" customFormat="false" ht="15.75" hidden="false" customHeight="false" outlineLevel="0" collapsed="false">
      <c r="A11436" s="1" t="s">
        <v>1499</v>
      </c>
      <c r="B11436" s="1" t="n">
        <v>175.56</v>
      </c>
      <c r="C11436" s="1" t="n">
        <f aca="false">1/B11436</f>
        <v>0.00569605832763728</v>
      </c>
      <c r="D11436" s="1" t="n">
        <v>0.60162</v>
      </c>
      <c r="E11436" s="1" t="n">
        <f aca="false">LN(D11436)</f>
        <v>-0.508129262218248</v>
      </c>
    </row>
    <row r="11437" customFormat="false" ht="15.75" hidden="false" customHeight="false" outlineLevel="0" collapsed="false">
      <c r="A11437" s="1" t="s">
        <v>1499</v>
      </c>
      <c r="B11437" s="1" t="n">
        <v>176.42</v>
      </c>
      <c r="C11437" s="1" t="n">
        <f aca="false">1/B11437</f>
        <v>0.00566829157691872</v>
      </c>
      <c r="D11437" s="1" t="n">
        <v>0.59381</v>
      </c>
      <c r="E11437" s="1" t="n">
        <f aca="false">LN(D11437)</f>
        <v>-0.52119587610718</v>
      </c>
    </row>
    <row r="11438" customFormat="false" ht="15.75" hidden="false" customHeight="false" outlineLevel="0" collapsed="false">
      <c r="A11438" s="1" t="s">
        <v>1499</v>
      </c>
      <c r="B11438" s="1" t="n">
        <v>177.27</v>
      </c>
      <c r="C11438" s="1" t="n">
        <f aca="false">1/B11438</f>
        <v>0.00564111242737068</v>
      </c>
      <c r="D11438" s="1" t="n">
        <v>0.58616</v>
      </c>
      <c r="E11438" s="1" t="n">
        <f aca="false">LN(D11438)</f>
        <v>-0.534162489130429</v>
      </c>
    </row>
    <row r="11439" customFormat="false" ht="15.75" hidden="false" customHeight="false" outlineLevel="0" collapsed="false">
      <c r="A11439" s="1" t="s">
        <v>1499</v>
      </c>
      <c r="B11439" s="1" t="n">
        <v>178.13</v>
      </c>
      <c r="C11439" s="1" t="n">
        <f aca="false">1/B11439</f>
        <v>0.00561387750519284</v>
      </c>
      <c r="D11439" s="1" t="n">
        <v>0.57867</v>
      </c>
      <c r="E11439" s="1" t="n">
        <f aca="false">LN(D11439)</f>
        <v>-0.547022912077878</v>
      </c>
    </row>
    <row r="11440" customFormat="false" ht="15.75" hidden="false" customHeight="false" outlineLevel="0" collapsed="false">
      <c r="A11440" s="1" t="s">
        <v>1499</v>
      </c>
      <c r="B11440" s="1" t="n">
        <v>178.99</v>
      </c>
      <c r="C11440" s="1" t="n">
        <f aca="false">1/B11440</f>
        <v>0.0055869042963294</v>
      </c>
      <c r="D11440" s="1" t="n">
        <v>0.57132</v>
      </c>
      <c r="E11440" s="1" t="n">
        <f aca="false">LN(D11440)</f>
        <v>-0.559805805987709</v>
      </c>
    </row>
    <row r="11441" customFormat="false" ht="15.75" hidden="false" customHeight="false" outlineLevel="0" collapsed="false">
      <c r="A11441" s="1" t="s">
        <v>1499</v>
      </c>
      <c r="B11441" s="1" t="n">
        <v>179.85</v>
      </c>
      <c r="C11441" s="1" t="n">
        <f aca="false">1/B11441</f>
        <v>0.00556018904642758</v>
      </c>
      <c r="D11441" s="1" t="n">
        <v>0.56413</v>
      </c>
      <c r="E11441" s="1" t="n">
        <f aca="false">LN(D11441)</f>
        <v>-0.572470557590404</v>
      </c>
    </row>
    <row r="11442" customFormat="false" ht="15.75" hidden="false" customHeight="false" outlineLevel="0" collapsed="false">
      <c r="A11442" s="1" t="s">
        <v>1499</v>
      </c>
      <c r="B11442" s="1" t="n">
        <v>180.71</v>
      </c>
      <c r="C11442" s="1" t="n">
        <f aca="false">1/B11442</f>
        <v>0.00553372807260251</v>
      </c>
      <c r="D11442" s="1" t="n">
        <v>0.55707</v>
      </c>
      <c r="E11442" s="1" t="n">
        <f aca="false">LN(D11442)</f>
        <v>-0.585064373701523</v>
      </c>
    </row>
    <row r="11443" customFormat="false" ht="15.75" hidden="false" customHeight="false" outlineLevel="0" collapsed="false">
      <c r="A11443" s="1" t="s">
        <v>1499</v>
      </c>
      <c r="B11443" s="1" t="n">
        <v>181.57</v>
      </c>
      <c r="C11443" s="1" t="n">
        <f aca="false">1/B11443</f>
        <v>0.00550751776174478</v>
      </c>
      <c r="D11443" s="1" t="n">
        <v>0.55016</v>
      </c>
      <c r="E11443" s="1" t="n">
        <f aca="false">LN(D11443)</f>
        <v>-0.597546133970556</v>
      </c>
    </row>
    <row r="11444" customFormat="false" ht="15.75" hidden="false" customHeight="false" outlineLevel="0" collapsed="false">
      <c r="A11444" s="1" t="s">
        <v>1499</v>
      </c>
      <c r="B11444" s="1" t="n">
        <v>182.43</v>
      </c>
      <c r="C11444" s="1" t="n">
        <f aca="false">1/B11444</f>
        <v>0.00548155456887573</v>
      </c>
      <c r="D11444" s="1" t="n">
        <v>0.54338</v>
      </c>
      <c r="E11444" s="1" t="n">
        <f aca="false">LN(D11444)</f>
        <v>-0.609946387967185</v>
      </c>
    </row>
    <row r="11445" customFormat="false" ht="15.75" hidden="false" customHeight="false" outlineLevel="0" collapsed="false">
      <c r="A11445" s="1" t="s">
        <v>1499</v>
      </c>
      <c r="B11445" s="1" t="n">
        <v>183.29</v>
      </c>
      <c r="C11445" s="1" t="n">
        <f aca="false">1/B11445</f>
        <v>0.00545583501554913</v>
      </c>
      <c r="D11445" s="1" t="n">
        <v>0.53673</v>
      </c>
      <c r="E11445" s="1" t="n">
        <f aca="false">LN(D11445)</f>
        <v>-0.622260104212296</v>
      </c>
    </row>
    <row r="11446" customFormat="false" ht="15.75" hidden="false" customHeight="false" outlineLevel="0" collapsed="false">
      <c r="A11446" s="1" t="s">
        <v>1499</v>
      </c>
      <c r="B11446" s="1" t="n">
        <v>184.15</v>
      </c>
      <c r="C11446" s="1" t="n">
        <f aca="false">1/B11446</f>
        <v>0.00543035568829758</v>
      </c>
      <c r="D11446" s="1" t="n">
        <v>0.53021</v>
      </c>
      <c r="E11446" s="1" t="n">
        <f aca="false">LN(D11446)</f>
        <v>-0.634482124497832</v>
      </c>
    </row>
    <row r="11447" customFormat="false" ht="15.75" hidden="false" customHeight="false" outlineLevel="0" collapsed="false">
      <c r="A11447" s="1" t="s">
        <v>1499</v>
      </c>
      <c r="B11447" s="1" t="n">
        <v>185.01</v>
      </c>
      <c r="C11447" s="1" t="n">
        <f aca="false">1/B11447</f>
        <v>0.00540511323712232</v>
      </c>
      <c r="D11447" s="1" t="n">
        <v>0.5238</v>
      </c>
      <c r="E11447" s="1" t="n">
        <f aca="false">LN(D11447)</f>
        <v>-0.646645346908525</v>
      </c>
    </row>
    <row r="11448" customFormat="false" ht="15.75" hidden="false" customHeight="false" outlineLevel="0" collapsed="false">
      <c r="A11448" s="1" t="s">
        <v>1499</v>
      </c>
      <c r="B11448" s="1" t="n">
        <v>185.87</v>
      </c>
      <c r="C11448" s="1" t="n">
        <f aca="false">1/B11448</f>
        <v>0.00538010437402486</v>
      </c>
      <c r="D11448" s="1" t="n">
        <v>0.51752</v>
      </c>
      <c r="E11448" s="1" t="n">
        <f aca="false">LN(D11448)</f>
        <v>-0.658707107246407</v>
      </c>
    </row>
    <row r="11449" customFormat="false" ht="15.75" hidden="false" customHeight="false" outlineLevel="0" collapsed="false">
      <c r="A11449" s="1" t="s">
        <v>1499</v>
      </c>
      <c r="B11449" s="1" t="n">
        <v>186.73</v>
      </c>
      <c r="C11449" s="1" t="n">
        <f aca="false">1/B11449</f>
        <v>0.00535532587157929</v>
      </c>
      <c r="D11449" s="1" t="n">
        <v>0.51136</v>
      </c>
      <c r="E11449" s="1" t="n">
        <f aca="false">LN(D11449)</f>
        <v>-0.670681435844282</v>
      </c>
    </row>
    <row r="11450" customFormat="false" ht="15.75" hidden="false" customHeight="false" outlineLevel="0" collapsed="false">
      <c r="A11450" s="1" t="s">
        <v>1499</v>
      </c>
      <c r="B11450" s="1" t="n">
        <v>187.59</v>
      </c>
      <c r="C11450" s="1" t="n">
        <f aca="false">1/B11450</f>
        <v>0.00533077456154379</v>
      </c>
      <c r="D11450" s="1" t="n">
        <v>0.50531</v>
      </c>
      <c r="E11450" s="1" t="n">
        <f aca="false">LN(D11450)</f>
        <v>-0.682583176656468</v>
      </c>
    </row>
    <row r="11451" customFormat="false" ht="15.75" hidden="false" customHeight="false" outlineLevel="0" collapsed="false">
      <c r="A11451" s="1" t="s">
        <v>1499</v>
      </c>
      <c r="B11451" s="1" t="n">
        <v>188.45</v>
      </c>
      <c r="C11451" s="1" t="n">
        <f aca="false">1/B11451</f>
        <v>0.00530644733351021</v>
      </c>
      <c r="D11451" s="1" t="n">
        <v>0.49936</v>
      </c>
      <c r="E11451" s="1" t="n">
        <f aca="false">LN(D11451)</f>
        <v>-0.694428000459668</v>
      </c>
    </row>
    <row r="11452" customFormat="false" ht="15.75" hidden="false" customHeight="false" outlineLevel="0" collapsed="false">
      <c r="A11452" s="1" t="s">
        <v>1499</v>
      </c>
      <c r="B11452" s="1" t="n">
        <v>189.31</v>
      </c>
      <c r="C11452" s="1" t="n">
        <f aca="false">1/B11452</f>
        <v>0.00528234113359041</v>
      </c>
      <c r="D11452" s="1" t="n">
        <v>0.49353</v>
      </c>
      <c r="E11452" s="1" t="n">
        <f aca="false">LN(D11452)</f>
        <v>-0.706171631682698</v>
      </c>
    </row>
    <row r="11453" customFormat="false" ht="15.75" hidden="false" customHeight="false" outlineLevel="0" collapsed="false">
      <c r="A11453" s="1" t="s">
        <v>1499</v>
      </c>
      <c r="B11453" s="1" t="n">
        <v>190.17</v>
      </c>
      <c r="C11453" s="1" t="n">
        <f aca="false">1/B11453</f>
        <v>0.00525845296313825</v>
      </c>
      <c r="D11453" s="1" t="n">
        <v>0.4878</v>
      </c>
      <c r="E11453" s="1" t="n">
        <f aca="false">LN(D11453)</f>
        <v>-0.717849793200317</v>
      </c>
    </row>
    <row r="11454" customFormat="false" ht="15.75" hidden="false" customHeight="false" outlineLevel="0" collapsed="false">
      <c r="A11454" s="1" t="s">
        <v>1499</v>
      </c>
      <c r="B11454" s="1" t="n">
        <v>191.03</v>
      </c>
      <c r="C11454" s="1" t="n">
        <f aca="false">1/B11454</f>
        <v>0.00523477987750615</v>
      </c>
      <c r="D11454" s="1" t="n">
        <v>0.48217</v>
      </c>
      <c r="E11454" s="1" t="n">
        <f aca="false">LN(D11454)</f>
        <v>-0.729458530019101</v>
      </c>
    </row>
    <row r="11455" customFormat="false" ht="15.75" hidden="false" customHeight="false" outlineLevel="0" collapsed="false">
      <c r="A11455" s="1" t="s">
        <v>1499</v>
      </c>
      <c r="B11455" s="1" t="n">
        <v>191.89</v>
      </c>
      <c r="C11455" s="1" t="n">
        <f aca="false">1/B11455</f>
        <v>0.00521131898483506</v>
      </c>
      <c r="D11455" s="1" t="n">
        <v>0.47664</v>
      </c>
      <c r="E11455" s="1" t="n">
        <f aca="false">LN(D11455)</f>
        <v>-0.740993790017165</v>
      </c>
    </row>
    <row r="11456" customFormat="false" ht="15.75" hidden="false" customHeight="false" outlineLevel="0" collapsed="false">
      <c r="A11456" s="1" t="s">
        <v>1499</v>
      </c>
      <c r="B11456" s="1" t="n">
        <v>192.75</v>
      </c>
      <c r="C11456" s="1" t="n">
        <f aca="false">1/B11456</f>
        <v>0.00518806744487678</v>
      </c>
      <c r="D11456" s="1" t="n">
        <v>0.4712</v>
      </c>
      <c r="E11456" s="1" t="n">
        <f aca="false">LN(D11456)</f>
        <v>-0.75247264664476</v>
      </c>
    </row>
    <row r="11457" customFormat="false" ht="15.75" hidden="false" customHeight="false" outlineLevel="0" collapsed="false">
      <c r="A11457" s="1" t="s">
        <v>1499</v>
      </c>
      <c r="B11457" s="1" t="n">
        <v>193.61</v>
      </c>
      <c r="C11457" s="1" t="n">
        <f aca="false">1/B11457</f>
        <v>0.00516502246784773</v>
      </c>
      <c r="D11457" s="1" t="n">
        <v>0.46586</v>
      </c>
      <c r="E11457" s="1" t="n">
        <f aca="false">LN(D11457)</f>
        <v>-0.763870119178929</v>
      </c>
    </row>
    <row r="11458" customFormat="false" ht="15.75" hidden="false" customHeight="false" outlineLevel="0" collapsed="false">
      <c r="A11458" s="1" t="s">
        <v>1499</v>
      </c>
      <c r="B11458" s="1" t="n">
        <v>194.46</v>
      </c>
      <c r="C11458" s="1" t="n">
        <f aca="false">1/B11458</f>
        <v>0.00514244574719737</v>
      </c>
      <c r="D11458" s="1" t="n">
        <v>0.46061</v>
      </c>
      <c r="E11458" s="1" t="n">
        <f aca="false">LN(D11458)</f>
        <v>-0.775203581019244</v>
      </c>
    </row>
    <row r="11459" customFormat="false" ht="15.75" hidden="false" customHeight="false" outlineLevel="0" collapsed="false">
      <c r="A11459" s="1" t="s">
        <v>1499</v>
      </c>
      <c r="B11459" s="1" t="n">
        <v>195.32</v>
      </c>
      <c r="C11459" s="1" t="n">
        <f aca="false">1/B11459</f>
        <v>0.00511980339954946</v>
      </c>
      <c r="D11459" s="1" t="n">
        <v>0.45545</v>
      </c>
      <c r="E11459" s="1" t="n">
        <f aca="false">LN(D11459)</f>
        <v>-0.786469337791318</v>
      </c>
    </row>
    <row r="11460" customFormat="false" ht="15.75" hidden="false" customHeight="false" outlineLevel="0" collapsed="false">
      <c r="A11460" s="1" t="s">
        <v>1499</v>
      </c>
      <c r="B11460" s="1" t="n">
        <v>196.18</v>
      </c>
      <c r="C11460" s="1" t="n">
        <f aca="false">1/B11460</f>
        <v>0.00509735956774391</v>
      </c>
      <c r="D11460" s="1" t="n">
        <v>0.45037</v>
      </c>
      <c r="E11460" s="1" t="n">
        <f aca="false">LN(D11460)</f>
        <v>-0.797685811835067</v>
      </c>
    </row>
    <row r="11461" customFormat="false" ht="15.75" hidden="false" customHeight="false" outlineLevel="0" collapsed="false">
      <c r="A11461" s="1" t="s">
        <v>1499</v>
      </c>
      <c r="B11461" s="1" t="n">
        <v>197.04</v>
      </c>
      <c r="C11461" s="1" t="n">
        <f aca="false">1/B11461</f>
        <v>0.00507511165245635</v>
      </c>
      <c r="D11461" s="1" t="n">
        <v>0.44538</v>
      </c>
      <c r="E11461" s="1" t="n">
        <f aca="false">LN(D11461)</f>
        <v>-0.808827428624626</v>
      </c>
    </row>
    <row r="11462" customFormat="false" ht="15.75" hidden="false" customHeight="false" outlineLevel="0" collapsed="false">
      <c r="A11462" s="1" t="s">
        <v>1499</v>
      </c>
      <c r="B11462" s="1" t="n">
        <v>197.9</v>
      </c>
      <c r="C11462" s="1" t="n">
        <f aca="false">1/B11462</f>
        <v>0.00505305709954523</v>
      </c>
      <c r="D11462" s="1" t="n">
        <v>0.44048</v>
      </c>
      <c r="E11462" s="1" t="n">
        <f aca="false">LN(D11462)</f>
        <v>-0.81989023758784</v>
      </c>
    </row>
    <row r="11463" customFormat="false" ht="15.75" hidden="false" customHeight="false" outlineLevel="0" collapsed="false">
      <c r="A11463" s="1" t="s">
        <v>1499</v>
      </c>
      <c r="B11463" s="1" t="n">
        <v>198.76</v>
      </c>
      <c r="C11463" s="1" t="n">
        <f aca="false">1/B11463</f>
        <v>0.00503119339907426</v>
      </c>
      <c r="D11463" s="1" t="n">
        <v>0.43565</v>
      </c>
      <c r="E11463" s="1" t="n">
        <f aca="false">LN(D11463)</f>
        <v>-0.830916110304841</v>
      </c>
    </row>
    <row r="11464" customFormat="false" ht="15.75" hidden="false" customHeight="false" outlineLevel="0" collapsed="false">
      <c r="A11464" s="1" t="s">
        <v>1499</v>
      </c>
      <c r="B11464" s="1" t="n">
        <v>199.62</v>
      </c>
      <c r="C11464" s="1" t="n">
        <f aca="false">1/B11464</f>
        <v>0.00500951808436028</v>
      </c>
      <c r="D11464" s="1" t="n">
        <v>0.4309</v>
      </c>
      <c r="E11464" s="1" t="n">
        <f aca="false">LN(D11464)</f>
        <v>-0.841879234360345</v>
      </c>
    </row>
    <row r="11465" customFormat="false" ht="15.75" hidden="false" customHeight="false" outlineLevel="0" collapsed="false">
      <c r="A11465" s="1" t="s">
        <v>1499</v>
      </c>
      <c r="B11465" s="1" t="n">
        <v>200.48</v>
      </c>
      <c r="C11465" s="1" t="n">
        <f aca="false">1/B11465</f>
        <v>0.00498802873104549</v>
      </c>
      <c r="D11465" s="1" t="n">
        <v>0.42623</v>
      </c>
      <c r="E11465" s="1" t="n">
        <f aca="false">LN(D11465)</f>
        <v>-0.852776172306341</v>
      </c>
    </row>
    <row r="11466" customFormat="false" ht="15.75" hidden="false" customHeight="false" outlineLevel="0" collapsed="false">
      <c r="A11466" s="1" t="s">
        <v>1499</v>
      </c>
      <c r="B11466" s="1" t="n">
        <v>201.34</v>
      </c>
      <c r="C11466" s="1" t="n">
        <f aca="false">1/B11466</f>
        <v>0.0049667229561935</v>
      </c>
      <c r="D11466" s="1" t="n">
        <v>0.42163</v>
      </c>
      <c r="E11466" s="1" t="n">
        <f aca="false">LN(D11466)</f>
        <v>-0.863627126791303</v>
      </c>
    </row>
    <row r="11467" customFormat="false" ht="15.75" hidden="false" customHeight="false" outlineLevel="0" collapsed="false">
      <c r="A11467" s="1" t="s">
        <v>1499</v>
      </c>
      <c r="B11467" s="1" t="n">
        <v>202.2</v>
      </c>
      <c r="C11467" s="1" t="n">
        <f aca="false">1/B11467</f>
        <v>0.00494559841740851</v>
      </c>
      <c r="D11467" s="1" t="n">
        <v>0.4171</v>
      </c>
      <c r="E11467" s="1" t="n">
        <f aca="false">LN(D11467)</f>
        <v>-0.874429277779237</v>
      </c>
    </row>
    <row r="11468" customFormat="false" ht="15.75" hidden="false" customHeight="false" outlineLevel="0" collapsed="false">
      <c r="A11468" s="1" t="s">
        <v>1499</v>
      </c>
      <c r="B11468" s="1" t="n">
        <v>203.06</v>
      </c>
      <c r="C11468" s="1" t="n">
        <f aca="false">1/B11468</f>
        <v>0.00492465281197676</v>
      </c>
      <c r="D11468" s="1" t="n">
        <v>0.41265</v>
      </c>
      <c r="E11468" s="1" t="n">
        <f aca="false">LN(D11468)</f>
        <v>-0.885155502943444</v>
      </c>
    </row>
    <row r="11469" customFormat="false" ht="15.75" hidden="false" customHeight="false" outlineLevel="0" collapsed="false">
      <c r="A11469" s="1" t="s">
        <v>1499</v>
      </c>
      <c r="B11469" s="1" t="n">
        <v>203.92</v>
      </c>
      <c r="C11469" s="1" t="n">
        <f aca="false">1/B11469</f>
        <v>0.00490388387602982</v>
      </c>
      <c r="D11469" s="1" t="n">
        <v>0.40827</v>
      </c>
      <c r="E11469" s="1" t="n">
        <f aca="false">LN(D11469)</f>
        <v>-0.895826558741801</v>
      </c>
    </row>
    <row r="11470" customFormat="false" ht="15.75" hidden="false" customHeight="false" outlineLevel="0" collapsed="false">
      <c r="A11470" s="1" t="s">
        <v>1499</v>
      </c>
      <c r="B11470" s="1" t="n">
        <v>204.78</v>
      </c>
      <c r="C11470" s="1" t="n">
        <f aca="false">1/B11470</f>
        <v>0.00488328938372888</v>
      </c>
      <c r="D11470" s="1" t="n">
        <v>0.40395</v>
      </c>
      <c r="E11470" s="1" t="n">
        <f aca="false">LN(D11470)</f>
        <v>-0.906464171056419</v>
      </c>
    </row>
    <row r="11471" customFormat="false" ht="15.75" hidden="false" customHeight="false" outlineLevel="0" collapsed="false">
      <c r="A11471" s="1" t="s">
        <v>1499</v>
      </c>
      <c r="B11471" s="1" t="n">
        <v>205.64</v>
      </c>
      <c r="C11471" s="1" t="n">
        <f aca="false">1/B11471</f>
        <v>0.00486286714646956</v>
      </c>
      <c r="D11471" s="1" t="n">
        <v>0.3997</v>
      </c>
      <c r="E11471" s="1" t="n">
        <f aca="false">LN(D11471)</f>
        <v>-0.917041013264859</v>
      </c>
    </row>
    <row r="11472" customFormat="false" ht="15.75" hidden="false" customHeight="false" outlineLevel="0" collapsed="false">
      <c r="A11472" s="1" t="s">
        <v>1499</v>
      </c>
      <c r="B11472" s="1" t="n">
        <v>206.5</v>
      </c>
      <c r="C11472" s="1" t="n">
        <f aca="false">1/B11472</f>
        <v>0.00484261501210654</v>
      </c>
      <c r="D11472" s="1" t="n">
        <v>0.39552</v>
      </c>
      <c r="E11472" s="1" t="n">
        <f aca="false">LN(D11472)</f>
        <v>-0.927553924152866</v>
      </c>
    </row>
    <row r="11473" customFormat="false" ht="15.75" hidden="false" customHeight="false" outlineLevel="0" collapsed="false">
      <c r="A11473" s="1" t="s">
        <v>1499</v>
      </c>
      <c r="B11473" s="1" t="n">
        <v>207.36</v>
      </c>
      <c r="C11473" s="1" t="n">
        <f aca="false">1/B11473</f>
        <v>0.00482253086419753</v>
      </c>
      <c r="D11473" s="1" t="n">
        <v>0.3914</v>
      </c>
      <c r="E11473" s="1" t="n">
        <f aca="false">LN(D11473)</f>
        <v>-0.938025224020161</v>
      </c>
    </row>
    <row r="11474" customFormat="false" ht="15.75" hidden="false" customHeight="false" outlineLevel="0" collapsed="false">
      <c r="A11474" s="1" t="s">
        <v>1499</v>
      </c>
      <c r="B11474" s="1" t="n">
        <v>208.22</v>
      </c>
      <c r="C11474" s="1" t="n">
        <f aca="false">1/B11474</f>
        <v>0.00480261262126597</v>
      </c>
      <c r="D11474" s="1" t="n">
        <v>0.38734</v>
      </c>
      <c r="E11474" s="1" t="n">
        <f aca="false">LN(D11474)</f>
        <v>-0.948452418682551</v>
      </c>
    </row>
    <row r="11475" customFormat="false" ht="15.75" hidden="false" customHeight="false" outlineLevel="0" collapsed="false">
      <c r="A11475" s="1" t="s">
        <v>1499</v>
      </c>
      <c r="B11475" s="1" t="n">
        <v>209.08</v>
      </c>
      <c r="C11475" s="1" t="n">
        <f aca="false">1/B11475</f>
        <v>0.00478285823608188</v>
      </c>
      <c r="D11475" s="1" t="n">
        <v>0.38334</v>
      </c>
      <c r="E11475" s="1" t="n">
        <f aca="false">LN(D11475)</f>
        <v>-0.95883295513983</v>
      </c>
    </row>
    <row r="11476" customFormat="false" ht="15.75" hidden="false" customHeight="false" outlineLevel="0" collapsed="false">
      <c r="A11476" s="1" t="s">
        <v>1499</v>
      </c>
      <c r="B11476" s="1" t="n">
        <v>209.94</v>
      </c>
      <c r="C11476" s="1" t="n">
        <f aca="false">1/B11476</f>
        <v>0.00476326569496047</v>
      </c>
      <c r="D11476" s="1" t="n">
        <v>0.3794</v>
      </c>
      <c r="E11476" s="1" t="n">
        <f aca="false">LN(D11476)</f>
        <v>-0.969164221481223</v>
      </c>
    </row>
    <row r="11477" customFormat="false" ht="15.75" hidden="false" customHeight="false" outlineLevel="0" collapsed="false">
      <c r="A11477" s="1" t="s">
        <v>1499</v>
      </c>
      <c r="B11477" s="1" t="n">
        <v>210.8</v>
      </c>
      <c r="C11477" s="1" t="n">
        <f aca="false">1/B11477</f>
        <v>0.0047438330170778</v>
      </c>
      <c r="D11477" s="1" t="n">
        <v>0.37552</v>
      </c>
      <c r="E11477" s="1" t="n">
        <f aca="false">LN(D11477)</f>
        <v>-0.979443546879424</v>
      </c>
    </row>
    <row r="11478" customFormat="false" ht="15.75" hidden="false" customHeight="false" outlineLevel="0" collapsed="false">
      <c r="A11478" s="1" t="s">
        <v>1499</v>
      </c>
      <c r="B11478" s="1" t="n">
        <v>211.65</v>
      </c>
      <c r="C11478" s="1" t="n">
        <f aca="false">1/B11478</f>
        <v>0.0047247814788566</v>
      </c>
      <c r="D11478" s="1" t="n">
        <v>0.37169</v>
      </c>
      <c r="E11478" s="1" t="n">
        <f aca="false">LN(D11478)</f>
        <v>-0.989695105457568</v>
      </c>
    </row>
    <row r="11479" customFormat="false" ht="15.75" hidden="false" customHeight="false" outlineLevel="0" collapsed="false">
      <c r="A11479" s="1" t="s">
        <v>1499</v>
      </c>
      <c r="B11479" s="1" t="n">
        <v>212.51</v>
      </c>
      <c r="C11479" s="1" t="n">
        <f aca="false">1/B11479</f>
        <v>0.00470566091007482</v>
      </c>
      <c r="D11479" s="1" t="n">
        <v>0.36792</v>
      </c>
      <c r="E11479" s="1" t="n">
        <f aca="false">LN(D11479)</f>
        <v>-0.999889755750469</v>
      </c>
    </row>
    <row r="11480" customFormat="false" ht="15.75" hidden="false" customHeight="false" outlineLevel="0" collapsed="false">
      <c r="A11480" s="1" t="s">
        <v>1499</v>
      </c>
      <c r="B11480" s="1" t="n">
        <v>213.37</v>
      </c>
      <c r="C11480" s="1" t="n">
        <f aca="false">1/B11480</f>
        <v>0.00468669447438721</v>
      </c>
      <c r="D11480" s="1" t="n">
        <v>0.36421</v>
      </c>
      <c r="E11480" s="1" t="n">
        <f aca="false">LN(D11480)</f>
        <v>-1.01002465462461</v>
      </c>
    </row>
    <row r="11481" customFormat="false" ht="15.75" hidden="false" customHeight="false" outlineLevel="0" collapsed="false">
      <c r="A11481" s="1" t="s">
        <v>1499</v>
      </c>
      <c r="B11481" s="1" t="n">
        <v>214.23</v>
      </c>
      <c r="C11481" s="1" t="n">
        <f aca="false">1/B11481</f>
        <v>0.00466788031554871</v>
      </c>
      <c r="D11481" s="1" t="n">
        <v>0.36055</v>
      </c>
      <c r="E11481" s="1" t="n">
        <f aca="false">LN(D11481)</f>
        <v>-1.02012463561937</v>
      </c>
    </row>
    <row r="11482" customFormat="false" ht="15.75" hidden="false" customHeight="false" outlineLevel="0" collapsed="false">
      <c r="A11482" s="1" t="s">
        <v>1499</v>
      </c>
      <c r="B11482" s="1" t="n">
        <v>215.09</v>
      </c>
      <c r="C11482" s="1" t="n">
        <f aca="false">1/B11482</f>
        <v>0.00464921660700172</v>
      </c>
      <c r="D11482" s="1" t="n">
        <v>0.35694</v>
      </c>
      <c r="E11482" s="1" t="n">
        <f aca="false">LN(D11482)</f>
        <v>-1.03018757855427</v>
      </c>
    </row>
    <row r="11483" customFormat="false" ht="15.75" hidden="false" customHeight="false" outlineLevel="0" collapsed="false">
      <c r="A11483" s="1" t="s">
        <v>1499</v>
      </c>
      <c r="B11483" s="1" t="n">
        <v>215.95</v>
      </c>
      <c r="C11483" s="1" t="n">
        <f aca="false">1/B11483</f>
        <v>0.00463070155128502</v>
      </c>
      <c r="D11483" s="1" t="n">
        <v>0.35338</v>
      </c>
      <c r="E11483" s="1" t="n">
        <f aca="false">LN(D11483)</f>
        <v>-1.04021131379363</v>
      </c>
    </row>
    <row r="11484" customFormat="false" ht="15.75" hidden="false" customHeight="false" outlineLevel="0" collapsed="false">
      <c r="A11484" s="1" t="s">
        <v>1499</v>
      </c>
      <c r="B11484" s="1" t="n">
        <v>216.81</v>
      </c>
      <c r="C11484" s="1" t="n">
        <f aca="false">1/B11484</f>
        <v>0.00461233337945667</v>
      </c>
      <c r="D11484" s="1" t="n">
        <v>0.34987</v>
      </c>
      <c r="E11484" s="1" t="n">
        <f aca="false">LN(D11484)</f>
        <v>-1.05019362206678</v>
      </c>
    </row>
    <row r="11485" customFormat="false" ht="15.75" hidden="false" customHeight="false" outlineLevel="0" collapsed="false">
      <c r="A11485" s="1" t="s">
        <v>1499</v>
      </c>
      <c r="B11485" s="1" t="n">
        <v>217.67</v>
      </c>
      <c r="C11485" s="1" t="n">
        <f aca="false">1/B11485</f>
        <v>0.00459411035053062</v>
      </c>
      <c r="D11485" s="1" t="n">
        <v>0.34641</v>
      </c>
      <c r="E11485" s="1" t="n">
        <f aca="false">LN(D11485)</f>
        <v>-1.06013223435026</v>
      </c>
    </row>
    <row r="11486" customFormat="false" ht="15.75" hidden="false" customHeight="false" outlineLevel="0" collapsed="false">
      <c r="A11486" s="1" t="s">
        <v>1499</v>
      </c>
      <c r="B11486" s="1" t="n">
        <v>218.53</v>
      </c>
      <c r="C11486" s="1" t="n">
        <f aca="false">1/B11486</f>
        <v>0.00457603075092665</v>
      </c>
      <c r="D11486" s="1" t="n">
        <v>0.343</v>
      </c>
      <c r="E11486" s="1" t="n">
        <f aca="false">LN(D11486)</f>
        <v>-1.0700248318162</v>
      </c>
    </row>
    <row r="11487" customFormat="false" ht="15.75" hidden="false" customHeight="false" outlineLevel="0" collapsed="false">
      <c r="A11487" s="1" t="s">
        <v>1499</v>
      </c>
      <c r="B11487" s="1" t="n">
        <v>219.39</v>
      </c>
      <c r="C11487" s="1" t="n">
        <f aca="false">1/B11487</f>
        <v>0.00455809289393318</v>
      </c>
      <c r="D11487" s="1" t="n">
        <v>0.33963</v>
      </c>
      <c r="E11487" s="1" t="n">
        <f aca="false">LN(D11487)</f>
        <v>-1.07989848922401</v>
      </c>
    </row>
    <row r="11488" customFormat="false" ht="15.75" hidden="false" customHeight="false" outlineLevel="0" collapsed="false">
      <c r="A11488" s="1" t="s">
        <v>1499</v>
      </c>
      <c r="B11488" s="1" t="n">
        <v>220.25</v>
      </c>
      <c r="C11488" s="1" t="n">
        <f aca="false">1/B11488</f>
        <v>0.00454029511918275</v>
      </c>
      <c r="D11488" s="1" t="n">
        <v>0.33631</v>
      </c>
      <c r="E11488" s="1" t="n">
        <f aca="false">LN(D11488)</f>
        <v>-1.08972192532266</v>
      </c>
    </row>
    <row r="11489" customFormat="false" ht="15.75" hidden="false" customHeight="false" outlineLevel="0" collapsed="false">
      <c r="A11489" s="1" t="s">
        <v>1499</v>
      </c>
      <c r="B11489" s="1" t="n">
        <v>221.11</v>
      </c>
      <c r="C11489" s="1" t="n">
        <f aca="false">1/B11489</f>
        <v>0.00452263579213966</v>
      </c>
      <c r="D11489" s="1" t="n">
        <v>0.33304</v>
      </c>
      <c r="E11489" s="1" t="n">
        <f aca="false">LN(D11489)</f>
        <v>-1.09949267609542</v>
      </c>
    </row>
    <row r="11490" customFormat="false" ht="15.75" hidden="false" customHeight="false" outlineLevel="0" collapsed="false">
      <c r="A11490" s="1" t="s">
        <v>1499</v>
      </c>
      <c r="B11490" s="1" t="n">
        <v>221.97</v>
      </c>
      <c r="C11490" s="1" t="n">
        <f aca="false">1/B11490</f>
        <v>0.00450511330359959</v>
      </c>
      <c r="D11490" s="1" t="n">
        <v>0.32981</v>
      </c>
      <c r="E11490" s="1" t="n">
        <f aca="false">LN(D11490)</f>
        <v>-1.10923854790941</v>
      </c>
    </row>
    <row r="11491" customFormat="false" ht="15.75" hidden="false" customHeight="false" outlineLevel="0" collapsed="false">
      <c r="A11491" s="1" t="s">
        <v>1499</v>
      </c>
      <c r="B11491" s="1" t="n">
        <v>222.71</v>
      </c>
      <c r="C11491" s="1" t="n">
        <f aca="false">1/B11491</f>
        <v>0.00449014413362669</v>
      </c>
      <c r="D11491" s="1" t="n">
        <v>0.32708</v>
      </c>
      <c r="E11491" s="1" t="n">
        <f aca="false">LN(D11491)</f>
        <v>-1.11755048968836</v>
      </c>
    </row>
    <row r="11492" customFormat="false" ht="15.75" hidden="false" customHeight="false" outlineLevel="0" collapsed="false">
      <c r="A11492" s="1" t="s">
        <v>1500</v>
      </c>
      <c r="B11492" s="1" t="n">
        <v>298.15</v>
      </c>
      <c r="C11492" s="1" t="n">
        <f aca="false">1/B11492</f>
        <v>0.00335401643468053</v>
      </c>
      <c r="D11492" s="1" t="n">
        <v>0.846</v>
      </c>
      <c r="E11492" s="1" t="n">
        <f aca="false">LN(D11492)</f>
        <v>-0.167235919375914</v>
      </c>
    </row>
    <row r="11493" customFormat="false" ht="15.75" hidden="false" customHeight="false" outlineLevel="0" collapsed="false">
      <c r="A11493" s="1" t="s">
        <v>1206</v>
      </c>
      <c r="B11493" s="1" t="n">
        <v>293</v>
      </c>
      <c r="C11493" s="1" t="n">
        <f aca="false">1/B11493</f>
        <v>0.00341296928327645</v>
      </c>
      <c r="D11493" s="1" t="n">
        <v>0.7255</v>
      </c>
      <c r="E11493" s="1" t="n">
        <f aca="false">LN(D11493)</f>
        <v>-0.320894206657894</v>
      </c>
    </row>
    <row r="11494" customFormat="false" ht="15.75" hidden="false" customHeight="false" outlineLevel="0" collapsed="false">
      <c r="A11494" s="1" t="s">
        <v>1206</v>
      </c>
      <c r="B11494" s="1" t="n">
        <v>303.2</v>
      </c>
      <c r="C11494" s="1" t="n">
        <f aca="false">1/B11494</f>
        <v>0.00329815303430079</v>
      </c>
      <c r="D11494" s="1" t="n">
        <v>0.6232</v>
      </c>
      <c r="E11494" s="1" t="n">
        <f aca="false">LN(D11494)</f>
        <v>-0.472887784425599</v>
      </c>
    </row>
    <row r="11495" customFormat="false" ht="15.75" hidden="false" customHeight="false" outlineLevel="0" collapsed="false">
      <c r="A11495" s="1" t="s">
        <v>1206</v>
      </c>
      <c r="B11495" s="1" t="n">
        <v>313.1</v>
      </c>
      <c r="C11495" s="1" t="n">
        <f aca="false">1/B11495</f>
        <v>0.00319386777387416</v>
      </c>
      <c r="D11495" s="1" t="n">
        <v>0.5447</v>
      </c>
      <c r="E11495" s="1" t="n">
        <f aca="false">LN(D11495)</f>
        <v>-0.607520094592508</v>
      </c>
    </row>
    <row r="11496" customFormat="false" ht="15.75" hidden="false" customHeight="false" outlineLevel="0" collapsed="false">
      <c r="A11496" s="1" t="s">
        <v>1206</v>
      </c>
      <c r="B11496" s="1" t="n">
        <v>323.3</v>
      </c>
      <c r="C11496" s="1" t="n">
        <f aca="false">1/B11496</f>
        <v>0.00309310238168883</v>
      </c>
      <c r="D11496" s="1" t="n">
        <v>0.478</v>
      </c>
      <c r="E11496" s="1" t="n">
        <f aca="false">LN(D11496)</f>
        <v>-0.738144546490681</v>
      </c>
    </row>
    <row r="11497" customFormat="false" ht="15.75" hidden="false" customHeight="false" outlineLevel="0" collapsed="false">
      <c r="A11497" s="1" t="s">
        <v>1206</v>
      </c>
      <c r="B11497" s="1" t="n">
        <v>333.15</v>
      </c>
      <c r="C11497" s="1" t="n">
        <f aca="false">1/B11497</f>
        <v>0.0030016509079994</v>
      </c>
      <c r="D11497" s="1" t="n">
        <v>0.4254</v>
      </c>
      <c r="E11497" s="1" t="n">
        <f aca="false">LN(D11497)</f>
        <v>-0.854725376216</v>
      </c>
    </row>
    <row r="11498" customFormat="false" ht="15.75" hidden="false" customHeight="false" outlineLevel="0" collapsed="false">
      <c r="A11498" s="1" t="s">
        <v>1208</v>
      </c>
      <c r="B11498" s="1" t="n">
        <v>293.15</v>
      </c>
      <c r="C11498" s="1" t="n">
        <f aca="false">1/B11498</f>
        <v>0.00341122292341805</v>
      </c>
      <c r="D11498" s="1" t="n">
        <v>1.13</v>
      </c>
      <c r="E11498" s="1" t="n">
        <f aca="false">LN(D11498)</f>
        <v>0.122217632724249</v>
      </c>
    </row>
    <row r="11499" customFormat="false" ht="15.75" hidden="false" customHeight="false" outlineLevel="0" collapsed="false">
      <c r="A11499" s="1" t="s">
        <v>1208</v>
      </c>
      <c r="B11499" s="1" t="n">
        <v>303.15</v>
      </c>
      <c r="C11499" s="1" t="n">
        <f aca="false">1/B11499</f>
        <v>0.0032986970146792</v>
      </c>
      <c r="D11499" s="1" t="n">
        <v>0.953</v>
      </c>
      <c r="E11499" s="1" t="n">
        <f aca="false">LN(D11499)</f>
        <v>-0.048140375327935</v>
      </c>
    </row>
    <row r="11500" customFormat="false" ht="15.75" hidden="false" customHeight="false" outlineLevel="0" collapsed="false">
      <c r="A11500" s="1" t="s">
        <v>1208</v>
      </c>
      <c r="B11500" s="1" t="n">
        <v>315.15</v>
      </c>
      <c r="C11500" s="1" t="n">
        <f aca="false">1/B11500</f>
        <v>0.00317309217832778</v>
      </c>
      <c r="D11500" s="1" t="n">
        <v>0.816</v>
      </c>
      <c r="E11500" s="1" t="n">
        <f aca="false">LN(D11500)</f>
        <v>-0.20334092401803</v>
      </c>
    </row>
    <row r="11501" customFormat="false" ht="15.75" hidden="false" customHeight="false" outlineLevel="0" collapsed="false">
      <c r="A11501" s="1" t="s">
        <v>1208</v>
      </c>
      <c r="B11501" s="1" t="n">
        <v>323.15</v>
      </c>
      <c r="C11501" s="1" t="n">
        <f aca="false">1/B11501</f>
        <v>0.00309453814018258</v>
      </c>
      <c r="D11501" s="1" t="n">
        <v>0.703</v>
      </c>
      <c r="E11501" s="1" t="n">
        <f aca="false">LN(D11501)</f>
        <v>-0.352398387171472</v>
      </c>
    </row>
    <row r="11502" customFormat="false" ht="15.75" hidden="false" customHeight="false" outlineLevel="0" collapsed="false">
      <c r="A11502" s="1" t="s">
        <v>1208</v>
      </c>
      <c r="B11502" s="1" t="n">
        <v>333.15</v>
      </c>
      <c r="C11502" s="1" t="n">
        <f aca="false">1/B11502</f>
        <v>0.0030016509079994</v>
      </c>
      <c r="D11502" s="1" t="n">
        <v>0.613</v>
      </c>
      <c r="E11502" s="1" t="n">
        <f aca="false">LN(D11502)</f>
        <v>-0.489390343045926</v>
      </c>
    </row>
    <row r="11503" customFormat="false" ht="15.75" hidden="false" customHeight="false" outlineLevel="0" collapsed="false">
      <c r="A11503" s="1" t="s">
        <v>1501</v>
      </c>
      <c r="B11503" s="1" t="n">
        <v>383.15</v>
      </c>
      <c r="C11503" s="1" t="n">
        <f aca="false">1/B11503</f>
        <v>0.00260994388620645</v>
      </c>
      <c r="D11503" s="1" t="n">
        <v>2.17</v>
      </c>
      <c r="E11503" s="1" t="n">
        <f aca="false">LN(D11503)</f>
        <v>0.774727167552368</v>
      </c>
    </row>
    <row r="11504" customFormat="false" ht="15.75" hidden="false" customHeight="false" outlineLevel="0" collapsed="false">
      <c r="A11504" s="1" t="s">
        <v>1501</v>
      </c>
      <c r="B11504" s="1" t="n">
        <v>388.15</v>
      </c>
      <c r="C11504" s="1" t="n">
        <f aca="false">1/B11504</f>
        <v>0.00257632358624243</v>
      </c>
      <c r="D11504" s="1" t="n">
        <v>2.03</v>
      </c>
      <c r="E11504" s="1" t="n">
        <f aca="false">LN(D11504)</f>
        <v>0.708035793053696</v>
      </c>
    </row>
    <row r="11505" customFormat="false" ht="15.75" hidden="false" customHeight="false" outlineLevel="0" collapsed="false">
      <c r="A11505" s="1" t="s">
        <v>1501</v>
      </c>
      <c r="B11505" s="1" t="n">
        <v>393.15</v>
      </c>
      <c r="C11505" s="1" t="n">
        <f aca="false">1/B11505</f>
        <v>0.00254355843825512</v>
      </c>
      <c r="D11505" s="1" t="n">
        <v>1.87</v>
      </c>
      <c r="E11505" s="1" t="n">
        <f aca="false">LN(D11505)</f>
        <v>0.625938430866495</v>
      </c>
    </row>
    <row r="11506" customFormat="false" ht="15.75" hidden="false" customHeight="false" outlineLevel="0" collapsed="false">
      <c r="A11506" s="1" t="s">
        <v>1210</v>
      </c>
      <c r="B11506" s="1" t="n">
        <v>298.15</v>
      </c>
      <c r="C11506" s="1" t="n">
        <f aca="false">1/B11506</f>
        <v>0.00335401643468053</v>
      </c>
      <c r="D11506" s="1" t="n">
        <v>8.2033</v>
      </c>
      <c r="E11506" s="1" t="n">
        <f aca="false">LN(D11506)</f>
        <v>2.10453651233773</v>
      </c>
    </row>
    <row r="11507" customFormat="false" ht="15.75" hidden="false" customHeight="false" outlineLevel="0" collapsed="false">
      <c r="A11507" s="1" t="s">
        <v>1210</v>
      </c>
      <c r="B11507" s="1" t="n">
        <v>303.15</v>
      </c>
      <c r="C11507" s="1" t="n">
        <f aca="false">1/B11507</f>
        <v>0.0032986970146792</v>
      </c>
      <c r="D11507" s="1" t="n">
        <v>7.0074</v>
      </c>
      <c r="E11507" s="1" t="n">
        <f aca="false">LN(D11507)</f>
        <v>1.94696673353044</v>
      </c>
    </row>
    <row r="11508" customFormat="false" ht="15.75" hidden="false" customHeight="false" outlineLevel="0" collapsed="false">
      <c r="A11508" s="1" t="s">
        <v>1210</v>
      </c>
      <c r="B11508" s="1" t="n">
        <v>308.15</v>
      </c>
      <c r="C11508" s="1" t="n">
        <f aca="false">1/B11508</f>
        <v>0.00324517280545189</v>
      </c>
      <c r="D11508" s="1" t="n">
        <v>6.0391</v>
      </c>
      <c r="E11508" s="1" t="n">
        <f aca="false">LN(D11508)</f>
        <v>1.79825499422162</v>
      </c>
    </row>
    <row r="11509" customFormat="false" ht="15.75" hidden="false" customHeight="false" outlineLevel="0" collapsed="false">
      <c r="A11509" s="1" t="s">
        <v>1210</v>
      </c>
      <c r="B11509" s="1" t="n">
        <v>313.15</v>
      </c>
      <c r="C11509" s="1" t="n">
        <f aca="false">1/B11509</f>
        <v>0.00319335781574325</v>
      </c>
      <c r="D11509" s="1" t="n">
        <v>5.2477</v>
      </c>
      <c r="E11509" s="1" t="n">
        <f aca="false">LN(D11509)</f>
        <v>1.65778988537368</v>
      </c>
    </row>
    <row r="11510" customFormat="false" ht="15.75" hidden="false" customHeight="false" outlineLevel="0" collapsed="false">
      <c r="A11510" s="1" t="s">
        <v>1210</v>
      </c>
      <c r="B11510" s="1" t="n">
        <v>323.15</v>
      </c>
      <c r="C11510" s="1" t="n">
        <f aca="false">1/B11510</f>
        <v>0.00309453814018258</v>
      </c>
      <c r="D11510" s="1" t="n">
        <v>4.0529</v>
      </c>
      <c r="E11510" s="1" t="n">
        <f aca="false">LN(D11510)</f>
        <v>1.39943267426012</v>
      </c>
    </row>
    <row r="11511" customFormat="false" ht="15.75" hidden="false" customHeight="false" outlineLevel="0" collapsed="false">
      <c r="A11511" s="1" t="s">
        <v>1210</v>
      </c>
      <c r="B11511" s="1" t="n">
        <v>333.15</v>
      </c>
      <c r="C11511" s="1" t="n">
        <f aca="false">1/B11511</f>
        <v>0.0030016509079994</v>
      </c>
      <c r="D11511" s="1" t="n">
        <v>3.2153</v>
      </c>
      <c r="E11511" s="1" t="n">
        <f aca="false">LN(D11511)</f>
        <v>1.16792066593343</v>
      </c>
    </row>
    <row r="11512" customFormat="false" ht="15.75" hidden="false" customHeight="false" outlineLevel="0" collapsed="false">
      <c r="A11512" s="1" t="s">
        <v>1210</v>
      </c>
      <c r="B11512" s="1" t="n">
        <v>343.15</v>
      </c>
      <c r="C11512" s="1" t="n">
        <f aca="false">1/B11512</f>
        <v>0.00291417747340813</v>
      </c>
      <c r="D11512" s="1" t="n">
        <v>2.6114</v>
      </c>
      <c r="E11512" s="1" t="n">
        <f aca="false">LN(D11512)</f>
        <v>0.959886475991801</v>
      </c>
    </row>
    <row r="11513" customFormat="false" ht="15.75" hidden="false" customHeight="false" outlineLevel="0" collapsed="false">
      <c r="A11513" s="1" t="s">
        <v>1210</v>
      </c>
      <c r="B11513" s="1" t="n">
        <v>353.15</v>
      </c>
      <c r="C11513" s="1" t="n">
        <f aca="false">1/B11513</f>
        <v>0.00283165793572137</v>
      </c>
      <c r="D11513" s="1" t="n">
        <v>2.1651</v>
      </c>
      <c r="E11513" s="1" t="n">
        <f aca="false">LN(D11513)</f>
        <v>0.7724665497642</v>
      </c>
    </row>
    <row r="11514" customFormat="false" ht="15.75" hidden="false" customHeight="false" outlineLevel="0" collapsed="false">
      <c r="A11514" s="1" t="s">
        <v>1212</v>
      </c>
      <c r="B11514" s="1" t="n">
        <v>308.15</v>
      </c>
      <c r="C11514" s="1" t="n">
        <f aca="false">1/B11514</f>
        <v>0.00324517280545189</v>
      </c>
      <c r="D11514" s="1" t="n">
        <v>7.447</v>
      </c>
      <c r="E11514" s="1" t="n">
        <f aca="false">LN(D11514)</f>
        <v>2.00781126672851</v>
      </c>
    </row>
    <row r="11515" customFormat="false" ht="15.75" hidden="false" customHeight="false" outlineLevel="0" collapsed="false">
      <c r="A11515" s="1" t="s">
        <v>1212</v>
      </c>
      <c r="B11515" s="1" t="n">
        <v>318.15</v>
      </c>
      <c r="C11515" s="1" t="n">
        <f aca="false">1/B11515</f>
        <v>0.00314317146000314</v>
      </c>
      <c r="D11515" s="1" t="n">
        <v>5.915</v>
      </c>
      <c r="E11515" s="1" t="n">
        <f aca="false">LN(D11515)</f>
        <v>1.77749149743035</v>
      </c>
    </row>
    <row r="11516" customFormat="false" ht="15.75" hidden="false" customHeight="false" outlineLevel="0" collapsed="false">
      <c r="A11516" s="1" t="s">
        <v>1212</v>
      </c>
      <c r="B11516" s="1" t="n">
        <v>328.15</v>
      </c>
      <c r="C11516" s="1" t="n">
        <f aca="false">1/B11516</f>
        <v>0.00304738686576261</v>
      </c>
      <c r="D11516" s="1" t="n">
        <v>4.816</v>
      </c>
      <c r="E11516" s="1" t="n">
        <f aca="false">LN(D11516)</f>
        <v>1.57194370800652</v>
      </c>
    </row>
    <row r="11517" customFormat="false" ht="15.75" hidden="false" customHeight="false" outlineLevel="0" collapsed="false">
      <c r="A11517" s="1" t="s">
        <v>1212</v>
      </c>
      <c r="B11517" s="1" t="n">
        <v>338.15</v>
      </c>
      <c r="C11517" s="1" t="n">
        <f aca="false">1/B11517</f>
        <v>0.002957267484844</v>
      </c>
      <c r="D11517" s="1" t="n">
        <v>3.98</v>
      </c>
      <c r="E11517" s="1" t="n">
        <f aca="false">LN(D11517)</f>
        <v>1.38128181929635</v>
      </c>
    </row>
    <row r="11518" customFormat="false" ht="15.75" hidden="false" customHeight="false" outlineLevel="0" collapsed="false">
      <c r="A11518" s="1" t="s">
        <v>1212</v>
      </c>
      <c r="B11518" s="1" t="n">
        <v>348.15</v>
      </c>
      <c r="C11518" s="1" t="n">
        <f aca="false">1/B11518</f>
        <v>0.00287232514720666</v>
      </c>
      <c r="D11518" s="1" t="n">
        <v>3.362</v>
      </c>
      <c r="E11518" s="1" t="n">
        <f aca="false">LN(D11518)</f>
        <v>1.21253603498642</v>
      </c>
    </row>
    <row r="11519" customFormat="false" ht="15.75" hidden="false" customHeight="false" outlineLevel="0" collapsed="false">
      <c r="A11519" s="1" t="s">
        <v>1502</v>
      </c>
      <c r="B11519" s="1" t="n">
        <v>293.2</v>
      </c>
      <c r="C11519" s="1" t="n">
        <f aca="false">1/B11519</f>
        <v>0.0034106412005457</v>
      </c>
      <c r="D11519" s="1" t="n">
        <v>0.784</v>
      </c>
      <c r="E11519" s="1" t="n">
        <f aca="false">LN(D11519)</f>
        <v>-0.243346258631729</v>
      </c>
    </row>
    <row r="11520" customFormat="false" ht="15.75" hidden="false" customHeight="false" outlineLevel="0" collapsed="false">
      <c r="A11520" s="1" t="s">
        <v>1502</v>
      </c>
      <c r="B11520" s="1" t="n">
        <v>303.15</v>
      </c>
      <c r="C11520" s="1" t="n">
        <f aca="false">1/B11520</f>
        <v>0.0032986970146792</v>
      </c>
      <c r="D11520" s="1" t="n">
        <v>0.6965</v>
      </c>
      <c r="E11520" s="1" t="n">
        <f aca="false">LN(D11520)</f>
        <v>-0.361687485762277</v>
      </c>
    </row>
    <row r="11521" customFormat="false" ht="15.75" hidden="false" customHeight="false" outlineLevel="0" collapsed="false">
      <c r="A11521" s="1" t="s">
        <v>1502</v>
      </c>
      <c r="B11521" s="1" t="n">
        <v>313.15</v>
      </c>
      <c r="C11521" s="1" t="n">
        <f aca="false">1/B11521</f>
        <v>0.00319335781574325</v>
      </c>
      <c r="D11521" s="1" t="n">
        <v>0.6205</v>
      </c>
      <c r="E11521" s="1" t="n">
        <f aca="false">LN(D11521)</f>
        <v>-0.477229674337475</v>
      </c>
    </row>
    <row r="11522" customFormat="false" ht="15.75" hidden="false" customHeight="false" outlineLevel="0" collapsed="false">
      <c r="A11522" s="1" t="s">
        <v>1502</v>
      </c>
      <c r="B11522" s="1" t="n">
        <v>323.6</v>
      </c>
      <c r="C11522" s="1" t="n">
        <f aca="false">1/B11522</f>
        <v>0.0030902348578492</v>
      </c>
      <c r="D11522" s="1" t="n">
        <v>0.555</v>
      </c>
      <c r="E11522" s="1" t="n">
        <f aca="false">LN(D11522)</f>
        <v>-0.588787165235702</v>
      </c>
    </row>
    <row r="11523" customFormat="false" ht="15.75" hidden="false" customHeight="false" outlineLevel="0" collapsed="false">
      <c r="A11523" s="1" t="s">
        <v>1503</v>
      </c>
      <c r="B11523" s="1" t="n">
        <v>328.75</v>
      </c>
      <c r="C11523" s="1" t="n">
        <f aca="false">1/B11523</f>
        <v>0.00304182509505703</v>
      </c>
      <c r="D11523" s="1" t="n">
        <v>6.2893</v>
      </c>
      <c r="E11523" s="1" t="n">
        <f aca="false">LN(D11523)</f>
        <v>1.83884977676106</v>
      </c>
    </row>
    <row r="11524" customFormat="false" ht="15.75" hidden="false" customHeight="false" outlineLevel="0" collapsed="false">
      <c r="A11524" s="1" t="s">
        <v>1503</v>
      </c>
      <c r="B11524" s="1" t="n">
        <v>347.75</v>
      </c>
      <c r="C11524" s="1" t="n">
        <f aca="false">1/B11524</f>
        <v>0.00287562904385334</v>
      </c>
      <c r="D11524" s="1" t="n">
        <v>2.4691</v>
      </c>
      <c r="E11524" s="1" t="n">
        <f aca="false">LN(D11524)</f>
        <v>0.903853711770472</v>
      </c>
    </row>
    <row r="11525" customFormat="false" ht="15.75" hidden="false" customHeight="false" outlineLevel="0" collapsed="false">
      <c r="A11525" s="1" t="s">
        <v>1503</v>
      </c>
      <c r="B11525" s="1" t="n">
        <v>353.35</v>
      </c>
      <c r="C11525" s="1" t="n">
        <f aca="false">1/B11525</f>
        <v>0.00283005518607613</v>
      </c>
      <c r="D11525" s="1" t="n">
        <v>1.8484</v>
      </c>
      <c r="E11525" s="1" t="n">
        <f aca="false">LN(D11525)</f>
        <v>0.614320400013974</v>
      </c>
    </row>
    <row r="11526" customFormat="false" ht="15.75" hidden="false" customHeight="false" outlineLevel="0" collapsed="false">
      <c r="A11526" s="1" t="s">
        <v>1503</v>
      </c>
      <c r="B11526" s="1" t="n">
        <v>372.15</v>
      </c>
      <c r="C11526" s="1" t="n">
        <f aca="false">1/B11526</f>
        <v>0.00268708853956738</v>
      </c>
      <c r="D11526" s="1" t="n">
        <v>1.0406</v>
      </c>
      <c r="E11526" s="1" t="n">
        <f aca="false">LN(D11526)</f>
        <v>0.0397974698740661</v>
      </c>
    </row>
    <row r="11527" customFormat="false" ht="15.75" hidden="false" customHeight="false" outlineLevel="0" collapsed="false">
      <c r="A11527" s="1" t="s">
        <v>1504</v>
      </c>
      <c r="B11527" s="1" t="n">
        <v>273.16</v>
      </c>
      <c r="C11527" s="1" t="n">
        <f aca="false">1/B11527</f>
        <v>0.00366085810513984</v>
      </c>
      <c r="D11527" s="1" t="n">
        <v>0.495</v>
      </c>
      <c r="E11527" s="1" t="n">
        <f aca="false">LN(D11527)</f>
        <v>-0.703197516413447</v>
      </c>
    </row>
    <row r="11528" customFormat="false" ht="15.75" hidden="false" customHeight="false" outlineLevel="0" collapsed="false">
      <c r="A11528" s="1" t="s">
        <v>1504</v>
      </c>
      <c r="B11528" s="1" t="n">
        <v>303.16</v>
      </c>
      <c r="C11528" s="1" t="n">
        <f aca="false">1/B11528</f>
        <v>0.00329858820424858</v>
      </c>
      <c r="D11528" s="1" t="n">
        <v>0.342</v>
      </c>
      <c r="E11528" s="1" t="n">
        <f aca="false">LN(D11528)</f>
        <v>-1.07294454191953</v>
      </c>
    </row>
    <row r="11529" customFormat="false" ht="15.75" hidden="false" customHeight="false" outlineLevel="0" collapsed="false">
      <c r="A11529" s="1" t="s">
        <v>1505</v>
      </c>
      <c r="B11529" s="1" t="n">
        <v>273.15</v>
      </c>
      <c r="C11529" s="1" t="n">
        <f aca="false">1/B11529</f>
        <v>0.00366099212886692</v>
      </c>
      <c r="D11529" s="1" t="n">
        <v>15.8604</v>
      </c>
      <c r="E11529" s="1" t="n">
        <f aca="false">LN(D11529)</f>
        <v>2.76382543656962</v>
      </c>
    </row>
    <row r="11530" customFormat="false" ht="15.75" hidden="false" customHeight="false" outlineLevel="0" collapsed="false">
      <c r="A11530" s="1" t="s">
        <v>1505</v>
      </c>
      <c r="B11530" s="1" t="n">
        <v>293.15</v>
      </c>
      <c r="C11530" s="1" t="n">
        <f aca="false">1/B11530</f>
        <v>0.00341122292341805</v>
      </c>
      <c r="D11530" s="1" t="n">
        <v>7.1582</v>
      </c>
      <c r="E11530" s="1" t="n">
        <f aca="false">LN(D11530)</f>
        <v>1.96825855271908</v>
      </c>
    </row>
    <row r="11531" customFormat="false" ht="15.75" hidden="false" customHeight="false" outlineLevel="0" collapsed="false">
      <c r="A11531" s="1" t="s">
        <v>1505</v>
      </c>
      <c r="B11531" s="1" t="n">
        <v>303.15</v>
      </c>
      <c r="C11531" s="1" t="n">
        <f aca="false">1/B11531</f>
        <v>0.0032986970146792</v>
      </c>
      <c r="D11531" s="1" t="n">
        <v>5.2138</v>
      </c>
      <c r="E11531" s="1" t="n">
        <f aca="false">LN(D11531)</f>
        <v>1.65130895650941</v>
      </c>
    </row>
    <row r="11532" customFormat="false" ht="15.75" hidden="false" customHeight="false" outlineLevel="0" collapsed="false">
      <c r="A11532" s="1" t="s">
        <v>1505</v>
      </c>
      <c r="B11532" s="1" t="n">
        <v>313.15</v>
      </c>
      <c r="C11532" s="1" t="n">
        <f aca="false">1/B11532</f>
        <v>0.00319335781574325</v>
      </c>
      <c r="D11532" s="1" t="n">
        <v>3.962</v>
      </c>
      <c r="E11532" s="1" t="n">
        <f aca="false">LN(D11532)</f>
        <v>1.37674894827636</v>
      </c>
    </row>
    <row r="11533" customFormat="false" ht="15.75" hidden="false" customHeight="false" outlineLevel="0" collapsed="false">
      <c r="A11533" s="1" t="s">
        <v>1505</v>
      </c>
      <c r="B11533" s="1" t="n">
        <v>333.15</v>
      </c>
      <c r="C11533" s="1" t="n">
        <f aca="false">1/B11533</f>
        <v>0.0030016509079994</v>
      </c>
      <c r="D11533" s="1" t="n">
        <v>2.5088</v>
      </c>
      <c r="E11533" s="1" t="n">
        <f aca="false">LN(D11533)</f>
        <v>0.919804551173952</v>
      </c>
    </row>
    <row r="11534" customFormat="false" ht="15.75" hidden="false" customHeight="false" outlineLevel="0" collapsed="false">
      <c r="A11534" s="1" t="s">
        <v>1505</v>
      </c>
      <c r="B11534" s="1" t="n">
        <v>353.15</v>
      </c>
      <c r="C11534" s="1" t="n">
        <f aca="false">1/B11534</f>
        <v>0.00283165793572137</v>
      </c>
      <c r="D11534" s="1" t="n">
        <v>1.7409</v>
      </c>
      <c r="E11534" s="1" t="n">
        <f aca="false">LN(D11534)</f>
        <v>0.554402220882535</v>
      </c>
    </row>
    <row r="11535" customFormat="false" ht="15.75" hidden="false" customHeight="false" outlineLevel="0" collapsed="false">
      <c r="A11535" s="1" t="s">
        <v>1505</v>
      </c>
      <c r="B11535" s="1" t="n">
        <v>373.15</v>
      </c>
      <c r="C11535" s="1" t="n">
        <f aca="false">1/B11535</f>
        <v>0.00267988744472732</v>
      </c>
      <c r="D11535" s="1" t="n">
        <v>1.2977</v>
      </c>
      <c r="E11535" s="1" t="n">
        <f aca="false">LN(D11535)</f>
        <v>0.260593466761048</v>
      </c>
    </row>
    <row r="11536" customFormat="false" ht="15.75" hidden="false" customHeight="false" outlineLevel="0" collapsed="false">
      <c r="A11536" s="1" t="s">
        <v>1506</v>
      </c>
      <c r="B11536" s="1" t="n">
        <v>278.15</v>
      </c>
      <c r="C11536" s="1" t="n">
        <f aca="false">1/B11536</f>
        <v>0.00359518245550962</v>
      </c>
      <c r="D11536" s="1" t="n">
        <v>4.3691</v>
      </c>
      <c r="E11536" s="1" t="n">
        <f aca="false">LN(D11536)</f>
        <v>1.47455703824021</v>
      </c>
    </row>
    <row r="11537" customFormat="false" ht="15.75" hidden="false" customHeight="false" outlineLevel="0" collapsed="false">
      <c r="A11537" s="1" t="s">
        <v>1506</v>
      </c>
      <c r="B11537" s="1" t="n">
        <v>288.15</v>
      </c>
      <c r="C11537" s="1" t="n">
        <f aca="false">1/B11537</f>
        <v>0.00347041471455839</v>
      </c>
      <c r="D11537" s="1" t="n">
        <v>3.4622</v>
      </c>
      <c r="E11537" s="1" t="n">
        <f aca="false">LN(D11537)</f>
        <v>1.24190422516049</v>
      </c>
    </row>
    <row r="11538" customFormat="false" ht="15.75" hidden="false" customHeight="false" outlineLevel="0" collapsed="false">
      <c r="A11538" s="1" t="s">
        <v>1506</v>
      </c>
      <c r="B11538" s="1" t="n">
        <v>298.15</v>
      </c>
      <c r="C11538" s="1" t="n">
        <f aca="false">1/B11538</f>
        <v>0.00335401643468053</v>
      </c>
      <c r="D11538" s="1" t="n">
        <v>2.8099</v>
      </c>
      <c r="E11538" s="1" t="n">
        <f aca="false">LN(D11538)</f>
        <v>1.0331488955238</v>
      </c>
    </row>
    <row r="11539" customFormat="false" ht="15.75" hidden="false" customHeight="false" outlineLevel="0" collapsed="false">
      <c r="A11539" s="1" t="s">
        <v>1506</v>
      </c>
      <c r="B11539" s="1" t="n">
        <v>308.15</v>
      </c>
      <c r="C11539" s="1" t="n">
        <f aca="false">1/B11539</f>
        <v>0.00324517280545189</v>
      </c>
      <c r="D11539" s="1" t="n">
        <v>2.3283</v>
      </c>
      <c r="E11539" s="1" t="n">
        <f aca="false">LN(D11539)</f>
        <v>0.845138387546066</v>
      </c>
    </row>
    <row r="11540" customFormat="false" ht="15.75" hidden="false" customHeight="false" outlineLevel="0" collapsed="false">
      <c r="A11540" s="1" t="s">
        <v>1506</v>
      </c>
      <c r="B11540" s="1" t="n">
        <v>318.15</v>
      </c>
      <c r="C11540" s="1" t="n">
        <f aca="false">1/B11540</f>
        <v>0.00314317146000314</v>
      </c>
      <c r="D11540" s="1" t="n">
        <v>1.9646</v>
      </c>
      <c r="E11540" s="1" t="n">
        <f aca="false">LN(D11540)</f>
        <v>0.675288662258632</v>
      </c>
    </row>
    <row r="11541" customFormat="false" ht="15.75" hidden="false" customHeight="false" outlineLevel="0" collapsed="false">
      <c r="A11541" s="1" t="s">
        <v>1506</v>
      </c>
      <c r="B11541" s="1" t="n">
        <v>328.15</v>
      </c>
      <c r="C11541" s="1" t="n">
        <f aca="false">1/B11541</f>
        <v>0.00304738686576261</v>
      </c>
      <c r="D11541" s="1" t="n">
        <v>1.6843</v>
      </c>
      <c r="E11541" s="1" t="n">
        <f aca="false">LN(D11541)</f>
        <v>0.521350047222203</v>
      </c>
    </row>
    <row r="11542" customFormat="false" ht="15.75" hidden="false" customHeight="false" outlineLevel="0" collapsed="false">
      <c r="A11542" s="1" t="s">
        <v>1506</v>
      </c>
      <c r="B11542" s="1" t="n">
        <v>338.15</v>
      </c>
      <c r="C11542" s="1" t="n">
        <f aca="false">1/B11542</f>
        <v>0.002957267484844</v>
      </c>
      <c r="D11542" s="1" t="n">
        <v>1.4645</v>
      </c>
      <c r="E11542" s="1" t="n">
        <f aca="false">LN(D11542)</f>
        <v>0.381513887285651</v>
      </c>
    </row>
    <row r="11543" customFormat="false" ht="15.75" hidden="false" customHeight="false" outlineLevel="0" collapsed="false">
      <c r="A11543" s="1" t="s">
        <v>1214</v>
      </c>
      <c r="B11543" s="1" t="n">
        <v>375.15</v>
      </c>
      <c r="C11543" s="1" t="n">
        <f aca="false">1/B11543</f>
        <v>0.00266560042649607</v>
      </c>
      <c r="D11543" s="1" t="n">
        <v>5.814</v>
      </c>
      <c r="E11543" s="1" t="n">
        <f aca="false">LN(D11543)</f>
        <v>1.76026880213668</v>
      </c>
    </row>
    <row r="11544" customFormat="false" ht="15.75" hidden="false" customHeight="false" outlineLevel="0" collapsed="false">
      <c r="A11544" s="1" t="s">
        <v>1214</v>
      </c>
      <c r="B11544" s="1" t="n">
        <v>402.85</v>
      </c>
      <c r="C11544" s="1" t="n">
        <f aca="false">1/B11544</f>
        <v>0.0024823135161971</v>
      </c>
      <c r="D11544" s="1" t="n">
        <v>2.916</v>
      </c>
      <c r="E11544" s="1" t="n">
        <f aca="false">LN(D11544)</f>
        <v>1.07021281414641</v>
      </c>
    </row>
    <row r="11545" customFormat="false" ht="15.75" hidden="false" customHeight="false" outlineLevel="0" collapsed="false">
      <c r="A11545" s="1" t="s">
        <v>1214</v>
      </c>
      <c r="B11545" s="1" t="n">
        <v>423.15</v>
      </c>
      <c r="C11545" s="1" t="n">
        <f aca="false">1/B11545</f>
        <v>0.00236322816967978</v>
      </c>
      <c r="D11545" s="1" t="n">
        <v>2</v>
      </c>
      <c r="E11545" s="1" t="n">
        <f aca="false">LN(D11545)</f>
        <v>0.693147180559945</v>
      </c>
    </row>
    <row r="11546" customFormat="false" ht="15.75" hidden="false" customHeight="false" outlineLevel="0" collapsed="false">
      <c r="A11546" s="1" t="s">
        <v>1214</v>
      </c>
      <c r="B11546" s="1" t="n">
        <v>433.15</v>
      </c>
      <c r="C11546" s="1" t="n">
        <f aca="false">1/B11546</f>
        <v>0.00230866905229135</v>
      </c>
      <c r="D11546" s="1" t="n">
        <v>1.669</v>
      </c>
      <c r="E11546" s="1" t="n">
        <f aca="false">LN(D11546)</f>
        <v>0.512224644679698</v>
      </c>
    </row>
    <row r="11547" customFormat="false" ht="15.75" hidden="false" customHeight="false" outlineLevel="0" collapsed="false">
      <c r="A11547" s="1" t="s">
        <v>1214</v>
      </c>
      <c r="B11547" s="1" t="n">
        <v>452.45</v>
      </c>
      <c r="C11547" s="1" t="n">
        <f aca="false">1/B11547</f>
        <v>0.00221018897115703</v>
      </c>
      <c r="D11547" s="1" t="n">
        <v>1.254</v>
      </c>
      <c r="E11547" s="1" t="n">
        <f aca="false">LN(D11547)</f>
        <v>0.226338442210729</v>
      </c>
    </row>
    <row r="11548" customFormat="false" ht="15.75" hidden="false" customHeight="false" outlineLevel="0" collapsed="false">
      <c r="A11548" s="1" t="s">
        <v>1214</v>
      </c>
      <c r="B11548" s="1" t="n">
        <v>472.35</v>
      </c>
      <c r="C11548" s="1" t="n">
        <f aca="false">1/B11548</f>
        <v>0.00211707420345083</v>
      </c>
      <c r="D11548" s="1" t="n">
        <v>0.9783</v>
      </c>
      <c r="E11548" s="1" t="n">
        <f aca="false">LN(D11548)</f>
        <v>-0.021938907518754</v>
      </c>
    </row>
    <row r="11549" customFormat="false" ht="15.75" hidden="false" customHeight="false" outlineLevel="0" collapsed="false">
      <c r="A11549" s="1" t="s">
        <v>1214</v>
      </c>
      <c r="B11549" s="1" t="n">
        <v>488.15</v>
      </c>
      <c r="C11549" s="1" t="n">
        <f aca="false">1/B11549</f>
        <v>0.00204855065041483</v>
      </c>
      <c r="D11549" s="1" t="n">
        <v>0.8194</v>
      </c>
      <c r="E11549" s="1" t="n">
        <f aca="false">LN(D11549)</f>
        <v>-0.199182913869366</v>
      </c>
    </row>
    <row r="11550" customFormat="false" ht="15.75" hidden="false" customHeight="false" outlineLevel="0" collapsed="false">
      <c r="A11550" s="1" t="s">
        <v>1214</v>
      </c>
      <c r="B11550" s="1" t="n">
        <v>504.15</v>
      </c>
      <c r="C11550" s="1" t="n">
        <f aca="false">1/B11550</f>
        <v>0.00198353664583953</v>
      </c>
      <c r="D11550" s="1" t="n">
        <v>0.7</v>
      </c>
      <c r="E11550" s="1" t="n">
        <f aca="false">LN(D11550)</f>
        <v>-0.356674943938732</v>
      </c>
    </row>
    <row r="11551" customFormat="false" ht="15.75" hidden="false" customHeight="false" outlineLevel="0" collapsed="false">
      <c r="A11551" s="1" t="s">
        <v>1214</v>
      </c>
      <c r="B11551" s="1" t="n">
        <v>518.35</v>
      </c>
      <c r="C11551" s="1" t="n">
        <f aca="false">1/B11551</f>
        <v>0.0019291984180573</v>
      </c>
      <c r="D11551" s="1" t="n">
        <v>0.6155</v>
      </c>
      <c r="E11551" s="1" t="n">
        <f aca="false">LN(D11551)</f>
        <v>-0.485320333357629</v>
      </c>
    </row>
    <row r="11552" customFormat="false" ht="15.75" hidden="false" customHeight="false" outlineLevel="0" collapsed="false">
      <c r="A11552" s="1" t="s">
        <v>1214</v>
      </c>
      <c r="B11552" s="1" t="n">
        <v>569.15</v>
      </c>
      <c r="C11552" s="1" t="n">
        <f aca="false">1/B11552</f>
        <v>0.00175700606167091</v>
      </c>
      <c r="D11552" s="1" t="n">
        <v>0.4087</v>
      </c>
      <c r="E11552" s="1" t="n">
        <f aca="false">LN(D11552)</f>
        <v>-0.894773888411905</v>
      </c>
    </row>
    <row r="11553" customFormat="false" ht="15.75" hidden="false" customHeight="false" outlineLevel="0" collapsed="false">
      <c r="A11553" s="1" t="s">
        <v>1216</v>
      </c>
      <c r="B11553" s="1" t="n">
        <v>273.39</v>
      </c>
      <c r="C11553" s="1" t="n">
        <f aca="false">1/B11553</f>
        <v>0.00365777826548155</v>
      </c>
      <c r="D11553" s="1" t="n">
        <v>8.461</v>
      </c>
      <c r="E11553" s="1" t="n">
        <f aca="false">LN(D11553)</f>
        <v>2.13546736994236</v>
      </c>
    </row>
    <row r="11554" customFormat="false" ht="15.75" hidden="false" customHeight="false" outlineLevel="0" collapsed="false">
      <c r="A11554" s="1" t="s">
        <v>1216</v>
      </c>
      <c r="B11554" s="1" t="n">
        <v>285.06</v>
      </c>
      <c r="C11554" s="1" t="n">
        <f aca="false">1/B11554</f>
        <v>0.00350803339647793</v>
      </c>
      <c r="D11554" s="1" t="n">
        <v>5.6249</v>
      </c>
      <c r="E11554" s="1" t="n">
        <f aca="false">LN(D11554)</f>
        <v>1.72720317015468</v>
      </c>
    </row>
    <row r="11555" customFormat="false" ht="15.75" hidden="false" customHeight="false" outlineLevel="0" collapsed="false">
      <c r="A11555" s="1" t="s">
        <v>1216</v>
      </c>
      <c r="B11555" s="1" t="n">
        <v>296.98</v>
      </c>
      <c r="C11555" s="1" t="n">
        <f aca="false">1/B11555</f>
        <v>0.00336723011650616</v>
      </c>
      <c r="D11555" s="1" t="n">
        <v>3.8633</v>
      </c>
      <c r="E11555" s="1" t="n">
        <f aca="false">LN(D11555)</f>
        <v>1.35152174051863</v>
      </c>
    </row>
    <row r="11556" customFormat="false" ht="15.75" hidden="false" customHeight="false" outlineLevel="0" collapsed="false">
      <c r="A11556" s="1" t="s">
        <v>1216</v>
      </c>
      <c r="B11556" s="1" t="n">
        <v>307.4</v>
      </c>
      <c r="C11556" s="1" t="n">
        <f aca="false">1/B11556</f>
        <v>0.00325309043591412</v>
      </c>
      <c r="D11556" s="1" t="n">
        <v>2.8303</v>
      </c>
      <c r="E11556" s="1" t="n">
        <f aca="false">LN(D11556)</f>
        <v>1.04038271310393</v>
      </c>
    </row>
    <row r="11557" customFormat="false" ht="15.75" hidden="false" customHeight="false" outlineLevel="0" collapsed="false">
      <c r="A11557" s="1" t="s">
        <v>1216</v>
      </c>
      <c r="B11557" s="1" t="n">
        <v>320.81</v>
      </c>
      <c r="C11557" s="1" t="n">
        <f aca="false">1/B11557</f>
        <v>0.00311710981577881</v>
      </c>
      <c r="D11557" s="1" t="n">
        <v>1.9654</v>
      </c>
      <c r="E11557" s="1" t="n">
        <f aca="false">LN(D11557)</f>
        <v>0.675695786946189</v>
      </c>
    </row>
    <row r="11558" customFormat="false" ht="15.75" hidden="false" customHeight="false" outlineLevel="0" collapsed="false">
      <c r="A11558" s="1" t="s">
        <v>1216</v>
      </c>
      <c r="B11558" s="1" t="n">
        <v>331.89</v>
      </c>
      <c r="C11558" s="1" t="n">
        <f aca="false">1/B11558</f>
        <v>0.00301304649130736</v>
      </c>
      <c r="D11558" s="1" t="n">
        <v>1.4847</v>
      </c>
      <c r="E11558" s="1" t="n">
        <f aca="false">LN(D11558)</f>
        <v>0.395212731643813</v>
      </c>
    </row>
    <row r="11559" customFormat="false" ht="15.75" hidden="false" customHeight="false" outlineLevel="0" collapsed="false">
      <c r="A11559" s="1" t="s">
        <v>1216</v>
      </c>
      <c r="B11559" s="1" t="n">
        <v>344.2</v>
      </c>
      <c r="C11559" s="1" t="n">
        <f aca="false">1/B11559</f>
        <v>0.00290528762347472</v>
      </c>
      <c r="D11559" s="1" t="n">
        <v>1.121</v>
      </c>
      <c r="E11559" s="1" t="n">
        <f aca="false">LN(D11559)</f>
        <v>0.114221144090023</v>
      </c>
    </row>
    <row r="11560" customFormat="false" ht="15.75" hidden="false" customHeight="false" outlineLevel="0" collapsed="false">
      <c r="A11560" s="1" t="s">
        <v>1216</v>
      </c>
      <c r="B11560" s="1" t="n">
        <v>355.02</v>
      </c>
      <c r="C11560" s="1" t="n">
        <f aca="false">1/B11560</f>
        <v>0.00281674271872007</v>
      </c>
      <c r="D11560" s="1" t="n">
        <v>0.8888</v>
      </c>
      <c r="E11560" s="1" t="n">
        <f aca="false">LN(D11560)</f>
        <v>-0.117883040656717</v>
      </c>
    </row>
    <row r="11561" customFormat="false" ht="15.75" hidden="false" customHeight="false" outlineLevel="0" collapsed="false">
      <c r="A11561" s="1" t="s">
        <v>1216</v>
      </c>
      <c r="B11561" s="1" t="n">
        <v>368.09</v>
      </c>
      <c r="C11561" s="1" t="n">
        <f aca="false">1/B11561</f>
        <v>0.002716726887446</v>
      </c>
      <c r="D11561" s="1" t="n">
        <v>0.6872</v>
      </c>
      <c r="E11561" s="1" t="n">
        <f aca="false">LN(D11561)</f>
        <v>-0.375129908312091</v>
      </c>
    </row>
    <row r="11562" customFormat="false" ht="15.75" hidden="false" customHeight="false" outlineLevel="0" collapsed="false">
      <c r="A11562" s="1" t="s">
        <v>1216</v>
      </c>
      <c r="B11562" s="1" t="n">
        <v>377.72</v>
      </c>
      <c r="C11562" s="1" t="n">
        <f aca="false">1/B11562</f>
        <v>0.0026474637297469</v>
      </c>
      <c r="D11562" s="1" t="n">
        <v>0.5795</v>
      </c>
      <c r="E11562" s="1" t="n">
        <f aca="false">LN(D11562)</f>
        <v>-0.545589616202331</v>
      </c>
    </row>
    <row r="11563" customFormat="false" ht="15.75" hidden="false" customHeight="false" outlineLevel="0" collapsed="false">
      <c r="A11563" s="1" t="s">
        <v>1216</v>
      </c>
      <c r="B11563" s="1" t="n">
        <v>390.75</v>
      </c>
      <c r="C11563" s="1" t="n">
        <f aca="false">1/B11563</f>
        <v>0.00255918106206014</v>
      </c>
      <c r="D11563" s="1" t="n">
        <v>0.4654</v>
      </c>
      <c r="E11563" s="1" t="n">
        <f aca="false">LN(D11563)</f>
        <v>-0.764858028113946</v>
      </c>
    </row>
    <row r="11564" customFormat="false" ht="15.75" hidden="false" customHeight="false" outlineLevel="0" collapsed="false">
      <c r="A11564" s="1" t="s">
        <v>1216</v>
      </c>
      <c r="B11564" s="1" t="n">
        <v>401.25</v>
      </c>
      <c r="C11564" s="1" t="n">
        <f aca="false">1/B11564</f>
        <v>0.00249221183800623</v>
      </c>
      <c r="D11564" s="1" t="n">
        <v>0.3974</v>
      </c>
      <c r="E11564" s="1" t="n">
        <f aca="false">LN(D11564)</f>
        <v>-0.922811948864421</v>
      </c>
    </row>
    <row r="11565" customFormat="false" ht="15.75" hidden="false" customHeight="false" outlineLevel="0" collapsed="false">
      <c r="A11565" s="1" t="s">
        <v>1216</v>
      </c>
      <c r="B11565" s="1" t="n">
        <v>223.15</v>
      </c>
      <c r="C11565" s="1" t="n">
        <f aca="false">1/B11565</f>
        <v>0.00448129061169617</v>
      </c>
      <c r="D11565" s="1" t="n">
        <v>101</v>
      </c>
      <c r="E11565" s="1" t="n">
        <f aca="false">LN(D11565)</f>
        <v>4.61512051684126</v>
      </c>
    </row>
    <row r="11566" customFormat="false" ht="15.75" hidden="false" customHeight="false" outlineLevel="0" collapsed="false">
      <c r="A11566" s="1" t="s">
        <v>1216</v>
      </c>
      <c r="B11566" s="1" t="n">
        <v>233.15</v>
      </c>
      <c r="C11566" s="1" t="n">
        <f aca="false">1/B11566</f>
        <v>0.00428908428050611</v>
      </c>
      <c r="D11566" s="1" t="n">
        <v>58</v>
      </c>
      <c r="E11566" s="1" t="n">
        <f aca="false">LN(D11566)</f>
        <v>4.06044301054642</v>
      </c>
    </row>
    <row r="11567" customFormat="false" ht="15.75" hidden="false" customHeight="false" outlineLevel="0" collapsed="false">
      <c r="A11567" s="1" t="s">
        <v>1216</v>
      </c>
      <c r="B11567" s="1" t="n">
        <v>243.15</v>
      </c>
      <c r="C11567" s="1" t="n">
        <f aca="false">1/B11567</f>
        <v>0.00411268764137364</v>
      </c>
      <c r="D11567" s="1" t="n">
        <v>33</v>
      </c>
      <c r="E11567" s="1" t="n">
        <f aca="false">LN(D11567)</f>
        <v>3.49650756146648</v>
      </c>
    </row>
    <row r="11568" customFormat="false" ht="15.75" hidden="false" customHeight="false" outlineLevel="0" collapsed="false">
      <c r="A11568" s="1" t="s">
        <v>1216</v>
      </c>
      <c r="B11568" s="1" t="n">
        <v>253.15</v>
      </c>
      <c r="C11568" s="1" t="n">
        <f aca="false">1/B11568</f>
        <v>0.00395022713806044</v>
      </c>
      <c r="D11568" s="1" t="n">
        <v>20.7</v>
      </c>
      <c r="E11568" s="1" t="n">
        <f aca="false">LN(D11568)</f>
        <v>3.03013370027132</v>
      </c>
    </row>
    <row r="11569" customFormat="false" ht="15.75" hidden="false" customHeight="false" outlineLevel="0" collapsed="false">
      <c r="A11569" s="1" t="s">
        <v>1216</v>
      </c>
      <c r="B11569" s="1" t="n">
        <v>263.15</v>
      </c>
      <c r="C11569" s="1" t="n">
        <f aca="false">1/B11569</f>
        <v>0.0038001140034201</v>
      </c>
      <c r="D11569" s="1" t="n">
        <v>13</v>
      </c>
      <c r="E11569" s="1" t="n">
        <f aca="false">LN(D11569)</f>
        <v>2.56494935746154</v>
      </c>
    </row>
    <row r="11570" customFormat="false" ht="15.75" hidden="false" customHeight="false" outlineLevel="0" collapsed="false">
      <c r="A11570" s="1" t="s">
        <v>1216</v>
      </c>
      <c r="B11570" s="1" t="n">
        <v>273.15</v>
      </c>
      <c r="C11570" s="1" t="n">
        <f aca="false">1/B11570</f>
        <v>0.00366099212886692</v>
      </c>
      <c r="D11570" s="1" t="n">
        <v>8.8</v>
      </c>
      <c r="E11570" s="1" t="n">
        <f aca="false">LN(D11570)</f>
        <v>2.17475172148416</v>
      </c>
    </row>
    <row r="11571" customFormat="false" ht="15.75" hidden="false" customHeight="false" outlineLevel="0" collapsed="false">
      <c r="A11571" s="1" t="s">
        <v>1216</v>
      </c>
      <c r="B11571" s="1" t="n">
        <v>283.15</v>
      </c>
      <c r="C11571" s="1" t="n">
        <f aca="false">1/B11571</f>
        <v>0.00353169698039908</v>
      </c>
      <c r="D11571" s="1" t="n">
        <v>6.1</v>
      </c>
      <c r="E11571" s="1" t="n">
        <f aca="false">LN(D11571)</f>
        <v>1.80828877117927</v>
      </c>
    </row>
    <row r="11572" customFormat="false" ht="15.75" hidden="false" customHeight="false" outlineLevel="0" collapsed="false">
      <c r="A11572" s="1" t="s">
        <v>1216</v>
      </c>
      <c r="B11572" s="1" t="n">
        <v>293.15</v>
      </c>
      <c r="C11572" s="1" t="n">
        <f aca="false">1/B11572</f>
        <v>0.00341122292341805</v>
      </c>
      <c r="D11572" s="1" t="n">
        <v>4.4</v>
      </c>
      <c r="E11572" s="1" t="n">
        <f aca="false">LN(D11572)</f>
        <v>1.48160454092422</v>
      </c>
    </row>
    <row r="11573" customFormat="false" ht="15.75" hidden="false" customHeight="false" outlineLevel="0" collapsed="false">
      <c r="A11573" s="1" t="s">
        <v>1216</v>
      </c>
      <c r="B11573" s="1" t="n">
        <v>303.15</v>
      </c>
      <c r="C11573" s="1" t="n">
        <f aca="false">1/B11573</f>
        <v>0.0032986970146792</v>
      </c>
      <c r="D11573" s="1" t="n">
        <v>2.961</v>
      </c>
      <c r="E11573" s="1" t="n">
        <f aca="false">LN(D11573)</f>
        <v>1.08552704911945</v>
      </c>
    </row>
    <row r="11574" customFormat="false" ht="15.75" hidden="false" customHeight="false" outlineLevel="0" collapsed="false">
      <c r="A11574" s="1" t="s">
        <v>144</v>
      </c>
      <c r="B11574" s="1" t="n">
        <v>298.15</v>
      </c>
      <c r="C11574" s="1" t="n">
        <f aca="false">1/B11574</f>
        <v>0.00335401643468053</v>
      </c>
      <c r="D11574" s="1" t="n">
        <v>0.673</v>
      </c>
      <c r="E11574" s="1" t="n">
        <f aca="false">LN(D11574)</f>
        <v>-0.396009949337409</v>
      </c>
    </row>
    <row r="11575" customFormat="false" ht="15.75" hidden="false" customHeight="false" outlineLevel="0" collapsed="false">
      <c r="A11575" s="1" t="s">
        <v>144</v>
      </c>
      <c r="B11575" s="1" t="n">
        <v>323.15</v>
      </c>
      <c r="C11575" s="1" t="n">
        <f aca="false">1/B11575</f>
        <v>0.00309453814018258</v>
      </c>
      <c r="D11575" s="1" t="n">
        <v>0.541</v>
      </c>
      <c r="E11575" s="1" t="n">
        <f aca="false">LN(D11575)</f>
        <v>-0.614336000135655</v>
      </c>
    </row>
    <row r="11576" customFormat="false" ht="15.75" hidden="false" customHeight="false" outlineLevel="0" collapsed="false">
      <c r="A11576" s="1" t="s">
        <v>144</v>
      </c>
      <c r="B11576" s="1" t="n">
        <v>373.15</v>
      </c>
      <c r="C11576" s="1" t="n">
        <f aca="false">1/B11576</f>
        <v>0.00267988744472732</v>
      </c>
      <c r="D11576" s="1" t="n">
        <v>0.316</v>
      </c>
      <c r="E11576" s="1" t="n">
        <f aca="false">LN(D11576)</f>
        <v>-1.15201306539523</v>
      </c>
    </row>
    <row r="11577" customFormat="false" ht="15.75" hidden="false" customHeight="false" outlineLevel="0" collapsed="false">
      <c r="A11577" s="1" t="s">
        <v>144</v>
      </c>
      <c r="B11577" s="1" t="n">
        <v>398.15</v>
      </c>
      <c r="C11577" s="1" t="n">
        <f aca="false">1/B11577</f>
        <v>0.00251161622504081</v>
      </c>
      <c r="D11577" s="1" t="n">
        <v>0.263</v>
      </c>
      <c r="E11577" s="1" t="n">
        <f aca="false">LN(D11577)</f>
        <v>-1.33560124680437</v>
      </c>
    </row>
    <row r="11578" customFormat="false" ht="15.75" hidden="false" customHeight="false" outlineLevel="0" collapsed="false">
      <c r="A11578" s="1" t="s">
        <v>1507</v>
      </c>
      <c r="B11578" s="1" t="n">
        <v>298.15</v>
      </c>
      <c r="C11578" s="1" t="n">
        <f aca="false">1/B11578</f>
        <v>0.00335401643468053</v>
      </c>
      <c r="D11578" s="1" t="n">
        <v>3.096</v>
      </c>
      <c r="E11578" s="1" t="n">
        <f aca="false">LN(D11578)</f>
        <v>1.13011095572748</v>
      </c>
    </row>
    <row r="11579" customFormat="false" ht="15.75" hidden="false" customHeight="false" outlineLevel="0" collapsed="false">
      <c r="A11579" s="1" t="s">
        <v>1507</v>
      </c>
      <c r="B11579" s="1" t="n">
        <v>313.15</v>
      </c>
      <c r="C11579" s="1" t="n">
        <f aca="false">1/B11579</f>
        <v>0.00319335781574325</v>
      </c>
      <c r="D11579" s="1" t="n">
        <v>2.097</v>
      </c>
      <c r="E11579" s="1" t="n">
        <f aca="false">LN(D11579)</f>
        <v>0.740507751919783</v>
      </c>
    </row>
    <row r="11580" customFormat="false" ht="15.75" hidden="false" customHeight="false" outlineLevel="0" collapsed="false">
      <c r="A11580" s="1" t="s">
        <v>1507</v>
      </c>
      <c r="B11580" s="1" t="n">
        <v>328.15</v>
      </c>
      <c r="C11580" s="1" t="n">
        <f aca="false">1/B11580</f>
        <v>0.00304738686576261</v>
      </c>
      <c r="D11580" s="1" t="n">
        <v>1.505</v>
      </c>
      <c r="E11580" s="1" t="n">
        <f aca="false">LN(D11580)</f>
        <v>0.408792898200839</v>
      </c>
    </row>
    <row r="11581" customFormat="false" ht="15.75" hidden="false" customHeight="false" outlineLevel="0" collapsed="false">
      <c r="A11581" s="1" t="s">
        <v>1507</v>
      </c>
      <c r="B11581" s="1" t="n">
        <v>343.15</v>
      </c>
      <c r="C11581" s="1" t="n">
        <f aca="false">1/B11581</f>
        <v>0.00291417747340813</v>
      </c>
      <c r="D11581" s="1" t="n">
        <v>1.137</v>
      </c>
      <c r="E11581" s="1" t="n">
        <f aca="false">LN(D11581)</f>
        <v>0.128393214768399</v>
      </c>
    </row>
    <row r="11582" customFormat="false" ht="15.75" hidden="false" customHeight="false" outlineLevel="0" collapsed="false">
      <c r="A11582" s="1" t="s">
        <v>1507</v>
      </c>
      <c r="B11582" s="1" t="n">
        <v>358.15</v>
      </c>
      <c r="C11582" s="1" t="n">
        <f aca="false">1/B11582</f>
        <v>0.00279212620410443</v>
      </c>
      <c r="D11582" s="1" t="n">
        <v>0.889</v>
      </c>
      <c r="E11582" s="1" t="n">
        <f aca="false">LN(D11582)</f>
        <v>-0.117658043468232</v>
      </c>
    </row>
    <row r="11583" customFormat="false" ht="15.75" hidden="false" customHeight="false" outlineLevel="0" collapsed="false">
      <c r="A11583" s="1" t="s">
        <v>1507</v>
      </c>
      <c r="B11583" s="1" t="n">
        <v>373.15</v>
      </c>
      <c r="C11583" s="1" t="n">
        <f aca="false">1/B11583</f>
        <v>0.00267988744472732</v>
      </c>
      <c r="D11583" s="1" t="n">
        <v>0.713</v>
      </c>
      <c r="E11583" s="1" t="n">
        <f aca="false">LN(D11583)</f>
        <v>-0.338273858567841</v>
      </c>
    </row>
    <row r="11584" customFormat="false" ht="15.75" hidden="false" customHeight="false" outlineLevel="0" collapsed="false">
      <c r="A11584" s="1" t="s">
        <v>1218</v>
      </c>
      <c r="B11584" s="1" t="n">
        <v>298.15</v>
      </c>
      <c r="C11584" s="1" t="n">
        <f aca="false">1/B11584</f>
        <v>0.00335401643468053</v>
      </c>
      <c r="D11584" s="1" t="n">
        <v>0.4342</v>
      </c>
      <c r="E11584" s="1" t="n">
        <f aca="false">LN(D11584)</f>
        <v>-0.834250021537946</v>
      </c>
    </row>
    <row r="11585" customFormat="false" ht="15.75" hidden="false" customHeight="false" outlineLevel="0" collapsed="false">
      <c r="A11585" s="1" t="s">
        <v>1218</v>
      </c>
      <c r="B11585" s="1" t="n">
        <v>303.15</v>
      </c>
      <c r="C11585" s="1" t="n">
        <f aca="false">1/B11585</f>
        <v>0.0032986970146792</v>
      </c>
      <c r="D11585" s="1" t="n">
        <v>0.3848</v>
      </c>
      <c r="E11585" s="1" t="n">
        <f aca="false">LN(D11585)</f>
        <v>-0.955031560190586</v>
      </c>
    </row>
    <row r="11586" customFormat="false" ht="15.75" hidden="false" customHeight="false" outlineLevel="0" collapsed="false">
      <c r="A11586" s="1" t="s">
        <v>1218</v>
      </c>
      <c r="B11586" s="1" t="n">
        <v>313.15</v>
      </c>
      <c r="C11586" s="1" t="n">
        <f aca="false">1/B11586</f>
        <v>0.00319335781574325</v>
      </c>
      <c r="D11586" s="1" t="n">
        <v>0.3449</v>
      </c>
      <c r="E11586" s="1" t="n">
        <f aca="false">LN(D11586)</f>
        <v>-1.06450075903934</v>
      </c>
    </row>
    <row r="11587" customFormat="false" ht="15.75" hidden="false" customHeight="false" outlineLevel="0" collapsed="false">
      <c r="A11587" s="1" t="s">
        <v>1218</v>
      </c>
      <c r="B11587" s="1" t="n">
        <v>323.15</v>
      </c>
      <c r="C11587" s="1" t="n">
        <f aca="false">1/B11587</f>
        <v>0.00309453814018258</v>
      </c>
      <c r="D11587" s="1" t="n">
        <v>0.312</v>
      </c>
      <c r="E11587" s="1" t="n">
        <f aca="false">LN(D11587)</f>
        <v>-1.16475209117265</v>
      </c>
    </row>
    <row r="11588" customFormat="false" ht="15.75" hidden="false" customHeight="false" outlineLevel="0" collapsed="false">
      <c r="A11588" s="1" t="s">
        <v>1218</v>
      </c>
      <c r="B11588" s="1" t="n">
        <v>333.3</v>
      </c>
      <c r="C11588" s="1" t="n">
        <f aca="false">1/B11588</f>
        <v>0.003000300030003</v>
      </c>
      <c r="D11588" s="1" t="n">
        <v>0.282</v>
      </c>
      <c r="E11588" s="1" t="n">
        <f aca="false">LN(D11588)</f>
        <v>-1.26584820804402</v>
      </c>
    </row>
    <row r="11589" customFormat="false" ht="15.75" hidden="false" customHeight="false" outlineLevel="0" collapsed="false">
      <c r="A11589" s="1" t="s">
        <v>1220</v>
      </c>
      <c r="B11589" s="1" t="n">
        <v>413.15</v>
      </c>
      <c r="C11589" s="1" t="n">
        <f aca="false">1/B11589</f>
        <v>0.0024204284158296</v>
      </c>
      <c r="D11589" s="1" t="n">
        <v>3.508</v>
      </c>
      <c r="E11589" s="1" t="n">
        <f aca="false">LN(D11589)</f>
        <v>1.25504607450994</v>
      </c>
    </row>
    <row r="11590" customFormat="false" ht="15.75" hidden="false" customHeight="false" outlineLevel="0" collapsed="false">
      <c r="A11590" s="1" t="s">
        <v>1220</v>
      </c>
      <c r="B11590" s="1" t="n">
        <v>423.15</v>
      </c>
      <c r="C11590" s="1" t="n">
        <f aca="false">1/B11590</f>
        <v>0.00236322816967978</v>
      </c>
      <c r="D11590" s="1" t="n">
        <v>2.9</v>
      </c>
      <c r="E11590" s="1" t="n">
        <f aca="false">LN(D11590)</f>
        <v>1.06471073699243</v>
      </c>
    </row>
    <row r="11591" customFormat="false" ht="15.75" hidden="false" customHeight="false" outlineLevel="0" collapsed="false">
      <c r="A11591" s="1" t="s">
        <v>1220</v>
      </c>
      <c r="B11591" s="1" t="n">
        <v>432.85</v>
      </c>
      <c r="C11591" s="1" t="n">
        <f aca="false">1/B11591</f>
        <v>0.00231026914635555</v>
      </c>
      <c r="D11591" s="1" t="n">
        <v>2.306</v>
      </c>
      <c r="E11591" s="1" t="n">
        <f aca="false">LN(D11591)</f>
        <v>0.835514421846867</v>
      </c>
    </row>
    <row r="11592" customFormat="false" ht="15.75" hidden="false" customHeight="false" outlineLevel="0" collapsed="false">
      <c r="A11592" s="1" t="s">
        <v>1220</v>
      </c>
      <c r="B11592" s="1" t="n">
        <v>452.15</v>
      </c>
      <c r="C11592" s="1" t="n">
        <f aca="false">1/B11592</f>
        <v>0.00221165542408493</v>
      </c>
      <c r="D11592" s="1" t="n">
        <v>1.636</v>
      </c>
      <c r="E11592" s="1" t="n">
        <f aca="false">LN(D11592)</f>
        <v>0.492254238180555</v>
      </c>
    </row>
    <row r="11593" customFormat="false" ht="15.75" hidden="false" customHeight="false" outlineLevel="0" collapsed="false">
      <c r="A11593" s="1" t="s">
        <v>1220</v>
      </c>
      <c r="B11593" s="1" t="n">
        <v>470.65</v>
      </c>
      <c r="C11593" s="1" t="n">
        <f aca="false">1/B11593</f>
        <v>0.00212472113035164</v>
      </c>
      <c r="D11593" s="1" t="n">
        <v>1.257</v>
      </c>
      <c r="E11593" s="1" t="n">
        <f aca="false">LN(D11593)</f>
        <v>0.22872792960811</v>
      </c>
    </row>
    <row r="11594" customFormat="false" ht="15.75" hidden="false" customHeight="false" outlineLevel="0" collapsed="false">
      <c r="A11594" s="1" t="s">
        <v>1220</v>
      </c>
      <c r="B11594" s="1" t="n">
        <v>485.15</v>
      </c>
      <c r="C11594" s="1" t="n">
        <f aca="false">1/B11594</f>
        <v>0.00206121817994435</v>
      </c>
      <c r="D11594" s="1" t="n">
        <v>1.047</v>
      </c>
      <c r="E11594" s="1" t="n">
        <f aca="false">LN(D11594)</f>
        <v>0.0459289318883997</v>
      </c>
    </row>
    <row r="11595" customFormat="false" ht="15.75" hidden="false" customHeight="false" outlineLevel="0" collapsed="false">
      <c r="A11595" s="1" t="s">
        <v>1220</v>
      </c>
      <c r="B11595" s="1" t="n">
        <v>498.65</v>
      </c>
      <c r="C11595" s="1" t="n">
        <f aca="false">1/B11595</f>
        <v>0.00200541461947258</v>
      </c>
      <c r="D11595" s="1" t="n">
        <v>0.899</v>
      </c>
      <c r="E11595" s="1" t="n">
        <f aca="false">LN(D11595)</f>
        <v>-0.106472244510517</v>
      </c>
    </row>
    <row r="11596" customFormat="false" ht="15.75" hidden="false" customHeight="false" outlineLevel="0" collapsed="false">
      <c r="A11596" s="1" t="s">
        <v>1220</v>
      </c>
      <c r="B11596" s="1" t="n">
        <v>514.15</v>
      </c>
      <c r="C11596" s="1" t="n">
        <f aca="false">1/B11596</f>
        <v>0.00194495769717009</v>
      </c>
      <c r="D11596" s="1" t="n">
        <v>0.759</v>
      </c>
      <c r="E11596" s="1" t="n">
        <f aca="false">LN(D11596)</f>
        <v>-0.275753501586507</v>
      </c>
    </row>
    <row r="11597" customFormat="false" ht="15.75" hidden="false" customHeight="false" outlineLevel="0" collapsed="false">
      <c r="A11597" s="1" t="s">
        <v>1220</v>
      </c>
      <c r="B11597" s="1" t="n">
        <v>563.15</v>
      </c>
      <c r="C11597" s="1" t="n">
        <f aca="false">1/B11597</f>
        <v>0.00177572582793217</v>
      </c>
      <c r="D11597" s="1" t="n">
        <v>0.466</v>
      </c>
      <c r="E11597" s="1" t="n">
        <f aca="false">LN(D11597)</f>
        <v>-0.763569644856491</v>
      </c>
    </row>
    <row r="11598" customFormat="false" ht="15.75" hidden="false" customHeight="false" outlineLevel="0" collapsed="false">
      <c r="A11598" s="1" t="s">
        <v>1222</v>
      </c>
      <c r="B11598" s="1" t="n">
        <v>255.15</v>
      </c>
      <c r="C11598" s="1" t="n">
        <f aca="false">1/B11598</f>
        <v>0.00391926317852244</v>
      </c>
      <c r="D11598" s="1" t="n">
        <v>5.3</v>
      </c>
      <c r="E11598" s="1" t="n">
        <f aca="false">LN(D11598)</f>
        <v>1.66770682055808</v>
      </c>
    </row>
    <row r="11599" customFormat="false" ht="15.75" hidden="false" customHeight="false" outlineLevel="0" collapsed="false">
      <c r="A11599" s="1" t="s">
        <v>1222</v>
      </c>
      <c r="B11599" s="1" t="n">
        <v>263.15</v>
      </c>
      <c r="C11599" s="1" t="n">
        <f aca="false">1/B11599</f>
        <v>0.0038001140034201</v>
      </c>
      <c r="D11599" s="1" t="n">
        <v>3.94</v>
      </c>
      <c r="E11599" s="1" t="n">
        <f aca="false">LN(D11599)</f>
        <v>1.37118072330984</v>
      </c>
    </row>
    <row r="11600" customFormat="false" ht="15.75" hidden="false" customHeight="false" outlineLevel="0" collapsed="false">
      <c r="A11600" s="1" t="s">
        <v>1222</v>
      </c>
      <c r="B11600" s="1" t="n">
        <v>291.15</v>
      </c>
      <c r="C11600" s="1" t="n">
        <f aca="false">1/B11600</f>
        <v>0.0034346556757685</v>
      </c>
      <c r="D11600" s="1" t="n">
        <v>2.21</v>
      </c>
      <c r="E11600" s="1" t="n">
        <f aca="false">LN(D11600)</f>
        <v>0.792992515529661</v>
      </c>
    </row>
    <row r="11601" customFormat="false" ht="15.75" hidden="false" customHeight="false" outlineLevel="0" collapsed="false">
      <c r="A11601" s="1" t="s">
        <v>1222</v>
      </c>
      <c r="B11601" s="1" t="n">
        <v>298.15</v>
      </c>
      <c r="C11601" s="1" t="n">
        <f aca="false">1/B11601</f>
        <v>0.00335401643468053</v>
      </c>
      <c r="D11601" s="1" t="n">
        <v>1.96</v>
      </c>
      <c r="E11601" s="1" t="n">
        <f aca="false">LN(D11601)</f>
        <v>0.672944473242426</v>
      </c>
    </row>
    <row r="11602" customFormat="false" ht="15.75" hidden="false" customHeight="false" outlineLevel="0" collapsed="false">
      <c r="A11602" s="1" t="s">
        <v>1222</v>
      </c>
      <c r="B11602" s="1" t="n">
        <v>333.15</v>
      </c>
      <c r="C11602" s="1" t="n">
        <f aca="false">1/B11602</f>
        <v>0.0030016509079994</v>
      </c>
      <c r="D11602" s="1" t="n">
        <v>1.22</v>
      </c>
      <c r="E11602" s="1" t="n">
        <f aca="false">LN(D11602)</f>
        <v>0.198850858745165</v>
      </c>
    </row>
    <row r="11603" customFormat="false" ht="15.75" hidden="false" customHeight="false" outlineLevel="0" collapsed="false">
      <c r="A11603" s="1" t="s">
        <v>1222</v>
      </c>
      <c r="B11603" s="1" t="n">
        <v>348.15</v>
      </c>
      <c r="C11603" s="1" t="n">
        <f aca="false">1/B11603</f>
        <v>0.00287232514720666</v>
      </c>
      <c r="D11603" s="1" t="n">
        <v>1.02</v>
      </c>
      <c r="E11603" s="1" t="n">
        <f aca="false">LN(D11603)</f>
        <v>0.0198026272961797</v>
      </c>
    </row>
    <row r="11604" customFormat="false" ht="15.75" hidden="false" customHeight="false" outlineLevel="0" collapsed="false">
      <c r="A11604" s="1" t="s">
        <v>1222</v>
      </c>
      <c r="B11604" s="1" t="n">
        <v>273.15</v>
      </c>
      <c r="C11604" s="1" t="n">
        <f aca="false">1/B11604</f>
        <v>0.00366099212886692</v>
      </c>
      <c r="D11604" s="1" t="n">
        <v>3.16</v>
      </c>
      <c r="E11604" s="1" t="n">
        <f aca="false">LN(D11604)</f>
        <v>1.15057202759882</v>
      </c>
    </row>
    <row r="11605" customFormat="false" ht="15.75" hidden="false" customHeight="false" outlineLevel="0" collapsed="false">
      <c r="A11605" s="1" t="s">
        <v>1222</v>
      </c>
      <c r="B11605" s="1" t="n">
        <v>313.15</v>
      </c>
      <c r="C11605" s="1" t="n">
        <f aca="false">1/B11605</f>
        <v>0.00319335781574325</v>
      </c>
      <c r="D11605" s="1" t="n">
        <v>1.53</v>
      </c>
      <c r="E11605" s="1" t="n">
        <f aca="false">LN(D11605)</f>
        <v>0.425267735404344</v>
      </c>
    </row>
    <row r="11606" customFormat="false" ht="15.75" hidden="false" customHeight="false" outlineLevel="0" collapsed="false">
      <c r="A11606" s="1" t="s">
        <v>146</v>
      </c>
      <c r="B11606" s="1" t="n">
        <v>373.16</v>
      </c>
      <c r="C11606" s="1" t="n">
        <f aca="false">1/B11606</f>
        <v>0.00267981562868475</v>
      </c>
      <c r="D11606" s="1" t="n">
        <v>3.87</v>
      </c>
      <c r="E11606" s="1" t="n">
        <f aca="false">LN(D11606)</f>
        <v>1.35325450704169</v>
      </c>
    </row>
    <row r="11607" customFormat="false" ht="15.75" hidden="false" customHeight="false" outlineLevel="0" collapsed="false">
      <c r="A11607" s="1" t="s">
        <v>146</v>
      </c>
      <c r="B11607" s="1" t="n">
        <v>423.16</v>
      </c>
      <c r="C11607" s="1" t="n">
        <f aca="false">1/B11607</f>
        <v>0.00236317232252576</v>
      </c>
      <c r="D11607" s="1" t="n">
        <v>1.83</v>
      </c>
      <c r="E11607" s="1" t="n">
        <f aca="false">LN(D11607)</f>
        <v>0.60431596685333</v>
      </c>
    </row>
    <row r="11608" customFormat="false" ht="15.75" hidden="false" customHeight="false" outlineLevel="0" collapsed="false">
      <c r="A11608" s="1" t="s">
        <v>146</v>
      </c>
      <c r="B11608" s="1" t="n">
        <v>498.16</v>
      </c>
      <c r="C11608" s="1" t="n">
        <f aca="false">1/B11608</f>
        <v>0.00200738718484021</v>
      </c>
      <c r="D11608" s="1" t="n">
        <v>0.78</v>
      </c>
      <c r="E11608" s="1" t="n">
        <f aca="false">LN(D11608)</f>
        <v>-0.2484613592985</v>
      </c>
    </row>
    <row r="11609" customFormat="false" ht="15.75" hidden="false" customHeight="false" outlineLevel="0" collapsed="false">
      <c r="A11609" s="1" t="s">
        <v>146</v>
      </c>
      <c r="B11609" s="1" t="n">
        <v>598.16</v>
      </c>
      <c r="C11609" s="1" t="n">
        <f aca="false">1/B11609</f>
        <v>0.00167179350006687</v>
      </c>
      <c r="D11609" s="1" t="n">
        <v>0.34</v>
      </c>
      <c r="E11609" s="1" t="n">
        <f aca="false">LN(D11609)</f>
        <v>-1.07880966137193</v>
      </c>
    </row>
    <row r="11610" customFormat="false" ht="15.75" hidden="false" customHeight="false" outlineLevel="0" collapsed="false">
      <c r="A11610" s="1" t="s">
        <v>1224</v>
      </c>
      <c r="B11610" s="1" t="n">
        <v>290</v>
      </c>
      <c r="C11610" s="1" t="n">
        <f aca="false">1/B11610</f>
        <v>0.00344827586206897</v>
      </c>
      <c r="D11610" s="1" t="n">
        <v>2.562</v>
      </c>
      <c r="E11610" s="1" t="n">
        <f aca="false">LN(D11610)</f>
        <v>0.940788203474542</v>
      </c>
    </row>
    <row r="11611" customFormat="false" ht="15.75" hidden="false" customHeight="false" outlineLevel="0" collapsed="false">
      <c r="A11611" s="1" t="s">
        <v>1224</v>
      </c>
      <c r="B11611" s="1" t="n">
        <v>334.15</v>
      </c>
      <c r="C11611" s="1" t="n">
        <f aca="false">1/B11611</f>
        <v>0.00299266796348945</v>
      </c>
      <c r="D11611" s="1" t="n">
        <v>1.084</v>
      </c>
      <c r="E11611" s="1" t="n">
        <f aca="false">LN(D11611)</f>
        <v>0.0806579030174545</v>
      </c>
    </row>
    <row r="11612" customFormat="false" ht="15.75" hidden="false" customHeight="false" outlineLevel="0" collapsed="false">
      <c r="A11612" s="1" t="s">
        <v>1224</v>
      </c>
      <c r="B11612" s="1" t="n">
        <v>372.95</v>
      </c>
      <c r="C11612" s="1" t="n">
        <f aca="false">1/B11612</f>
        <v>0.00268132457433972</v>
      </c>
      <c r="D11612" s="1" t="n">
        <v>0.6504</v>
      </c>
      <c r="E11612" s="1" t="n">
        <f aca="false">LN(D11612)</f>
        <v>-0.430167720748536</v>
      </c>
    </row>
    <row r="11613" customFormat="false" ht="15.75" hidden="false" customHeight="false" outlineLevel="0" collapsed="false">
      <c r="A11613" s="1" t="s">
        <v>1224</v>
      </c>
      <c r="B11613" s="1" t="n">
        <v>382.65</v>
      </c>
      <c r="C11613" s="1" t="n">
        <f aca="false">1/B11613</f>
        <v>0.00261335424016726</v>
      </c>
      <c r="D11613" s="1" t="n">
        <v>0.5861</v>
      </c>
      <c r="E11613" s="1" t="n">
        <f aca="false">LN(D11613)</f>
        <v>-0.534264855499754</v>
      </c>
    </row>
    <row r="11614" customFormat="false" ht="15.75" hidden="false" customHeight="false" outlineLevel="0" collapsed="false">
      <c r="A11614" s="1" t="s">
        <v>1224</v>
      </c>
      <c r="B11614" s="1" t="n">
        <v>403.65</v>
      </c>
      <c r="C11614" s="1" t="n">
        <f aca="false">1/B11614</f>
        <v>0.00247739378174161</v>
      </c>
      <c r="D11614" s="1" t="n">
        <v>0.4802</v>
      </c>
      <c r="E11614" s="1" t="n">
        <f aca="false">LN(D11614)</f>
        <v>-0.733552595194984</v>
      </c>
    </row>
    <row r="11615" customFormat="false" ht="15.75" hidden="false" customHeight="false" outlineLevel="0" collapsed="false">
      <c r="A11615" s="1" t="s">
        <v>1224</v>
      </c>
      <c r="B11615" s="1" t="n">
        <v>412.45</v>
      </c>
      <c r="C11615" s="1" t="n">
        <f aca="false">1/B11615</f>
        <v>0.0024245363074312</v>
      </c>
      <c r="D11615" s="1" t="n">
        <v>0.4432</v>
      </c>
      <c r="E11615" s="1" t="n">
        <f aca="false">LN(D11615)</f>
        <v>-0.813734143549063</v>
      </c>
    </row>
    <row r="11616" customFormat="false" ht="15.75" hidden="false" customHeight="false" outlineLevel="0" collapsed="false">
      <c r="A11616" s="1" t="s">
        <v>1224</v>
      </c>
      <c r="B11616" s="1" t="n">
        <v>423.45</v>
      </c>
      <c r="C11616" s="1" t="n">
        <f aca="false">1/B11616</f>
        <v>0.00236155390246782</v>
      </c>
      <c r="D11616" s="1" t="n">
        <v>0.4037</v>
      </c>
      <c r="E11616" s="1" t="n">
        <f aca="false">LN(D11616)</f>
        <v>-0.907083251123242</v>
      </c>
    </row>
    <row r="11617" customFormat="false" ht="15.75" hidden="false" customHeight="false" outlineLevel="0" collapsed="false">
      <c r="A11617" s="1" t="s">
        <v>1224</v>
      </c>
      <c r="B11617" s="1" t="n">
        <v>438.65</v>
      </c>
      <c r="C11617" s="1" t="n">
        <f aca="false">1/B11617</f>
        <v>0.00227972187393138</v>
      </c>
      <c r="D11617" s="1" t="n">
        <v>0.3527</v>
      </c>
      <c r="E11617" s="1" t="n">
        <f aca="false">LN(D11617)</f>
        <v>-1.04213744174013</v>
      </c>
    </row>
    <row r="11618" customFormat="false" ht="15.75" hidden="false" customHeight="false" outlineLevel="0" collapsed="false">
      <c r="A11618" s="1" t="s">
        <v>1224</v>
      </c>
      <c r="B11618" s="1" t="n">
        <v>454.35</v>
      </c>
      <c r="C11618" s="1" t="n">
        <f aca="false">1/B11618</f>
        <v>0.00220094640695499</v>
      </c>
      <c r="D11618" s="1" t="n">
        <v>0.3112</v>
      </c>
      <c r="E11618" s="1" t="n">
        <f aca="false">LN(D11618)</f>
        <v>-1.1673194866779</v>
      </c>
    </row>
    <row r="11619" customFormat="false" ht="15.75" hidden="false" customHeight="false" outlineLevel="0" collapsed="false">
      <c r="A11619" s="1" t="s">
        <v>1224</v>
      </c>
      <c r="B11619" s="1" t="n">
        <v>468.15</v>
      </c>
      <c r="C11619" s="1" t="n">
        <f aca="false">1/B11619</f>
        <v>0.00213606749973299</v>
      </c>
      <c r="D11619" s="1" t="n">
        <v>0.2793</v>
      </c>
      <c r="E11619" s="1" t="n">
        <f aca="false">LN(D11619)</f>
        <v>-1.27546880603101</v>
      </c>
    </row>
    <row r="11620" customFormat="false" ht="15.75" hidden="false" customHeight="false" outlineLevel="0" collapsed="false">
      <c r="A11620" s="1" t="s">
        <v>1224</v>
      </c>
      <c r="B11620" s="1" t="n">
        <v>483.15</v>
      </c>
      <c r="C11620" s="1" t="n">
        <f aca="false">1/B11620</f>
        <v>0.0020697505950533</v>
      </c>
      <c r="D11620" s="1" t="n">
        <v>0.25</v>
      </c>
      <c r="E11620" s="1" t="n">
        <f aca="false">LN(D11620)</f>
        <v>-1.38629436111989</v>
      </c>
    </row>
    <row r="11621" customFormat="false" ht="15.75" hidden="false" customHeight="false" outlineLevel="0" collapsed="false">
      <c r="A11621" s="1" t="s">
        <v>1224</v>
      </c>
      <c r="B11621" s="1" t="n">
        <v>502.65</v>
      </c>
      <c r="C11621" s="1" t="n">
        <f aca="false">1/B11621</f>
        <v>0.00198945588381578</v>
      </c>
      <c r="D11621" s="1" t="n">
        <v>0.219</v>
      </c>
      <c r="E11621" s="1" t="n">
        <f aca="false">LN(D11621)</f>
        <v>-1.51868354916564</v>
      </c>
    </row>
    <row r="11622" customFormat="false" ht="15.75" hidden="false" customHeight="false" outlineLevel="0" collapsed="false">
      <c r="A11622" s="1" t="s">
        <v>1224</v>
      </c>
      <c r="B11622" s="1" t="n">
        <v>392.45</v>
      </c>
      <c r="C11622" s="1" t="n">
        <f aca="false">1/B11622</f>
        <v>0.00254809529876417</v>
      </c>
      <c r="D11622" s="1" t="n">
        <v>0.5342</v>
      </c>
      <c r="E11622" s="1" t="n">
        <f aca="false">LN(D11622)</f>
        <v>-0.626984978306276</v>
      </c>
    </row>
    <row r="11623" customFormat="false" ht="15.75" hidden="false" customHeight="false" outlineLevel="0" collapsed="false">
      <c r="A11623" s="1" t="s">
        <v>1226</v>
      </c>
      <c r="B11623" s="1" t="n">
        <v>286.7</v>
      </c>
      <c r="C11623" s="1" t="n">
        <f aca="false">1/B11623</f>
        <v>0.00348796651552145</v>
      </c>
      <c r="D11623" s="1" t="n">
        <v>2.075</v>
      </c>
      <c r="E11623" s="1" t="n">
        <f aca="false">LN(D11623)</f>
        <v>0.729961153682662</v>
      </c>
    </row>
    <row r="11624" customFormat="false" ht="15.75" hidden="false" customHeight="false" outlineLevel="0" collapsed="false">
      <c r="A11624" s="1" t="s">
        <v>1226</v>
      </c>
      <c r="B11624" s="1" t="n">
        <v>324.25</v>
      </c>
      <c r="C11624" s="1" t="n">
        <f aca="false">1/B11624</f>
        <v>0.0030840400925212</v>
      </c>
      <c r="D11624" s="1" t="n">
        <v>0.934</v>
      </c>
      <c r="E11624" s="1" t="n">
        <f aca="false">LN(D11624)</f>
        <v>-0.0682788407532944</v>
      </c>
    </row>
    <row r="11625" customFormat="false" ht="15.75" hidden="false" customHeight="false" outlineLevel="0" collapsed="false">
      <c r="A11625" s="1" t="s">
        <v>1226</v>
      </c>
      <c r="B11625" s="1" t="n">
        <v>349.75</v>
      </c>
      <c r="C11625" s="1" t="n">
        <f aca="false">1/B11625</f>
        <v>0.00285918513223731</v>
      </c>
      <c r="D11625" s="1" t="n">
        <v>0.6377</v>
      </c>
      <c r="E11625" s="1" t="n">
        <f aca="false">LN(D11625)</f>
        <v>-0.449887325660911</v>
      </c>
    </row>
    <row r="11626" customFormat="false" ht="15.75" hidden="false" customHeight="false" outlineLevel="0" collapsed="false">
      <c r="A11626" s="1" t="s">
        <v>1226</v>
      </c>
      <c r="B11626" s="1" t="n">
        <v>359.25</v>
      </c>
      <c r="C11626" s="1" t="n">
        <f aca="false">1/B11626</f>
        <v>0.00278357689631176</v>
      </c>
      <c r="D11626" s="1" t="n">
        <v>0.56</v>
      </c>
      <c r="E11626" s="1" t="n">
        <f aca="false">LN(D11626)</f>
        <v>-0.579818495252942</v>
      </c>
    </row>
    <row r="11627" customFormat="false" ht="15.75" hidden="false" customHeight="false" outlineLevel="0" collapsed="false">
      <c r="A11627" s="1" t="s">
        <v>1226</v>
      </c>
      <c r="B11627" s="1" t="n">
        <v>378.35</v>
      </c>
      <c r="C11627" s="1" t="n">
        <f aca="false">1/B11627</f>
        <v>0.00264305537201004</v>
      </c>
      <c r="D11627" s="1" t="n">
        <v>0.4457</v>
      </c>
      <c r="E11627" s="1" t="n">
        <f aca="false">LN(D11627)</f>
        <v>-0.808109199029627</v>
      </c>
    </row>
    <row r="11628" customFormat="false" ht="15.75" hidden="false" customHeight="false" outlineLevel="0" collapsed="false">
      <c r="A11628" s="1" t="s">
        <v>1226</v>
      </c>
      <c r="B11628" s="1" t="n">
        <v>337.65</v>
      </c>
      <c r="C11628" s="1" t="n">
        <f aca="false">1/B11628</f>
        <v>0.00296164667555161</v>
      </c>
      <c r="D11628" s="1" t="n">
        <v>0.758</v>
      </c>
      <c r="E11628" s="1" t="n">
        <f aca="false">LN(D11628)</f>
        <v>-0.277071893339765</v>
      </c>
    </row>
    <row r="11629" customFormat="false" ht="15.75" hidden="false" customHeight="false" outlineLevel="0" collapsed="false">
      <c r="A11629" s="1" t="s">
        <v>1226</v>
      </c>
      <c r="B11629" s="1" t="n">
        <v>368.35</v>
      </c>
      <c r="C11629" s="1" t="n">
        <f aca="false">1/B11629</f>
        <v>0.00271480928464775</v>
      </c>
      <c r="D11629" s="1" t="n">
        <v>0.5025</v>
      </c>
      <c r="E11629" s="1" t="n">
        <f aca="false">LN(D11629)</f>
        <v>-0.688159639048906</v>
      </c>
    </row>
    <row r="11630" customFormat="false" ht="15.75" hidden="false" customHeight="false" outlineLevel="0" collapsed="false">
      <c r="A11630" s="1" t="s">
        <v>1508</v>
      </c>
      <c r="B11630" s="1" t="n">
        <v>283.15</v>
      </c>
      <c r="C11630" s="1" t="n">
        <f aca="false">1/B11630</f>
        <v>0.00353169698039908</v>
      </c>
      <c r="D11630" s="1" t="n">
        <v>4.85</v>
      </c>
      <c r="E11630" s="1" t="n">
        <f aca="false">LN(D11630)</f>
        <v>1.57897870494939</v>
      </c>
    </row>
    <row r="11631" customFormat="false" ht="15.75" hidden="false" customHeight="false" outlineLevel="0" collapsed="false">
      <c r="A11631" s="1" t="s">
        <v>1508</v>
      </c>
      <c r="B11631" s="1" t="n">
        <v>291.15</v>
      </c>
      <c r="C11631" s="1" t="n">
        <f aca="false">1/B11631</f>
        <v>0.0034346556757685</v>
      </c>
      <c r="D11631" s="1" t="n">
        <v>3.94</v>
      </c>
      <c r="E11631" s="1" t="n">
        <f aca="false">LN(D11631)</f>
        <v>1.37118072330984</v>
      </c>
    </row>
    <row r="11632" customFormat="false" ht="15.75" hidden="false" customHeight="false" outlineLevel="0" collapsed="false">
      <c r="A11632" s="1" t="s">
        <v>1508</v>
      </c>
      <c r="B11632" s="1" t="n">
        <v>298.15</v>
      </c>
      <c r="C11632" s="1" t="n">
        <f aca="false">1/B11632</f>
        <v>0.00335401643468053</v>
      </c>
      <c r="D11632" s="1" t="n">
        <v>3.34</v>
      </c>
      <c r="E11632" s="1" t="n">
        <f aca="false">LN(D11632)</f>
        <v>1.20597080698861</v>
      </c>
    </row>
    <row r="11633" customFormat="false" ht="15.75" hidden="false" customHeight="false" outlineLevel="0" collapsed="false">
      <c r="A11633" s="1" t="s">
        <v>1508</v>
      </c>
      <c r="B11633" s="1" t="n">
        <v>313.15</v>
      </c>
      <c r="C11633" s="1" t="n">
        <f aca="false">1/B11633</f>
        <v>0.00319335781574325</v>
      </c>
      <c r="D11633" s="1" t="n">
        <v>2.52</v>
      </c>
      <c r="E11633" s="1" t="n">
        <f aca="false">LN(D11633)</f>
        <v>0.924258901523332</v>
      </c>
    </row>
    <row r="11634" customFormat="false" ht="15.75" hidden="false" customHeight="false" outlineLevel="0" collapsed="false">
      <c r="A11634" s="1" t="s">
        <v>1508</v>
      </c>
      <c r="B11634" s="1" t="n">
        <v>333.15</v>
      </c>
      <c r="C11634" s="1" t="n">
        <f aca="false">1/B11634</f>
        <v>0.0030016509079994</v>
      </c>
      <c r="D11634" s="1" t="n">
        <v>1.82</v>
      </c>
      <c r="E11634" s="1" t="n">
        <f aca="false">LN(D11634)</f>
        <v>0.598836501088704</v>
      </c>
    </row>
    <row r="11635" customFormat="false" ht="15.75" hidden="false" customHeight="false" outlineLevel="0" collapsed="false">
      <c r="A11635" s="1" t="s">
        <v>1508</v>
      </c>
      <c r="B11635" s="1" t="n">
        <v>348.15</v>
      </c>
      <c r="C11635" s="1" t="n">
        <f aca="false">1/B11635</f>
        <v>0.00287232514720666</v>
      </c>
      <c r="D11635" s="1" t="n">
        <v>1.48</v>
      </c>
      <c r="E11635" s="1" t="n">
        <f aca="false">LN(D11635)</f>
        <v>0.392042087776024</v>
      </c>
    </row>
    <row r="11636" customFormat="false" ht="15.75" hidden="false" customHeight="false" outlineLevel="0" collapsed="false">
      <c r="A11636" s="1" t="s">
        <v>264</v>
      </c>
      <c r="B11636" s="1" t="n">
        <v>298.15</v>
      </c>
      <c r="C11636" s="1" t="n">
        <f aca="false">1/B11636</f>
        <v>0.00335401643468053</v>
      </c>
      <c r="D11636" s="1" t="n">
        <v>1.293</v>
      </c>
      <c r="E11636" s="1" t="n">
        <f aca="false">LN(D11636)</f>
        <v>0.25696509978972</v>
      </c>
    </row>
    <row r="11637" customFormat="false" ht="15.75" hidden="false" customHeight="false" outlineLevel="0" collapsed="false">
      <c r="A11637" s="1" t="s">
        <v>266</v>
      </c>
      <c r="B11637" s="1" t="n">
        <v>298.15</v>
      </c>
      <c r="C11637" s="1" t="n">
        <f aca="false">1/B11637</f>
        <v>0.00335401643468053</v>
      </c>
      <c r="D11637" s="1" t="n">
        <v>1.593</v>
      </c>
      <c r="E11637" s="1" t="n">
        <f aca="false">LN(D11637)</f>
        <v>0.465619030927911</v>
      </c>
    </row>
    <row r="11638" customFormat="false" ht="15.75" hidden="false" customHeight="false" outlineLevel="0" collapsed="false">
      <c r="A11638" s="1" t="s">
        <v>1228</v>
      </c>
      <c r="B11638" s="1" t="n">
        <v>143.47</v>
      </c>
      <c r="C11638" s="1" t="n">
        <f aca="false">1/B11638</f>
        <v>0.00697009827838573</v>
      </c>
      <c r="D11638" s="1" t="n">
        <v>3.5515</v>
      </c>
      <c r="E11638" s="1" t="n">
        <f aca="false">LN(D11638)</f>
        <v>1.26737004945573</v>
      </c>
    </row>
    <row r="11639" customFormat="false" ht="15.75" hidden="false" customHeight="false" outlineLevel="0" collapsed="false">
      <c r="A11639" s="1" t="s">
        <v>1228</v>
      </c>
      <c r="B11639" s="1" t="n">
        <v>144.31</v>
      </c>
      <c r="C11639" s="1" t="n">
        <f aca="false">1/B11639</f>
        <v>0.00692952671332548</v>
      </c>
      <c r="D11639" s="1" t="n">
        <v>3.4176</v>
      </c>
      <c r="E11639" s="1" t="n">
        <f aca="false">LN(D11639)</f>
        <v>1.22893855034368</v>
      </c>
    </row>
    <row r="11640" customFormat="false" ht="15.75" hidden="false" customHeight="false" outlineLevel="0" collapsed="false">
      <c r="A11640" s="1" t="s">
        <v>1228</v>
      </c>
      <c r="B11640" s="1" t="n">
        <v>145.16</v>
      </c>
      <c r="C11640" s="1" t="n">
        <f aca="false">1/B11640</f>
        <v>0.0068889501240011</v>
      </c>
      <c r="D11640" s="1" t="n">
        <v>3.2909</v>
      </c>
      <c r="E11640" s="1" t="n">
        <f aca="false">LN(D11640)</f>
        <v>1.1911610835986</v>
      </c>
    </row>
    <row r="11641" customFormat="false" ht="15.75" hidden="false" customHeight="false" outlineLevel="0" collapsed="false">
      <c r="A11641" s="1" t="s">
        <v>1228</v>
      </c>
      <c r="B11641" s="1" t="n">
        <v>146</v>
      </c>
      <c r="C11641" s="1" t="n">
        <f aca="false">1/B11641</f>
        <v>0.00684931506849315</v>
      </c>
      <c r="D11641" s="1" t="n">
        <v>3.171</v>
      </c>
      <c r="E11641" s="1" t="n">
        <f aca="false">LN(D11641)</f>
        <v>1.15404699555621</v>
      </c>
    </row>
    <row r="11642" customFormat="false" ht="15.75" hidden="false" customHeight="false" outlineLevel="0" collapsed="false">
      <c r="A11642" s="1" t="s">
        <v>1228</v>
      </c>
      <c r="B11642" s="1" t="n">
        <v>146.85</v>
      </c>
      <c r="C11642" s="1" t="n">
        <f aca="false">1/B11642</f>
        <v>0.00680966973101805</v>
      </c>
      <c r="D11642" s="1" t="n">
        <v>3.0574</v>
      </c>
      <c r="E11642" s="1" t="n">
        <f aca="false">LN(D11642)</f>
        <v>1.1175648815848</v>
      </c>
    </row>
    <row r="11643" customFormat="false" ht="15.75" hidden="false" customHeight="false" outlineLevel="0" collapsed="false">
      <c r="A11643" s="1" t="s">
        <v>1228</v>
      </c>
      <c r="B11643" s="1" t="n">
        <v>147.69</v>
      </c>
      <c r="C11643" s="1" t="n">
        <f aca="false">1/B11643</f>
        <v>0.00677093912925723</v>
      </c>
      <c r="D11643" s="1" t="n">
        <v>2.9497</v>
      </c>
      <c r="E11643" s="1" t="n">
        <f aca="false">LN(D11643)</f>
        <v>1.0817034702652</v>
      </c>
    </row>
    <row r="11644" customFormat="false" ht="15.75" hidden="false" customHeight="false" outlineLevel="0" collapsed="false">
      <c r="A11644" s="1" t="s">
        <v>1228</v>
      </c>
      <c r="B11644" s="1" t="n">
        <v>148.54</v>
      </c>
      <c r="C11644" s="1" t="n">
        <f aca="false">1/B11644</f>
        <v>0.00673219334859297</v>
      </c>
      <c r="D11644" s="1" t="n">
        <v>2.8476</v>
      </c>
      <c r="E11644" s="1" t="n">
        <f aca="false">LN(D11644)</f>
        <v>1.04647653424758</v>
      </c>
    </row>
    <row r="11645" customFormat="false" ht="15.75" hidden="false" customHeight="false" outlineLevel="0" collapsed="false">
      <c r="A11645" s="1" t="s">
        <v>1228</v>
      </c>
      <c r="B11645" s="1" t="n">
        <v>149.38</v>
      </c>
      <c r="C11645" s="1" t="n">
        <f aca="false">1/B11645</f>
        <v>0.00669433659124381</v>
      </c>
      <c r="D11645" s="1" t="n">
        <v>2.7506</v>
      </c>
      <c r="E11645" s="1" t="n">
        <f aca="false">LN(D11645)</f>
        <v>1.01181906969847</v>
      </c>
    </row>
    <row r="11646" customFormat="false" ht="15.75" hidden="false" customHeight="false" outlineLevel="0" collapsed="false">
      <c r="A11646" s="1" t="s">
        <v>1228</v>
      </c>
      <c r="B11646" s="1" t="n">
        <v>150.22</v>
      </c>
      <c r="C11646" s="1" t="n">
        <f aca="false">1/B11646</f>
        <v>0.00665690320862735</v>
      </c>
      <c r="D11646" s="1" t="n">
        <v>2.6584</v>
      </c>
      <c r="E11646" s="1" t="n">
        <f aca="false">LN(D11646)</f>
        <v>0.977724438058247</v>
      </c>
    </row>
    <row r="11647" customFormat="false" ht="15.75" hidden="false" customHeight="false" outlineLevel="0" collapsed="false">
      <c r="A11647" s="1" t="s">
        <v>1228</v>
      </c>
      <c r="B11647" s="1" t="n">
        <v>151.07</v>
      </c>
      <c r="C11647" s="1" t="n">
        <f aca="false">1/B11647</f>
        <v>0.00661944793804197</v>
      </c>
      <c r="D11647" s="1" t="n">
        <v>2.5708</v>
      </c>
      <c r="E11647" s="1" t="n">
        <f aca="false">LN(D11647)</f>
        <v>0.944217134514994</v>
      </c>
    </row>
    <row r="11648" customFormat="false" ht="15.75" hidden="false" customHeight="false" outlineLevel="0" collapsed="false">
      <c r="A11648" s="1" t="s">
        <v>1228</v>
      </c>
      <c r="B11648" s="1" t="n">
        <v>151.91</v>
      </c>
      <c r="C11648" s="1" t="n">
        <f aca="false">1/B11648</f>
        <v>0.00658284510565466</v>
      </c>
      <c r="D11648" s="1" t="n">
        <v>2.4875</v>
      </c>
      <c r="E11648" s="1" t="n">
        <f aca="false">LN(D11648)</f>
        <v>0.911278190050611</v>
      </c>
    </row>
    <row r="11649" customFormat="false" ht="15.75" hidden="false" customHeight="false" outlineLevel="0" collapsed="false">
      <c r="A11649" s="1" t="s">
        <v>1228</v>
      </c>
      <c r="B11649" s="1" t="n">
        <v>152.76</v>
      </c>
      <c r="C11649" s="1" t="n">
        <f aca="false">1/B11649</f>
        <v>0.00654621628698612</v>
      </c>
      <c r="D11649" s="1" t="n">
        <v>2.4082</v>
      </c>
      <c r="E11649" s="1" t="n">
        <f aca="false">LN(D11649)</f>
        <v>0.878879580475982</v>
      </c>
    </row>
    <row r="11650" customFormat="false" ht="15.75" hidden="false" customHeight="false" outlineLevel="0" collapsed="false">
      <c r="A11650" s="1" t="s">
        <v>1228</v>
      </c>
      <c r="B11650" s="1" t="n">
        <v>153.6</v>
      </c>
      <c r="C11650" s="1" t="n">
        <f aca="false">1/B11650</f>
        <v>0.00651041666666667</v>
      </c>
      <c r="D11650" s="1" t="n">
        <v>2.3326</v>
      </c>
      <c r="E11650" s="1" t="n">
        <f aca="false">LN(D11650)</f>
        <v>0.846983525274812</v>
      </c>
    </row>
    <row r="11651" customFormat="false" ht="15.75" hidden="false" customHeight="false" outlineLevel="0" collapsed="false">
      <c r="A11651" s="1" t="s">
        <v>1228</v>
      </c>
      <c r="B11651" s="1" t="n">
        <v>154.44</v>
      </c>
      <c r="C11651" s="1" t="n">
        <f aca="false">1/B11651</f>
        <v>0.00647500647500648</v>
      </c>
      <c r="D11651" s="1" t="n">
        <v>2.2606</v>
      </c>
      <c r="E11651" s="1" t="n">
        <f aca="false">LN(D11651)</f>
        <v>0.815630264774494</v>
      </c>
    </row>
    <row r="11652" customFormat="false" ht="15.75" hidden="false" customHeight="false" outlineLevel="0" collapsed="false">
      <c r="A11652" s="1" t="s">
        <v>1228</v>
      </c>
      <c r="B11652" s="1" t="n">
        <v>155.29</v>
      </c>
      <c r="C11652" s="1" t="n">
        <f aca="false">1/B11652</f>
        <v>0.00643956468542727</v>
      </c>
      <c r="D11652" s="1" t="n">
        <v>2.1919</v>
      </c>
      <c r="E11652" s="1" t="n">
        <f aca="false">LN(D11652)</f>
        <v>0.784768747607169</v>
      </c>
    </row>
    <row r="11653" customFormat="false" ht="15.75" hidden="false" customHeight="false" outlineLevel="0" collapsed="false">
      <c r="A11653" s="1" t="s">
        <v>1228</v>
      </c>
      <c r="B11653" s="1" t="n">
        <v>156.13</v>
      </c>
      <c r="C11653" s="1" t="n">
        <f aca="false">1/B11653</f>
        <v>0.00640491897777493</v>
      </c>
      <c r="D11653" s="1" t="n">
        <v>2.1264</v>
      </c>
      <c r="E11653" s="1" t="n">
        <f aca="false">LN(D11653)</f>
        <v>0.754430408976844</v>
      </c>
    </row>
    <row r="11654" customFormat="false" ht="15.75" hidden="false" customHeight="false" outlineLevel="0" collapsed="false">
      <c r="A11654" s="1" t="s">
        <v>1228</v>
      </c>
      <c r="B11654" s="1" t="n">
        <v>156.98</v>
      </c>
      <c r="C11654" s="1" t="n">
        <f aca="false">1/B11654</f>
        <v>0.00637023824691044</v>
      </c>
      <c r="D11654" s="1" t="n">
        <v>2.0638</v>
      </c>
      <c r="E11654" s="1" t="n">
        <f aca="false">LN(D11654)</f>
        <v>0.724548943699477</v>
      </c>
    </row>
    <row r="11655" customFormat="false" ht="15.75" hidden="false" customHeight="false" outlineLevel="0" collapsed="false">
      <c r="A11655" s="1" t="s">
        <v>1228</v>
      </c>
      <c r="B11655" s="1" t="n">
        <v>157.82</v>
      </c>
      <c r="C11655" s="1" t="n">
        <f aca="false">1/B11655</f>
        <v>0.00633633253073121</v>
      </c>
      <c r="D11655" s="1" t="n">
        <v>2.004</v>
      </c>
      <c r="E11655" s="1" t="n">
        <f aca="false">LN(D11655)</f>
        <v>0.695145183222618</v>
      </c>
    </row>
    <row r="11656" customFormat="false" ht="15.75" hidden="false" customHeight="false" outlineLevel="0" collapsed="false">
      <c r="A11656" s="1" t="s">
        <v>1228</v>
      </c>
      <c r="B11656" s="1" t="n">
        <v>158.67</v>
      </c>
      <c r="C11656" s="1" t="n">
        <f aca="false">1/B11656</f>
        <v>0.0063023886052814</v>
      </c>
      <c r="D11656" s="1" t="n">
        <v>1.9469</v>
      </c>
      <c r="E11656" s="1" t="n">
        <f aca="false">LN(D11656)</f>
        <v>0.666238364002728</v>
      </c>
    </row>
    <row r="11657" customFormat="false" ht="15.75" hidden="false" customHeight="false" outlineLevel="0" collapsed="false">
      <c r="A11657" s="1" t="s">
        <v>1228</v>
      </c>
      <c r="B11657" s="1" t="n">
        <v>159.51</v>
      </c>
      <c r="C11657" s="1" t="n">
        <f aca="false">1/B11657</f>
        <v>0.00626919942323365</v>
      </c>
      <c r="D11657" s="1" t="n">
        <v>1.8922</v>
      </c>
      <c r="E11657" s="1" t="n">
        <f aca="false">LN(D11657)</f>
        <v>0.637740173288207</v>
      </c>
    </row>
    <row r="11658" customFormat="false" ht="15.75" hidden="false" customHeight="false" outlineLevel="0" collapsed="false">
      <c r="A11658" s="1" t="s">
        <v>1228</v>
      </c>
      <c r="B11658" s="1" t="n">
        <v>160.35</v>
      </c>
      <c r="C11658" s="1" t="n">
        <f aca="false">1/B11658</f>
        <v>0.0062363579669473</v>
      </c>
      <c r="D11658" s="1" t="n">
        <v>1.8399</v>
      </c>
      <c r="E11658" s="1" t="n">
        <f aca="false">LN(D11658)</f>
        <v>0.609711222317911</v>
      </c>
    </row>
    <row r="11659" customFormat="false" ht="15.75" hidden="false" customHeight="false" outlineLevel="0" collapsed="false">
      <c r="A11659" s="1" t="s">
        <v>1228</v>
      </c>
      <c r="B11659" s="1" t="n">
        <v>161.2</v>
      </c>
      <c r="C11659" s="1" t="n">
        <f aca="false">1/B11659</f>
        <v>0.00620347394540943</v>
      </c>
      <c r="D11659" s="1" t="n">
        <v>1.7899</v>
      </c>
      <c r="E11659" s="1" t="n">
        <f aca="false">LN(D11659)</f>
        <v>0.582159752370317</v>
      </c>
    </row>
    <row r="11660" customFormat="false" ht="15.75" hidden="false" customHeight="false" outlineLevel="0" collapsed="false">
      <c r="A11660" s="1" t="s">
        <v>1228</v>
      </c>
      <c r="B11660" s="1" t="n">
        <v>162.04</v>
      </c>
      <c r="C11660" s="1" t="n">
        <f aca="false">1/B11660</f>
        <v>0.00617131572451247</v>
      </c>
      <c r="D11660" s="1" t="n">
        <v>1.7419</v>
      </c>
      <c r="E11660" s="1" t="n">
        <f aca="false">LN(D11660)</f>
        <v>0.554976471501279</v>
      </c>
    </row>
    <row r="11661" customFormat="false" ht="15.75" hidden="false" customHeight="false" outlineLevel="0" collapsed="false">
      <c r="A11661" s="1" t="s">
        <v>1228</v>
      </c>
      <c r="B11661" s="1" t="n">
        <v>162.89</v>
      </c>
      <c r="C11661" s="1" t="n">
        <f aca="false">1/B11661</f>
        <v>0.00613911228436368</v>
      </c>
      <c r="D11661" s="1" t="n">
        <v>1.6959</v>
      </c>
      <c r="E11661" s="1" t="n">
        <f aca="false">LN(D11661)</f>
        <v>0.528213573367218</v>
      </c>
    </row>
    <row r="11662" customFormat="false" ht="15.75" hidden="false" customHeight="false" outlineLevel="0" collapsed="false">
      <c r="A11662" s="1" t="s">
        <v>1228</v>
      </c>
      <c r="B11662" s="1" t="n">
        <v>163.73</v>
      </c>
      <c r="C11662" s="1" t="n">
        <f aca="false">1/B11662</f>
        <v>0.00610761619739816</v>
      </c>
      <c r="D11662" s="1" t="n">
        <v>1.6518</v>
      </c>
      <c r="E11662" s="1" t="n">
        <f aca="false">LN(D11662)</f>
        <v>0.501865602394479</v>
      </c>
    </row>
    <row r="11663" customFormat="false" ht="15.75" hidden="false" customHeight="false" outlineLevel="0" collapsed="false">
      <c r="A11663" s="1" t="s">
        <v>1228</v>
      </c>
      <c r="B11663" s="1" t="n">
        <v>164.58</v>
      </c>
      <c r="C11663" s="1" t="n">
        <f aca="false">1/B11663</f>
        <v>0.00607607242678333</v>
      </c>
      <c r="D11663" s="1" t="n">
        <v>1.6095</v>
      </c>
      <c r="E11663" s="1" t="n">
        <f aca="false">LN(D11663)</f>
        <v>0.475923571756726</v>
      </c>
    </row>
    <row r="11664" customFormat="false" ht="15.75" hidden="false" customHeight="false" outlineLevel="0" collapsed="false">
      <c r="A11664" s="1" t="s">
        <v>1228</v>
      </c>
      <c r="B11664" s="1" t="n">
        <v>165.42</v>
      </c>
      <c r="C11664" s="1" t="n">
        <f aca="false">1/B11664</f>
        <v>0.00604521823237819</v>
      </c>
      <c r="D11664" s="1" t="n">
        <v>1.569</v>
      </c>
      <c r="E11664" s="1" t="n">
        <f aca="false">LN(D11664)</f>
        <v>0.450438473750896</v>
      </c>
    </row>
    <row r="11665" customFormat="false" ht="15.75" hidden="false" customHeight="false" outlineLevel="0" collapsed="false">
      <c r="A11665" s="1" t="s">
        <v>1228</v>
      </c>
      <c r="B11665" s="1" t="n">
        <v>166.26</v>
      </c>
      <c r="C11665" s="1" t="n">
        <f aca="false">1/B11665</f>
        <v>0.0060146758089739</v>
      </c>
      <c r="D11665" s="1" t="n">
        <v>1.53</v>
      </c>
      <c r="E11665" s="1" t="n">
        <f aca="false">LN(D11665)</f>
        <v>0.425267735404344</v>
      </c>
    </row>
    <row r="11666" customFormat="false" ht="15.75" hidden="false" customHeight="false" outlineLevel="0" collapsed="false">
      <c r="A11666" s="1" t="s">
        <v>1228</v>
      </c>
      <c r="B11666" s="1" t="n">
        <v>167.11</v>
      </c>
      <c r="C11666" s="1" t="n">
        <f aca="false">1/B11666</f>
        <v>0.00598408234097301</v>
      </c>
      <c r="D11666" s="1" t="n">
        <v>1.4925</v>
      </c>
      <c r="E11666" s="1" t="n">
        <f aca="false">LN(D11666)</f>
        <v>0.40045256628462</v>
      </c>
    </row>
    <row r="11667" customFormat="false" ht="15.75" hidden="false" customHeight="false" outlineLevel="0" collapsed="false">
      <c r="A11667" s="1" t="s">
        <v>1228</v>
      </c>
      <c r="B11667" s="1" t="n">
        <v>167.95</v>
      </c>
      <c r="C11667" s="1" t="n">
        <f aca="false">1/B11667</f>
        <v>0.00595415302173266</v>
      </c>
      <c r="D11667" s="1" t="n">
        <v>1.4565</v>
      </c>
      <c r="E11667" s="1" t="n">
        <f aca="false">LN(D11667)</f>
        <v>0.376036297417352</v>
      </c>
    </row>
    <row r="11668" customFormat="false" ht="15.75" hidden="false" customHeight="false" outlineLevel="0" collapsed="false">
      <c r="A11668" s="1" t="s">
        <v>1228</v>
      </c>
      <c r="B11668" s="1" t="n">
        <v>168.8</v>
      </c>
      <c r="C11668" s="1" t="n">
        <f aca="false">1/B11668</f>
        <v>0.00592417061611374</v>
      </c>
      <c r="D11668" s="1" t="n">
        <v>1.4219</v>
      </c>
      <c r="E11668" s="1" t="n">
        <f aca="false">LN(D11668)</f>
        <v>0.351994005420192</v>
      </c>
    </row>
    <row r="11669" customFormat="false" ht="15.75" hidden="false" customHeight="false" outlineLevel="0" collapsed="false">
      <c r="A11669" s="1" t="s">
        <v>1228</v>
      </c>
      <c r="B11669" s="1" t="n">
        <v>169.64</v>
      </c>
      <c r="C11669" s="1" t="n">
        <f aca="false">1/B11669</f>
        <v>0.00589483612355577</v>
      </c>
      <c r="D11669" s="1" t="n">
        <v>1.3886</v>
      </c>
      <c r="E11669" s="1" t="n">
        <f aca="false">LN(D11669)</f>
        <v>0.328296045337036</v>
      </c>
    </row>
    <row r="11670" customFormat="false" ht="15.75" hidden="false" customHeight="false" outlineLevel="0" collapsed="false">
      <c r="A11670" s="1" t="s">
        <v>1228</v>
      </c>
      <c r="B11670" s="1" t="n">
        <v>170.48</v>
      </c>
      <c r="C11670" s="1" t="n">
        <f aca="false">1/B11670</f>
        <v>0.00586579070858752</v>
      </c>
      <c r="D11670" s="1" t="n">
        <v>1.3566</v>
      </c>
      <c r="E11670" s="1" t="n">
        <f aca="false">LN(D11670)</f>
        <v>0.304981569529842</v>
      </c>
    </row>
    <row r="11671" customFormat="false" ht="15.75" hidden="false" customHeight="false" outlineLevel="0" collapsed="false">
      <c r="A11671" s="1" t="s">
        <v>1228</v>
      </c>
      <c r="B11671" s="1" t="n">
        <v>171.33</v>
      </c>
      <c r="C11671" s="1" t="n">
        <f aca="false">1/B11671</f>
        <v>0.00583668942975544</v>
      </c>
      <c r="D11671" s="1" t="n">
        <v>1.3257</v>
      </c>
      <c r="E11671" s="1" t="n">
        <f aca="false">LN(D11671)</f>
        <v>0.281940621822667</v>
      </c>
    </row>
    <row r="11672" customFormat="false" ht="15.75" hidden="false" customHeight="false" outlineLevel="0" collapsed="false">
      <c r="A11672" s="1" t="s">
        <v>1228</v>
      </c>
      <c r="B11672" s="1" t="n">
        <v>172.17</v>
      </c>
      <c r="C11672" s="1" t="n">
        <f aca="false">1/B11672</f>
        <v>0.00580821281291747</v>
      </c>
      <c r="D11672" s="1" t="n">
        <v>1.296</v>
      </c>
      <c r="E11672" s="1" t="n">
        <f aca="false">LN(D11672)</f>
        <v>0.259282597930083</v>
      </c>
    </row>
    <row r="11673" customFormat="false" ht="15.75" hidden="false" customHeight="false" outlineLevel="0" collapsed="false">
      <c r="A11673" s="1" t="s">
        <v>1228</v>
      </c>
      <c r="B11673" s="1" t="n">
        <v>173.02</v>
      </c>
      <c r="C11673" s="1" t="n">
        <f aca="false">1/B11673</f>
        <v>0.00577967864986707</v>
      </c>
      <c r="D11673" s="1" t="n">
        <v>1.2673</v>
      </c>
      <c r="E11673" s="1" t="n">
        <f aca="false">LN(D11673)</f>
        <v>0.236888653105881</v>
      </c>
    </row>
    <row r="11674" customFormat="false" ht="15.75" hidden="false" customHeight="false" outlineLevel="0" collapsed="false">
      <c r="A11674" s="1" t="s">
        <v>1228</v>
      </c>
      <c r="B11674" s="1" t="n">
        <v>173.86</v>
      </c>
      <c r="C11674" s="1" t="n">
        <f aca="false">1/B11674</f>
        <v>0.00575175428505694</v>
      </c>
      <c r="D11674" s="1" t="n">
        <v>1.2397</v>
      </c>
      <c r="E11674" s="1" t="n">
        <f aca="false">LN(D11674)</f>
        <v>0.214869414861964</v>
      </c>
    </row>
    <row r="11675" customFormat="false" ht="15.75" hidden="false" customHeight="false" outlineLevel="0" collapsed="false">
      <c r="A11675" s="1" t="s">
        <v>1228</v>
      </c>
      <c r="B11675" s="1" t="n">
        <v>174.71</v>
      </c>
      <c r="C11675" s="1" t="n">
        <f aca="false">1/B11675</f>
        <v>0.00572377082021636</v>
      </c>
      <c r="D11675" s="1" t="n">
        <v>1.2131</v>
      </c>
      <c r="E11675" s="1" t="n">
        <f aca="false">LN(D11675)</f>
        <v>0.193179066794737</v>
      </c>
    </row>
    <row r="11676" customFormat="false" ht="15.75" hidden="false" customHeight="false" outlineLevel="0" collapsed="false">
      <c r="A11676" s="1" t="s">
        <v>1228</v>
      </c>
      <c r="B11676" s="1" t="n">
        <v>175.55</v>
      </c>
      <c r="C11676" s="1" t="n">
        <f aca="false">1/B11676</f>
        <v>0.00569638279692395</v>
      </c>
      <c r="D11676" s="1" t="n">
        <v>1.1873</v>
      </c>
      <c r="E11676" s="1" t="n">
        <f aca="false">LN(D11676)</f>
        <v>0.17168182168961</v>
      </c>
    </row>
    <row r="11677" customFormat="false" ht="15.75" hidden="false" customHeight="false" outlineLevel="0" collapsed="false">
      <c r="A11677" s="1" t="s">
        <v>1228</v>
      </c>
      <c r="B11677" s="1" t="n">
        <v>176.39</v>
      </c>
      <c r="C11677" s="1" t="n">
        <f aca="false">1/B11677</f>
        <v>0.00566925562673621</v>
      </c>
      <c r="D11677" s="1" t="n">
        <v>1.1625</v>
      </c>
      <c r="E11677" s="1" t="n">
        <f aca="false">LN(D11677)</f>
        <v>0.150572858479374</v>
      </c>
    </row>
    <row r="11678" customFormat="false" ht="15.75" hidden="false" customHeight="false" outlineLevel="0" collapsed="false">
      <c r="A11678" s="1" t="s">
        <v>1228</v>
      </c>
      <c r="B11678" s="1" t="n">
        <v>177.24</v>
      </c>
      <c r="C11678" s="1" t="n">
        <f aca="false">1/B11678</f>
        <v>0.00564206725344166</v>
      </c>
      <c r="D11678" s="1" t="n">
        <v>1.1385</v>
      </c>
      <c r="E11678" s="1" t="n">
        <f aca="false">LN(D11678)</f>
        <v>0.129711606521657</v>
      </c>
    </row>
    <row r="11679" customFormat="false" ht="15.75" hidden="false" customHeight="false" outlineLevel="0" collapsed="false">
      <c r="A11679" s="1" t="s">
        <v>1228</v>
      </c>
      <c r="B11679" s="1" t="n">
        <v>178.08</v>
      </c>
      <c r="C11679" s="1" t="n">
        <f aca="false">1/B11679</f>
        <v>0.00561545372866128</v>
      </c>
      <c r="D11679" s="1" t="n">
        <v>1.1154</v>
      </c>
      <c r="E11679" s="1" t="n">
        <f aca="false">LN(D11679)</f>
        <v>0.109213084973316</v>
      </c>
    </row>
    <row r="11680" customFormat="false" ht="15.75" hidden="false" customHeight="false" outlineLevel="0" collapsed="false">
      <c r="A11680" s="1" t="s">
        <v>1228</v>
      </c>
      <c r="B11680" s="1" t="n">
        <v>178.93</v>
      </c>
      <c r="C11680" s="1" t="n">
        <f aca="false">1/B11680</f>
        <v>0.00558877773430951</v>
      </c>
      <c r="D11680" s="1" t="n">
        <v>1.093</v>
      </c>
      <c r="E11680" s="1" t="n">
        <f aca="false">LN(D11680)</f>
        <v>0.0889262091944015</v>
      </c>
    </row>
    <row r="11681" customFormat="false" ht="15.75" hidden="false" customHeight="false" outlineLevel="0" collapsed="false">
      <c r="A11681" s="1" t="s">
        <v>1228</v>
      </c>
      <c r="B11681" s="1" t="n">
        <v>179.77</v>
      </c>
      <c r="C11681" s="1" t="n">
        <f aca="false">1/B11681</f>
        <v>0.00556266340323747</v>
      </c>
      <c r="D11681" s="1" t="n">
        <v>1.0714</v>
      </c>
      <c r="E11681" s="1" t="n">
        <f aca="false">LN(D11681)</f>
        <v>0.0689662044647228</v>
      </c>
    </row>
    <row r="11682" customFormat="false" ht="15.75" hidden="false" customHeight="false" outlineLevel="0" collapsed="false">
      <c r="A11682" s="1" t="s">
        <v>1228</v>
      </c>
      <c r="B11682" s="1" t="n">
        <v>180.62</v>
      </c>
      <c r="C11682" s="1" t="n">
        <f aca="false">1/B11682</f>
        <v>0.0055364854390433</v>
      </c>
      <c r="D11682" s="1" t="n">
        <v>1.0504</v>
      </c>
      <c r="E11682" s="1" t="n">
        <f aca="false">LN(D11682)</f>
        <v>0.0491710440064494</v>
      </c>
    </row>
    <row r="11683" customFormat="false" ht="15.75" hidden="false" customHeight="false" outlineLevel="0" collapsed="false">
      <c r="A11683" s="1" t="s">
        <v>1228</v>
      </c>
      <c r="B11683" s="1" t="n">
        <v>181.46</v>
      </c>
      <c r="C11683" s="1" t="n">
        <f aca="false">1/B11683</f>
        <v>0.00551085638708255</v>
      </c>
      <c r="D11683" s="1" t="n">
        <v>1.0302</v>
      </c>
      <c r="E11683" s="1" t="n">
        <f aca="false">LN(D11683)</f>
        <v>0.0297529581493478</v>
      </c>
    </row>
    <row r="11684" customFormat="false" ht="15.75" hidden="false" customHeight="false" outlineLevel="0" collapsed="false">
      <c r="A11684" s="1" t="s">
        <v>1228</v>
      </c>
      <c r="B11684" s="1" t="n">
        <v>182.3</v>
      </c>
      <c r="C11684" s="1" t="n">
        <f aca="false">1/B11684</f>
        <v>0.00548546352166758</v>
      </c>
      <c r="D11684" s="1" t="n">
        <v>1.0106</v>
      </c>
      <c r="E11684" s="1" t="n">
        <f aca="false">LN(D11684)</f>
        <v>0.0105442138756711</v>
      </c>
    </row>
    <row r="11685" customFormat="false" ht="15.75" hidden="false" customHeight="false" outlineLevel="0" collapsed="false">
      <c r="A11685" s="1" t="s">
        <v>1228</v>
      </c>
      <c r="B11685" s="1" t="n">
        <v>183.15</v>
      </c>
      <c r="C11685" s="1" t="n">
        <f aca="false">1/B11685</f>
        <v>0.00546000546000546</v>
      </c>
      <c r="D11685" s="1" t="n">
        <v>0.99158</v>
      </c>
      <c r="E11685" s="1" t="n">
        <f aca="false">LN(D11685)</f>
        <v>-0.00845564844766164</v>
      </c>
    </row>
    <row r="11686" customFormat="false" ht="15.75" hidden="false" customHeight="false" outlineLevel="0" collapsed="false">
      <c r="A11686" s="1" t="s">
        <v>1228</v>
      </c>
      <c r="B11686" s="1" t="n">
        <v>183.99</v>
      </c>
      <c r="C11686" s="1" t="n">
        <f aca="false">1/B11686</f>
        <v>0.0054350779933692</v>
      </c>
      <c r="D11686" s="1" t="n">
        <v>0.97319</v>
      </c>
      <c r="E11686" s="1" t="n">
        <f aca="false">LN(D11686)</f>
        <v>-0.0271759435057507</v>
      </c>
    </row>
    <row r="11687" customFormat="false" ht="15.75" hidden="false" customHeight="false" outlineLevel="0" collapsed="false">
      <c r="A11687" s="1" t="s">
        <v>1228</v>
      </c>
      <c r="B11687" s="1" t="n">
        <v>184.84</v>
      </c>
      <c r="C11687" s="1" t="n">
        <f aca="false">1/B11687</f>
        <v>0.0054100843973166</v>
      </c>
      <c r="D11687" s="1" t="n">
        <v>0.95537</v>
      </c>
      <c r="E11687" s="1" t="n">
        <f aca="false">LN(D11687)</f>
        <v>-0.0456565789798204</v>
      </c>
    </row>
    <row r="11688" customFormat="false" ht="15.75" hidden="false" customHeight="false" outlineLevel="0" collapsed="false">
      <c r="A11688" s="1" t="s">
        <v>1228</v>
      </c>
      <c r="B11688" s="1" t="n">
        <v>185.68</v>
      </c>
      <c r="C11688" s="1" t="n">
        <f aca="false">1/B11688</f>
        <v>0.00538560965101249</v>
      </c>
      <c r="D11688" s="1" t="n">
        <v>0.9381</v>
      </c>
      <c r="E11688" s="1" t="n">
        <f aca="false">LN(D11688)</f>
        <v>-0.0638987258502317</v>
      </c>
    </row>
    <row r="11689" customFormat="false" ht="15.75" hidden="false" customHeight="false" outlineLevel="0" collapsed="false">
      <c r="A11689" s="1" t="s">
        <v>1228</v>
      </c>
      <c r="B11689" s="1" t="n">
        <v>186.53</v>
      </c>
      <c r="C11689" s="1" t="n">
        <f aca="false">1/B11689</f>
        <v>0.00536106792473061</v>
      </c>
      <c r="D11689" s="1" t="n">
        <v>0.92135</v>
      </c>
      <c r="E11689" s="1" t="n">
        <f aca="false">LN(D11689)</f>
        <v>-0.0819152932012672</v>
      </c>
    </row>
    <row r="11690" customFormat="false" ht="15.75" hidden="false" customHeight="false" outlineLevel="0" collapsed="false">
      <c r="A11690" s="1" t="s">
        <v>1228</v>
      </c>
      <c r="B11690" s="1" t="n">
        <v>187.37</v>
      </c>
      <c r="C11690" s="1" t="n">
        <f aca="false">1/B11690</f>
        <v>0.0053370336766825</v>
      </c>
      <c r="D11690" s="1" t="n">
        <v>0.9051</v>
      </c>
      <c r="E11690" s="1" t="n">
        <f aca="false">LN(D11690)</f>
        <v>-0.0997098441490119</v>
      </c>
    </row>
    <row r="11691" customFormat="false" ht="15.75" hidden="false" customHeight="false" outlineLevel="0" collapsed="false">
      <c r="A11691" s="1" t="s">
        <v>1228</v>
      </c>
      <c r="B11691" s="1" t="n">
        <v>188.21</v>
      </c>
      <c r="C11691" s="1" t="n">
        <f aca="false">1/B11691</f>
        <v>0.00531321396312629</v>
      </c>
      <c r="D11691" s="1" t="n">
        <v>0.88933</v>
      </c>
      <c r="E11691" s="1" t="n">
        <f aca="false">LN(D11691)</f>
        <v>-0.117286908747694</v>
      </c>
    </row>
    <row r="11692" customFormat="false" ht="15.75" hidden="false" customHeight="false" outlineLevel="0" collapsed="false">
      <c r="A11692" s="1" t="s">
        <v>1228</v>
      </c>
      <c r="B11692" s="1" t="n">
        <v>189.06</v>
      </c>
      <c r="C11692" s="1" t="n">
        <f aca="false">1/B11692</f>
        <v>0.00528932613984978</v>
      </c>
      <c r="D11692" s="1" t="n">
        <v>0.87403</v>
      </c>
      <c r="E11692" s="1" t="n">
        <f aca="false">LN(D11692)</f>
        <v>-0.134640578972897</v>
      </c>
    </row>
    <row r="11693" customFormat="false" ht="15.75" hidden="false" customHeight="false" outlineLevel="0" collapsed="false">
      <c r="A11693" s="1" t="s">
        <v>1228</v>
      </c>
      <c r="B11693" s="1" t="n">
        <v>189.9</v>
      </c>
      <c r="C11693" s="1" t="n">
        <f aca="false">1/B11693</f>
        <v>0.00526592943654555</v>
      </c>
      <c r="D11693" s="1" t="n">
        <v>0.85917</v>
      </c>
      <c r="E11693" s="1" t="n">
        <f aca="false">LN(D11693)</f>
        <v>-0.151788472038239</v>
      </c>
    </row>
    <row r="11694" customFormat="false" ht="15.75" hidden="false" customHeight="false" outlineLevel="0" collapsed="false">
      <c r="A11694" s="1" t="s">
        <v>1228</v>
      </c>
      <c r="B11694" s="1" t="n">
        <v>190.75</v>
      </c>
      <c r="C11694" s="1" t="n">
        <f aca="false">1/B11694</f>
        <v>0.00524246395806029</v>
      </c>
      <c r="D11694" s="1" t="n">
        <v>0.84474</v>
      </c>
      <c r="E11694" s="1" t="n">
        <f aca="false">LN(D11694)</f>
        <v>-0.168726391279646</v>
      </c>
    </row>
    <row r="11695" customFormat="false" ht="15.75" hidden="false" customHeight="false" outlineLevel="0" collapsed="false">
      <c r="A11695" s="1" t="s">
        <v>1228</v>
      </c>
      <c r="B11695" s="1" t="n">
        <v>191.59</v>
      </c>
      <c r="C11695" s="1" t="n">
        <f aca="false">1/B11695</f>
        <v>0.00521947909598622</v>
      </c>
      <c r="D11695" s="1" t="n">
        <v>0.83072</v>
      </c>
      <c r="E11695" s="1" t="n">
        <f aca="false">LN(D11695)</f>
        <v>-0.185462484346521</v>
      </c>
    </row>
    <row r="11696" customFormat="false" ht="15.75" hidden="false" customHeight="false" outlineLevel="0" collapsed="false">
      <c r="A11696" s="1" t="s">
        <v>1228</v>
      </c>
      <c r="B11696" s="1" t="n">
        <v>192.43</v>
      </c>
      <c r="C11696" s="1" t="n">
        <f aca="false">1/B11696</f>
        <v>0.0051966949020423</v>
      </c>
      <c r="D11696" s="1" t="n">
        <v>0.81709</v>
      </c>
      <c r="E11696" s="1" t="n">
        <f aca="false">LN(D11696)</f>
        <v>-0.202006031070477</v>
      </c>
    </row>
    <row r="11697" customFormat="false" ht="15.75" hidden="false" customHeight="false" outlineLevel="0" collapsed="false">
      <c r="A11697" s="1" t="s">
        <v>1228</v>
      </c>
      <c r="B11697" s="1" t="n">
        <v>193.28</v>
      </c>
      <c r="C11697" s="1" t="n">
        <f aca="false">1/B11697</f>
        <v>0.00517384105960265</v>
      </c>
      <c r="D11697" s="1" t="n">
        <v>0.80384</v>
      </c>
      <c r="E11697" s="1" t="n">
        <f aca="false">LN(D11697)</f>
        <v>-0.218355034582413</v>
      </c>
    </row>
    <row r="11698" customFormat="false" ht="15.75" hidden="false" customHeight="false" outlineLevel="0" collapsed="false">
      <c r="A11698" s="1" t="s">
        <v>1228</v>
      </c>
      <c r="B11698" s="1" t="n">
        <v>194.12</v>
      </c>
      <c r="C11698" s="1" t="n">
        <f aca="false">1/B11698</f>
        <v>0.00515145270966413</v>
      </c>
      <c r="D11698" s="1" t="n">
        <v>0.79095</v>
      </c>
      <c r="E11698" s="1" t="n">
        <f aca="false">LN(D11698)</f>
        <v>-0.234520524337548</v>
      </c>
    </row>
    <row r="11699" customFormat="false" ht="15.75" hidden="false" customHeight="false" outlineLevel="0" collapsed="false">
      <c r="A11699" s="1" t="s">
        <v>1228</v>
      </c>
      <c r="B11699" s="1" t="n">
        <v>194.97</v>
      </c>
      <c r="C11699" s="1" t="n">
        <f aca="false">1/B11699</f>
        <v>0.00512899420423655</v>
      </c>
      <c r="D11699" s="1" t="n">
        <v>0.77841</v>
      </c>
      <c r="E11699" s="1" t="n">
        <f aca="false">LN(D11699)</f>
        <v>-0.250501901327497</v>
      </c>
    </row>
    <row r="11700" customFormat="false" ht="15.75" hidden="false" customHeight="false" outlineLevel="0" collapsed="false">
      <c r="A11700" s="1" t="s">
        <v>1228</v>
      </c>
      <c r="B11700" s="1" t="n">
        <v>195.81</v>
      </c>
      <c r="C11700" s="1" t="n">
        <f aca="false">1/B11700</f>
        <v>0.00510699147132424</v>
      </c>
      <c r="D11700" s="1" t="n">
        <v>0.76621</v>
      </c>
      <c r="E11700" s="1" t="n">
        <f aca="false">LN(D11700)</f>
        <v>-0.266298995378153</v>
      </c>
    </row>
    <row r="11701" customFormat="false" ht="15.75" hidden="false" customHeight="false" outlineLevel="0" collapsed="false">
      <c r="A11701" s="1" t="s">
        <v>1228</v>
      </c>
      <c r="B11701" s="1" t="n">
        <v>196.66</v>
      </c>
      <c r="C11701" s="1" t="n">
        <f aca="false">1/B11701</f>
        <v>0.00508491813281806</v>
      </c>
      <c r="D11701" s="1" t="n">
        <v>0.75433</v>
      </c>
      <c r="E11701" s="1" t="n">
        <f aca="false">LN(D11701)</f>
        <v>-0.28192534093942</v>
      </c>
    </row>
    <row r="11702" customFormat="false" ht="15.75" hidden="false" customHeight="false" outlineLevel="0" collapsed="false">
      <c r="A11702" s="1" t="s">
        <v>1228</v>
      </c>
      <c r="B11702" s="1" t="n">
        <v>197.5</v>
      </c>
      <c r="C11702" s="1" t="n">
        <f aca="false">1/B11702</f>
        <v>0.00506329113924051</v>
      </c>
      <c r="D11702" s="1" t="n">
        <v>0.74277</v>
      </c>
      <c r="E11702" s="1" t="n">
        <f aca="false">LN(D11702)</f>
        <v>-0.297368838041325</v>
      </c>
    </row>
    <row r="11703" customFormat="false" ht="15.75" hidden="false" customHeight="false" outlineLevel="0" collapsed="false">
      <c r="A11703" s="1" t="s">
        <v>1228</v>
      </c>
      <c r="B11703" s="1" t="n">
        <v>198.34</v>
      </c>
      <c r="C11703" s="1" t="n">
        <f aca="false">1/B11703</f>
        <v>0.00504184733286276</v>
      </c>
      <c r="D11703" s="1" t="n">
        <v>0.73151</v>
      </c>
      <c r="E11703" s="1" t="n">
        <f aca="false">LN(D11703)</f>
        <v>-0.312644388075413</v>
      </c>
    </row>
    <row r="11704" customFormat="false" ht="15.75" hidden="false" customHeight="false" outlineLevel="0" collapsed="false">
      <c r="A11704" s="1" t="s">
        <v>1228</v>
      </c>
      <c r="B11704" s="1" t="n">
        <v>199.19</v>
      </c>
      <c r="C11704" s="1" t="n">
        <f aca="false">1/B11704</f>
        <v>0.00502033234600131</v>
      </c>
      <c r="D11704" s="1" t="n">
        <v>0.72053</v>
      </c>
      <c r="E11704" s="1" t="n">
        <f aca="false">LN(D11704)</f>
        <v>-0.327768226657826</v>
      </c>
    </row>
    <row r="11705" customFormat="false" ht="15.75" hidden="false" customHeight="false" outlineLevel="0" collapsed="false">
      <c r="A11705" s="1" t="s">
        <v>1228</v>
      </c>
      <c r="B11705" s="1" t="n">
        <v>200.03</v>
      </c>
      <c r="C11705" s="1" t="n">
        <f aca="false">1/B11705</f>
        <v>0.00499925011248313</v>
      </c>
      <c r="D11705" s="1" t="n">
        <v>0.70984</v>
      </c>
      <c r="E11705" s="1" t="n">
        <f aca="false">LN(D11705)</f>
        <v>-0.342715686455055</v>
      </c>
    </row>
    <row r="11706" customFormat="false" ht="15.75" hidden="false" customHeight="false" outlineLevel="0" collapsed="false">
      <c r="A11706" s="1" t="s">
        <v>1228</v>
      </c>
      <c r="B11706" s="1" t="n">
        <v>200.88</v>
      </c>
      <c r="C11706" s="1" t="n">
        <f aca="false">1/B11706</f>
        <v>0.00497809637594584</v>
      </c>
      <c r="D11706" s="1" t="n">
        <v>0.69942</v>
      </c>
      <c r="E11706" s="1" t="n">
        <f aca="false">LN(D11706)</f>
        <v>-0.357503858822341</v>
      </c>
    </row>
    <row r="11707" customFormat="false" ht="15.75" hidden="false" customHeight="false" outlineLevel="0" collapsed="false">
      <c r="A11707" s="1" t="s">
        <v>1228</v>
      </c>
      <c r="B11707" s="1" t="n">
        <v>201.72</v>
      </c>
      <c r="C11707" s="1" t="n">
        <f aca="false">1/B11707</f>
        <v>0.0049573666468372</v>
      </c>
      <c r="D11707" s="1" t="n">
        <v>0.68925</v>
      </c>
      <c r="E11707" s="1" t="n">
        <f aca="false">LN(D11707)</f>
        <v>-0.372151229078231</v>
      </c>
    </row>
    <row r="11708" customFormat="false" ht="15.75" hidden="false" customHeight="false" outlineLevel="0" collapsed="false">
      <c r="A11708" s="1" t="s">
        <v>1228</v>
      </c>
      <c r="B11708" s="1" t="n">
        <v>202.57</v>
      </c>
      <c r="C11708" s="1" t="n">
        <f aca="false">1/B11708</f>
        <v>0.004936565137977</v>
      </c>
      <c r="D11708" s="1" t="n">
        <v>0.67934</v>
      </c>
      <c r="E11708" s="1" t="n">
        <f aca="false">LN(D11708)</f>
        <v>-0.38663354037304</v>
      </c>
    </row>
    <row r="11709" customFormat="false" ht="15.75" hidden="false" customHeight="false" outlineLevel="0" collapsed="false">
      <c r="A11709" s="1" t="s">
        <v>1228</v>
      </c>
      <c r="B11709" s="1" t="n">
        <v>203.41</v>
      </c>
      <c r="C11709" s="1" t="n">
        <f aca="false">1/B11709</f>
        <v>0.00491617914556806</v>
      </c>
      <c r="D11709" s="1" t="n">
        <v>0.66966</v>
      </c>
      <c r="E11709" s="1" t="n">
        <f aca="false">LN(D11709)</f>
        <v>-0.400985158086458</v>
      </c>
    </row>
    <row r="11710" customFormat="false" ht="15.75" hidden="false" customHeight="false" outlineLevel="0" collapsed="false">
      <c r="A11710" s="1" t="s">
        <v>1228</v>
      </c>
      <c r="B11710" s="1" t="n">
        <v>204.25</v>
      </c>
      <c r="C11710" s="1" t="n">
        <f aca="false">1/B11710</f>
        <v>0.00489596083231334</v>
      </c>
      <c r="D11710" s="1" t="n">
        <v>0.66023</v>
      </c>
      <c r="E11710" s="1" t="n">
        <f aca="false">LN(D11710)</f>
        <v>-0.415167019819923</v>
      </c>
    </row>
    <row r="11711" customFormat="false" ht="15.75" hidden="false" customHeight="false" outlineLevel="0" collapsed="false">
      <c r="A11711" s="1" t="s">
        <v>1228</v>
      </c>
      <c r="B11711" s="1" t="n">
        <v>205.1</v>
      </c>
      <c r="C11711" s="1" t="n">
        <f aca="false">1/B11711</f>
        <v>0.00487567040468064</v>
      </c>
      <c r="D11711" s="1" t="n">
        <v>0.65101</v>
      </c>
      <c r="E11711" s="1" t="n">
        <f aca="false">LN(D11711)</f>
        <v>-0.429230275908444</v>
      </c>
    </row>
    <row r="11712" customFormat="false" ht="15.75" hidden="false" customHeight="false" outlineLevel="0" collapsed="false">
      <c r="A11712" s="1" t="s">
        <v>1228</v>
      </c>
      <c r="B11712" s="1" t="n">
        <v>205.94</v>
      </c>
      <c r="C11712" s="1" t="n">
        <f aca="false">1/B11712</f>
        <v>0.00485578323783626</v>
      </c>
      <c r="D11712" s="1" t="n">
        <v>0.64202</v>
      </c>
      <c r="E11712" s="1" t="n">
        <f aca="false">LN(D11712)</f>
        <v>-0.443135823129434</v>
      </c>
    </row>
    <row r="11713" customFormat="false" ht="15.75" hidden="false" customHeight="false" outlineLevel="0" collapsed="false">
      <c r="A11713" s="1" t="s">
        <v>1228</v>
      </c>
      <c r="B11713" s="1" t="n">
        <v>206.79</v>
      </c>
      <c r="C11713" s="1" t="n">
        <f aca="false">1/B11713</f>
        <v>0.00483582378258136</v>
      </c>
      <c r="D11713" s="1" t="n">
        <v>0.63323</v>
      </c>
      <c r="E11713" s="1" t="n">
        <f aca="false">LN(D11713)</f>
        <v>-0.456921573702149</v>
      </c>
    </row>
    <row r="11714" customFormat="false" ht="15.75" hidden="false" customHeight="false" outlineLevel="0" collapsed="false">
      <c r="A11714" s="1" t="s">
        <v>1228</v>
      </c>
      <c r="B11714" s="1" t="n">
        <v>207.63</v>
      </c>
      <c r="C11714" s="1" t="n">
        <f aca="false">1/B11714</f>
        <v>0.00481625969272263</v>
      </c>
      <c r="D11714" s="1" t="n">
        <v>0.62465</v>
      </c>
      <c r="E11714" s="1" t="n">
        <f aca="false">LN(D11714)</f>
        <v>-0.470563786104299</v>
      </c>
    </row>
    <row r="11715" customFormat="false" ht="15.75" hidden="false" customHeight="false" outlineLevel="0" collapsed="false">
      <c r="A11715" s="1" t="s">
        <v>1228</v>
      </c>
      <c r="B11715" s="1" t="n">
        <v>208.47</v>
      </c>
      <c r="C11715" s="1" t="n">
        <f aca="false">1/B11715</f>
        <v>0.00479685326425865</v>
      </c>
      <c r="D11715" s="1" t="n">
        <v>0.61626</v>
      </c>
      <c r="E11715" s="1" t="n">
        <f aca="false">LN(D11715)</f>
        <v>-0.484086326576369</v>
      </c>
    </row>
    <row r="11716" customFormat="false" ht="15.75" hidden="false" customHeight="false" outlineLevel="0" collapsed="false">
      <c r="A11716" s="1" t="s">
        <v>1228</v>
      </c>
      <c r="B11716" s="1" t="n">
        <v>209.32</v>
      </c>
      <c r="C11716" s="1" t="n">
        <f aca="false">1/B11716</f>
        <v>0.00477737435505446</v>
      </c>
      <c r="D11716" s="1" t="n">
        <v>0.60807</v>
      </c>
      <c r="E11716" s="1" t="n">
        <f aca="false">LN(D11716)</f>
        <v>-0.497465272064154</v>
      </c>
    </row>
    <row r="11717" customFormat="false" ht="15.75" hidden="false" customHeight="false" outlineLevel="0" collapsed="false">
      <c r="A11717" s="1" t="s">
        <v>1228</v>
      </c>
      <c r="B11717" s="1" t="n">
        <v>210.16</v>
      </c>
      <c r="C11717" s="1" t="n">
        <f aca="false">1/B11717</f>
        <v>0.00475827940616673</v>
      </c>
      <c r="D11717" s="1" t="n">
        <v>0.60006</v>
      </c>
      <c r="E11717" s="1" t="n">
        <f aca="false">LN(D11717)</f>
        <v>-0.510725628765657</v>
      </c>
    </row>
    <row r="11718" customFormat="false" ht="15.75" hidden="false" customHeight="false" outlineLevel="0" collapsed="false">
      <c r="A11718" s="1" t="s">
        <v>1228</v>
      </c>
      <c r="B11718" s="1" t="n">
        <v>211.01</v>
      </c>
      <c r="C11718" s="1" t="n">
        <f aca="false">1/B11718</f>
        <v>0.00473911189043173</v>
      </c>
      <c r="D11718" s="1" t="n">
        <v>0.59222</v>
      </c>
      <c r="E11718" s="1" t="n">
        <f aca="false">LN(D11718)</f>
        <v>-0.523877091510722</v>
      </c>
    </row>
    <row r="11719" customFormat="false" ht="15.75" hidden="false" customHeight="false" outlineLevel="0" collapsed="false">
      <c r="A11719" s="1" t="s">
        <v>1228</v>
      </c>
      <c r="B11719" s="1" t="n">
        <v>211.85</v>
      </c>
      <c r="C11719" s="1" t="n">
        <f aca="false">1/B11719</f>
        <v>0.00472032098182676</v>
      </c>
      <c r="D11719" s="1" t="n">
        <v>0.58456</v>
      </c>
      <c r="E11719" s="1" t="n">
        <f aca="false">LN(D11719)</f>
        <v>-0.536895851499175</v>
      </c>
    </row>
    <row r="11720" customFormat="false" ht="15.75" hidden="false" customHeight="false" outlineLevel="0" collapsed="false">
      <c r="A11720" s="1" t="s">
        <v>1228</v>
      </c>
      <c r="B11720" s="1" t="n">
        <v>212.7</v>
      </c>
      <c r="C11720" s="1" t="n">
        <f aca="false">1/B11720</f>
        <v>0.00470145745181006</v>
      </c>
      <c r="D11720" s="1" t="n">
        <v>0.57707</v>
      </c>
      <c r="E11720" s="1" t="n">
        <f aca="false">LN(D11720)</f>
        <v>-0.549791702674656</v>
      </c>
    </row>
    <row r="11721" customFormat="false" ht="15.75" hidden="false" customHeight="false" outlineLevel="0" collapsed="false">
      <c r="A11721" s="1" t="s">
        <v>1228</v>
      </c>
      <c r="B11721" s="1" t="n">
        <v>213.54</v>
      </c>
      <c r="C11721" s="1" t="n">
        <f aca="false">1/B11721</f>
        <v>0.00468296337922637</v>
      </c>
      <c r="D11721" s="1" t="n">
        <v>0.56973</v>
      </c>
      <c r="E11721" s="1" t="n">
        <f aca="false">LN(D11721)</f>
        <v>-0.562592714587874</v>
      </c>
    </row>
    <row r="11722" customFormat="false" ht="15.75" hidden="false" customHeight="false" outlineLevel="0" collapsed="false">
      <c r="A11722" s="1" t="s">
        <v>1228</v>
      </c>
      <c r="B11722" s="1" t="n">
        <v>214.38</v>
      </c>
      <c r="C11722" s="1" t="n">
        <f aca="false">1/B11722</f>
        <v>0.00466461423640265</v>
      </c>
      <c r="D11722" s="1" t="n">
        <v>0.56255</v>
      </c>
      <c r="E11722" s="1" t="n">
        <f aca="false">LN(D11722)</f>
        <v>-0.575275259965056</v>
      </c>
    </row>
    <row r="11723" customFormat="false" ht="15.75" hidden="false" customHeight="false" outlineLevel="0" collapsed="false">
      <c r="A11723" s="1" t="s">
        <v>1228</v>
      </c>
      <c r="B11723" s="1" t="n">
        <v>215.23</v>
      </c>
      <c r="C11723" s="1" t="n">
        <f aca="false">1/B11723</f>
        <v>0.00464619244529108</v>
      </c>
      <c r="D11723" s="1" t="n">
        <v>0.55553</v>
      </c>
      <c r="E11723" s="1" t="n">
        <f aca="false">LN(D11723)</f>
        <v>-0.587832665960151</v>
      </c>
    </row>
    <row r="11724" customFormat="false" ht="15.75" hidden="false" customHeight="false" outlineLevel="0" collapsed="false">
      <c r="A11724" s="1" t="s">
        <v>1228</v>
      </c>
      <c r="B11724" s="1" t="n">
        <v>216.07</v>
      </c>
      <c r="C11724" s="1" t="n">
        <f aca="false">1/B11724</f>
        <v>0.00462812977275883</v>
      </c>
      <c r="D11724" s="1" t="n">
        <v>0.54865</v>
      </c>
      <c r="E11724" s="1" t="n">
        <f aca="false">LN(D11724)</f>
        <v>-0.600294563545329</v>
      </c>
    </row>
    <row r="11725" customFormat="false" ht="15.75" hidden="false" customHeight="false" outlineLevel="0" collapsed="false">
      <c r="A11725" s="1" t="s">
        <v>1228</v>
      </c>
      <c r="B11725" s="1" t="n">
        <v>216.92</v>
      </c>
      <c r="C11725" s="1" t="n">
        <f aca="false">1/B11725</f>
        <v>0.00460999446800664</v>
      </c>
      <c r="D11725" s="1" t="n">
        <v>0.54191</v>
      </c>
      <c r="E11725" s="1" t="n">
        <f aca="false">LN(D11725)</f>
        <v>-0.612655342991111</v>
      </c>
    </row>
    <row r="11726" customFormat="false" ht="15.75" hidden="false" customHeight="false" outlineLevel="0" collapsed="false">
      <c r="A11726" s="1" t="s">
        <v>1228</v>
      </c>
      <c r="B11726" s="1" t="n">
        <v>217.76</v>
      </c>
      <c r="C11726" s="1" t="n">
        <f aca="false">1/B11726</f>
        <v>0.00459221160911095</v>
      </c>
      <c r="D11726" s="1" t="n">
        <v>0.53531</v>
      </c>
      <c r="E11726" s="1" t="n">
        <f aca="false">LN(D11726)</f>
        <v>-0.624909260643897</v>
      </c>
    </row>
    <row r="11727" customFormat="false" ht="15.75" hidden="false" customHeight="false" outlineLevel="0" collapsed="false">
      <c r="A11727" s="1" t="s">
        <v>1228</v>
      </c>
      <c r="B11727" s="1" t="n">
        <v>218.61</v>
      </c>
      <c r="C11727" s="1" t="n">
        <f aca="false">1/B11727</f>
        <v>0.00457435615937057</v>
      </c>
      <c r="D11727" s="1" t="n">
        <v>0.52885</v>
      </c>
      <c r="E11727" s="1" t="n">
        <f aca="false">LN(D11727)</f>
        <v>-0.637050441208075</v>
      </c>
    </row>
    <row r="11728" customFormat="false" ht="15.75" hidden="false" customHeight="false" outlineLevel="0" collapsed="false">
      <c r="A11728" s="1" t="s">
        <v>1228</v>
      </c>
      <c r="B11728" s="1" t="n">
        <v>219.45</v>
      </c>
      <c r="C11728" s="1" t="n">
        <f aca="false">1/B11728</f>
        <v>0.00455684666210982</v>
      </c>
      <c r="D11728" s="1" t="n">
        <v>0.52251</v>
      </c>
      <c r="E11728" s="1" t="n">
        <f aca="false">LN(D11728)</f>
        <v>-0.649111156570334</v>
      </c>
    </row>
    <row r="11729" customFormat="false" ht="15.75" hidden="false" customHeight="false" outlineLevel="0" collapsed="false">
      <c r="A11729" s="1" t="s">
        <v>1228</v>
      </c>
      <c r="B11729" s="1" t="n">
        <v>220.29</v>
      </c>
      <c r="C11729" s="1" t="n">
        <f aca="false">1/B11729</f>
        <v>0.00453947069771665</v>
      </c>
      <c r="D11729" s="1" t="n">
        <v>0.5163</v>
      </c>
      <c r="E11729" s="1" t="n">
        <f aca="false">LN(D11729)</f>
        <v>-0.661067287096534</v>
      </c>
    </row>
    <row r="11730" customFormat="false" ht="15.75" hidden="false" customHeight="false" outlineLevel="0" collapsed="false">
      <c r="A11730" s="1" t="s">
        <v>1228</v>
      </c>
      <c r="B11730" s="1" t="n">
        <v>221.14</v>
      </c>
      <c r="C11730" s="1" t="n">
        <f aca="false">1/B11730</f>
        <v>0.00452202224834946</v>
      </c>
      <c r="D11730" s="1" t="n">
        <v>0.51022</v>
      </c>
      <c r="E11730" s="1" t="n">
        <f aca="false">LN(D11730)</f>
        <v>-0.672913273729136</v>
      </c>
    </row>
    <row r="11731" customFormat="false" ht="15.75" hidden="false" customHeight="false" outlineLevel="0" collapsed="false">
      <c r="A11731" s="1" t="s">
        <v>1228</v>
      </c>
      <c r="B11731" s="1" t="n">
        <v>221.98</v>
      </c>
      <c r="C11731" s="1" t="n">
        <f aca="false">1/B11731</f>
        <v>0.00450491035228399</v>
      </c>
      <c r="D11731" s="1" t="n">
        <v>0.50425</v>
      </c>
      <c r="E11731" s="1" t="n">
        <f aca="false">LN(D11731)</f>
        <v>-0.684683102147816</v>
      </c>
    </row>
    <row r="11732" customFormat="false" ht="15.75" hidden="false" customHeight="false" outlineLevel="0" collapsed="false">
      <c r="A11732" s="1" t="s">
        <v>1228</v>
      </c>
      <c r="B11732" s="1" t="n">
        <v>222.83</v>
      </c>
      <c r="C11732" s="1" t="n">
        <f aca="false">1/B11732</f>
        <v>0.00448772606920074</v>
      </c>
      <c r="D11732" s="1" t="n">
        <v>0.4984</v>
      </c>
      <c r="E11732" s="1" t="n">
        <f aca="false">LN(D11732)</f>
        <v>-0.696352311508894</v>
      </c>
    </row>
    <row r="11733" customFormat="false" ht="15.75" hidden="false" customHeight="false" outlineLevel="0" collapsed="false">
      <c r="A11733" s="1" t="s">
        <v>1228</v>
      </c>
      <c r="B11733" s="1" t="n">
        <v>223.67</v>
      </c>
      <c r="C11733" s="1" t="n">
        <f aca="false">1/B11733</f>
        <v>0.00447087226717933</v>
      </c>
      <c r="D11733" s="1" t="n">
        <v>0.49266</v>
      </c>
      <c r="E11733" s="1" t="n">
        <f aca="false">LN(D11733)</f>
        <v>-0.707935998033385</v>
      </c>
    </row>
    <row r="11734" customFormat="false" ht="15.75" hidden="false" customHeight="false" outlineLevel="0" collapsed="false">
      <c r="A11734" s="1" t="s">
        <v>1228</v>
      </c>
      <c r="B11734" s="1" t="n">
        <v>224.51</v>
      </c>
      <c r="C11734" s="1" t="n">
        <f aca="false">1/B11734</f>
        <v>0.00445414458153312</v>
      </c>
      <c r="D11734" s="1" t="n">
        <v>0.48702</v>
      </c>
      <c r="E11734" s="1" t="n">
        <f aca="false">LN(D11734)</f>
        <v>-0.719450088980998</v>
      </c>
    </row>
    <row r="11735" customFormat="false" ht="15.75" hidden="false" customHeight="false" outlineLevel="0" collapsed="false">
      <c r="A11735" s="1" t="s">
        <v>1228</v>
      </c>
      <c r="B11735" s="1" t="n">
        <v>225.36</v>
      </c>
      <c r="C11735" s="1" t="n">
        <f aca="false">1/B11735</f>
        <v>0.00443734469293575</v>
      </c>
      <c r="D11735" s="1" t="n">
        <v>0.4815</v>
      </c>
      <c r="E11735" s="1" t="n">
        <f aca="false">LN(D11735)</f>
        <v>-0.730849047743957</v>
      </c>
    </row>
    <row r="11736" customFormat="false" ht="15.75" hidden="false" customHeight="false" outlineLevel="0" collapsed="false">
      <c r="A11736" s="1" t="s">
        <v>1228</v>
      </c>
      <c r="B11736" s="1" t="n">
        <v>226.2</v>
      </c>
      <c r="C11736" s="1" t="n">
        <f aca="false">1/B11736</f>
        <v>0.00442086648983201</v>
      </c>
      <c r="D11736" s="1" t="n">
        <v>0.47608</v>
      </c>
      <c r="E11736" s="1" t="n">
        <f aca="false">LN(D11736)</f>
        <v>-0.74216937164554</v>
      </c>
    </row>
    <row r="11737" customFormat="false" ht="15.75" hidden="false" customHeight="false" outlineLevel="0" collapsed="false">
      <c r="A11737" s="1" t="s">
        <v>1228</v>
      </c>
      <c r="B11737" s="1" t="n">
        <v>227.05</v>
      </c>
      <c r="C11737" s="1" t="n">
        <f aca="false">1/B11737</f>
        <v>0.00440431622990531</v>
      </c>
      <c r="D11737" s="1" t="n">
        <v>0.47075</v>
      </c>
      <c r="E11737" s="1" t="n">
        <f aca="false">LN(D11737)</f>
        <v>-0.753428111444875</v>
      </c>
    </row>
    <row r="11738" customFormat="false" ht="15.75" hidden="false" customHeight="false" outlineLevel="0" collapsed="false">
      <c r="A11738" s="1" t="s">
        <v>1228</v>
      </c>
      <c r="B11738" s="1" t="n">
        <v>227.89</v>
      </c>
      <c r="C11738" s="1" t="n">
        <f aca="false">1/B11738</f>
        <v>0.00438808196937119</v>
      </c>
      <c r="D11738" s="1" t="n">
        <v>0.46553</v>
      </c>
      <c r="E11738" s="1" t="n">
        <f aca="false">LN(D11738)</f>
        <v>-0.764578737510259</v>
      </c>
    </row>
    <row r="11739" customFormat="false" ht="15.75" hidden="false" customHeight="false" outlineLevel="0" collapsed="false">
      <c r="A11739" s="1" t="s">
        <v>1228</v>
      </c>
      <c r="B11739" s="1" t="n">
        <v>228.74</v>
      </c>
      <c r="C11739" s="1" t="n">
        <f aca="false">1/B11739</f>
        <v>0.00437177581533619</v>
      </c>
      <c r="D11739" s="1" t="n">
        <v>0.46039</v>
      </c>
      <c r="E11739" s="1" t="n">
        <f aca="false">LN(D11739)</f>
        <v>-0.775681322613564</v>
      </c>
    </row>
    <row r="11740" customFormat="false" ht="15.75" hidden="false" customHeight="false" outlineLevel="0" collapsed="false">
      <c r="A11740" s="1" t="s">
        <v>1228</v>
      </c>
      <c r="B11740" s="1" t="n">
        <v>229.58</v>
      </c>
      <c r="C11740" s="1" t="n">
        <f aca="false">1/B11740</f>
        <v>0.00435578012021953</v>
      </c>
      <c r="D11740" s="1" t="n">
        <v>0.45536</v>
      </c>
      <c r="E11740" s="1" t="n">
        <f aca="false">LN(D11740)</f>
        <v>-0.78666696408065</v>
      </c>
    </row>
    <row r="11741" customFormat="false" ht="15.75" hidden="false" customHeight="false" outlineLevel="0" collapsed="false">
      <c r="A11741" s="1" t="s">
        <v>1228</v>
      </c>
      <c r="B11741" s="1" t="n">
        <v>230.42</v>
      </c>
      <c r="C11741" s="1" t="n">
        <f aca="false">1/B11741</f>
        <v>0.00433990105025605</v>
      </c>
      <c r="D11741" s="1" t="n">
        <v>0.45041</v>
      </c>
      <c r="E11741" s="1" t="n">
        <f aca="false">LN(D11741)</f>
        <v>-0.797596999916449</v>
      </c>
    </row>
    <row r="11742" customFormat="false" ht="15.75" hidden="false" customHeight="false" outlineLevel="0" collapsed="false">
      <c r="A11742" s="1" t="s">
        <v>1228</v>
      </c>
      <c r="B11742" s="1" t="n">
        <v>231.27</v>
      </c>
      <c r="C11742" s="1" t="n">
        <f aca="false">1/B11742</f>
        <v>0.00432395036104986</v>
      </c>
      <c r="D11742" s="1" t="n">
        <v>0.44554</v>
      </c>
      <c r="E11742" s="1" t="n">
        <f aca="false">LN(D11742)</f>
        <v>-0.808468249345409</v>
      </c>
    </row>
    <row r="11743" customFormat="false" ht="15.75" hidden="false" customHeight="false" outlineLevel="0" collapsed="false">
      <c r="A11743" s="1" t="s">
        <v>1228</v>
      </c>
      <c r="B11743" s="1" t="n">
        <v>232.11</v>
      </c>
      <c r="C11743" s="1" t="n">
        <f aca="false">1/B11743</f>
        <v>0.00430830209814312</v>
      </c>
      <c r="D11743" s="1" t="n">
        <v>0.44077</v>
      </c>
      <c r="E11743" s="1" t="n">
        <f aca="false">LN(D11743)</f>
        <v>-0.819232081535713</v>
      </c>
    </row>
    <row r="11744" customFormat="false" ht="15.75" hidden="false" customHeight="false" outlineLevel="0" collapsed="false">
      <c r="A11744" s="1" t="s">
        <v>1228</v>
      </c>
      <c r="B11744" s="1" t="n">
        <v>232.96</v>
      </c>
      <c r="C11744" s="1" t="n">
        <f aca="false">1/B11744</f>
        <v>0.00429258241758242</v>
      </c>
      <c r="D11744" s="1" t="n">
        <v>0.43607</v>
      </c>
      <c r="E11744" s="1" t="n">
        <f aca="false">LN(D11744)</f>
        <v>-0.829952498061233</v>
      </c>
    </row>
    <row r="11745" customFormat="false" ht="15.75" hidden="false" customHeight="false" outlineLevel="0" collapsed="false">
      <c r="A11745" s="1" t="s">
        <v>1228</v>
      </c>
      <c r="B11745" s="1" t="n">
        <v>233.8</v>
      </c>
      <c r="C11745" s="1" t="n">
        <f aca="false">1/B11745</f>
        <v>0.00427715996578272</v>
      </c>
      <c r="D11745" s="1" t="n">
        <v>0.43146</v>
      </c>
      <c r="E11745" s="1" t="n">
        <f aca="false">LN(D11745)</f>
        <v>-0.840580472639679</v>
      </c>
    </row>
    <row r="11746" customFormat="false" ht="15.75" hidden="false" customHeight="false" outlineLevel="0" collapsed="false">
      <c r="A11746" s="1" t="s">
        <v>1228</v>
      </c>
      <c r="B11746" s="1" t="n">
        <v>234.65</v>
      </c>
      <c r="C11746" s="1" t="n">
        <f aca="false">1/B11746</f>
        <v>0.00426166631152781</v>
      </c>
      <c r="D11746" s="1" t="n">
        <v>0.42692</v>
      </c>
      <c r="E11746" s="1" t="n">
        <f aca="false">LN(D11746)</f>
        <v>-0.851158636936373</v>
      </c>
    </row>
    <row r="11747" customFormat="false" ht="15.75" hidden="false" customHeight="false" outlineLevel="0" collapsed="false">
      <c r="A11747" s="1" t="s">
        <v>1228</v>
      </c>
      <c r="B11747" s="1" t="n">
        <v>235.49</v>
      </c>
      <c r="C11747" s="1" t="n">
        <f aca="false">1/B11747</f>
        <v>0.00424646481803898</v>
      </c>
      <c r="D11747" s="1" t="n">
        <v>0.42246</v>
      </c>
      <c r="E11747" s="1" t="n">
        <f aca="false">LN(D11747)</f>
        <v>-0.86166051122304</v>
      </c>
    </row>
    <row r="11748" customFormat="false" ht="15.75" hidden="false" customHeight="false" outlineLevel="0" collapsed="false">
      <c r="A11748" s="1" t="s">
        <v>1228</v>
      </c>
      <c r="B11748" s="1" t="n">
        <v>236.33</v>
      </c>
      <c r="C11748" s="1" t="n">
        <f aca="false">1/B11748</f>
        <v>0.00423137138746668</v>
      </c>
      <c r="D11748" s="1" t="n">
        <v>0.41807</v>
      </c>
      <c r="E11748" s="1" t="n">
        <f aca="false">LN(D11748)</f>
        <v>-0.872106396363098</v>
      </c>
    </row>
    <row r="11749" customFormat="false" ht="15.75" hidden="false" customHeight="false" outlineLevel="0" collapsed="false">
      <c r="A11749" s="1" t="s">
        <v>1228</v>
      </c>
      <c r="B11749" s="1" t="n">
        <v>237.18</v>
      </c>
      <c r="C11749" s="1" t="n">
        <f aca="false">1/B11749</f>
        <v>0.00421620710009276</v>
      </c>
      <c r="D11749" s="1" t="n">
        <v>0.41376</v>
      </c>
      <c r="E11749" s="1" t="n">
        <f aca="false">LN(D11749)</f>
        <v>-0.882469183398644</v>
      </c>
    </row>
    <row r="11750" customFormat="false" ht="15.75" hidden="false" customHeight="false" outlineLevel="0" collapsed="false">
      <c r="A11750" s="1" t="s">
        <v>1228</v>
      </c>
      <c r="B11750" s="1" t="n">
        <v>238.02</v>
      </c>
      <c r="C11750" s="1" t="n">
        <f aca="false">1/B11750</f>
        <v>0.00420132761952777</v>
      </c>
      <c r="D11750" s="1" t="n">
        <v>0.40952</v>
      </c>
      <c r="E11750" s="1" t="n">
        <f aca="false">LN(D11750)</f>
        <v>-0.892769536832809</v>
      </c>
    </row>
    <row r="11751" customFormat="false" ht="15.75" hidden="false" customHeight="false" outlineLevel="0" collapsed="false">
      <c r="A11751" s="1" t="s">
        <v>1228</v>
      </c>
      <c r="B11751" s="1" t="n">
        <v>238.87</v>
      </c>
      <c r="C11751" s="1" t="n">
        <f aca="false">1/B11751</f>
        <v>0.00418637752752543</v>
      </c>
      <c r="D11751" s="1" t="n">
        <v>0.40535</v>
      </c>
      <c r="E11751" s="1" t="n">
        <f aca="false">LN(D11751)</f>
        <v>-0.903004387548421</v>
      </c>
    </row>
    <row r="11752" customFormat="false" ht="15.75" hidden="false" customHeight="false" outlineLevel="0" collapsed="false">
      <c r="A11752" s="1" t="s">
        <v>1228</v>
      </c>
      <c r="B11752" s="1" t="n">
        <v>239.71</v>
      </c>
      <c r="C11752" s="1" t="n">
        <f aca="false">1/B11752</f>
        <v>0.00417170747987151</v>
      </c>
      <c r="D11752" s="1" t="n">
        <v>0.40124</v>
      </c>
      <c r="E11752" s="1" t="n">
        <f aca="false">LN(D11752)</f>
        <v>-0.913195526966853</v>
      </c>
    </row>
    <row r="11753" customFormat="false" ht="15.75" hidden="false" customHeight="false" outlineLevel="0" collapsed="false">
      <c r="A11753" s="1" t="s">
        <v>1228</v>
      </c>
      <c r="B11753" s="1" t="n">
        <v>240.55</v>
      </c>
      <c r="C11753" s="1" t="n">
        <f aca="false">1/B11753</f>
        <v>0.00415713988775722</v>
      </c>
      <c r="D11753" s="1" t="n">
        <v>0.3972</v>
      </c>
      <c r="E11753" s="1" t="n">
        <f aca="false">LN(D11753)</f>
        <v>-0.923315346811119</v>
      </c>
    </row>
    <row r="11754" customFormat="false" ht="15.75" hidden="false" customHeight="false" outlineLevel="0" collapsed="false">
      <c r="A11754" s="1" t="s">
        <v>1228</v>
      </c>
      <c r="B11754" s="1" t="n">
        <v>241.4</v>
      </c>
      <c r="C11754" s="1" t="n">
        <f aca="false">1/B11754</f>
        <v>0.00414250207125104</v>
      </c>
      <c r="D11754" s="1" t="n">
        <v>0.39323</v>
      </c>
      <c r="E11754" s="1" t="n">
        <f aca="false">LN(D11754)</f>
        <v>-0.93336059656975</v>
      </c>
    </row>
    <row r="11755" customFormat="false" ht="15.75" hidden="false" customHeight="false" outlineLevel="0" collapsed="false">
      <c r="A11755" s="1" t="s">
        <v>1228</v>
      </c>
      <c r="B11755" s="1" t="n">
        <v>242.24</v>
      </c>
      <c r="C11755" s="1" t="n">
        <f aca="false">1/B11755</f>
        <v>0.00412813738441215</v>
      </c>
      <c r="D11755" s="1" t="n">
        <v>0.38932</v>
      </c>
      <c r="E11755" s="1" t="n">
        <f aca="false">LN(D11755)</f>
        <v>-0.943353651423844</v>
      </c>
    </row>
    <row r="11756" customFormat="false" ht="15.75" hidden="false" customHeight="false" outlineLevel="0" collapsed="false">
      <c r="A11756" s="1" t="s">
        <v>1228</v>
      </c>
      <c r="B11756" s="1" t="n">
        <v>243.09</v>
      </c>
      <c r="C11756" s="1" t="n">
        <f aca="false">1/B11756</f>
        <v>0.00411370274383973</v>
      </c>
      <c r="D11756" s="1" t="n">
        <v>0.38547</v>
      </c>
      <c r="E11756" s="1" t="n">
        <f aca="false">LN(D11756)</f>
        <v>-0.953291910018638</v>
      </c>
    </row>
    <row r="11757" customFormat="false" ht="15.75" hidden="false" customHeight="false" outlineLevel="0" collapsed="false">
      <c r="A11757" s="1" t="s">
        <v>1228</v>
      </c>
      <c r="B11757" s="1" t="n">
        <v>243.93</v>
      </c>
      <c r="C11757" s="1" t="n">
        <f aca="false">1/B11757</f>
        <v>0.00409953675234699</v>
      </c>
      <c r="D11757" s="1" t="n">
        <v>0.38167</v>
      </c>
      <c r="E11757" s="1" t="n">
        <f aca="false">LN(D11757)</f>
        <v>-0.96319891807559</v>
      </c>
    </row>
    <row r="11758" customFormat="false" ht="15.75" hidden="false" customHeight="false" outlineLevel="0" collapsed="false">
      <c r="A11758" s="1" t="s">
        <v>1228</v>
      </c>
      <c r="B11758" s="1" t="n">
        <v>244.78</v>
      </c>
      <c r="C11758" s="1" t="n">
        <f aca="false">1/B11758</f>
        <v>0.00408530108669009</v>
      </c>
      <c r="D11758" s="1" t="n">
        <v>0.37794</v>
      </c>
      <c r="E11758" s="1" t="n">
        <f aca="false">LN(D11758)</f>
        <v>-0.973019826120244</v>
      </c>
    </row>
    <row r="11759" customFormat="false" ht="15.75" hidden="false" customHeight="false" outlineLevel="0" collapsed="false">
      <c r="A11759" s="1" t="s">
        <v>1228</v>
      </c>
      <c r="B11759" s="1" t="n">
        <v>245.62</v>
      </c>
      <c r="C11759" s="1" t="n">
        <f aca="false">1/B11759</f>
        <v>0.00407132969627881</v>
      </c>
      <c r="D11759" s="1" t="n">
        <v>0.37427</v>
      </c>
      <c r="E11759" s="1" t="n">
        <f aca="false">LN(D11759)</f>
        <v>-0.982777816896516</v>
      </c>
    </row>
    <row r="11760" customFormat="false" ht="15.75" hidden="false" customHeight="false" outlineLevel="0" collapsed="false">
      <c r="A11760" s="1" t="s">
        <v>1228</v>
      </c>
      <c r="B11760" s="1" t="n">
        <v>246.46</v>
      </c>
      <c r="C11760" s="1" t="n">
        <f aca="false">1/B11760</f>
        <v>0.00405745354215694</v>
      </c>
      <c r="D11760" s="1" t="n">
        <v>0.37065</v>
      </c>
      <c r="E11760" s="1" t="n">
        <f aca="false">LN(D11760)</f>
        <v>-0.992497057879408</v>
      </c>
    </row>
    <row r="11761" customFormat="false" ht="15.75" hidden="false" customHeight="false" outlineLevel="0" collapsed="false">
      <c r="A11761" s="1" t="s">
        <v>1228</v>
      </c>
      <c r="B11761" s="1" t="n">
        <v>247.31</v>
      </c>
      <c r="C11761" s="1" t="n">
        <f aca="false">1/B11761</f>
        <v>0.00404350814766892</v>
      </c>
      <c r="D11761" s="1" t="n">
        <v>0.36708</v>
      </c>
      <c r="E11761" s="1" t="n">
        <f aca="false">LN(D11761)</f>
        <v>-1.00217547103132</v>
      </c>
    </row>
    <row r="11762" customFormat="false" ht="15.75" hidden="false" customHeight="false" outlineLevel="0" collapsed="false">
      <c r="A11762" s="1" t="s">
        <v>1228</v>
      </c>
      <c r="B11762" s="1" t="n">
        <v>248.15</v>
      </c>
      <c r="C11762" s="1" t="n">
        <f aca="false">1/B11762</f>
        <v>0.00402982067298005</v>
      </c>
      <c r="D11762" s="1" t="n">
        <v>0.36357</v>
      </c>
      <c r="E11762" s="1" t="n">
        <f aca="false">LN(D11762)</f>
        <v>-1.01178342833363</v>
      </c>
    </row>
    <row r="11763" customFormat="false" ht="15.75" hidden="false" customHeight="false" outlineLevel="0" collapsed="false">
      <c r="A11763" s="1" t="s">
        <v>1228</v>
      </c>
      <c r="B11763" s="1" t="n">
        <v>249</v>
      </c>
      <c r="C11763" s="1" t="n">
        <f aca="false">1/B11763</f>
        <v>0.00401606425702811</v>
      </c>
      <c r="D11763" s="1" t="n">
        <v>0.36011</v>
      </c>
      <c r="E11763" s="1" t="n">
        <f aca="false">LN(D11763)</f>
        <v>-1.02134573864902</v>
      </c>
    </row>
    <row r="11764" customFormat="false" ht="15.75" hidden="false" customHeight="false" outlineLevel="0" collapsed="false">
      <c r="A11764" s="1" t="s">
        <v>1228</v>
      </c>
      <c r="B11764" s="1" t="n">
        <v>249.84</v>
      </c>
      <c r="C11764" s="1" t="n">
        <f aca="false">1/B11764</f>
        <v>0.00400256163944925</v>
      </c>
      <c r="D11764" s="1" t="n">
        <v>0.3567</v>
      </c>
      <c r="E11764" s="1" t="n">
        <f aca="false">LN(D11764)</f>
        <v>-1.03086018661729</v>
      </c>
    </row>
    <row r="11765" customFormat="false" ht="15.75" hidden="false" customHeight="false" outlineLevel="0" collapsed="false">
      <c r="A11765" s="1" t="s">
        <v>1228</v>
      </c>
      <c r="B11765" s="1" t="n">
        <v>250.69</v>
      </c>
      <c r="C11765" s="1" t="n">
        <f aca="false">1/B11765</f>
        <v>0.00398899038653317</v>
      </c>
      <c r="D11765" s="1" t="n">
        <v>0.35334</v>
      </c>
      <c r="E11765" s="1" t="n">
        <f aca="false">LN(D11765)</f>
        <v>-1.0403245127976</v>
      </c>
    </row>
    <row r="11766" customFormat="false" ht="15.75" hidden="false" customHeight="false" outlineLevel="0" collapsed="false">
      <c r="A11766" s="1" t="s">
        <v>1228</v>
      </c>
      <c r="B11766" s="1" t="n">
        <v>251.53</v>
      </c>
      <c r="C11766" s="1" t="n">
        <f aca="false">1/B11766</f>
        <v>0.00397566890629348</v>
      </c>
      <c r="D11766" s="1" t="n">
        <v>0.35002</v>
      </c>
      <c r="E11766" s="1" t="n">
        <f aca="false">LN(D11766)</f>
        <v>-1.04976498327413</v>
      </c>
    </row>
    <row r="11767" customFormat="false" ht="15.75" hidden="false" customHeight="false" outlineLevel="0" collapsed="false">
      <c r="A11767" s="1" t="s">
        <v>1228</v>
      </c>
      <c r="B11767" s="1" t="n">
        <v>252.37</v>
      </c>
      <c r="C11767" s="1" t="n">
        <f aca="false">1/B11767</f>
        <v>0.0039624361057178</v>
      </c>
      <c r="D11767" s="1" t="n">
        <v>0.34676</v>
      </c>
      <c r="E11767" s="1" t="n">
        <f aca="false">LN(D11767)</f>
        <v>-1.0591223809817</v>
      </c>
    </row>
    <row r="11768" customFormat="false" ht="15.75" hidden="false" customHeight="false" outlineLevel="0" collapsed="false">
      <c r="A11768" s="1" t="s">
        <v>1228</v>
      </c>
      <c r="B11768" s="1" t="n">
        <v>253.22</v>
      </c>
      <c r="C11768" s="1" t="n">
        <f aca="false">1/B11768</f>
        <v>0.00394913513940447</v>
      </c>
      <c r="D11768" s="1" t="n">
        <v>0.34354</v>
      </c>
      <c r="E11768" s="1" t="n">
        <f aca="false">LN(D11768)</f>
        <v>-1.06845172577326</v>
      </c>
    </row>
    <row r="11769" customFormat="false" ht="15.75" hidden="false" customHeight="false" outlineLevel="0" collapsed="false">
      <c r="A11769" s="1" t="s">
        <v>1228</v>
      </c>
      <c r="B11769" s="1" t="n">
        <v>254.06</v>
      </c>
      <c r="C11769" s="1" t="n">
        <f aca="false">1/B11769</f>
        <v>0.00393607809178934</v>
      </c>
      <c r="D11769" s="1" t="n">
        <v>0.34037</v>
      </c>
      <c r="E11769" s="1" t="n">
        <f aca="false">LN(D11769)</f>
        <v>-1.07772201777661</v>
      </c>
    </row>
    <row r="11770" customFormat="false" ht="15.75" hidden="false" customHeight="false" outlineLevel="0" collapsed="false">
      <c r="A11770" s="1" t="s">
        <v>1228</v>
      </c>
      <c r="B11770" s="1" t="n">
        <v>254.91</v>
      </c>
      <c r="C11770" s="1" t="n">
        <f aca="false">1/B11770</f>
        <v>0.00392295319916833</v>
      </c>
      <c r="D11770" s="1" t="n">
        <v>0.33724</v>
      </c>
      <c r="E11770" s="1" t="n">
        <f aca="false">LN(D11770)</f>
        <v>-1.08696043592766</v>
      </c>
    </row>
    <row r="11771" customFormat="false" ht="15.75" hidden="false" customHeight="false" outlineLevel="0" collapsed="false">
      <c r="A11771" s="1" t="s">
        <v>1228</v>
      </c>
      <c r="B11771" s="1" t="n">
        <v>255.75</v>
      </c>
      <c r="C11771" s="1" t="n">
        <f aca="false">1/B11771</f>
        <v>0.00391006842619746</v>
      </c>
      <c r="D11771" s="1" t="n">
        <v>0.33416</v>
      </c>
      <c r="E11771" s="1" t="n">
        <f aca="false">LN(D11771)</f>
        <v>-1.09613535879322</v>
      </c>
    </row>
    <row r="11772" customFormat="false" ht="15.75" hidden="false" customHeight="false" outlineLevel="0" collapsed="false">
      <c r="A11772" s="1" t="s">
        <v>1228</v>
      </c>
      <c r="B11772" s="1" t="n">
        <v>256.6</v>
      </c>
      <c r="C11772" s="1" t="n">
        <f aca="false">1/B11772</f>
        <v>0.00389711613406079</v>
      </c>
      <c r="D11772" s="1" t="n">
        <v>0.33112</v>
      </c>
      <c r="E11772" s="1" t="n">
        <f aca="false">LN(D11772)</f>
        <v>-1.10527443154166</v>
      </c>
    </row>
    <row r="11773" customFormat="false" ht="15.75" hidden="false" customHeight="false" outlineLevel="0" collapsed="false">
      <c r="A11773" s="1" t="s">
        <v>1228</v>
      </c>
      <c r="B11773" s="1" t="n">
        <v>257.44</v>
      </c>
      <c r="C11773" s="1" t="n">
        <f aca="false">1/B11773</f>
        <v>0.00388440024860162</v>
      </c>
      <c r="D11773" s="1" t="n">
        <v>0.32812</v>
      </c>
      <c r="E11773" s="1" t="n">
        <f aca="false">LN(D11773)</f>
        <v>-1.11437588384759</v>
      </c>
    </row>
    <row r="11774" customFormat="false" ht="15.75" hidden="false" customHeight="false" outlineLevel="0" collapsed="false">
      <c r="A11774" s="1" t="s">
        <v>1228</v>
      </c>
      <c r="B11774" s="1" t="n">
        <v>258.28</v>
      </c>
      <c r="C11774" s="1" t="n">
        <f aca="false">1/B11774</f>
        <v>0.0038717670744928</v>
      </c>
      <c r="D11774" s="1" t="n">
        <v>0.32516</v>
      </c>
      <c r="E11774" s="1" t="n">
        <f aca="false">LN(D11774)</f>
        <v>-1.12343791010377</v>
      </c>
    </row>
    <row r="11775" customFormat="false" ht="15.75" hidden="false" customHeight="false" outlineLevel="0" collapsed="false">
      <c r="A11775" s="1" t="s">
        <v>1228</v>
      </c>
      <c r="B11775" s="1" t="n">
        <v>259.13</v>
      </c>
      <c r="C11775" s="1" t="n">
        <f aca="false">1/B11775</f>
        <v>0.00385906687762899</v>
      </c>
      <c r="D11775" s="1" t="n">
        <v>0.32224</v>
      </c>
      <c r="E11775" s="1" t="n">
        <f aca="false">LN(D11775)</f>
        <v>-1.13245866945194</v>
      </c>
    </row>
    <row r="11776" customFormat="false" ht="15.75" hidden="false" customHeight="false" outlineLevel="0" collapsed="false">
      <c r="A11776" s="1" t="s">
        <v>1228</v>
      </c>
      <c r="B11776" s="1" t="n">
        <v>259.97</v>
      </c>
      <c r="C11776" s="1" t="n">
        <f aca="false">1/B11776</f>
        <v>0.00384659768434819</v>
      </c>
      <c r="D11776" s="1" t="n">
        <v>0.31937</v>
      </c>
      <c r="E11776" s="1" t="n">
        <f aca="false">LN(D11776)</f>
        <v>-1.14140497372402</v>
      </c>
    </row>
    <row r="11777" customFormat="false" ht="15.75" hidden="false" customHeight="false" outlineLevel="0" collapsed="false">
      <c r="A11777" s="1" t="s">
        <v>1228</v>
      </c>
      <c r="B11777" s="1" t="n">
        <v>260.82</v>
      </c>
      <c r="C11777" s="1" t="n">
        <f aca="false">1/B11777</f>
        <v>0.0038340618050763</v>
      </c>
      <c r="D11777" s="1" t="n">
        <v>0.31653</v>
      </c>
      <c r="E11777" s="1" t="n">
        <f aca="false">LN(D11777)</f>
        <v>-1.15033725516003</v>
      </c>
    </row>
    <row r="11778" customFormat="false" ht="15.75" hidden="false" customHeight="false" outlineLevel="0" collapsed="false">
      <c r="A11778" s="1" t="s">
        <v>1228</v>
      </c>
      <c r="B11778" s="1" t="n">
        <v>261.66</v>
      </c>
      <c r="C11778" s="1" t="n">
        <f aca="false">1/B11778</f>
        <v>0.00382175342046931</v>
      </c>
      <c r="D11778" s="1" t="n">
        <v>0.31372</v>
      </c>
      <c r="E11778" s="1" t="n">
        <f aca="false">LN(D11778)</f>
        <v>-1.15925441063767</v>
      </c>
    </row>
    <row r="11779" customFormat="false" ht="15.75" hidden="false" customHeight="false" outlineLevel="0" collapsed="false">
      <c r="A11779" s="1" t="s">
        <v>1228</v>
      </c>
      <c r="B11779" s="1" t="n">
        <v>262.5</v>
      </c>
      <c r="C11779" s="1" t="n">
        <f aca="false">1/B11779</f>
        <v>0.00380952380952381</v>
      </c>
      <c r="D11779" s="1" t="n">
        <v>0.31096</v>
      </c>
      <c r="E11779" s="1" t="n">
        <f aca="false">LN(D11779)</f>
        <v>-1.16809099243817</v>
      </c>
    </row>
    <row r="11780" customFormat="false" ht="15.75" hidden="false" customHeight="false" outlineLevel="0" collapsed="false">
      <c r="A11780" s="1" t="s">
        <v>1228</v>
      </c>
      <c r="B11780" s="1" t="n">
        <v>263.35</v>
      </c>
      <c r="C11780" s="1" t="n">
        <f aca="false">1/B11780</f>
        <v>0.00379722802354281</v>
      </c>
      <c r="D11780" s="1" t="n">
        <v>0.30823</v>
      </c>
      <c r="E11780" s="1" t="n">
        <f aca="false">LN(D11780)</f>
        <v>-1.17690902144329</v>
      </c>
    </row>
    <row r="11781" customFormat="false" ht="15.75" hidden="false" customHeight="false" outlineLevel="0" collapsed="false">
      <c r="A11781" s="1" t="s">
        <v>1228</v>
      </c>
      <c r="B11781" s="1" t="n">
        <v>264.19</v>
      </c>
      <c r="C11781" s="1" t="n">
        <f aca="false">1/B11781</f>
        <v>0.00378515462356637</v>
      </c>
      <c r="D11781" s="1" t="n">
        <v>0.30553</v>
      </c>
      <c r="E11781" s="1" t="n">
        <f aca="false">LN(D11781)</f>
        <v>-1.18570730551909</v>
      </c>
    </row>
    <row r="11782" customFormat="false" ht="15.75" hidden="false" customHeight="false" outlineLevel="0" collapsed="false">
      <c r="A11782" s="1" t="s">
        <v>1228</v>
      </c>
      <c r="B11782" s="1" t="n">
        <v>265.04</v>
      </c>
      <c r="C11782" s="1" t="n">
        <f aca="false">1/B11782</f>
        <v>0.00377301539390281</v>
      </c>
      <c r="D11782" s="1" t="n">
        <v>0.30288</v>
      </c>
      <c r="E11782" s="1" t="n">
        <f aca="false">LN(D11782)</f>
        <v>-1.19441859152112</v>
      </c>
    </row>
    <row r="11783" customFormat="false" ht="15.75" hidden="false" customHeight="false" outlineLevel="0" collapsed="false">
      <c r="A11783" s="1" t="s">
        <v>1228</v>
      </c>
      <c r="B11783" s="1" t="n">
        <v>265.88</v>
      </c>
      <c r="C11783" s="1" t="n">
        <f aca="false">1/B11783</f>
        <v>0.00376109523093125</v>
      </c>
      <c r="D11783" s="1" t="n">
        <v>0.30025</v>
      </c>
      <c r="E11783" s="1" t="n">
        <f aca="false">LN(D11783)</f>
        <v>-1.20313981802204</v>
      </c>
    </row>
    <row r="11784" customFormat="false" ht="15.75" hidden="false" customHeight="false" outlineLevel="0" collapsed="false">
      <c r="A11784" s="1" t="s">
        <v>1228</v>
      </c>
      <c r="B11784" s="1" t="n">
        <v>266.73</v>
      </c>
      <c r="C11784" s="1" t="n">
        <f aca="false">1/B11784</f>
        <v>0.00374910958647321</v>
      </c>
      <c r="D11784" s="1" t="n">
        <v>0.29766</v>
      </c>
      <c r="E11784" s="1" t="n">
        <f aca="false">LN(D11784)</f>
        <v>-1.21180338344112</v>
      </c>
    </row>
    <row r="11785" customFormat="false" ht="15.75" hidden="false" customHeight="false" outlineLevel="0" collapsed="false">
      <c r="A11785" s="1" t="s">
        <v>1228</v>
      </c>
      <c r="B11785" s="1" t="n">
        <v>267.57</v>
      </c>
      <c r="C11785" s="1" t="n">
        <f aca="false">1/B11785</f>
        <v>0.00373733976155772</v>
      </c>
      <c r="D11785" s="1" t="n">
        <v>0.2951</v>
      </c>
      <c r="E11785" s="1" t="n">
        <f aca="false">LN(D11785)</f>
        <v>-1.22044099703324</v>
      </c>
    </row>
    <row r="11786" customFormat="false" ht="15.75" hidden="false" customHeight="false" outlineLevel="0" collapsed="false">
      <c r="A11786" s="1" t="s">
        <v>1228</v>
      </c>
      <c r="B11786" s="1" t="n">
        <v>268.41</v>
      </c>
      <c r="C11786" s="1" t="n">
        <f aca="false">1/B11786</f>
        <v>0.00372564360493275</v>
      </c>
      <c r="D11786" s="1" t="n">
        <v>0.29258</v>
      </c>
      <c r="E11786" s="1" t="n">
        <f aca="false">LN(D11786)</f>
        <v>-1.2290171454322</v>
      </c>
    </row>
    <row r="11787" customFormat="false" ht="15.75" hidden="false" customHeight="false" outlineLevel="0" collapsed="false">
      <c r="A11787" s="1" t="s">
        <v>1228</v>
      </c>
      <c r="B11787" s="1" t="n">
        <v>269.26</v>
      </c>
      <c r="C11787" s="1" t="n">
        <f aca="false">1/B11787</f>
        <v>0.00371388249275793</v>
      </c>
      <c r="D11787" s="1" t="n">
        <v>0.29008</v>
      </c>
      <c r="E11787" s="1" t="n">
        <f aca="false">LN(D11787)</f>
        <v>-1.2375985319756</v>
      </c>
    </row>
    <row r="11788" customFormat="false" ht="15.75" hidden="false" customHeight="false" outlineLevel="0" collapsed="false">
      <c r="A11788" s="1" t="s">
        <v>1228</v>
      </c>
      <c r="B11788" s="1" t="n">
        <v>270.1</v>
      </c>
      <c r="C11788" s="1" t="n">
        <f aca="false">1/B11788</f>
        <v>0.00370233246945576</v>
      </c>
      <c r="D11788" s="1" t="n">
        <v>0.28762</v>
      </c>
      <c r="E11788" s="1" t="n">
        <f aca="false">LN(D11788)</f>
        <v>-1.2461151145239</v>
      </c>
    </row>
    <row r="11789" customFormat="false" ht="15.75" hidden="false" customHeight="false" outlineLevel="0" collapsed="false">
      <c r="A11789" s="1" t="s">
        <v>1228</v>
      </c>
      <c r="B11789" s="1" t="n">
        <v>270.95</v>
      </c>
      <c r="C11789" s="1" t="n">
        <f aca="false">1/B11789</f>
        <v>0.00369071784462078</v>
      </c>
      <c r="D11789" s="1" t="n">
        <v>0.28519</v>
      </c>
      <c r="E11789" s="1" t="n">
        <f aca="false">LN(D11789)</f>
        <v>-1.25459965417033</v>
      </c>
    </row>
    <row r="11790" customFormat="false" ht="15.75" hidden="false" customHeight="false" outlineLevel="0" collapsed="false">
      <c r="A11790" s="1" t="s">
        <v>1228</v>
      </c>
      <c r="B11790" s="1" t="n">
        <v>271.79</v>
      </c>
      <c r="C11790" s="1" t="n">
        <f aca="false">1/B11790</f>
        <v>0.00367931123293719</v>
      </c>
      <c r="D11790" s="1" t="n">
        <v>0.28278</v>
      </c>
      <c r="E11790" s="1" t="n">
        <f aca="false">LN(D11790)</f>
        <v>-1.26308606881844</v>
      </c>
    </row>
    <row r="11791" customFormat="false" ht="15.75" hidden="false" customHeight="false" outlineLevel="0" collapsed="false">
      <c r="A11791" s="1" t="s">
        <v>1228</v>
      </c>
      <c r="B11791" s="1" t="n">
        <v>272.64</v>
      </c>
      <c r="C11791" s="1" t="n">
        <f aca="false">1/B11791</f>
        <v>0.00366784037558685</v>
      </c>
      <c r="D11791" s="1" t="n">
        <v>0.28041</v>
      </c>
      <c r="E11791" s="1" t="n">
        <f aca="false">LN(D11791)</f>
        <v>-1.27150246111954</v>
      </c>
    </row>
    <row r="11792" customFormat="false" ht="15.75" hidden="false" customHeight="false" outlineLevel="0" collapsed="false">
      <c r="A11792" s="1" t="s">
        <v>1228</v>
      </c>
      <c r="B11792" s="1" t="n">
        <v>273.48</v>
      </c>
      <c r="C11792" s="1" t="n">
        <f aca="false">1/B11792</f>
        <v>0.00365657452098874</v>
      </c>
      <c r="D11792" s="1" t="n">
        <v>0.27807</v>
      </c>
      <c r="E11792" s="1" t="n">
        <f aca="false">LN(D11792)</f>
        <v>-1.27988239842629</v>
      </c>
    </row>
    <row r="11793" customFormat="false" ht="15.75" hidden="false" customHeight="false" outlineLevel="0" collapsed="false">
      <c r="A11793" s="1" t="s">
        <v>1228</v>
      </c>
      <c r="B11793" s="1" t="n">
        <v>274.32</v>
      </c>
      <c r="C11793" s="1" t="n">
        <f aca="false">1/B11793</f>
        <v>0.00364537766112569</v>
      </c>
      <c r="D11793" s="1" t="n">
        <v>0.27575</v>
      </c>
      <c r="E11793" s="1" t="n">
        <f aca="false">LN(D11793)</f>
        <v>-1.28826062084853</v>
      </c>
    </row>
    <row r="11794" customFormat="false" ht="15.75" hidden="false" customHeight="false" outlineLevel="0" collapsed="false">
      <c r="A11794" s="1" t="s">
        <v>1228</v>
      </c>
      <c r="B11794" s="1" t="n">
        <v>275.17</v>
      </c>
      <c r="C11794" s="1" t="n">
        <f aca="false">1/B11794</f>
        <v>0.00363411709125268</v>
      </c>
      <c r="D11794" s="1" t="n">
        <v>0.27346</v>
      </c>
      <c r="E11794" s="1" t="n">
        <f aca="false">LN(D11794)</f>
        <v>-1.2965999201012</v>
      </c>
    </row>
    <row r="11795" customFormat="false" ht="15.75" hidden="false" customHeight="false" outlineLevel="0" collapsed="false">
      <c r="A11795" s="1" t="s">
        <v>1228</v>
      </c>
      <c r="B11795" s="1" t="n">
        <v>276.01</v>
      </c>
      <c r="C11795" s="1" t="n">
        <f aca="false">1/B11795</f>
        <v>0.00362305713561103</v>
      </c>
      <c r="D11795" s="1" t="n">
        <v>0.2712</v>
      </c>
      <c r="E11795" s="1" t="n">
        <f aca="false">LN(D11795)</f>
        <v>-1.3048987229159</v>
      </c>
    </row>
    <row r="11796" customFormat="false" ht="15.75" hidden="false" customHeight="false" outlineLevel="0" collapsed="false">
      <c r="A11796" s="1" t="s">
        <v>1228</v>
      </c>
      <c r="B11796" s="1" t="n">
        <v>276.86</v>
      </c>
      <c r="C11796" s="1" t="n">
        <f aca="false">1/B11796</f>
        <v>0.00361193382937225</v>
      </c>
      <c r="D11796" s="1" t="n">
        <v>0.26896</v>
      </c>
      <c r="E11796" s="1" t="n">
        <f aca="false">LN(D11796)</f>
        <v>-1.31319260932183</v>
      </c>
    </row>
    <row r="11797" customFormat="false" ht="15.75" hidden="false" customHeight="false" outlineLevel="0" collapsed="false">
      <c r="A11797" s="1" t="s">
        <v>1228</v>
      </c>
      <c r="B11797" s="1" t="n">
        <v>277.7</v>
      </c>
      <c r="C11797" s="1" t="n">
        <f aca="false">1/B11797</f>
        <v>0.00360100828231905</v>
      </c>
      <c r="D11797" s="1" t="n">
        <v>0.26676</v>
      </c>
      <c r="E11797" s="1" t="n">
        <f aca="false">LN(D11797)</f>
        <v>-1.32140590121803</v>
      </c>
    </row>
    <row r="11798" customFormat="false" ht="15.75" hidden="false" customHeight="false" outlineLevel="0" collapsed="false">
      <c r="A11798" s="1" t="s">
        <v>1228</v>
      </c>
      <c r="B11798" s="1" t="n">
        <v>278.54</v>
      </c>
      <c r="C11798" s="1" t="n">
        <f aca="false">1/B11798</f>
        <v>0.00359014863215337</v>
      </c>
      <c r="D11798" s="1" t="n">
        <v>0.26457</v>
      </c>
      <c r="E11798" s="1" t="n">
        <f aca="false">LN(D11798)</f>
        <v>-1.32964941241394</v>
      </c>
    </row>
    <row r="11799" customFormat="false" ht="15.75" hidden="false" customHeight="false" outlineLevel="0" collapsed="false">
      <c r="A11799" s="1" t="s">
        <v>1228</v>
      </c>
      <c r="B11799" s="1" t="n">
        <v>279.39</v>
      </c>
      <c r="C11799" s="1" t="n">
        <f aca="false">1/B11799</f>
        <v>0.00357922617130176</v>
      </c>
      <c r="D11799" s="1" t="n">
        <v>0.26242</v>
      </c>
      <c r="E11799" s="1" t="n">
        <f aca="false">LN(D11799)</f>
        <v>-1.33780900530457</v>
      </c>
    </row>
    <row r="11800" customFormat="false" ht="15.75" hidden="false" customHeight="false" outlineLevel="0" collapsed="false">
      <c r="A11800" s="1" t="s">
        <v>1228</v>
      </c>
      <c r="B11800" s="1" t="n">
        <v>280.23</v>
      </c>
      <c r="C11800" s="1" t="n">
        <f aca="false">1/B11800</f>
        <v>0.00356849730578453</v>
      </c>
      <c r="D11800" s="1" t="n">
        <v>0.26028</v>
      </c>
      <c r="E11800" s="1" t="n">
        <f aca="false">LN(D11800)</f>
        <v>-1.34599730435535</v>
      </c>
    </row>
    <row r="11801" customFormat="false" ht="15.75" hidden="false" customHeight="false" outlineLevel="0" collapsed="false">
      <c r="A11801" s="1" t="s">
        <v>1228</v>
      </c>
      <c r="B11801" s="1" t="n">
        <v>281.08</v>
      </c>
      <c r="C11801" s="1" t="n">
        <f aca="false">1/B11801</f>
        <v>0.00355770599117689</v>
      </c>
      <c r="D11801" s="1" t="n">
        <v>0.25818</v>
      </c>
      <c r="E11801" s="1" t="n">
        <f aca="false">LN(D11801)</f>
        <v>-1.35409826290357</v>
      </c>
    </row>
    <row r="11802" customFormat="false" ht="15.75" hidden="false" customHeight="false" outlineLevel="0" collapsed="false">
      <c r="A11802" s="1" t="s">
        <v>1228</v>
      </c>
      <c r="B11802" s="1" t="n">
        <v>281.92</v>
      </c>
      <c r="C11802" s="1" t="n">
        <f aca="false">1/B11802</f>
        <v>0.00354710556186152</v>
      </c>
      <c r="D11802" s="1" t="n">
        <v>0.25609</v>
      </c>
      <c r="E11802" s="1" t="n">
        <f aca="false">LN(D11802)</f>
        <v>-1.36222633378619</v>
      </c>
    </row>
    <row r="11803" customFormat="false" ht="15.75" hidden="false" customHeight="false" outlineLevel="0" collapsed="false">
      <c r="A11803" s="1" t="s">
        <v>1228</v>
      </c>
      <c r="B11803" s="1" t="n">
        <v>282.77</v>
      </c>
      <c r="C11803" s="1" t="n">
        <f aca="false">1/B11803</f>
        <v>0.00353644304558475</v>
      </c>
      <c r="D11803" s="1" t="n">
        <v>0.25403</v>
      </c>
      <c r="E11803" s="1" t="n">
        <f aca="false">LN(D11803)</f>
        <v>-1.37030290870184</v>
      </c>
    </row>
    <row r="11804" customFormat="false" ht="15.75" hidden="false" customHeight="false" outlineLevel="0" collapsed="false">
      <c r="A11804" s="1" t="s">
        <v>1228</v>
      </c>
      <c r="B11804" s="1" t="n">
        <v>283.61</v>
      </c>
      <c r="C11804" s="1" t="n">
        <f aca="false">1/B11804</f>
        <v>0.00352596875991679</v>
      </c>
      <c r="D11804" s="1" t="n">
        <v>0.252</v>
      </c>
      <c r="E11804" s="1" t="n">
        <f aca="false">LN(D11804)</f>
        <v>-1.37832619147071</v>
      </c>
    </row>
    <row r="11805" customFormat="false" ht="15.75" hidden="false" customHeight="false" outlineLevel="0" collapsed="false">
      <c r="A11805" s="1" t="s">
        <v>1228</v>
      </c>
      <c r="B11805" s="1" t="n">
        <v>284.45</v>
      </c>
      <c r="C11805" s="1" t="n">
        <f aca="false">1/B11805</f>
        <v>0.0035155563367903</v>
      </c>
      <c r="D11805" s="1" t="n">
        <v>0.24998</v>
      </c>
      <c r="E11805" s="1" t="n">
        <f aca="false">LN(D11805)</f>
        <v>-1.38637436432006</v>
      </c>
    </row>
    <row r="11806" customFormat="false" ht="15.75" hidden="false" customHeight="false" outlineLevel="0" collapsed="false">
      <c r="A11806" s="1" t="s">
        <v>1228</v>
      </c>
      <c r="B11806" s="1" t="n">
        <v>285.3</v>
      </c>
      <c r="C11806" s="1" t="n">
        <f aca="false">1/B11806</f>
        <v>0.00350508236943568</v>
      </c>
      <c r="D11806" s="1" t="n">
        <v>0.24799</v>
      </c>
      <c r="E11806" s="1" t="n">
        <f aca="false">LN(D11806)</f>
        <v>-1.39436685621078</v>
      </c>
    </row>
    <row r="11807" customFormat="false" ht="15.75" hidden="false" customHeight="false" outlineLevel="0" collapsed="false">
      <c r="A11807" s="1" t="s">
        <v>1228</v>
      </c>
      <c r="B11807" s="1" t="n">
        <v>286.14</v>
      </c>
      <c r="C11807" s="1" t="n">
        <f aca="false">1/B11807</f>
        <v>0.0034947927587894</v>
      </c>
      <c r="D11807" s="1" t="n">
        <v>0.24602</v>
      </c>
      <c r="E11807" s="1" t="n">
        <f aca="false">LN(D11807)</f>
        <v>-1.4023424455415</v>
      </c>
    </row>
    <row r="11808" customFormat="false" ht="15.75" hidden="false" customHeight="false" outlineLevel="0" collapsed="false">
      <c r="A11808" s="1" t="s">
        <v>1228</v>
      </c>
      <c r="B11808" s="1" t="n">
        <v>286.99</v>
      </c>
      <c r="C11808" s="1" t="n">
        <f aca="false">1/B11808</f>
        <v>0.00348444196661905</v>
      </c>
      <c r="D11808" s="1" t="n">
        <v>0.24408</v>
      </c>
      <c r="E11808" s="1" t="n">
        <f aca="false">LN(D11808)</f>
        <v>-1.41025923857372</v>
      </c>
    </row>
    <row r="11809" customFormat="false" ht="15.75" hidden="false" customHeight="false" outlineLevel="0" collapsed="false">
      <c r="A11809" s="1" t="s">
        <v>1228</v>
      </c>
      <c r="B11809" s="1" t="n">
        <v>287.83</v>
      </c>
      <c r="C11809" s="1" t="n">
        <f aca="false">1/B11809</f>
        <v>0.003474273008373</v>
      </c>
      <c r="D11809" s="1" t="n">
        <v>0.24215</v>
      </c>
      <c r="E11809" s="1" t="n">
        <f aca="false">LN(D11809)</f>
        <v>-1.4181979101329</v>
      </c>
    </row>
    <row r="11810" customFormat="false" ht="15.75" hidden="false" customHeight="false" outlineLevel="0" collapsed="false">
      <c r="A11810" s="1" t="s">
        <v>1228</v>
      </c>
      <c r="B11810" s="1" t="n">
        <v>288.68</v>
      </c>
      <c r="C11810" s="1" t="n">
        <f aca="false">1/B11810</f>
        <v>0.00346404323125953</v>
      </c>
      <c r="D11810" s="1" t="n">
        <v>0.24025</v>
      </c>
      <c r="E11810" s="1" t="n">
        <f aca="false">LN(D11810)</f>
        <v>-1.42607523113174</v>
      </c>
    </row>
    <row r="11811" customFormat="false" ht="15.75" hidden="false" customHeight="false" outlineLevel="0" collapsed="false">
      <c r="A11811" s="1" t="s">
        <v>1228</v>
      </c>
      <c r="B11811" s="1" t="n">
        <v>289.52</v>
      </c>
      <c r="C11811" s="1" t="n">
        <f aca="false">1/B11811</f>
        <v>0.00345399281569494</v>
      </c>
      <c r="D11811" s="1" t="n">
        <v>0.23836</v>
      </c>
      <c r="E11811" s="1" t="n">
        <f aca="false">LN(D11811)</f>
        <v>-1.43397314310336</v>
      </c>
    </row>
    <row r="11812" customFormat="false" ht="15.75" hidden="false" customHeight="false" outlineLevel="0" collapsed="false">
      <c r="A11812" s="1" t="s">
        <v>1228</v>
      </c>
      <c r="B11812" s="1" t="n">
        <v>290.36</v>
      </c>
      <c r="C11812" s="1" t="n">
        <f aca="false">1/B11812</f>
        <v>0.00344400055104009</v>
      </c>
      <c r="D11812" s="1" t="n">
        <v>0.2365</v>
      </c>
      <c r="E11812" s="1" t="n">
        <f aca="false">LN(D11812)</f>
        <v>-1.44180707105015</v>
      </c>
    </row>
    <row r="11813" customFormat="false" ht="15.75" hidden="false" customHeight="false" outlineLevel="0" collapsed="false">
      <c r="A11813" s="1" t="s">
        <v>1228</v>
      </c>
      <c r="B11813" s="1" t="n">
        <v>291.21</v>
      </c>
      <c r="C11813" s="1" t="n">
        <f aca="false">1/B11813</f>
        <v>0.00343394801002713</v>
      </c>
      <c r="D11813" s="1" t="n">
        <v>0.23465</v>
      </c>
      <c r="E11813" s="1" t="n">
        <f aca="false">LN(D11813)</f>
        <v>-1.44966023674171</v>
      </c>
    </row>
    <row r="11814" customFormat="false" ht="15.75" hidden="false" customHeight="false" outlineLevel="0" collapsed="false">
      <c r="A11814" s="1" t="s">
        <v>1228</v>
      </c>
      <c r="B11814" s="1" t="n">
        <v>292.05</v>
      </c>
      <c r="C11814" s="1" t="n">
        <f aca="false">1/B11814</f>
        <v>0.00342407122068139</v>
      </c>
      <c r="D11814" s="1" t="n">
        <v>0.23283</v>
      </c>
      <c r="E11814" s="1" t="n">
        <f aca="false">LN(D11814)</f>
        <v>-1.45744670544798</v>
      </c>
    </row>
    <row r="11815" customFormat="false" ht="15.75" hidden="false" customHeight="false" outlineLevel="0" collapsed="false">
      <c r="A11815" s="1" t="s">
        <v>1228</v>
      </c>
      <c r="B11815" s="1" t="n">
        <v>292.9</v>
      </c>
      <c r="C11815" s="1" t="n">
        <f aca="false">1/B11815</f>
        <v>0.00341413451689997</v>
      </c>
      <c r="D11815" s="1" t="n">
        <v>0.23102</v>
      </c>
      <c r="E11815" s="1" t="n">
        <f aca="false">LN(D11815)</f>
        <v>-1.4652509921216</v>
      </c>
    </row>
    <row r="11816" customFormat="false" ht="15.75" hidden="false" customHeight="false" outlineLevel="0" collapsed="false">
      <c r="A11816" s="1" t="s">
        <v>1228</v>
      </c>
      <c r="B11816" s="1" t="n">
        <v>293.74</v>
      </c>
      <c r="C11816" s="1" t="n">
        <f aca="false">1/B11816</f>
        <v>0.00340437121263703</v>
      </c>
      <c r="D11816" s="1" t="n">
        <v>0.22924</v>
      </c>
      <c r="E11816" s="1" t="n">
        <f aca="false">LN(D11816)</f>
        <v>-1.4729857892986</v>
      </c>
    </row>
    <row r="11817" customFormat="false" ht="15.75" hidden="false" customHeight="false" outlineLevel="0" collapsed="false">
      <c r="A11817" s="1" t="s">
        <v>1228</v>
      </c>
      <c r="B11817" s="1" t="n">
        <v>294.58</v>
      </c>
      <c r="C11817" s="1" t="n">
        <f aca="false">1/B11817</f>
        <v>0.00339466358883835</v>
      </c>
      <c r="D11817" s="1" t="n">
        <v>0.22747</v>
      </c>
      <c r="E11817" s="1" t="n">
        <f aca="false">LN(D11817)</f>
        <v>-1.48073691741837</v>
      </c>
    </row>
    <row r="11818" customFormat="false" ht="15.75" hidden="false" customHeight="false" outlineLevel="0" collapsed="false">
      <c r="A11818" s="1" t="s">
        <v>1228</v>
      </c>
      <c r="B11818" s="1" t="n">
        <v>295.43</v>
      </c>
      <c r="C11818" s="1" t="n">
        <f aca="false">1/B11818</f>
        <v>0.00338489659140913</v>
      </c>
      <c r="D11818" s="1" t="n">
        <v>0.22572</v>
      </c>
      <c r="E11818" s="1" t="n">
        <f aca="false">LN(D11818)</f>
        <v>-1.4884599858812</v>
      </c>
    </row>
    <row r="11819" customFormat="false" ht="15.75" hidden="false" customHeight="false" outlineLevel="0" collapsed="false">
      <c r="A11819" s="1" t="s">
        <v>1228</v>
      </c>
      <c r="B11819" s="1" t="n">
        <v>296.27</v>
      </c>
      <c r="C11819" s="1" t="n">
        <f aca="false">1/B11819</f>
        <v>0.00337529955783576</v>
      </c>
      <c r="D11819" s="1" t="n">
        <v>0.22399</v>
      </c>
      <c r="E11819" s="1" t="n">
        <f aca="false">LN(D11819)</f>
        <v>-1.49615387098076</v>
      </c>
    </row>
    <row r="11820" customFormat="false" ht="15.75" hidden="false" customHeight="false" outlineLevel="0" collapsed="false">
      <c r="A11820" s="1" t="s">
        <v>1228</v>
      </c>
      <c r="B11820" s="1" t="n">
        <v>297.12</v>
      </c>
      <c r="C11820" s="1" t="n">
        <f aca="false">1/B11820</f>
        <v>0.00336564351103931</v>
      </c>
      <c r="D11820" s="1" t="n">
        <v>0.22228</v>
      </c>
      <c r="E11820" s="1" t="n">
        <f aca="false">LN(D11820)</f>
        <v>-1.50381743057042</v>
      </c>
    </row>
    <row r="11821" customFormat="false" ht="15.75" hidden="false" customHeight="false" outlineLevel="0" collapsed="false">
      <c r="A11821" s="1" t="s">
        <v>1228</v>
      </c>
      <c r="B11821" s="1" t="n">
        <v>297.96</v>
      </c>
      <c r="C11821" s="1" t="n">
        <f aca="false">1/B11821</f>
        <v>0.00335615518861592</v>
      </c>
      <c r="D11821" s="1" t="n">
        <v>0.22058</v>
      </c>
      <c r="E11821" s="1" t="n">
        <f aca="false">LN(D11821)</f>
        <v>-1.51149483810414</v>
      </c>
    </row>
    <row r="11822" customFormat="false" ht="15.75" hidden="false" customHeight="false" outlineLevel="0" collapsed="false">
      <c r="A11822" s="1" t="s">
        <v>1228</v>
      </c>
      <c r="B11822" s="1" t="n">
        <v>298.81</v>
      </c>
      <c r="C11822" s="1" t="n">
        <f aca="false">1/B11822</f>
        <v>0.00334660821257655</v>
      </c>
      <c r="D11822" s="1" t="n">
        <v>0.21891</v>
      </c>
      <c r="E11822" s="1" t="n">
        <f aca="false">LN(D11822)</f>
        <v>-1.5190945925365</v>
      </c>
    </row>
    <row r="11823" customFormat="false" ht="15.75" hidden="false" customHeight="false" outlineLevel="0" collapsed="false">
      <c r="A11823" s="1" t="s">
        <v>1228</v>
      </c>
      <c r="B11823" s="1" t="n">
        <v>299.65</v>
      </c>
      <c r="C11823" s="1" t="n">
        <f aca="false">1/B11823</f>
        <v>0.00333722676455865</v>
      </c>
      <c r="D11823" s="1" t="n">
        <v>0.21725</v>
      </c>
      <c r="E11823" s="1" t="n">
        <f aca="false">LN(D11823)</f>
        <v>-1.52670651483664</v>
      </c>
    </row>
    <row r="11824" customFormat="false" ht="15.75" hidden="false" customHeight="false" outlineLevel="0" collapsed="false">
      <c r="A11824" s="1" t="s">
        <v>1228</v>
      </c>
      <c r="B11824" s="1" t="n">
        <v>300.49</v>
      </c>
      <c r="C11824" s="1" t="n">
        <f aca="false">1/B11824</f>
        <v>0.0033278977669806</v>
      </c>
      <c r="D11824" s="1" t="n">
        <v>0.2156</v>
      </c>
      <c r="E11824" s="1" t="n">
        <f aca="false">LN(D11824)</f>
        <v>-1.53433043994729</v>
      </c>
    </row>
    <row r="11825" customFormat="false" ht="15.75" hidden="false" customHeight="false" outlineLevel="0" collapsed="false">
      <c r="A11825" s="1" t="s">
        <v>1228</v>
      </c>
      <c r="B11825" s="1" t="n">
        <v>301.34</v>
      </c>
      <c r="C11825" s="1" t="n">
        <f aca="false">1/B11825</f>
        <v>0.00331851065241919</v>
      </c>
      <c r="D11825" s="1" t="n">
        <v>0.21397</v>
      </c>
      <c r="E11825" s="1" t="n">
        <f aca="false">LN(D11825)</f>
        <v>-1.54191946070328</v>
      </c>
    </row>
    <row r="11826" customFormat="false" ht="15.75" hidden="false" customHeight="false" outlineLevel="0" collapsed="false">
      <c r="A11826" s="1" t="s">
        <v>1228</v>
      </c>
      <c r="B11826" s="1" t="n">
        <v>302.18</v>
      </c>
      <c r="C11826" s="1" t="n">
        <f aca="false">1/B11826</f>
        <v>0.00330928585611225</v>
      </c>
      <c r="D11826" s="1" t="n">
        <v>0.21236</v>
      </c>
      <c r="E11826" s="1" t="n">
        <f aca="false">LN(D11826)</f>
        <v>-1.54947233126667</v>
      </c>
    </row>
    <row r="11827" customFormat="false" ht="15.75" hidden="false" customHeight="false" outlineLevel="0" collapsed="false">
      <c r="A11827" s="1" t="s">
        <v>1228</v>
      </c>
      <c r="B11827" s="1" t="n">
        <v>303.03</v>
      </c>
      <c r="C11827" s="1" t="n">
        <f aca="false">1/B11827</f>
        <v>0.0033000033000033</v>
      </c>
      <c r="D11827" s="1" t="n">
        <v>0.21077</v>
      </c>
      <c r="E11827" s="1" t="n">
        <f aca="false">LN(D11827)</f>
        <v>-1.55698778743318</v>
      </c>
    </row>
    <row r="11828" customFormat="false" ht="15.75" hidden="false" customHeight="false" outlineLevel="0" collapsed="false">
      <c r="A11828" s="1" t="s">
        <v>1228</v>
      </c>
      <c r="B11828" s="1" t="n">
        <v>303.87</v>
      </c>
      <c r="C11828" s="1" t="n">
        <f aca="false">1/B11828</f>
        <v>0.00329088096883536</v>
      </c>
      <c r="D11828" s="1" t="n">
        <v>0.20919</v>
      </c>
      <c r="E11828" s="1" t="n">
        <f aca="false">LN(D11828)</f>
        <v>-1.56451234908111</v>
      </c>
    </row>
    <row r="11829" customFormat="false" ht="15.75" hidden="false" customHeight="false" outlineLevel="0" collapsed="false">
      <c r="A11829" s="1" t="s">
        <v>1228</v>
      </c>
      <c r="B11829" s="1" t="n">
        <v>304.72</v>
      </c>
      <c r="C11829" s="1" t="n">
        <f aca="false">1/B11829</f>
        <v>0.00328170123391966</v>
      </c>
      <c r="D11829" s="1" t="n">
        <v>0.20762</v>
      </c>
      <c r="E11829" s="1" t="n">
        <f aca="false">LN(D11829)</f>
        <v>-1.57204579321704</v>
      </c>
    </row>
    <row r="11830" customFormat="false" ht="15.75" hidden="false" customHeight="false" outlineLevel="0" collapsed="false">
      <c r="A11830" s="1" t="s">
        <v>1228</v>
      </c>
      <c r="B11830" s="1" t="n">
        <v>305.56</v>
      </c>
      <c r="C11830" s="1" t="n">
        <f aca="false">1/B11830</f>
        <v>0.00327267967011389</v>
      </c>
      <c r="D11830" s="1" t="n">
        <v>0.20607</v>
      </c>
      <c r="E11830" s="1" t="n">
        <f aca="false">LN(D11830)</f>
        <v>-1.57953936208824</v>
      </c>
    </row>
    <row r="11831" customFormat="false" ht="15.75" hidden="false" customHeight="false" outlineLevel="0" collapsed="false">
      <c r="A11831" s="1" t="s">
        <v>1228</v>
      </c>
      <c r="B11831" s="1" t="n">
        <v>306.4</v>
      </c>
      <c r="C11831" s="1" t="n">
        <f aca="false">1/B11831</f>
        <v>0.00326370757180157</v>
      </c>
      <c r="D11831" s="1" t="n">
        <v>0.20454</v>
      </c>
      <c r="E11831" s="1" t="n">
        <f aca="false">LN(D11831)</f>
        <v>-1.58699172360427</v>
      </c>
    </row>
    <row r="11832" customFormat="false" ht="15.75" hidden="false" customHeight="false" outlineLevel="0" collapsed="false">
      <c r="A11832" s="1" t="s">
        <v>1228</v>
      </c>
      <c r="B11832" s="1" t="n">
        <v>307.25</v>
      </c>
      <c r="C11832" s="1" t="n">
        <f aca="false">1/B11832</f>
        <v>0.0032546786004882</v>
      </c>
      <c r="D11832" s="1" t="n">
        <v>0.20302</v>
      </c>
      <c r="E11832" s="1" t="n">
        <f aca="false">LN(D11832)</f>
        <v>-1.59445078262585</v>
      </c>
    </row>
    <row r="11833" customFormat="false" ht="15.75" hidden="false" customHeight="false" outlineLevel="0" collapsed="false">
      <c r="A11833" s="1" t="s">
        <v>1228</v>
      </c>
      <c r="B11833" s="1" t="n">
        <v>308.09</v>
      </c>
      <c r="C11833" s="1" t="n">
        <f aca="false">1/B11833</f>
        <v>0.00324580479729949</v>
      </c>
      <c r="D11833" s="1" t="n">
        <v>0.20152</v>
      </c>
      <c r="E11833" s="1" t="n">
        <f aca="false">LN(D11833)</f>
        <v>-1.60186664693778</v>
      </c>
    </row>
    <row r="11834" customFormat="false" ht="15.75" hidden="false" customHeight="false" outlineLevel="0" collapsed="false">
      <c r="A11834" s="1" t="s">
        <v>1228</v>
      </c>
      <c r="B11834" s="1" t="n">
        <v>308.82</v>
      </c>
      <c r="C11834" s="1" t="n">
        <f aca="false">1/B11834</f>
        <v>0.0032381322453209</v>
      </c>
      <c r="D11834" s="1" t="n">
        <v>0.20022</v>
      </c>
      <c r="E11834" s="1" t="n">
        <f aca="false">LN(D11834)</f>
        <v>-1.6083385169908</v>
      </c>
    </row>
    <row r="11835" customFormat="false" ht="15.75" hidden="false" customHeight="false" outlineLevel="0" collapsed="false">
      <c r="A11835" s="1" t="s">
        <v>1230</v>
      </c>
      <c r="B11835" s="1" t="n">
        <v>182.55</v>
      </c>
      <c r="C11835" s="1" t="n">
        <f aca="false">1/B11835</f>
        <v>0.00547795124623391</v>
      </c>
      <c r="D11835" s="1" t="n">
        <v>3.9168</v>
      </c>
      <c r="E11835" s="1" t="n">
        <f aca="false">LN(D11835)</f>
        <v>1.36527499389582</v>
      </c>
    </row>
    <row r="11836" customFormat="false" ht="15.75" hidden="false" customHeight="false" outlineLevel="0" collapsed="false">
      <c r="A11836" s="1" t="s">
        <v>1230</v>
      </c>
      <c r="B11836" s="1" t="n">
        <v>183.25</v>
      </c>
      <c r="C11836" s="1" t="n">
        <f aca="false">1/B11836</f>
        <v>0.00545702592087312</v>
      </c>
      <c r="D11836" s="1" t="n">
        <v>3.7945</v>
      </c>
      <c r="E11836" s="1" t="n">
        <f aca="false">LN(D11836)</f>
        <v>1.33355264986183</v>
      </c>
    </row>
    <row r="11837" customFormat="false" ht="15.75" hidden="false" customHeight="false" outlineLevel="0" collapsed="false">
      <c r="A11837" s="1" t="s">
        <v>1230</v>
      </c>
      <c r="B11837" s="1" t="n">
        <v>183.94</v>
      </c>
      <c r="C11837" s="1" t="n">
        <f aca="false">1/B11837</f>
        <v>0.00543655539849951</v>
      </c>
      <c r="D11837" s="1" t="n">
        <v>3.6785</v>
      </c>
      <c r="E11837" s="1" t="n">
        <f aca="false">LN(D11837)</f>
        <v>1.30250506039018</v>
      </c>
    </row>
    <row r="11838" customFormat="false" ht="15.75" hidden="false" customHeight="false" outlineLevel="0" collapsed="false">
      <c r="A11838" s="1" t="s">
        <v>1230</v>
      </c>
      <c r="B11838" s="1" t="n">
        <v>184.64</v>
      </c>
      <c r="C11838" s="1" t="n">
        <f aca="false">1/B11838</f>
        <v>0.0054159445407279</v>
      </c>
      <c r="D11838" s="1" t="n">
        <v>3.5684</v>
      </c>
      <c r="E11838" s="1" t="n">
        <f aca="false">LN(D11838)</f>
        <v>1.27211731605749</v>
      </c>
    </row>
    <row r="11839" customFormat="false" ht="15.75" hidden="false" customHeight="false" outlineLevel="0" collapsed="false">
      <c r="A11839" s="1" t="s">
        <v>1230</v>
      </c>
      <c r="B11839" s="1" t="n">
        <v>185.33</v>
      </c>
      <c r="C11839" s="1" t="n">
        <f aca="false">1/B11839</f>
        <v>0.00539578049964927</v>
      </c>
      <c r="D11839" s="1" t="n">
        <v>3.4637</v>
      </c>
      <c r="E11839" s="1" t="n">
        <f aca="false">LN(D11839)</f>
        <v>1.24233738186892</v>
      </c>
    </row>
    <row r="11840" customFormat="false" ht="15.75" hidden="false" customHeight="false" outlineLevel="0" collapsed="false">
      <c r="A11840" s="1" t="s">
        <v>1230</v>
      </c>
      <c r="B11840" s="1" t="n">
        <v>186.03</v>
      </c>
      <c r="C11840" s="1" t="n">
        <f aca="false">1/B11840</f>
        <v>0.00537547707359028</v>
      </c>
      <c r="D11840" s="1" t="n">
        <v>3.3641</v>
      </c>
      <c r="E11840" s="1" t="n">
        <f aca="false">LN(D11840)</f>
        <v>1.21316046818493</v>
      </c>
    </row>
    <row r="11841" customFormat="false" ht="15.75" hidden="false" customHeight="false" outlineLevel="0" collapsed="false">
      <c r="A11841" s="1" t="s">
        <v>1230</v>
      </c>
      <c r="B11841" s="1" t="n">
        <v>186.72</v>
      </c>
      <c r="C11841" s="1" t="n">
        <f aca="false">1/B11841</f>
        <v>0.00535561268209083</v>
      </c>
      <c r="D11841" s="1" t="n">
        <v>3.2692</v>
      </c>
      <c r="E11841" s="1" t="n">
        <f aca="false">LN(D11841)</f>
        <v>1.18454530665984</v>
      </c>
    </row>
    <row r="11842" customFormat="false" ht="15.75" hidden="false" customHeight="false" outlineLevel="0" collapsed="false">
      <c r="A11842" s="1" t="s">
        <v>1230</v>
      </c>
      <c r="B11842" s="1" t="n">
        <v>187.42</v>
      </c>
      <c r="C11842" s="1" t="n">
        <f aca="false">1/B11842</f>
        <v>0.00533560986020702</v>
      </c>
      <c r="D11842" s="1" t="n">
        <v>3.1788</v>
      </c>
      <c r="E11842" s="1" t="n">
        <f aca="false">LN(D11842)</f>
        <v>1.15650376708389</v>
      </c>
    </row>
    <row r="11843" customFormat="false" ht="15.75" hidden="false" customHeight="false" outlineLevel="0" collapsed="false">
      <c r="A11843" s="1" t="s">
        <v>1230</v>
      </c>
      <c r="B11843" s="1" t="n">
        <v>188.12</v>
      </c>
      <c r="C11843" s="1" t="n">
        <f aca="false">1/B11843</f>
        <v>0.00531575590048905</v>
      </c>
      <c r="D11843" s="1" t="n">
        <v>3.0925</v>
      </c>
      <c r="E11843" s="1" t="n">
        <f aca="false">LN(D11843)</f>
        <v>1.12897982528451</v>
      </c>
    </row>
    <row r="11844" customFormat="false" ht="15.75" hidden="false" customHeight="false" outlineLevel="0" collapsed="false">
      <c r="A11844" s="1" t="s">
        <v>1230</v>
      </c>
      <c r="B11844" s="1" t="n">
        <v>188.81</v>
      </c>
      <c r="C11844" s="1" t="n">
        <f aca="false">1/B11844</f>
        <v>0.00529632964355702</v>
      </c>
      <c r="D11844" s="1" t="n">
        <v>3.0101</v>
      </c>
      <c r="E11844" s="1" t="n">
        <f aca="false">LN(D11844)</f>
        <v>1.10197330080029</v>
      </c>
    </row>
    <row r="11845" customFormat="false" ht="15.75" hidden="false" customHeight="false" outlineLevel="0" collapsed="false">
      <c r="A11845" s="1" t="s">
        <v>1230</v>
      </c>
      <c r="B11845" s="1" t="n">
        <v>189.51</v>
      </c>
      <c r="C11845" s="1" t="n">
        <f aca="false">1/B11845</f>
        <v>0.00527676639755158</v>
      </c>
      <c r="D11845" s="1" t="n">
        <v>2.9312</v>
      </c>
      <c r="E11845" s="1" t="n">
        <f aca="false">LN(D11845)</f>
        <v>1.07541189549767</v>
      </c>
    </row>
    <row r="11846" customFormat="false" ht="15.75" hidden="false" customHeight="false" outlineLevel="0" collapsed="false">
      <c r="A11846" s="1" t="s">
        <v>1230</v>
      </c>
      <c r="B11846" s="1" t="n">
        <v>190.2</v>
      </c>
      <c r="C11846" s="1" t="n">
        <f aca="false">1/B11846</f>
        <v>0.00525762355415352</v>
      </c>
      <c r="D11846" s="1" t="n">
        <v>2.8558</v>
      </c>
      <c r="E11846" s="1" t="n">
        <f aca="false">LN(D11846)</f>
        <v>1.04935201401406</v>
      </c>
    </row>
    <row r="11847" customFormat="false" ht="15.75" hidden="false" customHeight="false" outlineLevel="0" collapsed="false">
      <c r="A11847" s="1" t="s">
        <v>1230</v>
      </c>
      <c r="B11847" s="1" t="n">
        <v>190.9</v>
      </c>
      <c r="C11847" s="1" t="n">
        <f aca="false">1/B11847</f>
        <v>0.00523834468308015</v>
      </c>
      <c r="D11847" s="1" t="n">
        <v>2.7836</v>
      </c>
      <c r="E11847" s="1" t="n">
        <f aca="false">LN(D11847)</f>
        <v>1.02374505398856</v>
      </c>
    </row>
    <row r="11848" customFormat="false" ht="15.75" hidden="false" customHeight="false" outlineLevel="0" collapsed="false">
      <c r="A11848" s="1" t="s">
        <v>1230</v>
      </c>
      <c r="B11848" s="1" t="n">
        <v>191.59</v>
      </c>
      <c r="C11848" s="1" t="n">
        <f aca="false">1/B11848</f>
        <v>0.00521947909598622</v>
      </c>
      <c r="D11848" s="1" t="n">
        <v>2.7144</v>
      </c>
      <c r="E11848" s="1" t="n">
        <f aca="false">LN(D11848)</f>
        <v>0.998570934487883</v>
      </c>
    </row>
    <row r="11849" customFormat="false" ht="15.75" hidden="false" customHeight="false" outlineLevel="0" collapsed="false">
      <c r="A11849" s="1" t="s">
        <v>1230</v>
      </c>
      <c r="B11849" s="1" t="n">
        <v>192.29</v>
      </c>
      <c r="C11849" s="1" t="n">
        <f aca="false">1/B11849</f>
        <v>0.00520047844401685</v>
      </c>
      <c r="D11849" s="1" t="n">
        <v>2.648</v>
      </c>
      <c r="E11849" s="1" t="n">
        <f aca="false">LN(D11849)</f>
        <v>0.973804638074762</v>
      </c>
    </row>
    <row r="11850" customFormat="false" ht="15.75" hidden="false" customHeight="false" outlineLevel="0" collapsed="false">
      <c r="A11850" s="1" t="s">
        <v>1230</v>
      </c>
      <c r="B11850" s="1" t="n">
        <v>192.99</v>
      </c>
      <c r="C11850" s="1" t="n">
        <f aca="false">1/B11850</f>
        <v>0.00518161562775273</v>
      </c>
      <c r="D11850" s="1" t="n">
        <v>2.5843</v>
      </c>
      <c r="E11850" s="1" t="n">
        <f aca="false">LN(D11850)</f>
        <v>0.949454678252587</v>
      </c>
    </row>
    <row r="11851" customFormat="false" ht="15.75" hidden="false" customHeight="false" outlineLevel="0" collapsed="false">
      <c r="A11851" s="1" t="s">
        <v>1230</v>
      </c>
      <c r="B11851" s="1" t="n">
        <v>193.68</v>
      </c>
      <c r="C11851" s="1" t="n">
        <f aca="false">1/B11851</f>
        <v>0.00516315572077654</v>
      </c>
      <c r="D11851" s="1" t="n">
        <v>2.5231</v>
      </c>
      <c r="E11851" s="1" t="n">
        <f aca="false">LN(D11851)</f>
        <v>0.925488304228197</v>
      </c>
    </row>
    <row r="11852" customFormat="false" ht="15.75" hidden="false" customHeight="false" outlineLevel="0" collapsed="false">
      <c r="A11852" s="1" t="s">
        <v>1230</v>
      </c>
      <c r="B11852" s="1" t="n">
        <v>194.38</v>
      </c>
      <c r="C11852" s="1" t="n">
        <f aca="false">1/B11852</f>
        <v>0.00514456219775697</v>
      </c>
      <c r="D11852" s="1" t="n">
        <v>2.4643</v>
      </c>
      <c r="E11852" s="1" t="n">
        <f aca="false">LN(D11852)</f>
        <v>0.901907791506702</v>
      </c>
    </row>
    <row r="11853" customFormat="false" ht="15.75" hidden="false" customHeight="false" outlineLevel="0" collapsed="false">
      <c r="A11853" s="1" t="s">
        <v>1230</v>
      </c>
      <c r="B11853" s="1" t="n">
        <v>195.07</v>
      </c>
      <c r="C11853" s="1" t="n">
        <f aca="false">1/B11853</f>
        <v>0.0051263648946532</v>
      </c>
      <c r="D11853" s="1" t="n">
        <v>2.4077</v>
      </c>
      <c r="E11853" s="1" t="n">
        <f aca="false">LN(D11853)</f>
        <v>0.878671934967646</v>
      </c>
    </row>
    <row r="11854" customFormat="false" ht="15.75" hidden="false" customHeight="false" outlineLevel="0" collapsed="false">
      <c r="A11854" s="1" t="s">
        <v>1230</v>
      </c>
      <c r="B11854" s="1" t="n">
        <v>195.77</v>
      </c>
      <c r="C11854" s="1" t="n">
        <f aca="false">1/B11854</f>
        <v>0.00510803493895898</v>
      </c>
      <c r="D11854" s="1" t="n">
        <v>2.3533</v>
      </c>
      <c r="E11854" s="1" t="n">
        <f aca="false">LN(D11854)</f>
        <v>0.855818598430777</v>
      </c>
    </row>
    <row r="11855" customFormat="false" ht="15.75" hidden="false" customHeight="false" outlineLevel="0" collapsed="false">
      <c r="A11855" s="1" t="s">
        <v>1230</v>
      </c>
      <c r="B11855" s="1" t="n">
        <v>196.47</v>
      </c>
      <c r="C11855" s="1" t="n">
        <f aca="false">1/B11855</f>
        <v>0.00508983559831017</v>
      </c>
      <c r="D11855" s="1" t="n">
        <v>2.3009</v>
      </c>
      <c r="E11855" s="1" t="n">
        <f aca="false">LN(D11855)</f>
        <v>0.83330035074335</v>
      </c>
    </row>
    <row r="11856" customFormat="false" ht="15.75" hidden="false" customHeight="false" outlineLevel="0" collapsed="false">
      <c r="A11856" s="1" t="s">
        <v>1230</v>
      </c>
      <c r="B11856" s="1" t="n">
        <v>197.16</v>
      </c>
      <c r="C11856" s="1" t="n">
        <f aca="false">1/B11856</f>
        <v>0.0050720227226618</v>
      </c>
      <c r="D11856" s="1" t="n">
        <v>2.2504</v>
      </c>
      <c r="E11856" s="1" t="n">
        <f aca="false">LN(D11856)</f>
        <v>0.81110797819351</v>
      </c>
    </row>
    <row r="11857" customFormat="false" ht="15.75" hidden="false" customHeight="false" outlineLevel="0" collapsed="false">
      <c r="A11857" s="1" t="s">
        <v>1230</v>
      </c>
      <c r="B11857" s="1" t="n">
        <v>197.86</v>
      </c>
      <c r="C11857" s="1" t="n">
        <f aca="false">1/B11857</f>
        <v>0.00505407864146366</v>
      </c>
      <c r="D11857" s="1" t="n">
        <v>2.2017</v>
      </c>
      <c r="E11857" s="1" t="n">
        <f aca="false">LN(D11857)</f>
        <v>0.78922978923699</v>
      </c>
    </row>
    <row r="11858" customFormat="false" ht="15.75" hidden="false" customHeight="false" outlineLevel="0" collapsed="false">
      <c r="A11858" s="1" t="s">
        <v>1230</v>
      </c>
      <c r="B11858" s="1" t="n">
        <v>198.55</v>
      </c>
      <c r="C11858" s="1" t="n">
        <f aca="false">1/B11858</f>
        <v>0.00503651473180559</v>
      </c>
      <c r="D11858" s="1" t="n">
        <v>2.1548</v>
      </c>
      <c r="E11858" s="1" t="n">
        <f aca="false">LN(D11858)</f>
        <v>0.767697911824242</v>
      </c>
    </row>
    <row r="11859" customFormat="false" ht="15.75" hidden="false" customHeight="false" outlineLevel="0" collapsed="false">
      <c r="A11859" s="1" t="s">
        <v>1230</v>
      </c>
      <c r="B11859" s="1" t="n">
        <v>199.25</v>
      </c>
      <c r="C11859" s="1" t="n">
        <f aca="false">1/B11859</f>
        <v>0.00501882057716437</v>
      </c>
      <c r="D11859" s="1" t="n">
        <v>2.1095</v>
      </c>
      <c r="E11859" s="1" t="n">
        <f aca="false">LN(D11859)</f>
        <v>0.746450952582256</v>
      </c>
    </row>
    <row r="11860" customFormat="false" ht="15.75" hidden="false" customHeight="false" outlineLevel="0" collapsed="false">
      <c r="A11860" s="1" t="s">
        <v>1230</v>
      </c>
      <c r="B11860" s="1" t="n">
        <v>199.94</v>
      </c>
      <c r="C11860" s="1" t="n">
        <f aca="false">1/B11860</f>
        <v>0.00500150045013504</v>
      </c>
      <c r="D11860" s="1" t="n">
        <v>2.0657</v>
      </c>
      <c r="E11860" s="1" t="n">
        <f aca="false">LN(D11860)</f>
        <v>0.72546915202207</v>
      </c>
    </row>
    <row r="11861" customFormat="false" ht="15.75" hidden="false" customHeight="false" outlineLevel="0" collapsed="false">
      <c r="A11861" s="1" t="s">
        <v>1230</v>
      </c>
      <c r="B11861" s="1" t="n">
        <v>200.64</v>
      </c>
      <c r="C11861" s="1" t="n">
        <f aca="false">1/B11861</f>
        <v>0.00498405103668262</v>
      </c>
      <c r="D11861" s="1" t="n">
        <v>2.0235</v>
      </c>
      <c r="E11861" s="1" t="n">
        <f aca="false">LN(D11861)</f>
        <v>0.704828685333783</v>
      </c>
    </row>
    <row r="11862" customFormat="false" ht="15.75" hidden="false" customHeight="false" outlineLevel="0" collapsed="false">
      <c r="A11862" s="1" t="s">
        <v>1230</v>
      </c>
      <c r="B11862" s="1" t="n">
        <v>201.34</v>
      </c>
      <c r="C11862" s="1" t="n">
        <f aca="false">1/B11862</f>
        <v>0.0049667229561935</v>
      </c>
      <c r="D11862" s="1" t="n">
        <v>1.9826</v>
      </c>
      <c r="E11862" s="1" t="n">
        <f aca="false">LN(D11862)</f>
        <v>0.68440911461666</v>
      </c>
    </row>
    <row r="11863" customFormat="false" ht="15.75" hidden="false" customHeight="false" outlineLevel="0" collapsed="false">
      <c r="A11863" s="1" t="s">
        <v>1230</v>
      </c>
      <c r="B11863" s="1" t="n">
        <v>202.03</v>
      </c>
      <c r="C11863" s="1" t="n">
        <f aca="false">1/B11863</f>
        <v>0.00494975993664307</v>
      </c>
      <c r="D11863" s="1" t="n">
        <v>1.9431</v>
      </c>
      <c r="E11863" s="1" t="n">
        <f aca="false">LN(D11863)</f>
        <v>0.664284635874844</v>
      </c>
    </row>
    <row r="11864" customFormat="false" ht="15.75" hidden="false" customHeight="false" outlineLevel="0" collapsed="false">
      <c r="A11864" s="1" t="s">
        <v>1230</v>
      </c>
      <c r="B11864" s="1" t="n">
        <v>202.73</v>
      </c>
      <c r="C11864" s="1" t="n">
        <f aca="false">1/B11864</f>
        <v>0.00493266906723228</v>
      </c>
      <c r="D11864" s="1" t="n">
        <v>1.9049</v>
      </c>
      <c r="E11864" s="1" t="n">
        <f aca="false">LN(D11864)</f>
        <v>0.644429513762515</v>
      </c>
    </row>
    <row r="11865" customFormat="false" ht="15.75" hidden="false" customHeight="false" outlineLevel="0" collapsed="false">
      <c r="A11865" s="1" t="s">
        <v>1230</v>
      </c>
      <c r="B11865" s="1" t="n">
        <v>203.42</v>
      </c>
      <c r="C11865" s="1" t="n">
        <f aca="false">1/B11865</f>
        <v>0.00491593746927539</v>
      </c>
      <c r="D11865" s="1" t="n">
        <v>1.8679</v>
      </c>
      <c r="E11865" s="1" t="n">
        <f aca="false">LN(D11865)</f>
        <v>0.62481480518312</v>
      </c>
    </row>
    <row r="11866" customFormat="false" ht="15.75" hidden="false" customHeight="false" outlineLevel="0" collapsed="false">
      <c r="A11866" s="1" t="s">
        <v>1230</v>
      </c>
      <c r="B11866" s="1" t="n">
        <v>204.12</v>
      </c>
      <c r="C11866" s="1" t="n">
        <f aca="false">1/B11866</f>
        <v>0.00489907897315305</v>
      </c>
      <c r="D11866" s="1" t="n">
        <v>1.8321</v>
      </c>
      <c r="E11866" s="1" t="n">
        <f aca="false">LN(D11866)</f>
        <v>0.605462849915062</v>
      </c>
    </row>
    <row r="11867" customFormat="false" ht="15.75" hidden="false" customHeight="false" outlineLevel="0" collapsed="false">
      <c r="A11867" s="1" t="s">
        <v>1230</v>
      </c>
      <c r="B11867" s="1" t="n">
        <v>204.81</v>
      </c>
      <c r="C11867" s="1" t="n">
        <f aca="false">1/B11867</f>
        <v>0.00488257409306186</v>
      </c>
      <c r="D11867" s="1" t="n">
        <v>1.7974</v>
      </c>
      <c r="E11867" s="1" t="n">
        <f aca="false">LN(D11867)</f>
        <v>0.586341176242136</v>
      </c>
    </row>
    <row r="11868" customFormat="false" ht="15.75" hidden="false" customHeight="false" outlineLevel="0" collapsed="false">
      <c r="A11868" s="1" t="s">
        <v>1230</v>
      </c>
      <c r="B11868" s="1" t="n">
        <v>205.51</v>
      </c>
      <c r="C11868" s="1" t="n">
        <f aca="false">1/B11868</f>
        <v>0.00486594326310155</v>
      </c>
      <c r="D11868" s="1" t="n">
        <v>1.7638</v>
      </c>
      <c r="E11868" s="1" t="n">
        <f aca="false">LN(D11868)</f>
        <v>0.567470572471943</v>
      </c>
    </row>
    <row r="11869" customFormat="false" ht="15.75" hidden="false" customHeight="false" outlineLevel="0" collapsed="false">
      <c r="A11869" s="1" t="s">
        <v>1230</v>
      </c>
      <c r="B11869" s="1" t="n">
        <v>206.21</v>
      </c>
      <c r="C11869" s="1" t="n">
        <f aca="false">1/B11869</f>
        <v>0.00484942534309684</v>
      </c>
      <c r="D11869" s="1" t="n">
        <v>1.7312</v>
      </c>
      <c r="E11869" s="1" t="n">
        <f aca="false">LN(D11869)</f>
        <v>0.548814809670025</v>
      </c>
    </row>
    <row r="11870" customFormat="false" ht="15.75" hidden="false" customHeight="false" outlineLevel="0" collapsed="false">
      <c r="A11870" s="1" t="s">
        <v>1230</v>
      </c>
      <c r="B11870" s="1" t="n">
        <v>206.9</v>
      </c>
      <c r="C11870" s="1" t="n">
        <f aca="false">1/B11870</f>
        <v>0.00483325277912035</v>
      </c>
      <c r="D11870" s="1" t="n">
        <v>1.6996</v>
      </c>
      <c r="E11870" s="1" t="n">
        <f aca="false">LN(D11870)</f>
        <v>0.530392929258519</v>
      </c>
    </row>
    <row r="11871" customFormat="false" ht="15.75" hidden="false" customHeight="false" outlineLevel="0" collapsed="false">
      <c r="A11871" s="1" t="s">
        <v>1230</v>
      </c>
      <c r="B11871" s="1" t="n">
        <v>207.6</v>
      </c>
      <c r="C11871" s="1" t="n">
        <f aca="false">1/B11871</f>
        <v>0.00481695568400771</v>
      </c>
      <c r="D11871" s="1" t="n">
        <v>1.6689</v>
      </c>
      <c r="E11871" s="1" t="n">
        <f aca="false">LN(D11871)</f>
        <v>0.51216472676722</v>
      </c>
    </row>
    <row r="11872" customFormat="false" ht="15.75" hidden="false" customHeight="false" outlineLevel="0" collapsed="false">
      <c r="A11872" s="1" t="s">
        <v>1230</v>
      </c>
      <c r="B11872" s="1" t="n">
        <v>208.29</v>
      </c>
      <c r="C11872" s="1" t="n">
        <f aca="false">1/B11872</f>
        <v>0.0048009986077104</v>
      </c>
      <c r="D11872" s="1" t="n">
        <v>1.6392</v>
      </c>
      <c r="E11872" s="1" t="n">
        <f aca="false">LN(D11872)</f>
        <v>0.494208317942553</v>
      </c>
    </row>
    <row r="11873" customFormat="false" ht="15.75" hidden="false" customHeight="false" outlineLevel="0" collapsed="false">
      <c r="A11873" s="1" t="s">
        <v>1230</v>
      </c>
      <c r="B11873" s="1" t="n">
        <v>208.99</v>
      </c>
      <c r="C11873" s="1" t="n">
        <f aca="false">1/B11873</f>
        <v>0.00478491793865735</v>
      </c>
      <c r="D11873" s="1" t="n">
        <v>1.6103</v>
      </c>
      <c r="E11873" s="1" t="n">
        <f aca="false">LN(D11873)</f>
        <v>0.476420497041813</v>
      </c>
    </row>
    <row r="11874" customFormat="false" ht="15.75" hidden="false" customHeight="false" outlineLevel="0" collapsed="false">
      <c r="A11874" s="1" t="s">
        <v>1230</v>
      </c>
      <c r="B11874" s="1" t="n">
        <v>209.68</v>
      </c>
      <c r="C11874" s="1" t="n">
        <f aca="false">1/B11874</f>
        <v>0.00476917207172835</v>
      </c>
      <c r="D11874" s="1" t="n">
        <v>1.5822</v>
      </c>
      <c r="E11874" s="1" t="n">
        <f aca="false">LN(D11874)</f>
        <v>0.458816283605159</v>
      </c>
    </row>
    <row r="11875" customFormat="false" ht="15.75" hidden="false" customHeight="false" outlineLevel="0" collapsed="false">
      <c r="A11875" s="1" t="s">
        <v>1230</v>
      </c>
      <c r="B11875" s="1" t="n">
        <v>210.38</v>
      </c>
      <c r="C11875" s="1" t="n">
        <f aca="false">1/B11875</f>
        <v>0.00475330354596445</v>
      </c>
      <c r="D11875" s="1" t="n">
        <v>1.5549</v>
      </c>
      <c r="E11875" s="1" t="n">
        <f aca="false">LN(D11875)</f>
        <v>0.441411234881633</v>
      </c>
    </row>
    <row r="11876" customFormat="false" ht="15.75" hidden="false" customHeight="false" outlineLevel="0" collapsed="false">
      <c r="A11876" s="1" t="s">
        <v>1230</v>
      </c>
      <c r="B11876" s="1" t="n">
        <v>211.08</v>
      </c>
      <c r="C11876" s="1" t="n">
        <f aca="false">1/B11876</f>
        <v>0.00473754026909229</v>
      </c>
      <c r="D11876" s="1" t="n">
        <v>1.5284</v>
      </c>
      <c r="E11876" s="1" t="n">
        <f aca="false">LN(D11876)</f>
        <v>0.424221436590608</v>
      </c>
    </row>
    <row r="11877" customFormat="false" ht="15.75" hidden="false" customHeight="false" outlineLevel="0" collapsed="false">
      <c r="A11877" s="1" t="s">
        <v>1230</v>
      </c>
      <c r="B11877" s="1" t="n">
        <v>211.77</v>
      </c>
      <c r="C11877" s="1" t="n">
        <f aca="false">1/B11877</f>
        <v>0.00472210416961798</v>
      </c>
      <c r="D11877" s="1" t="n">
        <v>1.5026</v>
      </c>
      <c r="E11877" s="1" t="n">
        <f aca="false">LN(D11877)</f>
        <v>0.407196940952923</v>
      </c>
    </row>
    <row r="11878" customFormat="false" ht="15.75" hidden="false" customHeight="false" outlineLevel="0" collapsed="false">
      <c r="A11878" s="1" t="s">
        <v>1230</v>
      </c>
      <c r="B11878" s="1" t="n">
        <v>212.47</v>
      </c>
      <c r="C11878" s="1" t="n">
        <f aca="false">1/B11878</f>
        <v>0.00470654680660799</v>
      </c>
      <c r="D11878" s="1" t="n">
        <v>1.4776</v>
      </c>
      <c r="E11878" s="1" t="n">
        <f aca="false">LN(D11878)</f>
        <v>0.390419149902893</v>
      </c>
    </row>
    <row r="11879" customFormat="false" ht="15.75" hidden="false" customHeight="false" outlineLevel="0" collapsed="false">
      <c r="A11879" s="1" t="s">
        <v>1230</v>
      </c>
      <c r="B11879" s="1" t="n">
        <v>213.16</v>
      </c>
      <c r="C11879" s="1" t="n">
        <f aca="false">1/B11879</f>
        <v>0.00469131169074873</v>
      </c>
      <c r="D11879" s="1" t="n">
        <v>1.4532</v>
      </c>
      <c r="E11879" s="1" t="n">
        <f aca="false">LN(D11879)</f>
        <v>0.37376802136491</v>
      </c>
    </row>
    <row r="11880" customFormat="false" ht="15.75" hidden="false" customHeight="false" outlineLevel="0" collapsed="false">
      <c r="A11880" s="1" t="s">
        <v>1230</v>
      </c>
      <c r="B11880" s="1" t="n">
        <v>213.86</v>
      </c>
      <c r="C11880" s="1" t="n">
        <f aca="false">1/B11880</f>
        <v>0.00467595623304966</v>
      </c>
      <c r="D11880" s="1" t="n">
        <v>1.4295</v>
      </c>
      <c r="E11880" s="1" t="n">
        <f aca="false">LN(D11880)</f>
        <v>0.357324732780229</v>
      </c>
    </row>
    <row r="11881" customFormat="false" ht="15.75" hidden="false" customHeight="false" outlineLevel="0" collapsed="false">
      <c r="A11881" s="1" t="s">
        <v>1230</v>
      </c>
      <c r="B11881" s="1" t="n">
        <v>214.55</v>
      </c>
      <c r="C11881" s="1" t="n">
        <f aca="false">1/B11881</f>
        <v>0.00466091820088557</v>
      </c>
      <c r="D11881" s="1" t="n">
        <v>1.4064</v>
      </c>
      <c r="E11881" s="1" t="n">
        <f aca="false">LN(D11881)</f>
        <v>0.341033247948776</v>
      </c>
    </row>
    <row r="11882" customFormat="false" ht="15.75" hidden="false" customHeight="false" outlineLevel="0" collapsed="false">
      <c r="A11882" s="1" t="s">
        <v>1230</v>
      </c>
      <c r="B11882" s="1" t="n">
        <v>215.25</v>
      </c>
      <c r="C11882" s="1" t="n">
        <f aca="false">1/B11882</f>
        <v>0.00464576074332172</v>
      </c>
      <c r="D11882" s="1" t="n">
        <v>1.3839</v>
      </c>
      <c r="E11882" s="1" t="n">
        <f aca="false">LN(D11882)</f>
        <v>0.324905600249747</v>
      </c>
    </row>
    <row r="11883" customFormat="false" ht="15.75" hidden="false" customHeight="false" outlineLevel="0" collapsed="false">
      <c r="A11883" s="1" t="s">
        <v>1230</v>
      </c>
      <c r="B11883" s="1" t="n">
        <v>215.95</v>
      </c>
      <c r="C11883" s="1" t="n">
        <f aca="false">1/B11883</f>
        <v>0.00463070155128502</v>
      </c>
      <c r="D11883" s="1" t="n">
        <v>1.362</v>
      </c>
      <c r="E11883" s="1" t="n">
        <f aca="false">LN(D11883)</f>
        <v>0.308954207727321</v>
      </c>
    </row>
    <row r="11884" customFormat="false" ht="15.75" hidden="false" customHeight="false" outlineLevel="0" collapsed="false">
      <c r="A11884" s="1" t="s">
        <v>1230</v>
      </c>
      <c r="B11884" s="1" t="n">
        <v>216.64</v>
      </c>
      <c r="C11884" s="1" t="n">
        <f aca="false">1/B11884</f>
        <v>0.00461595273264402</v>
      </c>
      <c r="D11884" s="1" t="n">
        <v>1.3406</v>
      </c>
      <c r="E11884" s="1" t="n">
        <f aca="false">LN(D11884)</f>
        <v>0.29311727494172</v>
      </c>
    </row>
    <row r="11885" customFormat="false" ht="15.75" hidden="false" customHeight="false" outlineLevel="0" collapsed="false">
      <c r="A11885" s="1" t="s">
        <v>1230</v>
      </c>
      <c r="B11885" s="1" t="n">
        <v>217.34</v>
      </c>
      <c r="C11885" s="1" t="n">
        <f aca="false">1/B11885</f>
        <v>0.00460108585626208</v>
      </c>
      <c r="D11885" s="1" t="n">
        <v>1.3198</v>
      </c>
      <c r="E11885" s="1" t="n">
        <f aca="false">LN(D11885)</f>
        <v>0.277480209967184</v>
      </c>
    </row>
    <row r="11886" customFormat="false" ht="15.75" hidden="false" customHeight="false" outlineLevel="0" collapsed="false">
      <c r="A11886" s="1" t="s">
        <v>1230</v>
      </c>
      <c r="B11886" s="1" t="n">
        <v>218.03</v>
      </c>
      <c r="C11886" s="1" t="n">
        <f aca="false">1/B11886</f>
        <v>0.00458652479016649</v>
      </c>
      <c r="D11886" s="1" t="n">
        <v>1.2995</v>
      </c>
      <c r="E11886" s="1" t="n">
        <f aca="false">LN(D11886)</f>
        <v>0.261979575099408</v>
      </c>
    </row>
    <row r="11887" customFormat="false" ht="15.75" hidden="false" customHeight="false" outlineLevel="0" collapsed="false">
      <c r="A11887" s="1" t="s">
        <v>1230</v>
      </c>
      <c r="B11887" s="1" t="n">
        <v>218.73</v>
      </c>
      <c r="C11887" s="1" t="n">
        <f aca="false">1/B11887</f>
        <v>0.00457184656882915</v>
      </c>
      <c r="D11887" s="1" t="n">
        <v>1.2798</v>
      </c>
      <c r="E11887" s="1" t="n">
        <f aca="false">LN(D11887)</f>
        <v>0.246703815723223</v>
      </c>
    </row>
    <row r="11888" customFormat="false" ht="15.75" hidden="false" customHeight="false" outlineLevel="0" collapsed="false">
      <c r="A11888" s="1" t="s">
        <v>1230</v>
      </c>
      <c r="B11888" s="1" t="n">
        <v>219.42</v>
      </c>
      <c r="C11888" s="1" t="n">
        <f aca="false">1/B11888</f>
        <v>0.00455746969282654</v>
      </c>
      <c r="D11888" s="1" t="n">
        <v>1.2605</v>
      </c>
      <c r="E11888" s="1" t="n">
        <f aca="false">LN(D11888)</f>
        <v>0.231508467645837</v>
      </c>
    </row>
    <row r="11889" customFormat="false" ht="15.75" hidden="false" customHeight="false" outlineLevel="0" collapsed="false">
      <c r="A11889" s="1" t="s">
        <v>1230</v>
      </c>
      <c r="B11889" s="1" t="n">
        <v>220.12</v>
      </c>
      <c r="C11889" s="1" t="n">
        <f aca="false">1/B11889</f>
        <v>0.00454297655824096</v>
      </c>
      <c r="D11889" s="1" t="n">
        <v>1.2417</v>
      </c>
      <c r="E11889" s="1" t="n">
        <f aca="false">LN(D11889)</f>
        <v>0.216481408440659</v>
      </c>
    </row>
    <row r="11890" customFormat="false" ht="15.75" hidden="false" customHeight="false" outlineLevel="0" collapsed="false">
      <c r="A11890" s="1" t="s">
        <v>1230</v>
      </c>
      <c r="B11890" s="1" t="n">
        <v>220.82</v>
      </c>
      <c r="C11890" s="1" t="n">
        <f aca="false">1/B11890</f>
        <v>0.00452857531020741</v>
      </c>
      <c r="D11890" s="1" t="n">
        <v>1.2233</v>
      </c>
      <c r="E11890" s="1" t="n">
        <f aca="false">LN(D11890)</f>
        <v>0.201552125070734</v>
      </c>
    </row>
    <row r="11891" customFormat="false" ht="15.75" hidden="false" customHeight="false" outlineLevel="0" collapsed="false">
      <c r="A11891" s="1" t="s">
        <v>1230</v>
      </c>
      <c r="B11891" s="1" t="n">
        <v>221.51</v>
      </c>
      <c r="C11891" s="1" t="n">
        <f aca="false">1/B11891</f>
        <v>0.00451446887273712</v>
      </c>
      <c r="D11891" s="1" t="n">
        <v>1.2054</v>
      </c>
      <c r="E11891" s="1" t="n">
        <f aca="false">LN(D11891)</f>
        <v>0.186811462066807</v>
      </c>
    </row>
    <row r="11892" customFormat="false" ht="15.75" hidden="false" customHeight="false" outlineLevel="0" collapsed="false">
      <c r="A11892" s="1" t="s">
        <v>1230</v>
      </c>
      <c r="B11892" s="1" t="n">
        <v>222.21</v>
      </c>
      <c r="C11892" s="1" t="n">
        <f aca="false">1/B11892</f>
        <v>0.00450024751361325</v>
      </c>
      <c r="D11892" s="1" t="n">
        <v>1.1879</v>
      </c>
      <c r="E11892" s="1" t="n">
        <f aca="false">LN(D11892)</f>
        <v>0.172187042313357</v>
      </c>
    </row>
    <row r="11893" customFormat="false" ht="15.75" hidden="false" customHeight="false" outlineLevel="0" collapsed="false">
      <c r="A11893" s="1" t="s">
        <v>1230</v>
      </c>
      <c r="B11893" s="1" t="n">
        <v>222.9</v>
      </c>
      <c r="C11893" s="1" t="n">
        <f aca="false">1/B11893</f>
        <v>0.00448631673396142</v>
      </c>
      <c r="D11893" s="1" t="n">
        <v>1.1708</v>
      </c>
      <c r="E11893" s="1" t="n">
        <f aca="false">LN(D11893)</f>
        <v>0.157687275835594</v>
      </c>
    </row>
    <row r="11894" customFormat="false" ht="15.75" hidden="false" customHeight="false" outlineLevel="0" collapsed="false">
      <c r="A11894" s="1" t="s">
        <v>1230</v>
      </c>
      <c r="B11894" s="1" t="n">
        <v>223.6</v>
      </c>
      <c r="C11894" s="1" t="n">
        <f aca="false">1/B11894</f>
        <v>0.00447227191413238</v>
      </c>
      <c r="D11894" s="1" t="n">
        <v>1.1541</v>
      </c>
      <c r="E11894" s="1" t="n">
        <f aca="false">LN(D11894)</f>
        <v>0.143320819444222</v>
      </c>
    </row>
    <row r="11895" customFormat="false" ht="15.75" hidden="false" customHeight="false" outlineLevel="0" collapsed="false">
      <c r="A11895" s="1" t="s">
        <v>1230</v>
      </c>
      <c r="B11895" s="1" t="n">
        <v>224.3</v>
      </c>
      <c r="C11895" s="1" t="n">
        <f aca="false">1/B11895</f>
        <v>0.00445831475702185</v>
      </c>
      <c r="D11895" s="1" t="n">
        <v>1.1378</v>
      </c>
      <c r="E11895" s="1" t="n">
        <f aca="false">LN(D11895)</f>
        <v>0.12909657333441</v>
      </c>
    </row>
    <row r="11896" customFormat="false" ht="15.75" hidden="false" customHeight="false" outlineLevel="0" collapsed="false">
      <c r="A11896" s="1" t="s">
        <v>1230</v>
      </c>
      <c r="B11896" s="1" t="n">
        <v>224.99</v>
      </c>
      <c r="C11896" s="1" t="n">
        <f aca="false">1/B11896</f>
        <v>0.00444464198408818</v>
      </c>
      <c r="D11896" s="1" t="n">
        <v>1.1219</v>
      </c>
      <c r="E11896" s="1" t="n">
        <f aca="false">LN(D11896)</f>
        <v>0.115023676568782</v>
      </c>
    </row>
    <row r="11897" customFormat="false" ht="15.75" hidden="false" customHeight="false" outlineLevel="0" collapsed="false">
      <c r="A11897" s="1" t="s">
        <v>1230</v>
      </c>
      <c r="B11897" s="1" t="n">
        <v>225.69</v>
      </c>
      <c r="C11897" s="1" t="n">
        <f aca="false">1/B11897</f>
        <v>0.00443085648455847</v>
      </c>
      <c r="D11897" s="1" t="n">
        <v>1.1063</v>
      </c>
      <c r="E11897" s="1" t="n">
        <f aca="false">LN(D11897)</f>
        <v>0.101021114058728</v>
      </c>
    </row>
    <row r="11898" customFormat="false" ht="15.75" hidden="false" customHeight="false" outlineLevel="0" collapsed="false">
      <c r="A11898" s="1" t="s">
        <v>1230</v>
      </c>
      <c r="B11898" s="1" t="n">
        <v>226.38</v>
      </c>
      <c r="C11898" s="1" t="n">
        <f aca="false">1/B11898</f>
        <v>0.00441735135612687</v>
      </c>
      <c r="D11898" s="1" t="n">
        <v>1.0911</v>
      </c>
      <c r="E11898" s="1" t="n">
        <f aca="false">LN(D11898)</f>
        <v>0.087186361678916</v>
      </c>
    </row>
    <row r="11899" customFormat="false" ht="15.75" hidden="false" customHeight="false" outlineLevel="0" collapsed="false">
      <c r="A11899" s="1" t="s">
        <v>1230</v>
      </c>
      <c r="B11899" s="1" t="n">
        <v>227.08</v>
      </c>
      <c r="C11899" s="1" t="n">
        <f aca="false">1/B11899</f>
        <v>0.004403734366743</v>
      </c>
      <c r="D11899" s="1" t="n">
        <v>1.0762</v>
      </c>
      <c r="E11899" s="1" t="n">
        <f aca="false">LN(D11899)</f>
        <v>0.0734363180731823</v>
      </c>
    </row>
    <row r="11900" customFormat="false" ht="15.75" hidden="false" customHeight="false" outlineLevel="0" collapsed="false">
      <c r="A11900" s="1" t="s">
        <v>1230</v>
      </c>
      <c r="B11900" s="1" t="n">
        <v>227.77</v>
      </c>
      <c r="C11900" s="1" t="n">
        <f aca="false">1/B11900</f>
        <v>0.0043903938183255</v>
      </c>
      <c r="D11900" s="1" t="n">
        <v>1.0617</v>
      </c>
      <c r="E11900" s="1" t="n">
        <f aca="false">LN(D11900)</f>
        <v>0.0598713970373904</v>
      </c>
    </row>
    <row r="11901" customFormat="false" ht="15.75" hidden="false" customHeight="false" outlineLevel="0" collapsed="false">
      <c r="A11901" s="1" t="s">
        <v>1230</v>
      </c>
      <c r="B11901" s="1" t="n">
        <v>228.47</v>
      </c>
      <c r="C11901" s="1" t="n">
        <f aca="false">1/B11901</f>
        <v>0.00437694226813148</v>
      </c>
      <c r="D11901" s="1" t="n">
        <v>1.0474</v>
      </c>
      <c r="E11901" s="1" t="n">
        <f aca="false">LN(D11901)</f>
        <v>0.0463109028632504</v>
      </c>
    </row>
    <row r="11902" customFormat="false" ht="15.75" hidden="false" customHeight="false" outlineLevel="0" collapsed="false">
      <c r="A11902" s="1" t="s">
        <v>1230</v>
      </c>
      <c r="B11902" s="1" t="n">
        <v>229.17</v>
      </c>
      <c r="C11902" s="1" t="n">
        <f aca="false">1/B11902</f>
        <v>0.00436357289348519</v>
      </c>
      <c r="D11902" s="1" t="n">
        <v>1.0335</v>
      </c>
      <c r="E11902" s="1" t="n">
        <f aca="false">LN(D11902)</f>
        <v>0.032951100139686</v>
      </c>
    </row>
    <row r="11903" customFormat="false" ht="15.75" hidden="false" customHeight="false" outlineLevel="0" collapsed="false">
      <c r="A11903" s="1" t="s">
        <v>1230</v>
      </c>
      <c r="B11903" s="1" t="n">
        <v>229.86</v>
      </c>
      <c r="C11903" s="1" t="n">
        <f aca="false">1/B11903</f>
        <v>0.00435047420168798</v>
      </c>
      <c r="D11903" s="1" t="n">
        <v>1.0199</v>
      </c>
      <c r="E11903" s="1" t="n">
        <f aca="false">LN(D11903)</f>
        <v>0.0197045832743354</v>
      </c>
    </row>
    <row r="11904" customFormat="false" ht="15.75" hidden="false" customHeight="false" outlineLevel="0" collapsed="false">
      <c r="A11904" s="1" t="s">
        <v>1230</v>
      </c>
      <c r="B11904" s="1" t="n">
        <v>230.56</v>
      </c>
      <c r="C11904" s="1" t="n">
        <f aca="false">1/B11904</f>
        <v>0.00433726578764747</v>
      </c>
      <c r="D11904" s="1" t="n">
        <v>1.0065</v>
      </c>
      <c r="E11904" s="1" t="n">
        <f aca="false">LN(D11904)</f>
        <v>0.00647896609770907</v>
      </c>
    </row>
    <row r="11905" customFormat="false" ht="15.75" hidden="false" customHeight="false" outlineLevel="0" collapsed="false">
      <c r="A11905" s="1" t="s">
        <v>1230</v>
      </c>
      <c r="B11905" s="1" t="n">
        <v>231.25</v>
      </c>
      <c r="C11905" s="1" t="n">
        <f aca="false">1/B11905</f>
        <v>0.00432432432432432</v>
      </c>
      <c r="D11905" s="1" t="n">
        <v>0.99349</v>
      </c>
      <c r="E11905" s="1" t="n">
        <f aca="false">LN(D11905)</f>
        <v>-0.00653128246618648</v>
      </c>
    </row>
    <row r="11906" customFormat="false" ht="15.75" hidden="false" customHeight="false" outlineLevel="0" collapsed="false">
      <c r="A11906" s="1" t="s">
        <v>1230</v>
      </c>
      <c r="B11906" s="1" t="n">
        <v>231.95</v>
      </c>
      <c r="C11906" s="1" t="n">
        <f aca="false">1/B11906</f>
        <v>0.00431127398146152</v>
      </c>
      <c r="D11906" s="1" t="n">
        <v>0.9807</v>
      </c>
      <c r="E11906" s="1" t="n">
        <f aca="false">LN(D11906)</f>
        <v>-0.0194886765838624</v>
      </c>
    </row>
    <row r="11907" customFormat="false" ht="15.75" hidden="false" customHeight="false" outlineLevel="0" collapsed="false">
      <c r="A11907" s="1" t="s">
        <v>1230</v>
      </c>
      <c r="B11907" s="1" t="n">
        <v>232.64</v>
      </c>
      <c r="C11907" s="1" t="n">
        <f aca="false">1/B11907</f>
        <v>0.00429848693259973</v>
      </c>
      <c r="D11907" s="1" t="n">
        <v>0.96818</v>
      </c>
      <c r="E11907" s="1" t="n">
        <f aca="false">LN(D11907)</f>
        <v>-0.032337258578972</v>
      </c>
    </row>
    <row r="11908" customFormat="false" ht="15.75" hidden="false" customHeight="false" outlineLevel="0" collapsed="false">
      <c r="A11908" s="1" t="s">
        <v>1230</v>
      </c>
      <c r="B11908" s="1" t="n">
        <v>233.34</v>
      </c>
      <c r="C11908" s="1" t="n">
        <f aca="false">1/B11908</f>
        <v>0.00428559184023314</v>
      </c>
      <c r="D11908" s="1" t="n">
        <v>0.95592</v>
      </c>
      <c r="E11908" s="1" t="n">
        <f aca="false">LN(D11908)</f>
        <v>-0.0450810514406386</v>
      </c>
    </row>
    <row r="11909" customFormat="false" ht="15.75" hidden="false" customHeight="false" outlineLevel="0" collapsed="false">
      <c r="A11909" s="1" t="s">
        <v>1230</v>
      </c>
      <c r="B11909" s="1" t="n">
        <v>234.04</v>
      </c>
      <c r="C11909" s="1" t="n">
        <f aca="false">1/B11909</f>
        <v>0.00427277388480602</v>
      </c>
      <c r="D11909" s="1" t="n">
        <v>0.94391</v>
      </c>
      <c r="E11909" s="1" t="n">
        <f aca="false">LN(D11909)</f>
        <v>-0.0577244563647369</v>
      </c>
    </row>
    <row r="11910" customFormat="false" ht="15.75" hidden="false" customHeight="false" outlineLevel="0" collapsed="false">
      <c r="A11910" s="1" t="s">
        <v>1230</v>
      </c>
      <c r="B11910" s="1" t="n">
        <v>234.73</v>
      </c>
      <c r="C11910" s="1" t="n">
        <f aca="false">1/B11910</f>
        <v>0.00426021386273591</v>
      </c>
      <c r="D11910" s="1" t="n">
        <v>0.93213</v>
      </c>
      <c r="E11910" s="1" t="n">
        <f aca="false">LN(D11910)</f>
        <v>-0.0702829890451302</v>
      </c>
    </row>
    <row r="11911" customFormat="false" ht="15.75" hidden="false" customHeight="false" outlineLevel="0" collapsed="false">
      <c r="A11911" s="1" t="s">
        <v>1230</v>
      </c>
      <c r="B11911" s="1" t="n">
        <v>235.43</v>
      </c>
      <c r="C11911" s="1" t="n">
        <f aca="false">1/B11911</f>
        <v>0.00424754704158349</v>
      </c>
      <c r="D11911" s="1" t="n">
        <v>0.9206</v>
      </c>
      <c r="E11911" s="1" t="n">
        <f aca="false">LN(D11911)</f>
        <v>-0.082729647598996</v>
      </c>
    </row>
    <row r="11912" customFormat="false" ht="15.75" hidden="false" customHeight="false" outlineLevel="0" collapsed="false">
      <c r="A11912" s="1" t="s">
        <v>1230</v>
      </c>
      <c r="B11912" s="1" t="n">
        <v>236.12</v>
      </c>
      <c r="C11912" s="1" t="n">
        <f aca="false">1/B11912</f>
        <v>0.00423513467728274</v>
      </c>
      <c r="D11912" s="1" t="n">
        <v>0.90929</v>
      </c>
      <c r="E11912" s="1" t="n">
        <f aca="false">LN(D11912)</f>
        <v>-0.0950912037813242</v>
      </c>
    </row>
    <row r="11913" customFormat="false" ht="15.75" hidden="false" customHeight="false" outlineLevel="0" collapsed="false">
      <c r="A11913" s="1" t="s">
        <v>1230</v>
      </c>
      <c r="B11913" s="1" t="n">
        <v>236.82</v>
      </c>
      <c r="C11913" s="1" t="n">
        <f aca="false">1/B11913</f>
        <v>0.00422261633307998</v>
      </c>
      <c r="D11913" s="1" t="n">
        <v>0.89821</v>
      </c>
      <c r="E11913" s="1" t="n">
        <f aca="false">LN(D11913)</f>
        <v>-0.107351385012608</v>
      </c>
    </row>
    <row r="11914" customFormat="false" ht="15.75" hidden="false" customHeight="false" outlineLevel="0" collapsed="false">
      <c r="A11914" s="1" t="s">
        <v>1230</v>
      </c>
      <c r="B11914" s="1" t="n">
        <v>237.51</v>
      </c>
      <c r="C11914" s="1" t="n">
        <f aca="false">1/B11914</f>
        <v>0.00421034903793525</v>
      </c>
      <c r="D11914" s="1" t="n">
        <v>0.88735</v>
      </c>
      <c r="E11914" s="1" t="n">
        <f aca="false">LN(D11914)</f>
        <v>-0.119515786001563</v>
      </c>
    </row>
    <row r="11915" customFormat="false" ht="15.75" hidden="false" customHeight="false" outlineLevel="0" collapsed="false">
      <c r="A11915" s="1" t="s">
        <v>1230</v>
      </c>
      <c r="B11915" s="1" t="n">
        <v>238.21</v>
      </c>
      <c r="C11915" s="1" t="n">
        <f aca="false">1/B11915</f>
        <v>0.00419797657529071</v>
      </c>
      <c r="D11915" s="1" t="n">
        <v>0.87669</v>
      </c>
      <c r="E11915" s="1" t="n">
        <f aca="false">LN(D11915)</f>
        <v>-0.131601826863053</v>
      </c>
    </row>
    <row r="11916" customFormat="false" ht="15.75" hidden="false" customHeight="false" outlineLevel="0" collapsed="false">
      <c r="A11916" s="1" t="s">
        <v>1230</v>
      </c>
      <c r="B11916" s="1" t="n">
        <v>238.91</v>
      </c>
      <c r="C11916" s="1" t="n">
        <f aca="false">1/B11916</f>
        <v>0.00418567661462475</v>
      </c>
      <c r="D11916" s="1" t="n">
        <v>0.86624</v>
      </c>
      <c r="E11916" s="1" t="n">
        <f aca="false">LN(D11916)</f>
        <v>-0.143593272556201</v>
      </c>
    </row>
    <row r="11917" customFormat="false" ht="15.75" hidden="false" customHeight="false" outlineLevel="0" collapsed="false">
      <c r="A11917" s="1" t="s">
        <v>1230</v>
      </c>
      <c r="B11917" s="1" t="n">
        <v>239.6</v>
      </c>
      <c r="C11917" s="1" t="n">
        <f aca="false">1/B11917</f>
        <v>0.00417362270450751</v>
      </c>
      <c r="D11917" s="1" t="n">
        <v>0.85599</v>
      </c>
      <c r="E11917" s="1" t="n">
        <f aca="false">LN(D11917)</f>
        <v>-0.155496585151624</v>
      </c>
    </row>
    <row r="11918" customFormat="false" ht="15.75" hidden="false" customHeight="false" outlineLevel="0" collapsed="false">
      <c r="A11918" s="1" t="s">
        <v>1230</v>
      </c>
      <c r="B11918" s="1" t="n">
        <v>240.3</v>
      </c>
      <c r="C11918" s="1" t="n">
        <f aca="false">1/B11918</f>
        <v>0.00416146483562214</v>
      </c>
      <c r="D11918" s="1" t="n">
        <v>0.84593</v>
      </c>
      <c r="E11918" s="1" t="n">
        <f aca="false">LN(D11918)</f>
        <v>-0.167318665116033</v>
      </c>
    </row>
    <row r="11919" customFormat="false" ht="15.75" hidden="false" customHeight="false" outlineLevel="0" collapsed="false">
      <c r="A11919" s="1" t="s">
        <v>1230</v>
      </c>
      <c r="B11919" s="1" t="n">
        <v>240.99</v>
      </c>
      <c r="C11919" s="1" t="n">
        <f aca="false">1/B11919</f>
        <v>0.00414954977384954</v>
      </c>
      <c r="D11919" s="1" t="n">
        <v>0.83607</v>
      </c>
      <c r="E11919" s="1" t="n">
        <f aca="false">LN(D11919)</f>
        <v>-0.179042937345352</v>
      </c>
    </row>
    <row r="11920" customFormat="false" ht="15.75" hidden="false" customHeight="false" outlineLevel="0" collapsed="false">
      <c r="A11920" s="1" t="s">
        <v>1230</v>
      </c>
      <c r="B11920" s="1" t="n">
        <v>241.69</v>
      </c>
      <c r="C11920" s="1" t="n">
        <f aca="false">1/B11920</f>
        <v>0.00413753154867806</v>
      </c>
      <c r="D11920" s="1" t="n">
        <v>0.82638</v>
      </c>
      <c r="E11920" s="1" t="n">
        <f aca="false">LN(D11920)</f>
        <v>-0.190700562824842</v>
      </c>
    </row>
    <row r="11921" customFormat="false" ht="15.75" hidden="false" customHeight="false" outlineLevel="0" collapsed="false">
      <c r="A11921" s="1" t="s">
        <v>1230</v>
      </c>
      <c r="B11921" s="1" t="n">
        <v>242.38</v>
      </c>
      <c r="C11921" s="1" t="n">
        <f aca="false">1/B11921</f>
        <v>0.00412575294991336</v>
      </c>
      <c r="D11921" s="1" t="n">
        <v>0.81688</v>
      </c>
      <c r="E11921" s="1" t="n">
        <f aca="false">LN(D11921)</f>
        <v>-0.202263073734854</v>
      </c>
    </row>
    <row r="11922" customFormat="false" ht="15.75" hidden="false" customHeight="false" outlineLevel="0" collapsed="false">
      <c r="A11922" s="1" t="s">
        <v>1230</v>
      </c>
      <c r="B11922" s="1" t="n">
        <v>243.08</v>
      </c>
      <c r="C11922" s="1" t="n">
        <f aca="false">1/B11922</f>
        <v>0.0041138719763041</v>
      </c>
      <c r="D11922" s="1" t="n">
        <v>0.80755</v>
      </c>
      <c r="E11922" s="1" t="n">
        <f aca="false">LN(D11922)</f>
        <v>-0.213750306297615</v>
      </c>
    </row>
    <row r="11923" customFormat="false" ht="15.75" hidden="false" customHeight="false" outlineLevel="0" collapsed="false">
      <c r="A11923" s="1" t="s">
        <v>1230</v>
      </c>
      <c r="B11923" s="1" t="n">
        <v>243.78</v>
      </c>
      <c r="C11923" s="1" t="n">
        <f aca="false">1/B11923</f>
        <v>0.00410205923373534</v>
      </c>
      <c r="D11923" s="1" t="n">
        <v>0.79839</v>
      </c>
      <c r="E11923" s="1" t="n">
        <f aca="false">LN(D11923)</f>
        <v>-0.225158079113422</v>
      </c>
    </row>
    <row r="11924" customFormat="false" ht="15.75" hidden="false" customHeight="false" outlineLevel="0" collapsed="false">
      <c r="A11924" s="1" t="s">
        <v>1230</v>
      </c>
      <c r="B11924" s="1" t="n">
        <v>244.47</v>
      </c>
      <c r="C11924" s="1" t="n">
        <f aca="false">1/B11924</f>
        <v>0.00409048144966663</v>
      </c>
      <c r="D11924" s="1" t="n">
        <v>0.7894</v>
      </c>
      <c r="E11924" s="1" t="n">
        <f aca="false">LN(D11924)</f>
        <v>-0.23648211575339</v>
      </c>
    </row>
    <row r="11925" customFormat="false" ht="15.75" hidden="false" customHeight="false" outlineLevel="0" collapsed="false">
      <c r="A11925" s="1" t="s">
        <v>1230</v>
      </c>
      <c r="B11925" s="1" t="n">
        <v>245.17</v>
      </c>
      <c r="C11925" s="1" t="n">
        <f aca="false">1/B11925</f>
        <v>0.00407880246359669</v>
      </c>
      <c r="D11925" s="1" t="n">
        <v>0.78057</v>
      </c>
      <c r="E11925" s="1" t="n">
        <f aca="false">LN(D11925)</f>
        <v>-0.247730856949553</v>
      </c>
    </row>
    <row r="11926" customFormat="false" ht="15.75" hidden="false" customHeight="false" outlineLevel="0" collapsed="false">
      <c r="A11926" s="1" t="s">
        <v>1230</v>
      </c>
      <c r="B11926" s="1" t="n">
        <v>245.86</v>
      </c>
      <c r="C11926" s="1" t="n">
        <f aca="false">1/B11926</f>
        <v>0.00406735540551533</v>
      </c>
      <c r="D11926" s="1" t="n">
        <v>0.7719</v>
      </c>
      <c r="E11926" s="1" t="n">
        <f aca="false">LN(D11926)</f>
        <v>-0.258900271026329</v>
      </c>
    </row>
    <row r="11927" customFormat="false" ht="15.75" hidden="false" customHeight="false" outlineLevel="0" collapsed="false">
      <c r="A11927" s="1" t="s">
        <v>1230</v>
      </c>
      <c r="B11927" s="1" t="n">
        <v>246.56</v>
      </c>
      <c r="C11927" s="1" t="n">
        <f aca="false">1/B11927</f>
        <v>0.00405580791693705</v>
      </c>
      <c r="D11927" s="1" t="n">
        <v>0.76338</v>
      </c>
      <c r="E11927" s="1" t="n">
        <f aca="false">LN(D11927)</f>
        <v>-0.269999337599473</v>
      </c>
    </row>
    <row r="11928" customFormat="false" ht="15.75" hidden="false" customHeight="false" outlineLevel="0" collapsed="false">
      <c r="A11928" s="1" t="s">
        <v>1230</v>
      </c>
      <c r="B11928" s="1" t="n">
        <v>247.25</v>
      </c>
      <c r="C11928" s="1" t="n">
        <f aca="false">1/B11928</f>
        <v>0.00404448938321537</v>
      </c>
      <c r="D11928" s="1" t="n">
        <v>0.75501</v>
      </c>
      <c r="E11928" s="1" t="n">
        <f aca="false">LN(D11928)</f>
        <v>-0.281024284787715</v>
      </c>
    </row>
    <row r="11929" customFormat="false" ht="15.75" hidden="false" customHeight="false" outlineLevel="0" collapsed="false">
      <c r="A11929" s="1" t="s">
        <v>1230</v>
      </c>
      <c r="B11929" s="1" t="n">
        <v>247.95</v>
      </c>
      <c r="C11929" s="1" t="n">
        <f aca="false">1/B11929</f>
        <v>0.00403307118370639</v>
      </c>
      <c r="D11929" s="1" t="n">
        <v>0.74679</v>
      </c>
      <c r="E11929" s="1" t="n">
        <f aca="false">LN(D11929)</f>
        <v>-0.291971257870211</v>
      </c>
    </row>
    <row r="11930" customFormat="false" ht="15.75" hidden="false" customHeight="false" outlineLevel="0" collapsed="false">
      <c r="A11930" s="1" t="s">
        <v>1230</v>
      </c>
      <c r="B11930" s="1" t="n">
        <v>248.65</v>
      </c>
      <c r="C11930" s="1" t="n">
        <f aca="false">1/B11930</f>
        <v>0.00402171727327569</v>
      </c>
      <c r="D11930" s="1" t="n">
        <v>0.7387</v>
      </c>
      <c r="E11930" s="1" t="n">
        <f aca="false">LN(D11930)</f>
        <v>-0.302863394447445</v>
      </c>
    </row>
    <row r="11931" customFormat="false" ht="15.75" hidden="false" customHeight="false" outlineLevel="0" collapsed="false">
      <c r="A11931" s="1" t="s">
        <v>1230</v>
      </c>
      <c r="B11931" s="1" t="n">
        <v>249.34</v>
      </c>
      <c r="C11931" s="1" t="n">
        <f aca="false">1/B11931</f>
        <v>0.00401058795219379</v>
      </c>
      <c r="D11931" s="1" t="n">
        <v>0.73076</v>
      </c>
      <c r="E11931" s="1" t="n">
        <f aca="false">LN(D11931)</f>
        <v>-0.313670190513768</v>
      </c>
    </row>
    <row r="11932" customFormat="false" ht="15.75" hidden="false" customHeight="false" outlineLevel="0" collapsed="false">
      <c r="A11932" s="1" t="s">
        <v>1230</v>
      </c>
      <c r="B11932" s="1" t="n">
        <v>250.04</v>
      </c>
      <c r="C11932" s="1" t="n">
        <f aca="false">1/B11932</f>
        <v>0.00399936010238362</v>
      </c>
      <c r="D11932" s="1" t="n">
        <v>0.72296</v>
      </c>
      <c r="E11932" s="1" t="n">
        <f aca="false">LN(D11932)</f>
        <v>-0.324401383388437</v>
      </c>
    </row>
    <row r="11933" customFormat="false" ht="15.75" hidden="false" customHeight="false" outlineLevel="0" collapsed="false">
      <c r="A11933" s="1" t="s">
        <v>1230</v>
      </c>
      <c r="B11933" s="1" t="n">
        <v>250.73</v>
      </c>
      <c r="C11933" s="1" t="n">
        <f aca="false">1/B11933</f>
        <v>0.0039883540063016</v>
      </c>
      <c r="D11933" s="1" t="n">
        <v>0.71528</v>
      </c>
      <c r="E11933" s="1" t="n">
        <f aca="false">LN(D11933)</f>
        <v>-0.335081204555074</v>
      </c>
    </row>
    <row r="11934" customFormat="false" ht="15.75" hidden="false" customHeight="false" outlineLevel="0" collapsed="false">
      <c r="A11934" s="1" t="s">
        <v>1230</v>
      </c>
      <c r="B11934" s="1" t="n">
        <v>251.43</v>
      </c>
      <c r="C11934" s="1" t="n">
        <f aca="false">1/B11934</f>
        <v>0.00397725012926063</v>
      </c>
      <c r="D11934" s="1" t="n">
        <v>0.70774</v>
      </c>
      <c r="E11934" s="1" t="n">
        <f aca="false">LN(D11934)</f>
        <v>-0.345678484372886</v>
      </c>
    </row>
    <row r="11935" customFormat="false" ht="15.75" hidden="false" customHeight="false" outlineLevel="0" collapsed="false">
      <c r="A11935" s="1" t="s">
        <v>1230</v>
      </c>
      <c r="B11935" s="1" t="n">
        <v>252.13</v>
      </c>
      <c r="C11935" s="1" t="n">
        <f aca="false">1/B11935</f>
        <v>0.00396620790861857</v>
      </c>
      <c r="D11935" s="1" t="n">
        <v>0.70032</v>
      </c>
      <c r="E11935" s="1" t="n">
        <f aca="false">LN(D11935)</f>
        <v>-0.356217905539552</v>
      </c>
    </row>
    <row r="11936" customFormat="false" ht="15.75" hidden="false" customHeight="false" outlineLevel="0" collapsed="false">
      <c r="A11936" s="1" t="s">
        <v>1230</v>
      </c>
      <c r="B11936" s="1" t="n">
        <v>252.82</v>
      </c>
      <c r="C11936" s="1" t="n">
        <f aca="false">1/B11936</f>
        <v>0.00395538327663951</v>
      </c>
      <c r="D11936" s="1" t="n">
        <v>0.69303</v>
      </c>
      <c r="E11936" s="1" t="n">
        <f aca="false">LN(D11936)</f>
        <v>-0.366681990685931</v>
      </c>
    </row>
    <row r="11937" customFormat="false" ht="15.75" hidden="false" customHeight="false" outlineLevel="0" collapsed="false">
      <c r="A11937" s="1" t="s">
        <v>1230</v>
      </c>
      <c r="B11937" s="1" t="n">
        <v>253.52</v>
      </c>
      <c r="C11937" s="1" t="n">
        <f aca="false">1/B11937</f>
        <v>0.00394446197538656</v>
      </c>
      <c r="D11937" s="1" t="n">
        <v>0.68585</v>
      </c>
      <c r="E11937" s="1" t="n">
        <f aca="false">LN(D11937)</f>
        <v>-0.377096334057721</v>
      </c>
    </row>
    <row r="11938" customFormat="false" ht="15.75" hidden="false" customHeight="false" outlineLevel="0" collapsed="false">
      <c r="A11938" s="1" t="s">
        <v>1230</v>
      </c>
      <c r="B11938" s="1" t="n">
        <v>254.21</v>
      </c>
      <c r="C11938" s="1" t="n">
        <f aca="false">1/B11938</f>
        <v>0.00393375555642972</v>
      </c>
      <c r="D11938" s="1" t="n">
        <v>0.6788</v>
      </c>
      <c r="E11938" s="1" t="n">
        <f aca="false">LN(D11938)</f>
        <v>-0.387428745622066</v>
      </c>
    </row>
    <row r="11939" customFormat="false" ht="15.75" hidden="false" customHeight="false" outlineLevel="0" collapsed="false">
      <c r="A11939" s="1" t="s">
        <v>1230</v>
      </c>
      <c r="B11939" s="1" t="n">
        <v>254.91</v>
      </c>
      <c r="C11939" s="1" t="n">
        <f aca="false">1/B11939</f>
        <v>0.00392295319916833</v>
      </c>
      <c r="D11939" s="1" t="n">
        <v>0.67185</v>
      </c>
      <c r="E11939" s="1" t="n">
        <f aca="false">LN(D11939)</f>
        <v>-0.397720177660718</v>
      </c>
    </row>
    <row r="11940" customFormat="false" ht="15.75" hidden="false" customHeight="false" outlineLevel="0" collapsed="false">
      <c r="A11940" s="1" t="s">
        <v>1230</v>
      </c>
      <c r="B11940" s="1" t="n">
        <v>255.6</v>
      </c>
      <c r="C11940" s="1" t="n">
        <f aca="false">1/B11940</f>
        <v>0.00391236306729264</v>
      </c>
      <c r="D11940" s="1" t="n">
        <v>0.66503</v>
      </c>
      <c r="E11940" s="1" t="n">
        <f aca="false">LN(D11940)</f>
        <v>-0.407923126561879</v>
      </c>
    </row>
    <row r="11941" customFormat="false" ht="15.75" hidden="false" customHeight="false" outlineLevel="0" collapsed="false">
      <c r="A11941" s="1" t="s">
        <v>1230</v>
      </c>
      <c r="B11941" s="1" t="n">
        <v>256.3</v>
      </c>
      <c r="C11941" s="1" t="n">
        <f aca="false">1/B11941</f>
        <v>0.00390167772142021</v>
      </c>
      <c r="D11941" s="1" t="n">
        <v>0.65831</v>
      </c>
      <c r="E11941" s="1" t="n">
        <f aca="false">LN(D11941)</f>
        <v>-0.418079333981119</v>
      </c>
    </row>
    <row r="11942" customFormat="false" ht="15.75" hidden="false" customHeight="false" outlineLevel="0" collapsed="false">
      <c r="A11942" s="1" t="s">
        <v>1230</v>
      </c>
      <c r="B11942" s="1" t="n">
        <v>257</v>
      </c>
      <c r="C11942" s="1" t="n">
        <f aca="false">1/B11942</f>
        <v>0.00389105058365759</v>
      </c>
      <c r="D11942" s="1" t="n">
        <v>0.65169</v>
      </c>
      <c r="E11942" s="1" t="n">
        <f aca="false">LN(D11942)</f>
        <v>-0.428186290245188</v>
      </c>
    </row>
    <row r="11943" customFormat="false" ht="15.75" hidden="false" customHeight="false" outlineLevel="0" collapsed="false">
      <c r="A11943" s="1" t="s">
        <v>1230</v>
      </c>
      <c r="B11943" s="1" t="n">
        <v>257.69</v>
      </c>
      <c r="C11943" s="1" t="n">
        <f aca="false">1/B11943</f>
        <v>0.00388063176685164</v>
      </c>
      <c r="D11943" s="1" t="n">
        <v>0.64519</v>
      </c>
      <c r="E11943" s="1" t="n">
        <f aca="false">LN(D11943)</f>
        <v>-0.438210431921251</v>
      </c>
    </row>
    <row r="11944" customFormat="false" ht="15.75" hidden="false" customHeight="false" outlineLevel="0" collapsed="false">
      <c r="A11944" s="1" t="s">
        <v>1230</v>
      </c>
      <c r="B11944" s="1" t="n">
        <v>258.39</v>
      </c>
      <c r="C11944" s="1" t="n">
        <f aca="false">1/B11944</f>
        <v>0.00387011881264755</v>
      </c>
      <c r="D11944" s="1" t="n">
        <v>0.63878</v>
      </c>
      <c r="E11944" s="1" t="n">
        <f aca="false">LN(D11944)</f>
        <v>-0.448195171835227</v>
      </c>
    </row>
    <row r="11945" customFormat="false" ht="15.75" hidden="false" customHeight="false" outlineLevel="0" collapsed="false">
      <c r="A11945" s="1" t="s">
        <v>1230</v>
      </c>
      <c r="B11945" s="1" t="n">
        <v>259.08</v>
      </c>
      <c r="C11945" s="1" t="n">
        <f aca="false">1/B11945</f>
        <v>0.00385981164119191</v>
      </c>
      <c r="D11945" s="1" t="n">
        <v>0.63248</v>
      </c>
      <c r="E11945" s="1" t="n">
        <f aca="false">LN(D11945)</f>
        <v>-0.458106679433762</v>
      </c>
    </row>
    <row r="11946" customFormat="false" ht="15.75" hidden="false" customHeight="false" outlineLevel="0" collapsed="false">
      <c r="A11946" s="1" t="s">
        <v>1230</v>
      </c>
      <c r="B11946" s="1" t="n">
        <v>259.78</v>
      </c>
      <c r="C11946" s="1" t="n">
        <f aca="false">1/B11946</f>
        <v>0.00384941104011086</v>
      </c>
      <c r="D11946" s="1" t="n">
        <v>0.62627</v>
      </c>
      <c r="E11946" s="1" t="n">
        <f aca="false">LN(D11946)</f>
        <v>-0.467973690965265</v>
      </c>
    </row>
    <row r="11947" customFormat="false" ht="15.75" hidden="false" customHeight="false" outlineLevel="0" collapsed="false">
      <c r="A11947" s="1" t="s">
        <v>1230</v>
      </c>
      <c r="B11947" s="1" t="n">
        <v>260.47</v>
      </c>
      <c r="C11947" s="1" t="n">
        <f aca="false">1/B11947</f>
        <v>0.00383921372902829</v>
      </c>
      <c r="D11947" s="1" t="n">
        <v>0.62016</v>
      </c>
      <c r="E11947" s="1" t="n">
        <f aca="false">LN(D11947)</f>
        <v>-0.47777776971979</v>
      </c>
    </row>
    <row r="11948" customFormat="false" ht="15.75" hidden="false" customHeight="false" outlineLevel="0" collapsed="false">
      <c r="A11948" s="1" t="s">
        <v>1230</v>
      </c>
      <c r="B11948" s="1" t="n">
        <v>261.17</v>
      </c>
      <c r="C11948" s="1" t="n">
        <f aca="false">1/B11948</f>
        <v>0.00382892368955087</v>
      </c>
      <c r="D11948" s="1" t="n">
        <v>0.61415</v>
      </c>
      <c r="E11948" s="1" t="n">
        <f aca="false">LN(D11948)</f>
        <v>-0.487516080997034</v>
      </c>
    </row>
    <row r="11949" customFormat="false" ht="15.75" hidden="false" customHeight="false" outlineLevel="0" collapsed="false">
      <c r="A11949" s="1" t="s">
        <v>1230</v>
      </c>
      <c r="B11949" s="1" t="n">
        <v>261.87</v>
      </c>
      <c r="C11949" s="1" t="n">
        <f aca="false">1/B11949</f>
        <v>0.00381868866231336</v>
      </c>
      <c r="D11949" s="1" t="n">
        <v>0.60822</v>
      </c>
      <c r="E11949" s="1" t="n">
        <f aca="false">LN(D11949)</f>
        <v>-0.497218620359774</v>
      </c>
    </row>
    <row r="11950" customFormat="false" ht="15.75" hidden="false" customHeight="false" outlineLevel="0" collapsed="false">
      <c r="A11950" s="1" t="s">
        <v>1230</v>
      </c>
      <c r="B11950" s="1" t="n">
        <v>262.56</v>
      </c>
      <c r="C11950" s="1" t="n">
        <f aca="false">1/B11950</f>
        <v>0.00380865326020719</v>
      </c>
      <c r="D11950" s="1" t="n">
        <v>0.60239</v>
      </c>
      <c r="E11950" s="1" t="n">
        <f aca="false">LN(D11950)</f>
        <v>-0.506850202899843</v>
      </c>
    </row>
    <row r="11951" customFormat="false" ht="15.75" hidden="false" customHeight="false" outlineLevel="0" collapsed="false">
      <c r="A11951" s="1" t="s">
        <v>1230</v>
      </c>
      <c r="B11951" s="1" t="n">
        <v>263.26</v>
      </c>
      <c r="C11951" s="1" t="n">
        <f aca="false">1/B11951</f>
        <v>0.00379852617184532</v>
      </c>
      <c r="D11951" s="1" t="n">
        <v>0.59664</v>
      </c>
      <c r="E11951" s="1" t="n">
        <f aca="false">LN(D11951)</f>
        <v>-0.516441362551626</v>
      </c>
    </row>
    <row r="11952" customFormat="false" ht="15.75" hidden="false" customHeight="false" outlineLevel="0" collapsed="false">
      <c r="A11952" s="1" t="s">
        <v>1230</v>
      </c>
      <c r="B11952" s="1" t="n">
        <v>263.95</v>
      </c>
      <c r="C11952" s="1" t="n">
        <f aca="false">1/B11952</f>
        <v>0.00378859632506156</v>
      </c>
      <c r="D11952" s="1" t="n">
        <v>0.59098</v>
      </c>
      <c r="E11952" s="1" t="n">
        <f aca="false">LN(D11952)</f>
        <v>-0.525973103096203</v>
      </c>
    </row>
    <row r="11953" customFormat="false" ht="15.75" hidden="false" customHeight="false" outlineLevel="0" collapsed="false">
      <c r="A11953" s="1" t="s">
        <v>1230</v>
      </c>
      <c r="B11953" s="1" t="n">
        <v>264.65</v>
      </c>
      <c r="C11953" s="1" t="n">
        <f aca="false">1/B11953</f>
        <v>0.00377857547704515</v>
      </c>
      <c r="D11953" s="1" t="n">
        <v>0.5854</v>
      </c>
      <c r="E11953" s="1" t="n">
        <f aca="false">LN(D11953)</f>
        <v>-0.535459904724352</v>
      </c>
    </row>
    <row r="11954" customFormat="false" ht="15.75" hidden="false" customHeight="false" outlineLevel="0" collapsed="false">
      <c r="A11954" s="1" t="s">
        <v>1230</v>
      </c>
      <c r="B11954" s="1" t="n">
        <v>265.34</v>
      </c>
      <c r="C11954" s="1" t="n">
        <f aca="false">1/B11954</f>
        <v>0.00376874952890631</v>
      </c>
      <c r="D11954" s="1" t="n">
        <v>0.57991</v>
      </c>
      <c r="E11954" s="1" t="n">
        <f aca="false">LN(D11954)</f>
        <v>-0.54488235989595</v>
      </c>
    </row>
    <row r="11955" customFormat="false" ht="15.75" hidden="false" customHeight="false" outlineLevel="0" collapsed="false">
      <c r="A11955" s="1" t="s">
        <v>1230</v>
      </c>
      <c r="B11955" s="1" t="n">
        <v>266.04</v>
      </c>
      <c r="C11955" s="1" t="n">
        <f aca="false">1/B11955</f>
        <v>0.00375883325815667</v>
      </c>
      <c r="D11955" s="1" t="n">
        <v>0.5745</v>
      </c>
      <c r="E11955" s="1" t="n">
        <f aca="false">LN(D11955)</f>
        <v>-0.554255181693327</v>
      </c>
    </row>
    <row r="11956" customFormat="false" ht="15.75" hidden="false" customHeight="false" outlineLevel="0" collapsed="false">
      <c r="A11956" s="1" t="s">
        <v>1230</v>
      </c>
      <c r="B11956" s="1" t="n">
        <v>266.74</v>
      </c>
      <c r="C11956" s="1" t="n">
        <f aca="false">1/B11956</f>
        <v>0.00374896903351578</v>
      </c>
      <c r="D11956" s="1" t="n">
        <v>0.56916</v>
      </c>
      <c r="E11956" s="1" t="n">
        <f aca="false">LN(D11956)</f>
        <v>-0.563593689304646</v>
      </c>
    </row>
    <row r="11957" customFormat="false" ht="15.75" hidden="false" customHeight="false" outlineLevel="0" collapsed="false">
      <c r="A11957" s="1" t="s">
        <v>1230</v>
      </c>
      <c r="B11957" s="1" t="n">
        <v>267.43</v>
      </c>
      <c r="C11957" s="1" t="n">
        <f aca="false">1/B11957</f>
        <v>0.00373929626444303</v>
      </c>
      <c r="D11957" s="1" t="n">
        <v>0.5639</v>
      </c>
      <c r="E11957" s="1" t="n">
        <f aca="false">LN(D11957)</f>
        <v>-0.572878348169001</v>
      </c>
    </row>
    <row r="11958" customFormat="false" ht="15.75" hidden="false" customHeight="false" outlineLevel="0" collapsed="false">
      <c r="A11958" s="1" t="s">
        <v>1230</v>
      </c>
      <c r="B11958" s="1" t="n">
        <v>268.13</v>
      </c>
      <c r="C11958" s="1" t="n">
        <f aca="false">1/B11958</f>
        <v>0.00372953418118077</v>
      </c>
      <c r="D11958" s="1" t="n">
        <v>0.55872</v>
      </c>
      <c r="E11958" s="1" t="n">
        <f aca="false">LN(D11958)</f>
        <v>-0.582106825770954</v>
      </c>
    </row>
    <row r="11959" customFormat="false" ht="15.75" hidden="false" customHeight="false" outlineLevel="0" collapsed="false">
      <c r="A11959" s="1" t="s">
        <v>1230</v>
      </c>
      <c r="B11959" s="1" t="n">
        <v>268.82</v>
      </c>
      <c r="C11959" s="1" t="n">
        <f aca="false">1/B11959</f>
        <v>0.00371996131240235</v>
      </c>
      <c r="D11959" s="1" t="n">
        <v>0.55362</v>
      </c>
      <c r="E11959" s="1" t="n">
        <f aca="false">LN(D11959)</f>
        <v>-0.591276748163618</v>
      </c>
    </row>
    <row r="11960" customFormat="false" ht="15.75" hidden="false" customHeight="false" outlineLevel="0" collapsed="false">
      <c r="A11960" s="1" t="s">
        <v>1230</v>
      </c>
      <c r="B11960" s="1" t="n">
        <v>269.52</v>
      </c>
      <c r="C11960" s="1" t="n">
        <f aca="false">1/B11960</f>
        <v>0.00371029979222321</v>
      </c>
      <c r="D11960" s="1" t="n">
        <v>0.54858</v>
      </c>
      <c r="E11960" s="1" t="n">
        <f aca="false">LN(D11960)</f>
        <v>-0.600422157577747</v>
      </c>
    </row>
    <row r="11961" customFormat="false" ht="15.75" hidden="false" customHeight="false" outlineLevel="0" collapsed="false">
      <c r="A11961" s="1" t="s">
        <v>1230</v>
      </c>
      <c r="B11961" s="1" t="n">
        <v>270.21</v>
      </c>
      <c r="C11961" s="1" t="n">
        <f aca="false">1/B11961</f>
        <v>0.00370082528403834</v>
      </c>
      <c r="D11961" s="1" t="n">
        <v>0.54362</v>
      </c>
      <c r="E11961" s="1" t="n">
        <f aca="false">LN(D11961)</f>
        <v>-0.609504805623303</v>
      </c>
    </row>
    <row r="11962" customFormat="false" ht="15.75" hidden="false" customHeight="false" outlineLevel="0" collapsed="false">
      <c r="A11962" s="1" t="s">
        <v>1230</v>
      </c>
      <c r="B11962" s="1" t="n">
        <v>270.91</v>
      </c>
      <c r="C11962" s="1" t="n">
        <f aca="false">1/B11962</f>
        <v>0.00369126278099738</v>
      </c>
      <c r="D11962" s="1" t="n">
        <v>0.53873</v>
      </c>
      <c r="E11962" s="1" t="n">
        <f aca="false">LN(D11962)</f>
        <v>-0.618540761223092</v>
      </c>
    </row>
    <row r="11963" customFormat="false" ht="15.75" hidden="false" customHeight="false" outlineLevel="0" collapsed="false">
      <c r="A11963" s="1" t="s">
        <v>1230</v>
      </c>
      <c r="B11963" s="1" t="n">
        <v>271.61</v>
      </c>
      <c r="C11963" s="1" t="n">
        <f aca="false">1/B11963</f>
        <v>0.00368174956739443</v>
      </c>
      <c r="D11963" s="1" t="n">
        <v>0.53391</v>
      </c>
      <c r="E11963" s="1" t="n">
        <f aca="false">LN(D11963)</f>
        <v>-0.627527993552133</v>
      </c>
    </row>
    <row r="11964" customFormat="false" ht="15.75" hidden="false" customHeight="false" outlineLevel="0" collapsed="false">
      <c r="A11964" s="1" t="s">
        <v>1230</v>
      </c>
      <c r="B11964" s="1" t="n">
        <v>272.3</v>
      </c>
      <c r="C11964" s="1" t="n">
        <f aca="false">1/B11964</f>
        <v>0.00367242012486228</v>
      </c>
      <c r="D11964" s="1" t="n">
        <v>0.52915</v>
      </c>
      <c r="E11964" s="1" t="n">
        <f aca="false">LN(D11964)</f>
        <v>-0.636483333442404</v>
      </c>
    </row>
    <row r="11965" customFormat="false" ht="15.75" hidden="false" customHeight="false" outlineLevel="0" collapsed="false">
      <c r="A11965" s="1" t="s">
        <v>1230</v>
      </c>
      <c r="B11965" s="1" t="n">
        <v>273</v>
      </c>
      <c r="C11965" s="1" t="n">
        <f aca="false">1/B11965</f>
        <v>0.00366300366300366</v>
      </c>
      <c r="D11965" s="1" t="n">
        <v>0.52446</v>
      </c>
      <c r="E11965" s="1" t="n">
        <f aca="false">LN(D11965)</f>
        <v>-0.645386117161685</v>
      </c>
    </row>
    <row r="11966" customFormat="false" ht="15.75" hidden="false" customHeight="false" outlineLevel="0" collapsed="false">
      <c r="A11966" s="1" t="s">
        <v>1230</v>
      </c>
      <c r="B11966" s="1" t="n">
        <v>273.69</v>
      </c>
      <c r="C11966" s="1" t="n">
        <f aca="false">1/B11966</f>
        <v>0.00365376886258175</v>
      </c>
      <c r="D11966" s="1" t="n">
        <v>0.51983</v>
      </c>
      <c r="E11966" s="1" t="n">
        <f aca="false">LN(D11966)</f>
        <v>-0.654253443934586</v>
      </c>
    </row>
    <row r="11967" customFormat="false" ht="15.75" hidden="false" customHeight="false" outlineLevel="0" collapsed="false">
      <c r="A11967" s="1" t="s">
        <v>1230</v>
      </c>
      <c r="B11967" s="1" t="n">
        <v>274.39</v>
      </c>
      <c r="C11967" s="1" t="n">
        <f aca="false">1/B11967</f>
        <v>0.0036444476839535</v>
      </c>
      <c r="D11967" s="1" t="n">
        <v>0.51527</v>
      </c>
      <c r="E11967" s="1" t="n">
        <f aca="false">LN(D11967)</f>
        <v>-0.663064243856209</v>
      </c>
    </row>
    <row r="11968" customFormat="false" ht="15.75" hidden="false" customHeight="false" outlineLevel="0" collapsed="false">
      <c r="A11968" s="1" t="s">
        <v>1230</v>
      </c>
      <c r="B11968" s="1" t="n">
        <v>275.08</v>
      </c>
      <c r="C11968" s="1" t="n">
        <f aca="false">1/B11968</f>
        <v>0.00363530609277301</v>
      </c>
      <c r="D11968" s="1" t="n">
        <v>0.51077</v>
      </c>
      <c r="E11968" s="1" t="n">
        <f aca="false">LN(D11968)</f>
        <v>-0.671835887950232</v>
      </c>
    </row>
    <row r="11969" customFormat="false" ht="15.75" hidden="false" customHeight="false" outlineLevel="0" collapsed="false">
      <c r="A11969" s="1" t="s">
        <v>1230</v>
      </c>
      <c r="B11969" s="1" t="n">
        <v>275.78</v>
      </c>
      <c r="C11969" s="1" t="n">
        <f aca="false">1/B11969</f>
        <v>0.00362607875843063</v>
      </c>
      <c r="D11969" s="1" t="n">
        <v>0.50633</v>
      </c>
      <c r="E11969" s="1" t="n">
        <f aca="false">LN(D11969)</f>
        <v>-0.680566648354617</v>
      </c>
    </row>
    <row r="11970" customFormat="false" ht="15.75" hidden="false" customHeight="false" outlineLevel="0" collapsed="false">
      <c r="A11970" s="1" t="s">
        <v>1230</v>
      </c>
      <c r="B11970" s="1" t="n">
        <v>276.48</v>
      </c>
      <c r="C11970" s="1" t="n">
        <f aca="false">1/B11970</f>
        <v>0.00361689814814815</v>
      </c>
      <c r="D11970" s="1" t="n">
        <v>0.50195</v>
      </c>
      <c r="E11970" s="1" t="n">
        <f aca="false">LN(D11970)</f>
        <v>-0.689254765844601</v>
      </c>
    </row>
    <row r="11971" customFormat="false" ht="15.75" hidden="false" customHeight="false" outlineLevel="0" collapsed="false">
      <c r="A11971" s="1" t="s">
        <v>1230</v>
      </c>
      <c r="B11971" s="1" t="n">
        <v>277.17</v>
      </c>
      <c r="C11971" s="1" t="n">
        <f aca="false">1/B11971</f>
        <v>0.00360789407223004</v>
      </c>
      <c r="D11971" s="1" t="n">
        <v>0.49763</v>
      </c>
      <c r="E11971" s="1" t="n">
        <f aca="false">LN(D11971)</f>
        <v>-0.697898449985432</v>
      </c>
    </row>
    <row r="11972" customFormat="false" ht="15.75" hidden="false" customHeight="false" outlineLevel="0" collapsed="false">
      <c r="A11972" s="1" t="s">
        <v>1230</v>
      </c>
      <c r="B11972" s="1" t="n">
        <v>277.87</v>
      </c>
      <c r="C11972" s="1" t="n">
        <f aca="false">1/B11972</f>
        <v>0.0035988051966747</v>
      </c>
      <c r="D11972" s="1" t="n">
        <v>0.49337</v>
      </c>
      <c r="E11972" s="1" t="n">
        <f aca="false">LN(D11972)</f>
        <v>-0.706495879329678</v>
      </c>
    </row>
    <row r="11973" customFormat="false" ht="15.75" hidden="false" customHeight="false" outlineLevel="0" collapsed="false">
      <c r="A11973" s="1" t="s">
        <v>1230</v>
      </c>
      <c r="B11973" s="1" t="n">
        <v>278.56</v>
      </c>
      <c r="C11973" s="1" t="n">
        <f aca="false">1/B11973</f>
        <v>0.00358989086731763</v>
      </c>
      <c r="D11973" s="1" t="n">
        <v>0.48916</v>
      </c>
      <c r="E11973" s="1" t="n">
        <f aca="false">LN(D11973)</f>
        <v>-0.715065644660968</v>
      </c>
    </row>
    <row r="11974" customFormat="false" ht="15.75" hidden="false" customHeight="false" outlineLevel="0" collapsed="false">
      <c r="A11974" s="1" t="s">
        <v>1230</v>
      </c>
      <c r="B11974" s="1" t="n">
        <v>279.26</v>
      </c>
      <c r="C11974" s="1" t="n">
        <f aca="false">1/B11974</f>
        <v>0.00358089235837571</v>
      </c>
      <c r="D11974" s="1" t="n">
        <v>0.48501</v>
      </c>
      <c r="E11974" s="1" t="n">
        <f aca="false">LN(D11974)</f>
        <v>-0.723585769700512</v>
      </c>
    </row>
    <row r="11975" customFormat="false" ht="15.75" hidden="false" customHeight="false" outlineLevel="0" collapsed="false">
      <c r="A11975" s="1" t="s">
        <v>1230</v>
      </c>
      <c r="B11975" s="1" t="n">
        <v>279.95</v>
      </c>
      <c r="C11975" s="1" t="n">
        <f aca="false">1/B11975</f>
        <v>0.00357206644043579</v>
      </c>
      <c r="D11975" s="1" t="n">
        <v>0.48091</v>
      </c>
      <c r="E11975" s="1" t="n">
        <f aca="false">LN(D11975)</f>
        <v>-0.732075136570781</v>
      </c>
    </row>
    <row r="11976" customFormat="false" ht="15.75" hidden="false" customHeight="false" outlineLevel="0" collapsed="false">
      <c r="A11976" s="1" t="s">
        <v>1230</v>
      </c>
      <c r="B11976" s="1" t="n">
        <v>280.65</v>
      </c>
      <c r="C11976" s="1" t="n">
        <f aca="false">1/B11976</f>
        <v>0.00356315695706396</v>
      </c>
      <c r="D11976" s="1" t="n">
        <v>0.47687</v>
      </c>
      <c r="E11976" s="1" t="n">
        <f aca="false">LN(D11976)</f>
        <v>-0.740511361926299</v>
      </c>
    </row>
    <row r="11977" customFormat="false" ht="15.75" hidden="false" customHeight="false" outlineLevel="0" collapsed="false">
      <c r="A11977" s="1" t="s">
        <v>1230</v>
      </c>
      <c r="B11977" s="1" t="n">
        <v>281.35</v>
      </c>
      <c r="C11977" s="1" t="n">
        <f aca="false">1/B11977</f>
        <v>0.00355429180735738</v>
      </c>
      <c r="D11977" s="1" t="n">
        <v>0.47288</v>
      </c>
      <c r="E11977" s="1" t="n">
        <f aca="false">LN(D11977)</f>
        <v>-0.748913622466023</v>
      </c>
    </row>
    <row r="11978" customFormat="false" ht="15.75" hidden="false" customHeight="false" outlineLevel="0" collapsed="false">
      <c r="A11978" s="1" t="s">
        <v>1230</v>
      </c>
      <c r="B11978" s="1" t="n">
        <v>282.04</v>
      </c>
      <c r="C11978" s="1" t="n">
        <f aca="false">1/B11978</f>
        <v>0.00354559636930932</v>
      </c>
      <c r="D11978" s="1" t="n">
        <v>0.46894</v>
      </c>
      <c r="E11978" s="1" t="n">
        <f aca="false">LN(D11978)</f>
        <v>-0.757280450489547</v>
      </c>
    </row>
    <row r="11979" customFormat="false" ht="15.75" hidden="false" customHeight="false" outlineLevel="0" collapsed="false">
      <c r="A11979" s="1" t="s">
        <v>1230</v>
      </c>
      <c r="B11979" s="1" t="n">
        <v>282.74</v>
      </c>
      <c r="C11979" s="1" t="n">
        <f aca="false">1/B11979</f>
        <v>0.00353681827827686</v>
      </c>
      <c r="D11979" s="1" t="n">
        <v>0.46505</v>
      </c>
      <c r="E11979" s="1" t="n">
        <f aca="false">LN(D11979)</f>
        <v>-0.765610352293661</v>
      </c>
    </row>
    <row r="11980" customFormat="false" ht="15.75" hidden="false" customHeight="false" outlineLevel="0" collapsed="false">
      <c r="A11980" s="1" t="s">
        <v>1230</v>
      </c>
      <c r="B11980" s="1" t="n">
        <v>283.43</v>
      </c>
      <c r="C11980" s="1" t="n">
        <f aca="false">1/B11980</f>
        <v>0.00352820802314504</v>
      </c>
      <c r="D11980" s="1" t="n">
        <v>0.4612</v>
      </c>
      <c r="E11980" s="1" t="n">
        <f aca="false">LN(D11980)</f>
        <v>-0.773923490587233</v>
      </c>
    </row>
    <row r="11981" customFormat="false" ht="15.75" hidden="false" customHeight="false" outlineLevel="0" collapsed="false">
      <c r="A11981" s="1" t="s">
        <v>1230</v>
      </c>
      <c r="B11981" s="1" t="n">
        <v>284.13</v>
      </c>
      <c r="C11981" s="1" t="n">
        <f aca="false">1/B11981</f>
        <v>0.00351951571463767</v>
      </c>
      <c r="D11981" s="1" t="n">
        <v>0.45741</v>
      </c>
      <c r="E11981" s="1" t="n">
        <f aca="false">LN(D11981)</f>
        <v>-0.782175134930212</v>
      </c>
    </row>
    <row r="11982" customFormat="false" ht="15.75" hidden="false" customHeight="false" outlineLevel="0" collapsed="false">
      <c r="A11982" s="1" t="s">
        <v>1230</v>
      </c>
      <c r="B11982" s="1" t="n">
        <v>284.83</v>
      </c>
      <c r="C11982" s="1" t="n">
        <f aca="false">1/B11982</f>
        <v>0.00351086613067444</v>
      </c>
      <c r="D11982" s="1" t="n">
        <v>0.45367</v>
      </c>
      <c r="E11982" s="1" t="n">
        <f aca="false">LN(D11982)</f>
        <v>-0.790385217487199</v>
      </c>
    </row>
    <row r="11983" customFormat="false" ht="15.75" hidden="false" customHeight="false" outlineLevel="0" collapsed="false">
      <c r="A11983" s="1" t="s">
        <v>1230</v>
      </c>
      <c r="B11983" s="1" t="n">
        <v>285.52</v>
      </c>
      <c r="C11983" s="1" t="n">
        <f aca="false">1/B11983</f>
        <v>0.00350238161950126</v>
      </c>
      <c r="D11983" s="1" t="n">
        <v>0.44997</v>
      </c>
      <c r="E11983" s="1" t="n">
        <f aca="false">LN(D11983)</f>
        <v>-0.798574365106759</v>
      </c>
    </row>
    <row r="11984" customFormat="false" ht="15.75" hidden="false" customHeight="false" outlineLevel="0" collapsed="false">
      <c r="A11984" s="1" t="s">
        <v>1230</v>
      </c>
      <c r="B11984" s="1" t="n">
        <v>286.22</v>
      </c>
      <c r="C11984" s="1" t="n">
        <f aca="false">1/B11984</f>
        <v>0.00349381594577598</v>
      </c>
      <c r="D11984" s="1" t="n">
        <v>0.44632</v>
      </c>
      <c r="E11984" s="1" t="n">
        <f aca="false">LN(D11984)</f>
        <v>-0.806719095444864</v>
      </c>
    </row>
    <row r="11985" customFormat="false" ht="15.75" hidden="false" customHeight="false" outlineLevel="0" collapsed="false">
      <c r="A11985" s="1" t="s">
        <v>1230</v>
      </c>
      <c r="B11985" s="1" t="n">
        <v>286.91</v>
      </c>
      <c r="C11985" s="1" t="n">
        <f aca="false">1/B11985</f>
        <v>0.00348541354431703</v>
      </c>
      <c r="D11985" s="1" t="n">
        <v>0.44272</v>
      </c>
      <c r="E11985" s="1" t="n">
        <f aca="false">LN(D11985)</f>
        <v>-0.814817762943521</v>
      </c>
    </row>
    <row r="11986" customFormat="false" ht="15.75" hidden="false" customHeight="false" outlineLevel="0" collapsed="false">
      <c r="A11986" s="1" t="s">
        <v>1230</v>
      </c>
      <c r="B11986" s="1" t="n">
        <v>287.61</v>
      </c>
      <c r="C11986" s="1" t="n">
        <f aca="false">1/B11986</f>
        <v>0.0034769305656966</v>
      </c>
      <c r="D11986" s="1" t="n">
        <v>0.43915</v>
      </c>
      <c r="E11986" s="1" t="n">
        <f aca="false">LN(D11986)</f>
        <v>-0.822914238619011</v>
      </c>
    </row>
    <row r="11987" customFormat="false" ht="15.75" hidden="false" customHeight="false" outlineLevel="0" collapsed="false">
      <c r="A11987" s="1" t="s">
        <v>1230</v>
      </c>
      <c r="B11987" s="1" t="n">
        <v>288.3</v>
      </c>
      <c r="C11987" s="1" t="n">
        <f aca="false">1/B11987</f>
        <v>0.00346860908775581</v>
      </c>
      <c r="D11987" s="1" t="n">
        <v>0.43564</v>
      </c>
      <c r="E11987" s="1" t="n">
        <f aca="false">LN(D11987)</f>
        <v>-0.830939064774651</v>
      </c>
    </row>
    <row r="11988" customFormat="false" ht="15.75" hidden="false" customHeight="false" outlineLevel="0" collapsed="false">
      <c r="A11988" s="1" t="s">
        <v>1230</v>
      </c>
      <c r="B11988" s="1" t="n">
        <v>289</v>
      </c>
      <c r="C11988" s="1" t="n">
        <f aca="false">1/B11988</f>
        <v>0.00346020761245675</v>
      </c>
      <c r="D11988" s="1" t="n">
        <v>0.43216</v>
      </c>
      <c r="E11988" s="1" t="n">
        <f aca="false">LN(D11988)</f>
        <v>-0.838959388937832</v>
      </c>
    </row>
    <row r="11989" customFormat="false" ht="15.75" hidden="false" customHeight="false" outlineLevel="0" collapsed="false">
      <c r="A11989" s="1" t="s">
        <v>1230</v>
      </c>
      <c r="B11989" s="1" t="n">
        <v>289.7</v>
      </c>
      <c r="C11989" s="1" t="n">
        <f aca="false">1/B11989</f>
        <v>0.00345184673800483</v>
      </c>
      <c r="D11989" s="1" t="n">
        <v>0.42873</v>
      </c>
      <c r="E11989" s="1" t="n">
        <f aca="false">LN(D11989)</f>
        <v>-0.846927928820324</v>
      </c>
    </row>
    <row r="11990" customFormat="false" ht="15.75" hidden="false" customHeight="false" outlineLevel="0" collapsed="false">
      <c r="A11990" s="1" t="s">
        <v>1230</v>
      </c>
      <c r="B11990" s="1" t="n">
        <v>290.39</v>
      </c>
      <c r="C11990" s="1" t="n">
        <f aca="false">1/B11990</f>
        <v>0.00344364475360722</v>
      </c>
      <c r="D11990" s="1" t="n">
        <v>0.42534</v>
      </c>
      <c r="E11990" s="1" t="n">
        <f aca="false">LN(D11990)</f>
        <v>-0.854866429887156</v>
      </c>
    </row>
    <row r="11991" customFormat="false" ht="15.75" hidden="false" customHeight="false" outlineLevel="0" collapsed="false">
      <c r="A11991" s="1" t="s">
        <v>1230</v>
      </c>
      <c r="B11991" s="1" t="n">
        <v>291.09</v>
      </c>
      <c r="C11991" s="1" t="n">
        <f aca="false">1/B11991</f>
        <v>0.00343536363324058</v>
      </c>
      <c r="D11991" s="1" t="n">
        <v>0.42199</v>
      </c>
      <c r="E11991" s="1" t="n">
        <f aca="false">LN(D11991)</f>
        <v>-0.862773661909361</v>
      </c>
    </row>
    <row r="11992" customFormat="false" ht="15.75" hidden="false" customHeight="false" outlineLevel="0" collapsed="false">
      <c r="A11992" s="1" t="s">
        <v>1230</v>
      </c>
      <c r="B11992" s="1" t="n">
        <v>291.78</v>
      </c>
      <c r="C11992" s="1" t="n">
        <f aca="false">1/B11992</f>
        <v>0.0034272397011447</v>
      </c>
      <c r="D11992" s="1" t="n">
        <v>0.41868</v>
      </c>
      <c r="E11992" s="1" t="n">
        <f aca="false">LN(D11992)</f>
        <v>-0.870648373995454</v>
      </c>
    </row>
    <row r="11993" customFormat="false" ht="15.75" hidden="false" customHeight="false" outlineLevel="0" collapsed="false">
      <c r="A11993" s="1" t="s">
        <v>1230</v>
      </c>
      <c r="B11993" s="1" t="n">
        <v>292.48</v>
      </c>
      <c r="C11993" s="1" t="n">
        <f aca="false">1/B11993</f>
        <v>0.00341903719912473</v>
      </c>
      <c r="D11993" s="1" t="n">
        <v>0.41541</v>
      </c>
      <c r="E11993" s="1" t="n">
        <f aca="false">LN(D11993)</f>
        <v>-0.878489294647405</v>
      </c>
    </row>
    <row r="11994" customFormat="false" ht="15.75" hidden="false" customHeight="false" outlineLevel="0" collapsed="false">
      <c r="A11994" s="1" t="s">
        <v>1230</v>
      </c>
      <c r="B11994" s="1" t="n">
        <v>293.17</v>
      </c>
      <c r="C11994" s="1" t="n">
        <f aca="false">1/B11994</f>
        <v>0.0034109902104581</v>
      </c>
      <c r="D11994" s="1" t="n">
        <v>0.41217</v>
      </c>
      <c r="E11994" s="1" t="n">
        <f aca="false">LN(D11994)</f>
        <v>-0.886319393378171</v>
      </c>
    </row>
    <row r="11995" customFormat="false" ht="15.75" hidden="false" customHeight="false" outlineLevel="0" collapsed="false">
      <c r="A11995" s="1" t="s">
        <v>1230</v>
      </c>
      <c r="B11995" s="1" t="n">
        <v>293.87</v>
      </c>
      <c r="C11995" s="1" t="n">
        <f aca="false">1/B11995</f>
        <v>0.00340286521250893</v>
      </c>
      <c r="D11995" s="1" t="n">
        <v>0.40898</v>
      </c>
      <c r="E11995" s="1" t="n">
        <f aca="false">LN(D11995)</f>
        <v>-0.894089023890468</v>
      </c>
    </row>
    <row r="11996" customFormat="false" ht="15.75" hidden="false" customHeight="false" outlineLevel="0" collapsed="false">
      <c r="A11996" s="1" t="s">
        <v>1230</v>
      </c>
      <c r="B11996" s="1" t="n">
        <v>294.57</v>
      </c>
      <c r="C11996" s="1" t="n">
        <f aca="false">1/B11996</f>
        <v>0.00339477883015921</v>
      </c>
      <c r="D11996" s="1" t="n">
        <v>0.40582</v>
      </c>
      <c r="E11996" s="1" t="n">
        <f aca="false">LN(D11996)</f>
        <v>-0.901845567442659</v>
      </c>
    </row>
    <row r="11997" customFormat="false" ht="15.75" hidden="false" customHeight="false" outlineLevel="0" collapsed="false">
      <c r="A11997" s="1" t="s">
        <v>1230</v>
      </c>
      <c r="B11997" s="1" t="n">
        <v>295.26</v>
      </c>
      <c r="C11997" s="1" t="n">
        <f aca="false">1/B11997</f>
        <v>0.00338684549210865</v>
      </c>
      <c r="D11997" s="1" t="n">
        <v>0.4027</v>
      </c>
      <c r="E11997" s="1" t="n">
        <f aca="false">LN(D11997)</f>
        <v>-0.909563411124729</v>
      </c>
    </row>
    <row r="11998" customFormat="false" ht="15.75" hidden="false" customHeight="false" outlineLevel="0" collapsed="false">
      <c r="A11998" s="1" t="s">
        <v>1230</v>
      </c>
      <c r="B11998" s="1" t="n">
        <v>295.96</v>
      </c>
      <c r="C11998" s="1" t="n">
        <f aca="false">1/B11998</f>
        <v>0.00337883497769969</v>
      </c>
      <c r="D11998" s="1" t="n">
        <v>0.39962</v>
      </c>
      <c r="E11998" s="1" t="n">
        <f aca="false">LN(D11998)</f>
        <v>-0.91724118341015</v>
      </c>
    </row>
    <row r="11999" customFormat="false" ht="15.75" hidden="false" customHeight="false" outlineLevel="0" collapsed="false">
      <c r="A11999" s="1" t="s">
        <v>1230</v>
      </c>
      <c r="B11999" s="1" t="n">
        <v>296.65</v>
      </c>
      <c r="C11999" s="1" t="n">
        <f aca="false">1/B11999</f>
        <v>0.00337097589752233</v>
      </c>
      <c r="D11999" s="1" t="n">
        <v>0.39657</v>
      </c>
      <c r="E11999" s="1" t="n">
        <f aca="false">LN(D11999)</f>
        <v>-0.924902708722719</v>
      </c>
    </row>
    <row r="12000" customFormat="false" ht="15.75" hidden="false" customHeight="false" outlineLevel="0" collapsed="false">
      <c r="A12000" s="1" t="s">
        <v>1230</v>
      </c>
      <c r="B12000" s="1" t="n">
        <v>297.35</v>
      </c>
      <c r="C12000" s="1" t="n">
        <f aca="false">1/B12000</f>
        <v>0.00336304018833025</v>
      </c>
      <c r="D12000" s="1" t="n">
        <v>0.39356</v>
      </c>
      <c r="E12000" s="1" t="n">
        <f aca="false">LN(D12000)</f>
        <v>-0.932521744984572</v>
      </c>
    </row>
    <row r="12001" customFormat="false" ht="15.75" hidden="false" customHeight="false" outlineLevel="0" collapsed="false">
      <c r="A12001" s="1" t="s">
        <v>1230</v>
      </c>
      <c r="B12001" s="1" t="n">
        <v>298.04</v>
      </c>
      <c r="C12001" s="1" t="n">
        <f aca="false">1/B12001</f>
        <v>0.00335525432827808</v>
      </c>
      <c r="D12001" s="1" t="n">
        <v>0.39058</v>
      </c>
      <c r="E12001" s="1" t="n">
        <f aca="false">LN(D12001)</f>
        <v>-0.940122465127501</v>
      </c>
    </row>
    <row r="12002" customFormat="false" ht="15.75" hidden="false" customHeight="false" outlineLevel="0" collapsed="false">
      <c r="A12002" s="1" t="s">
        <v>1230</v>
      </c>
      <c r="B12002" s="1" t="n">
        <v>298.74</v>
      </c>
      <c r="C12002" s="1" t="n">
        <f aca="false">1/B12002</f>
        <v>0.00334739238133494</v>
      </c>
      <c r="D12002" s="1" t="n">
        <v>0.38764</v>
      </c>
      <c r="E12002" s="1" t="n">
        <f aca="false">LN(D12002)</f>
        <v>-0.947678205115788</v>
      </c>
    </row>
    <row r="12003" customFormat="false" ht="15.75" hidden="false" customHeight="false" outlineLevel="0" collapsed="false">
      <c r="A12003" s="1" t="s">
        <v>1230</v>
      </c>
      <c r="B12003" s="1" t="n">
        <v>299.44</v>
      </c>
      <c r="C12003" s="1" t="n">
        <f aca="false">1/B12003</f>
        <v>0.0033395671920919</v>
      </c>
      <c r="D12003" s="1" t="n">
        <v>0.38472</v>
      </c>
      <c r="E12003" s="1" t="n">
        <f aca="false">LN(D12003)</f>
        <v>-0.95523948201273</v>
      </c>
    </row>
    <row r="12004" customFormat="false" ht="15.75" hidden="false" customHeight="false" outlineLevel="0" collapsed="false">
      <c r="A12004" s="1" t="s">
        <v>1230</v>
      </c>
      <c r="B12004" s="1" t="n">
        <v>300.13</v>
      </c>
      <c r="C12004" s="1" t="n">
        <f aca="false">1/B12004</f>
        <v>0.0033318895145437</v>
      </c>
      <c r="D12004" s="1" t="n">
        <v>0.38184</v>
      </c>
      <c r="E12004" s="1" t="n">
        <f aca="false">LN(D12004)</f>
        <v>-0.962753606284496</v>
      </c>
    </row>
    <row r="12005" customFormat="false" ht="15.75" hidden="false" customHeight="false" outlineLevel="0" collapsed="false">
      <c r="A12005" s="1" t="s">
        <v>1230</v>
      </c>
      <c r="B12005" s="1" t="n">
        <v>300.83</v>
      </c>
      <c r="C12005" s="1" t="n">
        <f aca="false">1/B12005</f>
        <v>0.0033241365555297</v>
      </c>
      <c r="D12005" s="1" t="n">
        <v>0.379</v>
      </c>
      <c r="E12005" s="1" t="n">
        <f aca="false">LN(D12005)</f>
        <v>-0.970219073899711</v>
      </c>
    </row>
    <row r="12006" customFormat="false" ht="15.75" hidden="false" customHeight="false" outlineLevel="0" collapsed="false">
      <c r="A12006" s="1" t="s">
        <v>1230</v>
      </c>
      <c r="B12006" s="1" t="n">
        <v>301.52</v>
      </c>
      <c r="C12006" s="1" t="n">
        <f aca="false">1/B12006</f>
        <v>0.00331652958344388</v>
      </c>
      <c r="D12006" s="1" t="n">
        <v>0.37618</v>
      </c>
      <c r="E12006" s="1" t="n">
        <f aca="false">LN(D12006)</f>
        <v>-0.977687526739479</v>
      </c>
    </row>
    <row r="12007" customFormat="false" ht="15.75" hidden="false" customHeight="false" outlineLevel="0" collapsed="false">
      <c r="A12007" s="1" t="s">
        <v>1230</v>
      </c>
      <c r="B12007" s="1" t="n">
        <v>302.22</v>
      </c>
      <c r="C12007" s="1" t="n">
        <f aca="false">1/B12007</f>
        <v>0.00330884785917543</v>
      </c>
      <c r="D12007" s="1" t="n">
        <v>0.3734</v>
      </c>
      <c r="E12007" s="1" t="n">
        <f aca="false">LN(D12007)</f>
        <v>-0.985105047874515</v>
      </c>
    </row>
    <row r="12008" customFormat="false" ht="15.75" hidden="false" customHeight="false" outlineLevel="0" collapsed="false">
      <c r="A12008" s="1" t="s">
        <v>1230</v>
      </c>
      <c r="B12008" s="1" t="n">
        <v>302.91</v>
      </c>
      <c r="C12008" s="1" t="n">
        <f aca="false">1/B12008</f>
        <v>0.00330131062031627</v>
      </c>
      <c r="D12008" s="1" t="n">
        <v>0.37065</v>
      </c>
      <c r="E12008" s="1" t="n">
        <f aca="false">LN(D12008)</f>
        <v>-0.992497057879408</v>
      </c>
    </row>
    <row r="12009" customFormat="false" ht="15.75" hidden="false" customHeight="false" outlineLevel="0" collapsed="false">
      <c r="A12009" s="1" t="s">
        <v>1230</v>
      </c>
      <c r="B12009" s="1" t="n">
        <v>303.61</v>
      </c>
      <c r="C12009" s="1" t="n">
        <f aca="false">1/B12009</f>
        <v>0.00329369915351932</v>
      </c>
      <c r="D12009" s="1" t="n">
        <v>0.36792</v>
      </c>
      <c r="E12009" s="1" t="n">
        <f aca="false">LN(D12009)</f>
        <v>-0.999889755750469</v>
      </c>
    </row>
    <row r="12010" customFormat="false" ht="15.75" hidden="false" customHeight="false" outlineLevel="0" collapsed="false">
      <c r="A12010" s="1" t="s">
        <v>1230</v>
      </c>
      <c r="B12010" s="1" t="n">
        <v>304.31</v>
      </c>
      <c r="C12010" s="1" t="n">
        <f aca="false">1/B12010</f>
        <v>0.00328612270382176</v>
      </c>
      <c r="D12010" s="1" t="n">
        <v>0.36523</v>
      </c>
      <c r="E12010" s="1" t="n">
        <f aca="false">LN(D12010)</f>
        <v>-1.00722798686629</v>
      </c>
    </row>
    <row r="12011" customFormat="false" ht="15.75" hidden="false" customHeight="false" outlineLevel="0" collapsed="false">
      <c r="A12011" s="1" t="s">
        <v>1230</v>
      </c>
      <c r="B12011" s="1" t="n">
        <v>305</v>
      </c>
      <c r="C12011" s="1" t="n">
        <f aca="false">1/B12011</f>
        <v>0.00327868852459016</v>
      </c>
      <c r="D12011" s="1" t="n">
        <v>0.36257</v>
      </c>
      <c r="E12011" s="1" t="n">
        <f aca="false">LN(D12011)</f>
        <v>-1.0145377198812</v>
      </c>
    </row>
    <row r="12012" customFormat="false" ht="15.75" hidden="false" customHeight="false" outlineLevel="0" collapsed="false">
      <c r="A12012" s="1" t="s">
        <v>1230</v>
      </c>
      <c r="B12012" s="1" t="n">
        <v>305.7</v>
      </c>
      <c r="C12012" s="1" t="n">
        <f aca="false">1/B12012</f>
        <v>0.00327118089630357</v>
      </c>
      <c r="D12012" s="1" t="n">
        <v>0.35993</v>
      </c>
      <c r="E12012" s="1" t="n">
        <f aca="false">LN(D12012)</f>
        <v>-1.0218457108832</v>
      </c>
    </row>
    <row r="12013" customFormat="false" ht="15.75" hidden="false" customHeight="false" outlineLevel="0" collapsed="false">
      <c r="A12013" s="1" t="s">
        <v>1230</v>
      </c>
      <c r="B12013" s="1" t="n">
        <v>306.39</v>
      </c>
      <c r="C12013" s="1" t="n">
        <f aca="false">1/B12013</f>
        <v>0.00326381409314925</v>
      </c>
      <c r="D12013" s="1" t="n">
        <v>0.35733</v>
      </c>
      <c r="E12013" s="1" t="n">
        <f aca="false">LN(D12013)</f>
        <v>-1.02909555442122</v>
      </c>
    </row>
    <row r="12014" customFormat="false" ht="15.75" hidden="false" customHeight="false" outlineLevel="0" collapsed="false">
      <c r="A12014" s="1" t="s">
        <v>1230</v>
      </c>
      <c r="B12014" s="1" t="n">
        <v>307.09</v>
      </c>
      <c r="C12014" s="1" t="n">
        <f aca="false">1/B12014</f>
        <v>0.0032563743527956</v>
      </c>
      <c r="D12014" s="1" t="n">
        <v>0.35475</v>
      </c>
      <c r="E12014" s="1" t="n">
        <f aca="false">LN(D12014)</f>
        <v>-1.03634196294199</v>
      </c>
    </row>
    <row r="12015" customFormat="false" ht="15.75" hidden="false" customHeight="false" outlineLevel="0" collapsed="false">
      <c r="A12015" s="1" t="s">
        <v>1230</v>
      </c>
      <c r="B12015" s="1" t="n">
        <v>307.78</v>
      </c>
      <c r="C12015" s="1" t="n">
        <f aca="false">1/B12015</f>
        <v>0.00324907401390604</v>
      </c>
      <c r="D12015" s="1" t="n">
        <v>0.3522</v>
      </c>
      <c r="E12015" s="1" t="n">
        <f aca="false">LN(D12015)</f>
        <v>-1.04355608292003</v>
      </c>
    </row>
    <row r="12016" customFormat="false" ht="15.75" hidden="false" customHeight="false" outlineLevel="0" collapsed="false">
      <c r="A12016" s="1" t="s">
        <v>1230</v>
      </c>
      <c r="B12016" s="1" t="n">
        <v>308.48</v>
      </c>
      <c r="C12016" s="1" t="n">
        <f aca="false">1/B12016</f>
        <v>0.00324170124481328</v>
      </c>
      <c r="D12016" s="1" t="n">
        <v>0.34967</v>
      </c>
      <c r="E12016" s="1" t="n">
        <f aca="false">LN(D12016)</f>
        <v>-1.05076542641092</v>
      </c>
    </row>
    <row r="12017" customFormat="false" ht="15.75" hidden="false" customHeight="false" outlineLevel="0" collapsed="false">
      <c r="A12017" s="1" t="s">
        <v>1230</v>
      </c>
      <c r="B12017" s="1" t="n">
        <v>309.18</v>
      </c>
      <c r="C12017" s="1" t="n">
        <f aca="false">1/B12017</f>
        <v>0.00323436186040494</v>
      </c>
      <c r="D12017" s="1" t="n">
        <v>0.34717</v>
      </c>
      <c r="E12017" s="1" t="n">
        <f aca="false">LN(D12017)</f>
        <v>-1.05794070545907</v>
      </c>
    </row>
    <row r="12018" customFormat="false" ht="15.75" hidden="false" customHeight="false" outlineLevel="0" collapsed="false">
      <c r="A12018" s="1" t="s">
        <v>1230</v>
      </c>
      <c r="B12018" s="1" t="n">
        <v>309.87</v>
      </c>
      <c r="C12018" s="1" t="n">
        <f aca="false">1/B12018</f>
        <v>0.00322715977668054</v>
      </c>
      <c r="D12018" s="1" t="n">
        <v>0.3447</v>
      </c>
      <c r="E12018" s="1" t="n">
        <f aca="false">LN(D12018)</f>
        <v>-1.06508080545932</v>
      </c>
    </row>
    <row r="12019" customFormat="false" ht="15.75" hidden="false" customHeight="false" outlineLevel="0" collapsed="false">
      <c r="A12019" s="1" t="s">
        <v>1230</v>
      </c>
      <c r="B12019" s="1" t="n">
        <v>310.57</v>
      </c>
      <c r="C12019" s="1" t="n">
        <f aca="false">1/B12019</f>
        <v>0.00321988601603503</v>
      </c>
      <c r="D12019" s="1" t="n">
        <v>0.34226</v>
      </c>
      <c r="E12019" s="1" t="n">
        <f aca="false">LN(D12019)</f>
        <v>-1.07218459683283</v>
      </c>
    </row>
    <row r="12020" customFormat="false" ht="15.75" hidden="false" customHeight="false" outlineLevel="0" collapsed="false">
      <c r="A12020" s="1" t="s">
        <v>1230</v>
      </c>
      <c r="B12020" s="1" t="n">
        <v>311.26</v>
      </c>
      <c r="C12020" s="1" t="n">
        <f aca="false">1/B12020</f>
        <v>0.00321274818479728</v>
      </c>
      <c r="D12020" s="1" t="n">
        <v>0.33984</v>
      </c>
      <c r="E12020" s="1" t="n">
        <f aca="false">LN(D12020)</f>
        <v>-1.07928036036862</v>
      </c>
    </row>
    <row r="12021" customFormat="false" ht="15.75" hidden="false" customHeight="false" outlineLevel="0" collapsed="false">
      <c r="A12021" s="1" t="s">
        <v>1230</v>
      </c>
      <c r="B12021" s="1" t="n">
        <v>311.96</v>
      </c>
      <c r="C12021" s="1" t="n">
        <f aca="false">1/B12021</f>
        <v>0.00320553917168868</v>
      </c>
      <c r="D12021" s="1" t="n">
        <v>0.33744</v>
      </c>
      <c r="E12021" s="1" t="n">
        <f aca="false">LN(D12021)</f>
        <v>-1.08636756225167</v>
      </c>
    </row>
    <row r="12022" customFormat="false" ht="15.75" hidden="false" customHeight="false" outlineLevel="0" collapsed="false">
      <c r="A12022" s="1" t="s">
        <v>1230</v>
      </c>
      <c r="B12022" s="1" t="n">
        <v>312.66</v>
      </c>
      <c r="C12022" s="1" t="n">
        <f aca="false">1/B12022</f>
        <v>0.00319836243843152</v>
      </c>
      <c r="D12022" s="1" t="n">
        <v>0.33507</v>
      </c>
      <c r="E12022" s="1" t="n">
        <f aca="false">LN(D12022)</f>
        <v>-1.09341581376129</v>
      </c>
    </row>
    <row r="12023" customFormat="false" ht="15.75" hidden="false" customHeight="false" outlineLevel="0" collapsed="false">
      <c r="A12023" s="1" t="s">
        <v>1230</v>
      </c>
      <c r="B12023" s="1" t="n">
        <v>313.35</v>
      </c>
      <c r="C12023" s="1" t="n">
        <f aca="false">1/B12023</f>
        <v>0.00319131961065901</v>
      </c>
      <c r="D12023" s="1" t="n">
        <v>0.33273</v>
      </c>
      <c r="E12023" s="1" t="n">
        <f aca="false">LN(D12023)</f>
        <v>-1.10042392869738</v>
      </c>
    </row>
    <row r="12024" customFormat="false" ht="15.75" hidden="false" customHeight="false" outlineLevel="0" collapsed="false">
      <c r="A12024" s="1" t="s">
        <v>1230</v>
      </c>
      <c r="B12024" s="1" t="n">
        <v>314.05</v>
      </c>
      <c r="C12024" s="1" t="n">
        <f aca="false">1/B12024</f>
        <v>0.00318420633657061</v>
      </c>
      <c r="D12024" s="1" t="n">
        <v>0.33041</v>
      </c>
      <c r="E12024" s="1" t="n">
        <f aca="false">LN(D12024)</f>
        <v>-1.10742097144951</v>
      </c>
    </row>
    <row r="12025" customFormat="false" ht="15.75" hidden="false" customHeight="false" outlineLevel="0" collapsed="false">
      <c r="A12025" s="1" t="s">
        <v>1230</v>
      </c>
      <c r="B12025" s="1" t="n">
        <v>314.74</v>
      </c>
      <c r="C12025" s="1" t="n">
        <f aca="false">1/B12025</f>
        <v>0.00317722564656542</v>
      </c>
      <c r="D12025" s="1" t="n">
        <v>0.32811</v>
      </c>
      <c r="E12025" s="1" t="n">
        <f aca="false">LN(D12025)</f>
        <v>-1.11440636096689</v>
      </c>
    </row>
    <row r="12026" customFormat="false" ht="15.75" hidden="false" customHeight="false" outlineLevel="0" collapsed="false">
      <c r="A12026" s="1" t="s">
        <v>1230</v>
      </c>
      <c r="B12026" s="1" t="n">
        <v>315.44</v>
      </c>
      <c r="C12026" s="1" t="n">
        <f aca="false">1/B12026</f>
        <v>0.00317017499365965</v>
      </c>
      <c r="D12026" s="1" t="n">
        <v>0.32583</v>
      </c>
      <c r="E12026" s="1" t="n">
        <f aca="false">LN(D12026)</f>
        <v>-1.12137950602208</v>
      </c>
    </row>
    <row r="12027" customFormat="false" ht="15.75" hidden="false" customHeight="false" outlineLevel="0" collapsed="false">
      <c r="A12027" s="1" t="s">
        <v>1230</v>
      </c>
      <c r="B12027" s="1" t="n">
        <v>316.13</v>
      </c>
      <c r="C12027" s="1" t="n">
        <f aca="false">1/B12027</f>
        <v>0.00316325562268687</v>
      </c>
      <c r="D12027" s="1" t="n">
        <v>0.32358</v>
      </c>
      <c r="E12027" s="1" t="n">
        <f aca="false">LN(D12027)</f>
        <v>-1.12830890040495</v>
      </c>
    </row>
    <row r="12028" customFormat="false" ht="15.75" hidden="false" customHeight="false" outlineLevel="0" collapsed="false">
      <c r="A12028" s="1" t="s">
        <v>1230</v>
      </c>
      <c r="B12028" s="1" t="n">
        <v>316.83</v>
      </c>
      <c r="C12028" s="1" t="n">
        <f aca="false">1/B12028</f>
        <v>0.0031562667676672</v>
      </c>
      <c r="D12028" s="1" t="n">
        <v>0.32135</v>
      </c>
      <c r="E12028" s="1" t="n">
        <f aca="false">LN(D12028)</f>
        <v>-1.13522440716484</v>
      </c>
    </row>
    <row r="12029" customFormat="false" ht="15.75" hidden="false" customHeight="false" outlineLevel="0" collapsed="false">
      <c r="A12029" s="1" t="s">
        <v>1230</v>
      </c>
      <c r="B12029" s="1" t="n">
        <v>317.53</v>
      </c>
      <c r="C12029" s="1" t="n">
        <f aca="false">1/B12029</f>
        <v>0.00314930872673448</v>
      </c>
      <c r="D12029" s="1" t="n">
        <v>0.31915</v>
      </c>
      <c r="E12029" s="1" t="n">
        <f aca="false">LN(D12029)</f>
        <v>-1.14209406728007</v>
      </c>
    </row>
    <row r="12030" customFormat="false" ht="15.75" hidden="false" customHeight="false" outlineLevel="0" collapsed="false">
      <c r="A12030" s="1" t="s">
        <v>1230</v>
      </c>
      <c r="B12030" s="1" t="n">
        <v>318.22</v>
      </c>
      <c r="C12030" s="1" t="n">
        <f aca="false">1/B12030</f>
        <v>0.00314248004525171</v>
      </c>
      <c r="D12030" s="1" t="n">
        <v>0.31696</v>
      </c>
      <c r="E12030" s="1" t="n">
        <f aca="false">LN(D12030)</f>
        <v>-1.1489796960319</v>
      </c>
    </row>
    <row r="12031" customFormat="false" ht="15.75" hidden="false" customHeight="false" outlineLevel="0" collapsed="false">
      <c r="A12031" s="1" t="s">
        <v>1230</v>
      </c>
      <c r="B12031" s="1" t="n">
        <v>318.92</v>
      </c>
      <c r="C12031" s="1" t="n">
        <f aca="false">1/B12031</f>
        <v>0.00313558259124545</v>
      </c>
      <c r="D12031" s="1" t="n">
        <v>0.3148</v>
      </c>
      <c r="E12031" s="1" t="n">
        <f aca="false">LN(D12031)</f>
        <v>-1.15581776243889</v>
      </c>
    </row>
    <row r="12032" customFormat="false" ht="15.75" hidden="false" customHeight="false" outlineLevel="0" collapsed="false">
      <c r="A12032" s="1" t="s">
        <v>1230</v>
      </c>
      <c r="B12032" s="1" t="n">
        <v>319.61</v>
      </c>
      <c r="C12032" s="1" t="n">
        <f aca="false">1/B12032</f>
        <v>0.00312881324113764</v>
      </c>
      <c r="D12032" s="1" t="n">
        <v>0.31266</v>
      </c>
      <c r="E12032" s="1" t="n">
        <f aca="false">LN(D12032)</f>
        <v>-1.16263894083296</v>
      </c>
    </row>
    <row r="12033" customFormat="false" ht="15.75" hidden="false" customHeight="false" outlineLevel="0" collapsed="false">
      <c r="A12033" s="1" t="s">
        <v>1230</v>
      </c>
      <c r="B12033" s="1" t="n">
        <v>320.31</v>
      </c>
      <c r="C12033" s="1" t="n">
        <f aca="false">1/B12033</f>
        <v>0.00312197558615092</v>
      </c>
      <c r="D12033" s="1" t="n">
        <v>0.31054</v>
      </c>
      <c r="E12033" s="1" t="n">
        <f aca="false">LN(D12033)</f>
        <v>-1.16944256142911</v>
      </c>
    </row>
    <row r="12034" customFormat="false" ht="15.75" hidden="false" customHeight="false" outlineLevel="0" collapsed="false">
      <c r="A12034" s="1" t="s">
        <v>1230</v>
      </c>
      <c r="B12034" s="1" t="n">
        <v>321</v>
      </c>
      <c r="C12034" s="1" t="n">
        <f aca="false">1/B12034</f>
        <v>0.00311526479750779</v>
      </c>
      <c r="D12034" s="1" t="n">
        <v>0.30844</v>
      </c>
      <c r="E12034" s="1" t="n">
        <f aca="false">LN(D12034)</f>
        <v>-1.17622794401738</v>
      </c>
    </row>
    <row r="12035" customFormat="false" ht="15.75" hidden="false" customHeight="false" outlineLevel="0" collapsed="false">
      <c r="A12035" s="1" t="s">
        <v>1230</v>
      </c>
      <c r="B12035" s="1" t="n">
        <v>321.7</v>
      </c>
      <c r="C12035" s="1" t="n">
        <f aca="false">1/B12035</f>
        <v>0.00310848616723656</v>
      </c>
      <c r="D12035" s="1" t="n">
        <v>0.30636</v>
      </c>
      <c r="E12035" s="1" t="n">
        <f aca="false">LN(D12035)</f>
        <v>-1.18299439794074</v>
      </c>
    </row>
    <row r="12036" customFormat="false" ht="15.75" hidden="false" customHeight="false" outlineLevel="0" collapsed="false">
      <c r="A12036" s="1" t="s">
        <v>1230</v>
      </c>
      <c r="B12036" s="1" t="n">
        <v>322.4</v>
      </c>
      <c r="C12036" s="1" t="n">
        <f aca="false">1/B12036</f>
        <v>0.00310173697270471</v>
      </c>
      <c r="D12036" s="1" t="n">
        <v>0.3043</v>
      </c>
      <c r="E12036" s="1" t="n">
        <f aca="false">LN(D12036)</f>
        <v>-1.18974122207921</v>
      </c>
    </row>
    <row r="12037" customFormat="false" ht="15.75" hidden="false" customHeight="false" outlineLevel="0" collapsed="false">
      <c r="A12037" s="1" t="s">
        <v>1230</v>
      </c>
      <c r="B12037" s="1" t="n">
        <v>323.09</v>
      </c>
      <c r="C12037" s="1" t="n">
        <f aca="false">1/B12037</f>
        <v>0.00309511281686217</v>
      </c>
      <c r="D12037" s="1" t="n">
        <v>0.30226</v>
      </c>
      <c r="E12037" s="1" t="n">
        <f aca="false">LN(D12037)</f>
        <v>-1.19646770484016</v>
      </c>
    </row>
    <row r="12038" customFormat="false" ht="15.75" hidden="false" customHeight="false" outlineLevel="0" collapsed="false">
      <c r="A12038" s="1" t="s">
        <v>1230</v>
      </c>
      <c r="B12038" s="1" t="n">
        <v>323.79</v>
      </c>
      <c r="C12038" s="1" t="n">
        <f aca="false">1/B12038</f>
        <v>0.00308842150776738</v>
      </c>
      <c r="D12038" s="1" t="n">
        <v>0.30024</v>
      </c>
      <c r="E12038" s="1" t="n">
        <f aca="false">LN(D12038)</f>
        <v>-1.20317312415537</v>
      </c>
    </row>
    <row r="12039" customFormat="false" ht="15.75" hidden="false" customHeight="false" outlineLevel="0" collapsed="false">
      <c r="A12039" s="1" t="s">
        <v>1230</v>
      </c>
      <c r="B12039" s="1" t="n">
        <v>324.48</v>
      </c>
      <c r="C12039" s="1" t="n">
        <f aca="false">1/B12039</f>
        <v>0.0030818540433925</v>
      </c>
      <c r="D12039" s="1" t="n">
        <v>0.29824</v>
      </c>
      <c r="E12039" s="1" t="n">
        <f aca="false">LN(D12039)</f>
        <v>-1.20985674748491</v>
      </c>
    </row>
    <row r="12040" customFormat="false" ht="15.75" hidden="false" customHeight="false" outlineLevel="0" collapsed="false">
      <c r="A12040" s="1" t="s">
        <v>1230</v>
      </c>
      <c r="B12040" s="1" t="n">
        <v>325.18</v>
      </c>
      <c r="C12040" s="1" t="n">
        <f aca="false">1/B12040</f>
        <v>0.00307521987822129</v>
      </c>
      <c r="D12040" s="1" t="n">
        <v>0.29626</v>
      </c>
      <c r="E12040" s="1" t="n">
        <f aca="false">LN(D12040)</f>
        <v>-1.21651783182823</v>
      </c>
    </row>
    <row r="12041" customFormat="false" ht="15.75" hidden="false" customHeight="false" outlineLevel="0" collapsed="false">
      <c r="A12041" s="1" t="s">
        <v>1230</v>
      </c>
      <c r="B12041" s="1" t="n">
        <v>325.87</v>
      </c>
      <c r="C12041" s="1" t="n">
        <f aca="false">1/B12041</f>
        <v>0.00306870838064259</v>
      </c>
      <c r="D12041" s="1" t="n">
        <v>0.29429</v>
      </c>
      <c r="E12041" s="1" t="n">
        <f aca="false">LN(D12041)</f>
        <v>-1.22318960325307</v>
      </c>
    </row>
    <row r="12042" customFormat="false" ht="15.75" hidden="false" customHeight="false" outlineLevel="0" collapsed="false">
      <c r="A12042" s="1" t="s">
        <v>1230</v>
      </c>
      <c r="B12042" s="1" t="n">
        <v>326.57</v>
      </c>
      <c r="C12042" s="1" t="n">
        <f aca="false">1/B12042</f>
        <v>0.0030621306304927</v>
      </c>
      <c r="D12042" s="1" t="n">
        <v>0.29235</v>
      </c>
      <c r="E12042" s="1" t="n">
        <f aca="false">LN(D12042)</f>
        <v>-1.22980356436046</v>
      </c>
    </row>
    <row r="12043" customFormat="false" ht="15.75" hidden="false" customHeight="false" outlineLevel="0" collapsed="false">
      <c r="A12043" s="1" t="s">
        <v>1230</v>
      </c>
      <c r="B12043" s="1" t="n">
        <v>327.27</v>
      </c>
      <c r="C12043" s="1" t="n">
        <f aca="false">1/B12043</f>
        <v>0.00305558101873071</v>
      </c>
      <c r="D12043" s="1" t="n">
        <v>0.29042</v>
      </c>
      <c r="E12043" s="1" t="n">
        <f aca="false">LN(D12043)</f>
        <v>-1.23642712787955</v>
      </c>
    </row>
    <row r="12044" customFormat="false" ht="15.75" hidden="false" customHeight="false" outlineLevel="0" collapsed="false">
      <c r="A12044" s="1" t="s">
        <v>1230</v>
      </c>
      <c r="B12044" s="1" t="n">
        <v>327.96</v>
      </c>
      <c r="C12044" s="1" t="n">
        <f aca="false">1/B12044</f>
        <v>0.00304915233565069</v>
      </c>
      <c r="D12044" s="1" t="n">
        <v>0.28852</v>
      </c>
      <c r="E12044" s="1" t="n">
        <f aca="false">LN(D12044)</f>
        <v>-1.24299087134667</v>
      </c>
    </row>
    <row r="12045" customFormat="false" ht="15.75" hidden="false" customHeight="false" outlineLevel="0" collapsed="false">
      <c r="A12045" s="1" t="s">
        <v>1230</v>
      </c>
      <c r="B12045" s="1" t="n">
        <v>328.66</v>
      </c>
      <c r="C12045" s="1" t="n">
        <f aca="false">1/B12045</f>
        <v>0.00304265806608653</v>
      </c>
      <c r="D12045" s="1" t="n">
        <v>0.28663</v>
      </c>
      <c r="E12045" s="1" t="n">
        <f aca="false">LN(D12045)</f>
        <v>-1.24956309356023</v>
      </c>
    </row>
    <row r="12046" customFormat="false" ht="15.75" hidden="false" customHeight="false" outlineLevel="0" collapsed="false">
      <c r="A12046" s="1" t="s">
        <v>1230</v>
      </c>
      <c r="B12046" s="1" t="n">
        <v>329.35</v>
      </c>
      <c r="C12046" s="1" t="n">
        <f aca="false">1/B12046</f>
        <v>0.0030362835888872</v>
      </c>
      <c r="D12046" s="1" t="n">
        <v>0.28475</v>
      </c>
      <c r="E12046" s="1" t="n">
        <f aca="false">LN(D12046)</f>
        <v>-1.25614367665485</v>
      </c>
    </row>
    <row r="12047" customFormat="false" ht="15.75" hidden="false" customHeight="false" outlineLevel="0" collapsed="false">
      <c r="A12047" s="1" t="s">
        <v>1230</v>
      </c>
      <c r="B12047" s="1" t="n">
        <v>330.05</v>
      </c>
      <c r="C12047" s="1" t="n">
        <f aca="false">1/B12047</f>
        <v>0.0030298439630359</v>
      </c>
      <c r="D12047" s="1" t="n">
        <v>0.2829</v>
      </c>
      <c r="E12047" s="1" t="n">
        <f aca="false">LN(D12047)</f>
        <v>-1.26266180067462</v>
      </c>
    </row>
    <row r="12048" customFormat="false" ht="15.75" hidden="false" customHeight="false" outlineLevel="0" collapsed="false">
      <c r="A12048" s="1" t="s">
        <v>1230</v>
      </c>
      <c r="B12048" s="1" t="n">
        <v>330.74</v>
      </c>
      <c r="C12048" s="1" t="n">
        <f aca="false">1/B12048</f>
        <v>0.0030235230090101</v>
      </c>
      <c r="D12048" s="1" t="n">
        <v>0.28106</v>
      </c>
      <c r="E12048" s="1" t="n">
        <f aca="false">LN(D12048)</f>
        <v>-1.26918710930954</v>
      </c>
    </row>
    <row r="12049" customFormat="false" ht="15.75" hidden="false" customHeight="false" outlineLevel="0" collapsed="false">
      <c r="A12049" s="1" t="s">
        <v>1230</v>
      </c>
      <c r="B12049" s="1" t="n">
        <v>331.44</v>
      </c>
      <c r="C12049" s="1" t="n">
        <f aca="false">1/B12049</f>
        <v>0.00301713734009172</v>
      </c>
      <c r="D12049" s="1" t="n">
        <v>0.27924</v>
      </c>
      <c r="E12049" s="1" t="n">
        <f aca="false">LN(D12049)</f>
        <v>-1.27568365187994</v>
      </c>
    </row>
    <row r="12050" customFormat="false" ht="15.75" hidden="false" customHeight="false" outlineLevel="0" collapsed="false">
      <c r="A12050" s="1" t="s">
        <v>1230</v>
      </c>
      <c r="B12050" s="1" t="n">
        <v>332.14</v>
      </c>
      <c r="C12050" s="1" t="n">
        <f aca="false">1/B12050</f>
        <v>0.00301077858734269</v>
      </c>
      <c r="D12050" s="1" t="n">
        <v>0.27743</v>
      </c>
      <c r="E12050" s="1" t="n">
        <f aca="false">LN(D12050)</f>
        <v>-1.28218662986885</v>
      </c>
    </row>
    <row r="12051" customFormat="false" ht="15.75" hidden="false" customHeight="false" outlineLevel="0" collapsed="false">
      <c r="A12051" s="1" t="s">
        <v>1230</v>
      </c>
      <c r="B12051" s="1" t="n">
        <v>332.83</v>
      </c>
      <c r="C12051" s="1" t="n">
        <f aca="false">1/B12051</f>
        <v>0.00300453685064447</v>
      </c>
      <c r="D12051" s="1" t="n">
        <v>0.27564</v>
      </c>
      <c r="E12051" s="1" t="n">
        <f aca="false">LN(D12051)</f>
        <v>-1.28865961249313</v>
      </c>
    </row>
    <row r="12052" customFormat="false" ht="15.75" hidden="false" customHeight="false" outlineLevel="0" collapsed="false">
      <c r="A12052" s="1" t="s">
        <v>1230</v>
      </c>
      <c r="B12052" s="1" t="n">
        <v>333.53</v>
      </c>
      <c r="C12052" s="1" t="n">
        <f aca="false">1/B12052</f>
        <v>0.00299823104368423</v>
      </c>
      <c r="D12052" s="1" t="n">
        <v>0.27387</v>
      </c>
      <c r="E12052" s="1" t="n">
        <f aca="false">LN(D12052)</f>
        <v>-1.29510173773704</v>
      </c>
    </row>
    <row r="12053" customFormat="false" ht="15.75" hidden="false" customHeight="false" outlineLevel="0" collapsed="false">
      <c r="A12053" s="1" t="s">
        <v>1230</v>
      </c>
      <c r="B12053" s="1" t="n">
        <v>334.22</v>
      </c>
      <c r="C12053" s="1" t="n">
        <f aca="false">1/B12053</f>
        <v>0.00299204117048651</v>
      </c>
      <c r="D12053" s="1" t="n">
        <v>0.27212</v>
      </c>
      <c r="E12053" s="1" t="n">
        <f aca="false">LN(D12053)</f>
        <v>-1.30151213350528</v>
      </c>
    </row>
    <row r="12054" customFormat="false" ht="15.75" hidden="false" customHeight="false" outlineLevel="0" collapsed="false">
      <c r="A12054" s="1" t="s">
        <v>1230</v>
      </c>
      <c r="B12054" s="1" t="n">
        <v>334.92</v>
      </c>
      <c r="C12054" s="1" t="n">
        <f aca="false">1/B12054</f>
        <v>0.00298578765078228</v>
      </c>
      <c r="D12054" s="1" t="n">
        <v>0.27037</v>
      </c>
      <c r="E12054" s="1" t="n">
        <f aca="false">LN(D12054)</f>
        <v>-1.30796388771394</v>
      </c>
    </row>
    <row r="12055" customFormat="false" ht="15.75" hidden="false" customHeight="false" outlineLevel="0" collapsed="false">
      <c r="A12055" s="1" t="s">
        <v>1230</v>
      </c>
      <c r="B12055" s="1" t="n">
        <v>335.61</v>
      </c>
      <c r="C12055" s="1" t="n">
        <f aca="false">1/B12055</f>
        <v>0.00297964899734811</v>
      </c>
      <c r="D12055" s="1" t="n">
        <v>0.26865</v>
      </c>
      <c r="E12055" s="1" t="n">
        <f aca="false">LN(D12055)</f>
        <v>-1.31434586180731</v>
      </c>
    </row>
    <row r="12056" customFormat="false" ht="15.75" hidden="false" customHeight="false" outlineLevel="0" collapsed="false">
      <c r="A12056" s="1" t="s">
        <v>1230</v>
      </c>
      <c r="B12056" s="1" t="n">
        <v>336.31</v>
      </c>
      <c r="C12056" s="1" t="n">
        <f aca="false">1/B12056</f>
        <v>0.00297344711724302</v>
      </c>
      <c r="D12056" s="1" t="n">
        <v>0.26694</v>
      </c>
      <c r="E12056" s="1" t="n">
        <f aca="false">LN(D12056)</f>
        <v>-1.32073136493613</v>
      </c>
    </row>
    <row r="12057" customFormat="false" ht="15.75" hidden="false" customHeight="false" outlineLevel="0" collapsed="false">
      <c r="A12057" s="1" t="s">
        <v>1230</v>
      </c>
      <c r="B12057" s="1" t="n">
        <v>337.01</v>
      </c>
      <c r="C12057" s="1" t="n">
        <f aca="false">1/B12057</f>
        <v>0.00296727100086051</v>
      </c>
      <c r="D12057" s="1" t="n">
        <v>0.26525</v>
      </c>
      <c r="E12057" s="1" t="n">
        <f aca="false">LN(D12057)</f>
        <v>-1.32708250148804</v>
      </c>
    </row>
    <row r="12058" customFormat="false" ht="15.75" hidden="false" customHeight="false" outlineLevel="0" collapsed="false">
      <c r="A12058" s="1" t="s">
        <v>1230</v>
      </c>
      <c r="B12058" s="1" t="n">
        <v>337.7</v>
      </c>
      <c r="C12058" s="1" t="n">
        <f aca="false">1/B12058</f>
        <v>0.00296120817293456</v>
      </c>
      <c r="D12058" s="1" t="n">
        <v>0.26357</v>
      </c>
      <c r="E12058" s="1" t="n">
        <f aca="false">LN(D12058)</f>
        <v>-1.33343629163171</v>
      </c>
    </row>
    <row r="12059" customFormat="false" ht="15.75" hidden="false" customHeight="false" outlineLevel="0" collapsed="false">
      <c r="A12059" s="1" t="s">
        <v>1230</v>
      </c>
      <c r="B12059" s="1" t="n">
        <v>338.4</v>
      </c>
      <c r="C12059" s="1" t="n">
        <f aca="false">1/B12059</f>
        <v>0.00295508274231679</v>
      </c>
      <c r="D12059" s="1" t="n">
        <v>0.2619</v>
      </c>
      <c r="E12059" s="1" t="n">
        <f aca="false">LN(D12059)</f>
        <v>-1.33979252746847</v>
      </c>
    </row>
    <row r="12060" customFormat="false" ht="15.75" hidden="false" customHeight="false" outlineLevel="0" collapsed="false">
      <c r="A12060" s="1" t="s">
        <v>1230</v>
      </c>
      <c r="B12060" s="1" t="n">
        <v>339.09</v>
      </c>
      <c r="C12060" s="1" t="n">
        <f aca="false">1/B12060</f>
        <v>0.00294906956855112</v>
      </c>
      <c r="D12060" s="1" t="n">
        <v>0.26025</v>
      </c>
      <c r="E12060" s="1" t="n">
        <f aca="false">LN(D12060)</f>
        <v>-1.34611257148706</v>
      </c>
    </row>
    <row r="12061" customFormat="false" ht="15.75" hidden="false" customHeight="false" outlineLevel="0" collapsed="false">
      <c r="A12061" s="1" t="s">
        <v>1230</v>
      </c>
      <c r="B12061" s="1" t="n">
        <v>339.79</v>
      </c>
      <c r="C12061" s="1" t="n">
        <f aca="false">1/B12061</f>
        <v>0.00294299420230142</v>
      </c>
      <c r="D12061" s="1" t="n">
        <v>0.25861</v>
      </c>
      <c r="E12061" s="1" t="n">
        <f aca="false">LN(D12061)</f>
        <v>-1.35243414363179</v>
      </c>
    </row>
    <row r="12062" customFormat="false" ht="15.75" hidden="false" customHeight="false" outlineLevel="0" collapsed="false">
      <c r="A12062" s="1" t="s">
        <v>1230</v>
      </c>
      <c r="B12062" s="1" t="n">
        <v>340.49</v>
      </c>
      <c r="C12062" s="1" t="n">
        <f aca="false">1/B12062</f>
        <v>0.00293694381626479</v>
      </c>
      <c r="D12062" s="1" t="n">
        <v>0.25699</v>
      </c>
      <c r="E12062" s="1" t="n">
        <f aca="false">LN(D12062)</f>
        <v>-1.35871810534979</v>
      </c>
    </row>
    <row r="12063" customFormat="false" ht="15.75" hidden="false" customHeight="false" outlineLevel="0" collapsed="false">
      <c r="A12063" s="1" t="s">
        <v>1230</v>
      </c>
      <c r="B12063" s="1" t="n">
        <v>341.18</v>
      </c>
      <c r="C12063" s="1" t="n">
        <f aca="false">1/B12063</f>
        <v>0.00293100416202591</v>
      </c>
      <c r="D12063" s="1" t="n">
        <v>0.25538</v>
      </c>
      <c r="E12063" s="1" t="n">
        <f aca="false">LN(D12063)</f>
        <v>-1.3650026469856</v>
      </c>
    </row>
    <row r="12064" customFormat="false" ht="15.75" hidden="false" customHeight="false" outlineLevel="0" collapsed="false">
      <c r="A12064" s="1" t="s">
        <v>1230</v>
      </c>
      <c r="B12064" s="1" t="n">
        <v>341.88</v>
      </c>
      <c r="C12064" s="1" t="n">
        <f aca="false">1/B12064</f>
        <v>0.00292500292500292</v>
      </c>
      <c r="D12064" s="1" t="n">
        <v>0.25379</v>
      </c>
      <c r="E12064" s="1" t="n">
        <f aca="false">LN(D12064)</f>
        <v>-1.37124812558132</v>
      </c>
    </row>
    <row r="12065" customFormat="false" ht="15.75" hidden="false" customHeight="false" outlineLevel="0" collapsed="false">
      <c r="A12065" s="1" t="s">
        <v>1230</v>
      </c>
      <c r="B12065" s="1" t="n">
        <v>342.57</v>
      </c>
      <c r="C12065" s="1" t="n">
        <f aca="false">1/B12065</f>
        <v>0.002919111422483</v>
      </c>
      <c r="D12065" s="1" t="n">
        <v>0.25221</v>
      </c>
      <c r="E12065" s="1" t="n">
        <f aca="false">LN(D12065)</f>
        <v>-1.37749320516682</v>
      </c>
    </row>
    <row r="12066" customFormat="false" ht="15.75" hidden="false" customHeight="false" outlineLevel="0" collapsed="false">
      <c r="A12066" s="1" t="s">
        <v>1230</v>
      </c>
      <c r="B12066" s="1" t="n">
        <v>343.27</v>
      </c>
      <c r="C12066" s="1" t="n">
        <f aca="false">1/B12066</f>
        <v>0.00291315873801963</v>
      </c>
      <c r="D12066" s="1" t="n">
        <v>0.25064</v>
      </c>
      <c r="E12066" s="1" t="n">
        <f aca="false">LN(D12066)</f>
        <v>-1.3837376323382</v>
      </c>
    </row>
    <row r="12067" customFormat="false" ht="15.75" hidden="false" customHeight="false" outlineLevel="0" collapsed="false">
      <c r="A12067" s="1" t="s">
        <v>1230</v>
      </c>
      <c r="B12067" s="1" t="n">
        <v>343.96</v>
      </c>
      <c r="C12067" s="1" t="n">
        <f aca="false">1/B12067</f>
        <v>0.00290731480404698</v>
      </c>
      <c r="D12067" s="1" t="n">
        <v>0.24909</v>
      </c>
      <c r="E12067" s="1" t="n">
        <f aca="false">LN(D12067)</f>
        <v>-1.38994100204009</v>
      </c>
    </row>
    <row r="12068" customFormat="false" ht="15.75" hidden="false" customHeight="false" outlineLevel="0" collapsed="false">
      <c r="A12068" s="1" t="s">
        <v>1230</v>
      </c>
      <c r="B12068" s="1" t="n">
        <v>344.66</v>
      </c>
      <c r="C12068" s="1" t="n">
        <f aca="false">1/B12068</f>
        <v>0.00290141008530146</v>
      </c>
      <c r="D12068" s="1" t="n">
        <v>0.24755</v>
      </c>
      <c r="E12068" s="1" t="n">
        <f aca="false">LN(D12068)</f>
        <v>-1.39614269717471</v>
      </c>
    </row>
    <row r="12069" customFormat="false" ht="15.75" hidden="false" customHeight="false" outlineLevel="0" collapsed="false">
      <c r="A12069" s="1" t="s">
        <v>1230</v>
      </c>
      <c r="B12069" s="1" t="n">
        <v>345.36</v>
      </c>
      <c r="C12069" s="1" t="n">
        <f aca="false">1/B12069</f>
        <v>0.00289552930275654</v>
      </c>
      <c r="D12069" s="1" t="n">
        <v>0.24602</v>
      </c>
      <c r="E12069" s="1" t="n">
        <f aca="false">LN(D12069)</f>
        <v>-1.4023424455415</v>
      </c>
    </row>
    <row r="12070" customFormat="false" ht="15.75" hidden="false" customHeight="false" outlineLevel="0" collapsed="false">
      <c r="A12070" s="1" t="s">
        <v>1230</v>
      </c>
      <c r="B12070" s="1" t="n">
        <v>346.05</v>
      </c>
      <c r="C12070" s="1" t="n">
        <f aca="false">1/B12070</f>
        <v>0.00288975581563358</v>
      </c>
      <c r="D12070" s="1" t="n">
        <v>0.2445</v>
      </c>
      <c r="E12070" s="1" t="n">
        <f aca="false">LN(D12070)</f>
        <v>-1.40853997006721</v>
      </c>
    </row>
    <row r="12071" customFormat="false" ht="15.75" hidden="false" customHeight="false" outlineLevel="0" collapsed="false">
      <c r="A12071" s="1" t="s">
        <v>1230</v>
      </c>
      <c r="B12071" s="1" t="n">
        <v>346.75</v>
      </c>
      <c r="C12071" s="1" t="n">
        <f aca="false">1/B12071</f>
        <v>0.00288392213410238</v>
      </c>
      <c r="D12071" s="1" t="n">
        <v>0.243</v>
      </c>
      <c r="E12071" s="1" t="n">
        <f aca="false">LN(D12071)</f>
        <v>-1.41469383564159</v>
      </c>
    </row>
    <row r="12072" customFormat="false" ht="15.75" hidden="false" customHeight="false" outlineLevel="0" collapsed="false">
      <c r="A12072" s="1" t="s">
        <v>1230</v>
      </c>
      <c r="B12072" s="1" t="n">
        <v>347.44</v>
      </c>
      <c r="C12072" s="1" t="n">
        <f aca="false">1/B12072</f>
        <v>0.00287819479622381</v>
      </c>
      <c r="D12072" s="1" t="n">
        <v>0.24151</v>
      </c>
      <c r="E12072" s="1" t="n">
        <f aca="false">LN(D12072)</f>
        <v>-1.4208443988793</v>
      </c>
    </row>
    <row r="12073" customFormat="false" ht="15.75" hidden="false" customHeight="false" outlineLevel="0" collapsed="false">
      <c r="A12073" s="1" t="s">
        <v>1230</v>
      </c>
      <c r="B12073" s="1" t="n">
        <v>348.14</v>
      </c>
      <c r="C12073" s="1" t="n">
        <f aca="false">1/B12073</f>
        <v>0.00287240765209398</v>
      </c>
      <c r="D12073" s="1" t="n">
        <v>0.24003</v>
      </c>
      <c r="E12073" s="1" t="n">
        <f aca="false">LN(D12073)</f>
        <v>-1.42699136345199</v>
      </c>
    </row>
    <row r="12074" customFormat="false" ht="15.75" hidden="false" customHeight="false" outlineLevel="0" collapsed="false">
      <c r="A12074" s="1" t="s">
        <v>1230</v>
      </c>
      <c r="B12074" s="1" t="n">
        <v>348.83</v>
      </c>
      <c r="C12074" s="1" t="n">
        <f aca="false">1/B12074</f>
        <v>0.00286672591233552</v>
      </c>
      <c r="D12074" s="1" t="n">
        <v>0.23857</v>
      </c>
      <c r="E12074" s="1" t="n">
        <f aca="false">LN(D12074)</f>
        <v>-1.43309251066853</v>
      </c>
    </row>
    <row r="12075" customFormat="false" ht="15.75" hidden="false" customHeight="false" outlineLevel="0" collapsed="false">
      <c r="A12075" s="1" t="s">
        <v>1230</v>
      </c>
      <c r="B12075" s="1" t="n">
        <v>349.53</v>
      </c>
      <c r="C12075" s="1" t="n">
        <f aca="false">1/B12075</f>
        <v>0.00286098475095128</v>
      </c>
      <c r="D12075" s="1" t="n">
        <v>0.23711</v>
      </c>
      <c r="E12075" s="1" t="n">
        <f aca="false">LN(D12075)</f>
        <v>-1.43923111050325</v>
      </c>
    </row>
    <row r="12076" customFormat="false" ht="15.75" hidden="false" customHeight="false" outlineLevel="0" collapsed="false">
      <c r="A12076" s="1" t="s">
        <v>1230</v>
      </c>
      <c r="B12076" s="1" t="n">
        <v>350.23</v>
      </c>
      <c r="C12076" s="1" t="n">
        <f aca="false">1/B12076</f>
        <v>0.00285526653913143</v>
      </c>
      <c r="D12076" s="1" t="n">
        <v>0.23567</v>
      </c>
      <c r="E12076" s="1" t="n">
        <f aca="false">LN(D12076)</f>
        <v>-1.44532275758213</v>
      </c>
    </row>
    <row r="12077" customFormat="false" ht="15.75" hidden="false" customHeight="false" outlineLevel="0" collapsed="false">
      <c r="A12077" s="1" t="s">
        <v>1230</v>
      </c>
      <c r="B12077" s="1" t="n">
        <v>350.92</v>
      </c>
      <c r="C12077" s="1" t="n">
        <f aca="false">1/B12077</f>
        <v>0.00284965234241423</v>
      </c>
      <c r="D12077" s="1" t="n">
        <v>0.23424</v>
      </c>
      <c r="E12077" s="1" t="n">
        <f aca="false">LN(D12077)</f>
        <v>-1.45140904820919</v>
      </c>
    </row>
    <row r="12078" customFormat="false" ht="15.75" hidden="false" customHeight="false" outlineLevel="0" collapsed="false">
      <c r="A12078" s="1" t="s">
        <v>1230</v>
      </c>
      <c r="B12078" s="1" t="n">
        <v>351.62</v>
      </c>
      <c r="C12078" s="1" t="n">
        <f aca="false">1/B12078</f>
        <v>0.00284397929583073</v>
      </c>
      <c r="D12078" s="1" t="n">
        <v>0.23282</v>
      </c>
      <c r="E12078" s="1" t="n">
        <f aca="false">LN(D12078)</f>
        <v>-1.45748965616204</v>
      </c>
    </row>
    <row r="12079" customFormat="false" ht="15.75" hidden="false" customHeight="false" outlineLevel="0" collapsed="false">
      <c r="A12079" s="1" t="s">
        <v>1230</v>
      </c>
      <c r="B12079" s="1" t="n">
        <v>352.31</v>
      </c>
      <c r="C12079" s="1" t="n">
        <f aca="false">1/B12079</f>
        <v>0.00283840935539724</v>
      </c>
      <c r="D12079" s="1" t="n">
        <v>0.23142</v>
      </c>
      <c r="E12079" s="1" t="n">
        <f aca="false">LN(D12079)</f>
        <v>-1.46352103753395</v>
      </c>
    </row>
    <row r="12080" customFormat="false" ht="15.75" hidden="false" customHeight="false" outlineLevel="0" collapsed="false">
      <c r="A12080" s="1" t="s">
        <v>1230</v>
      </c>
      <c r="B12080" s="1" t="n">
        <v>353.01</v>
      </c>
      <c r="C12080" s="1" t="n">
        <f aca="false">1/B12080</f>
        <v>0.00283278094104983</v>
      </c>
      <c r="D12080" s="1" t="n">
        <v>0.23002</v>
      </c>
      <c r="E12080" s="1" t="n">
        <f aca="false">LN(D12080)</f>
        <v>-1.4695890173177</v>
      </c>
    </row>
    <row r="12081" customFormat="false" ht="15.75" hidden="false" customHeight="false" outlineLevel="0" collapsed="false">
      <c r="A12081" s="1" t="s">
        <v>1230</v>
      </c>
      <c r="B12081" s="1" t="n">
        <v>353.7</v>
      </c>
      <c r="C12081" s="1" t="n">
        <f aca="false">1/B12081</f>
        <v>0.00282725473565168</v>
      </c>
      <c r="D12081" s="1" t="n">
        <v>0.22864</v>
      </c>
      <c r="E12081" s="1" t="n">
        <f aca="false">LN(D12081)</f>
        <v>-1.47560656480058</v>
      </c>
    </row>
    <row r="12082" customFormat="false" ht="15.75" hidden="false" customHeight="false" outlineLevel="0" collapsed="false">
      <c r="A12082" s="1" t="s">
        <v>1230</v>
      </c>
      <c r="B12082" s="1" t="n">
        <v>354.4</v>
      </c>
      <c r="C12082" s="1" t="n">
        <f aca="false">1/B12082</f>
        <v>0.00282167042889391</v>
      </c>
      <c r="D12082" s="1" t="n">
        <v>0.22726</v>
      </c>
      <c r="E12082" s="1" t="n">
        <f aca="false">LN(D12082)</f>
        <v>-1.48166054249227</v>
      </c>
    </row>
    <row r="12083" customFormat="false" ht="15.75" hidden="false" customHeight="false" outlineLevel="0" collapsed="false">
      <c r="A12083" s="1" t="s">
        <v>1230</v>
      </c>
      <c r="B12083" s="1" t="n">
        <v>355.1</v>
      </c>
      <c r="C12083" s="1" t="n">
        <f aca="false">1/B12083</f>
        <v>0.00281610813855252</v>
      </c>
      <c r="D12083" s="1" t="n">
        <v>0.2259</v>
      </c>
      <c r="E12083" s="1" t="n">
        <f aca="false">LN(D12083)</f>
        <v>-1.48766285550818</v>
      </c>
    </row>
    <row r="12084" customFormat="false" ht="15.75" hidden="false" customHeight="false" outlineLevel="0" collapsed="false">
      <c r="A12084" s="1" t="s">
        <v>1230</v>
      </c>
      <c r="B12084" s="1" t="n">
        <v>355.79</v>
      </c>
      <c r="C12084" s="1" t="n">
        <f aca="false">1/B12084</f>
        <v>0.00281064672981253</v>
      </c>
      <c r="D12084" s="1" t="n">
        <v>0.22455</v>
      </c>
      <c r="E12084" s="1" t="n">
        <f aca="false">LN(D12084)</f>
        <v>-1.49365687944839</v>
      </c>
    </row>
    <row r="12085" customFormat="false" ht="15.75" hidden="false" customHeight="false" outlineLevel="0" collapsed="false">
      <c r="A12085" s="1" t="s">
        <v>1230</v>
      </c>
      <c r="B12085" s="1" t="n">
        <v>356.49</v>
      </c>
      <c r="C12085" s="1" t="n">
        <f aca="false">1/B12085</f>
        <v>0.00280512777357009</v>
      </c>
      <c r="D12085" s="1" t="n">
        <v>0.22321</v>
      </c>
      <c r="E12085" s="1" t="n">
        <f aca="false">LN(D12085)</f>
        <v>-1.49964224661122</v>
      </c>
    </row>
    <row r="12086" customFormat="false" ht="15.75" hidden="false" customHeight="false" outlineLevel="0" collapsed="false">
      <c r="A12086" s="1" t="s">
        <v>1230</v>
      </c>
      <c r="B12086" s="1" t="n">
        <v>357.18</v>
      </c>
      <c r="C12086" s="1" t="n">
        <f aca="false">1/B12086</f>
        <v>0.00279970883028165</v>
      </c>
      <c r="D12086" s="1" t="n">
        <v>0.22188</v>
      </c>
      <c r="E12086" s="1" t="n">
        <f aca="false">LN(D12086)</f>
        <v>-1.5056185837951</v>
      </c>
    </row>
    <row r="12087" customFormat="false" ht="15.75" hidden="false" customHeight="false" outlineLevel="0" collapsed="false">
      <c r="A12087" s="1" t="s">
        <v>1230</v>
      </c>
      <c r="B12087" s="1" t="n">
        <v>357.88</v>
      </c>
      <c r="C12087" s="1" t="n">
        <f aca="false">1/B12087</f>
        <v>0.00279423270369956</v>
      </c>
      <c r="D12087" s="1" t="n">
        <v>0.22056</v>
      </c>
      <c r="E12087" s="1" t="n">
        <f aca="false">LN(D12087)</f>
        <v>-1.5115855122666</v>
      </c>
    </row>
    <row r="12088" customFormat="false" ht="15.75" hidden="false" customHeight="false" outlineLevel="0" collapsed="false">
      <c r="A12088" s="1" t="s">
        <v>1230</v>
      </c>
      <c r="B12088" s="1" t="n">
        <v>358.57</v>
      </c>
      <c r="C12088" s="1" t="n">
        <f aca="false">1/B12088</f>
        <v>0.00278885573249296</v>
      </c>
      <c r="D12088" s="1" t="n">
        <v>0.21925</v>
      </c>
      <c r="E12088" s="1" t="n">
        <f aca="false">LN(D12088)</f>
        <v>-1.51754264772984</v>
      </c>
    </row>
    <row r="12089" customFormat="false" ht="15.75" hidden="false" customHeight="false" outlineLevel="0" collapsed="false">
      <c r="A12089" s="1" t="s">
        <v>1230</v>
      </c>
      <c r="B12089" s="1" t="n">
        <v>359.27</v>
      </c>
      <c r="C12089" s="1" t="n">
        <f aca="false">1/B12089</f>
        <v>0.00278342193893172</v>
      </c>
      <c r="D12089" s="1" t="n">
        <v>0.21795</v>
      </c>
      <c r="E12089" s="1" t="n">
        <f aca="false">LN(D12089)</f>
        <v>-1.52348960029774</v>
      </c>
    </row>
    <row r="12090" customFormat="false" ht="15.75" hidden="false" customHeight="false" outlineLevel="0" collapsed="false">
      <c r="A12090" s="1" t="s">
        <v>1230</v>
      </c>
      <c r="B12090" s="1" t="n">
        <v>359.97</v>
      </c>
      <c r="C12090" s="1" t="n">
        <f aca="false">1/B12090</f>
        <v>0.00277800927855099</v>
      </c>
      <c r="D12090" s="1" t="n">
        <v>0.21666</v>
      </c>
      <c r="E12090" s="1" t="n">
        <f aca="false">LN(D12090)</f>
        <v>-1.52942597446472</v>
      </c>
    </row>
    <row r="12091" customFormat="false" ht="15.75" hidden="false" customHeight="false" outlineLevel="0" collapsed="false">
      <c r="A12091" s="1" t="s">
        <v>1230</v>
      </c>
      <c r="B12091" s="1" t="n">
        <v>360.66</v>
      </c>
      <c r="C12091" s="1" t="n">
        <f aca="false">1/B12091</f>
        <v>0.00277269450451949</v>
      </c>
      <c r="D12091" s="1" t="n">
        <v>0.21538</v>
      </c>
      <c r="E12091" s="1" t="n">
        <f aca="false">LN(D12091)</f>
        <v>-1.5353513690814</v>
      </c>
    </row>
    <row r="12092" customFormat="false" ht="15.75" hidden="false" customHeight="false" outlineLevel="0" collapsed="false">
      <c r="A12092" s="1" t="s">
        <v>1230</v>
      </c>
      <c r="B12092" s="1" t="n">
        <v>361.36</v>
      </c>
      <c r="C12092" s="1" t="n">
        <f aca="false">1/B12092</f>
        <v>0.00276732344476422</v>
      </c>
      <c r="D12092" s="1" t="n">
        <v>0.21411</v>
      </c>
      <c r="E12092" s="1" t="n">
        <f aca="false">LN(D12092)</f>
        <v>-1.54126537733105</v>
      </c>
    </row>
    <row r="12093" customFormat="false" ht="15.75" hidden="false" customHeight="false" outlineLevel="0" collapsed="false">
      <c r="A12093" s="1" t="s">
        <v>1230</v>
      </c>
      <c r="B12093" s="1" t="n">
        <v>362.05</v>
      </c>
      <c r="C12093" s="1" t="n">
        <f aca="false">1/B12093</f>
        <v>0.00276204944068499</v>
      </c>
      <c r="D12093" s="1" t="n">
        <v>0.21285</v>
      </c>
      <c r="E12093" s="1" t="n">
        <f aca="false">LN(D12093)</f>
        <v>-1.54716758670798</v>
      </c>
    </row>
    <row r="12094" customFormat="false" ht="15.75" hidden="false" customHeight="false" outlineLevel="0" collapsed="false">
      <c r="A12094" s="1" t="s">
        <v>1230</v>
      </c>
      <c r="B12094" s="1" t="n">
        <v>362.75</v>
      </c>
      <c r="C12094" s="1" t="n">
        <f aca="false">1/B12094</f>
        <v>0.00275671950379049</v>
      </c>
      <c r="D12094" s="1" t="n">
        <v>0.2116</v>
      </c>
      <c r="E12094" s="1" t="n">
        <f aca="false">LN(D12094)</f>
        <v>-1.55305757899799</v>
      </c>
    </row>
    <row r="12095" customFormat="false" ht="15.75" hidden="false" customHeight="false" outlineLevel="0" collapsed="false">
      <c r="A12095" s="1" t="s">
        <v>1230</v>
      </c>
      <c r="B12095" s="1" t="n">
        <v>363.44</v>
      </c>
      <c r="C12095" s="1" t="n">
        <f aca="false">1/B12095</f>
        <v>0.00275148580233326</v>
      </c>
      <c r="D12095" s="1" t="n">
        <v>0.21035</v>
      </c>
      <c r="E12095" s="1" t="n">
        <f aca="false">LN(D12095)</f>
        <v>-1.55898246894561</v>
      </c>
    </row>
    <row r="12096" customFormat="false" ht="15.75" hidden="false" customHeight="false" outlineLevel="0" collapsed="false">
      <c r="A12096" s="1" t="s">
        <v>1230</v>
      </c>
      <c r="B12096" s="1" t="n">
        <v>364.14</v>
      </c>
      <c r="C12096" s="1" t="n">
        <f aca="false">1/B12096</f>
        <v>0.00274619651782282</v>
      </c>
      <c r="D12096" s="1" t="n">
        <v>0.20912</v>
      </c>
      <c r="E12096" s="1" t="n">
        <f aca="false">LN(D12096)</f>
        <v>-1.56484702910623</v>
      </c>
    </row>
    <row r="12097" customFormat="false" ht="15.75" hidden="false" customHeight="false" outlineLevel="0" collapsed="false">
      <c r="A12097" s="1" t="s">
        <v>1230</v>
      </c>
      <c r="B12097" s="1" t="n">
        <v>364.84</v>
      </c>
      <c r="C12097" s="1" t="n">
        <f aca="false">1/B12097</f>
        <v>0.00274092752987611</v>
      </c>
      <c r="D12097" s="1" t="n">
        <v>0.2079</v>
      </c>
      <c r="E12097" s="1" t="n">
        <f aca="false">LN(D12097)</f>
        <v>-1.57069808411817</v>
      </c>
    </row>
    <row r="12098" customFormat="false" ht="15.75" hidden="false" customHeight="false" outlineLevel="0" collapsed="false">
      <c r="A12098" s="1" t="s">
        <v>1230</v>
      </c>
      <c r="B12098" s="1" t="n">
        <v>365.53</v>
      </c>
      <c r="C12098" s="1" t="n">
        <f aca="false">1/B12098</f>
        <v>0.00273575356331902</v>
      </c>
      <c r="D12098" s="1" t="n">
        <v>0.20669</v>
      </c>
      <c r="E12098" s="1" t="n">
        <f aca="false">LN(D12098)</f>
        <v>-1.57653519275839</v>
      </c>
    </row>
    <row r="12099" customFormat="false" ht="15.75" hidden="false" customHeight="false" outlineLevel="0" collapsed="false">
      <c r="A12099" s="1" t="s">
        <v>1230</v>
      </c>
      <c r="B12099" s="1" t="n">
        <v>366.23</v>
      </c>
      <c r="C12099" s="1" t="n">
        <f aca="false">1/B12099</f>
        <v>0.00273052453376294</v>
      </c>
      <c r="D12099" s="1" t="n">
        <v>0.20548</v>
      </c>
      <c r="E12099" s="1" t="n">
        <f aca="false">LN(D12099)</f>
        <v>-1.58240657338307</v>
      </c>
    </row>
    <row r="12100" customFormat="false" ht="15.75" hidden="false" customHeight="false" outlineLevel="0" collapsed="false">
      <c r="A12100" s="1" t="s">
        <v>1230</v>
      </c>
      <c r="B12100" s="1" t="n">
        <v>366.92</v>
      </c>
      <c r="C12100" s="1" t="n">
        <f aca="false">1/B12100</f>
        <v>0.00272538973073149</v>
      </c>
      <c r="D12100" s="1" t="n">
        <v>0.20428</v>
      </c>
      <c r="E12100" s="1" t="n">
        <f aca="false">LN(D12100)</f>
        <v>-1.58826367720269</v>
      </c>
    </row>
    <row r="12101" customFormat="false" ht="15.75" hidden="false" customHeight="false" outlineLevel="0" collapsed="false">
      <c r="A12101" s="1" t="s">
        <v>1230</v>
      </c>
      <c r="B12101" s="1" t="n">
        <v>367.62</v>
      </c>
      <c r="C12101" s="1" t="n">
        <f aca="false">1/B12101</f>
        <v>0.00272020020673522</v>
      </c>
      <c r="D12101" s="1" t="n">
        <v>0.2031</v>
      </c>
      <c r="E12101" s="1" t="n">
        <f aca="false">LN(D12101)</f>
        <v>-1.5940568103958</v>
      </c>
    </row>
    <row r="12102" customFormat="false" ht="15.75" hidden="false" customHeight="false" outlineLevel="0" collapsed="false">
      <c r="A12102" s="1" t="s">
        <v>1230</v>
      </c>
      <c r="B12102" s="1" t="n">
        <v>368.32</v>
      </c>
      <c r="C12102" s="1" t="n">
        <f aca="false">1/B12102</f>
        <v>0.00271503040834057</v>
      </c>
      <c r="D12102" s="1" t="n">
        <v>0.20192</v>
      </c>
      <c r="E12102" s="1" t="n">
        <f aca="false">LN(D12102)</f>
        <v>-1.59988369962929</v>
      </c>
    </row>
    <row r="12103" customFormat="false" ht="15.75" hidden="false" customHeight="false" outlineLevel="0" collapsed="false">
      <c r="A12103" s="1" t="s">
        <v>1230</v>
      </c>
      <c r="B12103" s="1" t="n">
        <v>369.01</v>
      </c>
      <c r="C12103" s="1" t="n">
        <f aca="false">1/B12103</f>
        <v>0.00270995365979242</v>
      </c>
      <c r="D12103" s="1" t="n">
        <v>0.20075</v>
      </c>
      <c r="E12103" s="1" t="n">
        <f aca="false">LN(D12103)</f>
        <v>-1.60569492615527</v>
      </c>
    </row>
    <row r="12104" customFormat="false" ht="15.75" hidden="false" customHeight="false" outlineLevel="0" collapsed="false">
      <c r="A12104" s="1" t="s">
        <v>1230</v>
      </c>
      <c r="B12104" s="1" t="n">
        <v>369.71</v>
      </c>
      <c r="C12104" s="1" t="n">
        <f aca="false">1/B12104</f>
        <v>0.00270482269887209</v>
      </c>
      <c r="D12104" s="1" t="n">
        <v>0.19959</v>
      </c>
      <c r="E12104" s="1" t="n">
        <f aca="false">LN(D12104)</f>
        <v>-1.61149001656023</v>
      </c>
    </row>
    <row r="12105" customFormat="false" ht="15.75" hidden="false" customHeight="false" outlineLevel="0" collapsed="false">
      <c r="A12105" s="1" t="s">
        <v>1230</v>
      </c>
      <c r="B12105" s="1" t="n">
        <v>370.4</v>
      </c>
      <c r="C12105" s="1" t="n">
        <f aca="false">1/B12105</f>
        <v>0.00269978401727862</v>
      </c>
      <c r="D12105" s="1" t="n">
        <v>0.19843</v>
      </c>
      <c r="E12105" s="1" t="n">
        <f aca="false">LN(D12105)</f>
        <v>-1.61731888588498</v>
      </c>
    </row>
    <row r="12106" customFormat="false" ht="15.75" hidden="false" customHeight="false" outlineLevel="0" collapsed="false">
      <c r="A12106" s="1" t="s">
        <v>1230</v>
      </c>
      <c r="B12106" s="1" t="n">
        <v>371.1</v>
      </c>
      <c r="C12106" s="1" t="n">
        <f aca="false">1/B12106</f>
        <v>0.00269469145782808</v>
      </c>
      <c r="D12106" s="1" t="n">
        <v>0.19729</v>
      </c>
      <c r="E12106" s="1" t="n">
        <f aca="false">LN(D12106)</f>
        <v>-1.62308055147526</v>
      </c>
    </row>
    <row r="12107" customFormat="false" ht="15.75" hidden="false" customHeight="false" outlineLevel="0" collapsed="false">
      <c r="A12107" s="1" t="s">
        <v>1230</v>
      </c>
      <c r="B12107" s="1" t="n">
        <v>371.1</v>
      </c>
      <c r="C12107" s="1" t="n">
        <f aca="false">1/B12107</f>
        <v>0.00269469145782808</v>
      </c>
      <c r="D12107" s="1" t="n">
        <v>0.19728</v>
      </c>
      <c r="E12107" s="1" t="n">
        <f aca="false">LN(D12107)</f>
        <v>-1.6231312395661</v>
      </c>
    </row>
    <row r="12108" customFormat="false" ht="15.75" hidden="false" customHeight="false" outlineLevel="0" collapsed="false">
      <c r="A12108" s="1" t="s">
        <v>1509</v>
      </c>
      <c r="B12108" s="1" t="n">
        <v>103.99</v>
      </c>
      <c r="C12108" s="1" t="n">
        <f aca="false">1/B12108</f>
        <v>0.00961630926050582</v>
      </c>
      <c r="D12108" s="1" t="n">
        <v>0.68527</v>
      </c>
      <c r="E12108" s="1" t="n">
        <f aca="false">LN(D12108)</f>
        <v>-0.377942357796846</v>
      </c>
    </row>
    <row r="12109" customFormat="false" ht="15.75" hidden="false" customHeight="false" outlineLevel="0" collapsed="false">
      <c r="A12109" s="1" t="s">
        <v>1509</v>
      </c>
      <c r="B12109" s="1" t="n">
        <v>104.56</v>
      </c>
      <c r="C12109" s="1" t="n">
        <f aca="false">1/B12109</f>
        <v>0.00956388676358072</v>
      </c>
      <c r="D12109" s="1" t="n">
        <v>0.67191</v>
      </c>
      <c r="E12109" s="1" t="n">
        <f aca="false">LN(D12109)</f>
        <v>-0.397630875999648</v>
      </c>
    </row>
    <row r="12110" customFormat="false" ht="15.75" hidden="false" customHeight="false" outlineLevel="0" collapsed="false">
      <c r="A12110" s="1" t="s">
        <v>1509</v>
      </c>
      <c r="B12110" s="1" t="n">
        <v>105.14</v>
      </c>
      <c r="C12110" s="1" t="n">
        <f aca="false">1/B12110</f>
        <v>0.00951112801978315</v>
      </c>
      <c r="D12110" s="1" t="n">
        <v>0.65895</v>
      </c>
      <c r="E12110" s="1" t="n">
        <f aca="false">LN(D12110)</f>
        <v>-0.417107619892239</v>
      </c>
    </row>
    <row r="12111" customFormat="false" ht="15.75" hidden="false" customHeight="false" outlineLevel="0" collapsed="false">
      <c r="A12111" s="1" t="s">
        <v>1509</v>
      </c>
      <c r="B12111" s="1" t="n">
        <v>105.72</v>
      </c>
      <c r="C12111" s="1" t="n">
        <f aca="false">1/B12111</f>
        <v>0.00945894816496406</v>
      </c>
      <c r="D12111" s="1" t="n">
        <v>0.64639</v>
      </c>
      <c r="E12111" s="1" t="n">
        <f aca="false">LN(D12111)</f>
        <v>-0.436352242191947</v>
      </c>
    </row>
    <row r="12112" customFormat="false" ht="15.75" hidden="false" customHeight="false" outlineLevel="0" collapsed="false">
      <c r="A12112" s="1" t="s">
        <v>1509</v>
      </c>
      <c r="B12112" s="1" t="n">
        <v>106.29</v>
      </c>
      <c r="C12112" s="1" t="n">
        <f aca="false">1/B12112</f>
        <v>0.00940822278671559</v>
      </c>
      <c r="D12112" s="1" t="n">
        <v>0.63422</v>
      </c>
      <c r="E12112" s="1" t="n">
        <f aca="false">LN(D12112)</f>
        <v>-0.455359381582008</v>
      </c>
    </row>
    <row r="12113" customFormat="false" ht="15.75" hidden="false" customHeight="false" outlineLevel="0" collapsed="false">
      <c r="A12113" s="1" t="s">
        <v>1509</v>
      </c>
      <c r="B12113" s="1" t="n">
        <v>106.87</v>
      </c>
      <c r="C12113" s="1" t="n">
        <f aca="false">1/B12113</f>
        <v>0.00935716290820623</v>
      </c>
      <c r="D12113" s="1" t="n">
        <v>0.62241</v>
      </c>
      <c r="E12113" s="1" t="n">
        <f aca="false">LN(D12113)</f>
        <v>-0.474156239408979</v>
      </c>
    </row>
    <row r="12114" customFormat="false" ht="15.75" hidden="false" customHeight="false" outlineLevel="0" collapsed="false">
      <c r="A12114" s="1" t="s">
        <v>1509</v>
      </c>
      <c r="B12114" s="1" t="n">
        <v>107.45</v>
      </c>
      <c r="C12114" s="1" t="n">
        <f aca="false">1/B12114</f>
        <v>0.00930665425779432</v>
      </c>
      <c r="D12114" s="1" t="n">
        <v>0.61095</v>
      </c>
      <c r="E12114" s="1" t="n">
        <f aca="false">LN(D12114)</f>
        <v>-0.492740156219606</v>
      </c>
    </row>
    <row r="12115" customFormat="false" ht="15.75" hidden="false" customHeight="false" outlineLevel="0" collapsed="false">
      <c r="A12115" s="1" t="s">
        <v>1509</v>
      </c>
      <c r="B12115" s="1" t="n">
        <v>108.02</v>
      </c>
      <c r="C12115" s="1" t="n">
        <f aca="false">1/B12115</f>
        <v>0.00925754489909276</v>
      </c>
      <c r="D12115" s="1" t="n">
        <v>0.59982</v>
      </c>
      <c r="E12115" s="1" t="n">
        <f aca="false">LN(D12115)</f>
        <v>-0.511125668774993</v>
      </c>
    </row>
    <row r="12116" customFormat="false" ht="15.75" hidden="false" customHeight="false" outlineLevel="0" collapsed="false">
      <c r="A12116" s="1" t="s">
        <v>1509</v>
      </c>
      <c r="B12116" s="1" t="n">
        <v>108.6</v>
      </c>
      <c r="C12116" s="1" t="n">
        <f aca="false">1/B12116</f>
        <v>0.00920810313075507</v>
      </c>
      <c r="D12116" s="1" t="n">
        <v>0.58903</v>
      </c>
      <c r="E12116" s="1" t="n">
        <f aca="false">LN(D12116)</f>
        <v>-0.529278162841553</v>
      </c>
    </row>
    <row r="12117" customFormat="false" ht="15.75" hidden="false" customHeight="false" outlineLevel="0" collapsed="false">
      <c r="A12117" s="1" t="s">
        <v>1509</v>
      </c>
      <c r="B12117" s="1" t="n">
        <v>109.18</v>
      </c>
      <c r="C12117" s="1" t="n">
        <f aca="false">1/B12117</f>
        <v>0.00915918666422422</v>
      </c>
      <c r="D12117" s="1" t="n">
        <v>0.57854</v>
      </c>
      <c r="E12117" s="1" t="n">
        <f aca="false">LN(D12117)</f>
        <v>-0.547247590399958</v>
      </c>
    </row>
    <row r="12118" customFormat="false" ht="15.75" hidden="false" customHeight="false" outlineLevel="0" collapsed="false">
      <c r="A12118" s="1" t="s">
        <v>1509</v>
      </c>
      <c r="B12118" s="1" t="n">
        <v>109.75</v>
      </c>
      <c r="C12118" s="1" t="n">
        <f aca="false">1/B12118</f>
        <v>0.00911161731207289</v>
      </c>
      <c r="D12118" s="1" t="n">
        <v>0.56836</v>
      </c>
      <c r="E12118" s="1" t="n">
        <f aca="false">LN(D12118)</f>
        <v>-0.565000258212262</v>
      </c>
    </row>
    <row r="12119" customFormat="false" ht="15.75" hidden="false" customHeight="false" outlineLevel="0" collapsed="false">
      <c r="A12119" s="1" t="s">
        <v>1509</v>
      </c>
      <c r="B12119" s="1" t="n">
        <v>110.33</v>
      </c>
      <c r="C12119" s="1" t="n">
        <f aca="false">1/B12119</f>
        <v>0.0090637179370978</v>
      </c>
      <c r="D12119" s="1" t="n">
        <v>0.55847</v>
      </c>
      <c r="E12119" s="1" t="n">
        <f aca="false">LN(D12119)</f>
        <v>-0.582554377224463</v>
      </c>
    </row>
    <row r="12120" customFormat="false" ht="15.75" hidden="false" customHeight="false" outlineLevel="0" collapsed="false">
      <c r="A12120" s="1" t="s">
        <v>1509</v>
      </c>
      <c r="B12120" s="1" t="n">
        <v>110.91</v>
      </c>
      <c r="C12120" s="1" t="n">
        <f aca="false">1/B12120</f>
        <v>0.00901631953836444</v>
      </c>
      <c r="D12120" s="1" t="n">
        <v>0.54886</v>
      </c>
      <c r="E12120" s="1" t="n">
        <f aca="false">LN(D12120)</f>
        <v>-0.599911879100426</v>
      </c>
    </row>
    <row r="12121" customFormat="false" ht="15.75" hidden="false" customHeight="false" outlineLevel="0" collapsed="false">
      <c r="A12121" s="1" t="s">
        <v>1509</v>
      </c>
      <c r="B12121" s="1" t="n">
        <v>111.48</v>
      </c>
      <c r="C12121" s="1" t="n">
        <f aca="false">1/B12121</f>
        <v>0.00897021887334051</v>
      </c>
      <c r="D12121" s="1" t="n">
        <v>0.53951</v>
      </c>
      <c r="E12121" s="1" t="n">
        <f aca="false">LN(D12121)</f>
        <v>-0.617093958774545</v>
      </c>
    </row>
    <row r="12122" customFormat="false" ht="15.75" hidden="false" customHeight="false" outlineLevel="0" collapsed="false">
      <c r="A12122" s="1" t="s">
        <v>1509</v>
      </c>
      <c r="B12122" s="1" t="n">
        <v>112.06</v>
      </c>
      <c r="C12122" s="1" t="n">
        <f aca="false">1/B12122</f>
        <v>0.00892379082634303</v>
      </c>
      <c r="D12122" s="1" t="n">
        <v>0.53043</v>
      </c>
      <c r="E12122" s="1" t="n">
        <f aca="false">LN(D12122)</f>
        <v>-0.634067280624029</v>
      </c>
    </row>
    <row r="12123" customFormat="false" ht="15.75" hidden="false" customHeight="false" outlineLevel="0" collapsed="false">
      <c r="A12123" s="1" t="s">
        <v>1509</v>
      </c>
      <c r="B12123" s="1" t="n">
        <v>112.64</v>
      </c>
      <c r="C12123" s="1" t="n">
        <f aca="false">1/B12123</f>
        <v>0.00887784090909091</v>
      </c>
      <c r="D12123" s="1" t="n">
        <v>0.52159</v>
      </c>
      <c r="E12123" s="1" t="n">
        <f aca="false">LN(D12123)</f>
        <v>-0.650873440332616</v>
      </c>
    </row>
    <row r="12124" customFormat="false" ht="15.75" hidden="false" customHeight="false" outlineLevel="0" collapsed="false">
      <c r="A12124" s="1" t="s">
        <v>1509</v>
      </c>
      <c r="B12124" s="1" t="n">
        <v>113.21</v>
      </c>
      <c r="C12124" s="1" t="n">
        <f aca="false">1/B12124</f>
        <v>0.00883314194859111</v>
      </c>
      <c r="D12124" s="1" t="n">
        <v>0.513</v>
      </c>
      <c r="E12124" s="1" t="n">
        <f aca="false">LN(D12124)</f>
        <v>-0.667479433811368</v>
      </c>
    </row>
    <row r="12125" customFormat="false" ht="15.75" hidden="false" customHeight="false" outlineLevel="0" collapsed="false">
      <c r="A12125" s="1" t="s">
        <v>1509</v>
      </c>
      <c r="B12125" s="1" t="n">
        <v>113.79</v>
      </c>
      <c r="C12125" s="1" t="n">
        <f aca="false">1/B12125</f>
        <v>0.00878811846383689</v>
      </c>
      <c r="D12125" s="1" t="n">
        <v>0.50464</v>
      </c>
      <c r="E12125" s="1" t="n">
        <f aca="false">LN(D12125)</f>
        <v>-0.683909975207464</v>
      </c>
    </row>
    <row r="12126" customFormat="false" ht="15.75" hidden="false" customHeight="false" outlineLevel="0" collapsed="false">
      <c r="A12126" s="1" t="s">
        <v>1509</v>
      </c>
      <c r="B12126" s="1" t="n">
        <v>114.37</v>
      </c>
      <c r="C12126" s="1" t="n">
        <f aca="false">1/B12126</f>
        <v>0.00874355163067238</v>
      </c>
      <c r="D12126" s="1" t="n">
        <v>0.4965</v>
      </c>
      <c r="E12126" s="1" t="n">
        <f aca="false">LN(D12126)</f>
        <v>-0.70017179549691</v>
      </c>
    </row>
    <row r="12127" customFormat="false" ht="15.75" hidden="false" customHeight="false" outlineLevel="0" collapsed="false">
      <c r="A12127" s="1" t="s">
        <v>1509</v>
      </c>
      <c r="B12127" s="1" t="n">
        <v>114.94</v>
      </c>
      <c r="C12127" s="1" t="n">
        <f aca="false">1/B12127</f>
        <v>0.00870019140421089</v>
      </c>
      <c r="D12127" s="1" t="n">
        <v>0.48858</v>
      </c>
      <c r="E12127" s="1" t="n">
        <f aca="false">LN(D12127)</f>
        <v>-0.716252054275042</v>
      </c>
    </row>
    <row r="12128" customFormat="false" ht="15.75" hidden="false" customHeight="false" outlineLevel="0" collapsed="false">
      <c r="A12128" s="1" t="s">
        <v>1509</v>
      </c>
      <c r="B12128" s="1" t="n">
        <v>115.52</v>
      </c>
      <c r="C12128" s="1" t="n">
        <f aca="false">1/B12128</f>
        <v>0.00865650969529086</v>
      </c>
      <c r="D12128" s="1" t="n">
        <v>0.48087</v>
      </c>
      <c r="E12128" s="1" t="n">
        <f aca="false">LN(D12128)</f>
        <v>-0.732158315676238</v>
      </c>
    </row>
    <row r="12129" customFormat="false" ht="15.75" hidden="false" customHeight="false" outlineLevel="0" collapsed="false">
      <c r="A12129" s="1" t="s">
        <v>1509</v>
      </c>
      <c r="B12129" s="1" t="n">
        <v>116.1</v>
      </c>
      <c r="C12129" s="1" t="n">
        <f aca="false">1/B12129</f>
        <v>0.00861326442721792</v>
      </c>
      <c r="D12129" s="1" t="n">
        <v>0.47336</v>
      </c>
      <c r="E12129" s="1" t="n">
        <f aca="false">LN(D12129)</f>
        <v>-0.747899080613698</v>
      </c>
    </row>
    <row r="12130" customFormat="false" ht="15.75" hidden="false" customHeight="false" outlineLevel="0" collapsed="false">
      <c r="A12130" s="1" t="s">
        <v>1509</v>
      </c>
      <c r="B12130" s="1" t="n">
        <v>116.67</v>
      </c>
      <c r="C12130" s="1" t="n">
        <f aca="false">1/B12130</f>
        <v>0.00857118368046627</v>
      </c>
      <c r="D12130" s="1" t="n">
        <v>0.46604</v>
      </c>
      <c r="E12130" s="1" t="n">
        <f aca="false">LN(D12130)</f>
        <v>-0.763483811630397</v>
      </c>
    </row>
    <row r="12131" customFormat="false" ht="15.75" hidden="false" customHeight="false" outlineLevel="0" collapsed="false">
      <c r="A12131" s="1" t="s">
        <v>1509</v>
      </c>
      <c r="B12131" s="1" t="n">
        <v>117.25</v>
      </c>
      <c r="C12131" s="1" t="n">
        <f aca="false">1/B12131</f>
        <v>0.00852878464818763</v>
      </c>
      <c r="D12131" s="1" t="n">
        <v>0.45891</v>
      </c>
      <c r="E12131" s="1" t="n">
        <f aca="false">LN(D12131)</f>
        <v>-0.778901166578853</v>
      </c>
    </row>
    <row r="12132" customFormat="false" ht="15.75" hidden="false" customHeight="false" outlineLevel="0" collapsed="false">
      <c r="A12132" s="1" t="s">
        <v>1509</v>
      </c>
      <c r="B12132" s="1" t="n">
        <v>117.83</v>
      </c>
      <c r="C12132" s="1" t="n">
        <f aca="false">1/B12132</f>
        <v>0.00848680302130188</v>
      </c>
      <c r="D12132" s="1" t="n">
        <v>0.45196</v>
      </c>
      <c r="E12132" s="1" t="n">
        <f aca="false">LN(D12132)</f>
        <v>-0.794161598641092</v>
      </c>
    </row>
    <row r="12133" customFormat="false" ht="15.75" hidden="false" customHeight="false" outlineLevel="0" collapsed="false">
      <c r="A12133" s="1" t="s">
        <v>1509</v>
      </c>
      <c r="B12133" s="1" t="n">
        <v>118.4</v>
      </c>
      <c r="C12133" s="1" t="n">
        <f aca="false">1/B12133</f>
        <v>0.00844594594594594</v>
      </c>
      <c r="D12133" s="1" t="n">
        <v>0.44519</v>
      </c>
      <c r="E12133" s="1" t="n">
        <f aca="false">LN(D12133)</f>
        <v>-0.809254121647932</v>
      </c>
    </row>
    <row r="12134" customFormat="false" ht="15.75" hidden="false" customHeight="false" outlineLevel="0" collapsed="false">
      <c r="A12134" s="1" t="s">
        <v>1509</v>
      </c>
      <c r="B12134" s="1" t="n">
        <v>118.98</v>
      </c>
      <c r="C12134" s="1" t="n">
        <f aca="false">1/B12134</f>
        <v>0.00840477391158178</v>
      </c>
      <c r="D12134" s="1" t="n">
        <v>0.43859</v>
      </c>
      <c r="E12134" s="1" t="n">
        <f aca="false">LN(D12134)</f>
        <v>-0.824190243075871</v>
      </c>
    </row>
    <row r="12135" customFormat="false" ht="15.75" hidden="false" customHeight="false" outlineLevel="0" collapsed="false">
      <c r="A12135" s="1" t="s">
        <v>1509</v>
      </c>
      <c r="B12135" s="1" t="n">
        <v>119.56</v>
      </c>
      <c r="C12135" s="1" t="n">
        <f aca="false">1/B12135</f>
        <v>0.00836400133824021</v>
      </c>
      <c r="D12135" s="1" t="n">
        <v>0.43215</v>
      </c>
      <c r="E12135" s="1" t="n">
        <f aca="false">LN(D12135)</f>
        <v>-0.83898252878349</v>
      </c>
    </row>
    <row r="12136" customFormat="false" ht="15.75" hidden="false" customHeight="false" outlineLevel="0" collapsed="false">
      <c r="A12136" s="1" t="s">
        <v>1509</v>
      </c>
      <c r="B12136" s="1" t="n">
        <v>120.13</v>
      </c>
      <c r="C12136" s="1" t="n">
        <f aca="false">1/B12136</f>
        <v>0.00832431532506451</v>
      </c>
      <c r="D12136" s="1" t="n">
        <v>0.42587</v>
      </c>
      <c r="E12136" s="1" t="n">
        <f aca="false">LN(D12136)</f>
        <v>-0.853621143604121</v>
      </c>
    </row>
    <row r="12137" customFormat="false" ht="15.75" hidden="false" customHeight="false" outlineLevel="0" collapsed="false">
      <c r="A12137" s="1" t="s">
        <v>1509</v>
      </c>
      <c r="B12137" s="1" t="n">
        <v>120.71</v>
      </c>
      <c r="C12137" s="1" t="n">
        <f aca="false">1/B12137</f>
        <v>0.00828431778643029</v>
      </c>
      <c r="D12137" s="1" t="n">
        <v>0.41974</v>
      </c>
      <c r="E12137" s="1" t="n">
        <f aca="false">LN(D12137)</f>
        <v>-0.868119807012862</v>
      </c>
    </row>
    <row r="12138" customFormat="false" ht="15.75" hidden="false" customHeight="false" outlineLevel="0" collapsed="false">
      <c r="A12138" s="1" t="s">
        <v>1509</v>
      </c>
      <c r="B12138" s="1" t="n">
        <v>121.29</v>
      </c>
      <c r="C12138" s="1" t="n">
        <f aca="false">1/B12138</f>
        <v>0.00824470277846484</v>
      </c>
      <c r="D12138" s="1" t="n">
        <v>0.41376</v>
      </c>
      <c r="E12138" s="1" t="n">
        <f aca="false">LN(D12138)</f>
        <v>-0.882469183398644</v>
      </c>
    </row>
    <row r="12139" customFormat="false" ht="15.75" hidden="false" customHeight="false" outlineLevel="0" collapsed="false">
      <c r="A12139" s="1" t="s">
        <v>1509</v>
      </c>
      <c r="B12139" s="1" t="n">
        <v>121.86</v>
      </c>
      <c r="C12139" s="1" t="n">
        <f aca="false">1/B12139</f>
        <v>0.00820613819136714</v>
      </c>
      <c r="D12139" s="1" t="n">
        <v>0.40793</v>
      </c>
      <c r="E12139" s="1" t="n">
        <f aca="false">LN(D12139)</f>
        <v>-0.896659687925007</v>
      </c>
    </row>
    <row r="12140" customFormat="false" ht="15.75" hidden="false" customHeight="false" outlineLevel="0" collapsed="false">
      <c r="A12140" s="1" t="s">
        <v>1509</v>
      </c>
      <c r="B12140" s="1" t="n">
        <v>122.44</v>
      </c>
      <c r="C12140" s="1" t="n">
        <f aca="false">1/B12140</f>
        <v>0.0081672655994773</v>
      </c>
      <c r="D12140" s="1" t="n">
        <v>0.40223</v>
      </c>
      <c r="E12140" s="1" t="n">
        <f aca="false">LN(D12140)</f>
        <v>-0.910731214668923</v>
      </c>
    </row>
    <row r="12141" customFormat="false" ht="15.75" hidden="false" customHeight="false" outlineLevel="0" collapsed="false">
      <c r="A12141" s="1" t="s">
        <v>1509</v>
      </c>
      <c r="B12141" s="1" t="n">
        <v>123.02</v>
      </c>
      <c r="C12141" s="1" t="n">
        <f aca="false">1/B12141</f>
        <v>0.00812875955129247</v>
      </c>
      <c r="D12141" s="1" t="n">
        <v>0.39667</v>
      </c>
      <c r="E12141" s="1" t="n">
        <f aca="false">LN(D12141)</f>
        <v>-0.924650578218635</v>
      </c>
    </row>
    <row r="12142" customFormat="false" ht="15.75" hidden="false" customHeight="false" outlineLevel="0" collapsed="false">
      <c r="A12142" s="1" t="s">
        <v>1509</v>
      </c>
      <c r="B12142" s="1" t="n">
        <v>123.59</v>
      </c>
      <c r="C12142" s="1" t="n">
        <f aca="false">1/B12142</f>
        <v>0.00809126952018772</v>
      </c>
      <c r="D12142" s="1" t="n">
        <v>0.39124</v>
      </c>
      <c r="E12142" s="1" t="n">
        <f aca="false">LN(D12142)</f>
        <v>-0.938434096559845</v>
      </c>
    </row>
    <row r="12143" customFormat="false" ht="15.75" hidden="false" customHeight="false" outlineLevel="0" collapsed="false">
      <c r="A12143" s="1" t="s">
        <v>1509</v>
      </c>
      <c r="B12143" s="1" t="n">
        <v>124.17</v>
      </c>
      <c r="C12143" s="1" t="n">
        <f aca="false">1/B12143</f>
        <v>0.00805347507449464</v>
      </c>
      <c r="D12143" s="1" t="n">
        <v>0.38593</v>
      </c>
      <c r="E12143" s="1" t="n">
        <f aca="false">LN(D12143)</f>
        <v>-0.952099273112948</v>
      </c>
    </row>
    <row r="12144" customFormat="false" ht="15.75" hidden="false" customHeight="false" outlineLevel="0" collapsed="false">
      <c r="A12144" s="1" t="s">
        <v>1509</v>
      </c>
      <c r="B12144" s="1" t="n">
        <v>124.75</v>
      </c>
      <c r="C12144" s="1" t="n">
        <f aca="false">1/B12144</f>
        <v>0.00801603206412826</v>
      </c>
      <c r="D12144" s="1" t="n">
        <v>0.38075</v>
      </c>
      <c r="E12144" s="1" t="n">
        <f aca="false">LN(D12144)</f>
        <v>-0.965612287206866</v>
      </c>
    </row>
    <row r="12145" customFormat="false" ht="15.75" hidden="false" customHeight="false" outlineLevel="0" collapsed="false">
      <c r="A12145" s="1" t="s">
        <v>1509</v>
      </c>
      <c r="B12145" s="1" t="n">
        <v>125.32</v>
      </c>
      <c r="C12145" s="1" t="n">
        <f aca="false">1/B12145</f>
        <v>0.00797957229492499</v>
      </c>
      <c r="D12145" s="1" t="n">
        <v>0.37569</v>
      </c>
      <c r="E12145" s="1" t="n">
        <f aca="false">LN(D12145)</f>
        <v>-0.978990943738086</v>
      </c>
    </row>
    <row r="12146" customFormat="false" ht="15.75" hidden="false" customHeight="false" outlineLevel="0" collapsed="false">
      <c r="A12146" s="1" t="s">
        <v>1509</v>
      </c>
      <c r="B12146" s="1" t="n">
        <v>125.9</v>
      </c>
      <c r="C12146" s="1" t="n">
        <f aca="false">1/B12146</f>
        <v>0.0079428117553614</v>
      </c>
      <c r="D12146" s="1" t="n">
        <v>0.37074</v>
      </c>
      <c r="E12146" s="1" t="n">
        <f aca="false">LN(D12146)</f>
        <v>-0.992254270681194</v>
      </c>
    </row>
    <row r="12147" customFormat="false" ht="15.75" hidden="false" customHeight="false" outlineLevel="0" collapsed="false">
      <c r="A12147" s="1" t="s">
        <v>1509</v>
      </c>
      <c r="B12147" s="1" t="n">
        <v>126.48</v>
      </c>
      <c r="C12147" s="1" t="n">
        <f aca="false">1/B12147</f>
        <v>0.00790638836179633</v>
      </c>
      <c r="D12147" s="1" t="n">
        <v>0.3659</v>
      </c>
      <c r="E12147" s="1" t="n">
        <f aca="false">LN(D12147)</f>
        <v>-1.00539520695698</v>
      </c>
    </row>
    <row r="12148" customFormat="false" ht="15.75" hidden="false" customHeight="false" outlineLevel="0" collapsed="false">
      <c r="A12148" s="1" t="s">
        <v>1509</v>
      </c>
      <c r="B12148" s="1" t="n">
        <v>127.05</v>
      </c>
      <c r="C12148" s="1" t="n">
        <f aca="false">1/B12148</f>
        <v>0.00787091696182605</v>
      </c>
      <c r="D12148" s="1" t="n">
        <v>0.36117</v>
      </c>
      <c r="E12148" s="1" t="n">
        <f aca="false">LN(D12148)</f>
        <v>-1.01840651736709</v>
      </c>
    </row>
    <row r="12149" customFormat="false" ht="15.75" hidden="false" customHeight="false" outlineLevel="0" collapsed="false">
      <c r="A12149" s="1" t="s">
        <v>1509</v>
      </c>
      <c r="B12149" s="1" t="n">
        <v>127.63</v>
      </c>
      <c r="C12149" s="1" t="n">
        <f aca="false">1/B12149</f>
        <v>0.00783514847606362</v>
      </c>
      <c r="D12149" s="1" t="n">
        <v>0.35654</v>
      </c>
      <c r="E12149" s="1" t="n">
        <f aca="false">LN(D12149)</f>
        <v>-1.03130884345842</v>
      </c>
    </row>
    <row r="12150" customFormat="false" ht="15.75" hidden="false" customHeight="false" outlineLevel="0" collapsed="false">
      <c r="A12150" s="1" t="s">
        <v>1509</v>
      </c>
      <c r="B12150" s="1" t="n">
        <v>128.21</v>
      </c>
      <c r="C12150" s="1" t="n">
        <f aca="false">1/B12150</f>
        <v>0.00779970361126277</v>
      </c>
      <c r="D12150" s="1" t="n">
        <v>0.35202</v>
      </c>
      <c r="E12150" s="1" t="n">
        <f aca="false">LN(D12150)</f>
        <v>-1.04406728681631</v>
      </c>
    </row>
    <row r="12151" customFormat="false" ht="15.75" hidden="false" customHeight="false" outlineLevel="0" collapsed="false">
      <c r="A12151" s="1" t="s">
        <v>1509</v>
      </c>
      <c r="B12151" s="1" t="n">
        <v>128.78</v>
      </c>
      <c r="C12151" s="1" t="n">
        <f aca="false">1/B12151</f>
        <v>0.00776518092871564</v>
      </c>
      <c r="D12151" s="1" t="n">
        <v>0.34759</v>
      </c>
      <c r="E12151" s="1" t="n">
        <f aca="false">LN(D12151)</f>
        <v>-1.05673165470438</v>
      </c>
    </row>
    <row r="12152" customFormat="false" ht="15.75" hidden="false" customHeight="false" outlineLevel="0" collapsed="false">
      <c r="A12152" s="1" t="s">
        <v>1509</v>
      </c>
      <c r="B12152" s="1" t="n">
        <v>129.36</v>
      </c>
      <c r="C12152" s="1" t="n">
        <f aca="false">1/B12152</f>
        <v>0.00773036487322202</v>
      </c>
      <c r="D12152" s="1" t="n">
        <v>0.34326</v>
      </c>
      <c r="E12152" s="1" t="n">
        <f aca="false">LN(D12152)</f>
        <v>-1.06926710147364</v>
      </c>
    </row>
    <row r="12153" customFormat="false" ht="15.75" hidden="false" customHeight="false" outlineLevel="0" collapsed="false">
      <c r="A12153" s="1" t="s">
        <v>1509</v>
      </c>
      <c r="B12153" s="1" t="n">
        <v>129.94</v>
      </c>
      <c r="C12153" s="1" t="n">
        <f aca="false">1/B12153</f>
        <v>0.00769585962752039</v>
      </c>
      <c r="D12153" s="1" t="n">
        <v>0.33902</v>
      </c>
      <c r="E12153" s="1" t="n">
        <f aca="false">LN(D12153)</f>
        <v>-1.0816961762918</v>
      </c>
    </row>
    <row r="12154" customFormat="false" ht="15.75" hidden="false" customHeight="false" outlineLevel="0" collapsed="false">
      <c r="A12154" s="1" t="s">
        <v>1509</v>
      </c>
      <c r="B12154" s="1" t="n">
        <v>130.51</v>
      </c>
      <c r="C12154" s="1" t="n">
        <f aca="false">1/B12154</f>
        <v>0.00766224810359359</v>
      </c>
      <c r="D12154" s="1" t="n">
        <v>0.33487</v>
      </c>
      <c r="E12154" s="1" t="n">
        <f aca="false">LN(D12154)</f>
        <v>-1.09401288217321</v>
      </c>
    </row>
    <row r="12155" customFormat="false" ht="15.75" hidden="false" customHeight="false" outlineLevel="0" collapsed="false">
      <c r="A12155" s="1" t="s">
        <v>1509</v>
      </c>
      <c r="B12155" s="1" t="n">
        <v>131.09</v>
      </c>
      <c r="C12155" s="1" t="n">
        <f aca="false">1/B12155</f>
        <v>0.00762834693721871</v>
      </c>
      <c r="D12155" s="1" t="n">
        <v>0.33081</v>
      </c>
      <c r="E12155" s="1" t="n">
        <f aca="false">LN(D12155)</f>
        <v>-1.10621108654344</v>
      </c>
    </row>
    <row r="12156" customFormat="false" ht="15.75" hidden="false" customHeight="false" outlineLevel="0" collapsed="false">
      <c r="A12156" s="1" t="s">
        <v>1509</v>
      </c>
      <c r="B12156" s="1" t="n">
        <v>131.67</v>
      </c>
      <c r="C12156" s="1" t="n">
        <f aca="false">1/B12156</f>
        <v>0.0075947444368497</v>
      </c>
      <c r="D12156" s="1" t="n">
        <v>0.32683</v>
      </c>
      <c r="E12156" s="1" t="n">
        <f aca="false">LN(D12156)</f>
        <v>-1.11831512094398</v>
      </c>
    </row>
    <row r="12157" customFormat="false" ht="15.75" hidden="false" customHeight="false" outlineLevel="0" collapsed="false">
      <c r="A12157" s="1" t="s">
        <v>1509</v>
      </c>
      <c r="B12157" s="1" t="n">
        <v>132.24</v>
      </c>
      <c r="C12157" s="1" t="n">
        <f aca="false">1/B12157</f>
        <v>0.00756200846944949</v>
      </c>
      <c r="D12157" s="1" t="n">
        <v>0.32294</v>
      </c>
      <c r="E12157" s="1" t="n">
        <f aca="false">LN(D12157)</f>
        <v>-1.13028873152866</v>
      </c>
    </row>
    <row r="12158" customFormat="false" ht="15.75" hidden="false" customHeight="false" outlineLevel="0" collapsed="false">
      <c r="A12158" s="1" t="s">
        <v>1509</v>
      </c>
      <c r="B12158" s="1" t="n">
        <v>132.82</v>
      </c>
      <c r="C12158" s="1" t="n">
        <f aca="false">1/B12158</f>
        <v>0.00752898659840386</v>
      </c>
      <c r="D12158" s="1" t="n">
        <v>0.31913</v>
      </c>
      <c r="E12158" s="1" t="n">
        <f aca="false">LN(D12158)</f>
        <v>-1.14215673570147</v>
      </c>
    </row>
    <row r="12159" customFormat="false" ht="15.75" hidden="false" customHeight="false" outlineLevel="0" collapsed="false">
      <c r="A12159" s="1" t="s">
        <v>1509</v>
      </c>
      <c r="B12159" s="1" t="n">
        <v>133.4</v>
      </c>
      <c r="C12159" s="1" t="n">
        <f aca="false">1/B12159</f>
        <v>0.00749625187406297</v>
      </c>
      <c r="D12159" s="1" t="n">
        <v>0.31539</v>
      </c>
      <c r="E12159" s="1" t="n">
        <f aca="false">LN(D12159)</f>
        <v>-1.15394531072629</v>
      </c>
    </row>
    <row r="12160" customFormat="false" ht="15.75" hidden="false" customHeight="false" outlineLevel="0" collapsed="false">
      <c r="A12160" s="1" t="s">
        <v>1509</v>
      </c>
      <c r="B12160" s="1" t="n">
        <v>133.97</v>
      </c>
      <c r="C12160" s="1" t="n">
        <f aca="false">1/B12160</f>
        <v>0.0074643576920206</v>
      </c>
      <c r="D12160" s="1" t="n">
        <v>0.31173</v>
      </c>
      <c r="E12160" s="1" t="n">
        <f aca="false">LN(D12160)</f>
        <v>-1.16561785044947</v>
      </c>
    </row>
    <row r="12161" customFormat="false" ht="15.75" hidden="false" customHeight="false" outlineLevel="0" collapsed="false">
      <c r="A12161" s="1" t="s">
        <v>1509</v>
      </c>
      <c r="B12161" s="1" t="n">
        <v>134.55</v>
      </c>
      <c r="C12161" s="1" t="n">
        <f aca="false">1/B12161</f>
        <v>0.00743218134522482</v>
      </c>
      <c r="D12161" s="1" t="n">
        <v>0.30814</v>
      </c>
      <c r="E12161" s="1" t="n">
        <f aca="false">LN(D12161)</f>
        <v>-1.17720105382851</v>
      </c>
    </row>
    <row r="12162" customFormat="false" ht="15.75" hidden="false" customHeight="false" outlineLevel="0" collapsed="false">
      <c r="A12162" s="1" t="s">
        <v>1509</v>
      </c>
      <c r="B12162" s="1" t="n">
        <v>135.13</v>
      </c>
      <c r="C12162" s="1" t="n">
        <f aca="false">1/B12162</f>
        <v>0.00740028121068601</v>
      </c>
      <c r="D12162" s="1" t="n">
        <v>0.30463</v>
      </c>
      <c r="E12162" s="1" t="n">
        <f aca="false">LN(D12162)</f>
        <v>-1.18865735354816</v>
      </c>
    </row>
    <row r="12163" customFormat="false" ht="15.75" hidden="false" customHeight="false" outlineLevel="0" collapsed="false">
      <c r="A12163" s="1" t="s">
        <v>1509</v>
      </c>
      <c r="B12163" s="1" t="n">
        <v>135.7</v>
      </c>
      <c r="C12163" s="1" t="n">
        <f aca="false">1/B12163</f>
        <v>0.00736919675755343</v>
      </c>
      <c r="D12163" s="1" t="n">
        <v>0.30118</v>
      </c>
      <c r="E12163" s="1" t="n">
        <f aca="false">LN(D12163)</f>
        <v>-1.20004718632346</v>
      </c>
    </row>
    <row r="12164" customFormat="false" ht="15.75" hidden="false" customHeight="false" outlineLevel="0" collapsed="false">
      <c r="A12164" s="1" t="s">
        <v>1509</v>
      </c>
      <c r="B12164" s="1" t="n">
        <v>136.28</v>
      </c>
      <c r="C12164" s="1" t="n">
        <f aca="false">1/B12164</f>
        <v>0.00733783387144115</v>
      </c>
      <c r="D12164" s="1" t="n">
        <v>0.2978</v>
      </c>
      <c r="E12164" s="1" t="n">
        <f aca="false">LN(D12164)</f>
        <v>-1.21133315873223</v>
      </c>
    </row>
    <row r="12165" customFormat="false" ht="15.75" hidden="false" customHeight="false" outlineLevel="0" collapsed="false">
      <c r="A12165" s="1" t="s">
        <v>1509</v>
      </c>
      <c r="B12165" s="1" t="n">
        <v>136.86</v>
      </c>
      <c r="C12165" s="1" t="n">
        <f aca="false">1/B12165</f>
        <v>0.00730673681134005</v>
      </c>
      <c r="D12165" s="1" t="n">
        <v>0.29449</v>
      </c>
      <c r="E12165" s="1" t="n">
        <f aca="false">LN(D12165)</f>
        <v>-1.22251023232439</v>
      </c>
    </row>
    <row r="12166" customFormat="false" ht="15.75" hidden="false" customHeight="false" outlineLevel="0" collapsed="false">
      <c r="A12166" s="1" t="s">
        <v>1509</v>
      </c>
      <c r="B12166" s="1" t="n">
        <v>137.43</v>
      </c>
      <c r="C12166" s="1" t="n">
        <f aca="false">1/B12166</f>
        <v>0.00727643163792476</v>
      </c>
      <c r="D12166" s="1" t="n">
        <v>0.29124</v>
      </c>
      <c r="E12166" s="1" t="n">
        <f aca="false">LN(D12166)</f>
        <v>-1.23360760945563</v>
      </c>
    </row>
    <row r="12167" customFormat="false" ht="15.75" hidden="false" customHeight="false" outlineLevel="0" collapsed="false">
      <c r="A12167" s="1" t="s">
        <v>1509</v>
      </c>
      <c r="B12167" s="1" t="n">
        <v>138.01</v>
      </c>
      <c r="C12167" s="1" t="n">
        <f aca="false">1/B12167</f>
        <v>0.0072458517498732</v>
      </c>
      <c r="D12167" s="1" t="n">
        <v>0.28805</v>
      </c>
      <c r="E12167" s="1" t="n">
        <f aca="false">LN(D12167)</f>
        <v>-1.24462120280375</v>
      </c>
    </row>
    <row r="12168" customFormat="false" ht="15.75" hidden="false" customHeight="false" outlineLevel="0" collapsed="false">
      <c r="A12168" s="1" t="s">
        <v>1509</v>
      </c>
      <c r="B12168" s="1" t="n">
        <v>138.59</v>
      </c>
      <c r="C12168" s="1" t="n">
        <f aca="false">1/B12168</f>
        <v>0.00721552781585973</v>
      </c>
      <c r="D12168" s="1" t="n">
        <v>0.28493</v>
      </c>
      <c r="E12168" s="1" t="n">
        <f aca="false">LN(D12168)</f>
        <v>-1.25551174291664</v>
      </c>
    </row>
    <row r="12169" customFormat="false" ht="15.75" hidden="false" customHeight="false" outlineLevel="0" collapsed="false">
      <c r="A12169" s="1" t="s">
        <v>1509</v>
      </c>
      <c r="B12169" s="1" t="n">
        <v>139.16</v>
      </c>
      <c r="C12169" s="1" t="n">
        <f aca="false">1/B12169</f>
        <v>0.00718597298074159</v>
      </c>
      <c r="D12169" s="1" t="n">
        <v>0.28186</v>
      </c>
      <c r="E12169" s="1" t="n">
        <f aca="false">LN(D12169)</f>
        <v>-1.26634478521877</v>
      </c>
    </row>
    <row r="12170" customFormat="false" ht="15.75" hidden="false" customHeight="false" outlineLevel="0" collapsed="false">
      <c r="A12170" s="1" t="s">
        <v>1509</v>
      </c>
      <c r="B12170" s="1" t="n">
        <v>139.74</v>
      </c>
      <c r="C12170" s="1" t="n">
        <f aca="false">1/B12170</f>
        <v>0.007156147130385</v>
      </c>
      <c r="D12170" s="1" t="n">
        <v>0.27885</v>
      </c>
      <c r="E12170" s="1" t="n">
        <f aca="false">LN(D12170)</f>
        <v>-1.27708127614657</v>
      </c>
    </row>
    <row r="12171" customFormat="false" ht="15.75" hidden="false" customHeight="false" outlineLevel="0" collapsed="false">
      <c r="A12171" s="1" t="s">
        <v>1509</v>
      </c>
      <c r="B12171" s="1" t="n">
        <v>140.32</v>
      </c>
      <c r="C12171" s="1" t="n">
        <f aca="false">1/B12171</f>
        <v>0.00712656784492588</v>
      </c>
      <c r="D12171" s="1" t="n">
        <v>0.27589</v>
      </c>
      <c r="E12171" s="1" t="n">
        <f aca="false">LN(D12171)</f>
        <v>-1.28775304343207</v>
      </c>
    </row>
    <row r="12172" customFormat="false" ht="15.75" hidden="false" customHeight="false" outlineLevel="0" collapsed="false">
      <c r="A12172" s="1" t="s">
        <v>1509</v>
      </c>
      <c r="B12172" s="1" t="n">
        <v>140.89</v>
      </c>
      <c r="C12172" s="1" t="n">
        <f aca="false">1/B12172</f>
        <v>0.0070977358222727</v>
      </c>
      <c r="D12172" s="1" t="n">
        <v>0.27299</v>
      </c>
      <c r="E12172" s="1" t="n">
        <f aca="false">LN(D12172)</f>
        <v>-1.2983201145047</v>
      </c>
    </row>
    <row r="12173" customFormat="false" ht="15.75" hidden="false" customHeight="false" outlineLevel="0" collapsed="false">
      <c r="A12173" s="1" t="s">
        <v>1509</v>
      </c>
      <c r="B12173" s="1" t="n">
        <v>141.47</v>
      </c>
      <c r="C12173" s="1" t="n">
        <f aca="false">1/B12173</f>
        <v>0.00706863646002686</v>
      </c>
      <c r="D12173" s="1" t="n">
        <v>0.27014</v>
      </c>
      <c r="E12173" s="1" t="n">
        <f aca="false">LN(D12173)</f>
        <v>-1.30881493584952</v>
      </c>
    </row>
    <row r="12174" customFormat="false" ht="15.75" hidden="false" customHeight="false" outlineLevel="0" collapsed="false">
      <c r="A12174" s="1" t="s">
        <v>1509</v>
      </c>
      <c r="B12174" s="1" t="n">
        <v>142.05</v>
      </c>
      <c r="C12174" s="1" t="n">
        <f aca="false">1/B12174</f>
        <v>0.00703977472720873</v>
      </c>
      <c r="D12174" s="1" t="n">
        <v>0.26735</v>
      </c>
      <c r="E12174" s="1" t="n">
        <f aca="false">LN(D12174)</f>
        <v>-1.3191966175874</v>
      </c>
    </row>
    <row r="12175" customFormat="false" ht="15.75" hidden="false" customHeight="false" outlineLevel="0" collapsed="false">
      <c r="A12175" s="1" t="s">
        <v>1509</v>
      </c>
      <c r="B12175" s="1" t="n">
        <v>142.62</v>
      </c>
      <c r="C12175" s="1" t="n">
        <f aca="false">1/B12175</f>
        <v>0.00701163932127331</v>
      </c>
      <c r="D12175" s="1" t="n">
        <v>0.2646</v>
      </c>
      <c r="E12175" s="1" t="n">
        <f aca="false">LN(D12175)</f>
        <v>-1.32953602730128</v>
      </c>
    </row>
    <row r="12176" customFormat="false" ht="15.75" hidden="false" customHeight="false" outlineLevel="0" collapsed="false">
      <c r="A12176" s="1" t="s">
        <v>1509</v>
      </c>
      <c r="B12176" s="1" t="n">
        <v>143.2</v>
      </c>
      <c r="C12176" s="1" t="n">
        <f aca="false">1/B12176</f>
        <v>0.00698324022346369</v>
      </c>
      <c r="D12176" s="1" t="n">
        <v>0.2619</v>
      </c>
      <c r="E12176" s="1" t="n">
        <f aca="false">LN(D12176)</f>
        <v>-1.33979252746847</v>
      </c>
    </row>
    <row r="12177" customFormat="false" ht="15.75" hidden="false" customHeight="false" outlineLevel="0" collapsed="false">
      <c r="A12177" s="1" t="s">
        <v>1509</v>
      </c>
      <c r="B12177" s="1" t="n">
        <v>143.78</v>
      </c>
      <c r="C12177" s="1" t="n">
        <f aca="false">1/B12177</f>
        <v>0.00695507024620949</v>
      </c>
      <c r="D12177" s="1" t="n">
        <v>0.25925</v>
      </c>
      <c r="E12177" s="1" t="n">
        <f aca="false">LN(D12177)</f>
        <v>-1.3499624318725</v>
      </c>
    </row>
    <row r="12178" customFormat="false" ht="15.75" hidden="false" customHeight="false" outlineLevel="0" collapsed="false">
      <c r="A12178" s="1" t="s">
        <v>1509</v>
      </c>
      <c r="B12178" s="1" t="n">
        <v>144.35</v>
      </c>
      <c r="C12178" s="1" t="n">
        <f aca="false">1/B12178</f>
        <v>0.00692760651195012</v>
      </c>
      <c r="D12178" s="1" t="n">
        <v>0.25665</v>
      </c>
      <c r="E12178" s="1" t="n">
        <f aca="false">LN(D12178)</f>
        <v>-1.36004198997583</v>
      </c>
    </row>
    <row r="12179" customFormat="false" ht="15.75" hidden="false" customHeight="false" outlineLevel="0" collapsed="false">
      <c r="A12179" s="1" t="s">
        <v>1509</v>
      </c>
      <c r="B12179" s="1" t="n">
        <v>144.93</v>
      </c>
      <c r="C12179" s="1" t="n">
        <f aca="false">1/B12179</f>
        <v>0.00689988270199407</v>
      </c>
      <c r="D12179" s="1" t="n">
        <v>0.25409</v>
      </c>
      <c r="E12179" s="1" t="n">
        <f aca="false">LN(D12179)</f>
        <v>-1.37006674401524</v>
      </c>
    </row>
    <row r="12180" customFormat="false" ht="15.75" hidden="false" customHeight="false" outlineLevel="0" collapsed="false">
      <c r="A12180" s="1" t="s">
        <v>1509</v>
      </c>
      <c r="B12180" s="1" t="n">
        <v>145.51</v>
      </c>
      <c r="C12180" s="1" t="n">
        <f aca="false">1/B12180</f>
        <v>0.00687237990516116</v>
      </c>
      <c r="D12180" s="1" t="n">
        <v>0.25158</v>
      </c>
      <c r="E12180" s="1" t="n">
        <f aca="false">LN(D12180)</f>
        <v>-1.37999424857141</v>
      </c>
    </row>
    <row r="12181" customFormat="false" ht="15.75" hidden="false" customHeight="false" outlineLevel="0" collapsed="false">
      <c r="A12181" s="1" t="s">
        <v>1509</v>
      </c>
      <c r="B12181" s="1" t="n">
        <v>146.08</v>
      </c>
      <c r="C12181" s="1" t="n">
        <f aca="false">1/B12181</f>
        <v>0.00684556407447974</v>
      </c>
      <c r="D12181" s="1" t="n">
        <v>0.24911</v>
      </c>
      <c r="E12181" s="1" t="n">
        <f aca="false">LN(D12181)</f>
        <v>-1.3898607129995</v>
      </c>
    </row>
    <row r="12182" customFormat="false" ht="15.75" hidden="false" customHeight="false" outlineLevel="0" collapsed="false">
      <c r="A12182" s="1" t="s">
        <v>1509</v>
      </c>
      <c r="B12182" s="1" t="n">
        <v>146.66</v>
      </c>
      <c r="C12182" s="1" t="n">
        <f aca="false">1/B12182</f>
        <v>0.00681849174962498</v>
      </c>
      <c r="D12182" s="1" t="n">
        <v>0.24668</v>
      </c>
      <c r="E12182" s="1" t="n">
        <f aca="false">LN(D12182)</f>
        <v>-1.39966332885885</v>
      </c>
    </row>
    <row r="12183" customFormat="false" ht="15.75" hidden="false" customHeight="false" outlineLevel="0" collapsed="false">
      <c r="A12183" s="1" t="s">
        <v>1509</v>
      </c>
      <c r="B12183" s="1" t="n">
        <v>147.24</v>
      </c>
      <c r="C12183" s="1" t="n">
        <f aca="false">1/B12183</f>
        <v>0.00679163270850312</v>
      </c>
      <c r="D12183" s="1" t="n">
        <v>0.24429</v>
      </c>
      <c r="E12183" s="1" t="n">
        <f aca="false">LN(D12183)</f>
        <v>-1.40939923483499</v>
      </c>
    </row>
    <row r="12184" customFormat="false" ht="15.75" hidden="false" customHeight="false" outlineLevel="0" collapsed="false">
      <c r="A12184" s="1" t="s">
        <v>1509</v>
      </c>
      <c r="B12184" s="1" t="n">
        <v>147.81</v>
      </c>
      <c r="C12184" s="1" t="n">
        <f aca="false">1/B12184</f>
        <v>0.00676544212164265</v>
      </c>
      <c r="D12184" s="1" t="n">
        <v>0.24194</v>
      </c>
      <c r="E12184" s="1" t="n">
        <f aca="false">LN(D12184)</f>
        <v>-1.41906551745044</v>
      </c>
    </row>
    <row r="12185" customFormat="false" ht="15.75" hidden="false" customHeight="false" outlineLevel="0" collapsed="false">
      <c r="A12185" s="1" t="s">
        <v>1509</v>
      </c>
      <c r="B12185" s="1" t="n">
        <v>148.39</v>
      </c>
      <c r="C12185" s="1" t="n">
        <f aca="false">1/B12185</f>
        <v>0.0067389985848103</v>
      </c>
      <c r="D12185" s="1" t="n">
        <v>0.23963</v>
      </c>
      <c r="E12185" s="1" t="n">
        <f aca="false">LN(D12185)</f>
        <v>-1.42865921189766</v>
      </c>
    </row>
    <row r="12186" customFormat="false" ht="15.75" hidden="false" customHeight="false" outlineLevel="0" collapsed="false">
      <c r="A12186" s="1" t="s">
        <v>1509</v>
      </c>
      <c r="B12186" s="1" t="n">
        <v>148.97</v>
      </c>
      <c r="C12186" s="1" t="n">
        <f aca="false">1/B12186</f>
        <v>0.00671276095858226</v>
      </c>
      <c r="D12186" s="1" t="n">
        <v>0.23736</v>
      </c>
      <c r="E12186" s="1" t="n">
        <f aca="false">LN(D12186)</f>
        <v>-1.43817730299957</v>
      </c>
    </row>
    <row r="12187" customFormat="false" ht="15.75" hidden="false" customHeight="false" outlineLevel="0" collapsed="false">
      <c r="A12187" s="1" t="s">
        <v>1509</v>
      </c>
      <c r="B12187" s="1" t="n">
        <v>149.54</v>
      </c>
      <c r="C12187" s="1" t="n">
        <f aca="false">1/B12187</f>
        <v>0.00668717400026749</v>
      </c>
      <c r="D12187" s="1" t="n">
        <v>0.23513</v>
      </c>
      <c r="E12187" s="1" t="n">
        <f aca="false">LN(D12187)</f>
        <v>-1.44761672630262</v>
      </c>
    </row>
    <row r="12188" customFormat="false" ht="15.75" hidden="false" customHeight="false" outlineLevel="0" collapsed="false">
      <c r="A12188" s="1" t="s">
        <v>1509</v>
      </c>
      <c r="B12188" s="1" t="n">
        <v>150.12</v>
      </c>
      <c r="C12188" s="1" t="n">
        <f aca="false">1/B12188</f>
        <v>0.00666133759658939</v>
      </c>
      <c r="D12188" s="1" t="n">
        <v>0.23293</v>
      </c>
      <c r="E12188" s="1" t="n">
        <f aca="false">LN(D12188)</f>
        <v>-1.45701729973887</v>
      </c>
    </row>
    <row r="12189" customFormat="false" ht="15.75" hidden="false" customHeight="false" outlineLevel="0" collapsed="false">
      <c r="A12189" s="1" t="s">
        <v>1509</v>
      </c>
      <c r="B12189" s="1" t="n">
        <v>150.7</v>
      </c>
      <c r="C12189" s="1" t="n">
        <f aca="false">1/B12189</f>
        <v>0.006635700066357</v>
      </c>
      <c r="D12189" s="1" t="n">
        <v>0.23077</v>
      </c>
      <c r="E12189" s="1" t="n">
        <f aca="false">LN(D12189)</f>
        <v>-1.46633373546565</v>
      </c>
    </row>
    <row r="12190" customFormat="false" ht="15.75" hidden="false" customHeight="false" outlineLevel="0" collapsed="false">
      <c r="A12190" s="1" t="s">
        <v>1509</v>
      </c>
      <c r="B12190" s="1" t="n">
        <v>151.27</v>
      </c>
      <c r="C12190" s="1" t="n">
        <f aca="false">1/B12190</f>
        <v>0.00661069610629999</v>
      </c>
      <c r="D12190" s="1" t="n">
        <v>0.22864</v>
      </c>
      <c r="E12190" s="1" t="n">
        <f aca="false">LN(D12190)</f>
        <v>-1.47560656480058</v>
      </c>
    </row>
    <row r="12191" customFormat="false" ht="15.75" hidden="false" customHeight="false" outlineLevel="0" collapsed="false">
      <c r="A12191" s="1" t="s">
        <v>1509</v>
      </c>
      <c r="B12191" s="1" t="n">
        <v>151.85</v>
      </c>
      <c r="C12191" s="1" t="n">
        <f aca="false">1/B12191</f>
        <v>0.00658544616397761</v>
      </c>
      <c r="D12191" s="1" t="n">
        <v>0.22654</v>
      </c>
      <c r="E12191" s="1" t="n">
        <f aca="false">LN(D12191)</f>
        <v>-1.48483374920957</v>
      </c>
    </row>
    <row r="12192" customFormat="false" ht="15.75" hidden="false" customHeight="false" outlineLevel="0" collapsed="false">
      <c r="A12192" s="1" t="s">
        <v>1509</v>
      </c>
      <c r="B12192" s="1" t="n">
        <v>152.43</v>
      </c>
      <c r="C12192" s="1" t="n">
        <f aca="false">1/B12192</f>
        <v>0.0065603883749918</v>
      </c>
      <c r="D12192" s="1" t="n">
        <v>0.22448</v>
      </c>
      <c r="E12192" s="1" t="n">
        <f aca="false">LN(D12192)</f>
        <v>-1.49396866262799</v>
      </c>
    </row>
    <row r="12193" customFormat="false" ht="15.75" hidden="false" customHeight="false" outlineLevel="0" collapsed="false">
      <c r="A12193" s="1" t="s">
        <v>1509</v>
      </c>
      <c r="B12193" s="1" t="n">
        <v>153</v>
      </c>
      <c r="C12193" s="1" t="n">
        <f aca="false">1/B12193</f>
        <v>0.0065359477124183</v>
      </c>
      <c r="D12193" s="1" t="n">
        <v>0.22245</v>
      </c>
      <c r="E12193" s="1" t="n">
        <f aca="false">LN(D12193)</f>
        <v>-1.50305292173009</v>
      </c>
    </row>
    <row r="12194" customFormat="false" ht="15.75" hidden="false" customHeight="false" outlineLevel="0" collapsed="false">
      <c r="A12194" s="1" t="s">
        <v>1509</v>
      </c>
      <c r="B12194" s="1" t="n">
        <v>153.58</v>
      </c>
      <c r="C12194" s="1" t="n">
        <f aca="false">1/B12194</f>
        <v>0.00651126448756348</v>
      </c>
      <c r="D12194" s="1" t="n">
        <v>0.22045</v>
      </c>
      <c r="E12194" s="1" t="n">
        <f aca="false">LN(D12194)</f>
        <v>-1.51208436717819</v>
      </c>
    </row>
    <row r="12195" customFormat="false" ht="15.75" hidden="false" customHeight="false" outlineLevel="0" collapsed="false">
      <c r="A12195" s="1" t="s">
        <v>1509</v>
      </c>
      <c r="B12195" s="1" t="n">
        <v>154.16</v>
      </c>
      <c r="C12195" s="1" t="n">
        <f aca="false">1/B12195</f>
        <v>0.00648676699532953</v>
      </c>
      <c r="D12195" s="1" t="n">
        <v>0.21848</v>
      </c>
      <c r="E12195" s="1" t="n">
        <f aca="false">LN(D12195)</f>
        <v>-1.52106080181669</v>
      </c>
    </row>
    <row r="12196" customFormat="false" ht="15.75" hidden="false" customHeight="false" outlineLevel="0" collapsed="false">
      <c r="A12196" s="1" t="s">
        <v>1509</v>
      </c>
      <c r="B12196" s="1" t="n">
        <v>154.73</v>
      </c>
      <c r="C12196" s="1" t="n">
        <f aca="false">1/B12196</f>
        <v>0.00646287080721256</v>
      </c>
      <c r="D12196" s="1" t="n">
        <v>0.21655</v>
      </c>
      <c r="E12196" s="1" t="n">
        <f aca="false">LN(D12196)</f>
        <v>-1.5299338113215</v>
      </c>
    </row>
    <row r="12197" customFormat="false" ht="15.75" hidden="false" customHeight="false" outlineLevel="0" collapsed="false">
      <c r="A12197" s="1" t="s">
        <v>1509</v>
      </c>
      <c r="B12197" s="1" t="n">
        <v>155.31</v>
      </c>
      <c r="C12197" s="1" t="n">
        <f aca="false">1/B12197</f>
        <v>0.00643873543236108</v>
      </c>
      <c r="D12197" s="1" t="n">
        <v>0.21464</v>
      </c>
      <c r="E12197" s="1" t="n">
        <f aca="false">LN(D12197)</f>
        <v>-1.53879307286477</v>
      </c>
    </row>
    <row r="12198" customFormat="false" ht="15.75" hidden="false" customHeight="false" outlineLevel="0" collapsed="false">
      <c r="A12198" s="1" t="s">
        <v>1509</v>
      </c>
      <c r="B12198" s="1" t="n">
        <v>155.89</v>
      </c>
      <c r="C12198" s="1" t="n">
        <f aca="false">1/B12198</f>
        <v>0.00641477965231894</v>
      </c>
      <c r="D12198" s="1" t="n">
        <v>0.21276</v>
      </c>
      <c r="E12198" s="1" t="n">
        <f aca="false">LN(D12198)</f>
        <v>-1.54759050910802</v>
      </c>
    </row>
    <row r="12199" customFormat="false" ht="15.75" hidden="false" customHeight="false" outlineLevel="0" collapsed="false">
      <c r="A12199" s="1" t="s">
        <v>1509</v>
      </c>
      <c r="B12199" s="1" t="n">
        <v>156.46</v>
      </c>
      <c r="C12199" s="1" t="n">
        <f aca="false">1/B12199</f>
        <v>0.00639140994503387</v>
      </c>
      <c r="D12199" s="1" t="n">
        <v>0.2109</v>
      </c>
      <c r="E12199" s="1" t="n">
        <f aca="false">LN(D12199)</f>
        <v>-1.55637119149741</v>
      </c>
    </row>
    <row r="12200" customFormat="false" ht="15.75" hidden="false" customHeight="false" outlineLevel="0" collapsed="false">
      <c r="A12200" s="1" t="s">
        <v>1509</v>
      </c>
      <c r="B12200" s="1" t="n">
        <v>157.04</v>
      </c>
      <c r="C12200" s="1" t="n">
        <f aca="false">1/B12200</f>
        <v>0.00636780438104942</v>
      </c>
      <c r="D12200" s="1" t="n">
        <v>0.20908</v>
      </c>
      <c r="E12200" s="1" t="n">
        <f aca="false">LN(D12200)</f>
        <v>-1.56503832513742</v>
      </c>
    </row>
    <row r="12201" customFormat="false" ht="15.75" hidden="false" customHeight="false" outlineLevel="0" collapsed="false">
      <c r="A12201" s="1" t="s">
        <v>1509</v>
      </c>
      <c r="B12201" s="1" t="n">
        <v>157.62</v>
      </c>
      <c r="C12201" s="1" t="n">
        <f aca="false">1/B12201</f>
        <v>0.00634437254155564</v>
      </c>
      <c r="D12201" s="1" t="n">
        <v>0.20728</v>
      </c>
      <c r="E12201" s="1" t="n">
        <f aca="false">LN(D12201)</f>
        <v>-1.57368474272828</v>
      </c>
    </row>
    <row r="12202" customFormat="false" ht="15.75" hidden="false" customHeight="false" outlineLevel="0" collapsed="false">
      <c r="A12202" s="1" t="s">
        <v>1509</v>
      </c>
      <c r="B12202" s="1" t="n">
        <v>158.19</v>
      </c>
      <c r="C12202" s="1" t="n">
        <f aca="false">1/B12202</f>
        <v>0.00632151210569568</v>
      </c>
      <c r="D12202" s="1" t="n">
        <v>0.2055</v>
      </c>
      <c r="E12202" s="1" t="n">
        <f aca="false">LN(D12202)</f>
        <v>-1.58230924504585</v>
      </c>
    </row>
    <row r="12203" customFormat="false" ht="15.75" hidden="false" customHeight="false" outlineLevel="0" collapsed="false">
      <c r="A12203" s="1" t="s">
        <v>1509</v>
      </c>
      <c r="B12203" s="1" t="n">
        <v>158.77</v>
      </c>
      <c r="C12203" s="1" t="n">
        <f aca="false">1/B12203</f>
        <v>0.0062984190968067</v>
      </c>
      <c r="D12203" s="1" t="n">
        <v>0.20376</v>
      </c>
      <c r="E12203" s="1" t="n">
        <f aca="false">LN(D12203)</f>
        <v>-1.59081244831094</v>
      </c>
    </row>
    <row r="12204" customFormat="false" ht="15.75" hidden="false" customHeight="false" outlineLevel="0" collapsed="false">
      <c r="A12204" s="1" t="s">
        <v>1509</v>
      </c>
      <c r="B12204" s="1" t="n">
        <v>159.35</v>
      </c>
      <c r="C12204" s="1" t="n">
        <f aca="false">1/B12204</f>
        <v>0.00627549419516787</v>
      </c>
      <c r="D12204" s="1" t="n">
        <v>0.20203</v>
      </c>
      <c r="E12204" s="1" t="n">
        <f aca="false">LN(D12204)</f>
        <v>-1.59933907775669</v>
      </c>
    </row>
    <row r="12205" customFormat="false" ht="15.75" hidden="false" customHeight="false" outlineLevel="0" collapsed="false">
      <c r="A12205" s="1" t="s">
        <v>1509</v>
      </c>
      <c r="B12205" s="1" t="n">
        <v>159.92</v>
      </c>
      <c r="C12205" s="1" t="n">
        <f aca="false">1/B12205</f>
        <v>0.00625312656328164</v>
      </c>
      <c r="D12205" s="1" t="n">
        <v>0.20034</v>
      </c>
      <c r="E12205" s="1" t="n">
        <f aca="false">LN(D12205)</f>
        <v>-1.60773935579852</v>
      </c>
    </row>
    <row r="12206" customFormat="false" ht="15.75" hidden="false" customHeight="false" outlineLevel="0" collapsed="false">
      <c r="A12206" s="1" t="s">
        <v>1509</v>
      </c>
      <c r="B12206" s="1" t="n">
        <v>160.5</v>
      </c>
      <c r="C12206" s="1" t="n">
        <f aca="false">1/B12206</f>
        <v>0.00623052959501558</v>
      </c>
      <c r="D12206" s="1" t="n">
        <v>0.19866</v>
      </c>
      <c r="E12206" s="1" t="n">
        <f aca="false">LN(D12206)</f>
        <v>-1.61616045819493</v>
      </c>
    </row>
    <row r="12207" customFormat="false" ht="15.75" hidden="false" customHeight="false" outlineLevel="0" collapsed="false">
      <c r="A12207" s="1" t="s">
        <v>1509</v>
      </c>
      <c r="B12207" s="1" t="n">
        <v>161.08</v>
      </c>
      <c r="C12207" s="1" t="n">
        <f aca="false">1/B12207</f>
        <v>0.00620809535634467</v>
      </c>
      <c r="D12207" s="1" t="n">
        <v>0.19701</v>
      </c>
      <c r="E12207" s="1" t="n">
        <f aca="false">LN(D12207)</f>
        <v>-1.62450079011115</v>
      </c>
    </row>
    <row r="12208" customFormat="false" ht="15.75" hidden="false" customHeight="false" outlineLevel="0" collapsed="false">
      <c r="A12208" s="1" t="s">
        <v>1509</v>
      </c>
      <c r="B12208" s="1" t="n">
        <v>161.66</v>
      </c>
      <c r="C12208" s="1" t="n">
        <f aca="false">1/B12208</f>
        <v>0.00618582209575653</v>
      </c>
      <c r="D12208" s="1" t="n">
        <v>0.19538</v>
      </c>
      <c r="E12208" s="1" t="n">
        <f aca="false">LN(D12208)</f>
        <v>-1.63280889875734</v>
      </c>
    </row>
    <row r="12209" customFormat="false" ht="15.75" hidden="false" customHeight="false" outlineLevel="0" collapsed="false">
      <c r="A12209" s="1" t="s">
        <v>1509</v>
      </c>
      <c r="B12209" s="1" t="n">
        <v>162.23</v>
      </c>
      <c r="C12209" s="1" t="n">
        <f aca="false">1/B12209</f>
        <v>0.00616408802317697</v>
      </c>
      <c r="D12209" s="1" t="n">
        <v>0.19377</v>
      </c>
      <c r="E12209" s="1" t="n">
        <f aca="false">LN(D12209)</f>
        <v>-1.64108339026965</v>
      </c>
    </row>
    <row r="12210" customFormat="false" ht="15.75" hidden="false" customHeight="false" outlineLevel="0" collapsed="false">
      <c r="A12210" s="1" t="s">
        <v>1509</v>
      </c>
      <c r="B12210" s="1" t="n">
        <v>162.81</v>
      </c>
      <c r="C12210" s="1" t="n">
        <f aca="false">1/B12210</f>
        <v>0.00614212886186352</v>
      </c>
      <c r="D12210" s="1" t="n">
        <v>0.19219</v>
      </c>
      <c r="E12210" s="1" t="n">
        <f aca="false">LN(D12210)</f>
        <v>-1.64927081293582</v>
      </c>
    </row>
    <row r="12211" customFormat="false" ht="15.75" hidden="false" customHeight="false" outlineLevel="0" collapsed="false">
      <c r="A12211" s="1" t="s">
        <v>1509</v>
      </c>
      <c r="B12211" s="1" t="n">
        <v>163.39</v>
      </c>
      <c r="C12211" s="1" t="n">
        <f aca="false">1/B12211</f>
        <v>0.00612032560132199</v>
      </c>
      <c r="D12211" s="1" t="n">
        <v>0.19063</v>
      </c>
      <c r="E12211" s="1" t="n">
        <f aca="false">LN(D12211)</f>
        <v>-1.65742090245625</v>
      </c>
    </row>
    <row r="12212" customFormat="false" ht="15.75" hidden="false" customHeight="false" outlineLevel="0" collapsed="false">
      <c r="A12212" s="1" t="s">
        <v>1509</v>
      </c>
      <c r="B12212" s="1" t="n">
        <v>163.96</v>
      </c>
      <c r="C12212" s="1" t="n">
        <f aca="false">1/B12212</f>
        <v>0.00609904854842644</v>
      </c>
      <c r="D12212" s="1" t="n">
        <v>0.18908</v>
      </c>
      <c r="E12212" s="1" t="n">
        <f aca="false">LN(D12212)</f>
        <v>-1.6655850730571</v>
      </c>
    </row>
    <row r="12213" customFormat="false" ht="15.75" hidden="false" customHeight="false" outlineLevel="0" collapsed="false">
      <c r="A12213" s="1" t="s">
        <v>1509</v>
      </c>
      <c r="B12213" s="1" t="n">
        <v>164.54</v>
      </c>
      <c r="C12213" s="1" t="n">
        <f aca="false">1/B12213</f>
        <v>0.00607754953202869</v>
      </c>
      <c r="D12213" s="1" t="n">
        <v>0.18756</v>
      </c>
      <c r="E12213" s="1" t="n">
        <f aca="false">LN(D12213)</f>
        <v>-1.67365648476075</v>
      </c>
    </row>
    <row r="12214" customFormat="false" ht="15.75" hidden="false" customHeight="false" outlineLevel="0" collapsed="false">
      <c r="A12214" s="1" t="s">
        <v>1509</v>
      </c>
      <c r="B12214" s="1" t="n">
        <v>165.12</v>
      </c>
      <c r="C12214" s="1" t="n">
        <f aca="false">1/B12214</f>
        <v>0.0060562015503876</v>
      </c>
      <c r="D12214" s="1" t="n">
        <v>0.18606</v>
      </c>
      <c r="E12214" s="1" t="n">
        <f aca="false">LN(D12214)</f>
        <v>-1.68168607664172</v>
      </c>
    </row>
    <row r="12215" customFormat="false" ht="15.75" hidden="false" customHeight="false" outlineLevel="0" collapsed="false">
      <c r="A12215" s="1" t="s">
        <v>1509</v>
      </c>
      <c r="B12215" s="1" t="n">
        <v>165.69</v>
      </c>
      <c r="C12215" s="1" t="n">
        <f aca="false">1/B12215</f>
        <v>0.00603536725209729</v>
      </c>
      <c r="D12215" s="1" t="n">
        <v>0.18458</v>
      </c>
      <c r="E12215" s="1" t="n">
        <f aca="false">LN(D12215)</f>
        <v>-1.68967230514471</v>
      </c>
    </row>
    <row r="12216" customFormat="false" ht="15.75" hidden="false" customHeight="false" outlineLevel="0" collapsed="false">
      <c r="A12216" s="1" t="s">
        <v>1509</v>
      </c>
      <c r="B12216" s="1" t="n">
        <v>166.27</v>
      </c>
      <c r="C12216" s="1" t="n">
        <f aca="false">1/B12216</f>
        <v>0.0060143140674806</v>
      </c>
      <c r="D12216" s="1" t="n">
        <v>0.18311</v>
      </c>
      <c r="E12216" s="1" t="n">
        <f aca="false">LN(D12216)</f>
        <v>-1.69766821382851</v>
      </c>
    </row>
    <row r="12217" customFormat="false" ht="15.75" hidden="false" customHeight="false" outlineLevel="0" collapsed="false">
      <c r="A12217" s="1" t="s">
        <v>1509</v>
      </c>
      <c r="B12217" s="1" t="n">
        <v>166.85</v>
      </c>
      <c r="C12217" s="1" t="n">
        <f aca="false">1/B12217</f>
        <v>0.00599340725202277</v>
      </c>
      <c r="D12217" s="1" t="n">
        <v>0.18167</v>
      </c>
      <c r="E12217" s="1" t="n">
        <f aca="false">LN(D12217)</f>
        <v>-1.70556342453148</v>
      </c>
    </row>
    <row r="12218" customFormat="false" ht="15.75" hidden="false" customHeight="false" outlineLevel="0" collapsed="false">
      <c r="A12218" s="1" t="s">
        <v>1509</v>
      </c>
      <c r="B12218" s="1" t="n">
        <v>167.42</v>
      </c>
      <c r="C12218" s="1" t="n">
        <f aca="false">1/B12218</f>
        <v>0.00597300203082069</v>
      </c>
      <c r="D12218" s="1" t="n">
        <v>0.18024</v>
      </c>
      <c r="E12218" s="1" t="n">
        <f aca="false">LN(D12218)</f>
        <v>-1.71346598285815</v>
      </c>
    </row>
    <row r="12219" customFormat="false" ht="15.75" hidden="false" customHeight="false" outlineLevel="0" collapsed="false">
      <c r="A12219" s="1" t="s">
        <v>1509</v>
      </c>
      <c r="B12219" s="1" t="n">
        <v>168</v>
      </c>
      <c r="C12219" s="1" t="n">
        <f aca="false">1/B12219</f>
        <v>0.00595238095238095</v>
      </c>
      <c r="D12219" s="1" t="n">
        <v>0.17883</v>
      </c>
      <c r="E12219" s="1" t="n">
        <f aca="false">LN(D12219)</f>
        <v>-1.72131964508219</v>
      </c>
    </row>
    <row r="12220" customFormat="false" ht="15.75" hidden="false" customHeight="false" outlineLevel="0" collapsed="false">
      <c r="A12220" s="1" t="s">
        <v>1509</v>
      </c>
      <c r="B12220" s="1" t="n">
        <v>168.58</v>
      </c>
      <c r="C12220" s="1" t="n">
        <f aca="false">1/B12220</f>
        <v>0.00593190176770673</v>
      </c>
      <c r="D12220" s="1" t="n">
        <v>0.17744</v>
      </c>
      <c r="E12220" s="1" t="n">
        <f aca="false">LN(D12220)</f>
        <v>-1.72912275538008</v>
      </c>
    </row>
    <row r="12221" customFormat="false" ht="15.75" hidden="false" customHeight="false" outlineLevel="0" collapsed="false">
      <c r="A12221" s="1" t="s">
        <v>1509</v>
      </c>
      <c r="B12221" s="1" t="n">
        <v>169.15</v>
      </c>
      <c r="C12221" s="1" t="n">
        <f aca="false">1/B12221</f>
        <v>0.00591191250369495</v>
      </c>
      <c r="D12221" s="1" t="n">
        <v>0.17607</v>
      </c>
      <c r="E12221" s="1" t="n">
        <f aca="false">LN(D12221)</f>
        <v>-1.73687363574378</v>
      </c>
    </row>
    <row r="12222" customFormat="false" ht="15.75" hidden="false" customHeight="false" outlineLevel="0" collapsed="false">
      <c r="A12222" s="1" t="s">
        <v>1509</v>
      </c>
      <c r="B12222" s="1" t="n">
        <v>169.16</v>
      </c>
      <c r="C12222" s="1" t="n">
        <f aca="false">1/B12222</f>
        <v>0.00591156301726176</v>
      </c>
      <c r="D12222" s="1" t="n">
        <v>0.17606</v>
      </c>
      <c r="E12222" s="1" t="n">
        <f aca="false">LN(D12222)</f>
        <v>-1.73693043294938</v>
      </c>
    </row>
    <row r="12223" customFormat="false" ht="15.75" hidden="false" customHeight="false" outlineLevel="0" collapsed="false">
      <c r="A12223" s="1" t="s">
        <v>1510</v>
      </c>
      <c r="B12223" s="1" t="n">
        <v>87.953</v>
      </c>
      <c r="C12223" s="1" t="n">
        <f aca="false">1/B12223</f>
        <v>0.0113697088217571</v>
      </c>
      <c r="D12223" s="1" t="n">
        <v>12.12</v>
      </c>
      <c r="E12223" s="1" t="n">
        <f aca="false">LN(D12223)</f>
        <v>2.49485698064117</v>
      </c>
    </row>
    <row r="12224" customFormat="false" ht="15.75" hidden="false" customHeight="false" outlineLevel="0" collapsed="false">
      <c r="A12224" s="1" t="s">
        <v>1510</v>
      </c>
      <c r="B12224" s="1" t="n">
        <v>88.765</v>
      </c>
      <c r="C12224" s="1" t="n">
        <f aca="false">1/B12224</f>
        <v>0.0112657015715654</v>
      </c>
      <c r="D12224" s="1" t="n">
        <v>11.127</v>
      </c>
      <c r="E12224" s="1" t="n">
        <f aca="false">LN(D12224)</f>
        <v>2.40937458717556</v>
      </c>
    </row>
    <row r="12225" customFormat="false" ht="15.75" hidden="false" customHeight="false" outlineLevel="0" collapsed="false">
      <c r="A12225" s="1" t="s">
        <v>1510</v>
      </c>
      <c r="B12225" s="1" t="n">
        <v>89.576</v>
      </c>
      <c r="C12225" s="1" t="n">
        <f aca="false">1/B12225</f>
        <v>0.0111637045637224</v>
      </c>
      <c r="D12225" s="1" t="n">
        <v>10.246</v>
      </c>
      <c r="E12225" s="1" t="n">
        <f aca="false">LN(D12225)</f>
        <v>2.32688738551701</v>
      </c>
    </row>
    <row r="12226" customFormat="false" ht="15.75" hidden="false" customHeight="false" outlineLevel="0" collapsed="false">
      <c r="A12226" s="1" t="s">
        <v>1510</v>
      </c>
      <c r="B12226" s="1" t="n">
        <v>90.388</v>
      </c>
      <c r="C12226" s="1" t="n">
        <f aca="false">1/B12226</f>
        <v>0.0110634154976324</v>
      </c>
      <c r="D12226" s="1" t="n">
        <v>9.4609</v>
      </c>
      <c r="E12226" s="1" t="n">
        <f aca="false">LN(D12226)</f>
        <v>2.24716751595923</v>
      </c>
    </row>
    <row r="12227" customFormat="false" ht="15.75" hidden="false" customHeight="false" outlineLevel="0" collapsed="false">
      <c r="A12227" s="1" t="s">
        <v>1510</v>
      </c>
      <c r="B12227" s="1" t="n">
        <v>91.2</v>
      </c>
      <c r="C12227" s="1" t="n">
        <f aca="false">1/B12227</f>
        <v>0.0109649122807018</v>
      </c>
      <c r="D12227" s="1" t="n">
        <v>8.7578</v>
      </c>
      <c r="E12227" s="1" t="n">
        <f aca="false">LN(D12227)</f>
        <v>2.16994473185447</v>
      </c>
    </row>
    <row r="12228" customFormat="false" ht="15.75" hidden="false" customHeight="false" outlineLevel="0" collapsed="false">
      <c r="A12228" s="1" t="s">
        <v>1510</v>
      </c>
      <c r="B12228" s="1" t="n">
        <v>92.012</v>
      </c>
      <c r="C12228" s="1" t="n">
        <f aca="false">1/B12228</f>
        <v>0.0108681476329174</v>
      </c>
      <c r="D12228" s="1" t="n">
        <v>8.1261</v>
      </c>
      <c r="E12228" s="1" t="n">
        <f aca="false">LN(D12228)</f>
        <v>2.09508110366752</v>
      </c>
    </row>
    <row r="12229" customFormat="false" ht="15.75" hidden="false" customHeight="false" outlineLevel="0" collapsed="false">
      <c r="A12229" s="1" t="s">
        <v>1510</v>
      </c>
      <c r="B12229" s="1" t="n">
        <v>92.823</v>
      </c>
      <c r="C12229" s="1" t="n">
        <f aca="false">1/B12229</f>
        <v>0.0107731919890544</v>
      </c>
      <c r="D12229" s="1" t="n">
        <v>7.5568</v>
      </c>
      <c r="E12229" s="1" t="n">
        <f aca="false">LN(D12229)</f>
        <v>2.02244782015972</v>
      </c>
    </row>
    <row r="12230" customFormat="false" ht="15.75" hidden="false" customHeight="false" outlineLevel="0" collapsed="false">
      <c r="A12230" s="1" t="s">
        <v>1510</v>
      </c>
      <c r="B12230" s="1" t="n">
        <v>93.635</v>
      </c>
      <c r="C12230" s="1" t="n">
        <f aca="false">1/B12230</f>
        <v>0.0106797671810755</v>
      </c>
      <c r="D12230" s="1" t="n">
        <v>7.042</v>
      </c>
      <c r="E12230" s="1" t="n">
        <f aca="false">LN(D12230)</f>
        <v>1.95189222073286</v>
      </c>
    </row>
    <row r="12231" customFormat="false" ht="15.75" hidden="false" customHeight="false" outlineLevel="0" collapsed="false">
      <c r="A12231" s="1" t="s">
        <v>1510</v>
      </c>
      <c r="B12231" s="1" t="n">
        <v>94.447</v>
      </c>
      <c r="C12231" s="1" t="n">
        <f aca="false">1/B12231</f>
        <v>0.0105879487966796</v>
      </c>
      <c r="D12231" s="1" t="n">
        <v>6.5753</v>
      </c>
      <c r="E12231" s="1" t="n">
        <f aca="false">LN(D12231)</f>
        <v>1.88332020439936</v>
      </c>
    </row>
    <row r="12232" customFormat="false" ht="15.75" hidden="false" customHeight="false" outlineLevel="0" collapsed="false">
      <c r="A12232" s="1" t="s">
        <v>1510</v>
      </c>
      <c r="B12232" s="1" t="n">
        <v>95.259</v>
      </c>
      <c r="C12232" s="1" t="n">
        <f aca="false">1/B12232</f>
        <v>0.0104976957557816</v>
      </c>
      <c r="D12232" s="1" t="n">
        <v>6.151</v>
      </c>
      <c r="E12232" s="1" t="n">
        <f aca="false">LN(D12232)</f>
        <v>1.81661467022623</v>
      </c>
    </row>
    <row r="12233" customFormat="false" ht="15.75" hidden="false" customHeight="false" outlineLevel="0" collapsed="false">
      <c r="A12233" s="1" t="s">
        <v>1510</v>
      </c>
      <c r="B12233" s="1" t="n">
        <v>96.07</v>
      </c>
      <c r="C12233" s="1" t="n">
        <f aca="false">1/B12233</f>
        <v>0.0104090767148954</v>
      </c>
      <c r="D12233" s="1" t="n">
        <v>5.7644</v>
      </c>
      <c r="E12233" s="1" t="n">
        <f aca="false">LN(D12233)</f>
        <v>1.75170107198207</v>
      </c>
    </row>
    <row r="12234" customFormat="false" ht="15.75" hidden="false" customHeight="false" outlineLevel="0" collapsed="false">
      <c r="A12234" s="1" t="s">
        <v>1510</v>
      </c>
      <c r="B12234" s="1" t="n">
        <v>96.882</v>
      </c>
      <c r="C12234" s="1" t="n">
        <f aca="false">1/B12234</f>
        <v>0.0103218348093557</v>
      </c>
      <c r="D12234" s="1" t="n">
        <v>5.4111</v>
      </c>
      <c r="E12234" s="1" t="n">
        <f aca="false">LN(D12234)</f>
        <v>1.68845239936213</v>
      </c>
    </row>
    <row r="12235" customFormat="false" ht="15.75" hidden="false" customHeight="false" outlineLevel="0" collapsed="false">
      <c r="A12235" s="1" t="s">
        <v>1510</v>
      </c>
      <c r="B12235" s="1" t="n">
        <v>97.694</v>
      </c>
      <c r="C12235" s="1" t="n">
        <f aca="false">1/B12235</f>
        <v>0.0102360431551579</v>
      </c>
      <c r="D12235" s="1" t="n">
        <v>5.0878</v>
      </c>
      <c r="E12235" s="1" t="n">
        <f aca="false">LN(D12235)</f>
        <v>1.62684551708913</v>
      </c>
    </row>
    <row r="12236" customFormat="false" ht="15.75" hidden="false" customHeight="false" outlineLevel="0" collapsed="false">
      <c r="A12236" s="1" t="s">
        <v>1510</v>
      </c>
      <c r="B12236" s="1" t="n">
        <v>98.506</v>
      </c>
      <c r="C12236" s="1" t="n">
        <f aca="false">1/B12236</f>
        <v>0.0101516658883723</v>
      </c>
      <c r="D12236" s="1" t="n">
        <v>4.7911</v>
      </c>
      <c r="E12236" s="1" t="n">
        <f aca="false">LN(D12236)</f>
        <v>1.56676003015237</v>
      </c>
    </row>
    <row r="12237" customFormat="false" ht="15.75" hidden="false" customHeight="false" outlineLevel="0" collapsed="false">
      <c r="A12237" s="1" t="s">
        <v>1510</v>
      </c>
      <c r="B12237" s="1" t="n">
        <v>99.317</v>
      </c>
      <c r="C12237" s="1" t="n">
        <f aca="false">1/B12237</f>
        <v>0.0100687696970307</v>
      </c>
      <c r="D12237" s="1" t="n">
        <v>4.5185</v>
      </c>
      <c r="E12237" s="1" t="n">
        <f aca="false">LN(D12237)</f>
        <v>1.50818008035987</v>
      </c>
    </row>
    <row r="12238" customFormat="false" ht="15.75" hidden="false" customHeight="false" outlineLevel="0" collapsed="false">
      <c r="A12238" s="1" t="s">
        <v>1510</v>
      </c>
      <c r="B12238" s="1" t="n">
        <v>100.13</v>
      </c>
      <c r="C12238" s="1" t="n">
        <f aca="false">1/B12238</f>
        <v>0.00998701687805852</v>
      </c>
      <c r="D12238" s="1" t="n">
        <v>4.2674</v>
      </c>
      <c r="E12238" s="1" t="n">
        <f aca="false">LN(D12238)</f>
        <v>1.45100474248865</v>
      </c>
    </row>
    <row r="12239" customFormat="false" ht="15.75" hidden="false" customHeight="false" outlineLevel="0" collapsed="false">
      <c r="A12239" s="1" t="s">
        <v>1510</v>
      </c>
      <c r="B12239" s="1" t="n">
        <v>100.94</v>
      </c>
      <c r="C12239" s="1" t="n">
        <f aca="false">1/B12239</f>
        <v>0.00990687537150783</v>
      </c>
      <c r="D12239" s="1" t="n">
        <v>4.0357</v>
      </c>
      <c r="E12239" s="1" t="n">
        <f aca="false">LN(D12239)</f>
        <v>1.39517976870786</v>
      </c>
    </row>
    <row r="12240" customFormat="false" ht="15.75" hidden="false" customHeight="false" outlineLevel="0" collapsed="false">
      <c r="A12240" s="1" t="s">
        <v>1510</v>
      </c>
      <c r="B12240" s="1" t="n">
        <v>101.75</v>
      </c>
      <c r="C12240" s="1" t="n">
        <f aca="false">1/B12240</f>
        <v>0.00982800982800983</v>
      </c>
      <c r="D12240" s="1" t="n">
        <v>3.8217</v>
      </c>
      <c r="E12240" s="1" t="n">
        <f aca="false">LN(D12240)</f>
        <v>1.34069534980171</v>
      </c>
    </row>
    <row r="12241" customFormat="false" ht="15.75" hidden="false" customHeight="false" outlineLevel="0" collapsed="false">
      <c r="A12241" s="1" t="s">
        <v>1510</v>
      </c>
      <c r="B12241" s="1" t="n">
        <v>102.56</v>
      </c>
      <c r="C12241" s="1" t="n">
        <f aca="false">1/B12241</f>
        <v>0.00975039001560062</v>
      </c>
      <c r="D12241" s="1" t="n">
        <v>3.6236</v>
      </c>
      <c r="E12241" s="1" t="n">
        <f aca="false">LN(D12241)</f>
        <v>1.287468006813</v>
      </c>
    </row>
    <row r="12242" customFormat="false" ht="15.75" hidden="false" customHeight="false" outlineLevel="0" collapsed="false">
      <c r="A12242" s="1" t="s">
        <v>1510</v>
      </c>
      <c r="B12242" s="1" t="n">
        <v>103.38</v>
      </c>
      <c r="C12242" s="1" t="n">
        <f aca="false">1/B12242</f>
        <v>0.00967305088024763</v>
      </c>
      <c r="D12242" s="1" t="n">
        <v>3.44</v>
      </c>
      <c r="E12242" s="1" t="n">
        <f aca="false">LN(D12242)</f>
        <v>1.23547147138531</v>
      </c>
    </row>
    <row r="12243" customFormat="false" ht="15.75" hidden="false" customHeight="false" outlineLevel="0" collapsed="false">
      <c r="A12243" s="1" t="s">
        <v>1510</v>
      </c>
      <c r="B12243" s="1" t="n">
        <v>104.19</v>
      </c>
      <c r="C12243" s="1" t="n">
        <f aca="false">1/B12243</f>
        <v>0.00959785008158173</v>
      </c>
      <c r="D12243" s="1" t="n">
        <v>3.2696</v>
      </c>
      <c r="E12243" s="1" t="n">
        <f aca="false">LN(D12243)</f>
        <v>1.18466765326793</v>
      </c>
    </row>
    <row r="12244" customFormat="false" ht="15.75" hidden="false" customHeight="false" outlineLevel="0" collapsed="false">
      <c r="A12244" s="1" t="s">
        <v>1510</v>
      </c>
      <c r="B12244" s="1" t="n">
        <v>105</v>
      </c>
      <c r="C12244" s="1" t="n">
        <f aca="false">1/B12244</f>
        <v>0.00952380952380952</v>
      </c>
      <c r="D12244" s="1" t="n">
        <v>3.1111</v>
      </c>
      <c r="E12244" s="1" t="n">
        <f aca="false">LN(D12244)</f>
        <v>1.13497636140404</v>
      </c>
    </row>
    <row r="12245" customFormat="false" ht="15.75" hidden="false" customHeight="false" outlineLevel="0" collapsed="false">
      <c r="A12245" s="1" t="s">
        <v>1510</v>
      </c>
      <c r="B12245" s="1" t="n">
        <v>105.81</v>
      </c>
      <c r="C12245" s="1" t="n">
        <f aca="false">1/B12245</f>
        <v>0.00945090256119459</v>
      </c>
      <c r="D12245" s="1" t="n">
        <v>2.9636</v>
      </c>
      <c r="E12245" s="1" t="n">
        <f aca="false">LN(D12245)</f>
        <v>1.08640474556036</v>
      </c>
    </row>
    <row r="12246" customFormat="false" ht="15.75" hidden="false" customHeight="false" outlineLevel="0" collapsed="false">
      <c r="A12246" s="1" t="s">
        <v>1510</v>
      </c>
      <c r="B12246" s="1" t="n">
        <v>106.62</v>
      </c>
      <c r="C12246" s="1" t="n">
        <f aca="false">1/B12246</f>
        <v>0.009379103357719</v>
      </c>
      <c r="D12246" s="1" t="n">
        <v>2.8262</v>
      </c>
      <c r="E12246" s="1" t="n">
        <f aca="false">LN(D12246)</f>
        <v>1.03893305316651</v>
      </c>
    </row>
    <row r="12247" customFormat="false" ht="15.75" hidden="false" customHeight="false" outlineLevel="0" collapsed="false">
      <c r="A12247" s="1" t="s">
        <v>1510</v>
      </c>
      <c r="B12247" s="1" t="n">
        <v>107.43</v>
      </c>
      <c r="C12247" s="1" t="n">
        <f aca="false">1/B12247</f>
        <v>0.00930838685655776</v>
      </c>
      <c r="D12247" s="1" t="n">
        <v>2.6979</v>
      </c>
      <c r="E12247" s="1" t="n">
        <f aca="false">LN(D12247)</f>
        <v>0.992473692606442</v>
      </c>
    </row>
    <row r="12248" customFormat="false" ht="15.75" hidden="false" customHeight="false" outlineLevel="0" collapsed="false">
      <c r="A12248" s="1" t="s">
        <v>1510</v>
      </c>
      <c r="B12248" s="1" t="n">
        <v>108.25</v>
      </c>
      <c r="C12248" s="1" t="n">
        <f aca="false">1/B12248</f>
        <v>0.0092378752886836</v>
      </c>
      <c r="D12248" s="1" t="n">
        <v>2.5781</v>
      </c>
      <c r="E12248" s="1" t="n">
        <f aca="false">LN(D12248)</f>
        <v>0.947052693524196</v>
      </c>
    </row>
    <row r="12249" customFormat="false" ht="15.75" hidden="false" customHeight="false" outlineLevel="0" collapsed="false">
      <c r="A12249" s="1" t="s">
        <v>1510</v>
      </c>
      <c r="B12249" s="1" t="n">
        <v>109.06</v>
      </c>
      <c r="C12249" s="1" t="n">
        <f aca="false">1/B12249</f>
        <v>0.00916926462497708</v>
      </c>
      <c r="D12249" s="1" t="n">
        <v>2.4659</v>
      </c>
      <c r="E12249" s="1" t="n">
        <f aca="false">LN(D12249)</f>
        <v>0.902556852419513</v>
      </c>
    </row>
    <row r="12250" customFormat="false" ht="15.75" hidden="false" customHeight="false" outlineLevel="0" collapsed="false">
      <c r="A12250" s="1" t="s">
        <v>1510</v>
      </c>
      <c r="B12250" s="1" t="n">
        <v>109.87</v>
      </c>
      <c r="C12250" s="1" t="n">
        <f aca="false">1/B12250</f>
        <v>0.00910166560480568</v>
      </c>
      <c r="D12250" s="1" t="n">
        <v>2.361</v>
      </c>
      <c r="E12250" s="1" t="n">
        <f aca="false">LN(D12250)</f>
        <v>0.859085258103376</v>
      </c>
    </row>
    <row r="12251" customFormat="false" ht="15.75" hidden="false" customHeight="false" outlineLevel="0" collapsed="false">
      <c r="A12251" s="1" t="s">
        <v>1510</v>
      </c>
      <c r="B12251" s="1" t="n">
        <v>110.68</v>
      </c>
      <c r="C12251" s="1" t="n">
        <f aca="false">1/B12251</f>
        <v>0.00903505601734731</v>
      </c>
      <c r="D12251" s="1" t="n">
        <v>2.2625</v>
      </c>
      <c r="E12251" s="1" t="n">
        <f aca="false">LN(D12251)</f>
        <v>0.816470396591944</v>
      </c>
    </row>
    <row r="12252" customFormat="false" ht="15.75" hidden="false" customHeight="false" outlineLevel="0" collapsed="false">
      <c r="A12252" s="1" t="s">
        <v>1510</v>
      </c>
      <c r="B12252" s="1" t="n">
        <v>111.49</v>
      </c>
      <c r="C12252" s="1" t="n">
        <f aca="false">1/B12252</f>
        <v>0.00896941429724639</v>
      </c>
      <c r="D12252" s="1" t="n">
        <v>2.1701</v>
      </c>
      <c r="E12252" s="1" t="n">
        <f aca="false">LN(D12252)</f>
        <v>0.774773249439891</v>
      </c>
    </row>
    <row r="12253" customFormat="false" ht="15.75" hidden="false" customHeight="false" outlineLevel="0" collapsed="false">
      <c r="A12253" s="1" t="s">
        <v>1510</v>
      </c>
      <c r="B12253" s="1" t="n">
        <v>112.31</v>
      </c>
      <c r="C12253" s="1" t="n">
        <f aca="false">1/B12253</f>
        <v>0.00890392663164456</v>
      </c>
      <c r="D12253" s="1" t="n">
        <v>2.0833</v>
      </c>
      <c r="E12253" s="1" t="n">
        <f aca="false">LN(D12253)</f>
        <v>0.733953174952199</v>
      </c>
    </row>
    <row r="12254" customFormat="false" ht="15.75" hidden="false" customHeight="false" outlineLevel="0" collapsed="false">
      <c r="A12254" s="1" t="s">
        <v>1510</v>
      </c>
      <c r="B12254" s="1" t="n">
        <v>113.12</v>
      </c>
      <c r="C12254" s="1" t="n">
        <f aca="false">1/B12254</f>
        <v>0.00884016973125884</v>
      </c>
      <c r="D12254" s="1" t="n">
        <v>2.0017</v>
      </c>
      <c r="E12254" s="1" t="n">
        <f aca="false">LN(D12254)</f>
        <v>0.693996819514523</v>
      </c>
    </row>
    <row r="12255" customFormat="false" ht="15.75" hidden="false" customHeight="false" outlineLevel="0" collapsed="false">
      <c r="A12255" s="1" t="s">
        <v>1510</v>
      </c>
      <c r="B12255" s="1" t="n">
        <v>113.93</v>
      </c>
      <c r="C12255" s="1" t="n">
        <f aca="false">1/B12255</f>
        <v>0.00877731940665321</v>
      </c>
      <c r="D12255" s="1" t="n">
        <v>1.9249</v>
      </c>
      <c r="E12255" s="1" t="n">
        <f aca="false">LN(D12255)</f>
        <v>0.654874018338453</v>
      </c>
    </row>
    <row r="12256" customFormat="false" ht="15.75" hidden="false" customHeight="false" outlineLevel="0" collapsed="false">
      <c r="A12256" s="1" t="s">
        <v>1510</v>
      </c>
      <c r="B12256" s="1" t="n">
        <v>114.74</v>
      </c>
      <c r="C12256" s="1" t="n">
        <f aca="false">1/B12256</f>
        <v>0.00871535645807914</v>
      </c>
      <c r="D12256" s="1" t="n">
        <v>1.8525</v>
      </c>
      <c r="E12256" s="1" t="n">
        <f aca="false">LN(D12256)</f>
        <v>0.616536078188105</v>
      </c>
    </row>
    <row r="12257" customFormat="false" ht="15.75" hidden="false" customHeight="false" outlineLevel="0" collapsed="false">
      <c r="A12257" s="1" t="s">
        <v>1510</v>
      </c>
      <c r="B12257" s="1" t="n">
        <v>115.55</v>
      </c>
      <c r="C12257" s="1" t="n">
        <f aca="false">1/B12257</f>
        <v>0.00865426222414539</v>
      </c>
      <c r="D12257" s="1" t="n">
        <v>1.7842</v>
      </c>
      <c r="E12257" s="1" t="n">
        <f aca="false">LN(D12257)</f>
        <v>0.578970135497546</v>
      </c>
    </row>
    <row r="12258" customFormat="false" ht="15.75" hidden="false" customHeight="false" outlineLevel="0" collapsed="false">
      <c r="A12258" s="1" t="s">
        <v>1510</v>
      </c>
      <c r="B12258" s="1" t="n">
        <v>116.36</v>
      </c>
      <c r="C12258" s="1" t="n">
        <f aca="false">1/B12258</f>
        <v>0.0085940185630801</v>
      </c>
      <c r="D12258" s="1" t="n">
        <v>1.7198</v>
      </c>
      <c r="E12258" s="1" t="n">
        <f aca="false">LN(D12258)</f>
        <v>0.542208004994659</v>
      </c>
    </row>
    <row r="12259" customFormat="false" ht="15.75" hidden="false" customHeight="false" outlineLevel="0" collapsed="false">
      <c r="A12259" s="1" t="s">
        <v>1510</v>
      </c>
      <c r="B12259" s="1" t="n">
        <v>117.18</v>
      </c>
      <c r="C12259" s="1" t="n">
        <f aca="false">1/B12259</f>
        <v>0.00853387950162144</v>
      </c>
      <c r="D12259" s="1" t="n">
        <v>1.6589</v>
      </c>
      <c r="E12259" s="1" t="n">
        <f aca="false">LN(D12259)</f>
        <v>0.506154732116092</v>
      </c>
    </row>
    <row r="12260" customFormat="false" ht="15.75" hidden="false" customHeight="false" outlineLevel="0" collapsed="false">
      <c r="A12260" s="1" t="s">
        <v>1510</v>
      </c>
      <c r="B12260" s="1" t="n">
        <v>117.99</v>
      </c>
      <c r="C12260" s="1" t="n">
        <f aca="false">1/B12260</f>
        <v>0.00847529451648445</v>
      </c>
      <c r="D12260" s="1" t="n">
        <v>1.6013</v>
      </c>
      <c r="E12260" s="1" t="n">
        <f aca="false">LN(D12260)</f>
        <v>0.470815799346294</v>
      </c>
    </row>
    <row r="12261" customFormat="false" ht="15.75" hidden="false" customHeight="false" outlineLevel="0" collapsed="false">
      <c r="A12261" s="1" t="s">
        <v>1510</v>
      </c>
      <c r="B12261" s="1" t="n">
        <v>118.8</v>
      </c>
      <c r="C12261" s="1" t="n">
        <f aca="false">1/B12261</f>
        <v>0.00841750841750842</v>
      </c>
      <c r="D12261" s="1" t="n">
        <v>1.5468</v>
      </c>
      <c r="E12261" s="1" t="n">
        <f aca="false">LN(D12261)</f>
        <v>0.436188280751005</v>
      </c>
    </row>
    <row r="12262" customFormat="false" ht="15.75" hidden="false" customHeight="false" outlineLevel="0" collapsed="false">
      <c r="A12262" s="1" t="s">
        <v>1510</v>
      </c>
      <c r="B12262" s="1" t="n">
        <v>119.61</v>
      </c>
      <c r="C12262" s="1" t="n">
        <f aca="false">1/B12262</f>
        <v>0.00836050497450046</v>
      </c>
      <c r="D12262" s="1" t="n">
        <v>1.4951</v>
      </c>
      <c r="E12262" s="1" t="n">
        <f aca="false">LN(D12262)</f>
        <v>0.402193094237745</v>
      </c>
    </row>
    <row r="12263" customFormat="false" ht="15.75" hidden="false" customHeight="false" outlineLevel="0" collapsed="false">
      <c r="A12263" s="1" t="s">
        <v>1510</v>
      </c>
      <c r="B12263" s="1" t="n">
        <v>120.42</v>
      </c>
      <c r="C12263" s="1" t="n">
        <f aca="false">1/B12263</f>
        <v>0.00830426839395449</v>
      </c>
      <c r="D12263" s="1" t="n">
        <v>1.4462</v>
      </c>
      <c r="E12263" s="1" t="n">
        <f aca="false">LN(D12263)</f>
        <v>0.368939426758714</v>
      </c>
    </row>
    <row r="12264" customFormat="false" ht="15.75" hidden="false" customHeight="false" outlineLevel="0" collapsed="false">
      <c r="A12264" s="1" t="s">
        <v>1510</v>
      </c>
      <c r="B12264" s="1" t="n">
        <v>121.23</v>
      </c>
      <c r="C12264" s="1" t="n">
        <f aca="false">1/B12264</f>
        <v>0.00824878330446259</v>
      </c>
      <c r="D12264" s="1" t="n">
        <v>1.3998</v>
      </c>
      <c r="E12264" s="1" t="n">
        <f aca="false">LN(D12264)</f>
        <v>0.336329369273302</v>
      </c>
    </row>
    <row r="12265" customFormat="false" ht="15.75" hidden="false" customHeight="false" outlineLevel="0" collapsed="false">
      <c r="A12265" s="1" t="s">
        <v>1510</v>
      </c>
      <c r="B12265" s="1" t="n">
        <v>122.05</v>
      </c>
      <c r="C12265" s="1" t="n">
        <f aca="false">1/B12265</f>
        <v>0.00819336337566571</v>
      </c>
      <c r="D12265" s="1" t="n">
        <v>1.3557</v>
      </c>
      <c r="E12265" s="1" t="n">
        <f aca="false">LN(D12265)</f>
        <v>0.304317926103207</v>
      </c>
    </row>
    <row r="12266" customFormat="false" ht="15.75" hidden="false" customHeight="false" outlineLevel="0" collapsed="false">
      <c r="A12266" s="1" t="s">
        <v>1510</v>
      </c>
      <c r="B12266" s="1" t="n">
        <v>122.86</v>
      </c>
      <c r="C12266" s="1" t="n">
        <f aca="false">1/B12266</f>
        <v>0.00813934559661403</v>
      </c>
      <c r="D12266" s="1" t="n">
        <v>1.3138</v>
      </c>
      <c r="E12266" s="1" t="n">
        <f aca="false">LN(D12266)</f>
        <v>0.272923701476236</v>
      </c>
    </row>
    <row r="12267" customFormat="false" ht="15.75" hidden="false" customHeight="false" outlineLevel="0" collapsed="false">
      <c r="A12267" s="1" t="s">
        <v>1510</v>
      </c>
      <c r="B12267" s="1" t="n">
        <v>123.67</v>
      </c>
      <c r="C12267" s="1" t="n">
        <f aca="false">1/B12267</f>
        <v>0.00808603541683513</v>
      </c>
      <c r="D12267" s="1" t="n">
        <v>1.2739</v>
      </c>
      <c r="E12267" s="1" t="n">
        <f aca="false">LN(D12267)</f>
        <v>0.242083061133604</v>
      </c>
    </row>
    <row r="12268" customFormat="false" ht="15.75" hidden="false" customHeight="false" outlineLevel="0" collapsed="false">
      <c r="A12268" s="1" t="s">
        <v>1510</v>
      </c>
      <c r="B12268" s="1" t="n">
        <v>124.48</v>
      </c>
      <c r="C12268" s="1" t="n">
        <f aca="false">1/B12268</f>
        <v>0.00803341902313625</v>
      </c>
      <c r="D12268" s="1" t="n">
        <v>1.236</v>
      </c>
      <c r="E12268" s="1" t="n">
        <f aca="false">LN(D12268)</f>
        <v>0.211880359035499</v>
      </c>
    </row>
    <row r="12269" customFormat="false" ht="15.75" hidden="false" customHeight="false" outlineLevel="0" collapsed="false">
      <c r="A12269" s="1" t="s">
        <v>1510</v>
      </c>
      <c r="B12269" s="1" t="n">
        <v>125.29</v>
      </c>
      <c r="C12269" s="1" t="n">
        <f aca="false">1/B12269</f>
        <v>0.00798148295953388</v>
      </c>
      <c r="D12269" s="1" t="n">
        <v>1.1999</v>
      </c>
      <c r="E12269" s="1" t="n">
        <f aca="false">LN(D12269)</f>
        <v>0.182238219988206</v>
      </c>
    </row>
    <row r="12270" customFormat="false" ht="15.75" hidden="false" customHeight="false" outlineLevel="0" collapsed="false">
      <c r="A12270" s="1" t="s">
        <v>1510</v>
      </c>
      <c r="B12270" s="1" t="n">
        <v>126.11</v>
      </c>
      <c r="C12270" s="1" t="n">
        <f aca="false">1/B12270</f>
        <v>0.00792958528268971</v>
      </c>
      <c r="D12270" s="1" t="n">
        <v>1.1655</v>
      </c>
      <c r="E12270" s="1" t="n">
        <f aca="false">LN(D12270)</f>
        <v>0.153150179493675</v>
      </c>
    </row>
    <row r="12271" customFormat="false" ht="15.75" hidden="false" customHeight="false" outlineLevel="0" collapsed="false">
      <c r="A12271" s="1" t="s">
        <v>1510</v>
      </c>
      <c r="B12271" s="1" t="n">
        <v>126.92</v>
      </c>
      <c r="C12271" s="1" t="n">
        <f aca="false">1/B12271</f>
        <v>0.00787897888433659</v>
      </c>
      <c r="D12271" s="1" t="n">
        <v>1.1327</v>
      </c>
      <c r="E12271" s="1" t="n">
        <f aca="false">LN(D12271)</f>
        <v>0.124604163224531</v>
      </c>
    </row>
    <row r="12272" customFormat="false" ht="15.75" hidden="false" customHeight="false" outlineLevel="0" collapsed="false">
      <c r="A12272" s="1" t="s">
        <v>1510</v>
      </c>
      <c r="B12272" s="1" t="n">
        <v>127.73</v>
      </c>
      <c r="C12272" s="1" t="n">
        <f aca="false">1/B12272</f>
        <v>0.00782901432709622</v>
      </c>
      <c r="D12272" s="1" t="n">
        <v>1.1013</v>
      </c>
      <c r="E12272" s="1" t="n">
        <f aca="false">LN(D12272)</f>
        <v>0.0964913001887612</v>
      </c>
    </row>
    <row r="12273" customFormat="false" ht="15.75" hidden="false" customHeight="false" outlineLevel="0" collapsed="false">
      <c r="A12273" s="1" t="s">
        <v>1510</v>
      </c>
      <c r="B12273" s="1" t="n">
        <v>128.54</v>
      </c>
      <c r="C12273" s="1" t="n">
        <f aca="false">1/B12273</f>
        <v>0.00777967947720554</v>
      </c>
      <c r="D12273" s="1" t="n">
        <v>1.0714</v>
      </c>
      <c r="E12273" s="1" t="n">
        <f aca="false">LN(D12273)</f>
        <v>0.0689662044647228</v>
      </c>
    </row>
    <row r="12274" customFormat="false" ht="15.75" hidden="false" customHeight="false" outlineLevel="0" collapsed="false">
      <c r="A12274" s="1" t="s">
        <v>1510</v>
      </c>
      <c r="B12274" s="1" t="n">
        <v>129.35</v>
      </c>
      <c r="C12274" s="1" t="n">
        <f aca="false">1/B12274</f>
        <v>0.00773096250483185</v>
      </c>
      <c r="D12274" s="1" t="n">
        <v>1.0428</v>
      </c>
      <c r="E12274" s="1" t="n">
        <f aca="false">LN(D12274)</f>
        <v>0.0419094030772096</v>
      </c>
    </row>
    <row r="12275" customFormat="false" ht="15.75" hidden="false" customHeight="false" outlineLevel="0" collapsed="false">
      <c r="A12275" s="1" t="s">
        <v>1510</v>
      </c>
      <c r="B12275" s="1" t="n">
        <v>130.16</v>
      </c>
      <c r="C12275" s="1" t="n">
        <f aca="false">1/B12275</f>
        <v>0.00768285187461586</v>
      </c>
      <c r="D12275" s="1" t="n">
        <v>1.0155</v>
      </c>
      <c r="E12275" s="1" t="n">
        <f aca="false">LN(D12275)</f>
        <v>0.0153811020383024</v>
      </c>
    </row>
    <row r="12276" customFormat="false" ht="15.75" hidden="false" customHeight="false" outlineLevel="0" collapsed="false">
      <c r="A12276" s="1" t="s">
        <v>1510</v>
      </c>
      <c r="B12276" s="1" t="n">
        <v>130.98</v>
      </c>
      <c r="C12276" s="1" t="n">
        <f aca="false">1/B12276</f>
        <v>0.00763475339746526</v>
      </c>
      <c r="D12276" s="1" t="n">
        <v>0.98934</v>
      </c>
      <c r="E12276" s="1" t="n">
        <f aca="false">LN(D12276)</f>
        <v>-0.0107172248412052</v>
      </c>
    </row>
    <row r="12277" customFormat="false" ht="15.75" hidden="false" customHeight="false" outlineLevel="0" collapsed="false">
      <c r="A12277" s="1" t="s">
        <v>1510</v>
      </c>
      <c r="B12277" s="1" t="n">
        <v>131.79</v>
      </c>
      <c r="C12277" s="1" t="n">
        <f aca="false">1/B12277</f>
        <v>0.00758782912208817</v>
      </c>
      <c r="D12277" s="1" t="n">
        <v>0.9643</v>
      </c>
      <c r="E12277" s="1" t="n">
        <f aca="false">LN(D12277)</f>
        <v>-0.0363528294657983</v>
      </c>
    </row>
    <row r="12278" customFormat="false" ht="15.75" hidden="false" customHeight="false" outlineLevel="0" collapsed="false">
      <c r="A12278" s="1" t="s">
        <v>1510</v>
      </c>
      <c r="B12278" s="1" t="n">
        <v>132.6</v>
      </c>
      <c r="C12278" s="1" t="n">
        <f aca="false">1/B12278</f>
        <v>0.00754147812971342</v>
      </c>
      <c r="D12278" s="1" t="n">
        <v>0.94031</v>
      </c>
      <c r="E12278" s="1" t="n">
        <f aca="false">LN(D12278)</f>
        <v>-0.0615456708519019</v>
      </c>
    </row>
    <row r="12279" customFormat="false" ht="15.75" hidden="false" customHeight="false" outlineLevel="0" collapsed="false">
      <c r="A12279" s="1" t="s">
        <v>1510</v>
      </c>
      <c r="B12279" s="1" t="n">
        <v>133.41</v>
      </c>
      <c r="C12279" s="1" t="n">
        <f aca="false">1/B12279</f>
        <v>0.0074956899782625</v>
      </c>
      <c r="D12279" s="1" t="n">
        <v>0.9173</v>
      </c>
      <c r="E12279" s="1" t="n">
        <f aca="false">LN(D12279)</f>
        <v>-0.0863207064665272</v>
      </c>
    </row>
    <row r="12280" customFormat="false" ht="15.75" hidden="false" customHeight="false" outlineLevel="0" collapsed="false">
      <c r="A12280" s="1" t="s">
        <v>1510</v>
      </c>
      <c r="B12280" s="1" t="n">
        <v>134.22</v>
      </c>
      <c r="C12280" s="1" t="n">
        <f aca="false">1/B12280</f>
        <v>0.00745045447772314</v>
      </c>
      <c r="D12280" s="1" t="n">
        <v>0.89524</v>
      </c>
      <c r="E12280" s="1" t="n">
        <f aca="false">LN(D12280)</f>
        <v>-0.110663440230208</v>
      </c>
    </row>
    <row r="12281" customFormat="false" ht="15.75" hidden="false" customHeight="false" outlineLevel="0" collapsed="false">
      <c r="A12281" s="1" t="s">
        <v>1510</v>
      </c>
      <c r="B12281" s="1" t="n">
        <v>135.03</v>
      </c>
      <c r="C12281" s="1" t="n">
        <f aca="false">1/B12281</f>
        <v>0.00740576168258905</v>
      </c>
      <c r="D12281" s="1" t="n">
        <v>0.87406</v>
      </c>
      <c r="E12281" s="1" t="n">
        <f aca="false">LN(D12281)</f>
        <v>-0.134606255797314</v>
      </c>
    </row>
    <row r="12282" customFormat="false" ht="15.75" hidden="false" customHeight="false" outlineLevel="0" collapsed="false">
      <c r="A12282" s="1" t="s">
        <v>1510</v>
      </c>
      <c r="B12282" s="1" t="n">
        <v>135.85</v>
      </c>
      <c r="C12282" s="1" t="n">
        <f aca="false">1/B12282</f>
        <v>0.00736105999263894</v>
      </c>
      <c r="D12282" s="1" t="n">
        <v>0.85372</v>
      </c>
      <c r="E12282" s="1" t="n">
        <f aca="false">LN(D12282)</f>
        <v>-0.15815200780677</v>
      </c>
    </row>
    <row r="12283" customFormat="false" ht="15.75" hidden="false" customHeight="false" outlineLevel="0" collapsed="false">
      <c r="A12283" s="1" t="s">
        <v>1510</v>
      </c>
      <c r="B12283" s="1" t="n">
        <v>136.66</v>
      </c>
      <c r="C12283" s="1" t="n">
        <f aca="false">1/B12283</f>
        <v>0.00731743011854237</v>
      </c>
      <c r="D12283" s="1" t="n">
        <v>0.83417</v>
      </c>
      <c r="E12283" s="1" t="n">
        <f aca="false">LN(D12283)</f>
        <v>-0.181318060464859</v>
      </c>
    </row>
    <row r="12284" customFormat="false" ht="15.75" hidden="false" customHeight="false" outlineLevel="0" collapsed="false">
      <c r="A12284" s="1" t="s">
        <v>1510</v>
      </c>
      <c r="B12284" s="1" t="n">
        <v>137.47</v>
      </c>
      <c r="C12284" s="1" t="n">
        <f aca="false">1/B12284</f>
        <v>0.00727431439586819</v>
      </c>
      <c r="D12284" s="1" t="n">
        <v>0.81538</v>
      </c>
      <c r="E12284" s="1" t="n">
        <f aca="false">LN(D12284)</f>
        <v>-0.204101016736894</v>
      </c>
    </row>
    <row r="12285" customFormat="false" ht="15.75" hidden="false" customHeight="false" outlineLevel="0" collapsed="false">
      <c r="A12285" s="1" t="s">
        <v>1510</v>
      </c>
      <c r="B12285" s="1" t="n">
        <v>138.28</v>
      </c>
      <c r="C12285" s="1" t="n">
        <f aca="false">1/B12285</f>
        <v>0.00723170378941279</v>
      </c>
      <c r="D12285" s="1" t="n">
        <v>0.7973</v>
      </c>
      <c r="E12285" s="1" t="n">
        <f aca="false">LN(D12285)</f>
        <v>-0.226524259473687</v>
      </c>
    </row>
    <row r="12286" customFormat="false" ht="15.75" hidden="false" customHeight="false" outlineLevel="0" collapsed="false">
      <c r="A12286" s="1" t="s">
        <v>1510</v>
      </c>
      <c r="B12286" s="1" t="n">
        <v>139.09</v>
      </c>
      <c r="C12286" s="1" t="n">
        <f aca="false">1/B12286</f>
        <v>0.00718958947444101</v>
      </c>
      <c r="D12286" s="1" t="n">
        <v>0.7799</v>
      </c>
      <c r="E12286" s="1" t="n">
        <f aca="false">LN(D12286)</f>
        <v>-0.248589572645685</v>
      </c>
    </row>
    <row r="12287" customFormat="false" ht="15.75" hidden="false" customHeight="false" outlineLevel="0" collapsed="false">
      <c r="A12287" s="1" t="s">
        <v>1510</v>
      </c>
      <c r="B12287" s="1" t="n">
        <v>139.9</v>
      </c>
      <c r="C12287" s="1" t="n">
        <f aca="false">1/B12287</f>
        <v>0.00714796283059328</v>
      </c>
      <c r="D12287" s="1" t="n">
        <v>0.76314</v>
      </c>
      <c r="E12287" s="1" t="n">
        <f aca="false">LN(D12287)</f>
        <v>-0.270313778290689</v>
      </c>
    </row>
    <row r="12288" customFormat="false" ht="15.75" hidden="false" customHeight="false" outlineLevel="0" collapsed="false">
      <c r="A12288" s="1" t="s">
        <v>1510</v>
      </c>
      <c r="B12288" s="1" t="n">
        <v>140.72</v>
      </c>
      <c r="C12288" s="1" t="n">
        <f aca="false">1/B12288</f>
        <v>0.00710631040363843</v>
      </c>
      <c r="D12288" s="1" t="n">
        <v>0.74699</v>
      </c>
      <c r="E12288" s="1" t="n">
        <f aca="false">LN(D12288)</f>
        <v>-0.291703480819781</v>
      </c>
    </row>
    <row r="12289" customFormat="false" ht="15.75" hidden="false" customHeight="false" outlineLevel="0" collapsed="false">
      <c r="A12289" s="1" t="s">
        <v>1510</v>
      </c>
      <c r="B12289" s="1" t="n">
        <v>141.53</v>
      </c>
      <c r="C12289" s="1" t="n">
        <f aca="false">1/B12289</f>
        <v>0.00706563979368332</v>
      </c>
      <c r="D12289" s="1" t="n">
        <v>0.73143</v>
      </c>
      <c r="E12289" s="1" t="n">
        <f aca="false">LN(D12289)</f>
        <v>-0.312753756880804</v>
      </c>
    </row>
    <row r="12290" customFormat="false" ht="15.75" hidden="false" customHeight="false" outlineLevel="0" collapsed="false">
      <c r="A12290" s="1" t="s">
        <v>1510</v>
      </c>
      <c r="B12290" s="1" t="n">
        <v>142.34</v>
      </c>
      <c r="C12290" s="1" t="n">
        <f aca="false">1/B12290</f>
        <v>0.00702543206407194</v>
      </c>
      <c r="D12290" s="1" t="n">
        <v>0.71641</v>
      </c>
      <c r="E12290" s="1" t="n">
        <f aca="false">LN(D12290)</f>
        <v>-0.333502650210701</v>
      </c>
    </row>
    <row r="12291" customFormat="false" ht="15.75" hidden="false" customHeight="false" outlineLevel="0" collapsed="false">
      <c r="A12291" s="1" t="s">
        <v>1510</v>
      </c>
      <c r="B12291" s="1" t="n">
        <v>143.15</v>
      </c>
      <c r="C12291" s="1" t="n">
        <f aca="false">1/B12291</f>
        <v>0.0069856793573175</v>
      </c>
      <c r="D12291" s="1" t="n">
        <v>0.70192</v>
      </c>
      <c r="E12291" s="1" t="n">
        <f aca="false">LN(D12291)</f>
        <v>-0.353935841564233</v>
      </c>
    </row>
    <row r="12292" customFormat="false" ht="15.75" hidden="false" customHeight="false" outlineLevel="0" collapsed="false">
      <c r="A12292" s="1" t="s">
        <v>1510</v>
      </c>
      <c r="B12292" s="1" t="n">
        <v>143.96</v>
      </c>
      <c r="C12292" s="1" t="n">
        <f aca="false">1/B12292</f>
        <v>0.00694637399277577</v>
      </c>
      <c r="D12292" s="1" t="n">
        <v>0.68793</v>
      </c>
      <c r="E12292" s="1" t="n">
        <f aca="false">LN(D12292)</f>
        <v>-0.374068190411131</v>
      </c>
    </row>
    <row r="12293" customFormat="false" ht="15.75" hidden="false" customHeight="false" outlineLevel="0" collapsed="false">
      <c r="A12293" s="1" t="s">
        <v>1510</v>
      </c>
      <c r="B12293" s="1" t="n">
        <v>144.78</v>
      </c>
      <c r="C12293" s="1" t="n">
        <f aca="false">1/B12293</f>
        <v>0.00690703135792236</v>
      </c>
      <c r="D12293" s="1" t="n">
        <v>0.67441</v>
      </c>
      <c r="E12293" s="1" t="n">
        <f aca="false">LN(D12293)</f>
        <v>-0.39391704440917</v>
      </c>
    </row>
    <row r="12294" customFormat="false" ht="15.75" hidden="false" customHeight="false" outlineLevel="0" collapsed="false">
      <c r="A12294" s="1" t="s">
        <v>1510</v>
      </c>
      <c r="B12294" s="1" t="n">
        <v>145.59</v>
      </c>
      <c r="C12294" s="1" t="n">
        <f aca="false">1/B12294</f>
        <v>0.0068686036128855</v>
      </c>
      <c r="D12294" s="1" t="n">
        <v>0.66135</v>
      </c>
      <c r="E12294" s="1" t="n">
        <f aca="false">LN(D12294)</f>
        <v>-0.413472078510081</v>
      </c>
    </row>
    <row r="12295" customFormat="false" ht="15.75" hidden="false" customHeight="false" outlineLevel="0" collapsed="false">
      <c r="A12295" s="1" t="s">
        <v>1510</v>
      </c>
      <c r="B12295" s="1" t="n">
        <v>146.4</v>
      </c>
      <c r="C12295" s="1" t="n">
        <f aca="false">1/B12295</f>
        <v>0.00683060109289618</v>
      </c>
      <c r="D12295" s="1" t="n">
        <v>0.64872</v>
      </c>
      <c r="E12295" s="1" t="n">
        <f aca="false">LN(D12295)</f>
        <v>-0.432754088345835</v>
      </c>
    </row>
    <row r="12296" customFormat="false" ht="15.75" hidden="false" customHeight="false" outlineLevel="0" collapsed="false">
      <c r="A12296" s="1" t="s">
        <v>1510</v>
      </c>
      <c r="B12296" s="1" t="n">
        <v>147.21</v>
      </c>
      <c r="C12296" s="1" t="n">
        <f aca="false">1/B12296</f>
        <v>0.00679301677875144</v>
      </c>
      <c r="D12296" s="1" t="n">
        <v>0.6365</v>
      </c>
      <c r="E12296" s="1" t="n">
        <f aca="false">LN(D12296)</f>
        <v>-0.451770860984676</v>
      </c>
    </row>
    <row r="12297" customFormat="false" ht="15.75" hidden="false" customHeight="false" outlineLevel="0" collapsed="false">
      <c r="A12297" s="1" t="s">
        <v>1510</v>
      </c>
      <c r="B12297" s="1" t="n">
        <v>148.02</v>
      </c>
      <c r="C12297" s="1" t="n">
        <f aca="false">1/B12297</f>
        <v>0.00675584380489123</v>
      </c>
      <c r="D12297" s="1" t="n">
        <v>0.62468</v>
      </c>
      <c r="E12297" s="1" t="n">
        <f aca="false">LN(D12297)</f>
        <v>-0.470515760362492</v>
      </c>
    </row>
    <row r="12298" customFormat="false" ht="15.75" hidden="false" customHeight="false" outlineLevel="0" collapsed="false">
      <c r="A12298" s="1" t="s">
        <v>1510</v>
      </c>
      <c r="B12298" s="1" t="n">
        <v>148.83</v>
      </c>
      <c r="C12298" s="1" t="n">
        <f aca="false">1/B12298</f>
        <v>0.00671907545521736</v>
      </c>
      <c r="D12298" s="1" t="n">
        <v>0.61323</v>
      </c>
      <c r="E12298" s="1" t="n">
        <f aca="false">LN(D12298)</f>
        <v>-0.489015209502141</v>
      </c>
    </row>
    <row r="12299" customFormat="false" ht="15.75" hidden="false" customHeight="false" outlineLevel="0" collapsed="false">
      <c r="A12299" s="1" t="s">
        <v>1510</v>
      </c>
      <c r="B12299" s="1" t="n">
        <v>149.65</v>
      </c>
      <c r="C12299" s="1" t="n">
        <f aca="false">1/B12299</f>
        <v>0.00668225860340795</v>
      </c>
      <c r="D12299" s="1" t="n">
        <v>0.60214</v>
      </c>
      <c r="E12299" s="1" t="n">
        <f aca="false">LN(D12299)</f>
        <v>-0.507265302571233</v>
      </c>
    </row>
    <row r="12300" customFormat="false" ht="15.75" hidden="false" customHeight="false" outlineLevel="0" collapsed="false">
      <c r="A12300" s="1" t="s">
        <v>1510</v>
      </c>
      <c r="B12300" s="1" t="n">
        <v>150.46</v>
      </c>
      <c r="C12300" s="1" t="n">
        <f aca="false">1/B12300</f>
        <v>0.0066462847268377</v>
      </c>
      <c r="D12300" s="1" t="n">
        <v>0.59139</v>
      </c>
      <c r="E12300" s="1" t="n">
        <f aca="false">LN(D12300)</f>
        <v>-0.525279580736141</v>
      </c>
    </row>
    <row r="12301" customFormat="false" ht="15.75" hidden="false" customHeight="false" outlineLevel="0" collapsed="false">
      <c r="A12301" s="1" t="s">
        <v>1510</v>
      </c>
      <c r="B12301" s="1" t="n">
        <v>151.27</v>
      </c>
      <c r="C12301" s="1" t="n">
        <f aca="false">1/B12301</f>
        <v>0.00661069610629999</v>
      </c>
      <c r="D12301" s="1" t="n">
        <v>0.58097</v>
      </c>
      <c r="E12301" s="1" t="n">
        <f aca="false">LN(D12301)</f>
        <v>-0.54305615857524</v>
      </c>
    </row>
    <row r="12302" customFormat="false" ht="15.75" hidden="false" customHeight="false" outlineLevel="0" collapsed="false">
      <c r="A12302" s="1" t="s">
        <v>1510</v>
      </c>
      <c r="B12302" s="1" t="n">
        <v>152.08</v>
      </c>
      <c r="C12302" s="1" t="n">
        <f aca="false">1/B12302</f>
        <v>0.00657548658600736</v>
      </c>
      <c r="D12302" s="1" t="n">
        <v>0.57087</v>
      </c>
      <c r="E12302" s="1" t="n">
        <f aca="false">LN(D12302)</f>
        <v>-0.560593766000112</v>
      </c>
    </row>
    <row r="12303" customFormat="false" ht="15.75" hidden="false" customHeight="false" outlineLevel="0" collapsed="false">
      <c r="A12303" s="1" t="s">
        <v>1510</v>
      </c>
      <c r="B12303" s="1" t="n">
        <v>152.89</v>
      </c>
      <c r="C12303" s="1" t="n">
        <f aca="false">1/B12303</f>
        <v>0.00654065014062398</v>
      </c>
      <c r="D12303" s="1" t="n">
        <v>0.56106</v>
      </c>
      <c r="E12303" s="1" t="n">
        <f aca="false">LN(D12303)</f>
        <v>-0.577927427306727</v>
      </c>
    </row>
    <row r="12304" customFormat="false" ht="15.75" hidden="false" customHeight="false" outlineLevel="0" collapsed="false">
      <c r="A12304" s="1" t="s">
        <v>1510</v>
      </c>
      <c r="B12304" s="1" t="n">
        <v>153.7</v>
      </c>
      <c r="C12304" s="1" t="n">
        <f aca="false">1/B12304</f>
        <v>0.00650618087182824</v>
      </c>
      <c r="D12304" s="1" t="n">
        <v>0.55155</v>
      </c>
      <c r="E12304" s="1" t="n">
        <f aca="false">LN(D12304)</f>
        <v>-0.595022782566746</v>
      </c>
    </row>
    <row r="12305" customFormat="false" ht="15.75" hidden="false" customHeight="false" outlineLevel="0" collapsed="false">
      <c r="A12305" s="1" t="s">
        <v>1510</v>
      </c>
      <c r="B12305" s="1" t="n">
        <v>154.52</v>
      </c>
      <c r="C12305" s="1" t="n">
        <f aca="false">1/B12305</f>
        <v>0.00647165415480197</v>
      </c>
      <c r="D12305" s="1" t="n">
        <v>0.5423</v>
      </c>
      <c r="E12305" s="1" t="n">
        <f aca="false">LN(D12305)</f>
        <v>-0.611935925135122</v>
      </c>
    </row>
    <row r="12306" customFormat="false" ht="15.75" hidden="false" customHeight="false" outlineLevel="0" collapsed="false">
      <c r="A12306" s="1" t="s">
        <v>1510</v>
      </c>
      <c r="B12306" s="1" t="n">
        <v>155.33</v>
      </c>
      <c r="C12306" s="1" t="n">
        <f aca="false">1/B12306</f>
        <v>0.00643790639284105</v>
      </c>
      <c r="D12306" s="1" t="n">
        <v>0.53333</v>
      </c>
      <c r="E12306" s="1" t="n">
        <f aca="false">LN(D12306)</f>
        <v>-0.628614909441906</v>
      </c>
    </row>
    <row r="12307" customFormat="false" ht="15.75" hidden="false" customHeight="false" outlineLevel="0" collapsed="false">
      <c r="A12307" s="1" t="s">
        <v>1510</v>
      </c>
      <c r="B12307" s="1" t="n">
        <v>156.14</v>
      </c>
      <c r="C12307" s="1" t="n">
        <f aca="false">1/B12307</f>
        <v>0.00640450877417702</v>
      </c>
      <c r="D12307" s="1" t="n">
        <v>0.5246</v>
      </c>
      <c r="E12307" s="1" t="n">
        <f aca="false">LN(D12307)</f>
        <v>-0.645119211549364</v>
      </c>
    </row>
    <row r="12308" customFormat="false" ht="15.75" hidden="false" customHeight="false" outlineLevel="0" collapsed="false">
      <c r="A12308" s="1" t="s">
        <v>1510</v>
      </c>
      <c r="B12308" s="1" t="n">
        <v>156.95</v>
      </c>
      <c r="C12308" s="1" t="n">
        <f aca="false">1/B12308</f>
        <v>0.00637145587766805</v>
      </c>
      <c r="D12308" s="1" t="n">
        <v>0.51612</v>
      </c>
      <c r="E12308" s="1" t="n">
        <f aca="false">LN(D12308)</f>
        <v>-0.661415982398492</v>
      </c>
    </row>
    <row r="12309" customFormat="false" ht="15.75" hidden="false" customHeight="false" outlineLevel="0" collapsed="false">
      <c r="A12309" s="1" t="s">
        <v>1510</v>
      </c>
      <c r="B12309" s="1" t="n">
        <v>157.76</v>
      </c>
      <c r="C12309" s="1" t="n">
        <f aca="false">1/B12309</f>
        <v>0.00633874239350913</v>
      </c>
      <c r="D12309" s="1" t="n">
        <v>0.50787</v>
      </c>
      <c r="E12309" s="1" t="n">
        <f aca="false">LN(D12309)</f>
        <v>-0.677529769664869</v>
      </c>
    </row>
    <row r="12310" customFormat="false" ht="15.75" hidden="false" customHeight="false" outlineLevel="0" collapsed="false">
      <c r="A12310" s="1" t="s">
        <v>1510</v>
      </c>
      <c r="B12310" s="1" t="n">
        <v>158.57</v>
      </c>
      <c r="C12310" s="1" t="n">
        <f aca="false">1/B12310</f>
        <v>0.00630636312038847</v>
      </c>
      <c r="D12310" s="1" t="n">
        <v>0.49985</v>
      </c>
      <c r="E12310" s="1" t="n">
        <f aca="false">LN(D12310)</f>
        <v>-0.693447225568947</v>
      </c>
    </row>
    <row r="12311" customFormat="false" ht="15.75" hidden="false" customHeight="false" outlineLevel="0" collapsed="false">
      <c r="A12311" s="1" t="s">
        <v>1510</v>
      </c>
      <c r="B12311" s="1" t="n">
        <v>159.39</v>
      </c>
      <c r="C12311" s="1" t="n">
        <f aca="false">1/B12311</f>
        <v>0.00627391931739758</v>
      </c>
      <c r="D12311" s="1" t="n">
        <v>0.49204</v>
      </c>
      <c r="E12311" s="1" t="n">
        <f aca="false">LN(D12311)</f>
        <v>-0.709195264981553</v>
      </c>
    </row>
    <row r="12312" customFormat="false" ht="15.75" hidden="false" customHeight="false" outlineLevel="0" collapsed="false">
      <c r="A12312" s="1" t="s">
        <v>1510</v>
      </c>
      <c r="B12312" s="1" t="n">
        <v>160.2</v>
      </c>
      <c r="C12312" s="1" t="n">
        <f aca="false">1/B12312</f>
        <v>0.00624219725343321</v>
      </c>
      <c r="D12312" s="1" t="n">
        <v>0.48443</v>
      </c>
      <c r="E12312" s="1" t="n">
        <f aca="false">LN(D12312)</f>
        <v>-0.724782336933559</v>
      </c>
    </row>
    <row r="12313" customFormat="false" ht="15.75" hidden="false" customHeight="false" outlineLevel="0" collapsed="false">
      <c r="A12313" s="1" t="s">
        <v>1510</v>
      </c>
      <c r="B12313" s="1" t="n">
        <v>161.01</v>
      </c>
      <c r="C12313" s="1" t="n">
        <f aca="false">1/B12313</f>
        <v>0.00621079436059872</v>
      </c>
      <c r="D12313" s="1" t="n">
        <v>0.47703</v>
      </c>
      <c r="E12313" s="1" t="n">
        <f aca="false">LN(D12313)</f>
        <v>-0.740175896989722</v>
      </c>
    </row>
    <row r="12314" customFormat="false" ht="15.75" hidden="false" customHeight="false" outlineLevel="0" collapsed="false">
      <c r="A12314" s="1" t="s">
        <v>1510</v>
      </c>
      <c r="B12314" s="1" t="n">
        <v>161.82</v>
      </c>
      <c r="C12314" s="1" t="n">
        <f aca="false">1/B12314</f>
        <v>0.00617970584600173</v>
      </c>
      <c r="D12314" s="1" t="n">
        <v>0.46982</v>
      </c>
      <c r="E12314" s="1" t="n">
        <f aca="false">LN(D12314)</f>
        <v>-0.755405636356518</v>
      </c>
    </row>
    <row r="12315" customFormat="false" ht="15.75" hidden="false" customHeight="false" outlineLevel="0" collapsed="false">
      <c r="A12315" s="1" t="s">
        <v>1510</v>
      </c>
      <c r="B12315" s="1" t="n">
        <v>162.63</v>
      </c>
      <c r="C12315" s="1" t="n">
        <f aca="false">1/B12315</f>
        <v>0.00614892701223636</v>
      </c>
      <c r="D12315" s="1" t="n">
        <v>0.46279</v>
      </c>
      <c r="E12315" s="1" t="n">
        <f aca="false">LN(D12315)</f>
        <v>-0.770481891501941</v>
      </c>
    </row>
    <row r="12316" customFormat="false" ht="15.75" hidden="false" customHeight="false" outlineLevel="0" collapsed="false">
      <c r="A12316" s="1" t="s">
        <v>1510</v>
      </c>
      <c r="B12316" s="1" t="n">
        <v>163.45</v>
      </c>
      <c r="C12316" s="1" t="n">
        <f aca="false">1/B12316</f>
        <v>0.00611807892321811</v>
      </c>
      <c r="D12316" s="1" t="n">
        <v>0.45593</v>
      </c>
      <c r="E12316" s="1" t="n">
        <f aca="false">LN(D12316)</f>
        <v>-0.785415990023358</v>
      </c>
    </row>
    <row r="12317" customFormat="false" ht="15.75" hidden="false" customHeight="false" outlineLevel="0" collapsed="false">
      <c r="A12317" s="1" t="s">
        <v>1510</v>
      </c>
      <c r="B12317" s="1" t="n">
        <v>164.26</v>
      </c>
      <c r="C12317" s="1" t="n">
        <f aca="false">1/B12317</f>
        <v>0.00608790941190795</v>
      </c>
      <c r="D12317" s="1" t="n">
        <v>0.44925</v>
      </c>
      <c r="E12317" s="1" t="n">
        <f aca="false">LN(D12317)</f>
        <v>-0.800175753318469</v>
      </c>
    </row>
    <row r="12318" customFormat="false" ht="15.75" hidden="false" customHeight="false" outlineLevel="0" collapsed="false">
      <c r="A12318" s="1" t="s">
        <v>1510</v>
      </c>
      <c r="B12318" s="1" t="n">
        <v>165.07</v>
      </c>
      <c r="C12318" s="1" t="n">
        <f aca="false">1/B12318</f>
        <v>0.00605803598473375</v>
      </c>
      <c r="D12318" s="1" t="n">
        <v>0.44274</v>
      </c>
      <c r="E12318" s="1" t="n">
        <f aca="false">LN(D12318)</f>
        <v>-0.814772588683807</v>
      </c>
    </row>
    <row r="12319" customFormat="false" ht="15.75" hidden="false" customHeight="false" outlineLevel="0" collapsed="false">
      <c r="A12319" s="1" t="s">
        <v>1510</v>
      </c>
      <c r="B12319" s="1" t="n">
        <v>165.88</v>
      </c>
      <c r="C12319" s="1" t="n">
        <f aca="false">1/B12319</f>
        <v>0.00602845430431637</v>
      </c>
      <c r="D12319" s="1" t="n">
        <v>0.43638</v>
      </c>
      <c r="E12319" s="1" t="n">
        <f aca="false">LN(D12319)</f>
        <v>-0.829241855587633</v>
      </c>
    </row>
    <row r="12320" customFormat="false" ht="15.75" hidden="false" customHeight="false" outlineLevel="0" collapsed="false">
      <c r="A12320" s="1" t="s">
        <v>1510</v>
      </c>
      <c r="B12320" s="1" t="n">
        <v>166.69</v>
      </c>
      <c r="C12320" s="1" t="n">
        <f aca="false">1/B12320</f>
        <v>0.00599916011758354</v>
      </c>
      <c r="D12320" s="1" t="n">
        <v>0.43017</v>
      </c>
      <c r="E12320" s="1" t="n">
        <f aca="false">LN(D12320)</f>
        <v>-0.84357479958708</v>
      </c>
    </row>
    <row r="12321" customFormat="false" ht="15.75" hidden="false" customHeight="false" outlineLevel="0" collapsed="false">
      <c r="A12321" s="1" t="s">
        <v>1510</v>
      </c>
      <c r="B12321" s="1" t="n">
        <v>167.5</v>
      </c>
      <c r="C12321" s="1" t="n">
        <f aca="false">1/B12321</f>
        <v>0.00597014925373134</v>
      </c>
      <c r="D12321" s="1" t="n">
        <v>0.42411</v>
      </c>
      <c r="E12321" s="1" t="n">
        <f aca="false">LN(D12321)</f>
        <v>-0.857762423435086</v>
      </c>
    </row>
    <row r="12322" customFormat="false" ht="15.75" hidden="false" customHeight="false" outlineLevel="0" collapsed="false">
      <c r="A12322" s="1" t="s">
        <v>1510</v>
      </c>
      <c r="B12322" s="1" t="n">
        <v>168.32</v>
      </c>
      <c r="C12322" s="1" t="n">
        <f aca="false">1/B12322</f>
        <v>0.00594106463878327</v>
      </c>
      <c r="D12322" s="1" t="n">
        <v>0.4182</v>
      </c>
      <c r="E12322" s="1" t="n">
        <f aca="false">LN(D12322)</f>
        <v>-0.871795491987604</v>
      </c>
    </row>
    <row r="12323" customFormat="false" ht="15.75" hidden="false" customHeight="false" outlineLevel="0" collapsed="false">
      <c r="A12323" s="1" t="s">
        <v>1510</v>
      </c>
      <c r="B12323" s="1" t="n">
        <v>169.13</v>
      </c>
      <c r="C12323" s="1" t="n">
        <f aca="false">1/B12323</f>
        <v>0.00591261160054396</v>
      </c>
      <c r="D12323" s="1" t="n">
        <v>0.41242</v>
      </c>
      <c r="E12323" s="1" t="n">
        <f aca="false">LN(D12323)</f>
        <v>-0.885713031410017</v>
      </c>
    </row>
    <row r="12324" customFormat="false" ht="15.75" hidden="false" customHeight="false" outlineLevel="0" collapsed="false">
      <c r="A12324" s="1" t="s">
        <v>1510</v>
      </c>
      <c r="B12324" s="1" t="n">
        <v>169.94</v>
      </c>
      <c r="C12324" s="1" t="n">
        <f aca="false">1/B12324</f>
        <v>0.0058844297987525</v>
      </c>
      <c r="D12324" s="1" t="n">
        <v>0.40677</v>
      </c>
      <c r="E12324" s="1" t="n">
        <f aca="false">LN(D12324)</f>
        <v>-0.899507363839809</v>
      </c>
    </row>
    <row r="12325" customFormat="false" ht="15.75" hidden="false" customHeight="false" outlineLevel="0" collapsed="false">
      <c r="A12325" s="1" t="s">
        <v>1510</v>
      </c>
      <c r="B12325" s="1" t="n">
        <v>170.75</v>
      </c>
      <c r="C12325" s="1" t="n">
        <f aca="false">1/B12325</f>
        <v>0.00585651537335286</v>
      </c>
      <c r="D12325" s="1" t="n">
        <v>0.40125</v>
      </c>
      <c r="E12325" s="1" t="n">
        <f aca="false">LN(D12325)</f>
        <v>-0.913170604537911</v>
      </c>
    </row>
    <row r="12326" customFormat="false" ht="15.75" hidden="false" customHeight="false" outlineLevel="0" collapsed="false">
      <c r="A12326" s="1" t="s">
        <v>1510</v>
      </c>
      <c r="B12326" s="1" t="n">
        <v>171.56</v>
      </c>
      <c r="C12326" s="1" t="n">
        <f aca="false">1/B12326</f>
        <v>0.00582886453718816</v>
      </c>
      <c r="D12326" s="1" t="n">
        <v>0.39586</v>
      </c>
      <c r="E12326" s="1" t="n">
        <f aca="false">LN(D12326)</f>
        <v>-0.926694665589548</v>
      </c>
    </row>
    <row r="12327" customFormat="false" ht="15.75" hidden="false" customHeight="false" outlineLevel="0" collapsed="false">
      <c r="A12327" s="1" t="s">
        <v>1510</v>
      </c>
      <c r="B12327" s="1" t="n">
        <v>172.37</v>
      </c>
      <c r="C12327" s="1" t="n">
        <f aca="false">1/B12327</f>
        <v>0.00580147357428787</v>
      </c>
      <c r="D12327" s="1" t="n">
        <v>0.39058</v>
      </c>
      <c r="E12327" s="1" t="n">
        <f aca="false">LN(D12327)</f>
        <v>-0.940122465127501</v>
      </c>
    </row>
    <row r="12328" customFormat="false" ht="15.75" hidden="false" customHeight="false" outlineLevel="0" collapsed="false">
      <c r="A12328" s="1" t="s">
        <v>1510</v>
      </c>
      <c r="B12328" s="1" t="n">
        <v>173.19</v>
      </c>
      <c r="C12328" s="1" t="n">
        <f aca="false">1/B12328</f>
        <v>0.0057740054275651</v>
      </c>
      <c r="D12328" s="1" t="n">
        <v>0.38542</v>
      </c>
      <c r="E12328" s="1" t="n">
        <f aca="false">LN(D12328)</f>
        <v>-0.953421630212362</v>
      </c>
    </row>
    <row r="12329" customFormat="false" ht="15.75" hidden="false" customHeight="false" outlineLevel="0" collapsed="false">
      <c r="A12329" s="1" t="s">
        <v>1510</v>
      </c>
      <c r="B12329" s="1" t="n">
        <v>174</v>
      </c>
      <c r="C12329" s="1" t="n">
        <f aca="false">1/B12329</f>
        <v>0.00574712643678161</v>
      </c>
      <c r="D12329" s="1" t="n">
        <v>0.38038</v>
      </c>
      <c r="E12329" s="1" t="n">
        <f aca="false">LN(D12329)</f>
        <v>-0.966584525928622</v>
      </c>
    </row>
    <row r="12330" customFormat="false" ht="15.75" hidden="false" customHeight="false" outlineLevel="0" collapsed="false">
      <c r="A12330" s="1" t="s">
        <v>1510</v>
      </c>
      <c r="B12330" s="1" t="n">
        <v>174.81</v>
      </c>
      <c r="C12330" s="1" t="n">
        <f aca="false">1/B12330</f>
        <v>0.00572049653909959</v>
      </c>
      <c r="D12330" s="1" t="n">
        <v>0.37544</v>
      </c>
      <c r="E12330" s="1" t="n">
        <f aca="false">LN(D12330)</f>
        <v>-0.979656607495975</v>
      </c>
    </row>
    <row r="12331" customFormat="false" ht="15.75" hidden="false" customHeight="false" outlineLevel="0" collapsed="false">
      <c r="A12331" s="1" t="s">
        <v>1510</v>
      </c>
      <c r="B12331" s="1" t="n">
        <v>175.62</v>
      </c>
      <c r="C12331" s="1" t="n">
        <f aca="false">1/B12331</f>
        <v>0.00569411228789432</v>
      </c>
      <c r="D12331" s="1" t="n">
        <v>0.3706</v>
      </c>
      <c r="E12331" s="1" t="n">
        <f aca="false">LN(D12331)</f>
        <v>-0.992631965130878</v>
      </c>
    </row>
    <row r="12332" customFormat="false" ht="15.75" hidden="false" customHeight="false" outlineLevel="0" collapsed="false">
      <c r="A12332" s="1" t="s">
        <v>1510</v>
      </c>
      <c r="B12332" s="1" t="n">
        <v>176.43</v>
      </c>
      <c r="C12332" s="1" t="n">
        <f aca="false">1/B12332</f>
        <v>0.00566797029983563</v>
      </c>
      <c r="D12332" s="1" t="n">
        <v>0.36587</v>
      </c>
      <c r="E12332" s="1" t="n">
        <f aca="false">LN(D12332)</f>
        <v>-1.00547719993296</v>
      </c>
    </row>
    <row r="12333" customFormat="false" ht="15.75" hidden="false" customHeight="false" outlineLevel="0" collapsed="false">
      <c r="A12333" s="1" t="s">
        <v>1510</v>
      </c>
      <c r="B12333" s="1" t="n">
        <v>177.24</v>
      </c>
      <c r="C12333" s="1" t="n">
        <f aca="false">1/B12333</f>
        <v>0.00564206725344166</v>
      </c>
      <c r="D12333" s="1" t="n">
        <v>0.36124</v>
      </c>
      <c r="E12333" s="1" t="n">
        <f aca="false">LN(D12333)</f>
        <v>-1.01821272159954</v>
      </c>
    </row>
    <row r="12334" customFormat="false" ht="15.75" hidden="false" customHeight="false" outlineLevel="0" collapsed="false">
      <c r="A12334" s="1" t="s">
        <v>1510</v>
      </c>
      <c r="B12334" s="1" t="n">
        <v>178.06</v>
      </c>
      <c r="C12334" s="1" t="n">
        <f aca="false">1/B12334</f>
        <v>0.00561608446591037</v>
      </c>
      <c r="D12334" s="1" t="n">
        <v>0.3567</v>
      </c>
      <c r="E12334" s="1" t="n">
        <f aca="false">LN(D12334)</f>
        <v>-1.03086018661729</v>
      </c>
    </row>
    <row r="12335" customFormat="false" ht="15.75" hidden="false" customHeight="false" outlineLevel="0" collapsed="false">
      <c r="A12335" s="1" t="s">
        <v>1510</v>
      </c>
      <c r="B12335" s="1" t="n">
        <v>178.87</v>
      </c>
      <c r="C12335" s="1" t="n">
        <f aca="false">1/B12335</f>
        <v>0.00559065242913848</v>
      </c>
      <c r="D12335" s="1" t="n">
        <v>0.35225</v>
      </c>
      <c r="E12335" s="1" t="n">
        <f aca="false">LN(D12335)</f>
        <v>-1.04341412820335</v>
      </c>
    </row>
    <row r="12336" customFormat="false" ht="15.75" hidden="false" customHeight="false" outlineLevel="0" collapsed="false">
      <c r="A12336" s="1" t="s">
        <v>1510</v>
      </c>
      <c r="B12336" s="1" t="n">
        <v>179.68</v>
      </c>
      <c r="C12336" s="1" t="n">
        <f aca="false">1/B12336</f>
        <v>0.00556544968833482</v>
      </c>
      <c r="D12336" s="1" t="n">
        <v>0.34789</v>
      </c>
      <c r="E12336" s="1" t="n">
        <f aca="false">LN(D12336)</f>
        <v>-1.05586894112928</v>
      </c>
    </row>
    <row r="12337" customFormat="false" ht="15.75" hidden="false" customHeight="false" outlineLevel="0" collapsed="false">
      <c r="A12337" s="1" t="s">
        <v>1510</v>
      </c>
      <c r="B12337" s="1" t="n">
        <v>180.49</v>
      </c>
      <c r="C12337" s="1" t="n">
        <f aca="false">1/B12337</f>
        <v>0.00554047315640756</v>
      </c>
      <c r="D12337" s="1" t="n">
        <v>0.34363</v>
      </c>
      <c r="E12337" s="1" t="n">
        <f aca="false">LN(D12337)</f>
        <v>-1.06818978185686</v>
      </c>
    </row>
    <row r="12338" customFormat="false" ht="15.75" hidden="false" customHeight="false" outlineLevel="0" collapsed="false">
      <c r="A12338" s="1" t="s">
        <v>1510</v>
      </c>
      <c r="B12338" s="1" t="n">
        <v>181.3</v>
      </c>
      <c r="C12338" s="1" t="n">
        <f aca="false">1/B12338</f>
        <v>0.00551571980143409</v>
      </c>
      <c r="D12338" s="1" t="n">
        <v>0.33944</v>
      </c>
      <c r="E12338" s="1" t="n">
        <f aca="false">LN(D12338)</f>
        <v>-1.08045807808807</v>
      </c>
    </row>
    <row r="12339" customFormat="false" ht="15.75" hidden="false" customHeight="false" outlineLevel="0" collapsed="false">
      <c r="A12339" s="1" t="s">
        <v>1510</v>
      </c>
      <c r="B12339" s="1" t="n">
        <v>182.12</v>
      </c>
      <c r="C12339" s="1" t="n">
        <f aca="false">1/B12339</f>
        <v>0.00549088513068307</v>
      </c>
      <c r="D12339" s="1" t="n">
        <v>0.33534</v>
      </c>
      <c r="E12339" s="1" t="n">
        <f aca="false">LN(D12339)</f>
        <v>-1.09261033647248</v>
      </c>
    </row>
    <row r="12340" customFormat="false" ht="15.75" hidden="false" customHeight="false" outlineLevel="0" collapsed="false">
      <c r="A12340" s="1" t="s">
        <v>1510</v>
      </c>
      <c r="B12340" s="1" t="n">
        <v>182.93</v>
      </c>
      <c r="C12340" s="1" t="n">
        <f aca="false">1/B12340</f>
        <v>0.00546657191275351</v>
      </c>
      <c r="D12340" s="1" t="n">
        <v>0.33131</v>
      </c>
      <c r="E12340" s="1" t="n">
        <f aca="false">LN(D12340)</f>
        <v>-1.10470078600867</v>
      </c>
    </row>
    <row r="12341" customFormat="false" ht="15.75" hidden="false" customHeight="false" outlineLevel="0" collapsed="false">
      <c r="A12341" s="1" t="s">
        <v>1510</v>
      </c>
      <c r="B12341" s="1" t="n">
        <v>183.74</v>
      </c>
      <c r="C12341" s="1" t="n">
        <f aca="false">1/B12341</f>
        <v>0.00544247305975835</v>
      </c>
      <c r="D12341" s="1" t="n">
        <v>0.32737</v>
      </c>
      <c r="E12341" s="1" t="n">
        <f aca="false">LN(D12341)</f>
        <v>-1.11666424927586</v>
      </c>
    </row>
    <row r="12342" customFormat="false" ht="15.75" hidden="false" customHeight="false" outlineLevel="0" collapsed="false">
      <c r="A12342" s="1" t="s">
        <v>1510</v>
      </c>
      <c r="B12342" s="1" t="n">
        <v>184.55</v>
      </c>
      <c r="C12342" s="1" t="n">
        <f aca="false">1/B12342</f>
        <v>0.00541858574911948</v>
      </c>
      <c r="D12342" s="1" t="n">
        <v>0.3235</v>
      </c>
      <c r="E12342" s="1" t="n">
        <f aca="false">LN(D12342)</f>
        <v>-1.12855616504118</v>
      </c>
    </row>
    <row r="12343" customFormat="false" ht="15.75" hidden="false" customHeight="false" outlineLevel="0" collapsed="false">
      <c r="A12343" s="1" t="s">
        <v>1510</v>
      </c>
      <c r="B12343" s="1" t="n">
        <v>185.36</v>
      </c>
      <c r="C12343" s="1" t="n">
        <f aca="false">1/B12343</f>
        <v>0.00539490720759603</v>
      </c>
      <c r="D12343" s="1" t="n">
        <v>0.3197</v>
      </c>
      <c r="E12343" s="1" t="n">
        <f aca="false">LN(D12343)</f>
        <v>-1.14037222291634</v>
      </c>
    </row>
    <row r="12344" customFormat="false" ht="15.75" hidden="false" customHeight="false" outlineLevel="0" collapsed="false">
      <c r="A12344" s="1" t="s">
        <v>1510</v>
      </c>
      <c r="B12344" s="1" t="n">
        <v>186.17</v>
      </c>
      <c r="C12344" s="1" t="n">
        <f aca="false">1/B12344</f>
        <v>0.0053714347102111</v>
      </c>
      <c r="D12344" s="1" t="n">
        <v>0.31597</v>
      </c>
      <c r="E12344" s="1" t="n">
        <f aca="false">LN(D12344)</f>
        <v>-1.15210800661086</v>
      </c>
    </row>
    <row r="12345" customFormat="false" ht="15.75" hidden="false" customHeight="false" outlineLevel="0" collapsed="false">
      <c r="A12345" s="1" t="s">
        <v>1510</v>
      </c>
      <c r="B12345" s="1" t="n">
        <v>186.99</v>
      </c>
      <c r="C12345" s="1" t="n">
        <f aca="false">1/B12345</f>
        <v>0.00534787956575218</v>
      </c>
      <c r="D12345" s="1" t="n">
        <v>0.31231</v>
      </c>
      <c r="E12345" s="1" t="n">
        <f aca="false">LN(D12345)</f>
        <v>-1.16375899471263</v>
      </c>
    </row>
    <row r="12346" customFormat="false" ht="15.75" hidden="false" customHeight="false" outlineLevel="0" collapsed="false">
      <c r="A12346" s="1" t="s">
        <v>1510</v>
      </c>
      <c r="B12346" s="1" t="n">
        <v>187.8</v>
      </c>
      <c r="C12346" s="1" t="n">
        <f aca="false">1/B12346</f>
        <v>0.0053248136315229</v>
      </c>
      <c r="D12346" s="1" t="n">
        <v>0.30872</v>
      </c>
      <c r="E12346" s="1" t="n">
        <f aca="false">LN(D12346)</f>
        <v>-1.17532056175277</v>
      </c>
    </row>
    <row r="12347" customFormat="false" ht="15.75" hidden="false" customHeight="false" outlineLevel="0" collapsed="false">
      <c r="A12347" s="1" t="s">
        <v>1510</v>
      </c>
      <c r="B12347" s="1" t="n">
        <v>188.61</v>
      </c>
      <c r="C12347" s="1" t="n">
        <f aca="false">1/B12347</f>
        <v>0.00530194581411378</v>
      </c>
      <c r="D12347" s="1" t="n">
        <v>0.3052</v>
      </c>
      <c r="E12347" s="1" t="n">
        <f aca="false">LN(D12347)</f>
        <v>-1.18678797957184</v>
      </c>
    </row>
    <row r="12348" customFormat="false" ht="15.75" hidden="false" customHeight="false" outlineLevel="0" collapsed="false">
      <c r="A12348" s="1" t="s">
        <v>1510</v>
      </c>
      <c r="B12348" s="1" t="n">
        <v>189.42</v>
      </c>
      <c r="C12348" s="1" t="n">
        <f aca="false">1/B12348</f>
        <v>0.0052792735719565</v>
      </c>
      <c r="D12348" s="1" t="n">
        <v>0.30174</v>
      </c>
      <c r="E12348" s="1" t="n">
        <f aca="false">LN(D12348)</f>
        <v>-1.19818955957021</v>
      </c>
    </row>
    <row r="12349" customFormat="false" ht="15.75" hidden="false" customHeight="false" outlineLevel="0" collapsed="false">
      <c r="A12349" s="1" t="s">
        <v>1510</v>
      </c>
      <c r="B12349" s="1" t="n">
        <v>190.23</v>
      </c>
      <c r="C12349" s="1" t="n">
        <f aca="false">1/B12349</f>
        <v>0.00525679440677075</v>
      </c>
      <c r="D12349" s="1" t="n">
        <v>0.29834</v>
      </c>
      <c r="E12349" s="1" t="n">
        <f aca="false">LN(D12349)</f>
        <v>-1.20952150325635</v>
      </c>
    </row>
    <row r="12350" customFormat="false" ht="15.75" hidden="false" customHeight="false" outlineLevel="0" collapsed="false">
      <c r="A12350" s="1" t="s">
        <v>1510</v>
      </c>
      <c r="B12350" s="1" t="n">
        <v>191.04</v>
      </c>
      <c r="C12350" s="1" t="n">
        <f aca="false">1/B12350</f>
        <v>0.00523450586264657</v>
      </c>
      <c r="D12350" s="1" t="n">
        <v>0.295</v>
      </c>
      <c r="E12350" s="1" t="n">
        <f aca="false">LN(D12350)</f>
        <v>-1.22077992264232</v>
      </c>
    </row>
    <row r="12351" customFormat="false" ht="15.75" hidden="false" customHeight="false" outlineLevel="0" collapsed="false">
      <c r="A12351" s="1" t="s">
        <v>1510</v>
      </c>
      <c r="B12351" s="1" t="n">
        <v>191.86</v>
      </c>
      <c r="C12351" s="1" t="n">
        <f aca="false">1/B12351</f>
        <v>0.00521213384759721</v>
      </c>
      <c r="D12351" s="1" t="n">
        <v>0.29171</v>
      </c>
      <c r="E12351" s="1" t="n">
        <f aca="false">LN(D12351)</f>
        <v>-1.2319951208997</v>
      </c>
    </row>
    <row r="12352" customFormat="false" ht="15.75" hidden="false" customHeight="false" outlineLevel="0" collapsed="false">
      <c r="A12352" s="1" t="s">
        <v>1510</v>
      </c>
      <c r="B12352" s="1" t="n">
        <v>192.67</v>
      </c>
      <c r="C12352" s="1" t="n">
        <f aca="false">1/B12352</f>
        <v>0.00519022162246328</v>
      </c>
      <c r="D12352" s="1" t="n">
        <v>0.28849</v>
      </c>
      <c r="E12352" s="1" t="n">
        <f aca="false">LN(D12352)</f>
        <v>-1.24309485567979</v>
      </c>
    </row>
    <row r="12353" customFormat="false" ht="15.75" hidden="false" customHeight="false" outlineLevel="0" collapsed="false">
      <c r="A12353" s="1" t="s">
        <v>1510</v>
      </c>
      <c r="B12353" s="1" t="n">
        <v>193.48</v>
      </c>
      <c r="C12353" s="1" t="n">
        <f aca="false">1/B12353</f>
        <v>0.00516849286747984</v>
      </c>
      <c r="D12353" s="1" t="n">
        <v>0.28532</v>
      </c>
      <c r="E12353" s="1" t="n">
        <f aca="false">LN(D12353)</f>
        <v>-1.2541439215723</v>
      </c>
    </row>
    <row r="12354" customFormat="false" ht="15.75" hidden="false" customHeight="false" outlineLevel="0" collapsed="false">
      <c r="A12354" s="1" t="s">
        <v>1510</v>
      </c>
      <c r="B12354" s="1" t="n">
        <v>194.29</v>
      </c>
      <c r="C12354" s="1" t="n">
        <f aca="false">1/B12354</f>
        <v>0.00514694528797159</v>
      </c>
      <c r="D12354" s="1" t="n">
        <v>0.28221</v>
      </c>
      <c r="E12354" s="1" t="n">
        <f aca="false">LN(D12354)</f>
        <v>-1.26510380433017</v>
      </c>
    </row>
    <row r="12355" customFormat="false" ht="15.75" hidden="false" customHeight="false" outlineLevel="0" collapsed="false">
      <c r="A12355" s="1" t="s">
        <v>1510</v>
      </c>
      <c r="B12355" s="1" t="n">
        <v>195.1</v>
      </c>
      <c r="C12355" s="1" t="n">
        <f aca="false">1/B12355</f>
        <v>0.00512557662737058</v>
      </c>
      <c r="D12355" s="1" t="n">
        <v>0.27915</v>
      </c>
      <c r="E12355" s="1" t="n">
        <f aca="false">LN(D12355)</f>
        <v>-1.27600600722577</v>
      </c>
    </row>
    <row r="12356" customFormat="false" ht="15.75" hidden="false" customHeight="false" outlineLevel="0" collapsed="false">
      <c r="A12356" s="1" t="s">
        <v>1510</v>
      </c>
      <c r="B12356" s="1" t="n">
        <v>195.92</v>
      </c>
      <c r="C12356" s="1" t="n">
        <f aca="false">1/B12356</f>
        <v>0.0051041241322989</v>
      </c>
      <c r="D12356" s="1" t="n">
        <v>0.27614</v>
      </c>
      <c r="E12356" s="1" t="n">
        <f aca="false">LN(D12356)</f>
        <v>-1.28684729549413</v>
      </c>
    </row>
    <row r="12357" customFormat="false" ht="15.75" hidden="false" customHeight="false" outlineLevel="0" collapsed="false">
      <c r="A12357" s="1" t="s">
        <v>1510</v>
      </c>
      <c r="B12357" s="1" t="n">
        <v>196.73</v>
      </c>
      <c r="C12357" s="1" t="n">
        <f aca="false">1/B12357</f>
        <v>0.00508310882936004</v>
      </c>
      <c r="D12357" s="1" t="n">
        <v>0.27318</v>
      </c>
      <c r="E12357" s="1" t="n">
        <f aca="false">LN(D12357)</f>
        <v>-1.29762436040739</v>
      </c>
    </row>
    <row r="12358" customFormat="false" ht="15.75" hidden="false" customHeight="false" outlineLevel="0" collapsed="false">
      <c r="A12358" s="1" t="s">
        <v>1510</v>
      </c>
      <c r="B12358" s="1" t="n">
        <v>197.54</v>
      </c>
      <c r="C12358" s="1" t="n">
        <f aca="false">1/B12358</f>
        <v>0.0050622658702035</v>
      </c>
      <c r="D12358" s="1" t="n">
        <v>0.27027</v>
      </c>
      <c r="E12358" s="1" t="n">
        <f aca="false">LN(D12358)</f>
        <v>-1.30833381965068</v>
      </c>
    </row>
    <row r="12359" customFormat="false" ht="15.75" hidden="false" customHeight="false" outlineLevel="0" collapsed="false">
      <c r="A12359" s="1" t="s">
        <v>1510</v>
      </c>
      <c r="B12359" s="1" t="n">
        <v>198.35</v>
      </c>
      <c r="C12359" s="1" t="n">
        <f aca="false">1/B12359</f>
        <v>0.00504159314343332</v>
      </c>
      <c r="D12359" s="1" t="n">
        <v>0.2674</v>
      </c>
      <c r="E12359" s="1" t="n">
        <f aca="false">LN(D12359)</f>
        <v>-1.31900961431429</v>
      </c>
    </row>
    <row r="12360" customFormat="false" ht="15.75" hidden="false" customHeight="false" outlineLevel="0" collapsed="false">
      <c r="A12360" s="1" t="s">
        <v>1510</v>
      </c>
      <c r="B12360" s="1" t="n">
        <v>199.16</v>
      </c>
      <c r="C12360" s="1" t="n">
        <f aca="false">1/B12360</f>
        <v>0.00502108857200241</v>
      </c>
      <c r="D12360" s="1" t="n">
        <v>0.26459</v>
      </c>
      <c r="E12360" s="1" t="n">
        <f aca="false">LN(D12360)</f>
        <v>-1.32957382091039</v>
      </c>
    </row>
    <row r="12361" customFormat="false" ht="15.75" hidden="false" customHeight="false" outlineLevel="0" collapsed="false">
      <c r="A12361" s="1" t="s">
        <v>1510</v>
      </c>
      <c r="B12361" s="1" t="n">
        <v>199.97</v>
      </c>
      <c r="C12361" s="1" t="n">
        <f aca="false">1/B12361</f>
        <v>0.00500075011251688</v>
      </c>
      <c r="D12361" s="1" t="n">
        <v>0.26182</v>
      </c>
      <c r="E12361" s="1" t="n">
        <f aca="false">LN(D12361)</f>
        <v>-1.34009803423018</v>
      </c>
    </row>
    <row r="12362" customFormat="false" ht="15.75" hidden="false" customHeight="false" outlineLevel="0" collapsed="false">
      <c r="A12362" s="1" t="s">
        <v>1510</v>
      </c>
      <c r="B12362" s="1" t="n">
        <v>200.79</v>
      </c>
      <c r="C12362" s="1" t="n">
        <f aca="false">1/B12362</f>
        <v>0.00498032770556303</v>
      </c>
      <c r="D12362" s="1" t="n">
        <v>0.25909</v>
      </c>
      <c r="E12362" s="1" t="n">
        <f aca="false">LN(D12362)</f>
        <v>-1.3505797872959</v>
      </c>
    </row>
    <row r="12363" customFormat="false" ht="15.75" hidden="false" customHeight="false" outlineLevel="0" collapsed="false">
      <c r="A12363" s="1" t="s">
        <v>1510</v>
      </c>
      <c r="B12363" s="1" t="n">
        <v>201.6</v>
      </c>
      <c r="C12363" s="1" t="n">
        <f aca="false">1/B12363</f>
        <v>0.00496031746031746</v>
      </c>
      <c r="D12363" s="1" t="n">
        <v>0.25641</v>
      </c>
      <c r="E12363" s="1" t="n">
        <f aca="false">LN(D12363)</f>
        <v>-1.3609775531361</v>
      </c>
    </row>
    <row r="12364" customFormat="false" ht="15.75" hidden="false" customHeight="false" outlineLevel="0" collapsed="false">
      <c r="A12364" s="1" t="s">
        <v>1510</v>
      </c>
      <c r="B12364" s="1" t="n">
        <v>202.41</v>
      </c>
      <c r="C12364" s="1" t="n">
        <f aca="false">1/B12364</f>
        <v>0.00494046736821303</v>
      </c>
      <c r="D12364" s="1" t="n">
        <v>0.25377</v>
      </c>
      <c r="E12364" s="1" t="n">
        <f aca="false">LN(D12364)</f>
        <v>-1.3713269339981</v>
      </c>
    </row>
    <row r="12365" customFormat="false" ht="15.75" hidden="false" customHeight="false" outlineLevel="0" collapsed="false">
      <c r="A12365" s="1" t="s">
        <v>1510</v>
      </c>
      <c r="B12365" s="1" t="n">
        <v>203.22</v>
      </c>
      <c r="C12365" s="1" t="n">
        <f aca="false">1/B12365</f>
        <v>0.00492077551422104</v>
      </c>
      <c r="D12365" s="1" t="n">
        <v>0.25117</v>
      </c>
      <c r="E12365" s="1" t="n">
        <f aca="false">LN(D12365)</f>
        <v>-1.38162527827163</v>
      </c>
    </row>
    <row r="12366" customFormat="false" ht="15.75" hidden="false" customHeight="false" outlineLevel="0" collapsed="false">
      <c r="A12366" s="1" t="s">
        <v>1510</v>
      </c>
      <c r="B12366" s="1" t="n">
        <v>204.03</v>
      </c>
      <c r="C12366" s="1" t="n">
        <f aca="false">1/B12366</f>
        <v>0.00490124001372347</v>
      </c>
      <c r="D12366" s="1" t="n">
        <v>0.24861</v>
      </c>
      <c r="E12366" s="1" t="n">
        <f aca="false">LN(D12366)</f>
        <v>-1.39186987545308</v>
      </c>
    </row>
    <row r="12367" customFormat="false" ht="15.75" hidden="false" customHeight="false" outlineLevel="0" collapsed="false">
      <c r="A12367" s="1" t="s">
        <v>1510</v>
      </c>
      <c r="B12367" s="1" t="n">
        <v>204.84</v>
      </c>
      <c r="C12367" s="1" t="n">
        <f aca="false">1/B12367</f>
        <v>0.00488185901191174</v>
      </c>
      <c r="D12367" s="1" t="n">
        <v>0.24609</v>
      </c>
      <c r="E12367" s="1" t="n">
        <f aca="false">LN(D12367)</f>
        <v>-1.40205795629937</v>
      </c>
    </row>
    <row r="12368" customFormat="false" ht="15.75" hidden="false" customHeight="false" outlineLevel="0" collapsed="false">
      <c r="A12368" s="1" t="s">
        <v>1510</v>
      </c>
      <c r="B12368" s="1" t="n">
        <v>205.66</v>
      </c>
      <c r="C12368" s="1" t="n">
        <f aca="false">1/B12368</f>
        <v>0.00486239424292522</v>
      </c>
      <c r="D12368" s="1" t="n">
        <v>0.24362</v>
      </c>
      <c r="E12368" s="1" t="n">
        <f aca="false">LN(D12368)</f>
        <v>-1.41214564471032</v>
      </c>
    </row>
    <row r="12369" customFormat="false" ht="15.75" hidden="false" customHeight="false" outlineLevel="0" collapsed="false">
      <c r="A12369" s="1" t="s">
        <v>1510</v>
      </c>
      <c r="B12369" s="1" t="n">
        <v>206.47</v>
      </c>
      <c r="C12369" s="1" t="n">
        <f aca="false">1/B12369</f>
        <v>0.00484331864193345</v>
      </c>
      <c r="D12369" s="1" t="n">
        <v>0.24117</v>
      </c>
      <c r="E12369" s="1" t="n">
        <f aca="false">LN(D12369)</f>
        <v>-1.42225319997416</v>
      </c>
    </row>
    <row r="12370" customFormat="false" ht="15.75" hidden="false" customHeight="false" outlineLevel="0" collapsed="false">
      <c r="A12370" s="1" t="s">
        <v>1510</v>
      </c>
      <c r="B12370" s="1" t="n">
        <v>207.28</v>
      </c>
      <c r="C12370" s="1" t="n">
        <f aca="false">1/B12370</f>
        <v>0.00482439212659205</v>
      </c>
      <c r="D12370" s="1" t="n">
        <v>0.23877</v>
      </c>
      <c r="E12370" s="1" t="n">
        <f aca="false">LN(D12370)</f>
        <v>-1.43225453349627</v>
      </c>
    </row>
    <row r="12371" customFormat="false" ht="15.75" hidden="false" customHeight="false" outlineLevel="0" collapsed="false">
      <c r="A12371" s="1" t="s">
        <v>1510</v>
      </c>
      <c r="B12371" s="1" t="n">
        <v>208.09</v>
      </c>
      <c r="C12371" s="1" t="n">
        <f aca="false">1/B12371</f>
        <v>0.00480561295593253</v>
      </c>
      <c r="D12371" s="1" t="n">
        <v>0.2364</v>
      </c>
      <c r="E12371" s="1" t="n">
        <f aca="false">LN(D12371)</f>
        <v>-1.44222999345019</v>
      </c>
    </row>
    <row r="12372" customFormat="false" ht="15.75" hidden="false" customHeight="false" outlineLevel="0" collapsed="false">
      <c r="A12372" s="1" t="s">
        <v>1510</v>
      </c>
      <c r="B12372" s="1" t="n">
        <v>208.9</v>
      </c>
      <c r="C12372" s="1" t="n">
        <f aca="false">1/B12372</f>
        <v>0.00478697941598851</v>
      </c>
      <c r="D12372" s="1" t="n">
        <v>0.23407</v>
      </c>
      <c r="E12372" s="1" t="n">
        <f aca="false">LN(D12372)</f>
        <v>-1.45213506306032</v>
      </c>
    </row>
    <row r="12373" customFormat="false" ht="15.75" hidden="false" customHeight="false" outlineLevel="0" collapsed="false">
      <c r="A12373" s="1" t="s">
        <v>1510</v>
      </c>
      <c r="B12373" s="1" t="n">
        <v>209.71</v>
      </c>
      <c r="C12373" s="1" t="n">
        <f aca="false">1/B12373</f>
        <v>0.00476848981927424</v>
      </c>
      <c r="D12373" s="1" t="n">
        <v>0.23177</v>
      </c>
      <c r="E12373" s="1" t="n">
        <f aca="false">LN(D12373)</f>
        <v>-1.46200977836767</v>
      </c>
    </row>
    <row r="12374" customFormat="false" ht="15.75" hidden="false" customHeight="false" outlineLevel="0" collapsed="false">
      <c r="A12374" s="1" t="s">
        <v>1510</v>
      </c>
      <c r="B12374" s="1" t="n">
        <v>210.53</v>
      </c>
      <c r="C12374" s="1" t="n">
        <f aca="false">1/B12374</f>
        <v>0.00474991687645466</v>
      </c>
      <c r="D12374" s="1" t="n">
        <v>0.2295</v>
      </c>
      <c r="E12374" s="1" t="n">
        <f aca="false">LN(D12374)</f>
        <v>-1.47185224948154</v>
      </c>
    </row>
    <row r="12375" customFormat="false" ht="15.75" hidden="false" customHeight="false" outlineLevel="0" collapsed="false">
      <c r="A12375" s="1" t="s">
        <v>1510</v>
      </c>
      <c r="B12375" s="1" t="n">
        <v>211.34</v>
      </c>
      <c r="C12375" s="1" t="n">
        <f aca="false">1/B12375</f>
        <v>0.0047317119333775</v>
      </c>
      <c r="D12375" s="1" t="n">
        <v>0.22727</v>
      </c>
      <c r="E12375" s="1" t="n">
        <f aca="false">LN(D12375)</f>
        <v>-1.48161654099622</v>
      </c>
    </row>
    <row r="12376" customFormat="false" ht="15.75" hidden="false" customHeight="false" outlineLevel="0" collapsed="false">
      <c r="A12376" s="1" t="s">
        <v>1510</v>
      </c>
      <c r="B12376" s="1" t="n">
        <v>212.15</v>
      </c>
      <c r="C12376" s="1" t="n">
        <f aca="false">1/B12376</f>
        <v>0.00471364600518501</v>
      </c>
      <c r="D12376" s="1" t="n">
        <v>0.22507</v>
      </c>
      <c r="E12376" s="1" t="n">
        <f aca="false">LN(D12376)</f>
        <v>-1.49134381405163</v>
      </c>
    </row>
    <row r="12377" customFormat="false" ht="15.75" hidden="false" customHeight="false" outlineLevel="0" collapsed="false">
      <c r="A12377" s="1" t="s">
        <v>1510</v>
      </c>
      <c r="B12377" s="1" t="n">
        <v>212.96</v>
      </c>
      <c r="C12377" s="1" t="n">
        <f aca="false">1/B12377</f>
        <v>0.00469571750563486</v>
      </c>
      <c r="D12377" s="1" t="n">
        <v>0.2229</v>
      </c>
      <c r="E12377" s="1" t="n">
        <f aca="false">LN(D12377)</f>
        <v>-1.50103203859031</v>
      </c>
    </row>
    <row r="12378" customFormat="false" ht="15.75" hidden="false" customHeight="false" outlineLevel="0" collapsed="false">
      <c r="A12378" s="1" t="s">
        <v>1510</v>
      </c>
      <c r="B12378" s="1" t="n">
        <v>213.77</v>
      </c>
      <c r="C12378" s="1" t="n">
        <f aca="false">1/B12378</f>
        <v>0.00467792487252655</v>
      </c>
      <c r="D12378" s="1" t="n">
        <v>0.22077</v>
      </c>
      <c r="E12378" s="1" t="n">
        <f aca="false">LN(D12378)</f>
        <v>-1.51063384337552</v>
      </c>
    </row>
    <row r="12379" customFormat="false" ht="15.75" hidden="false" customHeight="false" outlineLevel="0" collapsed="false">
      <c r="A12379" s="1" t="s">
        <v>1510</v>
      </c>
      <c r="B12379" s="1" t="n">
        <v>214.59</v>
      </c>
      <c r="C12379" s="1" t="n">
        <f aca="false">1/B12379</f>
        <v>0.0046600493965236</v>
      </c>
      <c r="D12379" s="1" t="n">
        <v>0.21866</v>
      </c>
      <c r="E12379" s="1" t="n">
        <f aca="false">LN(D12379)</f>
        <v>-1.5202372669758</v>
      </c>
    </row>
    <row r="12380" customFormat="false" ht="15.75" hidden="false" customHeight="false" outlineLevel="0" collapsed="false">
      <c r="A12380" s="1" t="s">
        <v>1510</v>
      </c>
      <c r="B12380" s="1" t="n">
        <v>215.4</v>
      </c>
      <c r="C12380" s="1" t="n">
        <f aca="false">1/B12380</f>
        <v>0.00464252553389044</v>
      </c>
      <c r="D12380" s="1" t="n">
        <v>0.21659</v>
      </c>
      <c r="E12380" s="1" t="n">
        <f aca="false">LN(D12380)</f>
        <v>-1.52974911353273</v>
      </c>
    </row>
    <row r="12381" customFormat="false" ht="15.75" hidden="false" customHeight="false" outlineLevel="0" collapsed="false">
      <c r="A12381" s="1" t="s">
        <v>1510</v>
      </c>
      <c r="B12381" s="1" t="n">
        <v>216.21</v>
      </c>
      <c r="C12381" s="1" t="n">
        <f aca="false">1/B12381</f>
        <v>0.00462513297257296</v>
      </c>
      <c r="D12381" s="1" t="n">
        <v>0.21454</v>
      </c>
      <c r="E12381" s="1" t="n">
        <f aca="false">LN(D12381)</f>
        <v>-1.53925907781285</v>
      </c>
    </row>
    <row r="12382" customFormat="false" ht="15.75" hidden="false" customHeight="false" outlineLevel="0" collapsed="false">
      <c r="A12382" s="1" t="s">
        <v>1510</v>
      </c>
      <c r="B12382" s="1" t="n">
        <v>217.02</v>
      </c>
      <c r="C12382" s="1" t="n">
        <f aca="false">1/B12382</f>
        <v>0.00460787024237397</v>
      </c>
      <c r="D12382" s="1" t="n">
        <v>0.21252</v>
      </c>
      <c r="E12382" s="1" t="n">
        <f aca="false">LN(D12382)</f>
        <v>-1.54871917739939</v>
      </c>
    </row>
    <row r="12383" customFormat="false" ht="15.75" hidden="false" customHeight="false" outlineLevel="0" collapsed="false">
      <c r="A12383" s="1" t="s">
        <v>1510</v>
      </c>
      <c r="B12383" s="1" t="n">
        <v>217.83</v>
      </c>
      <c r="C12383" s="1" t="n">
        <f aca="false">1/B12383</f>
        <v>0.00459073589496396</v>
      </c>
      <c r="D12383" s="1" t="n">
        <v>0.21053</v>
      </c>
      <c r="E12383" s="1" t="n">
        <f aca="false">LN(D12383)</f>
        <v>-1.55812711819967</v>
      </c>
    </row>
    <row r="12384" customFormat="false" ht="15.75" hidden="false" customHeight="false" outlineLevel="0" collapsed="false">
      <c r="A12384" s="1" t="s">
        <v>1510</v>
      </c>
      <c r="B12384" s="1" t="n">
        <v>218.64</v>
      </c>
      <c r="C12384" s="1" t="n">
        <f aca="false">1/B12384</f>
        <v>0.00457372850347603</v>
      </c>
      <c r="D12384" s="1" t="n">
        <v>0.20857</v>
      </c>
      <c r="E12384" s="1" t="n">
        <f aca="false">LN(D12384)</f>
        <v>-1.56748056267359</v>
      </c>
    </row>
    <row r="12385" customFormat="false" ht="15.75" hidden="false" customHeight="false" outlineLevel="0" collapsed="false">
      <c r="A12385" s="1" t="s">
        <v>1510</v>
      </c>
      <c r="B12385" s="1" t="n">
        <v>219.46</v>
      </c>
      <c r="C12385" s="1" t="n">
        <f aca="false">1/B12385</f>
        <v>0.00455663902305659</v>
      </c>
      <c r="D12385" s="1" t="n">
        <v>0.20663</v>
      </c>
      <c r="E12385" s="1" t="n">
        <f aca="false">LN(D12385)</f>
        <v>-1.57682552470662</v>
      </c>
    </row>
    <row r="12386" customFormat="false" ht="15.75" hidden="false" customHeight="false" outlineLevel="0" collapsed="false">
      <c r="A12386" s="1" t="s">
        <v>1510</v>
      </c>
      <c r="B12386" s="1" t="n">
        <v>220.27</v>
      </c>
      <c r="C12386" s="1" t="n">
        <f aca="false">1/B12386</f>
        <v>0.00453988287102193</v>
      </c>
      <c r="D12386" s="1" t="n">
        <v>0.20472</v>
      </c>
      <c r="E12386" s="1" t="n">
        <f aca="false">LN(D12386)</f>
        <v>-1.5861120871306</v>
      </c>
    </row>
    <row r="12387" customFormat="false" ht="15.75" hidden="false" customHeight="false" outlineLevel="0" collapsed="false">
      <c r="A12387" s="1" t="s">
        <v>1510</v>
      </c>
      <c r="B12387" s="1" t="n">
        <v>221.08</v>
      </c>
      <c r="C12387" s="1" t="n">
        <f aca="false">1/B12387</f>
        <v>0.00452324950244255</v>
      </c>
      <c r="D12387" s="1" t="n">
        <v>0.20283</v>
      </c>
      <c r="E12387" s="1" t="n">
        <f aca="false">LN(D12387)</f>
        <v>-1.59538708921144</v>
      </c>
    </row>
    <row r="12388" customFormat="false" ht="15.75" hidden="false" customHeight="false" outlineLevel="0" collapsed="false">
      <c r="A12388" s="1" t="s">
        <v>1510</v>
      </c>
      <c r="B12388" s="1" t="n">
        <v>221.89</v>
      </c>
      <c r="C12388" s="1" t="n">
        <f aca="false">1/B12388</f>
        <v>0.00450673757267114</v>
      </c>
      <c r="D12388" s="1" t="n">
        <v>0.20098</v>
      </c>
      <c r="E12388" s="1" t="n">
        <f aca="false">LN(D12388)</f>
        <v>-1.60454987836132</v>
      </c>
    </row>
    <row r="12389" customFormat="false" ht="15.75" hidden="false" customHeight="false" outlineLevel="0" collapsed="false">
      <c r="A12389" s="1" t="s">
        <v>1510</v>
      </c>
      <c r="B12389" s="1" t="n">
        <v>222.7</v>
      </c>
      <c r="C12389" s="1" t="n">
        <f aca="false">1/B12389</f>
        <v>0.00449034575662326</v>
      </c>
      <c r="D12389" s="1" t="n">
        <v>0.19914</v>
      </c>
      <c r="E12389" s="1" t="n">
        <f aca="false">LN(D12389)</f>
        <v>-1.6137471840222</v>
      </c>
    </row>
    <row r="12390" customFormat="false" ht="15.75" hidden="false" customHeight="false" outlineLevel="0" collapsed="false">
      <c r="A12390" s="1" t="s">
        <v>1510</v>
      </c>
      <c r="B12390" s="1" t="n">
        <v>223.51</v>
      </c>
      <c r="C12390" s="1" t="n">
        <f aca="false">1/B12390</f>
        <v>0.00447407274842289</v>
      </c>
      <c r="D12390" s="1" t="n">
        <v>0.19733</v>
      </c>
      <c r="E12390" s="1" t="n">
        <f aca="false">LN(D12390)</f>
        <v>-1.6228778248008</v>
      </c>
    </row>
    <row r="12391" customFormat="false" ht="15.75" hidden="false" customHeight="false" outlineLevel="0" collapsed="false">
      <c r="A12391" s="1" t="s">
        <v>1510</v>
      </c>
      <c r="B12391" s="1" t="n">
        <v>224.33</v>
      </c>
      <c r="C12391" s="1" t="n">
        <f aca="false">1/B12391</f>
        <v>0.00445771853965141</v>
      </c>
      <c r="D12391" s="1" t="n">
        <v>0.19554</v>
      </c>
      <c r="E12391" s="1" t="n">
        <f aca="false">LN(D12391)</f>
        <v>-1.63199031690461</v>
      </c>
    </row>
    <row r="12392" customFormat="false" ht="15.75" hidden="false" customHeight="false" outlineLevel="0" collapsed="false">
      <c r="A12392" s="1" t="s">
        <v>1510</v>
      </c>
      <c r="B12392" s="1" t="n">
        <v>225.14</v>
      </c>
      <c r="C12392" s="1" t="n">
        <f aca="false">1/B12392</f>
        <v>0.00444168073198899</v>
      </c>
      <c r="D12392" s="1" t="n">
        <v>0.19378</v>
      </c>
      <c r="E12392" s="1" t="n">
        <f aca="false">LN(D12392)</f>
        <v>-1.64103178402528</v>
      </c>
    </row>
    <row r="12393" customFormat="false" ht="15.75" hidden="false" customHeight="false" outlineLevel="0" collapsed="false">
      <c r="A12393" s="1" t="s">
        <v>1510</v>
      </c>
      <c r="B12393" s="1" t="n">
        <v>225.24</v>
      </c>
      <c r="C12393" s="1" t="n">
        <f aca="false">1/B12393</f>
        <v>0.00443970875510566</v>
      </c>
      <c r="D12393" s="1" t="n">
        <v>0.19356</v>
      </c>
      <c r="E12393" s="1" t="n">
        <f aca="false">LN(D12393)</f>
        <v>-1.64216773705702</v>
      </c>
    </row>
    <row r="12394" customFormat="false" ht="15.75" hidden="false" customHeight="false" outlineLevel="0" collapsed="false">
      <c r="A12394" s="3" t="s">
        <v>1511</v>
      </c>
      <c r="B12394" s="1" t="n">
        <v>96.147</v>
      </c>
      <c r="C12394" s="1" t="n">
        <f aca="false">1/B12394</f>
        <v>0.0104007405327259</v>
      </c>
      <c r="D12394" s="1" t="n">
        <v>4.1941</v>
      </c>
      <c r="E12394" s="1" t="n">
        <f aca="false">LN(D12394)</f>
        <v>1.43367877578155</v>
      </c>
    </row>
    <row r="12395" customFormat="false" ht="15.75" hidden="false" customHeight="false" outlineLevel="0" collapsed="false">
      <c r="A12395" s="3" t="s">
        <v>1511</v>
      </c>
      <c r="B12395" s="1" t="n">
        <v>96.665</v>
      </c>
      <c r="C12395" s="1" t="n">
        <f aca="false">1/B12395</f>
        <v>0.0103450059483784</v>
      </c>
      <c r="D12395" s="1" t="n">
        <v>4.0674</v>
      </c>
      <c r="E12395" s="1" t="n">
        <f aca="false">LN(D12395)</f>
        <v>1.40300397468284</v>
      </c>
    </row>
    <row r="12396" customFormat="false" ht="15.75" hidden="false" customHeight="false" outlineLevel="0" collapsed="false">
      <c r="A12396" s="3" t="s">
        <v>1511</v>
      </c>
      <c r="B12396" s="1" t="n">
        <v>97.183</v>
      </c>
      <c r="C12396" s="1" t="n">
        <f aca="false">1/B12396</f>
        <v>0.0102898655114578</v>
      </c>
      <c r="D12396" s="1" t="n">
        <v>3.9462</v>
      </c>
      <c r="E12396" s="1" t="n">
        <f aca="false">LN(D12396)</f>
        <v>1.37275309055322</v>
      </c>
    </row>
    <row r="12397" customFormat="false" ht="15.75" hidden="false" customHeight="false" outlineLevel="0" collapsed="false">
      <c r="A12397" s="3" t="s">
        <v>1511</v>
      </c>
      <c r="B12397" s="1" t="n">
        <v>97.702</v>
      </c>
      <c r="C12397" s="1" t="n">
        <f aca="false">1/B12397</f>
        <v>0.0102352050111564</v>
      </c>
      <c r="D12397" s="1" t="n">
        <v>3.8302</v>
      </c>
      <c r="E12397" s="1" t="n">
        <f aca="false">LN(D12397)</f>
        <v>1.34291702115032</v>
      </c>
    </row>
    <row r="12398" customFormat="false" ht="15.75" hidden="false" customHeight="false" outlineLevel="0" collapsed="false">
      <c r="A12398" s="3" t="s">
        <v>1511</v>
      </c>
      <c r="B12398" s="1" t="n">
        <v>98.22</v>
      </c>
      <c r="C12398" s="1" t="n">
        <f aca="false">1/B12398</f>
        <v>0.0101812258195887</v>
      </c>
      <c r="D12398" s="1" t="n">
        <v>3.7191</v>
      </c>
      <c r="E12398" s="1" t="n">
        <f aca="false">LN(D12398)</f>
        <v>1.31348170353007</v>
      </c>
    </row>
    <row r="12399" customFormat="false" ht="15.75" hidden="false" customHeight="false" outlineLevel="0" collapsed="false">
      <c r="A12399" s="3" t="s">
        <v>1511</v>
      </c>
      <c r="B12399" s="1" t="n">
        <v>98.738</v>
      </c>
      <c r="C12399" s="1" t="n">
        <f aca="false">1/B12399</f>
        <v>0.0101278130000608</v>
      </c>
      <c r="D12399" s="1" t="n">
        <v>3.6127</v>
      </c>
      <c r="E12399" s="1" t="n">
        <f aca="false">LN(D12399)</f>
        <v>1.28445541522786</v>
      </c>
    </row>
    <row r="12400" customFormat="false" ht="15.75" hidden="false" customHeight="false" outlineLevel="0" collapsed="false">
      <c r="A12400" s="3" t="s">
        <v>1511</v>
      </c>
      <c r="B12400" s="1" t="n">
        <v>99.257</v>
      </c>
      <c r="C12400" s="1" t="n">
        <f aca="false">1/B12400</f>
        <v>0.010074856181428</v>
      </c>
      <c r="D12400" s="1" t="n">
        <v>3.5106</v>
      </c>
      <c r="E12400" s="1" t="n">
        <f aca="false">LN(D12400)</f>
        <v>1.25578696304011</v>
      </c>
    </row>
    <row r="12401" customFormat="false" ht="15.75" hidden="false" customHeight="false" outlineLevel="0" collapsed="false">
      <c r="A12401" s="3" t="s">
        <v>1511</v>
      </c>
      <c r="B12401" s="1" t="n">
        <v>99.775</v>
      </c>
      <c r="C12401" s="1" t="n">
        <f aca="false">1/B12401</f>
        <v>0.0100225507391631</v>
      </c>
      <c r="D12401" s="1" t="n">
        <v>3.4128</v>
      </c>
      <c r="E12401" s="1" t="n">
        <f aca="false">LN(D12401)</f>
        <v>1.22753306873495</v>
      </c>
    </row>
    <row r="12402" customFormat="false" ht="15.75" hidden="false" customHeight="false" outlineLevel="0" collapsed="false">
      <c r="A12402" s="3" t="s">
        <v>1511</v>
      </c>
      <c r="B12402" s="1" t="n">
        <v>100.29</v>
      </c>
      <c r="C12402" s="1" t="n">
        <f aca="false">1/B12402</f>
        <v>0.00997108385681524</v>
      </c>
      <c r="D12402" s="1" t="n">
        <v>3.319</v>
      </c>
      <c r="E12402" s="1" t="n">
        <f aca="false">LN(D12402)</f>
        <v>1.19966353273784</v>
      </c>
    </row>
    <row r="12403" customFormat="false" ht="15.75" hidden="false" customHeight="false" outlineLevel="0" collapsed="false">
      <c r="A12403" s="3" t="s">
        <v>1511</v>
      </c>
      <c r="B12403" s="1" t="n">
        <v>100.81</v>
      </c>
      <c r="C12403" s="1" t="n">
        <f aca="false">1/B12403</f>
        <v>0.00991965082829084</v>
      </c>
      <c r="D12403" s="1" t="n">
        <v>3.2289</v>
      </c>
      <c r="E12403" s="1" t="n">
        <f aca="false">LN(D12403)</f>
        <v>1.17214152195623</v>
      </c>
    </row>
    <row r="12404" customFormat="false" ht="15.75" hidden="false" customHeight="false" outlineLevel="0" collapsed="false">
      <c r="A12404" s="3" t="s">
        <v>1511</v>
      </c>
      <c r="B12404" s="1" t="n">
        <v>101.33</v>
      </c>
      <c r="C12404" s="1" t="n">
        <f aca="false">1/B12404</f>
        <v>0.00986874568242376</v>
      </c>
      <c r="D12404" s="1" t="n">
        <v>3.1424</v>
      </c>
      <c r="E12404" s="1" t="n">
        <f aca="false">LN(D12404)</f>
        <v>1.14498683917801</v>
      </c>
    </row>
    <row r="12405" customFormat="false" ht="15.75" hidden="false" customHeight="false" outlineLevel="0" collapsed="false">
      <c r="A12405" s="3" t="s">
        <v>1511</v>
      </c>
      <c r="B12405" s="1" t="n">
        <v>101.85</v>
      </c>
      <c r="C12405" s="1" t="n">
        <f aca="false">1/B12405</f>
        <v>0.00981836033382425</v>
      </c>
      <c r="D12405" s="1" t="n">
        <v>3.0593</v>
      </c>
      <c r="E12405" s="1" t="n">
        <f aca="false">LN(D12405)</f>
        <v>1.11818613162521</v>
      </c>
    </row>
    <row r="12406" customFormat="false" ht="15.75" hidden="false" customHeight="false" outlineLevel="0" collapsed="false">
      <c r="A12406" s="3" t="s">
        <v>1511</v>
      </c>
      <c r="B12406" s="1" t="n">
        <v>102.37</v>
      </c>
      <c r="C12406" s="1" t="n">
        <f aca="false">1/B12406</f>
        <v>0.00976848686138517</v>
      </c>
      <c r="D12406" s="1" t="n">
        <v>2.9795</v>
      </c>
      <c r="E12406" s="1" t="n">
        <f aca="false">LN(D12406)</f>
        <v>1.0917555012049</v>
      </c>
    </row>
    <row r="12407" customFormat="false" ht="15.75" hidden="false" customHeight="false" outlineLevel="0" collapsed="false">
      <c r="A12407" s="3" t="s">
        <v>1511</v>
      </c>
      <c r="B12407" s="1" t="n">
        <v>102.88</v>
      </c>
      <c r="C12407" s="1" t="n">
        <f aca="false">1/B12407</f>
        <v>0.00972006220839813</v>
      </c>
      <c r="D12407" s="1" t="n">
        <v>2.9027</v>
      </c>
      <c r="E12407" s="1" t="n">
        <f aca="false">LN(D12407)</f>
        <v>1.06564133833141</v>
      </c>
    </row>
    <row r="12408" customFormat="false" ht="15.75" hidden="false" customHeight="false" outlineLevel="0" collapsed="false">
      <c r="A12408" s="3" t="s">
        <v>1511</v>
      </c>
      <c r="B12408" s="1" t="n">
        <v>103.4</v>
      </c>
      <c r="C12408" s="1" t="n">
        <f aca="false">1/B12408</f>
        <v>0.00967117988394584</v>
      </c>
      <c r="D12408" s="1" t="n">
        <v>2.8288</v>
      </c>
      <c r="E12408" s="1" t="n">
        <f aca="false">LN(D12408)</f>
        <v>1.03985259346119</v>
      </c>
    </row>
    <row r="12409" customFormat="false" ht="15.75" hidden="false" customHeight="false" outlineLevel="0" collapsed="false">
      <c r="A12409" s="3" t="s">
        <v>1511</v>
      </c>
      <c r="B12409" s="1" t="n">
        <v>103.92</v>
      </c>
      <c r="C12409" s="1" t="n">
        <f aca="false">1/B12409</f>
        <v>0.00962278675904542</v>
      </c>
      <c r="D12409" s="1" t="n">
        <v>2.7578</v>
      </c>
      <c r="E12409" s="1" t="n">
        <f aca="false">LN(D12409)</f>
        <v>1.0144332604255</v>
      </c>
    </row>
    <row r="12410" customFormat="false" ht="15.75" hidden="false" customHeight="false" outlineLevel="0" collapsed="false">
      <c r="A12410" s="3" t="s">
        <v>1511</v>
      </c>
      <c r="B12410" s="1" t="n">
        <v>104.44</v>
      </c>
      <c r="C12410" s="1" t="n">
        <f aca="false">1/B12410</f>
        <v>0.00957487552661815</v>
      </c>
      <c r="D12410" s="1" t="n">
        <v>2.6894</v>
      </c>
      <c r="E12410" s="1" t="n">
        <f aca="false">LN(D12410)</f>
        <v>0.989318120407633</v>
      </c>
    </row>
    <row r="12411" customFormat="false" ht="15.75" hidden="false" customHeight="false" outlineLevel="0" collapsed="false">
      <c r="A12411" s="3" t="s">
        <v>1511</v>
      </c>
      <c r="B12411" s="1" t="n">
        <v>104.96</v>
      </c>
      <c r="C12411" s="1" t="n">
        <f aca="false">1/B12411</f>
        <v>0.00952743902439024</v>
      </c>
      <c r="D12411" s="1" t="n">
        <v>2.6235</v>
      </c>
      <c r="E12411" s="1" t="n">
        <f aca="false">LN(D12411)</f>
        <v>0.964509304144629</v>
      </c>
    </row>
    <row r="12412" customFormat="false" ht="15.75" hidden="false" customHeight="false" outlineLevel="0" collapsed="false">
      <c r="A12412" s="3" t="s">
        <v>1511</v>
      </c>
      <c r="B12412" s="1" t="n">
        <v>105.48</v>
      </c>
      <c r="C12412" s="1" t="n">
        <f aca="false">1/B12412</f>
        <v>0.00948047023132347</v>
      </c>
      <c r="D12412" s="1" t="n">
        <v>2.5601</v>
      </c>
      <c r="E12412" s="1" t="n">
        <f aca="false">LN(D12412)</f>
        <v>0.940046320228552</v>
      </c>
    </row>
    <row r="12413" customFormat="false" ht="15.75" hidden="false" customHeight="false" outlineLevel="0" collapsed="false">
      <c r="A12413" s="3" t="s">
        <v>1511</v>
      </c>
      <c r="B12413" s="1" t="n">
        <v>105.99</v>
      </c>
      <c r="C12413" s="1" t="n">
        <f aca="false">1/B12413</f>
        <v>0.00943485234456081</v>
      </c>
      <c r="D12413" s="1" t="n">
        <v>2.4989</v>
      </c>
      <c r="E12413" s="1" t="n">
        <f aca="false">LN(D12413)</f>
        <v>0.915850635045751</v>
      </c>
    </row>
    <row r="12414" customFormat="false" ht="15.75" hidden="false" customHeight="false" outlineLevel="0" collapsed="false">
      <c r="A12414" s="3" t="s">
        <v>1511</v>
      </c>
      <c r="B12414" s="1" t="n">
        <v>106.51</v>
      </c>
      <c r="C12414" s="1" t="n">
        <f aca="false">1/B12414</f>
        <v>0.00938878978499671</v>
      </c>
      <c r="D12414" s="1" t="n">
        <v>2.44</v>
      </c>
      <c r="E12414" s="1" t="n">
        <f aca="false">LN(D12414)</f>
        <v>0.89199803930511</v>
      </c>
    </row>
    <row r="12415" customFormat="false" ht="15.75" hidden="false" customHeight="false" outlineLevel="0" collapsed="false">
      <c r="A12415" s="3" t="s">
        <v>1511</v>
      </c>
      <c r="B12415" s="1" t="n">
        <v>107.03</v>
      </c>
      <c r="C12415" s="1" t="n">
        <f aca="false">1/B12415</f>
        <v>0.00934317481080071</v>
      </c>
      <c r="D12415" s="1" t="n">
        <v>2.3831</v>
      </c>
      <c r="E12415" s="1" t="n">
        <f aca="false">LN(D12415)</f>
        <v>0.868402161147181</v>
      </c>
    </row>
    <row r="12416" customFormat="false" ht="15.75" hidden="false" customHeight="false" outlineLevel="0" collapsed="false">
      <c r="A12416" s="3" t="s">
        <v>1511</v>
      </c>
      <c r="B12416" s="1" t="n">
        <v>107.55</v>
      </c>
      <c r="C12416" s="1" t="n">
        <f aca="false">1/B12416</f>
        <v>0.00929800092980009</v>
      </c>
      <c r="D12416" s="1" t="n">
        <v>2.3282</v>
      </c>
      <c r="E12416" s="1" t="n">
        <f aca="false">LN(D12416)</f>
        <v>0.845095436832004</v>
      </c>
    </row>
    <row r="12417" customFormat="false" ht="15.75" hidden="false" customHeight="false" outlineLevel="0" collapsed="false">
      <c r="A12417" s="3" t="s">
        <v>1511</v>
      </c>
      <c r="B12417" s="1" t="n">
        <v>108.07</v>
      </c>
      <c r="C12417" s="1" t="n">
        <f aca="false">1/B12417</f>
        <v>0.00925326177477561</v>
      </c>
      <c r="D12417" s="1" t="n">
        <v>2.2753</v>
      </c>
      <c r="E12417" s="1" t="n">
        <f aca="false">LN(D12417)</f>
        <v>0.822111911840944</v>
      </c>
    </row>
    <row r="12418" customFormat="false" ht="15.75" hidden="false" customHeight="false" outlineLevel="0" collapsed="false">
      <c r="A12418" s="3" t="s">
        <v>1511</v>
      </c>
      <c r="B12418" s="1" t="n">
        <v>108.59</v>
      </c>
      <c r="C12418" s="1" t="n">
        <f aca="false">1/B12418</f>
        <v>0.00920895110046966</v>
      </c>
      <c r="D12418" s="1" t="n">
        <v>2.2242</v>
      </c>
      <c r="E12418" s="1" t="n">
        <f aca="false">LN(D12418)</f>
        <v>0.799397300402605</v>
      </c>
    </row>
    <row r="12419" customFormat="false" ht="15.75" hidden="false" customHeight="false" outlineLevel="0" collapsed="false">
      <c r="A12419" s="3" t="s">
        <v>1511</v>
      </c>
      <c r="B12419" s="1" t="n">
        <v>109.1</v>
      </c>
      <c r="C12419" s="1" t="n">
        <f aca="false">1/B12419</f>
        <v>0.00916590284142988</v>
      </c>
      <c r="D12419" s="1" t="n">
        <v>2.1748</v>
      </c>
      <c r="E12419" s="1" t="n">
        <f aca="false">LN(D12419)</f>
        <v>0.776936706289628</v>
      </c>
    </row>
    <row r="12420" customFormat="false" ht="15.75" hidden="false" customHeight="false" outlineLevel="0" collapsed="false">
      <c r="A12420" s="3" t="s">
        <v>1511</v>
      </c>
      <c r="B12420" s="1" t="n">
        <v>109.62</v>
      </c>
      <c r="C12420" s="1" t="n">
        <f aca="false">1/B12420</f>
        <v>0.00912242291552636</v>
      </c>
      <c r="D12420" s="1" t="n">
        <v>2.1271</v>
      </c>
      <c r="E12420" s="1" t="n">
        <f aca="false">LN(D12420)</f>
        <v>0.754759549687468</v>
      </c>
    </row>
    <row r="12421" customFormat="false" ht="15.75" hidden="false" customHeight="false" outlineLevel="0" collapsed="false">
      <c r="A12421" s="3" t="s">
        <v>1511</v>
      </c>
      <c r="B12421" s="1" t="n">
        <v>110.14</v>
      </c>
      <c r="C12421" s="1" t="n">
        <f aca="false">1/B12421</f>
        <v>0.00907935355002724</v>
      </c>
      <c r="D12421" s="1" t="n">
        <v>2.081</v>
      </c>
      <c r="E12421" s="1" t="n">
        <f aca="false">LN(D12421)</f>
        <v>0.732848547411497</v>
      </c>
    </row>
    <row r="12422" customFormat="false" ht="15.75" hidden="false" customHeight="false" outlineLevel="0" collapsed="false">
      <c r="A12422" s="3" t="s">
        <v>1511</v>
      </c>
      <c r="B12422" s="1" t="n">
        <v>110.66</v>
      </c>
      <c r="C12422" s="1" t="n">
        <f aca="false">1/B12422</f>
        <v>0.00903668895716609</v>
      </c>
      <c r="D12422" s="1" t="n">
        <v>2.0364</v>
      </c>
      <c r="E12422" s="1" t="n">
        <f aca="false">LN(D12422)</f>
        <v>0.711183543046044</v>
      </c>
    </row>
    <row r="12423" customFormat="false" ht="15.75" hidden="false" customHeight="false" outlineLevel="0" collapsed="false">
      <c r="A12423" s="3" t="s">
        <v>1511</v>
      </c>
      <c r="B12423" s="1" t="n">
        <v>111.18</v>
      </c>
      <c r="C12423" s="1" t="n">
        <f aca="false">1/B12423</f>
        <v>0.00899442345745638</v>
      </c>
      <c r="D12423" s="1" t="n">
        <v>1.9933</v>
      </c>
      <c r="E12423" s="1" t="n">
        <f aca="false">LN(D12423)</f>
        <v>0.689791556746583</v>
      </c>
    </row>
    <row r="12424" customFormat="false" ht="15.75" hidden="false" customHeight="false" outlineLevel="0" collapsed="false">
      <c r="A12424" s="3" t="s">
        <v>1511</v>
      </c>
      <c r="B12424" s="1" t="n">
        <v>111.7</v>
      </c>
      <c r="C12424" s="1" t="n">
        <f aca="false">1/B12424</f>
        <v>0.00895255147717099</v>
      </c>
      <c r="D12424" s="1" t="n">
        <v>1.9516</v>
      </c>
      <c r="E12424" s="1" t="n">
        <f aca="false">LN(D12424)</f>
        <v>0.668649548959545</v>
      </c>
    </row>
    <row r="12425" customFormat="false" ht="15.75" hidden="false" customHeight="false" outlineLevel="0" collapsed="false">
      <c r="A12425" s="3" t="s">
        <v>1511</v>
      </c>
      <c r="B12425" s="1" t="n">
        <v>112.21</v>
      </c>
      <c r="C12425" s="1" t="n">
        <f aca="false">1/B12425</f>
        <v>0.0089118616879066</v>
      </c>
      <c r="D12425" s="1" t="n">
        <v>1.9113</v>
      </c>
      <c r="E12425" s="1" t="n">
        <f aca="false">LN(D12425)</f>
        <v>0.647783638808415</v>
      </c>
    </row>
    <row r="12426" customFormat="false" ht="15.75" hidden="false" customHeight="false" outlineLevel="0" collapsed="false">
      <c r="A12426" s="3" t="s">
        <v>1511</v>
      </c>
      <c r="B12426" s="1" t="n">
        <v>112.73</v>
      </c>
      <c r="C12426" s="1" t="n">
        <f aca="false">1/B12426</f>
        <v>0.00887075312694048</v>
      </c>
      <c r="D12426" s="1" t="n">
        <v>1.8722</v>
      </c>
      <c r="E12426" s="1" t="n">
        <f aca="false">LN(D12426)</f>
        <v>0.627114209955507</v>
      </c>
    </row>
    <row r="12427" customFormat="false" ht="15.75" hidden="false" customHeight="false" outlineLevel="0" collapsed="false">
      <c r="A12427" s="3" t="s">
        <v>1511</v>
      </c>
      <c r="B12427" s="1" t="n">
        <v>113.25</v>
      </c>
      <c r="C12427" s="1" t="n">
        <f aca="false">1/B12427</f>
        <v>0.00883002207505519</v>
      </c>
      <c r="D12427" s="1" t="n">
        <v>1.8344</v>
      </c>
      <c r="E12427" s="1" t="n">
        <f aca="false">LN(D12427)</f>
        <v>0.606717452561558</v>
      </c>
    </row>
    <row r="12428" customFormat="false" ht="15.75" hidden="false" customHeight="false" outlineLevel="0" collapsed="false">
      <c r="A12428" s="3" t="s">
        <v>1511</v>
      </c>
      <c r="B12428" s="1" t="n">
        <v>113.77</v>
      </c>
      <c r="C12428" s="1" t="n">
        <f aca="false">1/B12428</f>
        <v>0.00878966335589347</v>
      </c>
      <c r="D12428" s="1" t="n">
        <v>1.7977</v>
      </c>
      <c r="E12428" s="1" t="n">
        <f aca="false">LN(D12428)</f>
        <v>0.586508070070233</v>
      </c>
    </row>
    <row r="12429" customFormat="false" ht="15.75" hidden="false" customHeight="false" outlineLevel="0" collapsed="false">
      <c r="A12429" s="3" t="s">
        <v>1511</v>
      </c>
      <c r="B12429" s="1" t="n">
        <v>114.29</v>
      </c>
      <c r="C12429" s="1" t="n">
        <f aca="false">1/B12429</f>
        <v>0.00874967188730423</v>
      </c>
      <c r="D12429" s="1" t="n">
        <v>1.7622</v>
      </c>
      <c r="E12429" s="1" t="n">
        <f aca="false">LN(D12429)</f>
        <v>0.566563028450492</v>
      </c>
    </row>
    <row r="12430" customFormat="false" ht="15.75" hidden="false" customHeight="false" outlineLevel="0" collapsed="false">
      <c r="A12430" s="3" t="s">
        <v>1511</v>
      </c>
      <c r="B12430" s="1" t="n">
        <v>114.81</v>
      </c>
      <c r="C12430" s="1" t="n">
        <f aca="false">1/B12430</f>
        <v>0.00871004267920913</v>
      </c>
      <c r="D12430" s="1" t="n">
        <v>1.7278</v>
      </c>
      <c r="E12430" s="1" t="n">
        <f aca="false">LN(D12430)</f>
        <v>0.546848922942647</v>
      </c>
    </row>
    <row r="12431" customFormat="false" ht="15.75" hidden="false" customHeight="false" outlineLevel="0" collapsed="false">
      <c r="A12431" s="3" t="s">
        <v>1511</v>
      </c>
      <c r="B12431" s="1" t="n">
        <v>115.32</v>
      </c>
      <c r="C12431" s="1" t="n">
        <f aca="false">1/B12431</f>
        <v>0.00867152271938953</v>
      </c>
      <c r="D12431" s="1" t="n">
        <v>1.6944</v>
      </c>
      <c r="E12431" s="1" t="n">
        <f aca="false">LN(D12431)</f>
        <v>0.527328695865005</v>
      </c>
    </row>
    <row r="12432" customFormat="false" ht="15.75" hidden="false" customHeight="false" outlineLevel="0" collapsed="false">
      <c r="A12432" s="3" t="s">
        <v>1511</v>
      </c>
      <c r="B12432" s="1" t="n">
        <v>115.84</v>
      </c>
      <c r="C12432" s="1" t="n">
        <f aca="false">1/B12432</f>
        <v>0.00863259668508287</v>
      </c>
      <c r="D12432" s="1" t="n">
        <v>1.6621</v>
      </c>
      <c r="E12432" s="1" t="n">
        <f aca="false">LN(D12432)</f>
        <v>0.508081863094927</v>
      </c>
    </row>
    <row r="12433" customFormat="false" ht="15.75" hidden="false" customHeight="false" outlineLevel="0" collapsed="false">
      <c r="A12433" s="3" t="s">
        <v>1511</v>
      </c>
      <c r="B12433" s="1" t="n">
        <v>116.36</v>
      </c>
      <c r="C12433" s="1" t="n">
        <f aca="false">1/B12433</f>
        <v>0.0085940185630801</v>
      </c>
      <c r="D12433" s="1" t="n">
        <v>1.6307</v>
      </c>
      <c r="E12433" s="1" t="n">
        <f aca="false">LN(D12433)</f>
        <v>0.489009370485094</v>
      </c>
    </row>
    <row r="12434" customFormat="false" ht="15.75" hidden="false" customHeight="false" outlineLevel="0" collapsed="false">
      <c r="A12434" s="3" t="s">
        <v>1511</v>
      </c>
      <c r="B12434" s="1" t="n">
        <v>116.88</v>
      </c>
      <c r="C12434" s="1" t="n">
        <f aca="false">1/B12434</f>
        <v>0.00855578370978782</v>
      </c>
      <c r="D12434" s="1" t="n">
        <v>1.6002</v>
      </c>
      <c r="E12434" s="1" t="n">
        <f aca="false">LN(D12434)</f>
        <v>0.470128621433887</v>
      </c>
    </row>
    <row r="12435" customFormat="false" ht="15.75" hidden="false" customHeight="false" outlineLevel="0" collapsed="false">
      <c r="A12435" s="3" t="s">
        <v>1511</v>
      </c>
      <c r="B12435" s="1" t="n">
        <v>117.4</v>
      </c>
      <c r="C12435" s="1" t="n">
        <f aca="false">1/B12435</f>
        <v>0.00851788756388416</v>
      </c>
      <c r="D12435" s="1" t="n">
        <v>1.5706</v>
      </c>
      <c r="E12435" s="1" t="n">
        <f aca="false">LN(D12435)</f>
        <v>0.451457711958637</v>
      </c>
    </row>
    <row r="12436" customFormat="false" ht="15.75" hidden="false" customHeight="false" outlineLevel="0" collapsed="false">
      <c r="A12436" s="3" t="s">
        <v>1511</v>
      </c>
      <c r="B12436" s="1" t="n">
        <v>117.92</v>
      </c>
      <c r="C12436" s="1" t="n">
        <f aca="false">1/B12436</f>
        <v>0.00848032564450475</v>
      </c>
      <c r="D12436" s="1" t="n">
        <v>1.5419</v>
      </c>
      <c r="E12436" s="1" t="n">
        <f aca="false">LN(D12436)</f>
        <v>0.43301542219517</v>
      </c>
    </row>
    <row r="12437" customFormat="false" ht="15.75" hidden="false" customHeight="false" outlineLevel="0" collapsed="false">
      <c r="A12437" s="3" t="s">
        <v>1511</v>
      </c>
      <c r="B12437" s="1" t="n">
        <v>118.43</v>
      </c>
      <c r="C12437" s="1" t="n">
        <f aca="false">1/B12437</f>
        <v>0.00844380646795575</v>
      </c>
      <c r="D12437" s="1" t="n">
        <v>1.514</v>
      </c>
      <c r="E12437" s="1" t="n">
        <f aca="false">LN(D12437)</f>
        <v>0.414755155015257</v>
      </c>
    </row>
    <row r="12438" customFormat="false" ht="15.75" hidden="false" customHeight="false" outlineLevel="0" collapsed="false">
      <c r="A12438" s="3" t="s">
        <v>1511</v>
      </c>
      <c r="B12438" s="1" t="n">
        <v>118.95</v>
      </c>
      <c r="C12438" s="1" t="n">
        <f aca="false">1/B12438</f>
        <v>0.00840689365279529</v>
      </c>
      <c r="D12438" s="1" t="n">
        <v>1.487</v>
      </c>
      <c r="E12438" s="1" t="n">
        <f aca="false">LN(D12438)</f>
        <v>0.396760667478018</v>
      </c>
    </row>
    <row r="12439" customFormat="false" ht="15.75" hidden="false" customHeight="false" outlineLevel="0" collapsed="false">
      <c r="A12439" s="3" t="s">
        <v>1511</v>
      </c>
      <c r="B12439" s="1" t="n">
        <v>119.47</v>
      </c>
      <c r="C12439" s="1" t="n">
        <f aca="false">1/B12439</f>
        <v>0.00837030216790826</v>
      </c>
      <c r="D12439" s="1" t="n">
        <v>1.4606</v>
      </c>
      <c r="E12439" s="1" t="n">
        <f aca="false">LN(D12439)</f>
        <v>0.378847310203872</v>
      </c>
    </row>
    <row r="12440" customFormat="false" ht="15.75" hidden="false" customHeight="false" outlineLevel="0" collapsed="false">
      <c r="A12440" s="3" t="s">
        <v>1511</v>
      </c>
      <c r="B12440" s="1" t="n">
        <v>119.99</v>
      </c>
      <c r="C12440" s="1" t="n">
        <f aca="false">1/B12440</f>
        <v>0.00833402783565297</v>
      </c>
      <c r="D12440" s="1" t="n">
        <v>1.435</v>
      </c>
      <c r="E12440" s="1" t="n">
        <f aca="false">LN(D12440)</f>
        <v>0.361164849211584</v>
      </c>
    </row>
    <row r="12441" customFormat="false" ht="15.75" hidden="false" customHeight="false" outlineLevel="0" collapsed="false">
      <c r="A12441" s="3" t="s">
        <v>1511</v>
      </c>
      <c r="B12441" s="1" t="n">
        <v>120.51</v>
      </c>
      <c r="C12441" s="1" t="n">
        <f aca="false">1/B12441</f>
        <v>0.00829806655049373</v>
      </c>
      <c r="D12441" s="1" t="n">
        <v>1.4101</v>
      </c>
      <c r="E12441" s="1" t="n">
        <f aca="false">LN(D12441)</f>
        <v>0.343660623861047</v>
      </c>
    </row>
    <row r="12442" customFormat="false" ht="15.75" hidden="false" customHeight="false" outlineLevel="0" collapsed="false">
      <c r="A12442" s="3" t="s">
        <v>1511</v>
      </c>
      <c r="B12442" s="1" t="n">
        <v>121.03</v>
      </c>
      <c r="C12442" s="1" t="n">
        <f aca="false">1/B12442</f>
        <v>0.00826241427745187</v>
      </c>
      <c r="D12442" s="1" t="n">
        <v>1.386</v>
      </c>
      <c r="E12442" s="1" t="n">
        <f aca="false">LN(D12442)</f>
        <v>0.326421900767711</v>
      </c>
    </row>
    <row r="12443" customFormat="false" ht="15.75" hidden="false" customHeight="false" outlineLevel="0" collapsed="false">
      <c r="A12443" s="3" t="s">
        <v>1511</v>
      </c>
      <c r="B12443" s="1" t="n">
        <v>121.54</v>
      </c>
      <c r="C12443" s="1" t="n">
        <f aca="false">1/B12443</f>
        <v>0.0082277439526082</v>
      </c>
      <c r="D12443" s="1" t="n">
        <v>1.3624</v>
      </c>
      <c r="E12443" s="1" t="n">
        <f aca="false">LN(D12443)</f>
        <v>0.309247850366341</v>
      </c>
    </row>
    <row r="12444" customFormat="false" ht="15.75" hidden="false" customHeight="false" outlineLevel="0" collapsed="false">
      <c r="A12444" s="3" t="s">
        <v>1511</v>
      </c>
      <c r="B12444" s="1" t="n">
        <v>122.06</v>
      </c>
      <c r="C12444" s="1" t="n">
        <f aca="false">1/B12444</f>
        <v>0.00819269211863018</v>
      </c>
      <c r="D12444" s="1" t="n">
        <v>1.3395</v>
      </c>
      <c r="E12444" s="1" t="n">
        <f aca="false">LN(D12444)</f>
        <v>0.292296410002526</v>
      </c>
    </row>
    <row r="12445" customFormat="false" ht="15.75" hidden="false" customHeight="false" outlineLevel="0" collapsed="false">
      <c r="A12445" s="3" t="s">
        <v>1511</v>
      </c>
      <c r="B12445" s="1" t="n">
        <v>122.58</v>
      </c>
      <c r="C12445" s="1" t="n">
        <f aca="false">1/B12445</f>
        <v>0.00815793767335618</v>
      </c>
      <c r="D12445" s="1" t="n">
        <v>1.3172</v>
      </c>
      <c r="E12445" s="1" t="n">
        <f aca="false">LN(D12445)</f>
        <v>0.275508271520072</v>
      </c>
    </row>
    <row r="12446" customFormat="false" ht="15.75" hidden="false" customHeight="false" outlineLevel="0" collapsed="false">
      <c r="A12446" s="3" t="s">
        <v>1511</v>
      </c>
      <c r="B12446" s="1" t="n">
        <v>123.1</v>
      </c>
      <c r="C12446" s="1" t="n">
        <f aca="false">1/B12446</f>
        <v>0.00812347684809098</v>
      </c>
      <c r="D12446" s="1" t="n">
        <v>1.2955</v>
      </c>
      <c r="E12446" s="1" t="n">
        <f aca="false">LN(D12446)</f>
        <v>0.258896721020028</v>
      </c>
    </row>
    <row r="12447" customFormat="false" ht="15.75" hidden="false" customHeight="false" outlineLevel="0" collapsed="false">
      <c r="A12447" s="3" t="s">
        <v>1511</v>
      </c>
      <c r="B12447" s="1" t="n">
        <v>123.62</v>
      </c>
      <c r="C12447" s="1" t="n">
        <f aca="false">1/B12447</f>
        <v>0.00808930593755056</v>
      </c>
      <c r="D12447" s="1" t="n">
        <v>1.2744</v>
      </c>
      <c r="E12447" s="1" t="n">
        <f aca="false">LN(D12447)</f>
        <v>0.242475479613702</v>
      </c>
    </row>
    <row r="12448" customFormat="false" ht="15.75" hidden="false" customHeight="false" outlineLevel="0" collapsed="false">
      <c r="A12448" s="3" t="s">
        <v>1511</v>
      </c>
      <c r="B12448" s="1" t="n">
        <v>124.14</v>
      </c>
      <c r="C12448" s="1" t="n">
        <f aca="false">1/B12448</f>
        <v>0.00805542129853391</v>
      </c>
      <c r="D12448" s="1" t="n">
        <v>1.2538</v>
      </c>
      <c r="E12448" s="1" t="n">
        <f aca="false">LN(D12448)</f>
        <v>0.226178939857731</v>
      </c>
    </row>
    <row r="12449" customFormat="false" ht="15.75" hidden="false" customHeight="false" outlineLevel="0" collapsed="false">
      <c r="A12449" s="3" t="s">
        <v>1511</v>
      </c>
      <c r="B12449" s="1" t="n">
        <v>124.65</v>
      </c>
      <c r="C12449" s="1" t="n">
        <f aca="false">1/B12449</f>
        <v>0.0080224628961091</v>
      </c>
      <c r="D12449" s="1" t="n">
        <v>1.2337</v>
      </c>
      <c r="E12449" s="1" t="n">
        <f aca="false">LN(D12449)</f>
        <v>0.210017784095282</v>
      </c>
    </row>
    <row r="12450" customFormat="false" ht="15.75" hidden="false" customHeight="false" outlineLevel="0" collapsed="false">
      <c r="A12450" s="3" t="s">
        <v>1511</v>
      </c>
      <c r="B12450" s="1" t="n">
        <v>125.17</v>
      </c>
      <c r="C12450" s="1" t="n">
        <f aca="false">1/B12450</f>
        <v>0.00798913477670368</v>
      </c>
      <c r="D12450" s="1" t="n">
        <v>1.2142</v>
      </c>
      <c r="E12450" s="1" t="n">
        <f aca="false">LN(D12450)</f>
        <v>0.194085423714197</v>
      </c>
    </row>
    <row r="12451" customFormat="false" ht="15.75" hidden="false" customHeight="false" outlineLevel="0" collapsed="false">
      <c r="A12451" s="3" t="s">
        <v>1511</v>
      </c>
      <c r="B12451" s="1" t="n">
        <v>125.69</v>
      </c>
      <c r="C12451" s="1" t="n">
        <f aca="false">1/B12451</f>
        <v>0.00795608242501392</v>
      </c>
      <c r="D12451" s="1" t="n">
        <v>1.1951</v>
      </c>
      <c r="E12451" s="1" t="n">
        <f aca="false">LN(D12451)</f>
        <v>0.178229863890698</v>
      </c>
    </row>
    <row r="12452" customFormat="false" ht="15.75" hidden="false" customHeight="false" outlineLevel="0" collapsed="false">
      <c r="A12452" s="3" t="s">
        <v>1511</v>
      </c>
      <c r="B12452" s="1" t="n">
        <v>126.21</v>
      </c>
      <c r="C12452" s="1" t="n">
        <f aca="false">1/B12452</f>
        <v>0.00792330243245385</v>
      </c>
      <c r="D12452" s="1" t="n">
        <v>1.1766</v>
      </c>
      <c r="E12452" s="1" t="n">
        <f aca="false">LN(D12452)</f>
        <v>0.162628923448219</v>
      </c>
    </row>
    <row r="12453" customFormat="false" ht="15.75" hidden="false" customHeight="false" outlineLevel="0" collapsed="false">
      <c r="A12453" s="3" t="s">
        <v>1511</v>
      </c>
      <c r="B12453" s="1" t="n">
        <v>126.73</v>
      </c>
      <c r="C12453" s="1" t="n">
        <f aca="false">1/B12453</f>
        <v>0.00789079144638207</v>
      </c>
      <c r="D12453" s="1" t="n">
        <v>1.1584</v>
      </c>
      <c r="E12453" s="1" t="n">
        <f aca="false">LN(D12453)</f>
        <v>0.147039742649315</v>
      </c>
    </row>
    <row r="12454" customFormat="false" ht="15.75" hidden="false" customHeight="false" outlineLevel="0" collapsed="false">
      <c r="A12454" s="3" t="s">
        <v>1511</v>
      </c>
      <c r="B12454" s="1" t="n">
        <v>127.25</v>
      </c>
      <c r="C12454" s="1" t="n">
        <f aca="false">1/B12454</f>
        <v>0.00785854616895874</v>
      </c>
      <c r="D12454" s="1" t="n">
        <v>1.1408</v>
      </c>
      <c r="E12454" s="1" t="n">
        <f aca="false">LN(D12454)</f>
        <v>0.131729770677894</v>
      </c>
    </row>
    <row r="12455" customFormat="false" ht="15.75" hidden="false" customHeight="false" outlineLevel="0" collapsed="false">
      <c r="A12455" s="3" t="s">
        <v>1511</v>
      </c>
      <c r="B12455" s="1" t="n">
        <v>127.76</v>
      </c>
      <c r="C12455" s="1" t="n">
        <f aca="false">1/B12455</f>
        <v>0.00782717595491547</v>
      </c>
      <c r="D12455" s="1" t="n">
        <v>1.1235</v>
      </c>
      <c r="E12455" s="1" t="n">
        <f aca="false">LN(D12455)</f>
        <v>0.116448812643247</v>
      </c>
    </row>
    <row r="12456" customFormat="false" ht="15.75" hidden="false" customHeight="false" outlineLevel="0" collapsed="false">
      <c r="A12456" s="3" t="s">
        <v>1511</v>
      </c>
      <c r="B12456" s="1" t="n">
        <v>128.28</v>
      </c>
      <c r="C12456" s="1" t="n">
        <f aca="false">1/B12456</f>
        <v>0.00779544745868413</v>
      </c>
      <c r="D12456" s="1" t="n">
        <v>1.1067</v>
      </c>
      <c r="E12456" s="1" t="n">
        <f aca="false">LN(D12456)</f>
        <v>0.101382614288603</v>
      </c>
    </row>
    <row r="12457" customFormat="false" ht="15.75" hidden="false" customHeight="false" outlineLevel="0" collapsed="false">
      <c r="A12457" s="3" t="s">
        <v>1511</v>
      </c>
      <c r="B12457" s="1" t="n">
        <v>128.8</v>
      </c>
      <c r="C12457" s="1" t="n">
        <f aca="false">1/B12457</f>
        <v>0.0077639751552795</v>
      </c>
      <c r="D12457" s="1" t="n">
        <v>1.0903</v>
      </c>
      <c r="E12457" s="1" t="n">
        <f aca="false">LN(D12457)</f>
        <v>0.0864528877301991</v>
      </c>
    </row>
    <row r="12458" customFormat="false" ht="15.75" hidden="false" customHeight="false" outlineLevel="0" collapsed="false">
      <c r="A12458" s="3" t="s">
        <v>1511</v>
      </c>
      <c r="B12458" s="1" t="n">
        <v>129.32</v>
      </c>
      <c r="C12458" s="1" t="n">
        <f aca="false">1/B12458</f>
        <v>0.00773275595422208</v>
      </c>
      <c r="D12458" s="1" t="n">
        <v>1.0743</v>
      </c>
      <c r="E12458" s="1" t="n">
        <f aca="false">LN(D12458)</f>
        <v>0.0716692866903597</v>
      </c>
    </row>
    <row r="12459" customFormat="false" ht="15.75" hidden="false" customHeight="false" outlineLevel="0" collapsed="false">
      <c r="A12459" s="3" t="s">
        <v>1511</v>
      </c>
      <c r="B12459" s="1" t="n">
        <v>129.84</v>
      </c>
      <c r="C12459" s="1" t="n">
        <f aca="false">1/B12459</f>
        <v>0.00770178681454097</v>
      </c>
      <c r="D12459" s="1" t="n">
        <v>1.0586</v>
      </c>
      <c r="E12459" s="1" t="n">
        <f aca="false">LN(D12459)</f>
        <v>0.0569472804417501</v>
      </c>
    </row>
    <row r="12460" customFormat="false" ht="15.75" hidden="false" customHeight="false" outlineLevel="0" collapsed="false">
      <c r="A12460" s="3" t="s">
        <v>1511</v>
      </c>
      <c r="B12460" s="1" t="n">
        <v>130.36</v>
      </c>
      <c r="C12460" s="1" t="n">
        <f aca="false">1/B12460</f>
        <v>0.00767106474378644</v>
      </c>
      <c r="D12460" s="1" t="n">
        <v>1.0433</v>
      </c>
      <c r="E12460" s="1" t="n">
        <f aca="false">LN(D12460)</f>
        <v>0.0423887664917865</v>
      </c>
    </row>
    <row r="12461" customFormat="false" ht="15.75" hidden="false" customHeight="false" outlineLevel="0" collapsed="false">
      <c r="A12461" s="3" t="s">
        <v>1511</v>
      </c>
      <c r="B12461" s="1" t="n">
        <v>130.87</v>
      </c>
      <c r="C12461" s="1" t="n">
        <f aca="false">1/B12461</f>
        <v>0.00764117062734011</v>
      </c>
      <c r="D12461" s="1" t="n">
        <v>1.0284</v>
      </c>
      <c r="E12461" s="1" t="n">
        <f aca="false">LN(D12461)</f>
        <v>0.0280041964095973</v>
      </c>
    </row>
    <row r="12462" customFormat="false" ht="15.75" hidden="false" customHeight="false" outlineLevel="0" collapsed="false">
      <c r="A12462" s="3" t="s">
        <v>1511</v>
      </c>
      <c r="B12462" s="1" t="n">
        <v>131.39</v>
      </c>
      <c r="C12462" s="1" t="n">
        <f aca="false">1/B12462</f>
        <v>0.00761092929446686</v>
      </c>
      <c r="D12462" s="1" t="n">
        <v>1.0138</v>
      </c>
      <c r="E12462" s="1" t="n">
        <f aca="false">LN(D12462)</f>
        <v>0.013705647056112</v>
      </c>
    </row>
    <row r="12463" customFormat="false" ht="15.75" hidden="false" customHeight="false" outlineLevel="0" collapsed="false">
      <c r="A12463" s="3" t="s">
        <v>1511</v>
      </c>
      <c r="B12463" s="1" t="n">
        <v>131.91</v>
      </c>
      <c r="C12463" s="1" t="n">
        <f aca="false">1/B12463</f>
        <v>0.00758092638920476</v>
      </c>
      <c r="D12463" s="1" t="n">
        <v>0.99955</v>
      </c>
      <c r="E12463" s="1" t="n">
        <f aca="false">LN(D12463)</f>
        <v>-0.000450101280385206</v>
      </c>
    </row>
    <row r="12464" customFormat="false" ht="15.75" hidden="false" customHeight="false" outlineLevel="0" collapsed="false">
      <c r="A12464" s="3" t="s">
        <v>1511</v>
      </c>
      <c r="B12464" s="1" t="n">
        <v>132.43</v>
      </c>
      <c r="C12464" s="1" t="n">
        <f aca="false">1/B12464</f>
        <v>0.0075511591029223</v>
      </c>
      <c r="D12464" s="1" t="n">
        <v>0.9856</v>
      </c>
      <c r="E12464" s="1" t="n">
        <f aca="false">LN(D12464)</f>
        <v>-0.0145046862028817</v>
      </c>
    </row>
    <row r="12465" customFormat="false" ht="15.75" hidden="false" customHeight="false" outlineLevel="0" collapsed="false">
      <c r="A12465" s="3" t="s">
        <v>1511</v>
      </c>
      <c r="B12465" s="1" t="n">
        <v>132.95</v>
      </c>
      <c r="C12465" s="1" t="n">
        <f aca="false">1/B12465</f>
        <v>0.00752162467092892</v>
      </c>
      <c r="D12465" s="1" t="n">
        <v>0.97197</v>
      </c>
      <c r="E12465" s="1" t="n">
        <f aca="false">LN(D12465)</f>
        <v>-0.028430339195538</v>
      </c>
    </row>
    <row r="12466" customFormat="false" ht="15.75" hidden="false" customHeight="false" outlineLevel="0" collapsed="false">
      <c r="A12466" s="3" t="s">
        <v>1511</v>
      </c>
      <c r="B12466" s="1" t="n">
        <v>133.47</v>
      </c>
      <c r="C12466" s="1" t="n">
        <f aca="false">1/B12466</f>
        <v>0.00749232037161909</v>
      </c>
      <c r="D12466" s="1" t="n">
        <v>0.95864</v>
      </c>
      <c r="E12466" s="1" t="n">
        <f aca="false">LN(D12466)</f>
        <v>-0.0422396656078758</v>
      </c>
    </row>
    <row r="12467" customFormat="false" ht="15.75" hidden="false" customHeight="false" outlineLevel="0" collapsed="false">
      <c r="A12467" s="3" t="s">
        <v>1511</v>
      </c>
      <c r="B12467" s="1" t="n">
        <v>133.98</v>
      </c>
      <c r="C12467" s="1" t="n">
        <f aca="false">1/B12467</f>
        <v>0.00746380056724884</v>
      </c>
      <c r="D12467" s="1" t="n">
        <v>0.9456</v>
      </c>
      <c r="E12467" s="1" t="n">
        <f aca="false">LN(D12467)</f>
        <v>-0.0559356323303033</v>
      </c>
    </row>
    <row r="12468" customFormat="false" ht="15.75" hidden="false" customHeight="false" outlineLevel="0" collapsed="false">
      <c r="A12468" s="3" t="s">
        <v>1511</v>
      </c>
      <c r="B12468" s="1" t="n">
        <v>134.5</v>
      </c>
      <c r="C12468" s="1" t="n">
        <f aca="false">1/B12468</f>
        <v>0.00743494423791822</v>
      </c>
      <c r="D12468" s="1" t="n">
        <v>0.93285</v>
      </c>
      <c r="E12468" s="1" t="n">
        <f aca="false">LN(D12468)</f>
        <v>-0.0695108627641291</v>
      </c>
    </row>
    <row r="12469" customFormat="false" ht="15.75" hidden="false" customHeight="false" outlineLevel="0" collapsed="false">
      <c r="A12469" s="3" t="s">
        <v>1511</v>
      </c>
      <c r="B12469" s="1" t="n">
        <v>135.02</v>
      </c>
      <c r="C12469" s="1" t="n">
        <f aca="false">1/B12469</f>
        <v>0.00740631017627018</v>
      </c>
      <c r="D12469" s="1" t="n">
        <v>0.92037</v>
      </c>
      <c r="E12469" s="1" t="n">
        <f aca="false">LN(D12469)</f>
        <v>-0.0829795158762592</v>
      </c>
    </row>
    <row r="12470" customFormat="false" ht="15.75" hidden="false" customHeight="false" outlineLevel="0" collapsed="false">
      <c r="A12470" s="3" t="s">
        <v>1511</v>
      </c>
      <c r="B12470" s="1" t="n">
        <v>135.54</v>
      </c>
      <c r="C12470" s="1" t="n">
        <f aca="false">1/B12470</f>
        <v>0.00737789582411096</v>
      </c>
      <c r="D12470" s="1" t="n">
        <v>0.90815</v>
      </c>
      <c r="E12470" s="1" t="n">
        <f aca="false">LN(D12470)</f>
        <v>-0.0963457157866846</v>
      </c>
    </row>
    <row r="12471" customFormat="false" ht="15.75" hidden="false" customHeight="false" outlineLevel="0" collapsed="false">
      <c r="A12471" s="3" t="s">
        <v>1511</v>
      </c>
      <c r="B12471" s="1" t="n">
        <v>136.06</v>
      </c>
      <c r="C12471" s="1" t="n">
        <f aca="false">1/B12471</f>
        <v>0.00734969866235484</v>
      </c>
      <c r="D12471" s="1" t="n">
        <v>0.8962</v>
      </c>
      <c r="E12471" s="1" t="n">
        <f aca="false">LN(D12471)</f>
        <v>-0.109591676630094</v>
      </c>
    </row>
    <row r="12472" customFormat="false" ht="15.75" hidden="false" customHeight="false" outlineLevel="0" collapsed="false">
      <c r="A12472" s="3" t="s">
        <v>1511</v>
      </c>
      <c r="B12472" s="1" t="n">
        <v>136.58</v>
      </c>
      <c r="C12472" s="1" t="n">
        <f aca="false">1/B12472</f>
        <v>0.00732171621027969</v>
      </c>
      <c r="D12472" s="1" t="n">
        <v>0.88449</v>
      </c>
      <c r="E12472" s="1" t="n">
        <f aca="false">LN(D12472)</f>
        <v>-0.122744071268707</v>
      </c>
    </row>
    <row r="12473" customFormat="false" ht="15.75" hidden="false" customHeight="false" outlineLevel="0" collapsed="false">
      <c r="A12473" s="3" t="s">
        <v>1511</v>
      </c>
      <c r="B12473" s="1" t="n">
        <v>137.1</v>
      </c>
      <c r="C12473" s="1" t="n">
        <f aca="false">1/B12473</f>
        <v>0.00729394602479942</v>
      </c>
      <c r="D12473" s="1" t="n">
        <v>0.87303</v>
      </c>
      <c r="E12473" s="1" t="n">
        <f aca="false">LN(D12473)</f>
        <v>-0.135785359471804</v>
      </c>
    </row>
    <row r="12474" customFormat="false" ht="15.75" hidden="false" customHeight="false" outlineLevel="0" collapsed="false">
      <c r="A12474" s="3" t="s">
        <v>1511</v>
      </c>
      <c r="B12474" s="1" t="n">
        <v>137.61</v>
      </c>
      <c r="C12474" s="1" t="n">
        <f aca="false">1/B12474</f>
        <v>0.00726691374173389</v>
      </c>
      <c r="D12474" s="1" t="n">
        <v>0.8618</v>
      </c>
      <c r="E12474" s="1" t="n">
        <f aca="false">LN(D12474)</f>
        <v>-0.148732053800399</v>
      </c>
    </row>
    <row r="12475" customFormat="false" ht="15.75" hidden="false" customHeight="false" outlineLevel="0" collapsed="false">
      <c r="A12475" s="3" t="s">
        <v>1511</v>
      </c>
      <c r="B12475" s="1" t="n">
        <v>138.13</v>
      </c>
      <c r="C12475" s="1" t="n">
        <f aca="false">1/B12475</f>
        <v>0.00723955693911533</v>
      </c>
      <c r="D12475" s="1" t="n">
        <v>0.8508</v>
      </c>
      <c r="E12475" s="1" t="n">
        <f aca="false">LN(D12475)</f>
        <v>-0.161578195656055</v>
      </c>
    </row>
    <row r="12476" customFormat="false" ht="15.75" hidden="false" customHeight="false" outlineLevel="0" collapsed="false">
      <c r="A12476" s="3" t="s">
        <v>1511</v>
      </c>
      <c r="B12476" s="1" t="n">
        <v>138.65</v>
      </c>
      <c r="C12476" s="1" t="n">
        <f aca="false">1/B12476</f>
        <v>0.00721240533717995</v>
      </c>
      <c r="D12476" s="1" t="n">
        <v>0.84002</v>
      </c>
      <c r="E12476" s="1" t="n">
        <f aca="false">LN(D12476)</f>
        <v>-0.17432957790441</v>
      </c>
    </row>
    <row r="12477" customFormat="false" ht="15.75" hidden="false" customHeight="false" outlineLevel="0" collapsed="false">
      <c r="A12477" s="3" t="s">
        <v>1511</v>
      </c>
      <c r="B12477" s="1" t="n">
        <v>139.17</v>
      </c>
      <c r="C12477" s="1" t="n">
        <f aca="false">1/B12477</f>
        <v>0.0071854566357692</v>
      </c>
      <c r="D12477" s="1" t="n">
        <v>0.82947</v>
      </c>
      <c r="E12477" s="1" t="n">
        <f aca="false">LN(D12477)</f>
        <v>-0.186968336370937</v>
      </c>
    </row>
    <row r="12478" customFormat="false" ht="15.75" hidden="false" customHeight="false" outlineLevel="0" collapsed="false">
      <c r="A12478" s="3" t="s">
        <v>1511</v>
      </c>
      <c r="B12478" s="1" t="n">
        <v>139.69</v>
      </c>
      <c r="C12478" s="1" t="n">
        <f aca="false">1/B12478</f>
        <v>0.00715870856897416</v>
      </c>
      <c r="D12478" s="1" t="n">
        <v>0.81912</v>
      </c>
      <c r="E12478" s="1" t="n">
        <f aca="false">LN(D12478)</f>
        <v>-0.199524685715576</v>
      </c>
    </row>
    <row r="12479" customFormat="false" ht="15.75" hidden="false" customHeight="false" outlineLevel="0" collapsed="false">
      <c r="A12479" s="3" t="s">
        <v>1511</v>
      </c>
      <c r="B12479" s="1" t="n">
        <v>140.21</v>
      </c>
      <c r="C12479" s="1" t="n">
        <f aca="false">1/B12479</f>
        <v>0.00713215890450039</v>
      </c>
      <c r="D12479" s="1" t="n">
        <v>0.80897</v>
      </c>
      <c r="E12479" s="1" t="n">
        <f aca="false">LN(D12479)</f>
        <v>-0.211993445429524</v>
      </c>
    </row>
    <row r="12480" customFormat="false" ht="15.75" hidden="false" customHeight="false" outlineLevel="0" collapsed="false">
      <c r="A12480" s="3" t="s">
        <v>1511</v>
      </c>
      <c r="B12480" s="1" t="n">
        <v>140.72</v>
      </c>
      <c r="C12480" s="1" t="n">
        <f aca="false">1/B12480</f>
        <v>0.00710631040363843</v>
      </c>
      <c r="D12480" s="1" t="n">
        <v>0.79903</v>
      </c>
      <c r="E12480" s="1" t="n">
        <f aca="false">LN(D12480)</f>
        <v>-0.224356786987064</v>
      </c>
    </row>
    <row r="12481" customFormat="false" ht="15.75" hidden="false" customHeight="false" outlineLevel="0" collapsed="false">
      <c r="A12481" s="3" t="s">
        <v>1511</v>
      </c>
      <c r="B12481" s="1" t="n">
        <v>141.24</v>
      </c>
      <c r="C12481" s="1" t="n">
        <f aca="false">1/B12481</f>
        <v>0.00708014726706316</v>
      </c>
      <c r="D12481" s="1" t="n">
        <v>0.78927</v>
      </c>
      <c r="E12481" s="1" t="n">
        <f aca="false">LN(D12481)</f>
        <v>-0.236646811351956</v>
      </c>
    </row>
    <row r="12482" customFormat="false" ht="15.75" hidden="false" customHeight="false" outlineLevel="0" collapsed="false">
      <c r="A12482" s="3" t="s">
        <v>1511</v>
      </c>
      <c r="B12482" s="1" t="n">
        <v>141.76</v>
      </c>
      <c r="C12482" s="1" t="n">
        <f aca="false">1/B12482</f>
        <v>0.00705417607223476</v>
      </c>
      <c r="D12482" s="1" t="n">
        <v>0.77971</v>
      </c>
      <c r="E12482" s="1" t="n">
        <f aca="false">LN(D12482)</f>
        <v>-0.248833223303144</v>
      </c>
    </row>
    <row r="12483" customFormat="false" ht="15.75" hidden="false" customHeight="false" outlineLevel="0" collapsed="false">
      <c r="A12483" s="3" t="s">
        <v>1511</v>
      </c>
      <c r="B12483" s="1" t="n">
        <v>142.28</v>
      </c>
      <c r="C12483" s="1" t="n">
        <f aca="false">1/B12483</f>
        <v>0.00702839471464717</v>
      </c>
      <c r="D12483" s="1" t="n">
        <v>0.77032</v>
      </c>
      <c r="E12483" s="1" t="n">
        <f aca="false">LN(D12483)</f>
        <v>-0.260949266050109</v>
      </c>
    </row>
    <row r="12484" customFormat="false" ht="15.75" hidden="false" customHeight="false" outlineLevel="0" collapsed="false">
      <c r="A12484" s="3" t="s">
        <v>1511</v>
      </c>
      <c r="B12484" s="1" t="n">
        <v>142.8</v>
      </c>
      <c r="C12484" s="1" t="n">
        <f aca="false">1/B12484</f>
        <v>0.00700280112044818</v>
      </c>
      <c r="D12484" s="1" t="n">
        <v>0.76112</v>
      </c>
      <c r="E12484" s="1" t="n">
        <f aca="false">LN(D12484)</f>
        <v>-0.272964246298166</v>
      </c>
    </row>
    <row r="12485" customFormat="false" ht="15.75" hidden="false" customHeight="false" outlineLevel="0" collapsed="false">
      <c r="A12485" s="3" t="s">
        <v>1511</v>
      </c>
      <c r="B12485" s="1" t="n">
        <v>143.32</v>
      </c>
      <c r="C12485" s="1" t="n">
        <f aca="false">1/B12485</f>
        <v>0.00697739324588334</v>
      </c>
      <c r="D12485" s="1" t="n">
        <v>0.75209</v>
      </c>
      <c r="E12485" s="1" t="n">
        <f aca="false">LN(D12485)</f>
        <v>-0.284899281342415</v>
      </c>
    </row>
    <row r="12486" customFormat="false" ht="15.75" hidden="false" customHeight="false" outlineLevel="0" collapsed="false">
      <c r="A12486" s="3" t="s">
        <v>1511</v>
      </c>
      <c r="B12486" s="1" t="n">
        <v>143.83</v>
      </c>
      <c r="C12486" s="1" t="n">
        <f aca="false">1/B12486</f>
        <v>0.00695265243690468</v>
      </c>
      <c r="D12486" s="1" t="n">
        <v>0.74322</v>
      </c>
      <c r="E12486" s="1" t="n">
        <f aca="false">LN(D12486)</f>
        <v>-0.296763181187973</v>
      </c>
    </row>
    <row r="12487" customFormat="false" ht="15.75" hidden="false" customHeight="false" outlineLevel="0" collapsed="false">
      <c r="A12487" s="3" t="s">
        <v>1511</v>
      </c>
      <c r="B12487" s="1" t="n">
        <v>144.35</v>
      </c>
      <c r="C12487" s="1" t="n">
        <f aca="false">1/B12487</f>
        <v>0.00692760651195012</v>
      </c>
      <c r="D12487" s="1" t="n">
        <v>0.73452</v>
      </c>
      <c r="E12487" s="1" t="n">
        <f aca="false">LN(D12487)</f>
        <v>-0.308538054331158</v>
      </c>
    </row>
    <row r="12488" customFormat="false" ht="15.75" hidden="false" customHeight="false" outlineLevel="0" collapsed="false">
      <c r="A12488" s="3" t="s">
        <v>1511</v>
      </c>
      <c r="B12488" s="1" t="n">
        <v>144.87</v>
      </c>
      <c r="C12488" s="1" t="n">
        <f aca="false">1/B12488</f>
        <v>0.00690274038793401</v>
      </c>
      <c r="D12488" s="1" t="n">
        <v>0.72598</v>
      </c>
      <c r="E12488" s="1" t="n">
        <f aca="false">LN(D12488)</f>
        <v>-0.320232812746166</v>
      </c>
    </row>
    <row r="12489" customFormat="false" ht="15.75" hidden="false" customHeight="false" outlineLevel="0" collapsed="false">
      <c r="A12489" s="3" t="s">
        <v>1511</v>
      </c>
      <c r="B12489" s="1" t="n">
        <v>145.39</v>
      </c>
      <c r="C12489" s="1" t="n">
        <f aca="false">1/B12489</f>
        <v>0.00687805213563519</v>
      </c>
      <c r="D12489" s="1" t="n">
        <v>0.71759</v>
      </c>
      <c r="E12489" s="1" t="n">
        <f aca="false">LN(D12489)</f>
        <v>-0.331856903674671</v>
      </c>
    </row>
    <row r="12490" customFormat="false" ht="15.75" hidden="false" customHeight="false" outlineLevel="0" collapsed="false">
      <c r="A12490" s="3" t="s">
        <v>1511</v>
      </c>
      <c r="B12490" s="1" t="n">
        <v>145.91</v>
      </c>
      <c r="C12490" s="1" t="n">
        <f aca="false">1/B12490</f>
        <v>0.00685353985333425</v>
      </c>
      <c r="D12490" s="1" t="n">
        <v>0.70936</v>
      </c>
      <c r="E12490" s="1" t="n">
        <f aca="false">LN(D12490)</f>
        <v>-0.343392123910385</v>
      </c>
    </row>
    <row r="12491" customFormat="false" ht="15.75" hidden="false" customHeight="false" outlineLevel="0" collapsed="false">
      <c r="A12491" s="3" t="s">
        <v>1511</v>
      </c>
      <c r="B12491" s="1" t="n">
        <v>146.43</v>
      </c>
      <c r="C12491" s="1" t="n">
        <f aca="false">1/B12491</f>
        <v>0.00682920166632521</v>
      </c>
      <c r="D12491" s="1" t="n">
        <v>0.70127</v>
      </c>
      <c r="E12491" s="1" t="n">
        <f aca="false">LN(D12491)</f>
        <v>-0.354862302052824</v>
      </c>
    </row>
    <row r="12492" customFormat="false" ht="15.75" hidden="false" customHeight="false" outlineLevel="0" collapsed="false">
      <c r="A12492" s="3" t="s">
        <v>1511</v>
      </c>
      <c r="B12492" s="1" t="n">
        <v>146.94</v>
      </c>
      <c r="C12492" s="1" t="n">
        <f aca="false">1/B12492</f>
        <v>0.0068054988430652</v>
      </c>
      <c r="D12492" s="1" t="n">
        <v>0.69333</v>
      </c>
      <c r="E12492" s="1" t="n">
        <f aca="false">LN(D12492)</f>
        <v>-0.366249202658748</v>
      </c>
    </row>
    <row r="12493" customFormat="false" ht="15.75" hidden="false" customHeight="false" outlineLevel="0" collapsed="false">
      <c r="A12493" s="3" t="s">
        <v>1511</v>
      </c>
      <c r="B12493" s="1" t="n">
        <v>147.46</v>
      </c>
      <c r="C12493" s="1" t="n">
        <f aca="false">1/B12493</f>
        <v>0.006781500067815</v>
      </c>
      <c r="D12493" s="1" t="n">
        <v>0.68552</v>
      </c>
      <c r="E12493" s="1" t="n">
        <f aca="false">LN(D12493)</f>
        <v>-0.377577604621274</v>
      </c>
    </row>
    <row r="12494" customFormat="false" ht="15.75" hidden="false" customHeight="false" outlineLevel="0" collapsed="false">
      <c r="A12494" s="3" t="s">
        <v>1511</v>
      </c>
      <c r="B12494" s="1" t="n">
        <v>147.98</v>
      </c>
      <c r="C12494" s="1" t="n">
        <f aca="false">1/B12494</f>
        <v>0.00675766995539938</v>
      </c>
      <c r="D12494" s="1" t="n">
        <v>0.67785</v>
      </c>
      <c r="E12494" s="1" t="n">
        <f aca="false">LN(D12494)</f>
        <v>-0.388829254456739</v>
      </c>
    </row>
    <row r="12495" customFormat="false" ht="15.75" hidden="false" customHeight="false" outlineLevel="0" collapsed="false">
      <c r="A12495" s="3" t="s">
        <v>1511</v>
      </c>
      <c r="B12495" s="1" t="n">
        <v>148.5</v>
      </c>
      <c r="C12495" s="1" t="n">
        <f aca="false">1/B12495</f>
        <v>0.00673400673400673</v>
      </c>
      <c r="D12495" s="1" t="n">
        <v>0.67032</v>
      </c>
      <c r="E12495" s="1" t="n">
        <f aca="false">LN(D12495)</f>
        <v>-0.400000068677106</v>
      </c>
    </row>
    <row r="12496" customFormat="false" ht="15.75" hidden="false" customHeight="false" outlineLevel="0" collapsed="false">
      <c r="A12496" s="3" t="s">
        <v>1511</v>
      </c>
      <c r="B12496" s="1" t="n">
        <v>149.02</v>
      </c>
      <c r="C12496" s="1" t="n">
        <f aca="false">1/B12496</f>
        <v>0.00671050865655617</v>
      </c>
      <c r="D12496" s="1" t="n">
        <v>0.66291</v>
      </c>
      <c r="E12496" s="1" t="n">
        <f aca="false">LN(D12496)</f>
        <v>-0.411116044617014</v>
      </c>
    </row>
    <row r="12497" customFormat="false" ht="15.75" hidden="false" customHeight="false" outlineLevel="0" collapsed="false">
      <c r="A12497" s="3" t="s">
        <v>1511</v>
      </c>
      <c r="B12497" s="1" t="n">
        <v>149.54</v>
      </c>
      <c r="C12497" s="1" t="n">
        <f aca="false">1/B12497</f>
        <v>0.00668717400026749</v>
      </c>
      <c r="D12497" s="1" t="n">
        <v>0.65563</v>
      </c>
      <c r="E12497" s="1" t="n">
        <f aca="false">LN(D12497)</f>
        <v>-0.422158673549883</v>
      </c>
    </row>
    <row r="12498" customFormat="false" ht="15.75" hidden="false" customHeight="false" outlineLevel="0" collapsed="false">
      <c r="A12498" s="3" t="s">
        <v>1511</v>
      </c>
      <c r="B12498" s="1" t="n">
        <v>150.05</v>
      </c>
      <c r="C12498" s="1" t="n">
        <f aca="false">1/B12498</f>
        <v>0.00666444518493835</v>
      </c>
      <c r="D12498" s="1" t="n">
        <v>0.64848</v>
      </c>
      <c r="E12498" s="1" t="n">
        <f aca="false">LN(D12498)</f>
        <v>-0.433124116102139</v>
      </c>
    </row>
    <row r="12499" customFormat="false" ht="15.75" hidden="false" customHeight="false" outlineLevel="0" collapsed="false">
      <c r="A12499" s="3" t="s">
        <v>1511</v>
      </c>
      <c r="B12499" s="1" t="n">
        <v>150.57</v>
      </c>
      <c r="C12499" s="1" t="n">
        <f aca="false">1/B12499</f>
        <v>0.0066414292355715</v>
      </c>
      <c r="D12499" s="1" t="n">
        <v>0.64144</v>
      </c>
      <c r="E12499" s="1" t="n">
        <f aca="false">LN(D12499)</f>
        <v>-0.44403963008794</v>
      </c>
    </row>
    <row r="12500" customFormat="false" ht="15.75" hidden="false" customHeight="false" outlineLevel="0" collapsed="false">
      <c r="A12500" s="3" t="s">
        <v>1511</v>
      </c>
      <c r="B12500" s="1" t="n">
        <v>151.09</v>
      </c>
      <c r="C12500" s="1" t="n">
        <f aca="false">1/B12500</f>
        <v>0.0066185717122245</v>
      </c>
      <c r="D12500" s="1" t="n">
        <v>0.63452</v>
      </c>
      <c r="E12500" s="1" t="n">
        <f aca="false">LN(D12500)</f>
        <v>-0.454886471441883</v>
      </c>
    </row>
    <row r="12501" customFormat="false" ht="15.75" hidden="false" customHeight="false" outlineLevel="0" collapsed="false">
      <c r="A12501" s="3" t="s">
        <v>1511</v>
      </c>
      <c r="B12501" s="1" t="n">
        <v>151.61</v>
      </c>
      <c r="C12501" s="1" t="n">
        <f aca="false">1/B12501</f>
        <v>0.00659587098476354</v>
      </c>
      <c r="D12501" s="1" t="n">
        <v>0.62772</v>
      </c>
      <c r="E12501" s="1" t="n">
        <f aca="false">LN(D12501)</f>
        <v>-0.465661071811617</v>
      </c>
    </row>
    <row r="12502" customFormat="false" ht="15.75" hidden="false" customHeight="false" outlineLevel="0" collapsed="false">
      <c r="A12502" s="3" t="s">
        <v>1511</v>
      </c>
      <c r="B12502" s="1" t="n">
        <v>152.13</v>
      </c>
      <c r="C12502" s="1" t="n">
        <f aca="false">1/B12502</f>
        <v>0.0065733254453428</v>
      </c>
      <c r="D12502" s="1" t="n">
        <v>0.62102</v>
      </c>
      <c r="E12502" s="1" t="n">
        <f aca="false">LN(D12502)</f>
        <v>-0.476391991448102</v>
      </c>
    </row>
    <row r="12503" customFormat="false" ht="15.75" hidden="false" customHeight="false" outlineLevel="0" collapsed="false">
      <c r="A12503" s="3" t="s">
        <v>1511</v>
      </c>
      <c r="B12503" s="1" t="n">
        <v>152.65</v>
      </c>
      <c r="C12503" s="1" t="n">
        <f aca="false">1/B12503</f>
        <v>0.00655093350802489</v>
      </c>
      <c r="D12503" s="1" t="n">
        <v>0.61444</v>
      </c>
      <c r="E12503" s="1" t="n">
        <f aca="false">LN(D12503)</f>
        <v>-0.487043995101192</v>
      </c>
    </row>
    <row r="12504" customFormat="false" ht="15.75" hidden="false" customHeight="false" outlineLevel="0" collapsed="false">
      <c r="A12504" s="3" t="s">
        <v>1511</v>
      </c>
      <c r="B12504" s="1" t="n">
        <v>153.16</v>
      </c>
      <c r="C12504" s="1" t="n">
        <f aca="false">1/B12504</f>
        <v>0.0065291198746409</v>
      </c>
      <c r="D12504" s="1" t="n">
        <v>0.60796</v>
      </c>
      <c r="E12504" s="1" t="n">
        <f aca="false">LN(D12504)</f>
        <v>-0.497646188653877</v>
      </c>
    </row>
    <row r="12505" customFormat="false" ht="15.75" hidden="false" customHeight="false" outlineLevel="0" collapsed="false">
      <c r="A12505" s="3" t="s">
        <v>1511</v>
      </c>
      <c r="B12505" s="1" t="n">
        <v>153.68</v>
      </c>
      <c r="C12505" s="1" t="n">
        <f aca="false">1/B12505</f>
        <v>0.00650702758979698</v>
      </c>
      <c r="D12505" s="1" t="n">
        <v>0.60159</v>
      </c>
      <c r="E12505" s="1" t="n">
        <f aca="false">LN(D12505)</f>
        <v>-0.508179128825085</v>
      </c>
    </row>
    <row r="12506" customFormat="false" ht="15.75" hidden="false" customHeight="false" outlineLevel="0" collapsed="false">
      <c r="A12506" s="3" t="s">
        <v>1511</v>
      </c>
      <c r="B12506" s="1" t="n">
        <v>154.2</v>
      </c>
      <c r="C12506" s="1" t="n">
        <f aca="false">1/B12506</f>
        <v>0.00648508430609598</v>
      </c>
      <c r="D12506" s="1" t="n">
        <v>0.59532</v>
      </c>
      <c r="E12506" s="1" t="n">
        <f aca="false">LN(D12506)</f>
        <v>-0.518656202881179</v>
      </c>
    </row>
    <row r="12507" customFormat="false" ht="15.75" hidden="false" customHeight="false" outlineLevel="0" collapsed="false">
      <c r="A12507" s="3" t="s">
        <v>1511</v>
      </c>
      <c r="B12507" s="1" t="n">
        <v>154.72</v>
      </c>
      <c r="C12507" s="1" t="n">
        <f aca="false">1/B12507</f>
        <v>0.00646328852119959</v>
      </c>
      <c r="D12507" s="1" t="n">
        <v>0.58914</v>
      </c>
      <c r="E12507" s="1" t="n">
        <f aca="false">LN(D12507)</f>
        <v>-0.529091432572883</v>
      </c>
    </row>
    <row r="12508" customFormat="false" ht="15.75" hidden="false" customHeight="false" outlineLevel="0" collapsed="false">
      <c r="A12508" s="3" t="s">
        <v>1511</v>
      </c>
      <c r="B12508" s="1" t="n">
        <v>155.24</v>
      </c>
      <c r="C12508" s="1" t="n">
        <f aca="false">1/B12508</f>
        <v>0.00644163875289874</v>
      </c>
      <c r="D12508" s="1" t="n">
        <v>0.58307</v>
      </c>
      <c r="E12508" s="1" t="n">
        <f aca="false">LN(D12508)</f>
        <v>-0.539448031228669</v>
      </c>
    </row>
    <row r="12509" customFormat="false" ht="15.75" hidden="false" customHeight="false" outlineLevel="0" collapsed="false">
      <c r="A12509" s="3" t="s">
        <v>1511</v>
      </c>
      <c r="B12509" s="1" t="n">
        <v>155.76</v>
      </c>
      <c r="C12509" s="1" t="n">
        <f aca="false">1/B12509</f>
        <v>0.00642013353877761</v>
      </c>
      <c r="D12509" s="1" t="n">
        <v>0.57709</v>
      </c>
      <c r="E12509" s="1" t="n">
        <f aca="false">LN(D12509)</f>
        <v>-0.549757045434756</v>
      </c>
    </row>
    <row r="12510" customFormat="false" ht="15.75" hidden="false" customHeight="false" outlineLevel="0" collapsed="false">
      <c r="A12510" s="3" t="s">
        <v>1511</v>
      </c>
      <c r="B12510" s="1" t="n">
        <v>156.27</v>
      </c>
      <c r="C12510" s="1" t="n">
        <f aca="false">1/B12510</f>
        <v>0.00639918090484418</v>
      </c>
      <c r="D12510" s="1" t="n">
        <v>0.5712</v>
      </c>
      <c r="E12510" s="1" t="n">
        <f aca="false">LN(D12510)</f>
        <v>-0.560015867956762</v>
      </c>
    </row>
    <row r="12511" customFormat="false" ht="15.75" hidden="false" customHeight="false" outlineLevel="0" collapsed="false">
      <c r="A12511" s="3" t="s">
        <v>1511</v>
      </c>
      <c r="B12511" s="1" t="n">
        <v>156.79</v>
      </c>
      <c r="C12511" s="1" t="n">
        <f aca="false">1/B12511</f>
        <v>0.00637795777791951</v>
      </c>
      <c r="D12511" s="1" t="n">
        <v>0.5654</v>
      </c>
      <c r="E12511" s="1" t="n">
        <f aca="false">LN(D12511)</f>
        <v>-0.570221833722647</v>
      </c>
    </row>
    <row r="12512" customFormat="false" ht="15.75" hidden="false" customHeight="false" outlineLevel="0" collapsed="false">
      <c r="A12512" s="3" t="s">
        <v>1511</v>
      </c>
      <c r="B12512" s="1" t="n">
        <v>157.31</v>
      </c>
      <c r="C12512" s="1" t="n">
        <f aca="false">1/B12512</f>
        <v>0.00635687496026953</v>
      </c>
      <c r="D12512" s="1" t="n">
        <v>0.55969</v>
      </c>
      <c r="E12512" s="1" t="n">
        <f aca="false">LN(D12512)</f>
        <v>-0.580372219958746</v>
      </c>
    </row>
    <row r="12513" customFormat="false" ht="15.75" hidden="false" customHeight="false" outlineLevel="0" collapsed="false">
      <c r="A12513" s="3" t="s">
        <v>1511</v>
      </c>
      <c r="B12513" s="1" t="n">
        <v>157.83</v>
      </c>
      <c r="C12513" s="1" t="n">
        <f aca="false">1/B12513</f>
        <v>0.00633593106507001</v>
      </c>
      <c r="D12513" s="1" t="n">
        <v>0.55407</v>
      </c>
      <c r="E12513" s="1" t="n">
        <f aca="false">LN(D12513)</f>
        <v>-0.590464246426207</v>
      </c>
    </row>
    <row r="12514" customFormat="false" ht="15.75" hidden="false" customHeight="false" outlineLevel="0" collapsed="false">
      <c r="A12514" s="3" t="s">
        <v>1511</v>
      </c>
      <c r="B12514" s="1" t="n">
        <v>158.35</v>
      </c>
      <c r="C12514" s="1" t="n">
        <f aca="false">1/B12514</f>
        <v>0.00631512472371329</v>
      </c>
      <c r="D12514" s="1" t="n">
        <v>0.54853</v>
      </c>
      <c r="E12514" s="1" t="n">
        <f aca="false">LN(D12514)</f>
        <v>-0.600513306140853</v>
      </c>
    </row>
    <row r="12515" customFormat="false" ht="15.75" hidden="false" customHeight="false" outlineLevel="0" collapsed="false">
      <c r="A12515" s="3" t="s">
        <v>1511</v>
      </c>
      <c r="B12515" s="1" t="n">
        <v>158.87</v>
      </c>
      <c r="C12515" s="1" t="n">
        <f aca="false">1/B12515</f>
        <v>0.00629445458551017</v>
      </c>
      <c r="D12515" s="1" t="n">
        <v>0.54307</v>
      </c>
      <c r="E12515" s="1" t="n">
        <f aca="false">LN(D12515)</f>
        <v>-0.610517053912995</v>
      </c>
    </row>
    <row r="12516" customFormat="false" ht="15.75" hidden="false" customHeight="false" outlineLevel="0" collapsed="false">
      <c r="A12516" s="3" t="s">
        <v>1511</v>
      </c>
      <c r="B12516" s="1" t="n">
        <v>159.38</v>
      </c>
      <c r="C12516" s="1" t="n">
        <f aca="false">1/B12516</f>
        <v>0.00627431296273058</v>
      </c>
      <c r="D12516" s="1" t="n">
        <v>0.5377</v>
      </c>
      <c r="E12516" s="1" t="n">
        <f aca="false">LN(D12516)</f>
        <v>-0.620454495166505</v>
      </c>
    </row>
    <row r="12517" customFormat="false" ht="15.75" hidden="false" customHeight="false" outlineLevel="0" collapsed="false">
      <c r="A12517" s="3" t="s">
        <v>1511</v>
      </c>
      <c r="B12517" s="1" t="n">
        <v>159.9</v>
      </c>
      <c r="C12517" s="1" t="n">
        <f aca="false">1/B12517</f>
        <v>0.00625390869293308</v>
      </c>
      <c r="D12517" s="1" t="n">
        <v>0.5324</v>
      </c>
      <c r="E12517" s="1" t="n">
        <f aca="false">LN(D12517)</f>
        <v>-0.63036019246118</v>
      </c>
    </row>
    <row r="12518" customFormat="false" ht="15.75" hidden="false" customHeight="false" outlineLevel="0" collapsed="false">
      <c r="A12518" s="3" t="s">
        <v>1511</v>
      </c>
      <c r="B12518" s="1" t="n">
        <v>160.42</v>
      </c>
      <c r="C12518" s="1" t="n">
        <f aca="false">1/B12518</f>
        <v>0.00623363670365291</v>
      </c>
      <c r="D12518" s="1" t="n">
        <v>0.52718</v>
      </c>
      <c r="E12518" s="1" t="n">
        <f aca="false">LN(D12518)</f>
        <v>-0.640213232780509</v>
      </c>
    </row>
    <row r="12519" customFormat="false" ht="15.75" hidden="false" customHeight="false" outlineLevel="0" collapsed="false">
      <c r="A12519" s="3" t="s">
        <v>1511</v>
      </c>
      <c r="B12519" s="1" t="n">
        <v>160.94</v>
      </c>
      <c r="C12519" s="1" t="n">
        <f aca="false">1/B12519</f>
        <v>0.00621349571268796</v>
      </c>
      <c r="D12519" s="1" t="n">
        <v>0.52204</v>
      </c>
      <c r="E12519" s="1" t="n">
        <f aca="false">LN(D12519)</f>
        <v>-0.65001106568281</v>
      </c>
    </row>
    <row r="12520" customFormat="false" ht="15.75" hidden="false" customHeight="false" outlineLevel="0" collapsed="false">
      <c r="A12520" s="3" t="s">
        <v>1511</v>
      </c>
      <c r="B12520" s="1" t="n">
        <v>161.46</v>
      </c>
      <c r="C12520" s="1" t="n">
        <f aca="false">1/B12520</f>
        <v>0.00619348445435402</v>
      </c>
      <c r="D12520" s="1" t="n">
        <v>0.51697</v>
      </c>
      <c r="E12520" s="1" t="n">
        <f aca="false">LN(D12520)</f>
        <v>-0.659770433236648</v>
      </c>
    </row>
    <row r="12521" customFormat="false" ht="15.75" hidden="false" customHeight="false" outlineLevel="0" collapsed="false">
      <c r="A12521" s="3" t="s">
        <v>1511</v>
      </c>
      <c r="B12521" s="1" t="n">
        <v>161.98</v>
      </c>
      <c r="C12521" s="1" t="n">
        <f aca="false">1/B12521</f>
        <v>0.00617360167921966</v>
      </c>
      <c r="D12521" s="1" t="n">
        <v>0.51198</v>
      </c>
      <c r="E12521" s="1" t="n">
        <f aca="false">LN(D12521)</f>
        <v>-0.669469717205589</v>
      </c>
    </row>
    <row r="12522" customFormat="false" ht="15.75" hidden="false" customHeight="false" outlineLevel="0" collapsed="false">
      <c r="A12522" s="3" t="s">
        <v>1511</v>
      </c>
      <c r="B12522" s="1" t="n">
        <v>162.49</v>
      </c>
      <c r="C12522" s="1" t="n">
        <f aca="false">1/B12522</f>
        <v>0.00615422487537695</v>
      </c>
      <c r="D12522" s="1" t="n">
        <v>0.50705</v>
      </c>
      <c r="E12522" s="1" t="n">
        <f aca="false">LN(D12522)</f>
        <v>-0.679145660924132</v>
      </c>
    </row>
    <row r="12523" customFormat="false" ht="15.75" hidden="false" customHeight="false" outlineLevel="0" collapsed="false">
      <c r="A12523" s="3" t="s">
        <v>1511</v>
      </c>
      <c r="B12523" s="1" t="n">
        <v>163.01</v>
      </c>
      <c r="C12523" s="1" t="n">
        <f aca="false">1/B12523</f>
        <v>0.00613459296975646</v>
      </c>
      <c r="D12523" s="1" t="n">
        <v>0.5022</v>
      </c>
      <c r="E12523" s="1" t="n">
        <f aca="false">LN(D12523)</f>
        <v>-0.688756832258652</v>
      </c>
    </row>
    <row r="12524" customFormat="false" ht="15.75" hidden="false" customHeight="false" outlineLevel="0" collapsed="false">
      <c r="A12524" s="3" t="s">
        <v>1511</v>
      </c>
      <c r="B12524" s="1" t="n">
        <v>163.53</v>
      </c>
      <c r="C12524" s="1" t="n">
        <f aca="false">1/B12524</f>
        <v>0.00611508591695713</v>
      </c>
      <c r="D12524" s="1" t="n">
        <v>0.49741</v>
      </c>
      <c r="E12524" s="1" t="n">
        <f aca="false">LN(D12524)</f>
        <v>-0.6983406432713</v>
      </c>
    </row>
    <row r="12525" customFormat="false" ht="15.75" hidden="false" customHeight="false" outlineLevel="0" collapsed="false">
      <c r="A12525" s="3" t="s">
        <v>1511</v>
      </c>
      <c r="B12525" s="1" t="n">
        <v>164.05</v>
      </c>
      <c r="C12525" s="1" t="n">
        <f aca="false">1/B12525</f>
        <v>0.00609570252971655</v>
      </c>
      <c r="D12525" s="1" t="n">
        <v>0.49269</v>
      </c>
      <c r="E12525" s="1" t="n">
        <f aca="false">LN(D12525)</f>
        <v>-0.707875105964558</v>
      </c>
    </row>
    <row r="12526" customFormat="false" ht="15.75" hidden="false" customHeight="false" outlineLevel="0" collapsed="false">
      <c r="A12526" s="3" t="s">
        <v>1511</v>
      </c>
      <c r="B12526" s="1" t="n">
        <v>164.57</v>
      </c>
      <c r="C12526" s="1" t="n">
        <f aca="false">1/B12526</f>
        <v>0.00607644163577809</v>
      </c>
      <c r="D12526" s="1" t="n">
        <v>0.48804</v>
      </c>
      <c r="E12526" s="1" t="n">
        <f aca="false">LN(D12526)</f>
        <v>-0.717357909275004</v>
      </c>
    </row>
    <row r="12527" customFormat="false" ht="15.75" hidden="false" customHeight="false" outlineLevel="0" collapsed="false">
      <c r="A12527" s="3" t="s">
        <v>1511</v>
      </c>
      <c r="B12527" s="1" t="n">
        <v>165.09</v>
      </c>
      <c r="C12527" s="1" t="n">
        <f aca="false">1/B12527</f>
        <v>0.00605730207765461</v>
      </c>
      <c r="D12527" s="1" t="n">
        <v>0.48345</v>
      </c>
      <c r="E12527" s="1" t="n">
        <f aca="false">LN(D12527)</f>
        <v>-0.726807382052581</v>
      </c>
    </row>
    <row r="12528" customFormat="false" ht="15.75" hidden="false" customHeight="false" outlineLevel="0" collapsed="false">
      <c r="A12528" s="3" t="s">
        <v>1511</v>
      </c>
      <c r="B12528" s="1" t="n">
        <v>165.6</v>
      </c>
      <c r="C12528" s="1" t="n">
        <f aca="false">1/B12528</f>
        <v>0.00603864734299517</v>
      </c>
      <c r="D12528" s="1" t="n">
        <v>0.47892</v>
      </c>
      <c r="E12528" s="1" t="n">
        <f aca="false">LN(D12528)</f>
        <v>-0.736221710133494</v>
      </c>
    </row>
    <row r="12529" customFormat="false" ht="15.75" hidden="false" customHeight="false" outlineLevel="0" collapsed="false">
      <c r="A12529" s="3" t="s">
        <v>1511</v>
      </c>
      <c r="B12529" s="1" t="n">
        <v>166.12</v>
      </c>
      <c r="C12529" s="1" t="n">
        <f aca="false">1/B12529</f>
        <v>0.00601974476282206</v>
      </c>
      <c r="D12529" s="1" t="n">
        <v>0.47446</v>
      </c>
      <c r="E12529" s="1" t="n">
        <f aca="false">LN(D12529)</f>
        <v>-0.745577963747919</v>
      </c>
    </row>
    <row r="12530" customFormat="false" ht="15.75" hidden="false" customHeight="false" outlineLevel="0" collapsed="false">
      <c r="A12530" s="3" t="s">
        <v>1511</v>
      </c>
      <c r="B12530" s="1" t="n">
        <v>166.64</v>
      </c>
      <c r="C12530" s="1" t="n">
        <f aca="false">1/B12530</f>
        <v>0.00600096015362458</v>
      </c>
      <c r="D12530" s="1" t="n">
        <v>0.47005</v>
      </c>
      <c r="E12530" s="1" t="n">
        <f aca="false">LN(D12530)</f>
        <v>-0.754916206957577</v>
      </c>
    </row>
    <row r="12531" customFormat="false" ht="15.75" hidden="false" customHeight="false" outlineLevel="0" collapsed="false">
      <c r="A12531" s="3" t="s">
        <v>1511</v>
      </c>
      <c r="B12531" s="1" t="n">
        <v>167.16</v>
      </c>
      <c r="C12531" s="1" t="n">
        <f aca="false">1/B12531</f>
        <v>0.00598229241445322</v>
      </c>
      <c r="D12531" s="1" t="n">
        <v>0.4657</v>
      </c>
      <c r="E12531" s="1" t="n">
        <f aca="false">LN(D12531)</f>
        <v>-0.764213628993806</v>
      </c>
    </row>
    <row r="12532" customFormat="false" ht="15.75" hidden="false" customHeight="false" outlineLevel="0" collapsed="false">
      <c r="A12532" s="3" t="s">
        <v>1511</v>
      </c>
      <c r="B12532" s="1" t="n">
        <v>167.68</v>
      </c>
      <c r="C12532" s="1" t="n">
        <f aca="false">1/B12532</f>
        <v>0.00596374045801527</v>
      </c>
      <c r="D12532" s="1" t="n">
        <v>0.46142</v>
      </c>
      <c r="E12532" s="1" t="n">
        <f aca="false">LN(D12532)</f>
        <v>-0.773446587844675</v>
      </c>
    </row>
    <row r="12533" customFormat="false" ht="15.75" hidden="false" customHeight="false" outlineLevel="0" collapsed="false">
      <c r="A12533" s="3" t="s">
        <v>1511</v>
      </c>
      <c r="B12533" s="1" t="n">
        <v>168.2</v>
      </c>
      <c r="C12533" s="1" t="n">
        <f aca="false">1/B12533</f>
        <v>0.00594530321046373</v>
      </c>
      <c r="D12533" s="1" t="n">
        <v>0.45718</v>
      </c>
      <c r="E12533" s="1" t="n">
        <f aca="false">LN(D12533)</f>
        <v>-0.782678092550235</v>
      </c>
    </row>
    <row r="12534" customFormat="false" ht="15.75" hidden="false" customHeight="false" outlineLevel="0" collapsed="false">
      <c r="A12534" s="3" t="s">
        <v>1511</v>
      </c>
      <c r="B12534" s="1" t="n">
        <v>168.71</v>
      </c>
      <c r="C12534" s="1" t="n">
        <f aca="false">1/B12534</f>
        <v>0.00592733092288542</v>
      </c>
      <c r="D12534" s="1" t="n">
        <v>0.45301</v>
      </c>
      <c r="E12534" s="1" t="n">
        <f aca="false">LN(D12534)</f>
        <v>-0.791841078687566</v>
      </c>
    </row>
    <row r="12535" customFormat="false" ht="15.75" hidden="false" customHeight="false" outlineLevel="0" collapsed="false">
      <c r="A12535" s="3" t="s">
        <v>1511</v>
      </c>
      <c r="B12535" s="1" t="n">
        <v>169.23</v>
      </c>
      <c r="C12535" s="1" t="n">
        <f aca="false">1/B12535</f>
        <v>0.00590911776871713</v>
      </c>
      <c r="D12535" s="1" t="n">
        <v>0.44889</v>
      </c>
      <c r="E12535" s="1" t="n">
        <f aca="false">LN(D12535)</f>
        <v>-0.800977410118699</v>
      </c>
    </row>
    <row r="12536" customFormat="false" ht="15.75" hidden="false" customHeight="false" outlineLevel="0" collapsed="false">
      <c r="A12536" s="3" t="s">
        <v>1511</v>
      </c>
      <c r="B12536" s="1" t="n">
        <v>169.75</v>
      </c>
      <c r="C12536" s="1" t="n">
        <f aca="false">1/B12536</f>
        <v>0.00589101620029455</v>
      </c>
      <c r="D12536" s="1" t="n">
        <v>0.44482</v>
      </c>
      <c r="E12536" s="1" t="n">
        <f aca="false">LN(D12536)</f>
        <v>-0.810085573027839</v>
      </c>
    </row>
    <row r="12537" customFormat="false" ht="15.75" hidden="false" customHeight="false" outlineLevel="0" collapsed="false">
      <c r="A12537" s="3" t="s">
        <v>1511</v>
      </c>
      <c r="B12537" s="1" t="n">
        <v>170.27</v>
      </c>
      <c r="C12537" s="1" t="n">
        <f aca="false">1/B12537</f>
        <v>0.00587302519527809</v>
      </c>
      <c r="D12537" s="1" t="n">
        <v>0.44081</v>
      </c>
      <c r="E12537" s="1" t="n">
        <f aca="false">LN(D12537)</f>
        <v>-0.819141335375348</v>
      </c>
    </row>
    <row r="12538" customFormat="false" ht="15.75" hidden="false" customHeight="false" outlineLevel="0" collapsed="false">
      <c r="A12538" s="3" t="s">
        <v>1511</v>
      </c>
      <c r="B12538" s="1" t="n">
        <v>170.79</v>
      </c>
      <c r="C12538" s="1" t="n">
        <f aca="false">1/B12538</f>
        <v>0.00585514374377891</v>
      </c>
      <c r="D12538" s="1" t="n">
        <v>0.43685</v>
      </c>
      <c r="E12538" s="1" t="n">
        <f aca="false">LN(D12538)</f>
        <v>-0.828165392238033</v>
      </c>
    </row>
    <row r="12539" customFormat="false" ht="15.75" hidden="false" customHeight="false" outlineLevel="0" collapsed="false">
      <c r="A12539" s="3" t="s">
        <v>1511</v>
      </c>
      <c r="B12539" s="1" t="n">
        <v>171.31</v>
      </c>
      <c r="C12539" s="1" t="n">
        <f aca="false">1/B12539</f>
        <v>0.00583737084816998</v>
      </c>
      <c r="D12539" s="1" t="n">
        <v>0.43293</v>
      </c>
      <c r="E12539" s="1" t="n">
        <f aca="false">LN(D12539)</f>
        <v>-0.837179226866041</v>
      </c>
    </row>
    <row r="12540" customFormat="false" ht="15.75" hidden="false" customHeight="false" outlineLevel="0" collapsed="false">
      <c r="A12540" s="3" t="s">
        <v>1511</v>
      </c>
      <c r="B12540" s="1" t="n">
        <v>171.82</v>
      </c>
      <c r="C12540" s="1" t="n">
        <f aca="false">1/B12540</f>
        <v>0.00582004423233617</v>
      </c>
      <c r="D12540" s="1" t="n">
        <v>0.42907</v>
      </c>
      <c r="E12540" s="1" t="n">
        <f aca="false">LN(D12540)</f>
        <v>-0.846135203201753</v>
      </c>
    </row>
    <row r="12541" customFormat="false" ht="15.75" hidden="false" customHeight="false" outlineLevel="0" collapsed="false">
      <c r="A12541" s="3" t="s">
        <v>1511</v>
      </c>
      <c r="B12541" s="1" t="n">
        <v>172.34</v>
      </c>
      <c r="C12541" s="1" t="n">
        <f aca="false">1/B12541</f>
        <v>0.00580248346292213</v>
      </c>
      <c r="D12541" s="1" t="n">
        <v>0.42526</v>
      </c>
      <c r="E12541" s="1" t="n">
        <f aca="false">LN(D12541)</f>
        <v>-0.855054532403582</v>
      </c>
    </row>
    <row r="12542" customFormat="false" ht="15.75" hidden="false" customHeight="false" outlineLevel="0" collapsed="false">
      <c r="A12542" s="3" t="s">
        <v>1511</v>
      </c>
      <c r="B12542" s="1" t="n">
        <v>172.86</v>
      </c>
      <c r="C12542" s="1" t="n">
        <f aca="false">1/B12542</f>
        <v>0.0057850283466389</v>
      </c>
      <c r="D12542" s="1" t="n">
        <v>0.42149</v>
      </c>
      <c r="E12542" s="1" t="n">
        <f aca="false">LN(D12542)</f>
        <v>-0.863959226614072</v>
      </c>
    </row>
    <row r="12543" customFormat="false" ht="15.75" hidden="false" customHeight="false" outlineLevel="0" collapsed="false">
      <c r="A12543" s="3" t="s">
        <v>1511</v>
      </c>
      <c r="B12543" s="1" t="n">
        <v>173.38</v>
      </c>
      <c r="C12543" s="1" t="n">
        <f aca="false">1/B12543</f>
        <v>0.00576767793286423</v>
      </c>
      <c r="D12543" s="1" t="n">
        <v>0.41778</v>
      </c>
      <c r="E12543" s="1" t="n">
        <f aca="false">LN(D12543)</f>
        <v>-0.872800300799627</v>
      </c>
    </row>
    <row r="12544" customFormat="false" ht="15.75" hidden="false" customHeight="false" outlineLevel="0" collapsed="false">
      <c r="A12544" s="3" t="s">
        <v>1511</v>
      </c>
      <c r="B12544" s="1" t="n">
        <v>173.9</v>
      </c>
      <c r="C12544" s="1" t="n">
        <f aca="false">1/B12544</f>
        <v>0.00575043128234618</v>
      </c>
      <c r="D12544" s="1" t="n">
        <v>0.4141</v>
      </c>
      <c r="E12544" s="1" t="n">
        <f aca="false">LN(D12544)</f>
        <v>-0.881647788430615</v>
      </c>
    </row>
    <row r="12545" customFormat="false" ht="15.75" hidden="false" customHeight="false" outlineLevel="0" collapsed="false">
      <c r="A12545" s="3" t="s">
        <v>1511</v>
      </c>
      <c r="B12545" s="1" t="n">
        <v>174.42</v>
      </c>
      <c r="C12545" s="1" t="n">
        <f aca="false">1/B12545</f>
        <v>0.0057332874670336</v>
      </c>
      <c r="D12545" s="1" t="n">
        <v>0.41048</v>
      </c>
      <c r="E12545" s="1" t="n">
        <f aca="false">LN(D12545)</f>
        <v>-0.890428072348428</v>
      </c>
    </row>
    <row r="12546" customFormat="false" ht="15.75" hidden="false" customHeight="false" outlineLevel="0" collapsed="false">
      <c r="A12546" s="3" t="s">
        <v>1511</v>
      </c>
      <c r="B12546" s="1" t="n">
        <v>174.93</v>
      </c>
      <c r="C12546" s="1" t="n">
        <f aca="false">1/B12546</f>
        <v>0.005716572343223</v>
      </c>
      <c r="D12546" s="1" t="n">
        <v>0.4069</v>
      </c>
      <c r="E12546" s="1" t="n">
        <f aca="false">LN(D12546)</f>
        <v>-0.899187823974493</v>
      </c>
    </row>
    <row r="12547" customFormat="false" ht="15.75" hidden="false" customHeight="false" outlineLevel="0" collapsed="false">
      <c r="A12547" s="3" t="s">
        <v>1511</v>
      </c>
      <c r="B12547" s="1" t="n">
        <v>175.45</v>
      </c>
      <c r="C12547" s="1" t="n">
        <f aca="false">1/B12547</f>
        <v>0.00569962952408094</v>
      </c>
      <c r="D12547" s="1" t="n">
        <v>0.40336</v>
      </c>
      <c r="E12547" s="1" t="n">
        <f aca="false">LN(D12547)</f>
        <v>-0.907925815542527</v>
      </c>
    </row>
    <row r="12548" customFormat="false" ht="15.75" hidden="false" customHeight="false" outlineLevel="0" collapsed="false">
      <c r="A12548" s="3" t="s">
        <v>1511</v>
      </c>
      <c r="B12548" s="1" t="n">
        <v>175.97</v>
      </c>
      <c r="C12548" s="1" t="n">
        <f aca="false">1/B12548</f>
        <v>0.00568278683866568</v>
      </c>
      <c r="D12548" s="1" t="n">
        <v>0.39986</v>
      </c>
      <c r="E12548" s="1" t="n">
        <f aca="false">LN(D12548)</f>
        <v>-0.916640793138451</v>
      </c>
    </row>
    <row r="12549" customFormat="false" ht="15.75" hidden="false" customHeight="false" outlineLevel="0" collapsed="false">
      <c r="A12549" s="3" t="s">
        <v>1511</v>
      </c>
      <c r="B12549" s="1" t="n">
        <v>176.49</v>
      </c>
      <c r="C12549" s="1" t="n">
        <f aca="false">1/B12549</f>
        <v>0.00566604340189246</v>
      </c>
      <c r="D12549" s="1" t="n">
        <v>0.39641</v>
      </c>
      <c r="E12549" s="1" t="n">
        <f aca="false">LN(D12549)</f>
        <v>-0.92530624980111</v>
      </c>
    </row>
    <row r="12550" customFormat="false" ht="15.75" hidden="false" customHeight="false" outlineLevel="0" collapsed="false">
      <c r="A12550" s="3" t="s">
        <v>1511</v>
      </c>
      <c r="B12550" s="1" t="n">
        <v>177.01</v>
      </c>
      <c r="C12550" s="1" t="n">
        <f aca="false">1/B12550</f>
        <v>0.00564939833907689</v>
      </c>
      <c r="D12550" s="1" t="n">
        <v>0.393</v>
      </c>
      <c r="E12550" s="1" t="n">
        <f aca="false">LN(D12550)</f>
        <v>-0.933945667112876</v>
      </c>
    </row>
    <row r="12551" customFormat="false" ht="15.75" hidden="false" customHeight="false" outlineLevel="0" collapsed="false">
      <c r="A12551" s="3" t="s">
        <v>1511</v>
      </c>
      <c r="B12551" s="1" t="n">
        <v>177.53</v>
      </c>
      <c r="C12551" s="1" t="n">
        <f aca="false">1/B12551</f>
        <v>0.00563285078578268</v>
      </c>
      <c r="D12551" s="1" t="n">
        <v>0.38963</v>
      </c>
      <c r="E12551" s="1" t="n">
        <f aca="false">LN(D12551)</f>
        <v>-0.942557708124875</v>
      </c>
    </row>
    <row r="12552" customFormat="false" ht="15.75" hidden="false" customHeight="false" outlineLevel="0" collapsed="false">
      <c r="A12552" s="3" t="s">
        <v>1511</v>
      </c>
      <c r="B12552" s="1" t="n">
        <v>178.04</v>
      </c>
      <c r="C12552" s="1" t="n">
        <f aca="false">1/B12552</f>
        <v>0.00561671534486632</v>
      </c>
      <c r="D12552" s="1" t="n">
        <v>0.3863</v>
      </c>
      <c r="E12552" s="1" t="n">
        <f aca="false">LN(D12552)</f>
        <v>-0.951141009309901</v>
      </c>
    </row>
    <row r="12553" customFormat="false" ht="15.75" hidden="false" customHeight="false" outlineLevel="0" collapsed="false">
      <c r="A12553" s="3" t="s">
        <v>1511</v>
      </c>
      <c r="B12553" s="1" t="n">
        <v>178.56</v>
      </c>
      <c r="C12553" s="1" t="n">
        <f aca="false">1/B12553</f>
        <v>0.00560035842293907</v>
      </c>
      <c r="D12553" s="1" t="n">
        <v>0.383</v>
      </c>
      <c r="E12553" s="1" t="n">
        <f aca="false">LN(D12553)</f>
        <v>-0.959720289801491</v>
      </c>
    </row>
    <row r="12554" customFormat="false" ht="15.75" hidden="false" customHeight="false" outlineLevel="0" collapsed="false">
      <c r="A12554" s="3" t="s">
        <v>1511</v>
      </c>
      <c r="B12554" s="1" t="n">
        <v>179.08</v>
      </c>
      <c r="C12554" s="1" t="n">
        <f aca="false">1/B12554</f>
        <v>0.0055840964931874</v>
      </c>
      <c r="D12554" s="1" t="n">
        <v>0.37975</v>
      </c>
      <c r="E12554" s="1" t="n">
        <f aca="false">LN(D12554)</f>
        <v>-0.968242137506255</v>
      </c>
    </row>
    <row r="12555" customFormat="false" ht="15.75" hidden="false" customHeight="false" outlineLevel="0" collapsed="false">
      <c r="A12555" s="3" t="s">
        <v>1511</v>
      </c>
      <c r="B12555" s="1" t="n">
        <v>179.6</v>
      </c>
      <c r="C12555" s="1" t="n">
        <f aca="false">1/B12555</f>
        <v>0.00556792873051225</v>
      </c>
      <c r="D12555" s="1" t="n">
        <v>0.37654</v>
      </c>
      <c r="E12555" s="1" t="n">
        <f aca="false">LN(D12555)</f>
        <v>-0.976730995685571</v>
      </c>
    </row>
    <row r="12556" customFormat="false" ht="15.75" hidden="false" customHeight="false" outlineLevel="0" collapsed="false">
      <c r="A12556" s="3" t="s">
        <v>1511</v>
      </c>
      <c r="B12556" s="1" t="n">
        <v>180.12</v>
      </c>
      <c r="C12556" s="1" t="n">
        <f aca="false">1/B12556</f>
        <v>0.00555185431934266</v>
      </c>
      <c r="D12556" s="1" t="n">
        <v>0.37336</v>
      </c>
      <c r="E12556" s="1" t="n">
        <f aca="false">LN(D12556)</f>
        <v>-0.985212177340577</v>
      </c>
    </row>
    <row r="12557" customFormat="false" ht="15.75" hidden="false" customHeight="false" outlineLevel="0" collapsed="false">
      <c r="A12557" s="3" t="s">
        <v>1511</v>
      </c>
      <c r="B12557" s="1" t="n">
        <v>180.64</v>
      </c>
      <c r="C12557" s="1" t="n">
        <f aca="false">1/B12557</f>
        <v>0.00553587245349867</v>
      </c>
      <c r="D12557" s="1" t="n">
        <v>0.37022</v>
      </c>
      <c r="E12557" s="1" t="n">
        <f aca="false">LN(D12557)</f>
        <v>-0.993657855450598</v>
      </c>
    </row>
    <row r="12558" customFormat="false" ht="15.75" hidden="false" customHeight="false" outlineLevel="0" collapsed="false">
      <c r="A12558" s="3" t="s">
        <v>1511</v>
      </c>
      <c r="B12558" s="1" t="n">
        <v>181.15</v>
      </c>
      <c r="C12558" s="1" t="n">
        <f aca="false">1/B12558</f>
        <v>0.00552028705492686</v>
      </c>
      <c r="D12558" s="1" t="n">
        <v>0.36711</v>
      </c>
      <c r="E12558" s="1" t="n">
        <f aca="false">LN(D12558)</f>
        <v>-1.00209374831645</v>
      </c>
    </row>
    <row r="12559" customFormat="false" ht="15.75" hidden="false" customHeight="false" outlineLevel="0" collapsed="false">
      <c r="A12559" s="3" t="s">
        <v>1511</v>
      </c>
      <c r="B12559" s="1" t="n">
        <v>181.67</v>
      </c>
      <c r="C12559" s="1" t="n">
        <f aca="false">1/B12559</f>
        <v>0.00550448615621732</v>
      </c>
      <c r="D12559" s="1" t="n">
        <v>0.36405</v>
      </c>
      <c r="E12559" s="1" t="n">
        <f aca="false">LN(D12559)</f>
        <v>-1.01046405814142</v>
      </c>
    </row>
    <row r="12560" customFormat="false" ht="15.75" hidden="false" customHeight="false" outlineLevel="0" collapsed="false">
      <c r="A12560" s="3" t="s">
        <v>1511</v>
      </c>
      <c r="B12560" s="1" t="n">
        <v>182.19</v>
      </c>
      <c r="C12560" s="1" t="n">
        <f aca="false">1/B12560</f>
        <v>0.00548877545419617</v>
      </c>
      <c r="D12560" s="1" t="n">
        <v>0.36101</v>
      </c>
      <c r="E12560" s="1" t="n">
        <f aca="false">LN(D12560)</f>
        <v>-1.01884962020189</v>
      </c>
    </row>
    <row r="12561" customFormat="false" ht="15.75" hidden="false" customHeight="false" outlineLevel="0" collapsed="false">
      <c r="A12561" s="3" t="s">
        <v>1511</v>
      </c>
      <c r="B12561" s="1" t="n">
        <v>182.71</v>
      </c>
      <c r="C12561" s="1" t="n">
        <f aca="false">1/B12561</f>
        <v>0.00547315417875322</v>
      </c>
      <c r="D12561" s="1" t="n">
        <v>0.35801</v>
      </c>
      <c r="E12561" s="1" t="n">
        <f aca="false">LN(D12561)</f>
        <v>-1.02719436001066</v>
      </c>
    </row>
    <row r="12562" customFormat="false" ht="15.75" hidden="false" customHeight="false" outlineLevel="0" collapsed="false">
      <c r="A12562" s="3" t="s">
        <v>1511</v>
      </c>
      <c r="B12562" s="1" t="n">
        <v>183.23</v>
      </c>
      <c r="C12562" s="1" t="n">
        <f aca="false">1/B12562</f>
        <v>0.00545762156852044</v>
      </c>
      <c r="D12562" s="1" t="n">
        <v>0.35505</v>
      </c>
      <c r="E12562" s="1" t="n">
        <f aca="false">LN(D12562)</f>
        <v>-1.03549665435403</v>
      </c>
    </row>
    <row r="12563" customFormat="false" ht="15.75" hidden="false" customHeight="false" outlineLevel="0" collapsed="false">
      <c r="A12563" s="3" t="s">
        <v>1511</v>
      </c>
      <c r="B12563" s="1" t="n">
        <v>183.75</v>
      </c>
      <c r="C12563" s="1" t="n">
        <f aca="false">1/B12563</f>
        <v>0.0054421768707483</v>
      </c>
      <c r="D12563" s="1" t="n">
        <v>0.35211</v>
      </c>
      <c r="E12563" s="1" t="n">
        <f aca="false">LN(D12563)</f>
        <v>-1.043811652202</v>
      </c>
    </row>
    <row r="12564" customFormat="false" ht="15.75" hidden="false" customHeight="false" outlineLevel="0" collapsed="false">
      <c r="A12564" s="3" t="s">
        <v>1511</v>
      </c>
      <c r="B12564" s="1" t="n">
        <v>184.26</v>
      </c>
      <c r="C12564" s="1" t="n">
        <f aca="false">1/B12564</f>
        <v>0.0054271138608488</v>
      </c>
      <c r="D12564" s="1" t="n">
        <v>0.34921</v>
      </c>
      <c r="E12564" s="1" t="n">
        <f aca="false">LN(D12564)</f>
        <v>-1.05208181854241</v>
      </c>
    </row>
    <row r="12565" customFormat="false" ht="15.75" hidden="false" customHeight="false" outlineLevel="0" collapsed="false">
      <c r="A12565" s="3" t="s">
        <v>1511</v>
      </c>
      <c r="B12565" s="1" t="n">
        <v>184.78</v>
      </c>
      <c r="C12565" s="1" t="n">
        <f aca="false">1/B12565</f>
        <v>0.00541184110834506</v>
      </c>
      <c r="D12565" s="1" t="n">
        <v>0.34634</v>
      </c>
      <c r="E12565" s="1" t="n">
        <f aca="false">LN(D12565)</f>
        <v>-1.06033432745813</v>
      </c>
    </row>
    <row r="12566" customFormat="false" ht="15.75" hidden="false" customHeight="false" outlineLevel="0" collapsed="false">
      <c r="A12566" s="3" t="s">
        <v>1511</v>
      </c>
      <c r="B12566" s="1" t="n">
        <v>185.3</v>
      </c>
      <c r="C12566" s="1" t="n">
        <f aca="false">1/B12566</f>
        <v>0.00539665407447383</v>
      </c>
      <c r="D12566" s="1" t="n">
        <v>0.34351</v>
      </c>
      <c r="E12566" s="1" t="n">
        <f aca="false">LN(D12566)</f>
        <v>-1.06853905566197</v>
      </c>
    </row>
    <row r="12567" customFormat="false" ht="15.75" hidden="false" customHeight="false" outlineLevel="0" collapsed="false">
      <c r="A12567" s="3" t="s">
        <v>1511</v>
      </c>
      <c r="B12567" s="1" t="n">
        <v>185.82</v>
      </c>
      <c r="C12567" s="1" t="n">
        <f aca="false">1/B12567</f>
        <v>0.00538155203960822</v>
      </c>
      <c r="D12567" s="1" t="n">
        <v>0.3407</v>
      </c>
      <c r="E12567" s="1" t="n">
        <f aca="false">LN(D12567)</f>
        <v>-1.07675295431522</v>
      </c>
    </row>
    <row r="12568" customFormat="false" ht="15.75" hidden="false" customHeight="false" outlineLevel="0" collapsed="false">
      <c r="A12568" s="3" t="s">
        <v>1511</v>
      </c>
      <c r="B12568" s="1" t="n">
        <v>186.34</v>
      </c>
      <c r="C12568" s="1" t="n">
        <f aca="false">1/B12568</f>
        <v>0.00536653429215413</v>
      </c>
      <c r="D12568" s="1" t="n">
        <v>0.33793</v>
      </c>
      <c r="E12568" s="1" t="n">
        <f aca="false">LN(D12568)</f>
        <v>-1.08491650553912</v>
      </c>
    </row>
    <row r="12569" customFormat="false" ht="15.75" hidden="false" customHeight="false" outlineLevel="0" collapsed="false">
      <c r="A12569" s="3" t="s">
        <v>1511</v>
      </c>
      <c r="B12569" s="1" t="n">
        <v>186.86</v>
      </c>
      <c r="C12569" s="1" t="n">
        <f aca="false">1/B12569</f>
        <v>0.0053516001284384</v>
      </c>
      <c r="D12569" s="1" t="n">
        <v>0.33518</v>
      </c>
      <c r="E12569" s="1" t="n">
        <f aca="false">LN(D12569)</f>
        <v>-1.09308757802541</v>
      </c>
    </row>
    <row r="12570" customFormat="false" ht="15.75" hidden="false" customHeight="false" outlineLevel="0" collapsed="false">
      <c r="A12570" s="3" t="s">
        <v>1511</v>
      </c>
      <c r="B12570" s="1" t="n">
        <v>187.37</v>
      </c>
      <c r="C12570" s="1" t="n">
        <f aca="false">1/B12570</f>
        <v>0.0053370336766825</v>
      </c>
      <c r="D12570" s="1" t="n">
        <v>0.33247</v>
      </c>
      <c r="E12570" s="1" t="n">
        <f aca="false">LN(D12570)</f>
        <v>-1.10120564852071</v>
      </c>
    </row>
    <row r="12571" customFormat="false" ht="15.75" hidden="false" customHeight="false" outlineLevel="0" collapsed="false">
      <c r="A12571" s="3" t="s">
        <v>1511</v>
      </c>
      <c r="B12571" s="1" t="n">
        <v>187.89</v>
      </c>
      <c r="C12571" s="1" t="n">
        <f aca="false">1/B12571</f>
        <v>0.00532226302623876</v>
      </c>
      <c r="D12571" s="1" t="n">
        <v>0.32978</v>
      </c>
      <c r="E12571" s="1" t="n">
        <f aca="false">LN(D12571)</f>
        <v>-1.10932951350931</v>
      </c>
    </row>
    <row r="12572" customFormat="false" ht="15.75" hidden="false" customHeight="false" outlineLevel="0" collapsed="false">
      <c r="A12572" s="3" t="s">
        <v>1511</v>
      </c>
      <c r="B12572" s="1" t="n">
        <v>188.41</v>
      </c>
      <c r="C12572" s="1" t="n">
        <f aca="false">1/B12572</f>
        <v>0.00530757390796667</v>
      </c>
      <c r="D12572" s="1" t="n">
        <v>0.32713</v>
      </c>
      <c r="E12572" s="1" t="n">
        <f aca="false">LN(D12572)</f>
        <v>-1.11739763357153</v>
      </c>
    </row>
    <row r="12573" customFormat="false" ht="15.75" hidden="false" customHeight="false" outlineLevel="0" collapsed="false">
      <c r="A12573" s="3" t="s">
        <v>1511</v>
      </c>
      <c r="B12573" s="1" t="n">
        <v>188.93</v>
      </c>
      <c r="C12573" s="1" t="n">
        <f aca="false">1/B12573</f>
        <v>0.00529296564865294</v>
      </c>
      <c r="D12573" s="1" t="n">
        <v>0.3245</v>
      </c>
      <c r="E12573" s="1" t="n">
        <f aca="false">LN(D12573)</f>
        <v>-1.12546974283799</v>
      </c>
    </row>
    <row r="12574" customFormat="false" ht="15.75" hidden="false" customHeight="false" outlineLevel="0" collapsed="false">
      <c r="A12574" s="3" t="s">
        <v>1511</v>
      </c>
      <c r="B12574" s="1" t="n">
        <v>189.45</v>
      </c>
      <c r="C12574" s="1" t="n">
        <f aca="false">1/B12574</f>
        <v>0.00527843758247559</v>
      </c>
      <c r="D12574" s="1" t="n">
        <v>0.3219</v>
      </c>
      <c r="E12574" s="1" t="n">
        <f aca="false">LN(D12574)</f>
        <v>-1.13351434067737</v>
      </c>
    </row>
    <row r="12575" customFormat="false" ht="15.75" hidden="false" customHeight="false" outlineLevel="0" collapsed="false">
      <c r="A12575" s="3" t="s">
        <v>1511</v>
      </c>
      <c r="B12575" s="1" t="n">
        <v>189.97</v>
      </c>
      <c r="C12575" s="1" t="n">
        <f aca="false">1/B12575</f>
        <v>0.00526398905090277</v>
      </c>
      <c r="D12575" s="1" t="n">
        <v>0.31932</v>
      </c>
      <c r="E12575" s="1" t="n">
        <f aca="false">LN(D12575)</f>
        <v>-1.14156154420454</v>
      </c>
    </row>
    <row r="12576" customFormat="false" ht="15.75" hidden="false" customHeight="false" outlineLevel="0" collapsed="false">
      <c r="A12576" s="3" t="s">
        <v>1511</v>
      </c>
      <c r="B12576" s="1" t="n">
        <v>190.48</v>
      </c>
      <c r="C12576" s="1" t="n">
        <f aca="false">1/B12576</f>
        <v>0.00524989500209996</v>
      </c>
      <c r="D12576" s="1" t="n">
        <v>0.31678</v>
      </c>
      <c r="E12576" s="1" t="n">
        <f aca="false">LN(D12576)</f>
        <v>-1.14954775234786</v>
      </c>
    </row>
    <row r="12577" customFormat="false" ht="15.75" hidden="false" customHeight="false" outlineLevel="0" collapsed="false">
      <c r="A12577" s="3" t="s">
        <v>1511</v>
      </c>
      <c r="B12577" s="1" t="n">
        <v>191</v>
      </c>
      <c r="C12577" s="1" t="n">
        <f aca="false">1/B12577</f>
        <v>0.00523560209424084</v>
      </c>
      <c r="D12577" s="1" t="n">
        <v>0.31426</v>
      </c>
      <c r="E12577" s="1" t="n">
        <f aca="false">LN(D12577)</f>
        <v>-1.15753461022015</v>
      </c>
    </row>
    <row r="12578" customFormat="false" ht="15.75" hidden="false" customHeight="false" outlineLevel="0" collapsed="false">
      <c r="A12578" s="3" t="s">
        <v>1511</v>
      </c>
      <c r="B12578" s="1" t="n">
        <v>191.43</v>
      </c>
      <c r="C12578" s="1" t="n">
        <f aca="false">1/B12578</f>
        <v>0.00522384161312229</v>
      </c>
      <c r="D12578" s="1" t="n">
        <v>0.3122</v>
      </c>
      <c r="E12578" s="1" t="n">
        <f aca="false">LN(D12578)</f>
        <v>-1.16411127090081</v>
      </c>
    </row>
    <row r="12579" customFormat="false" ht="15.75" hidden="false" customHeight="false" outlineLevel="0" collapsed="false">
      <c r="A12579" s="3" t="s">
        <v>148</v>
      </c>
      <c r="B12579" s="7" t="n">
        <v>343.149993896484</v>
      </c>
      <c r="C12579" s="1" t="n">
        <f aca="false">1/B12579</f>
        <v>0.00291417752524182</v>
      </c>
      <c r="D12579" s="3" t="n">
        <v>16</v>
      </c>
      <c r="E12579" s="1" t="n">
        <f aca="false">LN(D12579)</f>
        <v>2.77258872223978</v>
      </c>
    </row>
    <row r="12580" customFormat="false" ht="15.75" hidden="false" customHeight="false" outlineLevel="0" collapsed="false">
      <c r="A12580" s="3" t="s">
        <v>148</v>
      </c>
      <c r="B12580" s="7" t="n">
        <v>353.149993896484</v>
      </c>
      <c r="C12580" s="1" t="n">
        <f aca="false">1/B12580</f>
        <v>0.00283165798466111</v>
      </c>
      <c r="D12580" s="3" t="n">
        <v>11.1</v>
      </c>
      <c r="E12580" s="1" t="n">
        <f aca="false">LN(D12580)</f>
        <v>2.40694510831829</v>
      </c>
    </row>
    <row r="12581" customFormat="false" ht="15.75" hidden="false" customHeight="false" outlineLevel="0" collapsed="false">
      <c r="A12581" s="3" t="s">
        <v>150</v>
      </c>
      <c r="B12581" s="7" t="n">
        <v>298.149993896484</v>
      </c>
      <c r="C12581" s="1" t="n">
        <f aca="false">1/B12581</f>
        <v>0.00335401650334158</v>
      </c>
      <c r="D12581" s="3" t="n">
        <v>9.10100000000002</v>
      </c>
      <c r="E12581" s="1" t="n">
        <f aca="false">LN(D12581)</f>
        <v>2.20838429759522</v>
      </c>
    </row>
    <row r="12582" customFormat="false" ht="15.75" hidden="false" customHeight="false" outlineLevel="0" collapsed="false">
      <c r="A12582" s="3" t="s">
        <v>268</v>
      </c>
      <c r="B12582" s="7" t="n">
        <v>293.149993896484</v>
      </c>
      <c r="C12582" s="1" t="n">
        <f aca="false">1/B12582</f>
        <v>0.00341122299444126</v>
      </c>
      <c r="D12582" s="3" t="n">
        <v>8.947</v>
      </c>
      <c r="E12582" s="1" t="n">
        <f aca="false">LN(D12582)</f>
        <v>2.19131828056546</v>
      </c>
    </row>
    <row r="12583" customFormat="false" ht="15.75" hidden="false" customHeight="false" outlineLevel="0" collapsed="false">
      <c r="A12583" s="3" t="s">
        <v>1512</v>
      </c>
      <c r="B12583" s="7" t="n">
        <v>338.149993896484</v>
      </c>
      <c r="C12583" s="1" t="n">
        <f aca="false">1/B12583</f>
        <v>0.00295726753822188</v>
      </c>
      <c r="D12583" s="3" t="n">
        <v>1.07</v>
      </c>
      <c r="E12583" s="1" t="n">
        <f aca="false">LN(D12583)</f>
        <v>0.0676586484738149</v>
      </c>
    </row>
    <row r="12584" customFormat="false" ht="15.75" hidden="false" customHeight="false" outlineLevel="0" collapsed="false">
      <c r="A12584" s="3" t="s">
        <v>1512</v>
      </c>
      <c r="B12584" s="7" t="n">
        <v>348.149993896484</v>
      </c>
      <c r="C12584" s="1" t="n">
        <f aca="false">1/B12584</f>
        <v>0.00287232519756221</v>
      </c>
      <c r="D12584" s="3" t="n">
        <v>0.844</v>
      </c>
      <c r="E12584" s="1" t="n">
        <f aca="false">LN(D12584)</f>
        <v>-0.16960278438618</v>
      </c>
    </row>
    <row r="12585" customFormat="false" ht="15.75" hidden="false" customHeight="false" outlineLevel="0" collapsed="false">
      <c r="A12585" s="3" t="s">
        <v>1512</v>
      </c>
      <c r="B12585" s="7" t="n">
        <v>358.149993896484</v>
      </c>
      <c r="C12585" s="1" t="n">
        <f aca="false">1/B12585</f>
        <v>0.00279212625168725</v>
      </c>
      <c r="D12585" s="3" t="n">
        <v>0.682</v>
      </c>
      <c r="E12585" s="1" t="n">
        <f aca="false">LN(D12585)</f>
        <v>-0.382725621138675</v>
      </c>
    </row>
    <row r="12586" customFormat="false" ht="15.75" hidden="false" customHeight="false" outlineLevel="0" collapsed="false">
      <c r="A12586" s="3" t="s">
        <v>1512</v>
      </c>
      <c r="B12586" s="7" t="n">
        <v>368.149993896484</v>
      </c>
      <c r="C12586" s="1" t="n">
        <f aca="false">1/B12586</f>
        <v>0.00271628416835226</v>
      </c>
      <c r="D12586" s="3" t="n">
        <v>0.562</v>
      </c>
      <c r="E12586" s="1" t="n">
        <f aca="false">LN(D12586)</f>
        <v>-0.576253429088446</v>
      </c>
    </row>
    <row r="12587" customFormat="false" ht="15.75" hidden="false" customHeight="false" outlineLevel="0" collapsed="false">
      <c r="A12587" s="3" t="s">
        <v>1512</v>
      </c>
      <c r="B12587" s="7" t="n">
        <v>378.149993896484</v>
      </c>
      <c r="C12587" s="1" t="n">
        <f aca="false">1/B12587</f>
        <v>0.00264445330197134</v>
      </c>
      <c r="D12587" s="3" t="n">
        <v>0.471999999999999</v>
      </c>
      <c r="E12587" s="1" t="n">
        <f aca="false">LN(D12587)</f>
        <v>-0.750776293396584</v>
      </c>
    </row>
    <row r="12588" customFormat="false" ht="15.75" hidden="false" customHeight="false" outlineLevel="0" collapsed="false">
      <c r="A12588" s="3" t="s">
        <v>1512</v>
      </c>
      <c r="B12588" s="7" t="n">
        <v>388.149993896484</v>
      </c>
      <c r="C12588" s="1" t="n">
        <f aca="false">1/B12588</f>
        <v>0.00257632362675417</v>
      </c>
      <c r="D12588" s="3" t="n">
        <v>0.404</v>
      </c>
      <c r="E12588" s="1" t="n">
        <f aca="false">LN(D12588)</f>
        <v>-0.906340401020987</v>
      </c>
    </row>
    <row r="12589" customFormat="false" ht="15.75" hidden="false" customHeight="false" outlineLevel="0" collapsed="false">
      <c r="A12589" s="3" t="s">
        <v>1512</v>
      </c>
      <c r="B12589" s="7" t="n">
        <v>398.149993896484</v>
      </c>
      <c r="C12589" s="1" t="n">
        <f aca="false">1/B12589</f>
        <v>0.00251161626354311</v>
      </c>
      <c r="D12589" s="3" t="n">
        <v>0.349000000000001</v>
      </c>
      <c r="E12589" s="1" t="n">
        <f aca="false">LN(D12589)</f>
        <v>-1.05268335677971</v>
      </c>
    </row>
    <row r="12590" customFormat="false" ht="15.75" hidden="false" customHeight="false" outlineLevel="0" collapsed="false">
      <c r="A12590" s="3" t="s">
        <v>1513</v>
      </c>
      <c r="B12590" s="7" t="n">
        <v>293.149993896484</v>
      </c>
      <c r="C12590" s="1" t="n">
        <f aca="false">1/B12590</f>
        <v>0.00341122299444126</v>
      </c>
      <c r="D12590" s="3" t="n">
        <v>37.9999999999999</v>
      </c>
      <c r="E12590" s="1" t="n">
        <f aca="false">LN(D12590)</f>
        <v>3.63758615972638</v>
      </c>
    </row>
    <row r="12591" customFormat="false" ht="15.75" hidden="false" customHeight="false" outlineLevel="0" collapsed="false">
      <c r="A12591" s="3" t="s">
        <v>1232</v>
      </c>
      <c r="B12591" s="7" t="n">
        <v>348.200012207031</v>
      </c>
      <c r="C12591" s="1" t="n">
        <f aca="false">1/B12591</f>
        <v>0.00287191259317195</v>
      </c>
      <c r="D12591" s="3" t="n">
        <v>19.243</v>
      </c>
      <c r="E12591" s="1" t="n">
        <f aca="false">LN(D12591)</f>
        <v>2.95714735823842</v>
      </c>
    </row>
    <row r="12592" customFormat="false" ht="15.75" hidden="false" customHeight="false" outlineLevel="0" collapsed="false">
      <c r="A12592" s="3" t="s">
        <v>1232</v>
      </c>
      <c r="B12592" s="7" t="n">
        <v>353.149993896484</v>
      </c>
      <c r="C12592" s="1" t="n">
        <f aca="false">1/B12592</f>
        <v>0.00283165798466111</v>
      </c>
      <c r="D12592" s="3" t="n">
        <v>15.05</v>
      </c>
      <c r="E12592" s="1" t="n">
        <f aca="false">LN(D12592)</f>
        <v>2.71137799119488</v>
      </c>
    </row>
    <row r="12593" customFormat="false" ht="15.75" hidden="false" customHeight="false" outlineLevel="0" collapsed="false">
      <c r="A12593" s="3" t="s">
        <v>1232</v>
      </c>
      <c r="B12593" s="7" t="n">
        <v>363.200012207031</v>
      </c>
      <c r="C12593" s="1" t="n">
        <f aca="false">1/B12593</f>
        <v>0.00275330387222008</v>
      </c>
      <c r="D12593" s="3" t="n">
        <v>11.204</v>
      </c>
      <c r="E12593" s="1" t="n">
        <f aca="false">LN(D12593)</f>
        <v>2.41627085739786</v>
      </c>
    </row>
    <row r="12594" customFormat="false" ht="15.75" hidden="false" customHeight="false" outlineLevel="0" collapsed="false">
      <c r="A12594" s="3" t="s">
        <v>1232</v>
      </c>
      <c r="B12594" s="7" t="n">
        <v>378.399993896484</v>
      </c>
      <c r="C12594" s="1" t="n">
        <f aca="false">1/B12594</f>
        <v>0.00264270617370454</v>
      </c>
      <c r="D12594" s="3" t="n">
        <v>6.77600000000001</v>
      </c>
      <c r="E12594" s="1" t="n">
        <f aca="false">LN(D12594)</f>
        <v>1.91338695734975</v>
      </c>
    </row>
    <row r="12595" customFormat="false" ht="15.75" hidden="false" customHeight="false" outlineLevel="0" collapsed="false">
      <c r="A12595" s="3" t="s">
        <v>1232</v>
      </c>
      <c r="B12595" s="7" t="n">
        <v>393.399993896484</v>
      </c>
      <c r="C12595" s="1" t="n">
        <f aca="false">1/B12595</f>
        <v>0.00254194208315909</v>
      </c>
      <c r="D12595" s="3" t="n">
        <v>4.411</v>
      </c>
      <c r="E12595" s="1" t="n">
        <f aca="false">LN(D12595)</f>
        <v>1.4841014211228</v>
      </c>
    </row>
    <row r="12596" customFormat="false" ht="15.75" hidden="false" customHeight="false" outlineLevel="0" collapsed="false">
      <c r="A12596" s="3" t="s">
        <v>1232</v>
      </c>
      <c r="B12596" s="7" t="n">
        <v>403.149993896484</v>
      </c>
      <c r="C12596" s="1" t="n">
        <f aca="false">1/B12596</f>
        <v>0.00248046636522279</v>
      </c>
      <c r="D12596" s="3" t="n">
        <v>3.21000000000001</v>
      </c>
      <c r="E12596" s="1" t="n">
        <f aca="false">LN(D12596)</f>
        <v>1.16627093714193</v>
      </c>
    </row>
    <row r="12597" customFormat="false" ht="15.75" hidden="false" customHeight="false" outlineLevel="0" collapsed="false">
      <c r="A12597" s="3" t="s">
        <v>1232</v>
      </c>
      <c r="B12597" s="7" t="n">
        <v>408.200012207031</v>
      </c>
      <c r="C12597" s="1" t="n">
        <f aca="false">1/B12597</f>
        <v>0.0024497794465837</v>
      </c>
      <c r="D12597" s="3" t="n">
        <v>3.02099999999999</v>
      </c>
      <c r="E12597" s="1" t="n">
        <f aca="false">LN(D12597)</f>
        <v>1.10558790240453</v>
      </c>
    </row>
    <row r="12598" customFormat="false" ht="15.75" hidden="false" customHeight="false" outlineLevel="0" collapsed="false">
      <c r="A12598" s="3" t="s">
        <v>1232</v>
      </c>
      <c r="B12598" s="7" t="n">
        <v>423.200012207031</v>
      </c>
      <c r="C12598" s="1" t="n">
        <f aca="false">1/B12598</f>
        <v>0.00236294889214416</v>
      </c>
      <c r="D12598" s="3" t="n">
        <v>2.17</v>
      </c>
      <c r="E12598" s="1" t="n">
        <f aca="false">LN(D12598)</f>
        <v>0.774727167552368</v>
      </c>
    </row>
    <row r="12599" customFormat="false" ht="15.75" hidden="false" customHeight="false" outlineLevel="0" collapsed="false">
      <c r="A12599" s="3" t="s">
        <v>1232</v>
      </c>
      <c r="B12599" s="7" t="n">
        <v>433</v>
      </c>
      <c r="C12599" s="1" t="n">
        <f aca="false">1/B12599</f>
        <v>0.0023094688221709</v>
      </c>
      <c r="D12599" s="3" t="n">
        <v>1.786</v>
      </c>
      <c r="E12599" s="1" t="n">
        <f aca="false">LN(D12599)</f>
        <v>0.579978482454307</v>
      </c>
    </row>
    <row r="12600" customFormat="false" ht="15.75" hidden="false" customHeight="false" outlineLevel="0" collapsed="false">
      <c r="A12600" s="3" t="s">
        <v>1232</v>
      </c>
      <c r="B12600" s="7" t="n">
        <v>453.149993896484</v>
      </c>
      <c r="C12600" s="1" t="n">
        <f aca="false">1/B12600</f>
        <v>0.00220677482835504</v>
      </c>
      <c r="D12600" s="3" t="n">
        <v>1.165</v>
      </c>
      <c r="E12600" s="1" t="n">
        <f aca="false">LN(D12600)</f>
        <v>0.152721087017664</v>
      </c>
    </row>
    <row r="12601" customFormat="false" ht="15.75" hidden="false" customHeight="false" outlineLevel="0" collapsed="false">
      <c r="A12601" s="3" t="s">
        <v>1232</v>
      </c>
      <c r="B12601" s="7" t="n">
        <v>513.150024414063</v>
      </c>
      <c r="C12601" s="1" t="n">
        <f aca="false">1/B12601</f>
        <v>0.00194874783674003</v>
      </c>
      <c r="D12601" s="3" t="n">
        <v>0.525000000000001</v>
      </c>
      <c r="E12601" s="1" t="n">
        <f aca="false">LN(D12601)</f>
        <v>-0.644357016390511</v>
      </c>
    </row>
    <row r="12602" customFormat="false" ht="15.75" hidden="false" customHeight="false" outlineLevel="0" collapsed="false">
      <c r="A12602" s="3" t="s">
        <v>270</v>
      </c>
      <c r="B12602" s="7" t="n">
        <v>288.149993896484</v>
      </c>
      <c r="C12602" s="1" t="n">
        <f aca="false">1/B12602</f>
        <v>0.00347041478806778</v>
      </c>
      <c r="D12602" s="3" t="n">
        <v>2.85</v>
      </c>
      <c r="E12602" s="1" t="n">
        <f aca="false">LN(D12602)</f>
        <v>1.04731899428056</v>
      </c>
    </row>
    <row r="12603" customFormat="false" ht="15.75" hidden="false" customHeight="false" outlineLevel="0" collapsed="false">
      <c r="A12603" s="3" t="s">
        <v>270</v>
      </c>
      <c r="B12603" s="7" t="n">
        <v>293.149993896484</v>
      </c>
      <c r="C12603" s="1" t="n">
        <f aca="false">1/B12603</f>
        <v>0.00341122299444126</v>
      </c>
      <c r="D12603" s="3" t="n">
        <v>2.326</v>
      </c>
      <c r="E12603" s="1" t="n">
        <f aca="false">LN(D12603)</f>
        <v>0.844150054096473</v>
      </c>
    </row>
    <row r="12604" customFormat="false" ht="15.75" hidden="false" customHeight="false" outlineLevel="0" collapsed="false">
      <c r="A12604" s="3" t="s">
        <v>270</v>
      </c>
      <c r="B12604" s="7" t="n">
        <v>298.149993896484</v>
      </c>
      <c r="C12604" s="1" t="n">
        <f aca="false">1/B12604</f>
        <v>0.00335401650334158</v>
      </c>
      <c r="D12604" s="3" t="n">
        <v>2.05513571428571</v>
      </c>
      <c r="E12604" s="1" t="n">
        <f aca="false">LN(D12604)</f>
        <v>0.72034188678253</v>
      </c>
    </row>
    <row r="12605" customFormat="false" ht="15.75" hidden="false" customHeight="false" outlineLevel="0" collapsed="false">
      <c r="A12605" s="3" t="s">
        <v>272</v>
      </c>
      <c r="B12605" s="7" t="n">
        <v>293.149993896484</v>
      </c>
      <c r="C12605" s="1" t="n">
        <f aca="false">1/B12605</f>
        <v>0.00341122299444126</v>
      </c>
      <c r="D12605" s="3" t="n">
        <v>107</v>
      </c>
      <c r="E12605" s="1" t="n">
        <f aca="false">LN(D12605)</f>
        <v>4.67282883446191</v>
      </c>
    </row>
    <row r="12606" customFormat="false" ht="15.75" hidden="false" customHeight="false" outlineLevel="0" collapsed="false">
      <c r="A12606" s="3" t="s">
        <v>1234</v>
      </c>
      <c r="B12606" s="7" t="n">
        <v>231.149993896484</v>
      </c>
      <c r="C12606" s="1" t="n">
        <f aca="false">1/B12606</f>
        <v>0.00432619522563271</v>
      </c>
      <c r="D12606" s="3" t="n">
        <v>6710000</v>
      </c>
      <c r="E12606" s="1" t="n">
        <f aca="false">LN(D12606)</f>
        <v>15.7191095089479</v>
      </c>
    </row>
    <row r="12607" customFormat="false" ht="15.75" hidden="false" customHeight="false" outlineLevel="0" collapsed="false">
      <c r="A12607" s="3" t="s">
        <v>1234</v>
      </c>
      <c r="B12607" s="7" t="n">
        <v>231.350006103516</v>
      </c>
      <c r="C12607" s="1" t="n">
        <f aca="false">1/B12607</f>
        <v>0.00432245504049201</v>
      </c>
      <c r="D12607" s="3" t="n">
        <v>6300000</v>
      </c>
      <c r="E12607" s="1" t="n">
        <f aca="false">LN(D12607)</f>
        <v>15.6560601913618</v>
      </c>
    </row>
    <row r="12608" customFormat="false" ht="15.75" hidden="false" customHeight="false" outlineLevel="0" collapsed="false">
      <c r="A12608" s="3" t="s">
        <v>1234</v>
      </c>
      <c r="B12608" s="7" t="n">
        <v>236.850006103516</v>
      </c>
      <c r="C12608" s="1" t="n">
        <f aca="false">1/B12608</f>
        <v>0.00422208137737158</v>
      </c>
      <c r="D12608" s="3" t="n">
        <v>2170000</v>
      </c>
      <c r="E12608" s="1" t="n">
        <f aca="false">LN(D12608)</f>
        <v>14.5902377255166</v>
      </c>
    </row>
    <row r="12609" customFormat="false" ht="15.75" hidden="false" customHeight="false" outlineLevel="0" collapsed="false">
      <c r="A12609" s="3" t="s">
        <v>1234</v>
      </c>
      <c r="B12609" s="7" t="n">
        <v>237.149993896484</v>
      </c>
      <c r="C12609" s="1" t="n">
        <f aca="false">1/B12609</f>
        <v>0.00421674056815072</v>
      </c>
      <c r="D12609" s="3" t="n">
        <v>2050000</v>
      </c>
      <c r="E12609" s="1" t="n">
        <f aca="false">LN(D12609)</f>
        <v>14.5333503511146</v>
      </c>
    </row>
    <row r="12610" customFormat="false" ht="15.75" hidden="false" customHeight="false" outlineLevel="0" collapsed="false">
      <c r="A12610" s="3" t="s">
        <v>1234</v>
      </c>
      <c r="B12610" s="7" t="n">
        <v>244.25</v>
      </c>
      <c r="C12610" s="1" t="n">
        <f aca="false">1/B12610</f>
        <v>0.00409416581371546</v>
      </c>
      <c r="D12610" s="3" t="n">
        <v>536000</v>
      </c>
      <c r="E12610" s="1" t="n">
        <f aca="false">LN(D12610)</f>
        <v>13.1918894400529</v>
      </c>
    </row>
    <row r="12611" customFormat="false" ht="15.75" hidden="false" customHeight="false" outlineLevel="0" collapsed="false">
      <c r="A12611" s="3" t="s">
        <v>1234</v>
      </c>
      <c r="B12611" s="7" t="n">
        <v>248.149993896484</v>
      </c>
      <c r="C12611" s="1" t="n">
        <f aca="false">1/B12611</f>
        <v>0.00402982077209783</v>
      </c>
      <c r="D12611" s="3" t="n">
        <v>262000</v>
      </c>
      <c r="E12611" s="1" t="n">
        <f aca="false">LN(D12611)</f>
        <v>12.4760997827432</v>
      </c>
    </row>
    <row r="12612" customFormat="false" ht="15.75" hidden="false" customHeight="false" outlineLevel="0" collapsed="false">
      <c r="A12612" s="3" t="s">
        <v>1234</v>
      </c>
      <c r="B12612" s="7" t="n">
        <v>253.149993896484</v>
      </c>
      <c r="C12612" s="1" t="n">
        <f aca="false">1/B12612</f>
        <v>0.0039502272333015</v>
      </c>
      <c r="D12612" s="3" t="n">
        <v>134000</v>
      </c>
      <c r="E12612" s="1" t="n">
        <f aca="false">LN(D12612)</f>
        <v>11.805595078933</v>
      </c>
    </row>
    <row r="12613" customFormat="false" ht="15.75" hidden="false" customHeight="false" outlineLevel="0" collapsed="false">
      <c r="A12613" s="3" t="s">
        <v>1234</v>
      </c>
      <c r="B12613" s="7" t="n">
        <v>253.649993896484</v>
      </c>
      <c r="C12613" s="1" t="n">
        <f aca="false">1/B12613</f>
        <v>0.00394244046545535</v>
      </c>
      <c r="D12613" s="3" t="n">
        <v>123000</v>
      </c>
      <c r="E12613" s="1" t="n">
        <f aca="false">LN(D12613)</f>
        <v>11.7199396343546</v>
      </c>
    </row>
    <row r="12614" customFormat="false" ht="15.75" hidden="false" customHeight="false" outlineLevel="0" collapsed="false">
      <c r="A12614" s="3" t="s">
        <v>1234</v>
      </c>
      <c r="B12614" s="7" t="n">
        <v>257.75</v>
      </c>
      <c r="C12614" s="1" t="n">
        <f aca="false">1/B12614</f>
        <v>0.00387972841901067</v>
      </c>
      <c r="D12614" s="3" t="n">
        <v>66500</v>
      </c>
      <c r="E12614" s="1" t="n">
        <f aca="false">LN(D12614)</f>
        <v>11.1049572266439</v>
      </c>
    </row>
    <row r="12615" customFormat="false" ht="15.75" hidden="false" customHeight="false" outlineLevel="0" collapsed="false">
      <c r="A12615" s="3" t="s">
        <v>1234</v>
      </c>
      <c r="B12615" s="7" t="n">
        <v>262.350006103516</v>
      </c>
      <c r="C12615" s="1" t="n">
        <f aca="false">1/B12615</f>
        <v>0.00381170183623105</v>
      </c>
      <c r="D12615" s="3" t="n">
        <v>35450</v>
      </c>
      <c r="E12615" s="1" t="n">
        <f aca="false">LN(D12615)</f>
        <v>10.4758785319603</v>
      </c>
    </row>
    <row r="12616" customFormat="false" ht="15.75" hidden="false" customHeight="false" outlineLevel="0" collapsed="false">
      <c r="A12616" s="3" t="s">
        <v>1234</v>
      </c>
      <c r="B12616" s="7" t="n">
        <v>268.950012207031</v>
      </c>
      <c r="C12616" s="1" t="n">
        <f aca="false">1/B12616</f>
        <v>0.00371816305860669</v>
      </c>
      <c r="D12616" s="3" t="n">
        <v>14850</v>
      </c>
      <c r="E12616" s="1" t="n">
        <f aca="false">LN(D12616)</f>
        <v>9.60575514423085</v>
      </c>
    </row>
    <row r="12617" customFormat="false" ht="15.75" hidden="false" customHeight="false" outlineLevel="0" collapsed="false">
      <c r="A12617" s="3" t="s">
        <v>1234</v>
      </c>
      <c r="B12617" s="7" t="n">
        <v>293.149993896484</v>
      </c>
      <c r="C12617" s="1" t="n">
        <f aca="false">1/B12617</f>
        <v>0.00341122299444126</v>
      </c>
      <c r="D12617" s="3" t="n">
        <v>1412</v>
      </c>
      <c r="E12617" s="1" t="n">
        <f aca="false">LN(D12617)</f>
        <v>7.25276241805319</v>
      </c>
    </row>
    <row r="12618" customFormat="false" ht="15.75" hidden="false" customHeight="false" outlineLevel="0" collapsed="false">
      <c r="A12618" s="3" t="s">
        <v>1234</v>
      </c>
      <c r="B12618" s="7" t="n">
        <v>298.149993896484</v>
      </c>
      <c r="C12618" s="1" t="n">
        <f aca="false">1/B12618</f>
        <v>0.00335401650334158</v>
      </c>
      <c r="D12618" s="3" t="n">
        <v>944.999999999999</v>
      </c>
      <c r="E12618" s="1" t="n">
        <f aca="false">LN(D12618)</f>
        <v>6.85118492749374</v>
      </c>
    </row>
    <row r="12619" customFormat="false" ht="15.75" hidden="false" customHeight="false" outlineLevel="0" collapsed="false">
      <c r="A12619" s="3" t="s">
        <v>1234</v>
      </c>
      <c r="B12619" s="7" t="n">
        <v>303.149993896484</v>
      </c>
      <c r="C12619" s="1" t="n">
        <f aca="false">1/B12619</f>
        <v>0.00329869708109401</v>
      </c>
      <c r="D12619" s="3" t="n">
        <v>612.000000000001</v>
      </c>
      <c r="E12619" s="1" t="n">
        <f aca="false">LN(D12619)</f>
        <v>6.41673228251233</v>
      </c>
    </row>
    <row r="12620" customFormat="false" ht="15.75" hidden="false" customHeight="false" outlineLevel="0" collapsed="false">
      <c r="A12620" s="3" t="s">
        <v>1234</v>
      </c>
      <c r="B12620" s="7" t="n">
        <v>323.149993896484</v>
      </c>
      <c r="C12620" s="1" t="n">
        <f aca="false">1/B12620</f>
        <v>0.00309453819863086</v>
      </c>
      <c r="D12620" s="3" t="n">
        <v>142</v>
      </c>
      <c r="E12620" s="1" t="n">
        <f aca="false">LN(D12620)</f>
        <v>4.95582705760126</v>
      </c>
    </row>
    <row r="12621" customFormat="false" ht="15.75" hidden="false" customHeight="false" outlineLevel="0" collapsed="false">
      <c r="A12621" s="3" t="s">
        <v>1236</v>
      </c>
      <c r="B12621" s="7" t="n">
        <v>293.149993896484</v>
      </c>
      <c r="C12621" s="1" t="n">
        <f aca="false">1/B12621</f>
        <v>0.00341122299444126</v>
      </c>
      <c r="D12621" s="3" t="n">
        <v>61.8999999999999</v>
      </c>
      <c r="E12621" s="1" t="n">
        <f aca="false">LN(D12621)</f>
        <v>4.12552017969055</v>
      </c>
    </row>
    <row r="12622" customFormat="false" ht="15.75" hidden="false" customHeight="false" outlineLevel="0" collapsed="false">
      <c r="A12622" s="3" t="s">
        <v>1236</v>
      </c>
      <c r="B12622" s="7" t="n">
        <v>293.799987792969</v>
      </c>
      <c r="C12622" s="1" t="n">
        <f aca="false">1/B12622</f>
        <v>0.00340367611146623</v>
      </c>
      <c r="D12622" s="3" t="n">
        <v>56.18</v>
      </c>
      <c r="E12622" s="1" t="n">
        <f aca="false">LN(D12622)</f>
        <v>4.0285608216761</v>
      </c>
    </row>
    <row r="12623" customFormat="false" ht="15.75" hidden="false" customHeight="false" outlineLevel="0" collapsed="false">
      <c r="A12623" s="3" t="s">
        <v>1236</v>
      </c>
      <c r="B12623" s="7" t="n">
        <v>298.149993896484</v>
      </c>
      <c r="C12623" s="1" t="n">
        <f aca="false">1/B12623</f>
        <v>0.00335401650334158</v>
      </c>
      <c r="D12623" s="3" t="n">
        <v>44.5999999999999</v>
      </c>
      <c r="E12623" s="1" t="n">
        <f aca="false">LN(D12623)</f>
        <v>3.79773385902602</v>
      </c>
    </row>
    <row r="12624" customFormat="false" ht="15.75" hidden="false" customHeight="false" outlineLevel="0" collapsed="false">
      <c r="A12624" s="3" t="s">
        <v>1236</v>
      </c>
      <c r="B12624" s="7" t="n">
        <v>303.399993896484</v>
      </c>
      <c r="C12624" s="1" t="n">
        <f aca="false">1/B12624</f>
        <v>0.00329597897204041</v>
      </c>
      <c r="D12624" s="3" t="n">
        <v>34.74</v>
      </c>
      <c r="E12624" s="1" t="n">
        <f aca="false">LN(D12624)</f>
        <v>3.54789176081296</v>
      </c>
    </row>
    <row r="12625" customFormat="false" ht="15.75" hidden="false" customHeight="false" outlineLevel="0" collapsed="false">
      <c r="A12625" s="3" t="s">
        <v>1236</v>
      </c>
      <c r="B12625" s="7" t="n">
        <v>313.299987792969</v>
      </c>
      <c r="C12625" s="1" t="n">
        <f aca="false">1/B12625</f>
        <v>0.00319182904233245</v>
      </c>
      <c r="D12625" s="3" t="n">
        <v>22.51</v>
      </c>
      <c r="E12625" s="1" t="n">
        <f aca="false">LN(D12625)</f>
        <v>3.11395965491864</v>
      </c>
    </row>
    <row r="12626" customFormat="false" ht="15.75" hidden="false" customHeight="false" outlineLevel="0" collapsed="false">
      <c r="A12626" s="3" t="s">
        <v>1236</v>
      </c>
      <c r="B12626" s="7" t="n">
        <v>333.149993896484</v>
      </c>
      <c r="C12626" s="1" t="n">
        <f aca="false">1/B12626</f>
        <v>0.00300165096299152</v>
      </c>
      <c r="D12626" s="3" t="n">
        <v>10.2</v>
      </c>
      <c r="E12626" s="1" t="n">
        <f aca="false">LN(D12626)</f>
        <v>2.32238772029023</v>
      </c>
    </row>
    <row r="12627" customFormat="false" ht="15.75" hidden="false" customHeight="false" outlineLevel="0" collapsed="false">
      <c r="A12627" s="3" t="s">
        <v>1236</v>
      </c>
      <c r="B12627" s="7" t="n">
        <v>333.299987792969</v>
      </c>
      <c r="C12627" s="1" t="n">
        <f aca="false">1/B12627</f>
        <v>0.00300030013988826</v>
      </c>
      <c r="D12627" s="3" t="n">
        <v>11.11</v>
      </c>
      <c r="E12627" s="1" t="n">
        <f aca="false">LN(D12627)</f>
        <v>2.40784560365154</v>
      </c>
    </row>
    <row r="12628" customFormat="false" ht="15.75" hidden="false" customHeight="false" outlineLevel="0" collapsed="false">
      <c r="A12628" s="3" t="s">
        <v>1236</v>
      </c>
      <c r="B12628" s="7" t="n">
        <v>353.299987792969</v>
      </c>
      <c r="C12628" s="1" t="n">
        <f aca="false">1/B12628</f>
        <v>0.00283045580116462</v>
      </c>
      <c r="D12628" s="3" t="n">
        <v>6.38699999999999</v>
      </c>
      <c r="E12628" s="1" t="n">
        <f aca="false">LN(D12628)</f>
        <v>1.85426467457945</v>
      </c>
    </row>
    <row r="12629" customFormat="false" ht="15.75" hidden="false" customHeight="false" outlineLevel="0" collapsed="false">
      <c r="A12629" s="3" t="s">
        <v>1236</v>
      </c>
      <c r="B12629" s="7" t="n">
        <v>373.200012207031</v>
      </c>
      <c r="C12629" s="1" t="n">
        <f aca="false">1/B12629</f>
        <v>0.00267952831535615</v>
      </c>
      <c r="D12629" s="3" t="n">
        <v>4.07299999999999</v>
      </c>
      <c r="E12629" s="1" t="n">
        <f aca="false">LN(D12629)</f>
        <v>1.40437982866627</v>
      </c>
    </row>
    <row r="12630" customFormat="false" ht="15.75" hidden="false" customHeight="false" outlineLevel="0" collapsed="false">
      <c r="A12630" s="3" t="s">
        <v>1236</v>
      </c>
      <c r="B12630" s="7" t="n">
        <v>393.399993896484</v>
      </c>
      <c r="C12630" s="1" t="n">
        <f aca="false">1/B12630</f>
        <v>0.00254194208315909</v>
      </c>
      <c r="D12630" s="3" t="n">
        <v>2.805</v>
      </c>
      <c r="E12630" s="1" t="n">
        <f aca="false">LN(D12630)</f>
        <v>1.03140353897466</v>
      </c>
    </row>
    <row r="12631" customFormat="false" ht="15.75" hidden="false" customHeight="false" outlineLevel="0" collapsed="false">
      <c r="A12631" s="3" t="s">
        <v>1236</v>
      </c>
      <c r="B12631" s="7" t="n">
        <v>413.5</v>
      </c>
      <c r="C12631" s="1" t="n">
        <f aca="false">1/B12631</f>
        <v>0.00241837968561064</v>
      </c>
      <c r="D12631" s="3" t="n">
        <v>2.034</v>
      </c>
      <c r="E12631" s="1" t="n">
        <f aca="false">LN(D12631)</f>
        <v>0.710004297626368</v>
      </c>
    </row>
    <row r="12632" customFormat="false" ht="15.75" hidden="false" customHeight="false" outlineLevel="0" collapsed="false">
      <c r="A12632" s="3" t="s">
        <v>1236</v>
      </c>
      <c r="B12632" s="7" t="n">
        <v>425.700012207031</v>
      </c>
      <c r="C12632" s="1" t="n">
        <f aca="false">1/B12632</f>
        <v>0.00234907204915388</v>
      </c>
      <c r="D12632" s="3" t="n">
        <v>1.716</v>
      </c>
      <c r="E12632" s="1" t="n">
        <f aca="false">LN(D12632)</f>
        <v>0.539996001065771</v>
      </c>
    </row>
    <row r="12633" customFormat="false" ht="15.75" hidden="false" customHeight="false" outlineLevel="0" collapsed="false">
      <c r="A12633" s="3" t="s">
        <v>152</v>
      </c>
      <c r="B12633" s="7" t="n">
        <v>293.149993896484</v>
      </c>
      <c r="C12633" s="1" t="n">
        <f aca="false">1/B12633</f>
        <v>0.00341122299444126</v>
      </c>
      <c r="D12633" s="3" t="n">
        <v>8.18999999999998</v>
      </c>
      <c r="E12633" s="1" t="n">
        <f aca="false">LN(D12633)</f>
        <v>2.10291389786498</v>
      </c>
    </row>
    <row r="12634" customFormat="false" ht="15.75" hidden="false" customHeight="false" outlineLevel="0" collapsed="false">
      <c r="A12634" s="3" t="s">
        <v>152</v>
      </c>
      <c r="B12634" s="7" t="n">
        <v>298.149993896484</v>
      </c>
      <c r="C12634" s="1" t="n">
        <f aca="false">1/B12634</f>
        <v>0.00335401650334158</v>
      </c>
      <c r="D12634" s="3" t="n">
        <v>6.49</v>
      </c>
      <c r="E12634" s="1" t="n">
        <f aca="false">LN(D12634)</f>
        <v>1.870262530716</v>
      </c>
    </row>
    <row r="12635" customFormat="false" ht="15.75" hidden="false" customHeight="false" outlineLevel="0" collapsed="false">
      <c r="A12635" s="3" t="s">
        <v>1238</v>
      </c>
      <c r="B12635" s="7" t="n">
        <v>273.149993896484</v>
      </c>
      <c r="C12635" s="1" t="n">
        <f aca="false">1/B12635</f>
        <v>0.00366099221067152</v>
      </c>
      <c r="D12635" s="3" t="n">
        <v>23.93</v>
      </c>
      <c r="E12635" s="1" t="n">
        <f aca="false">LN(D12635)</f>
        <v>3.17513290192028</v>
      </c>
    </row>
    <row r="12636" customFormat="false" ht="15.75" hidden="false" customHeight="false" outlineLevel="0" collapsed="false">
      <c r="A12636" s="3" t="s">
        <v>1238</v>
      </c>
      <c r="B12636" s="7" t="n">
        <v>293.149993896484</v>
      </c>
      <c r="C12636" s="1" t="n">
        <f aca="false">1/B12636</f>
        <v>0.00341122299444126</v>
      </c>
      <c r="D12636" s="3" t="n">
        <v>8.84000000000002</v>
      </c>
      <c r="E12636" s="1" t="n">
        <f aca="false">LN(D12636)</f>
        <v>2.17928687664955</v>
      </c>
    </row>
    <row r="12637" customFormat="false" ht="15.75" hidden="false" customHeight="false" outlineLevel="0" collapsed="false">
      <c r="A12637" s="3" t="s">
        <v>1238</v>
      </c>
      <c r="B12637" s="7" t="n">
        <v>323.149993896484</v>
      </c>
      <c r="C12637" s="1" t="n">
        <f aca="false">1/B12637</f>
        <v>0.00309453819863086</v>
      </c>
      <c r="D12637" s="3" t="n">
        <v>3.28</v>
      </c>
      <c r="E12637" s="1" t="n">
        <f aca="false">LN(D12637)</f>
        <v>1.18784342239605</v>
      </c>
    </row>
    <row r="12638" customFormat="false" ht="15.75" hidden="false" customHeight="false" outlineLevel="0" collapsed="false">
      <c r="A12638" s="3" t="s">
        <v>1238</v>
      </c>
      <c r="B12638" s="7" t="n">
        <v>353.149993896484</v>
      </c>
      <c r="C12638" s="1" t="n">
        <f aca="false">1/B12638</f>
        <v>0.00283165798466111</v>
      </c>
      <c r="D12638" s="3" t="n">
        <v>1.73</v>
      </c>
      <c r="E12638" s="1" t="n">
        <f aca="false">LN(D12638)</f>
        <v>0.548121408509688</v>
      </c>
    </row>
    <row r="12639" customFormat="false" ht="15.75" hidden="false" customHeight="false" outlineLevel="0" collapsed="false">
      <c r="A12639" s="3" t="s">
        <v>1238</v>
      </c>
      <c r="B12639" s="7" t="n">
        <v>373.149993896484</v>
      </c>
      <c r="C12639" s="1" t="n">
        <f aca="false">1/B12639</f>
        <v>0.00267988748856153</v>
      </c>
      <c r="D12639" s="3" t="n">
        <v>1.26</v>
      </c>
      <c r="E12639" s="1" t="n">
        <f aca="false">LN(D12639)</f>
        <v>0.231111720963387</v>
      </c>
    </row>
    <row r="12640" customFormat="false" ht="15.75" hidden="false" customHeight="false" outlineLevel="0" collapsed="false">
      <c r="A12640" s="3" t="s">
        <v>154</v>
      </c>
      <c r="B12640" s="7" t="n">
        <v>333.149993896484</v>
      </c>
      <c r="C12640" s="1" t="n">
        <f aca="false">1/B12640</f>
        <v>0.00300165096299152</v>
      </c>
      <c r="D12640" s="3" t="n">
        <v>1.0782</v>
      </c>
      <c r="E12640" s="1" t="n">
        <f aca="false">LN(D12640)</f>
        <v>0.0752929840354314</v>
      </c>
    </row>
    <row r="12641" customFormat="false" ht="15.75" hidden="false" customHeight="false" outlineLevel="0" collapsed="false">
      <c r="A12641" s="3" t="s">
        <v>154</v>
      </c>
      <c r="B12641" s="7" t="n">
        <v>372.040008544922</v>
      </c>
      <c r="C12641" s="1" t="n">
        <f aca="false">1/B12641</f>
        <v>0.0026878829615962</v>
      </c>
      <c r="D12641" s="3" t="n">
        <v>0.689659999999999</v>
      </c>
      <c r="E12641" s="1" t="n">
        <f aca="false">LN(D12641)</f>
        <v>-0.371556556456984</v>
      </c>
    </row>
    <row r="12642" customFormat="false" ht="15.75" hidden="false" customHeight="false" outlineLevel="0" collapsed="false">
      <c r="A12642" s="3" t="s">
        <v>1514</v>
      </c>
      <c r="B12642" s="7" t="n">
        <v>408.149993896484</v>
      </c>
      <c r="C12642" s="1" t="n">
        <f aca="false">1/B12642</f>
        <v>0.00245007966422663</v>
      </c>
      <c r="D12642" s="3" t="n">
        <v>0.410000000000001</v>
      </c>
      <c r="E12642" s="1" t="n">
        <f aca="false">LN(D12642)</f>
        <v>-0.891598119283781</v>
      </c>
    </row>
    <row r="12643" customFormat="false" ht="15.75" hidden="false" customHeight="false" outlineLevel="0" collapsed="false">
      <c r="A12643" s="3" t="s">
        <v>1514</v>
      </c>
      <c r="B12643" s="7" t="n">
        <v>423.149993896484</v>
      </c>
      <c r="C12643" s="1" t="n">
        <f aca="false">1/B12643</f>
        <v>0.00236322820376699</v>
      </c>
      <c r="D12643" s="3" t="n">
        <v>0.360000000000001</v>
      </c>
      <c r="E12643" s="1" t="n">
        <f aca="false">LN(D12643)</f>
        <v>-1.02165124753198</v>
      </c>
    </row>
    <row r="12644" customFormat="false" ht="15.75" hidden="false" customHeight="false" outlineLevel="0" collapsed="false">
      <c r="A12644" s="3" t="s">
        <v>1240</v>
      </c>
      <c r="B12644" s="7" t="n">
        <v>373.149993896484</v>
      </c>
      <c r="C12644" s="1" t="n">
        <f aca="false">1/B12644</f>
        <v>0.00267988748856153</v>
      </c>
      <c r="D12644" s="3" t="n">
        <v>4.18499999999999</v>
      </c>
      <c r="E12644" s="1" t="n">
        <f aca="false">LN(D12644)</f>
        <v>1.43150670394144</v>
      </c>
    </row>
    <row r="12645" customFormat="false" ht="15.75" hidden="false" customHeight="false" outlineLevel="0" collapsed="false">
      <c r="A12645" s="3" t="s">
        <v>1240</v>
      </c>
      <c r="B12645" s="7" t="n">
        <v>398.149993896484</v>
      </c>
      <c r="C12645" s="1" t="n">
        <f aca="false">1/B12645</f>
        <v>0.00251161626354311</v>
      </c>
      <c r="D12645" s="3" t="n">
        <v>2.61</v>
      </c>
      <c r="E12645" s="1" t="n">
        <f aca="false">LN(D12645)</f>
        <v>0.959350221334602</v>
      </c>
    </row>
    <row r="12646" customFormat="false" ht="15.75" hidden="false" customHeight="false" outlineLevel="0" collapsed="false">
      <c r="A12646" s="3" t="s">
        <v>1240</v>
      </c>
      <c r="B12646" s="7" t="n">
        <v>423.149993896484</v>
      </c>
      <c r="C12646" s="1" t="n">
        <f aca="false">1/B12646</f>
        <v>0.00236322820376699</v>
      </c>
      <c r="D12646" s="3" t="n">
        <v>1.68333333333333</v>
      </c>
      <c r="E12646" s="1" t="n">
        <f aca="false">LN(D12646)</f>
        <v>0.520775954619157</v>
      </c>
    </row>
    <row r="12647" customFormat="false" ht="15.75" hidden="false" customHeight="false" outlineLevel="0" collapsed="false">
      <c r="A12647" s="3" t="s">
        <v>1240</v>
      </c>
      <c r="B12647" s="7" t="n">
        <v>448.149993896484</v>
      </c>
      <c r="C12647" s="1" t="n">
        <f aca="false">1/B12647</f>
        <v>0.00223139576842432</v>
      </c>
      <c r="D12647" s="3" t="n">
        <v>1.34</v>
      </c>
      <c r="E12647" s="1" t="n">
        <f aca="false">LN(D12647)</f>
        <v>0.29266961396282</v>
      </c>
    </row>
    <row r="12648" customFormat="false" ht="15.75" hidden="false" customHeight="false" outlineLevel="0" collapsed="false">
      <c r="A12648" s="3" t="s">
        <v>1240</v>
      </c>
      <c r="B12648" s="7" t="n">
        <v>473.149993896484</v>
      </c>
      <c r="C12648" s="1" t="n">
        <f aca="false">1/B12648</f>
        <v>0.00211349469068952</v>
      </c>
      <c r="D12648" s="3" t="n">
        <v>0.933333333333333</v>
      </c>
      <c r="E12648" s="1" t="n">
        <f aca="false">LN(D12648)</f>
        <v>-0.0689928714869518</v>
      </c>
    </row>
    <row r="12649" customFormat="false" ht="15.75" hidden="false" customHeight="false" outlineLevel="0" collapsed="false">
      <c r="A12649" s="3" t="s">
        <v>1240</v>
      </c>
      <c r="B12649" s="7" t="n">
        <v>498.149993896484</v>
      </c>
      <c r="C12649" s="1" t="n">
        <f aca="false">1/B12649</f>
        <v>0.00200742750627796</v>
      </c>
      <c r="D12649" s="3" t="n">
        <v>0.779999999999998</v>
      </c>
      <c r="E12649" s="1" t="n">
        <f aca="false">LN(D12649)</f>
        <v>-0.248461359298502</v>
      </c>
    </row>
    <row r="12650" customFormat="false" ht="15.75" hidden="false" customHeight="false" outlineLevel="0" collapsed="false">
      <c r="A12650" s="3" t="s">
        <v>1240</v>
      </c>
      <c r="B12650" s="7" t="n">
        <v>523.150024414062</v>
      </c>
      <c r="C12650" s="1" t="n">
        <f aca="false">1/B12650</f>
        <v>0.0019114975692107</v>
      </c>
      <c r="D12650" s="3" t="n">
        <v>0.589999999999999</v>
      </c>
      <c r="E12650" s="1" t="n">
        <f aca="false">LN(D12650)</f>
        <v>-0.527632742082374</v>
      </c>
    </row>
    <row r="12651" customFormat="false" ht="15.75" hidden="false" customHeight="false" outlineLevel="0" collapsed="false">
      <c r="A12651" s="3" t="s">
        <v>1240</v>
      </c>
      <c r="B12651" s="7" t="n">
        <v>548.150024414062</v>
      </c>
      <c r="C12651" s="1" t="n">
        <f aca="false">1/B12651</f>
        <v>0.00182431807983396</v>
      </c>
      <c r="D12651" s="3" t="n">
        <v>0.49</v>
      </c>
      <c r="E12651" s="1" t="n">
        <f aca="false">LN(D12651)</f>
        <v>-0.713349887877465</v>
      </c>
    </row>
    <row r="12652" customFormat="false" ht="15.75" hidden="false" customHeight="false" outlineLevel="0" collapsed="false">
      <c r="A12652" s="3" t="s">
        <v>1240</v>
      </c>
      <c r="B12652" s="7" t="n">
        <v>573.150024414062</v>
      </c>
      <c r="C12652" s="1" t="n">
        <f aca="false">1/B12652</f>
        <v>0.00174474388450443</v>
      </c>
      <c r="D12652" s="3" t="n">
        <v>0.405333333333334</v>
      </c>
      <c r="E12652" s="1" t="n">
        <f aca="false">LN(D12652)</f>
        <v>-0.903045505124133</v>
      </c>
    </row>
    <row r="12653" customFormat="false" ht="15.75" hidden="false" customHeight="false" outlineLevel="0" collapsed="false">
      <c r="A12653" s="3" t="s">
        <v>1240</v>
      </c>
      <c r="B12653" s="7" t="n">
        <v>598.150024414062</v>
      </c>
      <c r="C12653" s="1" t="n">
        <f aca="false">1/B12653</f>
        <v>0.00167182138123221</v>
      </c>
      <c r="D12653" s="3" t="n">
        <v>0.34</v>
      </c>
      <c r="E12653" s="1" t="n">
        <f aca="false">LN(D12653)</f>
        <v>-1.07880966137193</v>
      </c>
    </row>
    <row r="12654" customFormat="false" ht="15.75" hidden="false" customHeight="false" outlineLevel="0" collapsed="false">
      <c r="A12654" s="3" t="s">
        <v>1240</v>
      </c>
      <c r="B12654" s="7" t="n">
        <v>623.150024414062</v>
      </c>
      <c r="C12654" s="1" t="n">
        <f aca="false">1/B12654</f>
        <v>0.00160474999730648</v>
      </c>
      <c r="D12654" s="3" t="n">
        <v>0.303000000000001</v>
      </c>
      <c r="E12654" s="1" t="n">
        <f aca="false">LN(D12654)</f>
        <v>-1.19402247347276</v>
      </c>
    </row>
    <row r="12655" customFormat="false" ht="15.75" hidden="false" customHeight="false" outlineLevel="0" collapsed="false">
      <c r="A12655" s="3" t="s">
        <v>1240</v>
      </c>
      <c r="B12655" s="7" t="n">
        <v>673.150024414062</v>
      </c>
      <c r="C12655" s="1" t="n">
        <f aca="false">1/B12655</f>
        <v>0.00148555294322457</v>
      </c>
      <c r="D12655" s="3" t="n">
        <v>0.236</v>
      </c>
      <c r="E12655" s="1" t="n">
        <f aca="false">LN(D12655)</f>
        <v>-1.44392347395653</v>
      </c>
    </row>
    <row r="12656" customFormat="false" ht="15.75" hidden="false" customHeight="false" outlineLevel="0" collapsed="false">
      <c r="A12656" s="3" t="s">
        <v>1240</v>
      </c>
      <c r="B12656" s="7" t="n">
        <v>723.150024414062</v>
      </c>
      <c r="C12656" s="1" t="n">
        <f aca="false">1/B12656</f>
        <v>0.0013828389217165</v>
      </c>
      <c r="D12656" s="3" t="n">
        <v>0.19</v>
      </c>
      <c r="E12656" s="1" t="n">
        <f aca="false">LN(D12656)</f>
        <v>-1.66073120682165</v>
      </c>
    </row>
    <row r="12657" customFormat="false" ht="15.75" hidden="false" customHeight="false" outlineLevel="0" collapsed="false">
      <c r="A12657" s="3" t="s">
        <v>1242</v>
      </c>
      <c r="B12657" s="7" t="n">
        <v>303.149993896484</v>
      </c>
      <c r="C12657" s="1" t="n">
        <f aca="false">1/B12657</f>
        <v>0.00329869708109401</v>
      </c>
      <c r="D12657" s="3" t="n">
        <v>2.575</v>
      </c>
      <c r="E12657" s="1" t="n">
        <f aca="false">LN(D12657)</f>
        <v>0.9458495341157</v>
      </c>
    </row>
    <row r="12658" customFormat="false" ht="15.75" hidden="false" customHeight="false" outlineLevel="0" collapsed="false">
      <c r="A12658" s="3" t="s">
        <v>1242</v>
      </c>
      <c r="B12658" s="7" t="n">
        <v>313.149993896484</v>
      </c>
      <c r="C12658" s="1" t="n">
        <f aca="false">1/B12658</f>
        <v>0.00319335787798407</v>
      </c>
      <c r="D12658" s="3" t="n">
        <v>2.1185</v>
      </c>
      <c r="E12658" s="1" t="n">
        <f aca="false">LN(D12658)</f>
        <v>0.750708291084477</v>
      </c>
    </row>
    <row r="12659" customFormat="false" ht="15.75" hidden="false" customHeight="false" outlineLevel="0" collapsed="false">
      <c r="A12659" s="3" t="s">
        <v>1242</v>
      </c>
      <c r="B12659" s="7" t="n">
        <v>333.149993896484</v>
      </c>
      <c r="C12659" s="1" t="n">
        <f aca="false">1/B12659</f>
        <v>0.00300165096299152</v>
      </c>
      <c r="D12659" s="3" t="n">
        <v>1.51933333333333</v>
      </c>
      <c r="E12659" s="1" t="n">
        <f aca="false">LN(D12659)</f>
        <v>0.418271642155381</v>
      </c>
    </row>
    <row r="12660" customFormat="false" ht="15.75" hidden="false" customHeight="false" outlineLevel="0" collapsed="false">
      <c r="A12660" s="3" t="s">
        <v>1242</v>
      </c>
      <c r="B12660" s="7" t="n">
        <v>353.149993896484</v>
      </c>
      <c r="C12660" s="1" t="n">
        <f aca="false">1/B12660</f>
        <v>0.00283165798466111</v>
      </c>
      <c r="D12660" s="3" t="n">
        <v>1.14</v>
      </c>
      <c r="E12660" s="1" t="n">
        <f aca="false">LN(D12660)</f>
        <v>0.131028262406404</v>
      </c>
    </row>
    <row r="12661" customFormat="false" ht="15.75" hidden="false" customHeight="false" outlineLevel="0" collapsed="false">
      <c r="A12661" s="3" t="s">
        <v>1242</v>
      </c>
      <c r="B12661" s="7" t="n">
        <v>373.149993896484</v>
      </c>
      <c r="C12661" s="1" t="n">
        <f aca="false">1/B12661</f>
        <v>0.00267988748856153</v>
      </c>
      <c r="D12661" s="3" t="n">
        <v>0.931</v>
      </c>
      <c r="E12661" s="1" t="n">
        <f aca="false">LN(D12661)</f>
        <v>-0.0714960017050699</v>
      </c>
    </row>
    <row r="12662" customFormat="false" ht="15.75" hidden="false" customHeight="false" outlineLevel="0" collapsed="false">
      <c r="A12662" s="3" t="s">
        <v>1515</v>
      </c>
      <c r="B12662" s="7" t="n">
        <v>288.149993896484</v>
      </c>
      <c r="C12662" s="1" t="n">
        <f aca="false">1/B12662</f>
        <v>0.00347041478806778</v>
      </c>
      <c r="D12662" s="3" t="n">
        <v>0.69016</v>
      </c>
      <c r="E12662" s="1" t="n">
        <f aca="false">LN(D12662)</f>
        <v>-0.370831824213814</v>
      </c>
    </row>
    <row r="12663" customFormat="false" ht="15.75" hidden="false" customHeight="false" outlineLevel="0" collapsed="false">
      <c r="A12663" s="3" t="s">
        <v>1515</v>
      </c>
      <c r="B12663" s="7" t="n">
        <v>293.149993896484</v>
      </c>
      <c r="C12663" s="1" t="n">
        <f aca="false">1/B12663</f>
        <v>0.00341122299444126</v>
      </c>
      <c r="D12663" s="3" t="n">
        <v>0.647230000000001</v>
      </c>
      <c r="E12663" s="1" t="n">
        <f aca="false">LN(D12663)</f>
        <v>-0.435053560789277</v>
      </c>
    </row>
    <row r="12664" customFormat="false" ht="15.75" hidden="false" customHeight="false" outlineLevel="0" collapsed="false">
      <c r="A12664" s="3" t="s">
        <v>1515</v>
      </c>
      <c r="B12664" s="7" t="n">
        <v>298.149993896484</v>
      </c>
      <c r="C12664" s="1" t="n">
        <f aca="false">1/B12664</f>
        <v>0.00335401650334158</v>
      </c>
      <c r="D12664" s="3" t="n">
        <v>0.612875000000001</v>
      </c>
      <c r="E12664" s="1" t="n">
        <f aca="false">LN(D12664)</f>
        <v>-0.489594279010738</v>
      </c>
    </row>
    <row r="12665" customFormat="false" ht="15.75" hidden="false" customHeight="false" outlineLevel="0" collapsed="false">
      <c r="A12665" s="3" t="s">
        <v>1515</v>
      </c>
      <c r="B12665" s="7" t="n">
        <v>303.149993896484</v>
      </c>
      <c r="C12665" s="1" t="n">
        <f aca="false">1/B12665</f>
        <v>0.00329869708109401</v>
      </c>
      <c r="D12665" s="3" t="n">
        <v>0.5711</v>
      </c>
      <c r="E12665" s="1" t="n">
        <f aca="false">LN(D12665)</f>
        <v>-0.56019095331132</v>
      </c>
    </row>
    <row r="12666" customFormat="false" ht="15.75" hidden="false" customHeight="false" outlineLevel="0" collapsed="false">
      <c r="A12666" s="3" t="s">
        <v>1244</v>
      </c>
      <c r="B12666" s="7" t="n">
        <v>253.149993896484</v>
      </c>
      <c r="C12666" s="1" t="n">
        <f aca="false">1/B12666</f>
        <v>0.0039502272333015</v>
      </c>
      <c r="D12666" s="3" t="n">
        <v>12.2</v>
      </c>
      <c r="E12666" s="1" t="n">
        <f aca="false">LN(D12666)</f>
        <v>2.50143595173921</v>
      </c>
    </row>
    <row r="12667" customFormat="false" ht="15.75" hidden="false" customHeight="false" outlineLevel="0" collapsed="false">
      <c r="A12667" s="3" t="s">
        <v>1244</v>
      </c>
      <c r="B12667" s="7" t="n">
        <v>258.149993896484</v>
      </c>
      <c r="C12667" s="1" t="n">
        <f aca="false">1/B12667</f>
        <v>0.00387371692288706</v>
      </c>
      <c r="D12667" s="3" t="n">
        <v>9.50000000000002</v>
      </c>
      <c r="E12667" s="1" t="n">
        <f aca="false">LN(D12667)</f>
        <v>2.2512917986065</v>
      </c>
    </row>
    <row r="12668" customFormat="false" ht="15.75" hidden="false" customHeight="false" outlineLevel="0" collapsed="false">
      <c r="A12668" s="3" t="s">
        <v>1244</v>
      </c>
      <c r="B12668" s="7" t="n">
        <v>263.149993896484</v>
      </c>
      <c r="C12668" s="1" t="n">
        <f aca="false">1/B12668</f>
        <v>0.00380011409156016</v>
      </c>
      <c r="D12668" s="3" t="n">
        <v>7.65999999999998</v>
      </c>
      <c r="E12668" s="1" t="n">
        <f aca="false">LN(D12668)</f>
        <v>2.0360119837525</v>
      </c>
    </row>
    <row r="12669" customFormat="false" ht="15.75" hidden="false" customHeight="false" outlineLevel="0" collapsed="false">
      <c r="A12669" s="3" t="s">
        <v>1244</v>
      </c>
      <c r="B12669" s="7" t="n">
        <v>268.149993896484</v>
      </c>
      <c r="C12669" s="1" t="n">
        <f aca="false">1/B12669</f>
        <v>0.00372925609830906</v>
      </c>
      <c r="D12669" s="3" t="n">
        <v>6.34999999999999</v>
      </c>
      <c r="E12669" s="1" t="n">
        <f aca="false">LN(D12669)</f>
        <v>1.8484548129046</v>
      </c>
    </row>
    <row r="12670" customFormat="false" ht="15.75" hidden="false" customHeight="false" outlineLevel="0" collapsed="false">
      <c r="A12670" s="3" t="s">
        <v>1244</v>
      </c>
      <c r="B12670" s="7" t="n">
        <v>273.149993896484</v>
      </c>
      <c r="C12670" s="1" t="n">
        <f aca="false">1/B12670</f>
        <v>0.00366099221067152</v>
      </c>
      <c r="D12670" s="3" t="n">
        <v>5.35999999999999</v>
      </c>
      <c r="E12670" s="1" t="n">
        <f aca="false">LN(D12670)</f>
        <v>1.67896397508271</v>
      </c>
    </row>
    <row r="12671" customFormat="false" ht="15.75" hidden="false" customHeight="false" outlineLevel="0" collapsed="false">
      <c r="A12671" s="3" t="s">
        <v>1244</v>
      </c>
      <c r="B12671" s="7" t="n">
        <v>278.149993896484</v>
      </c>
      <c r="C12671" s="1" t="n">
        <f aca="false">1/B12671</f>
        <v>0.00359518253439962</v>
      </c>
      <c r="D12671" s="3" t="n">
        <v>4.61</v>
      </c>
      <c r="E12671" s="1" t="n">
        <f aca="false">LN(D12671)</f>
        <v>1.52822785700856</v>
      </c>
    </row>
    <row r="12672" customFormat="false" ht="15.75" hidden="false" customHeight="false" outlineLevel="0" collapsed="false">
      <c r="A12672" s="3" t="s">
        <v>1244</v>
      </c>
      <c r="B12672" s="7" t="n">
        <v>283.149993896484</v>
      </c>
      <c r="C12672" s="1" t="n">
        <f aca="false">1/B12672</f>
        <v>0.00353169705652753</v>
      </c>
      <c r="D12672" s="3" t="n">
        <v>4.01999999999999</v>
      </c>
      <c r="E12672" s="1" t="n">
        <f aca="false">LN(D12672)</f>
        <v>1.39128190263093</v>
      </c>
    </row>
    <row r="12673" customFormat="false" ht="15.75" hidden="false" customHeight="false" outlineLevel="0" collapsed="false">
      <c r="A12673" s="3" t="s">
        <v>1244</v>
      </c>
      <c r="B12673" s="7" t="n">
        <v>288.149993896484</v>
      </c>
      <c r="C12673" s="1" t="n">
        <f aca="false">1/B12673</f>
        <v>0.00347041478806778</v>
      </c>
      <c r="D12673" s="3" t="n">
        <v>3.53</v>
      </c>
      <c r="E12673" s="1" t="n">
        <f aca="false">LN(D12673)</f>
        <v>1.26129787094521</v>
      </c>
    </row>
    <row r="12674" customFormat="false" ht="15.75" hidden="false" customHeight="false" outlineLevel="0" collapsed="false">
      <c r="A12674" s="3" t="s">
        <v>1244</v>
      </c>
      <c r="B12674" s="7" t="n">
        <v>293.149993896484</v>
      </c>
      <c r="C12674" s="1" t="n">
        <f aca="false">1/B12674</f>
        <v>0.00341122299444126</v>
      </c>
      <c r="D12674" s="3" t="n">
        <v>3.17604999999999</v>
      </c>
      <c r="E12674" s="1" t="n">
        <f aca="false">LN(D12674)</f>
        <v>1.15563828633401</v>
      </c>
    </row>
    <row r="12675" customFormat="false" ht="15.75" hidden="false" customHeight="false" outlineLevel="0" collapsed="false">
      <c r="A12675" s="3" t="s">
        <v>1244</v>
      </c>
      <c r="B12675" s="7" t="n">
        <v>298.149993896484</v>
      </c>
      <c r="C12675" s="1" t="n">
        <f aca="false">1/B12675</f>
        <v>0.00335401650334158</v>
      </c>
      <c r="D12675" s="3" t="n">
        <v>2.80000000000001</v>
      </c>
      <c r="E12675" s="1" t="n">
        <f aca="false">LN(D12675)</f>
        <v>1.02961941718116</v>
      </c>
    </row>
    <row r="12676" customFormat="false" ht="15.75" hidden="false" customHeight="false" outlineLevel="0" collapsed="false">
      <c r="A12676" s="3" t="s">
        <v>1244</v>
      </c>
      <c r="B12676" s="7" t="n">
        <v>303.149993896484</v>
      </c>
      <c r="C12676" s="1" t="n">
        <f aca="false">1/B12676</f>
        <v>0.00329869708109401</v>
      </c>
      <c r="D12676" s="3" t="n">
        <v>2.53</v>
      </c>
      <c r="E12676" s="1" t="n">
        <f aca="false">LN(D12676)</f>
        <v>0.928219302739429</v>
      </c>
    </row>
    <row r="12677" customFormat="false" ht="15.75" hidden="false" customHeight="false" outlineLevel="0" collapsed="false">
      <c r="A12677" s="3" t="s">
        <v>1244</v>
      </c>
      <c r="B12677" s="7" t="n">
        <v>308.149993896484</v>
      </c>
      <c r="C12677" s="1" t="n">
        <f aca="false">1/B12677</f>
        <v>0.00324517286972891</v>
      </c>
      <c r="D12677" s="3" t="n">
        <v>2.29</v>
      </c>
      <c r="E12677" s="1" t="n">
        <f aca="false">LN(D12677)</f>
        <v>0.828551817566148</v>
      </c>
    </row>
    <row r="12678" customFormat="false" ht="15.75" hidden="false" customHeight="false" outlineLevel="0" collapsed="false">
      <c r="A12678" s="3" t="s">
        <v>1244</v>
      </c>
      <c r="B12678" s="7" t="n">
        <v>310.929992675781</v>
      </c>
      <c r="C12678" s="1" t="n">
        <f aca="false">1/B12678</f>
        <v>0.00321615805343919</v>
      </c>
      <c r="D12678" s="3" t="n">
        <v>2.0662</v>
      </c>
      <c r="E12678" s="1" t="n">
        <f aca="false">LN(D12678)</f>
        <v>0.725711171433208</v>
      </c>
    </row>
    <row r="12679" customFormat="false" ht="15.75" hidden="false" customHeight="false" outlineLevel="0" collapsed="false">
      <c r="A12679" s="3" t="s">
        <v>1244</v>
      </c>
      <c r="B12679" s="7" t="n">
        <v>313.149993896484</v>
      </c>
      <c r="C12679" s="1" t="n">
        <f aca="false">1/B12679</f>
        <v>0.00319335787798407</v>
      </c>
      <c r="D12679" s="3" t="n">
        <v>2.08</v>
      </c>
      <c r="E12679" s="1" t="n">
        <f aca="false">LN(D12679)</f>
        <v>0.732367893713227</v>
      </c>
    </row>
    <row r="12680" customFormat="false" ht="15.75" hidden="false" customHeight="false" outlineLevel="0" collapsed="false">
      <c r="A12680" s="3" t="s">
        <v>1244</v>
      </c>
      <c r="B12680" s="7" t="n">
        <v>318.149993896484</v>
      </c>
      <c r="C12680" s="1" t="n">
        <f aca="false">1/B12680</f>
        <v>0.00314317152030299</v>
      </c>
      <c r="D12680" s="3" t="n">
        <v>1.9</v>
      </c>
      <c r="E12680" s="1" t="n">
        <f aca="false">LN(D12680)</f>
        <v>0.641853886172395</v>
      </c>
    </row>
    <row r="12681" customFormat="false" ht="15.75" hidden="false" customHeight="false" outlineLevel="0" collapsed="false">
      <c r="A12681" s="3" t="s">
        <v>1244</v>
      </c>
      <c r="B12681" s="7" t="n">
        <v>323.149993896484</v>
      </c>
      <c r="C12681" s="1" t="n">
        <f aca="false">1/B12681</f>
        <v>0.00309453819863086</v>
      </c>
      <c r="D12681" s="3" t="n">
        <v>1.75085</v>
      </c>
      <c r="E12681" s="1" t="n">
        <f aca="false">LN(D12681)</f>
        <v>0.560101384300136</v>
      </c>
    </row>
    <row r="12682" customFormat="false" ht="15.75" hidden="false" customHeight="false" outlineLevel="0" collapsed="false">
      <c r="A12682" s="3" t="s">
        <v>1244</v>
      </c>
      <c r="B12682" s="7" t="n">
        <v>328.149993896484</v>
      </c>
      <c r="C12682" s="1" t="n">
        <f aca="false">1/B12682</f>
        <v>0.00304738692244332</v>
      </c>
      <c r="D12682" s="3" t="n">
        <v>1.603</v>
      </c>
      <c r="E12682" s="1" t="n">
        <f aca="false">LN(D12682)</f>
        <v>0.471876873627416</v>
      </c>
    </row>
    <row r="12683" customFormat="false" ht="15.75" hidden="false" customHeight="false" outlineLevel="0" collapsed="false">
      <c r="A12683" s="3" t="s">
        <v>1244</v>
      </c>
      <c r="B12683" s="7" t="n">
        <v>333.149993896484</v>
      </c>
      <c r="C12683" s="1" t="n">
        <f aca="false">1/B12683</f>
        <v>0.00300165096299152</v>
      </c>
      <c r="D12683" s="3" t="n">
        <v>1.436</v>
      </c>
      <c r="E12683" s="1" t="n">
        <f aca="false">LN(D12683)</f>
        <v>0.361861470626032</v>
      </c>
    </row>
    <row r="12684" customFormat="false" ht="15.75" hidden="false" customHeight="false" outlineLevel="0" collapsed="false">
      <c r="A12684" s="3" t="s">
        <v>1244</v>
      </c>
      <c r="B12684" s="7" t="n">
        <v>338.149993896484</v>
      </c>
      <c r="C12684" s="1" t="n">
        <f aca="false">1/B12684</f>
        <v>0.00295726753822188</v>
      </c>
      <c r="D12684" s="3" t="n">
        <v>1.374</v>
      </c>
      <c r="E12684" s="1" t="n">
        <f aca="false">LN(D12684)</f>
        <v>0.317726193800158</v>
      </c>
    </row>
    <row r="12685" customFormat="false" ht="15.75" hidden="false" customHeight="false" outlineLevel="0" collapsed="false">
      <c r="A12685" s="3" t="s">
        <v>1244</v>
      </c>
      <c r="B12685" s="7" t="n">
        <v>343.149993896484</v>
      </c>
      <c r="C12685" s="1" t="n">
        <f aca="false">1/B12685</f>
        <v>0.00291417752524182</v>
      </c>
      <c r="D12685" s="3" t="n">
        <v>1.285</v>
      </c>
      <c r="E12685" s="1" t="n">
        <f aca="false">LN(D12685)</f>
        <v>0.250758718347183</v>
      </c>
    </row>
    <row r="12686" customFormat="false" ht="15.75" hidden="false" customHeight="false" outlineLevel="0" collapsed="false">
      <c r="A12686" s="3" t="s">
        <v>1244</v>
      </c>
      <c r="B12686" s="7" t="n">
        <v>348.149993896484</v>
      </c>
      <c r="C12686" s="1" t="n">
        <f aca="false">1/B12686</f>
        <v>0.00287232519756221</v>
      </c>
      <c r="D12686" s="3" t="n">
        <v>1.19</v>
      </c>
      <c r="E12686" s="1" t="n">
        <f aca="false">LN(D12686)</f>
        <v>0.173953307123438</v>
      </c>
    </row>
    <row r="12687" customFormat="false" ht="15.75" hidden="false" customHeight="false" outlineLevel="0" collapsed="false">
      <c r="A12687" s="3" t="s">
        <v>1244</v>
      </c>
      <c r="B12687" s="7" t="n">
        <v>353.149993896484</v>
      </c>
      <c r="C12687" s="1" t="n">
        <f aca="false">1/B12687</f>
        <v>0.00283165798466111</v>
      </c>
      <c r="D12687" s="3" t="n">
        <v>1.111</v>
      </c>
      <c r="E12687" s="1" t="n">
        <f aca="false">LN(D12687)</f>
        <v>0.105260510657493</v>
      </c>
    </row>
    <row r="12688" customFormat="false" ht="15.75" hidden="false" customHeight="false" outlineLevel="0" collapsed="false">
      <c r="A12688" s="3" t="s">
        <v>1244</v>
      </c>
      <c r="B12688" s="7" t="n">
        <v>358.149993896484</v>
      </c>
      <c r="C12688" s="1" t="n">
        <f aca="false">1/B12688</f>
        <v>0.00279212625168725</v>
      </c>
      <c r="D12688" s="3" t="n">
        <v>1.041</v>
      </c>
      <c r="E12688" s="1" t="n">
        <f aca="false">LN(D12688)</f>
        <v>0.0401817896328318</v>
      </c>
    </row>
    <row r="12689" customFormat="false" ht="15.75" hidden="false" customHeight="false" outlineLevel="0" collapsed="false">
      <c r="A12689" s="3" t="s">
        <v>1244</v>
      </c>
      <c r="B12689" s="7" t="n">
        <v>363.149993896484</v>
      </c>
      <c r="C12689" s="1" t="n">
        <f aca="false">1/B12689</f>
        <v>0.00275368309736238</v>
      </c>
      <c r="D12689" s="3" t="n">
        <v>0.975</v>
      </c>
      <c r="E12689" s="1" t="n">
        <f aca="false">LN(D12689)</f>
        <v>-0.0253178079842899</v>
      </c>
    </row>
    <row r="12690" customFormat="false" ht="15.75" hidden="false" customHeight="false" outlineLevel="0" collapsed="false">
      <c r="A12690" s="3" t="s">
        <v>1244</v>
      </c>
      <c r="B12690" s="7" t="n">
        <v>368.149993896484</v>
      </c>
      <c r="C12690" s="1" t="n">
        <f aca="false">1/B12690</f>
        <v>0.00271628416835226</v>
      </c>
      <c r="D12690" s="3" t="n">
        <v>0.917</v>
      </c>
      <c r="E12690" s="1" t="n">
        <f aca="false">LN(D12690)</f>
        <v>-0.0866478067256722</v>
      </c>
    </row>
    <row r="12691" customFormat="false" ht="15.75" hidden="false" customHeight="false" outlineLevel="0" collapsed="false">
      <c r="A12691" s="3" t="s">
        <v>1244</v>
      </c>
      <c r="B12691" s="7" t="n">
        <v>372.040008544922</v>
      </c>
      <c r="C12691" s="1" t="n">
        <f aca="false">1/B12691</f>
        <v>0.0026878829615962</v>
      </c>
      <c r="D12691" s="3" t="n">
        <v>0.8842</v>
      </c>
      <c r="E12691" s="1" t="n">
        <f aca="false">LN(D12691)</f>
        <v>-0.123071997589994</v>
      </c>
    </row>
    <row r="12692" customFormat="false" ht="15.75" hidden="false" customHeight="false" outlineLevel="0" collapsed="false">
      <c r="A12692" s="3" t="s">
        <v>1244</v>
      </c>
      <c r="B12692" s="7" t="n">
        <v>373.149993896484</v>
      </c>
      <c r="C12692" s="1" t="n">
        <f aca="false">1/B12692</f>
        <v>0.00267988748856153</v>
      </c>
      <c r="D12692" s="3" t="n">
        <v>0.863</v>
      </c>
      <c r="E12692" s="1" t="n">
        <f aca="false">LN(D12692)</f>
        <v>-0.147340587898709</v>
      </c>
    </row>
    <row r="12693" customFormat="false" ht="15.75" hidden="false" customHeight="false" outlineLevel="0" collapsed="false">
      <c r="A12693" s="3" t="s">
        <v>1244</v>
      </c>
      <c r="B12693" s="7" t="n">
        <v>378.149993896484</v>
      </c>
      <c r="C12693" s="1" t="n">
        <f aca="false">1/B12693</f>
        <v>0.00264445330197134</v>
      </c>
      <c r="D12693" s="3" t="n">
        <v>0.820000000000002</v>
      </c>
      <c r="E12693" s="1" t="n">
        <f aca="false">LN(D12693)</f>
        <v>-0.198450938723836</v>
      </c>
    </row>
    <row r="12694" customFormat="false" ht="15.75" hidden="false" customHeight="false" outlineLevel="0" collapsed="false">
      <c r="A12694" s="3" t="s">
        <v>1244</v>
      </c>
      <c r="B12694" s="7" t="n">
        <v>383.149993896484</v>
      </c>
      <c r="C12694" s="1" t="n">
        <f aca="false">1/B12694</f>
        <v>0.00260994392778242</v>
      </c>
      <c r="D12694" s="3" t="n">
        <v>0.769999999999999</v>
      </c>
      <c r="E12694" s="1" t="n">
        <f aca="false">LN(D12694)</f>
        <v>-0.261364764134409</v>
      </c>
    </row>
    <row r="12695" customFormat="false" ht="15.75" hidden="false" customHeight="false" outlineLevel="0" collapsed="false">
      <c r="A12695" s="3" t="s">
        <v>1244</v>
      </c>
      <c r="B12695" s="7" t="n">
        <v>388.149993896484</v>
      </c>
      <c r="C12695" s="1" t="n">
        <f aca="false">1/B12695</f>
        <v>0.00257632362675417</v>
      </c>
      <c r="D12695" s="3" t="n">
        <v>0.729999999999999</v>
      </c>
      <c r="E12695" s="1" t="n">
        <f aca="false">LN(D12695)</f>
        <v>-0.314710744839702</v>
      </c>
    </row>
    <row r="12696" customFormat="false" ht="15.75" hidden="false" customHeight="false" outlineLevel="0" collapsed="false">
      <c r="A12696" s="3" t="s">
        <v>1244</v>
      </c>
      <c r="B12696" s="7" t="n">
        <v>393.149993896484</v>
      </c>
      <c r="C12696" s="1" t="n">
        <f aca="false">1/B12696</f>
        <v>0.00254355847774297</v>
      </c>
      <c r="D12696" s="3" t="n">
        <v>0.69</v>
      </c>
      <c r="E12696" s="1" t="n">
        <f aca="false">LN(D12696)</f>
        <v>-0.371063681390832</v>
      </c>
    </row>
    <row r="12697" customFormat="false" ht="15.75" hidden="false" customHeight="false" outlineLevel="0" collapsed="false">
      <c r="A12697" s="3" t="s">
        <v>1244</v>
      </c>
      <c r="B12697" s="7" t="n">
        <v>398.149993896484</v>
      </c>
      <c r="C12697" s="1" t="n">
        <f aca="false">1/B12697</f>
        <v>0.00251161626354311</v>
      </c>
      <c r="D12697" s="3" t="n">
        <v>0.650000000000001</v>
      </c>
      <c r="E12697" s="1" t="n">
        <f aca="false">LN(D12697)</f>
        <v>-0.430782916092453</v>
      </c>
    </row>
    <row r="12698" customFormat="false" ht="15.75" hidden="false" customHeight="false" outlineLevel="0" collapsed="false">
      <c r="A12698" s="3" t="s">
        <v>156</v>
      </c>
      <c r="B12698" s="7" t="n">
        <v>283.149993896484</v>
      </c>
      <c r="C12698" s="1" t="n">
        <f aca="false">1/B12698</f>
        <v>0.00353169705652753</v>
      </c>
      <c r="D12698" s="3" t="n">
        <v>0.804999999999999</v>
      </c>
      <c r="E12698" s="1" t="n">
        <f aca="false">LN(D12698)</f>
        <v>-0.216913001563575</v>
      </c>
    </row>
    <row r="12699" customFormat="false" ht="15.75" hidden="false" customHeight="false" outlineLevel="0" collapsed="false">
      <c r="A12699" s="3" t="s">
        <v>156</v>
      </c>
      <c r="B12699" s="7" t="n">
        <v>288.149993896484</v>
      </c>
      <c r="C12699" s="1" t="n">
        <f aca="false">1/B12699</f>
        <v>0.00347041478806778</v>
      </c>
      <c r="D12699" s="3" t="n">
        <v>0.751000000000002</v>
      </c>
      <c r="E12699" s="1" t="n">
        <f aca="false">LN(D12699)</f>
        <v>-0.286349627218</v>
      </c>
    </row>
    <row r="12700" customFormat="false" ht="15.75" hidden="false" customHeight="false" outlineLevel="0" collapsed="false">
      <c r="A12700" s="3" t="s">
        <v>156</v>
      </c>
      <c r="B12700" s="7" t="n">
        <v>293.149993896484</v>
      </c>
      <c r="C12700" s="1" t="n">
        <f aca="false">1/B12700</f>
        <v>0.00341122299444126</v>
      </c>
      <c r="D12700" s="3" t="n">
        <v>0.703</v>
      </c>
      <c r="E12700" s="1" t="n">
        <f aca="false">LN(D12700)</f>
        <v>-0.352398387171472</v>
      </c>
    </row>
    <row r="12701" customFormat="false" ht="15.75" hidden="false" customHeight="false" outlineLevel="0" collapsed="false">
      <c r="A12701" s="3" t="s">
        <v>1516</v>
      </c>
      <c r="B12701" s="7" t="n">
        <v>353.149993896484</v>
      </c>
      <c r="C12701" s="1" t="n">
        <f aca="false">1/B12701</f>
        <v>0.00283165798466111</v>
      </c>
      <c r="D12701" s="3" t="n">
        <v>3.025</v>
      </c>
      <c r="E12701" s="1" t="n">
        <f aca="false">LN(D12701)</f>
        <v>1.1069110914828</v>
      </c>
    </row>
    <row r="12702" customFormat="false" ht="15.75" hidden="false" customHeight="false" outlineLevel="0" collapsed="false">
      <c r="A12702" s="3" t="s">
        <v>1516</v>
      </c>
      <c r="B12702" s="7" t="n">
        <v>373.149993896484</v>
      </c>
      <c r="C12702" s="1" t="n">
        <f aca="false">1/B12702</f>
        <v>0.00267988748856153</v>
      </c>
      <c r="D12702" s="3" t="n">
        <v>1.76</v>
      </c>
      <c r="E12702" s="1" t="n">
        <f aca="false">LN(D12702)</f>
        <v>0.56531380905006</v>
      </c>
    </row>
    <row r="12703" customFormat="false" ht="15.75" hidden="false" customHeight="false" outlineLevel="0" collapsed="false">
      <c r="A12703" s="3" t="s">
        <v>1516</v>
      </c>
      <c r="B12703" s="7" t="n">
        <v>393.149993896484</v>
      </c>
      <c r="C12703" s="1" t="n">
        <f aca="false">1/B12703</f>
        <v>0.00254355847774297</v>
      </c>
      <c r="D12703" s="3" t="n">
        <v>1.27</v>
      </c>
      <c r="E12703" s="1" t="n">
        <f aca="false">LN(D12703)</f>
        <v>0.2390169004705</v>
      </c>
    </row>
    <row r="12704" customFormat="false" ht="15.75" hidden="false" customHeight="false" outlineLevel="0" collapsed="false">
      <c r="A12704" s="3" t="s">
        <v>1516</v>
      </c>
      <c r="B12704" s="7" t="n">
        <v>398.149993896484</v>
      </c>
      <c r="C12704" s="1" t="n">
        <f aca="false">1/B12704</f>
        <v>0.00251161626354311</v>
      </c>
      <c r="D12704" s="3" t="n">
        <v>1.11</v>
      </c>
      <c r="E12704" s="1" t="n">
        <f aca="false">LN(D12704)</f>
        <v>0.104360015324243</v>
      </c>
    </row>
    <row r="12705" customFormat="false" ht="15.75" hidden="false" customHeight="false" outlineLevel="0" collapsed="false">
      <c r="A12705" s="3" t="s">
        <v>1516</v>
      </c>
      <c r="B12705" s="7" t="n">
        <v>423.149993896484</v>
      </c>
      <c r="C12705" s="1" t="n">
        <f aca="false">1/B12705</f>
        <v>0.00236322820376699</v>
      </c>
      <c r="D12705" s="3" t="n">
        <v>0.779999999999998</v>
      </c>
      <c r="E12705" s="1" t="n">
        <f aca="false">LN(D12705)</f>
        <v>-0.248461359298502</v>
      </c>
    </row>
    <row r="12706" customFormat="false" ht="15.75" hidden="false" customHeight="false" outlineLevel="0" collapsed="false">
      <c r="A12706" s="3" t="s">
        <v>1516</v>
      </c>
      <c r="B12706" s="7" t="n">
        <v>433.149993896484</v>
      </c>
      <c r="C12706" s="1" t="n">
        <f aca="false">1/B12706</f>
        <v>0.00230866908482281</v>
      </c>
      <c r="D12706" s="3" t="n">
        <v>0.737</v>
      </c>
      <c r="E12706" s="1" t="n">
        <f aca="false">LN(D12706)</f>
        <v>-0.3051673867928</v>
      </c>
    </row>
    <row r="12707" customFormat="false" ht="15.75" hidden="false" customHeight="false" outlineLevel="0" collapsed="false">
      <c r="A12707" s="3" t="s">
        <v>1516</v>
      </c>
      <c r="B12707" s="7" t="n">
        <v>448.149993896484</v>
      </c>
      <c r="C12707" s="1" t="n">
        <f aca="false">1/B12707</f>
        <v>0.00223139576842432</v>
      </c>
      <c r="D12707" s="3" t="n">
        <v>0.579999999999999</v>
      </c>
      <c r="E12707" s="1" t="n">
        <f aca="false">LN(D12707)</f>
        <v>-0.544727175441674</v>
      </c>
    </row>
    <row r="12708" customFormat="false" ht="15.75" hidden="false" customHeight="false" outlineLevel="0" collapsed="false">
      <c r="A12708" s="3" t="s">
        <v>1517</v>
      </c>
      <c r="B12708" s="7" t="n">
        <v>293.149993896484</v>
      </c>
      <c r="C12708" s="1" t="n">
        <f aca="false">1/B12708</f>
        <v>0.00341122299444126</v>
      </c>
      <c r="D12708" s="3" t="n">
        <v>19.67</v>
      </c>
      <c r="E12708" s="1" t="n">
        <f aca="false">LN(D12708)</f>
        <v>2.97909463240097</v>
      </c>
    </row>
    <row r="12709" customFormat="false" ht="15.75" hidden="false" customHeight="false" outlineLevel="0" collapsed="false">
      <c r="A12709" s="3" t="s">
        <v>1517</v>
      </c>
      <c r="B12709" s="7" t="n">
        <v>298.149993896484</v>
      </c>
      <c r="C12709" s="1" t="n">
        <f aca="false">1/B12709</f>
        <v>0.00335401650334158</v>
      </c>
      <c r="D12709" s="3" t="n">
        <v>15.6</v>
      </c>
      <c r="E12709" s="1" t="n">
        <f aca="false">LN(D12709)</f>
        <v>2.74727091425549</v>
      </c>
    </row>
    <row r="12710" customFormat="false" ht="15.75" hidden="false" customHeight="false" outlineLevel="0" collapsed="false">
      <c r="A12710" s="3" t="s">
        <v>1246</v>
      </c>
      <c r="B12710" s="7" t="n">
        <v>293</v>
      </c>
      <c r="C12710" s="1" t="n">
        <f aca="false">1/B12710</f>
        <v>0.00341296928327645</v>
      </c>
      <c r="D12710" s="3" t="n">
        <v>10.9</v>
      </c>
      <c r="E12710" s="1" t="n">
        <f aca="false">LN(D12710)</f>
        <v>2.3887627892351</v>
      </c>
    </row>
    <row r="12711" customFormat="false" ht="15.75" hidden="false" customHeight="false" outlineLevel="0" collapsed="false">
      <c r="A12711" s="3" t="s">
        <v>1246</v>
      </c>
      <c r="B12711" s="7" t="n">
        <v>293.149993896484</v>
      </c>
      <c r="C12711" s="1" t="n">
        <f aca="false">1/B12711</f>
        <v>0.00341122299444126</v>
      </c>
      <c r="D12711" s="3" t="n">
        <v>11.226</v>
      </c>
      <c r="E12711" s="1" t="n">
        <f aca="false">LN(D12711)</f>
        <v>2.41823251652001</v>
      </c>
    </row>
    <row r="12712" customFormat="false" ht="15.75" hidden="false" customHeight="false" outlineLevel="0" collapsed="false">
      <c r="A12712" s="3" t="s">
        <v>1246</v>
      </c>
      <c r="B12712" s="7" t="n">
        <v>298.149993896484</v>
      </c>
      <c r="C12712" s="1" t="n">
        <f aca="false">1/B12712</f>
        <v>0.00335401650334158</v>
      </c>
      <c r="D12712" s="3" t="n">
        <v>8.49</v>
      </c>
      <c r="E12712" s="1" t="n">
        <f aca="false">LN(D12712)</f>
        <v>2.13888900032326</v>
      </c>
    </row>
    <row r="12713" customFormat="false" ht="15.75" hidden="false" customHeight="false" outlineLevel="0" collapsed="false">
      <c r="A12713" s="3" t="s">
        <v>1246</v>
      </c>
      <c r="B12713" s="7" t="n">
        <v>313.149993896484</v>
      </c>
      <c r="C12713" s="1" t="n">
        <f aca="false">1/B12713</f>
        <v>0.00319335787798407</v>
      </c>
      <c r="D12713" s="3" t="n">
        <v>4.83573500000001</v>
      </c>
      <c r="E12713" s="1" t="n">
        <f aca="false">LN(D12713)</f>
        <v>1.57603313389793</v>
      </c>
    </row>
    <row r="12714" customFormat="false" ht="15.75" hidden="false" customHeight="false" outlineLevel="0" collapsed="false">
      <c r="A12714" s="3" t="s">
        <v>1246</v>
      </c>
      <c r="B12714" s="7" t="n">
        <v>323.149993896484</v>
      </c>
      <c r="C12714" s="1" t="n">
        <f aca="false">1/B12714</f>
        <v>0.00309453819863086</v>
      </c>
      <c r="D12714" s="3" t="n">
        <v>3.4</v>
      </c>
      <c r="E12714" s="1" t="n">
        <f aca="false">LN(D12714)</f>
        <v>1.22377543162212</v>
      </c>
    </row>
    <row r="12715" customFormat="false" ht="15.75" hidden="false" customHeight="false" outlineLevel="0" collapsed="false">
      <c r="A12715" s="3" t="s">
        <v>1246</v>
      </c>
      <c r="B12715" s="7" t="n">
        <v>333.149993896484</v>
      </c>
      <c r="C12715" s="1" t="n">
        <f aca="false">1/B12715</f>
        <v>0.00300165096299152</v>
      </c>
      <c r="D12715" s="3" t="n">
        <v>2.49361500000001</v>
      </c>
      <c r="E12715" s="1" t="n">
        <f aca="false">LN(D12715)</f>
        <v>0.913733464852324</v>
      </c>
    </row>
    <row r="12716" customFormat="false" ht="15.75" hidden="false" customHeight="false" outlineLevel="0" collapsed="false">
      <c r="A12716" s="3" t="s">
        <v>1246</v>
      </c>
      <c r="B12716" s="7" t="n">
        <v>353.149993896484</v>
      </c>
      <c r="C12716" s="1" t="n">
        <f aca="false">1/B12716</f>
        <v>0.00283165798466111</v>
      </c>
      <c r="D12716" s="3" t="n">
        <v>1.55426</v>
      </c>
      <c r="E12716" s="1" t="n">
        <f aca="false">LN(D12716)</f>
        <v>0.440999548117981</v>
      </c>
    </row>
    <row r="12717" customFormat="false" ht="15.75" hidden="false" customHeight="false" outlineLevel="0" collapsed="false">
      <c r="A12717" s="3" t="s">
        <v>1246</v>
      </c>
      <c r="B12717" s="7" t="n">
        <v>363.149993896484</v>
      </c>
      <c r="C12717" s="1" t="n">
        <f aca="false">1/B12717</f>
        <v>0.00275368309736238</v>
      </c>
      <c r="D12717" s="3" t="n">
        <v>1.231</v>
      </c>
      <c r="E12717" s="1" t="n">
        <f aca="false">LN(D12717)</f>
        <v>0.207826847202316</v>
      </c>
    </row>
    <row r="12718" customFormat="false" ht="15.75" hidden="false" customHeight="false" outlineLevel="0" collapsed="false">
      <c r="A12718" s="3" t="s">
        <v>158</v>
      </c>
      <c r="B12718" s="7" t="n">
        <v>318.149993896484</v>
      </c>
      <c r="C12718" s="1" t="n">
        <f aca="false">1/B12718</f>
        <v>0.00314317152030299</v>
      </c>
      <c r="D12718" s="3" t="n">
        <v>1.399</v>
      </c>
      <c r="E12718" s="1" t="n">
        <f aca="false">LN(D12718)</f>
        <v>0.335757695683344</v>
      </c>
    </row>
    <row r="12719" customFormat="false" ht="15.75" hidden="false" customHeight="false" outlineLevel="0" collapsed="false">
      <c r="A12719" s="3" t="s">
        <v>1248</v>
      </c>
      <c r="B12719" s="7" t="n">
        <v>278.149993896484</v>
      </c>
      <c r="C12719" s="1" t="n">
        <f aca="false">1/B12719</f>
        <v>0.00359518253439962</v>
      </c>
      <c r="D12719" s="3" t="n">
        <v>19.28</v>
      </c>
      <c r="E12719" s="1" t="n">
        <f aca="false">LN(D12719)</f>
        <v>2.9590682891824</v>
      </c>
    </row>
    <row r="12720" customFormat="false" ht="15.75" hidden="false" customHeight="false" outlineLevel="0" collapsed="false">
      <c r="A12720" s="3" t="s">
        <v>1248</v>
      </c>
      <c r="B12720" s="7" t="n">
        <v>288.149993896484</v>
      </c>
      <c r="C12720" s="1" t="n">
        <f aca="false">1/B12720</f>
        <v>0.00347041478806778</v>
      </c>
      <c r="D12720" s="3" t="n">
        <v>12.12</v>
      </c>
      <c r="E12720" s="1" t="n">
        <f aca="false">LN(D12720)</f>
        <v>2.49485698064117</v>
      </c>
    </row>
    <row r="12721" customFormat="false" ht="15.75" hidden="false" customHeight="false" outlineLevel="0" collapsed="false">
      <c r="A12721" s="3" t="s">
        <v>1248</v>
      </c>
      <c r="B12721" s="7" t="n">
        <v>298.149993896484</v>
      </c>
      <c r="C12721" s="1" t="n">
        <f aca="false">1/B12721</f>
        <v>0.00335401650334158</v>
      </c>
      <c r="D12721" s="3" t="n">
        <v>8.41533333333334</v>
      </c>
      <c r="E12721" s="1" t="n">
        <f aca="false">LN(D12721)</f>
        <v>2.13005543866256</v>
      </c>
    </row>
    <row r="12722" customFormat="false" ht="15.75" hidden="false" customHeight="false" outlineLevel="0" collapsed="false">
      <c r="A12722" s="3" t="s">
        <v>1248</v>
      </c>
      <c r="B12722" s="7" t="n">
        <v>313.149993896484</v>
      </c>
      <c r="C12722" s="1" t="n">
        <f aca="false">1/B12722</f>
        <v>0.00319335787798407</v>
      </c>
      <c r="D12722" s="3" t="n">
        <v>5.24300000000001</v>
      </c>
      <c r="E12722" s="1" t="n">
        <f aca="false">LN(D12722)</f>
        <v>1.6568938535904</v>
      </c>
    </row>
    <row r="12723" customFormat="false" ht="15.75" hidden="false" customHeight="false" outlineLevel="0" collapsed="false">
      <c r="A12723" s="3" t="s">
        <v>1248</v>
      </c>
      <c r="B12723" s="7" t="n">
        <v>333.149993896484</v>
      </c>
      <c r="C12723" s="1" t="n">
        <f aca="false">1/B12723</f>
        <v>0.00300165096299152</v>
      </c>
      <c r="D12723" s="3" t="n">
        <v>3.259</v>
      </c>
      <c r="E12723" s="1" t="n">
        <f aca="false">LN(D12723)</f>
        <v>1.18142039985542</v>
      </c>
    </row>
    <row r="12724" customFormat="false" ht="15.75" hidden="false" customHeight="false" outlineLevel="0" collapsed="false">
      <c r="A12724" s="3" t="s">
        <v>1248</v>
      </c>
      <c r="B12724" s="7" t="n">
        <v>353.149993896484</v>
      </c>
      <c r="C12724" s="1" t="n">
        <f aca="false">1/B12724</f>
        <v>0.00283165798466111</v>
      </c>
      <c r="D12724" s="3" t="n">
        <v>2.24500000000001</v>
      </c>
      <c r="E12724" s="1" t="n">
        <f aca="false">LN(D12724)</f>
        <v>0.808705521194222</v>
      </c>
    </row>
    <row r="12725" customFormat="false" ht="15.75" hidden="false" customHeight="false" outlineLevel="0" collapsed="false">
      <c r="A12725" s="3" t="s">
        <v>1248</v>
      </c>
      <c r="B12725" s="7" t="n">
        <v>363.149993896484</v>
      </c>
      <c r="C12725" s="1" t="n">
        <f aca="false">1/B12725</f>
        <v>0.00275368309736238</v>
      </c>
      <c r="D12725" s="3" t="n">
        <v>1.912</v>
      </c>
      <c r="E12725" s="1" t="n">
        <f aca="false">LN(D12725)</f>
        <v>0.64814981462921</v>
      </c>
    </row>
    <row r="12726" customFormat="false" ht="15.75" hidden="false" customHeight="false" outlineLevel="0" collapsed="false">
      <c r="A12726" s="3" t="s">
        <v>1248</v>
      </c>
      <c r="B12726" s="7" t="n">
        <v>373.149993896484</v>
      </c>
      <c r="C12726" s="1" t="n">
        <f aca="false">1/B12726</f>
        <v>0.00267988748856153</v>
      </c>
      <c r="D12726" s="3" t="n">
        <v>1.655</v>
      </c>
      <c r="E12726" s="1" t="n">
        <f aca="false">LN(D12726)</f>
        <v>0.503801008829026</v>
      </c>
    </row>
    <row r="12727" customFormat="false" ht="15.75" hidden="false" customHeight="false" outlineLevel="0" collapsed="false">
      <c r="A12727" s="3" t="s">
        <v>1250</v>
      </c>
      <c r="B12727" s="7" t="n">
        <v>243.199996948242</v>
      </c>
      <c r="C12727" s="1" t="n">
        <f aca="false">1/B12727</f>
        <v>0.00411184215685998</v>
      </c>
      <c r="D12727" s="3" t="n">
        <v>848.000000000001</v>
      </c>
      <c r="E12727" s="1" t="n">
        <f aca="false">LN(D12727)</f>
        <v>6.7428806357919</v>
      </c>
    </row>
    <row r="12728" customFormat="false" ht="15.75" hidden="false" customHeight="false" outlineLevel="0" collapsed="false">
      <c r="A12728" s="3" t="s">
        <v>1250</v>
      </c>
      <c r="B12728" s="7" t="n">
        <v>253.199996948242</v>
      </c>
      <c r="C12728" s="1" t="n">
        <f aca="false">1/B12728</f>
        <v>0.00394944712501089</v>
      </c>
      <c r="D12728" s="3" t="n">
        <v>295.000000000001</v>
      </c>
      <c r="E12728" s="1" t="n">
        <f aca="false">LN(D12728)</f>
        <v>5.68697535633982</v>
      </c>
    </row>
    <row r="12729" customFormat="false" ht="15.75" hidden="false" customHeight="false" outlineLevel="0" collapsed="false">
      <c r="A12729" s="3" t="s">
        <v>1250</v>
      </c>
      <c r="B12729" s="7" t="n">
        <v>263.200012207031</v>
      </c>
      <c r="C12729" s="1" t="n">
        <f aca="false">1/B12729</f>
        <v>0.00379939192105131</v>
      </c>
      <c r="D12729" s="3" t="n">
        <v>126</v>
      </c>
      <c r="E12729" s="1" t="n">
        <f aca="false">LN(D12729)</f>
        <v>4.83628190695148</v>
      </c>
    </row>
    <row r="12730" customFormat="false" ht="15.75" hidden="false" customHeight="false" outlineLevel="0" collapsed="false">
      <c r="A12730" s="3" t="s">
        <v>1250</v>
      </c>
      <c r="B12730" s="7" t="n">
        <v>283.200012207031</v>
      </c>
      <c r="C12730" s="1" t="n">
        <f aca="false">1/B12730</f>
        <v>0.00353107329412457</v>
      </c>
      <c r="D12730" s="3" t="n">
        <v>34</v>
      </c>
      <c r="E12730" s="1" t="n">
        <f aca="false">LN(D12730)</f>
        <v>3.52636052461616</v>
      </c>
    </row>
    <row r="12731" customFormat="false" ht="15.75" hidden="false" customHeight="false" outlineLevel="0" collapsed="false">
      <c r="A12731" s="3" t="s">
        <v>1250</v>
      </c>
      <c r="B12731" s="7" t="n">
        <v>293.149993896484</v>
      </c>
      <c r="C12731" s="1" t="n">
        <f aca="false">1/B12731</f>
        <v>0.00341122299444126</v>
      </c>
      <c r="D12731" s="3" t="n">
        <v>19.91</v>
      </c>
      <c r="E12731" s="1" t="n">
        <f aca="false">LN(D12731)</f>
        <v>2.9912221180761</v>
      </c>
    </row>
    <row r="12732" customFormat="false" ht="15.75" hidden="false" customHeight="false" outlineLevel="0" collapsed="false">
      <c r="A12732" s="3" t="s">
        <v>1250</v>
      </c>
      <c r="B12732" s="7" t="n">
        <v>298.149993896484</v>
      </c>
      <c r="C12732" s="1" t="n">
        <f aca="false">1/B12732</f>
        <v>0.00335401650334158</v>
      </c>
      <c r="D12732" s="3" t="n">
        <v>16.47</v>
      </c>
      <c r="E12732" s="1" t="n">
        <f aca="false">LN(D12732)</f>
        <v>2.80154054418955</v>
      </c>
    </row>
    <row r="12733" customFormat="false" ht="15.75" hidden="false" customHeight="false" outlineLevel="0" collapsed="false">
      <c r="A12733" s="3" t="s">
        <v>1250</v>
      </c>
      <c r="B12733" s="7" t="n">
        <v>303.200012207031</v>
      </c>
      <c r="C12733" s="1" t="n">
        <f aca="false">1/B12733</f>
        <v>0.00329815290151499</v>
      </c>
      <c r="D12733" s="3" t="n">
        <v>13.43</v>
      </c>
      <c r="E12733" s="1" t="n">
        <f aca="false">LN(D12733)</f>
        <v>2.59749101053515</v>
      </c>
    </row>
    <row r="12734" customFormat="false" ht="15.75" hidden="false" customHeight="false" outlineLevel="0" collapsed="false">
      <c r="A12734" s="3" t="s">
        <v>1250</v>
      </c>
      <c r="B12734" s="7" t="n">
        <v>310.950012207031</v>
      </c>
      <c r="C12734" s="1" t="n">
        <f aca="false">1/B12734</f>
        <v>0.00321595099129373</v>
      </c>
      <c r="D12734" s="3" t="n">
        <v>9.47999999999998</v>
      </c>
      <c r="E12734" s="1" t="n">
        <f aca="false">LN(D12734)</f>
        <v>2.24918431626693</v>
      </c>
    </row>
    <row r="12735" customFormat="false" ht="15.75" hidden="false" customHeight="false" outlineLevel="0" collapsed="false">
      <c r="A12735" s="3" t="s">
        <v>1250</v>
      </c>
      <c r="B12735" s="7" t="n">
        <v>312.799987792969</v>
      </c>
      <c r="C12735" s="1" t="n">
        <f aca="false">1/B12735</f>
        <v>0.00319693107105191</v>
      </c>
      <c r="D12735" s="3" t="n">
        <v>9.76</v>
      </c>
      <c r="E12735" s="1" t="n">
        <f aca="false">LN(D12735)</f>
        <v>2.278292400425</v>
      </c>
    </row>
    <row r="12736" customFormat="false" ht="15.75" hidden="false" customHeight="false" outlineLevel="0" collapsed="false">
      <c r="A12736" s="3" t="s">
        <v>1250</v>
      </c>
      <c r="B12736" s="7" t="n">
        <v>313.149993896484</v>
      </c>
      <c r="C12736" s="1" t="n">
        <f aca="false">1/B12736</f>
        <v>0.00319335787798407</v>
      </c>
      <c r="D12736" s="3" t="n">
        <v>9.4</v>
      </c>
      <c r="E12736" s="1" t="n">
        <f aca="false">LN(D12736)</f>
        <v>2.24070968927596</v>
      </c>
    </row>
    <row r="12737" customFormat="false" ht="15.75" hidden="false" customHeight="false" outlineLevel="0" collapsed="false">
      <c r="A12737" s="3" t="s">
        <v>1250</v>
      </c>
      <c r="B12737" s="7" t="n">
        <v>328.200012207031</v>
      </c>
      <c r="C12737" s="1" t="n">
        <f aca="false">1/B12737</f>
        <v>0.00304692249483889</v>
      </c>
      <c r="D12737" s="3" t="n">
        <v>6.05</v>
      </c>
      <c r="E12737" s="1" t="n">
        <f aca="false">LN(D12737)</f>
        <v>1.80005827204275</v>
      </c>
    </row>
    <row r="12738" customFormat="false" ht="15.75" hidden="false" customHeight="false" outlineLevel="0" collapsed="false">
      <c r="A12738" s="3" t="s">
        <v>1250</v>
      </c>
      <c r="B12738" s="7" t="n">
        <v>333.149993896484</v>
      </c>
      <c r="C12738" s="1" t="n">
        <f aca="false">1/B12738</f>
        <v>0.00300165096299152</v>
      </c>
      <c r="D12738" s="3" t="n">
        <v>5.1</v>
      </c>
      <c r="E12738" s="1" t="n">
        <f aca="false">LN(D12738)</f>
        <v>1.62924053973028</v>
      </c>
    </row>
    <row r="12739" customFormat="false" ht="15.75" hidden="false" customHeight="false" outlineLevel="0" collapsed="false">
      <c r="A12739" s="3" t="s">
        <v>1250</v>
      </c>
      <c r="B12739" s="7" t="n">
        <v>342.200012207031</v>
      </c>
      <c r="C12739" s="1" t="n">
        <f aca="false">1/B12739</f>
        <v>0.00292226757547571</v>
      </c>
      <c r="D12739" s="3" t="n">
        <v>4.21</v>
      </c>
      <c r="E12739" s="1" t="n">
        <f aca="false">LN(D12739)</f>
        <v>1.43746264769429</v>
      </c>
    </row>
    <row r="12740" customFormat="false" ht="15.75" hidden="false" customHeight="false" outlineLevel="0" collapsed="false">
      <c r="A12740" s="3" t="s">
        <v>1250</v>
      </c>
      <c r="B12740" s="7" t="n">
        <v>353.149993896484</v>
      </c>
      <c r="C12740" s="1" t="n">
        <f aca="false">1/B12740</f>
        <v>0.00283165798466111</v>
      </c>
      <c r="D12740" s="3" t="n">
        <v>2.82</v>
      </c>
      <c r="E12740" s="1" t="n">
        <f aca="false">LN(D12740)</f>
        <v>1.03673688495002</v>
      </c>
    </row>
    <row r="12741" customFormat="false" ht="15.75" hidden="false" customHeight="false" outlineLevel="0" collapsed="false">
      <c r="A12741" s="3" t="s">
        <v>1250</v>
      </c>
      <c r="B12741" s="7" t="n">
        <v>370.100006103516</v>
      </c>
      <c r="C12741" s="1" t="n">
        <f aca="false">1/B12741</f>
        <v>0.00270197239532145</v>
      </c>
      <c r="D12741" s="3" t="n">
        <v>2.29</v>
      </c>
      <c r="E12741" s="1" t="n">
        <f aca="false">LN(D12741)</f>
        <v>0.828551817566148</v>
      </c>
    </row>
    <row r="12742" customFormat="false" ht="15.75" hidden="false" customHeight="false" outlineLevel="0" collapsed="false">
      <c r="A12742" s="3" t="s">
        <v>1518</v>
      </c>
      <c r="B12742" s="7" t="n">
        <v>293.149993896484</v>
      </c>
      <c r="C12742" s="1" t="n">
        <f aca="false">1/B12742</f>
        <v>0.00341122299444126</v>
      </c>
      <c r="D12742" s="3" t="n">
        <v>50.9999999999999</v>
      </c>
      <c r="E12742" s="1" t="n">
        <f aca="false">LN(D12742)</f>
        <v>3.93182563272432</v>
      </c>
    </row>
    <row r="12743" customFormat="false" ht="15.75" hidden="false" customHeight="false" outlineLevel="0" collapsed="false">
      <c r="A12743" s="3" t="s">
        <v>1519</v>
      </c>
      <c r="B12743" s="7" t="n">
        <v>298.149993896484</v>
      </c>
      <c r="C12743" s="1" t="n">
        <f aca="false">1/B12743</f>
        <v>0.00335401650334158</v>
      </c>
      <c r="D12743" s="3" t="n">
        <v>57.1330000000001</v>
      </c>
      <c r="E12743" s="1" t="n">
        <f aca="false">LN(D12743)</f>
        <v>4.04538188317283</v>
      </c>
    </row>
    <row r="12744" customFormat="false" ht="15.75" hidden="false" customHeight="false" outlineLevel="0" collapsed="false">
      <c r="A12744" s="3" t="s">
        <v>1519</v>
      </c>
      <c r="B12744" s="7" t="n">
        <v>353.149993896484</v>
      </c>
      <c r="C12744" s="1" t="n">
        <f aca="false">1/B12744</f>
        <v>0.00283165798466111</v>
      </c>
      <c r="D12744" s="3" t="n">
        <v>6.0338</v>
      </c>
      <c r="E12744" s="1" t="n">
        <f aca="false">LN(D12744)</f>
        <v>1.79737699467876</v>
      </c>
    </row>
    <row r="12745" customFormat="false" ht="15.75" hidden="false" customHeight="false" outlineLevel="0" collapsed="false">
      <c r="A12745" s="3" t="s">
        <v>1520</v>
      </c>
      <c r="B12745" s="7" t="n">
        <v>293.149993896484</v>
      </c>
      <c r="C12745" s="1" t="n">
        <f aca="false">1/B12745</f>
        <v>0.00341122299444126</v>
      </c>
      <c r="D12745" s="3" t="n">
        <v>69.9999999999999</v>
      </c>
      <c r="E12745" s="1" t="n">
        <f aca="false">LN(D12745)</f>
        <v>4.24849524204936</v>
      </c>
    </row>
    <row r="12746" customFormat="false" ht="15.75" hidden="false" customHeight="false" outlineLevel="0" collapsed="false">
      <c r="A12746" s="3" t="s">
        <v>1252</v>
      </c>
      <c r="B12746" s="7" t="n">
        <v>277.149993896484</v>
      </c>
      <c r="C12746" s="1" t="n">
        <f aca="false">1/B12746</f>
        <v>0.00360815450846989</v>
      </c>
      <c r="D12746" s="3" t="n">
        <v>25.9</v>
      </c>
      <c r="E12746" s="1" t="n">
        <f aca="false">LN(D12746)</f>
        <v>3.25424296870549</v>
      </c>
    </row>
    <row r="12747" customFormat="false" ht="15.75" hidden="false" customHeight="false" outlineLevel="0" collapsed="false">
      <c r="A12747" s="3" t="s">
        <v>1252</v>
      </c>
      <c r="B12747" s="7" t="n">
        <v>293.149993896484</v>
      </c>
      <c r="C12747" s="1" t="n">
        <f aca="false">1/B12747</f>
        <v>0.00341122299444126</v>
      </c>
      <c r="D12747" s="3" t="n">
        <v>12.76</v>
      </c>
      <c r="E12747" s="1" t="n">
        <f aca="false">LN(D12747)</f>
        <v>2.54631527791664</v>
      </c>
    </row>
    <row r="12748" customFormat="false" ht="15.75" hidden="false" customHeight="false" outlineLevel="0" collapsed="false">
      <c r="A12748" s="3" t="s">
        <v>1252</v>
      </c>
      <c r="B12748" s="7" t="n">
        <v>298.149993896484</v>
      </c>
      <c r="C12748" s="1" t="n">
        <f aca="false">1/B12748</f>
        <v>0.00335401650334158</v>
      </c>
      <c r="D12748" s="3" t="n">
        <v>10.21</v>
      </c>
      <c r="E12748" s="1" t="n">
        <f aca="false">LN(D12748)</f>
        <v>2.32336763217657</v>
      </c>
    </row>
    <row r="12749" customFormat="false" ht="15.75" hidden="false" customHeight="false" outlineLevel="0" collapsed="false">
      <c r="A12749" s="3" t="s">
        <v>1252</v>
      </c>
      <c r="B12749" s="7" t="n">
        <v>303.149993896484</v>
      </c>
      <c r="C12749" s="1" t="n">
        <f aca="false">1/B12749</f>
        <v>0.00329869708109401</v>
      </c>
      <c r="D12749" s="3" t="n">
        <v>9.01000000000002</v>
      </c>
      <c r="E12749" s="1" t="n">
        <f aca="false">LN(D12749)</f>
        <v>2.19833507162025</v>
      </c>
    </row>
    <row r="12750" customFormat="false" ht="15.75" hidden="false" customHeight="false" outlineLevel="0" collapsed="false">
      <c r="A12750" s="3" t="s">
        <v>1252</v>
      </c>
      <c r="B12750" s="7" t="n">
        <v>308.149993896484</v>
      </c>
      <c r="C12750" s="1" t="n">
        <f aca="false">1/B12750</f>
        <v>0.00324517286972891</v>
      </c>
      <c r="D12750" s="3" t="n">
        <v>7.62999999999999</v>
      </c>
      <c r="E12750" s="1" t="n">
        <f aca="false">LN(D12750)</f>
        <v>2.03208784529636</v>
      </c>
    </row>
    <row r="12751" customFormat="false" ht="15.75" hidden="false" customHeight="false" outlineLevel="0" collapsed="false">
      <c r="A12751" s="3" t="s">
        <v>1252</v>
      </c>
      <c r="B12751" s="7" t="n">
        <v>310.149993896484</v>
      </c>
      <c r="C12751" s="1" t="n">
        <f aca="false">1/B12751</f>
        <v>0.00322424639587051</v>
      </c>
      <c r="D12751" s="3" t="n">
        <v>7.31000000000001</v>
      </c>
      <c r="E12751" s="1" t="n">
        <f aca="false">LN(D12751)</f>
        <v>1.98924327376169</v>
      </c>
    </row>
    <row r="12752" customFormat="false" ht="15.75" hidden="false" customHeight="false" outlineLevel="0" collapsed="false">
      <c r="A12752" s="3" t="s">
        <v>1252</v>
      </c>
      <c r="B12752" s="7" t="n">
        <v>313.149993896484</v>
      </c>
      <c r="C12752" s="1" t="n">
        <f aca="false">1/B12752</f>
        <v>0.00319335787798407</v>
      </c>
      <c r="D12752" s="3" t="n">
        <v>6.43</v>
      </c>
      <c r="E12752" s="1" t="n">
        <f aca="false">LN(D12752)</f>
        <v>1.86097453824953</v>
      </c>
    </row>
    <row r="12753" customFormat="false" ht="15.75" hidden="false" customHeight="false" outlineLevel="0" collapsed="false">
      <c r="A12753" s="3" t="s">
        <v>1252</v>
      </c>
      <c r="B12753" s="7" t="n">
        <v>318.149993896484</v>
      </c>
      <c r="C12753" s="1" t="n">
        <f aca="false">1/B12753</f>
        <v>0.00314317152030299</v>
      </c>
      <c r="D12753" s="3" t="n">
        <v>5.57</v>
      </c>
      <c r="E12753" s="1" t="n">
        <f aca="false">LN(D12753)</f>
        <v>1.71739505393919</v>
      </c>
    </row>
    <row r="12754" customFormat="false" ht="15.75" hidden="false" customHeight="false" outlineLevel="0" collapsed="false">
      <c r="A12754" s="3" t="s">
        <v>1252</v>
      </c>
      <c r="B12754" s="7" t="n">
        <v>323.149993896484</v>
      </c>
      <c r="C12754" s="1" t="n">
        <f aca="false">1/B12754</f>
        <v>0.00309453819863086</v>
      </c>
      <c r="D12754" s="3" t="n">
        <v>4.71500000000001</v>
      </c>
      <c r="E12754" s="1" t="n">
        <f aca="false">LN(D12754)</f>
        <v>1.55074891608542</v>
      </c>
    </row>
    <row r="12755" customFormat="false" ht="15.75" hidden="false" customHeight="false" outlineLevel="0" collapsed="false">
      <c r="A12755" s="3" t="s">
        <v>1252</v>
      </c>
      <c r="B12755" s="7" t="n">
        <v>333.149993896484</v>
      </c>
      <c r="C12755" s="1" t="n">
        <f aca="false">1/B12755</f>
        <v>0.00300165096299152</v>
      </c>
      <c r="D12755" s="3" t="n">
        <v>3.78</v>
      </c>
      <c r="E12755" s="1" t="n">
        <f aca="false">LN(D12755)</f>
        <v>1.3297240096315</v>
      </c>
    </row>
    <row r="12756" customFormat="false" ht="15.75" hidden="false" customHeight="false" outlineLevel="0" collapsed="false">
      <c r="A12756" s="3" t="s">
        <v>1252</v>
      </c>
      <c r="B12756" s="7" t="n">
        <v>343.149993896484</v>
      </c>
      <c r="C12756" s="1" t="n">
        <f aca="false">1/B12756</f>
        <v>0.00291417752524182</v>
      </c>
      <c r="D12756" s="3" t="n">
        <v>2.99</v>
      </c>
      <c r="E12756" s="1" t="n">
        <f aca="false">LN(D12756)</f>
        <v>1.0952733874026</v>
      </c>
    </row>
    <row r="12757" customFormat="false" ht="15.75" hidden="false" customHeight="false" outlineLevel="0" collapsed="false">
      <c r="A12757" s="3" t="s">
        <v>1252</v>
      </c>
      <c r="B12757" s="7" t="n">
        <v>353.149993896484</v>
      </c>
      <c r="C12757" s="1" t="n">
        <f aca="false">1/B12757</f>
        <v>0.00283165798466111</v>
      </c>
      <c r="D12757" s="3" t="n">
        <v>2.43</v>
      </c>
      <c r="E12757" s="1" t="n">
        <f aca="false">LN(D12757)</f>
        <v>0.887891257352457</v>
      </c>
    </row>
    <row r="12758" customFormat="false" ht="15.75" hidden="false" customHeight="false" outlineLevel="0" collapsed="false">
      <c r="A12758" s="3" t="s">
        <v>1252</v>
      </c>
      <c r="B12758" s="7" t="n">
        <v>363.149993896484</v>
      </c>
      <c r="C12758" s="1" t="n">
        <f aca="false">1/B12758</f>
        <v>0.00275368309736238</v>
      </c>
      <c r="D12758" s="3" t="n">
        <v>2.05</v>
      </c>
      <c r="E12758" s="1" t="n">
        <f aca="false">LN(D12758)</f>
        <v>0.717839793150317</v>
      </c>
    </row>
    <row r="12759" customFormat="false" ht="15.75" hidden="false" customHeight="false" outlineLevel="0" collapsed="false">
      <c r="A12759" s="3" t="s">
        <v>1252</v>
      </c>
      <c r="B12759" s="7" t="n">
        <v>373.149993896484</v>
      </c>
      <c r="C12759" s="1" t="n">
        <f aca="false">1/B12759</f>
        <v>0.00267988748856153</v>
      </c>
      <c r="D12759" s="3" t="n">
        <v>1.7</v>
      </c>
      <c r="E12759" s="1" t="n">
        <f aca="false">LN(D12759)</f>
        <v>0.53062825106217</v>
      </c>
    </row>
    <row r="12760" customFormat="false" ht="15.75" hidden="false" customHeight="false" outlineLevel="0" collapsed="false">
      <c r="A12760" s="3" t="s">
        <v>160</v>
      </c>
      <c r="B12760" s="7" t="n">
        <v>313.149993896484</v>
      </c>
      <c r="C12760" s="1" t="n">
        <f aca="false">1/B12760</f>
        <v>0.00319335787798407</v>
      </c>
      <c r="D12760" s="3" t="n">
        <v>39.9999999999999</v>
      </c>
      <c r="E12760" s="1" t="n">
        <f aca="false">LN(D12760)</f>
        <v>3.68887945411393</v>
      </c>
    </row>
    <row r="12761" customFormat="false" ht="15.75" hidden="false" customHeight="false" outlineLevel="0" collapsed="false">
      <c r="A12761" s="3" t="s">
        <v>160</v>
      </c>
      <c r="B12761" s="7" t="n">
        <v>333.149993896484</v>
      </c>
      <c r="C12761" s="1" t="n">
        <f aca="false">1/B12761</f>
        <v>0.00300165096299152</v>
      </c>
      <c r="D12761" s="3" t="n">
        <v>19</v>
      </c>
      <c r="E12761" s="1" t="n">
        <f aca="false">LN(D12761)</f>
        <v>2.94443897916644</v>
      </c>
    </row>
    <row r="12762" customFormat="false" ht="15.75" hidden="false" customHeight="false" outlineLevel="0" collapsed="false">
      <c r="A12762" s="3" t="s">
        <v>160</v>
      </c>
      <c r="B12762" s="7" t="n">
        <v>353.149993896484</v>
      </c>
      <c r="C12762" s="1" t="n">
        <f aca="false">1/B12762</f>
        <v>0.00283165798466111</v>
      </c>
      <c r="D12762" s="3" t="n">
        <v>8.98</v>
      </c>
      <c r="E12762" s="1" t="n">
        <f aca="false">LN(D12762)</f>
        <v>2.19499988231411</v>
      </c>
    </row>
    <row r="12763" customFormat="false" ht="15.75" hidden="false" customHeight="false" outlineLevel="0" collapsed="false">
      <c r="A12763" s="3" t="s">
        <v>1254</v>
      </c>
      <c r="B12763" s="7" t="n">
        <v>288.100006103516</v>
      </c>
      <c r="C12763" s="1" t="n">
        <f aca="false">1/B12763</f>
        <v>0.00347101693444843</v>
      </c>
      <c r="D12763" s="3" t="n">
        <v>101.95</v>
      </c>
      <c r="E12763" s="1" t="n">
        <f aca="false">LN(D12763)</f>
        <v>4.62448249702046</v>
      </c>
    </row>
    <row r="12764" customFormat="false" ht="15.75" hidden="false" customHeight="false" outlineLevel="0" collapsed="false">
      <c r="A12764" s="3" t="s">
        <v>1254</v>
      </c>
      <c r="B12764" s="7" t="n">
        <v>293.149993896484</v>
      </c>
      <c r="C12764" s="1" t="n">
        <f aca="false">1/B12764</f>
        <v>0.00341122299444126</v>
      </c>
      <c r="D12764" s="3" t="n">
        <v>80</v>
      </c>
      <c r="E12764" s="1" t="n">
        <f aca="false">LN(D12764)</f>
        <v>4.38202663467388</v>
      </c>
    </row>
    <row r="12765" customFormat="false" ht="15.75" hidden="false" customHeight="false" outlineLevel="0" collapsed="false">
      <c r="A12765" s="3" t="s">
        <v>1254</v>
      </c>
      <c r="B12765" s="7" t="n">
        <v>298.149993896484</v>
      </c>
      <c r="C12765" s="1" t="n">
        <f aca="false">1/B12765</f>
        <v>0.00335401650334158</v>
      </c>
      <c r="D12765" s="3" t="n">
        <v>55.3339999999999</v>
      </c>
      <c r="E12765" s="1" t="n">
        <f aca="false">LN(D12765)</f>
        <v>4.01338754780862</v>
      </c>
    </row>
    <row r="12766" customFormat="false" ht="15.75" hidden="false" customHeight="false" outlineLevel="0" collapsed="false">
      <c r="A12766" s="3" t="s">
        <v>1254</v>
      </c>
      <c r="B12766" s="7" t="n">
        <v>308.160003662109</v>
      </c>
      <c r="C12766" s="1" t="n">
        <f aca="false">1/B12766</f>
        <v>0.00324506745884024</v>
      </c>
      <c r="D12766" s="3" t="n">
        <v>32.812</v>
      </c>
      <c r="E12766" s="1" t="n">
        <f aca="false">LN(D12766)</f>
        <v>3.4907943021405</v>
      </c>
    </row>
    <row r="12767" customFormat="false" ht="15.75" hidden="false" customHeight="false" outlineLevel="0" collapsed="false">
      <c r="A12767" s="3" t="s">
        <v>1254</v>
      </c>
      <c r="B12767" s="7" t="n">
        <v>318.089996337891</v>
      </c>
      <c r="C12767" s="1" t="n">
        <f aca="false">1/B12767</f>
        <v>0.00314376437961837</v>
      </c>
      <c r="D12767" s="3" t="n">
        <v>21.0350000000001</v>
      </c>
      <c r="E12767" s="1" t="n">
        <f aca="false">LN(D12767)</f>
        <v>3.04618771704249</v>
      </c>
    </row>
    <row r="12768" customFormat="false" ht="15.75" hidden="false" customHeight="false" outlineLevel="0" collapsed="false">
      <c r="A12768" s="3" t="s">
        <v>1254</v>
      </c>
      <c r="B12768" s="7" t="n">
        <v>328.980010986328</v>
      </c>
      <c r="C12768" s="1" t="n">
        <f aca="false">1/B12768</f>
        <v>0.00303969836040147</v>
      </c>
      <c r="D12768" s="3" t="n">
        <v>13.812</v>
      </c>
      <c r="E12768" s="1" t="n">
        <f aca="false">LN(D12768)</f>
        <v>2.62553777952775</v>
      </c>
    </row>
    <row r="12769" customFormat="false" ht="15.75" hidden="false" customHeight="false" outlineLevel="0" collapsed="false">
      <c r="A12769" s="3" t="s">
        <v>1254</v>
      </c>
      <c r="B12769" s="7" t="n">
        <v>338.880004882812</v>
      </c>
      <c r="C12769" s="1" t="n">
        <f aca="false">1/B12769</f>
        <v>0.00295089703019159</v>
      </c>
      <c r="D12769" s="3" t="n">
        <v>9.9061</v>
      </c>
      <c r="E12769" s="1" t="n">
        <f aca="false">LN(D12769)</f>
        <v>2.29315072900708</v>
      </c>
    </row>
    <row r="12770" customFormat="false" ht="15.75" hidden="false" customHeight="false" outlineLevel="0" collapsed="false">
      <c r="A12770" s="3" t="s">
        <v>1254</v>
      </c>
      <c r="B12770" s="7" t="n">
        <v>348.739990234375</v>
      </c>
      <c r="C12770" s="1" t="n">
        <f aca="false">1/B12770</f>
        <v>0.00286746581408097</v>
      </c>
      <c r="D12770" s="3" t="n">
        <v>7.39609999999998</v>
      </c>
      <c r="E12770" s="1" t="n">
        <f aca="false">LN(D12770)</f>
        <v>2.00095283425554</v>
      </c>
    </row>
    <row r="12771" customFormat="false" ht="15.75" hidden="false" customHeight="false" outlineLevel="0" collapsed="false">
      <c r="A12771" s="3" t="s">
        <v>1254</v>
      </c>
      <c r="B12771" s="7" t="n">
        <v>358.649993896484</v>
      </c>
      <c r="C12771" s="1" t="n">
        <f aca="false">1/B12771</f>
        <v>0.00278823370143044</v>
      </c>
      <c r="D12771" s="3" t="n">
        <v>5.70890000000001</v>
      </c>
      <c r="E12771" s="1" t="n">
        <f aca="false">LN(D12771)</f>
        <v>1.74202636062623</v>
      </c>
    </row>
    <row r="12772" customFormat="false" ht="15.75" hidden="false" customHeight="false" outlineLevel="0" collapsed="false">
      <c r="A12772" s="3" t="s">
        <v>1254</v>
      </c>
      <c r="B12772" s="7" t="n">
        <v>368.489990234375</v>
      </c>
      <c r="C12772" s="1" t="n">
        <f aca="false">1/B12772</f>
        <v>0.00271377792206502</v>
      </c>
      <c r="D12772" s="3" t="n">
        <v>4.5214</v>
      </c>
      <c r="E12772" s="1" t="n">
        <f aca="false">LN(D12772)</f>
        <v>1.50882168039958</v>
      </c>
    </row>
    <row r="12773" customFormat="false" ht="15.75" hidden="false" customHeight="false" outlineLevel="0" collapsed="false">
      <c r="A12773" s="3" t="s">
        <v>1256</v>
      </c>
      <c r="B12773" s="7" t="n">
        <v>283.200012207031</v>
      </c>
      <c r="C12773" s="1" t="n">
        <f aca="false">1/B12773</f>
        <v>0.00353107329412457</v>
      </c>
      <c r="D12773" s="3" t="n">
        <v>31.8</v>
      </c>
      <c r="E12773" s="1" t="n">
        <f aca="false">LN(D12773)</f>
        <v>3.45946628978613</v>
      </c>
    </row>
    <row r="12774" customFormat="false" ht="15.75" hidden="false" customHeight="false" outlineLevel="0" collapsed="false">
      <c r="A12774" s="3" t="s">
        <v>1256</v>
      </c>
      <c r="B12774" s="7" t="n">
        <v>290.700012207031</v>
      </c>
      <c r="C12774" s="1" t="n">
        <f aca="false">1/B12774</f>
        <v>0.00343997233576935</v>
      </c>
      <c r="D12774" s="3" t="n">
        <v>20.3</v>
      </c>
      <c r="E12774" s="1" t="n">
        <f aca="false">LN(D12774)</f>
        <v>3.01062088604774</v>
      </c>
    </row>
    <row r="12775" customFormat="false" ht="15.75" hidden="false" customHeight="false" outlineLevel="0" collapsed="false">
      <c r="A12775" s="3" t="s">
        <v>1256</v>
      </c>
      <c r="B12775" s="7" t="n">
        <v>297</v>
      </c>
      <c r="C12775" s="1" t="n">
        <f aca="false">1/B12775</f>
        <v>0.00336700336700337</v>
      </c>
      <c r="D12775" s="3" t="n">
        <v>14.9</v>
      </c>
      <c r="E12775" s="1" t="n">
        <f aca="false">LN(D12775)</f>
        <v>2.70136121295141</v>
      </c>
    </row>
    <row r="12776" customFormat="false" ht="15.75" hidden="false" customHeight="false" outlineLevel="0" collapsed="false">
      <c r="A12776" s="3" t="s">
        <v>1256</v>
      </c>
      <c r="B12776" s="7" t="n">
        <v>303.200012207031</v>
      </c>
      <c r="C12776" s="1" t="n">
        <f aca="false">1/B12776</f>
        <v>0.00329815290151499</v>
      </c>
      <c r="D12776" s="3" t="n">
        <v>11</v>
      </c>
      <c r="E12776" s="1" t="n">
        <f aca="false">LN(D12776)</f>
        <v>2.39789527279837</v>
      </c>
    </row>
    <row r="12777" customFormat="false" ht="15.75" hidden="false" customHeight="false" outlineLevel="0" collapsed="false">
      <c r="A12777" s="3" t="s">
        <v>1256</v>
      </c>
      <c r="B12777" s="7" t="n">
        <v>313.5</v>
      </c>
      <c r="C12777" s="1" t="n">
        <f aca="false">1/B12777</f>
        <v>0.00318979266347687</v>
      </c>
      <c r="D12777" s="3" t="n">
        <v>7.47999999999999</v>
      </c>
      <c r="E12777" s="1" t="n">
        <f aca="false">LN(D12777)</f>
        <v>2.01223279198638</v>
      </c>
    </row>
    <row r="12778" customFormat="false" ht="15.75" hidden="false" customHeight="false" outlineLevel="0" collapsed="false">
      <c r="A12778" s="3" t="s">
        <v>1256</v>
      </c>
      <c r="B12778" s="7" t="n">
        <v>326.5</v>
      </c>
      <c r="C12778" s="1" t="n">
        <f aca="false">1/B12778</f>
        <v>0.00306278713629403</v>
      </c>
      <c r="D12778" s="3" t="n">
        <v>4.97000000000001</v>
      </c>
      <c r="E12778" s="1" t="n">
        <f aca="false">LN(D12778)</f>
        <v>1.60341984010854</v>
      </c>
    </row>
    <row r="12779" customFormat="false" ht="15.75" hidden="false" customHeight="false" outlineLevel="0" collapsed="false">
      <c r="A12779" s="3" t="s">
        <v>1256</v>
      </c>
      <c r="B12779" s="7" t="n">
        <v>342.5</v>
      </c>
      <c r="C12779" s="1" t="n">
        <f aca="false">1/B12779</f>
        <v>0.00291970802919708</v>
      </c>
      <c r="D12779" s="3" t="n">
        <v>3.29</v>
      </c>
      <c r="E12779" s="1" t="n">
        <f aca="false">LN(D12779)</f>
        <v>1.19088756477728</v>
      </c>
    </row>
    <row r="12780" customFormat="false" ht="15.75" hidden="false" customHeight="false" outlineLevel="0" collapsed="false">
      <c r="A12780" s="3" t="s">
        <v>1256</v>
      </c>
      <c r="B12780" s="7" t="n">
        <v>369.5</v>
      </c>
      <c r="C12780" s="1" t="n">
        <f aca="false">1/B12780</f>
        <v>0.0027063599458728</v>
      </c>
      <c r="D12780" s="3" t="n">
        <v>1.99</v>
      </c>
      <c r="E12780" s="1" t="n">
        <f aca="false">LN(D12780)</f>
        <v>0.688134638736401</v>
      </c>
    </row>
    <row r="12781" customFormat="false" ht="15.75" hidden="false" customHeight="false" outlineLevel="0" collapsed="false">
      <c r="A12781" s="3" t="s">
        <v>1258</v>
      </c>
      <c r="B12781" s="7" t="n">
        <v>284.149993896484</v>
      </c>
      <c r="C12781" s="1" t="n">
        <f aca="false">1/B12781</f>
        <v>0.00351926806785117</v>
      </c>
      <c r="D12781" s="3" t="n">
        <v>2.705</v>
      </c>
      <c r="E12781" s="1" t="n">
        <f aca="false">LN(D12781)</f>
        <v>0.995101912298445</v>
      </c>
    </row>
    <row r="12782" customFormat="false" ht="15.75" hidden="false" customHeight="false" outlineLevel="0" collapsed="false">
      <c r="A12782" s="3" t="s">
        <v>1258</v>
      </c>
      <c r="B12782" s="7" t="n">
        <v>285.149993896484</v>
      </c>
      <c r="C12782" s="1" t="n">
        <f aca="false">1/B12782</f>
        <v>0.00350692625426821</v>
      </c>
      <c r="D12782" s="3" t="n">
        <v>2.56600000000001</v>
      </c>
      <c r="E12782" s="1" t="n">
        <f aca="false">LN(D12782)</f>
        <v>0.942348266193449</v>
      </c>
    </row>
    <row r="12783" customFormat="false" ht="15.75" hidden="false" customHeight="false" outlineLevel="0" collapsed="false">
      <c r="A12783" s="3" t="s">
        <v>1258</v>
      </c>
      <c r="B12783" s="7" t="n">
        <v>288.149993896484</v>
      </c>
      <c r="C12783" s="1" t="n">
        <f aca="false">1/B12783</f>
        <v>0.00347041478806778</v>
      </c>
      <c r="D12783" s="3" t="n">
        <v>2.407</v>
      </c>
      <c r="E12783" s="1" t="n">
        <f aca="false">LN(D12783)</f>
        <v>0.878381158800935</v>
      </c>
    </row>
    <row r="12784" customFormat="false" ht="15.75" hidden="false" customHeight="false" outlineLevel="0" collapsed="false">
      <c r="A12784" s="3" t="s">
        <v>1258</v>
      </c>
      <c r="B12784" s="7" t="n">
        <v>293.149993896484</v>
      </c>
      <c r="C12784" s="1" t="n">
        <f aca="false">1/B12784</f>
        <v>0.00341122299444126</v>
      </c>
      <c r="D12784" s="3" t="n">
        <v>2.229</v>
      </c>
      <c r="E12784" s="1" t="n">
        <f aca="false">LN(D12784)</f>
        <v>0.801553054403732</v>
      </c>
    </row>
    <row r="12785" customFormat="false" ht="15.75" hidden="false" customHeight="false" outlineLevel="0" collapsed="false">
      <c r="A12785" s="3" t="s">
        <v>1258</v>
      </c>
      <c r="B12785" s="7" t="n">
        <v>298.149993896484</v>
      </c>
      <c r="C12785" s="1" t="n">
        <f aca="false">1/B12785</f>
        <v>0.00335401650334158</v>
      </c>
      <c r="D12785" s="3" t="n">
        <v>2.005</v>
      </c>
      <c r="E12785" s="1" t="n">
        <f aca="false">LN(D12785)</f>
        <v>0.695644060758532</v>
      </c>
    </row>
    <row r="12786" customFormat="false" ht="15.75" hidden="false" customHeight="false" outlineLevel="0" collapsed="false">
      <c r="A12786" s="3" t="s">
        <v>1258</v>
      </c>
      <c r="B12786" s="7" t="n">
        <v>303.149993896484</v>
      </c>
      <c r="C12786" s="1" t="n">
        <f aca="false">1/B12786</f>
        <v>0.00329869708109401</v>
      </c>
      <c r="D12786" s="3" t="n">
        <v>1.751</v>
      </c>
      <c r="E12786" s="1" t="n">
        <f aca="false">LN(D12786)</f>
        <v>0.560187053303715</v>
      </c>
    </row>
    <row r="12787" customFormat="false" ht="15.75" hidden="false" customHeight="false" outlineLevel="0" collapsed="false">
      <c r="A12787" s="3" t="s">
        <v>1258</v>
      </c>
      <c r="B12787" s="7" t="n">
        <v>323.149993896484</v>
      </c>
      <c r="C12787" s="1" t="n">
        <f aca="false">1/B12787</f>
        <v>0.00309453819863086</v>
      </c>
      <c r="D12787" s="3" t="n">
        <v>1.28</v>
      </c>
      <c r="E12787" s="1" t="n">
        <f aca="false">LN(D12787)</f>
        <v>0.246860077931526</v>
      </c>
    </row>
    <row r="12788" customFormat="false" ht="15.75" hidden="false" customHeight="false" outlineLevel="0" collapsed="false">
      <c r="A12788" s="3" t="s">
        <v>1258</v>
      </c>
      <c r="B12788" s="7" t="n">
        <v>343.149993896484</v>
      </c>
      <c r="C12788" s="1" t="n">
        <f aca="false">1/B12788</f>
        <v>0.00291417752524182</v>
      </c>
      <c r="D12788" s="3" t="n">
        <v>0.950000000000002</v>
      </c>
      <c r="E12788" s="1" t="n">
        <f aca="false">LN(D12788)</f>
        <v>-0.0512932943875485</v>
      </c>
    </row>
    <row r="12789" customFormat="false" ht="15.75" hidden="false" customHeight="false" outlineLevel="0" collapsed="false">
      <c r="A12789" s="3" t="s">
        <v>1260</v>
      </c>
      <c r="B12789" s="7" t="n">
        <v>288.149993896484</v>
      </c>
      <c r="C12789" s="1" t="n">
        <f aca="false">1/B12789</f>
        <v>0.00347041478806778</v>
      </c>
      <c r="D12789" s="3" t="n">
        <v>2.97700000000001</v>
      </c>
      <c r="E12789" s="1" t="n">
        <f aca="false">LN(D12789)</f>
        <v>1.09091608203364</v>
      </c>
    </row>
    <row r="12790" customFormat="false" ht="15.75" hidden="false" customHeight="false" outlineLevel="0" collapsed="false">
      <c r="A12790" s="3" t="s">
        <v>1260</v>
      </c>
      <c r="B12790" s="7" t="n">
        <v>298.149993896484</v>
      </c>
      <c r="C12790" s="1" t="n">
        <f aca="false">1/B12790</f>
        <v>0.00335401650334158</v>
      </c>
      <c r="D12790" s="3" t="n">
        <v>2.385</v>
      </c>
      <c r="E12790" s="1" t="n">
        <f aca="false">LN(D12790)</f>
        <v>0.869199124340304</v>
      </c>
    </row>
    <row r="12791" customFormat="false" ht="15.75" hidden="false" customHeight="false" outlineLevel="0" collapsed="false">
      <c r="A12791" s="3" t="s">
        <v>1260</v>
      </c>
      <c r="B12791" s="7" t="n">
        <v>303.149993896484</v>
      </c>
      <c r="C12791" s="1" t="n">
        <f aca="false">1/B12791</f>
        <v>0.00329869708109401</v>
      </c>
      <c r="D12791" s="3" t="n">
        <v>2.137</v>
      </c>
      <c r="E12791" s="1" t="n">
        <f aca="false">LN(D12791)</f>
        <v>0.759402976337011</v>
      </c>
    </row>
    <row r="12792" customFormat="false" ht="15.75" hidden="false" customHeight="false" outlineLevel="0" collapsed="false">
      <c r="A12792" s="3" t="s">
        <v>1260</v>
      </c>
      <c r="B12792" s="7" t="n">
        <v>308.149993896484</v>
      </c>
      <c r="C12792" s="1" t="n">
        <f aca="false">1/B12792</f>
        <v>0.00324517286972891</v>
      </c>
      <c r="D12792" s="3" t="n">
        <v>1.948</v>
      </c>
      <c r="E12792" s="1" t="n">
        <f aca="false">LN(D12792)</f>
        <v>0.666803205220343</v>
      </c>
    </row>
    <row r="12793" customFormat="false" ht="15.75" hidden="false" customHeight="false" outlineLevel="0" collapsed="false">
      <c r="A12793" s="3" t="s">
        <v>1260</v>
      </c>
      <c r="B12793" s="7" t="n">
        <v>318.149993896484</v>
      </c>
      <c r="C12793" s="1" t="n">
        <f aca="false">1/B12793</f>
        <v>0.00314317152030299</v>
      </c>
      <c r="D12793" s="3" t="n">
        <v>1.624</v>
      </c>
      <c r="E12793" s="1" t="n">
        <f aca="false">LN(D12793)</f>
        <v>0.484892241739486</v>
      </c>
    </row>
    <row r="12794" customFormat="false" ht="15.75" hidden="false" customHeight="false" outlineLevel="0" collapsed="false">
      <c r="A12794" s="3" t="s">
        <v>1260</v>
      </c>
      <c r="B12794" s="7" t="n">
        <v>328.149993896484</v>
      </c>
      <c r="C12794" s="1" t="n">
        <f aca="false">1/B12794</f>
        <v>0.00304738692244332</v>
      </c>
      <c r="D12794" s="3" t="n">
        <v>1.383</v>
      </c>
      <c r="E12794" s="1" t="n">
        <f aca="false">LN(D12794)</f>
        <v>0.324255052682621</v>
      </c>
    </row>
    <row r="12795" customFormat="false" ht="15.75" hidden="false" customHeight="false" outlineLevel="0" collapsed="false">
      <c r="A12795" s="3" t="s">
        <v>1260</v>
      </c>
      <c r="B12795" s="7" t="n">
        <v>338.149993896484</v>
      </c>
      <c r="C12795" s="1" t="n">
        <f aca="false">1/B12795</f>
        <v>0.00295726753822188</v>
      </c>
      <c r="D12795" s="3" t="n">
        <v>1.191</v>
      </c>
      <c r="E12795" s="1" t="n">
        <f aca="false">LN(D12795)</f>
        <v>0.174793290373163</v>
      </c>
    </row>
    <row r="12796" customFormat="false" ht="15.75" hidden="false" customHeight="false" outlineLevel="0" collapsed="false">
      <c r="A12796" s="3" t="s">
        <v>1260</v>
      </c>
      <c r="B12796" s="7" t="n">
        <v>348.149993896484</v>
      </c>
      <c r="C12796" s="1" t="n">
        <f aca="false">1/B12796</f>
        <v>0.00287232519756221</v>
      </c>
      <c r="D12796" s="3" t="n">
        <v>1.037</v>
      </c>
      <c r="E12796" s="1" t="n">
        <f aca="false">LN(D12796)</f>
        <v>0.0363319292473902</v>
      </c>
    </row>
    <row r="12797" customFormat="false" ht="15.75" hidden="false" customHeight="false" outlineLevel="0" collapsed="false">
      <c r="A12797" s="3" t="s">
        <v>1260</v>
      </c>
      <c r="B12797" s="7" t="n">
        <v>358.149993896484</v>
      </c>
      <c r="C12797" s="1" t="n">
        <f aca="false">1/B12797</f>
        <v>0.00279212625168725</v>
      </c>
      <c r="D12797" s="3" t="n">
        <v>0.908</v>
      </c>
      <c r="E12797" s="1" t="n">
        <f aca="false">LN(D12797)</f>
        <v>-0.0965109003808437</v>
      </c>
    </row>
    <row r="12798" customFormat="false" ht="15.75" hidden="false" customHeight="false" outlineLevel="0" collapsed="false">
      <c r="A12798" s="3" t="s">
        <v>1262</v>
      </c>
      <c r="B12798" s="7" t="n">
        <v>268.149993896484</v>
      </c>
      <c r="C12798" s="1" t="n">
        <f aca="false">1/B12798</f>
        <v>0.00372925609830906</v>
      </c>
      <c r="D12798" s="3" t="n">
        <v>44199.9999999999</v>
      </c>
      <c r="E12798" s="1" t="n">
        <f aca="false">LN(D12798)</f>
        <v>10.6964800680658</v>
      </c>
    </row>
    <row r="12799" customFormat="false" ht="15.75" hidden="false" customHeight="false" outlineLevel="0" collapsed="false">
      <c r="A12799" s="3" t="s">
        <v>1262</v>
      </c>
      <c r="B12799" s="7" t="n">
        <v>273.149993896484</v>
      </c>
      <c r="C12799" s="1" t="n">
        <f aca="false">1/B12799</f>
        <v>0.00366099221067152</v>
      </c>
      <c r="D12799" s="3" t="n">
        <v>27000</v>
      </c>
      <c r="E12799" s="1" t="n">
        <f aca="false">LN(D12799)</f>
        <v>10.2035921449865</v>
      </c>
    </row>
    <row r="12800" customFormat="false" ht="15.75" hidden="false" customHeight="false" outlineLevel="0" collapsed="false">
      <c r="A12800" s="3" t="s">
        <v>1262</v>
      </c>
      <c r="B12800" s="7" t="n">
        <v>278.149993896484</v>
      </c>
      <c r="C12800" s="1" t="n">
        <f aca="false">1/B12800</f>
        <v>0.00359518253439962</v>
      </c>
      <c r="D12800" s="3" t="n">
        <v>8299.99999999999</v>
      </c>
      <c r="E12800" s="1" t="n">
        <f aca="false">LN(D12800)</f>
        <v>9.02401079378469</v>
      </c>
    </row>
    <row r="12801" customFormat="false" ht="15.75" hidden="false" customHeight="false" outlineLevel="0" collapsed="false">
      <c r="A12801" s="3" t="s">
        <v>1262</v>
      </c>
      <c r="B12801" s="7" t="n">
        <v>283.149993896484</v>
      </c>
      <c r="C12801" s="1" t="n">
        <f aca="false">1/B12801</f>
        <v>0.00353169705652753</v>
      </c>
      <c r="D12801" s="3" t="n">
        <v>4249.99999999999</v>
      </c>
      <c r="E12801" s="1" t="n">
        <f aca="false">LN(D12801)</f>
        <v>8.35467426191846</v>
      </c>
    </row>
    <row r="12802" customFormat="false" ht="15.75" hidden="false" customHeight="false" outlineLevel="0" collapsed="false">
      <c r="A12802" s="3" t="s">
        <v>1262</v>
      </c>
      <c r="B12802" s="7" t="n">
        <v>293.149993896484</v>
      </c>
      <c r="C12802" s="1" t="n">
        <f aca="false">1/B12802</f>
        <v>0.00341122299444126</v>
      </c>
      <c r="D12802" s="3" t="n">
        <v>1559.5</v>
      </c>
      <c r="E12802" s="1" t="n">
        <f aca="false">LN(D12802)</f>
        <v>7.35212053604786</v>
      </c>
    </row>
    <row r="12803" customFormat="false" ht="15.75" hidden="false" customHeight="false" outlineLevel="0" collapsed="false">
      <c r="A12803" s="3" t="s">
        <v>1262</v>
      </c>
      <c r="B12803" s="7" t="n">
        <v>298.149993896484</v>
      </c>
      <c r="C12803" s="1" t="n">
        <f aca="false">1/B12803</f>
        <v>0.00335401650334158</v>
      </c>
      <c r="D12803" s="3" t="n">
        <v>1286</v>
      </c>
      <c r="E12803" s="1" t="n">
        <f aca="false">LN(D12803)</f>
        <v>7.15929190479756</v>
      </c>
    </row>
    <row r="12804" customFormat="false" ht="15.75" hidden="false" customHeight="false" outlineLevel="0" collapsed="false">
      <c r="A12804" s="3" t="s">
        <v>1262</v>
      </c>
      <c r="B12804" s="7" t="n">
        <v>303.149993896484</v>
      </c>
      <c r="C12804" s="1" t="n">
        <f aca="false">1/B12804</f>
        <v>0.00329869708109401</v>
      </c>
      <c r="D12804" s="3" t="n">
        <v>342</v>
      </c>
      <c r="E12804" s="1" t="n">
        <f aca="false">LN(D12804)</f>
        <v>5.83481073706261</v>
      </c>
    </row>
    <row r="12805" customFormat="false" ht="15.75" hidden="false" customHeight="false" outlineLevel="0" collapsed="false">
      <c r="A12805" s="3" t="s">
        <v>1262</v>
      </c>
      <c r="B12805" s="7" t="n">
        <v>313.149993896484</v>
      </c>
      <c r="C12805" s="1" t="n">
        <f aca="false">1/B12805</f>
        <v>0.00319335787798407</v>
      </c>
      <c r="D12805" s="3" t="n">
        <v>218.749999999999</v>
      </c>
      <c r="E12805" s="1" t="n">
        <f aca="false">LN(D12805)</f>
        <v>5.38792952523772</v>
      </c>
    </row>
    <row r="12806" customFormat="false" ht="15.75" hidden="false" customHeight="false" outlineLevel="0" collapsed="false">
      <c r="A12806" s="3" t="s">
        <v>1262</v>
      </c>
      <c r="B12806" s="7" t="n">
        <v>323.149993896484</v>
      </c>
      <c r="C12806" s="1" t="n">
        <f aca="false">1/B12806</f>
        <v>0.00309453819863086</v>
      </c>
      <c r="D12806" s="3" t="n">
        <v>80.4999999999999</v>
      </c>
      <c r="E12806" s="1" t="n">
        <f aca="false">LN(D12806)</f>
        <v>4.38825718442452</v>
      </c>
    </row>
    <row r="12807" customFormat="false" ht="15.75" hidden="false" customHeight="false" outlineLevel="0" collapsed="false">
      <c r="A12807" s="3" t="s">
        <v>1262</v>
      </c>
      <c r="B12807" s="7" t="n">
        <v>333.149993896484</v>
      </c>
      <c r="C12807" s="1" t="n">
        <f aca="false">1/B12807</f>
        <v>0.00300165096299152</v>
      </c>
      <c r="D12807" s="3" t="n">
        <v>45</v>
      </c>
      <c r="E12807" s="1" t="n">
        <f aca="false">LN(D12807)</f>
        <v>3.80666248977032</v>
      </c>
    </row>
    <row r="12808" customFormat="false" ht="15.75" hidden="false" customHeight="false" outlineLevel="0" collapsed="false">
      <c r="A12808" s="3" t="s">
        <v>1262</v>
      </c>
      <c r="B12808" s="7" t="n">
        <v>343.149993896484</v>
      </c>
      <c r="C12808" s="1" t="n">
        <f aca="false">1/B12808</f>
        <v>0.00291417752524182</v>
      </c>
      <c r="D12808" s="3" t="n">
        <v>27.2</v>
      </c>
      <c r="E12808" s="1" t="n">
        <f aca="false">LN(D12808)</f>
        <v>3.30321697330195</v>
      </c>
    </row>
    <row r="12809" customFormat="false" ht="15.75" hidden="false" customHeight="false" outlineLevel="0" collapsed="false">
      <c r="A12809" s="3" t="s">
        <v>1262</v>
      </c>
      <c r="B12809" s="7" t="n">
        <v>373.149993896484</v>
      </c>
      <c r="C12809" s="1" t="n">
        <f aca="false">1/B12809</f>
        <v>0.00267988748856153</v>
      </c>
      <c r="D12809" s="3" t="n">
        <v>6.67</v>
      </c>
      <c r="E12809" s="1" t="n">
        <f aca="false">LN(D12809)</f>
        <v>1.89761985992753</v>
      </c>
    </row>
    <row r="12810" customFormat="false" ht="15.75" hidden="false" customHeight="false" outlineLevel="0" collapsed="false">
      <c r="A12810" s="3" t="s">
        <v>1262</v>
      </c>
      <c r="B12810" s="7" t="n">
        <v>423.149993896484</v>
      </c>
      <c r="C12810" s="1" t="n">
        <f aca="false">1/B12810</f>
        <v>0.00236322820376699</v>
      </c>
      <c r="D12810" s="3" t="n">
        <v>1.7</v>
      </c>
      <c r="E12810" s="1" t="n">
        <f aca="false">LN(D12810)</f>
        <v>0.53062825106217</v>
      </c>
    </row>
    <row r="12811" customFormat="false" ht="15.75" hidden="false" customHeight="false" outlineLevel="0" collapsed="false">
      <c r="A12811" s="3" t="s">
        <v>1262</v>
      </c>
      <c r="B12811" s="7" t="n">
        <v>473.149993896484</v>
      </c>
      <c r="C12811" s="1" t="n">
        <f aca="false">1/B12811</f>
        <v>0.00211349469068952</v>
      </c>
      <c r="D12811" s="3" t="n">
        <v>0.75</v>
      </c>
      <c r="E12811" s="1" t="n">
        <f aca="false">LN(D12811)</f>
        <v>-0.287682072451781</v>
      </c>
    </row>
    <row r="12812" customFormat="false" ht="15.75" hidden="false" customHeight="false" outlineLevel="0" collapsed="false">
      <c r="A12812" s="3" t="s">
        <v>1521</v>
      </c>
      <c r="B12812" s="7" t="n">
        <v>298.149993896484</v>
      </c>
      <c r="C12812" s="1" t="n">
        <f aca="false">1/B12812</f>
        <v>0.00335401650334158</v>
      </c>
      <c r="D12812" s="3" t="n">
        <v>18.08</v>
      </c>
      <c r="E12812" s="1" t="n">
        <f aca="false">LN(D12812)</f>
        <v>2.89480635496403</v>
      </c>
    </row>
    <row r="12813" customFormat="false" ht="15.75" hidden="false" customHeight="false" outlineLevel="0" collapsed="false">
      <c r="A12813" s="3" t="s">
        <v>1521</v>
      </c>
      <c r="B12813" s="7" t="n">
        <v>303.149993896484</v>
      </c>
      <c r="C12813" s="1" t="n">
        <f aca="false">1/B12813</f>
        <v>0.00329869708109401</v>
      </c>
      <c r="D12813" s="3" t="n">
        <v>13.6</v>
      </c>
      <c r="E12813" s="1" t="n">
        <f aca="false">LN(D12813)</f>
        <v>2.61006979274201</v>
      </c>
    </row>
    <row r="12814" customFormat="false" ht="15.75" hidden="false" customHeight="false" outlineLevel="0" collapsed="false">
      <c r="A12814" s="3" t="s">
        <v>1522</v>
      </c>
      <c r="B12814" s="7" t="n">
        <v>289.149993896484</v>
      </c>
      <c r="C12814" s="1" t="n">
        <f aca="false">1/B12814</f>
        <v>0.00345841266162365</v>
      </c>
      <c r="D12814" s="3" t="n">
        <v>26.52</v>
      </c>
      <c r="E12814" s="1" t="n">
        <f aca="false">LN(D12814)</f>
        <v>3.27789916531766</v>
      </c>
    </row>
    <row r="12815" customFormat="false" ht="15.75" hidden="false" customHeight="false" outlineLevel="0" collapsed="false">
      <c r="A12815" s="3" t="s">
        <v>1522</v>
      </c>
      <c r="B12815" s="7" t="n">
        <v>298.149993896484</v>
      </c>
      <c r="C12815" s="1" t="n">
        <f aca="false">1/B12815</f>
        <v>0.00335401650334158</v>
      </c>
      <c r="D12815" s="3" t="n">
        <v>19.7</v>
      </c>
      <c r="E12815" s="1" t="n">
        <f aca="false">LN(D12815)</f>
        <v>2.98061863574394</v>
      </c>
    </row>
    <row r="12816" customFormat="false" ht="15.75" hidden="false" customHeight="false" outlineLevel="0" collapsed="false">
      <c r="A12816" s="3" t="s">
        <v>1523</v>
      </c>
      <c r="B12816" s="7" t="n">
        <v>298.149993896484</v>
      </c>
      <c r="C12816" s="1" t="n">
        <f aca="false">1/B12816</f>
        <v>0.00335401650334158</v>
      </c>
      <c r="D12816" s="3" t="n">
        <v>24.6999999999999</v>
      </c>
      <c r="E12816" s="1" t="n">
        <f aca="false">LN(D12816)</f>
        <v>3.20680324363393</v>
      </c>
    </row>
    <row r="12817" customFormat="false" ht="15.75" hidden="false" customHeight="false" outlineLevel="0" collapsed="false">
      <c r="A12817" s="3" t="s">
        <v>1524</v>
      </c>
      <c r="B12817" s="7" t="n">
        <v>303.149993896484</v>
      </c>
      <c r="C12817" s="1" t="n">
        <f aca="false">1/B12817</f>
        <v>0.00329869708109401</v>
      </c>
      <c r="D12817" s="3" t="n">
        <v>25.14</v>
      </c>
      <c r="E12817" s="1" t="n">
        <f aca="false">LN(D12817)</f>
        <v>3.2244602031621</v>
      </c>
    </row>
    <row r="12818" customFormat="false" ht="15.75" hidden="false" customHeight="false" outlineLevel="0" collapsed="false">
      <c r="A12818" s="3" t="s">
        <v>1525</v>
      </c>
      <c r="B12818" s="7" t="n">
        <v>289.149993896484</v>
      </c>
      <c r="C12818" s="1" t="n">
        <f aca="false">1/B12818</f>
        <v>0.00345841266162365</v>
      </c>
      <c r="D12818" s="3" t="n">
        <v>37.74</v>
      </c>
      <c r="E12818" s="1" t="n">
        <f aca="false">LN(D12818)</f>
        <v>3.6307205399404</v>
      </c>
    </row>
    <row r="12819" customFormat="false" ht="15.75" hidden="false" customHeight="false" outlineLevel="0" collapsed="false">
      <c r="A12819" s="3" t="s">
        <v>1525</v>
      </c>
      <c r="B12819" s="7" t="n">
        <v>298.149993896484</v>
      </c>
      <c r="C12819" s="1" t="n">
        <f aca="false">1/B12819</f>
        <v>0.00335401650334158</v>
      </c>
      <c r="D12819" s="3" t="n">
        <v>25.1</v>
      </c>
      <c r="E12819" s="1" t="n">
        <f aca="false">LN(D12819)</f>
        <v>3.22286784613774</v>
      </c>
    </row>
    <row r="12820" customFormat="false" ht="15.75" hidden="false" customHeight="false" outlineLevel="0" collapsed="false">
      <c r="A12820" s="3" t="s">
        <v>1526</v>
      </c>
      <c r="B12820" s="7" t="n">
        <v>298.149993896484</v>
      </c>
      <c r="C12820" s="1" t="n">
        <f aca="false">1/B12820</f>
        <v>0.00335401650334158</v>
      </c>
      <c r="D12820" s="3" t="n">
        <v>38.5</v>
      </c>
      <c r="E12820" s="1" t="n">
        <f aca="false">LN(D12820)</f>
        <v>3.65065824129374</v>
      </c>
    </row>
    <row r="12821" customFormat="false" ht="15.75" hidden="false" customHeight="false" outlineLevel="0" collapsed="false">
      <c r="A12821" s="3" t="s">
        <v>1264</v>
      </c>
      <c r="B12821" s="7" t="n">
        <v>288.149993896484</v>
      </c>
      <c r="C12821" s="1" t="n">
        <f aca="false">1/B12821</f>
        <v>0.00347041478806778</v>
      </c>
      <c r="D12821" s="3" t="n">
        <v>0.769999999999999</v>
      </c>
      <c r="E12821" s="1" t="n">
        <f aca="false">LN(D12821)</f>
        <v>-0.261364764134409</v>
      </c>
    </row>
    <row r="12822" customFormat="false" ht="15.75" hidden="false" customHeight="false" outlineLevel="0" collapsed="false">
      <c r="A12822" s="3" t="s">
        <v>1264</v>
      </c>
      <c r="B12822" s="7" t="n">
        <v>293.149993896484</v>
      </c>
      <c r="C12822" s="1" t="n">
        <f aca="false">1/B12822</f>
        <v>0.00341122299444126</v>
      </c>
      <c r="D12822" s="3" t="n">
        <v>0.729999999999999</v>
      </c>
      <c r="E12822" s="1" t="n">
        <f aca="false">LN(D12822)</f>
        <v>-0.314710744839702</v>
      </c>
    </row>
    <row r="12823" customFormat="false" ht="15.75" hidden="false" customHeight="false" outlineLevel="0" collapsed="false">
      <c r="A12823" s="3" t="s">
        <v>1264</v>
      </c>
      <c r="B12823" s="7" t="n">
        <v>298.149993896484</v>
      </c>
      <c r="C12823" s="1" t="n">
        <f aca="false">1/B12823</f>
        <v>0.00335401650334158</v>
      </c>
      <c r="D12823" s="3" t="n">
        <v>0.677400000000002</v>
      </c>
      <c r="E12823" s="1" t="n">
        <f aca="false">LN(D12823)</f>
        <v>-0.389493338598463</v>
      </c>
    </row>
    <row r="12824" customFormat="false" ht="15.75" hidden="false" customHeight="false" outlineLevel="0" collapsed="false">
      <c r="A12824" s="3" t="s">
        <v>1264</v>
      </c>
      <c r="B12824" s="7" t="n">
        <v>303.149993896484</v>
      </c>
      <c r="C12824" s="1" t="n">
        <f aca="false">1/B12824</f>
        <v>0.00329869708109401</v>
      </c>
      <c r="D12824" s="3" t="n">
        <v>0.630000000000001</v>
      </c>
      <c r="E12824" s="1" t="n">
        <f aca="false">LN(D12824)</f>
        <v>-0.462035459596557</v>
      </c>
    </row>
    <row r="12825" customFormat="false" ht="15.75" hidden="false" customHeight="false" outlineLevel="0" collapsed="false">
      <c r="A12825" s="3" t="s">
        <v>1264</v>
      </c>
      <c r="B12825" s="7" t="n">
        <v>308.149993896484</v>
      </c>
      <c r="C12825" s="1" t="n">
        <f aca="false">1/B12825</f>
        <v>0.00324517286972891</v>
      </c>
      <c r="D12825" s="3" t="n">
        <v>0.593000000000001</v>
      </c>
      <c r="E12825" s="1" t="n">
        <f aca="false">LN(D12825)</f>
        <v>-0.52256087998441</v>
      </c>
    </row>
    <row r="12826" customFormat="false" ht="15.75" hidden="false" customHeight="false" outlineLevel="0" collapsed="false">
      <c r="A12826" s="3" t="s">
        <v>1264</v>
      </c>
      <c r="B12826" s="7" t="n">
        <v>313.149993896484</v>
      </c>
      <c r="C12826" s="1" t="n">
        <f aca="false">1/B12826</f>
        <v>0.00319335787798407</v>
      </c>
      <c r="D12826" s="3" t="n">
        <v>0.556</v>
      </c>
      <c r="E12826" s="1" t="n">
        <f aca="false">LN(D12826)</f>
        <v>-0.586986984731555</v>
      </c>
    </row>
    <row r="12827" customFormat="false" ht="15.75" hidden="false" customHeight="false" outlineLevel="0" collapsed="false">
      <c r="A12827" s="3" t="s">
        <v>1264</v>
      </c>
      <c r="B12827" s="7" t="n">
        <v>318.149993896484</v>
      </c>
      <c r="C12827" s="1" t="n">
        <f aca="false">1/B12827</f>
        <v>0.00314317152030299</v>
      </c>
      <c r="D12827" s="3" t="n">
        <v>0.524000000000001</v>
      </c>
      <c r="E12827" s="1" t="n">
        <f aca="false">LN(D12827)</f>
        <v>-0.646263594661093</v>
      </c>
    </row>
    <row r="12828" customFormat="false" ht="15.75" hidden="false" customHeight="false" outlineLevel="0" collapsed="false">
      <c r="A12828" s="3" t="s">
        <v>1264</v>
      </c>
      <c r="B12828" s="7" t="n">
        <v>323.149993896484</v>
      </c>
      <c r="C12828" s="1" t="n">
        <f aca="false">1/B12828</f>
        <v>0.00309453819863086</v>
      </c>
      <c r="D12828" s="3" t="n">
        <v>0.507</v>
      </c>
      <c r="E12828" s="1" t="n">
        <f aca="false">LN(D12828)</f>
        <v>-0.679244275390954</v>
      </c>
    </row>
    <row r="12829" customFormat="false" ht="15.75" hidden="false" customHeight="false" outlineLevel="0" collapsed="false">
      <c r="A12829" s="3" t="s">
        <v>1264</v>
      </c>
      <c r="B12829" s="7" t="n">
        <v>333.149993896484</v>
      </c>
      <c r="C12829" s="1" t="n">
        <f aca="false">1/B12829</f>
        <v>0.00300165096299152</v>
      </c>
      <c r="D12829" s="3" t="n">
        <v>0.442499999999999</v>
      </c>
      <c r="E12829" s="1" t="n">
        <f aca="false">LN(D12829)</f>
        <v>-0.815314814534155</v>
      </c>
    </row>
    <row r="12830" customFormat="false" ht="15.75" hidden="false" customHeight="false" outlineLevel="0" collapsed="false">
      <c r="A12830" s="3" t="s">
        <v>1264</v>
      </c>
      <c r="B12830" s="7" t="n">
        <v>343.149993896484</v>
      </c>
      <c r="C12830" s="1" t="n">
        <f aca="false">1/B12830</f>
        <v>0.00291417752524182</v>
      </c>
      <c r="D12830" s="3" t="n">
        <v>0.409</v>
      </c>
      <c r="E12830" s="1" t="n">
        <f aca="false">LN(D12830)</f>
        <v>-0.894040122939335</v>
      </c>
    </row>
    <row r="12831" customFormat="false" ht="15.75" hidden="false" customHeight="false" outlineLevel="0" collapsed="false">
      <c r="A12831" s="3" t="s">
        <v>1266</v>
      </c>
      <c r="B12831" s="7" t="n">
        <v>298.149993896484</v>
      </c>
      <c r="C12831" s="1" t="n">
        <f aca="false">1/B12831</f>
        <v>0.00335401650334158</v>
      </c>
      <c r="D12831" s="3" t="n">
        <v>7</v>
      </c>
      <c r="E12831" s="1" t="n">
        <f aca="false">LN(D12831)</f>
        <v>1.94591014905531</v>
      </c>
    </row>
    <row r="12832" customFormat="false" ht="15.75" hidden="false" customHeight="false" outlineLevel="0" collapsed="false">
      <c r="A12832" s="3" t="s">
        <v>1266</v>
      </c>
      <c r="B12832" s="7" t="n">
        <v>303.149993896484</v>
      </c>
      <c r="C12832" s="1" t="n">
        <f aca="false">1/B12832</f>
        <v>0.00329869708109401</v>
      </c>
      <c r="D12832" s="3" t="n">
        <v>6.65999999999999</v>
      </c>
      <c r="E12832" s="1" t="n">
        <f aca="false">LN(D12832)</f>
        <v>1.8961194845523</v>
      </c>
    </row>
    <row r="12833" customFormat="false" ht="15.75" hidden="false" customHeight="false" outlineLevel="0" collapsed="false">
      <c r="A12833" s="3" t="s">
        <v>1266</v>
      </c>
      <c r="B12833" s="7" t="n">
        <v>313.149993896484</v>
      </c>
      <c r="C12833" s="1" t="n">
        <f aca="false">1/B12833</f>
        <v>0.00319335787798407</v>
      </c>
      <c r="D12833" s="3" t="n">
        <v>5.16000000000001</v>
      </c>
      <c r="E12833" s="1" t="n">
        <f aca="false">LN(D12833)</f>
        <v>1.64093657949347</v>
      </c>
    </row>
    <row r="12834" customFormat="false" ht="15.75" hidden="false" customHeight="false" outlineLevel="0" collapsed="false">
      <c r="A12834" s="3" t="s">
        <v>1266</v>
      </c>
      <c r="B12834" s="7" t="n">
        <v>323.149993896484</v>
      </c>
      <c r="C12834" s="1" t="n">
        <f aca="false">1/B12834</f>
        <v>0.00309453819863086</v>
      </c>
      <c r="D12834" s="3" t="n">
        <v>4.09000000000001</v>
      </c>
      <c r="E12834" s="1" t="n">
        <f aca="false">LN(D12834)</f>
        <v>1.40854497005471</v>
      </c>
    </row>
    <row r="12835" customFormat="false" ht="15.75" hidden="false" customHeight="false" outlineLevel="0" collapsed="false">
      <c r="A12835" s="3" t="s">
        <v>1266</v>
      </c>
      <c r="B12835" s="7" t="n">
        <v>333.149993896484</v>
      </c>
      <c r="C12835" s="1" t="n">
        <f aca="false">1/B12835</f>
        <v>0.00300165096299152</v>
      </c>
      <c r="D12835" s="3" t="n">
        <v>3.31000000000001</v>
      </c>
      <c r="E12835" s="1" t="n">
        <f aca="false">LN(D12835)</f>
        <v>1.19694818938897</v>
      </c>
    </row>
    <row r="12836" customFormat="false" ht="15.75" hidden="false" customHeight="false" outlineLevel="0" collapsed="false">
      <c r="A12836" s="3" t="s">
        <v>1266</v>
      </c>
      <c r="B12836" s="7" t="n">
        <v>343.149993896484</v>
      </c>
      <c r="C12836" s="1" t="n">
        <f aca="false">1/B12836</f>
        <v>0.00291417752524182</v>
      </c>
      <c r="D12836" s="3" t="n">
        <v>2.73</v>
      </c>
      <c r="E12836" s="1" t="n">
        <f aca="false">LN(D12836)</f>
        <v>1.00430160919687</v>
      </c>
    </row>
    <row r="12837" customFormat="false" ht="15.75" hidden="false" customHeight="false" outlineLevel="0" collapsed="false">
      <c r="A12837" s="3" t="s">
        <v>1266</v>
      </c>
      <c r="B12837" s="7" t="n">
        <v>353.149993896484</v>
      </c>
      <c r="C12837" s="1" t="n">
        <f aca="false">1/B12837</f>
        <v>0.00283165798466111</v>
      </c>
      <c r="D12837" s="3" t="n">
        <v>2.29</v>
      </c>
      <c r="E12837" s="1" t="n">
        <f aca="false">LN(D12837)</f>
        <v>0.828551817566148</v>
      </c>
    </row>
    <row r="12838" customFormat="false" ht="15.75" hidden="false" customHeight="false" outlineLevel="0" collapsed="false">
      <c r="A12838" s="3" t="s">
        <v>1266</v>
      </c>
      <c r="B12838" s="7" t="n">
        <v>363.149993896484</v>
      </c>
      <c r="C12838" s="1" t="n">
        <f aca="false">1/B12838</f>
        <v>0.00275368309736238</v>
      </c>
      <c r="D12838" s="3" t="n">
        <v>1.98</v>
      </c>
      <c r="E12838" s="1" t="n">
        <f aca="false">LN(D12838)</f>
        <v>0.683096844706444</v>
      </c>
    </row>
    <row r="12839" customFormat="false" ht="15.75" hidden="false" customHeight="false" outlineLevel="0" collapsed="false">
      <c r="A12839" s="3" t="s">
        <v>1268</v>
      </c>
      <c r="B12839" s="7" t="n">
        <v>283.589996337891</v>
      </c>
      <c r="C12839" s="1" t="n">
        <f aca="false">1/B12839</f>
        <v>0.00352621747210195</v>
      </c>
      <c r="D12839" s="3" t="n">
        <v>2.853</v>
      </c>
      <c r="E12839" s="1" t="n">
        <f aca="false">LN(D12839)</f>
        <v>1.04837107223136</v>
      </c>
    </row>
    <row r="12840" customFormat="false" ht="15.75" hidden="false" customHeight="false" outlineLevel="0" collapsed="false">
      <c r="A12840" s="3" t="s">
        <v>1268</v>
      </c>
      <c r="B12840" s="7" t="n">
        <v>298.640014648437</v>
      </c>
      <c r="C12840" s="1" t="n">
        <f aca="false">1/B12840</f>
        <v>0.00334851309586632</v>
      </c>
      <c r="D12840" s="3" t="n">
        <v>2.001</v>
      </c>
      <c r="E12840" s="1" t="n">
        <f aca="false">LN(D12840)</f>
        <v>0.693647055601596</v>
      </c>
    </row>
    <row r="12841" customFormat="false" ht="15.75" hidden="false" customHeight="false" outlineLevel="0" collapsed="false">
      <c r="A12841" s="3" t="s">
        <v>1268</v>
      </c>
      <c r="B12841" s="7" t="n">
        <v>313.690002441406</v>
      </c>
      <c r="C12841" s="1" t="n">
        <f aca="false">1/B12841</f>
        <v>0.00318786060192272</v>
      </c>
      <c r="D12841" s="3" t="n">
        <v>1.51</v>
      </c>
      <c r="E12841" s="1" t="n">
        <f aca="false">LN(D12841)</f>
        <v>0.412109650826833</v>
      </c>
    </row>
    <row r="12842" customFormat="false" ht="15.75" hidden="false" customHeight="false" outlineLevel="0" collapsed="false">
      <c r="A12842" s="3" t="s">
        <v>1268</v>
      </c>
      <c r="B12842" s="7" t="n">
        <v>333.079986572266</v>
      </c>
      <c r="C12842" s="1" t="n">
        <f aca="false">1/B12842</f>
        <v>0.00300228185515144</v>
      </c>
      <c r="D12842" s="3" t="n">
        <v>1.106</v>
      </c>
      <c r="E12842" s="1" t="n">
        <f aca="false">LN(D12842)</f>
        <v>0.100749903100143</v>
      </c>
    </row>
    <row r="12843" customFormat="false" ht="15.75" hidden="false" customHeight="false" outlineLevel="0" collapsed="false">
      <c r="A12843" s="3" t="s">
        <v>1268</v>
      </c>
      <c r="B12843" s="7" t="n">
        <v>348.799987792969</v>
      </c>
      <c r="C12843" s="1" t="n">
        <f aca="false">1/B12843</f>
        <v>0.0028669725774003</v>
      </c>
      <c r="D12843" s="3" t="n">
        <v>0.897</v>
      </c>
      <c r="E12843" s="1" t="n">
        <f aca="false">LN(D12843)</f>
        <v>-0.108699416923341</v>
      </c>
    </row>
    <row r="12844" customFormat="false" ht="15.75" hidden="false" customHeight="false" outlineLevel="0" collapsed="false">
      <c r="A12844" s="3" t="s">
        <v>1270</v>
      </c>
      <c r="B12844" s="7" t="n">
        <v>293.149993896484</v>
      </c>
      <c r="C12844" s="1" t="n">
        <f aca="false">1/B12844</f>
        <v>0.00341122299444126</v>
      </c>
      <c r="D12844" s="3" t="n">
        <v>2.7345</v>
      </c>
      <c r="E12844" s="1" t="n">
        <f aca="false">LN(D12844)</f>
        <v>1.00594860380469</v>
      </c>
    </row>
    <row r="12845" customFormat="false" ht="15.75" hidden="false" customHeight="false" outlineLevel="0" collapsed="false">
      <c r="A12845" s="3" t="s">
        <v>1270</v>
      </c>
      <c r="B12845" s="7" t="n">
        <v>308.149993896484</v>
      </c>
      <c r="C12845" s="1" t="n">
        <f aca="false">1/B12845</f>
        <v>0.00324517286972891</v>
      </c>
      <c r="D12845" s="3" t="n">
        <v>2.059</v>
      </c>
      <c r="E12845" s="1" t="n">
        <f aca="false">LN(D12845)</f>
        <v>0.722220428045652</v>
      </c>
    </row>
    <row r="12846" customFormat="false" ht="15.75" hidden="false" customHeight="false" outlineLevel="0" collapsed="false">
      <c r="A12846" s="3" t="s">
        <v>1270</v>
      </c>
      <c r="B12846" s="7" t="n">
        <v>310.950012207031</v>
      </c>
      <c r="C12846" s="1" t="n">
        <f aca="false">1/B12846</f>
        <v>0.00321595099129373</v>
      </c>
      <c r="D12846" s="3" t="n">
        <v>1.9075</v>
      </c>
      <c r="E12846" s="1" t="n">
        <f aca="false">LN(D12846)</f>
        <v>0.645793484176475</v>
      </c>
    </row>
    <row r="12847" customFormat="false" ht="15.75" hidden="false" customHeight="false" outlineLevel="0" collapsed="false">
      <c r="A12847" s="3" t="s">
        <v>1270</v>
      </c>
      <c r="B12847" s="7" t="n">
        <v>323.149993896484</v>
      </c>
      <c r="C12847" s="1" t="n">
        <f aca="false">1/B12847</f>
        <v>0.00309453819863086</v>
      </c>
      <c r="D12847" s="3" t="n">
        <v>1.574</v>
      </c>
      <c r="E12847" s="1" t="n">
        <f aca="false">LN(D12847)</f>
        <v>0.453620149995212</v>
      </c>
    </row>
    <row r="12848" customFormat="false" ht="15.75" hidden="false" customHeight="false" outlineLevel="0" collapsed="false">
      <c r="A12848" s="3" t="s">
        <v>1270</v>
      </c>
      <c r="B12848" s="7" t="n">
        <v>338.149993896484</v>
      </c>
      <c r="C12848" s="1" t="n">
        <f aca="false">1/B12848</f>
        <v>0.00295726753822188</v>
      </c>
      <c r="D12848" s="3" t="n">
        <v>1.239</v>
      </c>
      <c r="E12848" s="1" t="n">
        <f aca="false">LN(D12848)</f>
        <v>0.214304602647005</v>
      </c>
    </row>
    <row r="12849" customFormat="false" ht="15.75" hidden="false" customHeight="false" outlineLevel="0" collapsed="false">
      <c r="A12849" s="3" t="s">
        <v>1270</v>
      </c>
      <c r="B12849" s="7" t="n">
        <v>353.149993896484</v>
      </c>
      <c r="C12849" s="1" t="n">
        <f aca="false">1/B12849</f>
        <v>0.00283165798466111</v>
      </c>
      <c r="D12849" s="3" t="n">
        <v>0.996300000000002</v>
      </c>
      <c r="E12849" s="1" t="n">
        <f aca="false">LN(D12849)</f>
        <v>-0.00370686193132451</v>
      </c>
    </row>
    <row r="12850" customFormat="false" ht="15.75" hidden="false" customHeight="false" outlineLevel="0" collapsed="false">
      <c r="A12850" s="3" t="s">
        <v>1270</v>
      </c>
      <c r="B12850" s="7" t="n">
        <v>368.149993896484</v>
      </c>
      <c r="C12850" s="1" t="n">
        <f aca="false">1/B12850</f>
        <v>0.00271628416835226</v>
      </c>
      <c r="D12850" s="3" t="n">
        <v>0.814699999999999</v>
      </c>
      <c r="E12850" s="1" t="n">
        <f aca="false">LN(D12850)</f>
        <v>-0.204935331665542</v>
      </c>
    </row>
    <row r="12851" customFormat="false" ht="15.75" hidden="false" customHeight="false" outlineLevel="0" collapsed="false">
      <c r="A12851" s="3" t="s">
        <v>1270</v>
      </c>
      <c r="B12851" s="7" t="n">
        <v>372.049987792969</v>
      </c>
      <c r="C12851" s="1" t="n">
        <f aca="false">1/B12851</f>
        <v>0.0026878108663088</v>
      </c>
      <c r="D12851" s="3" t="n">
        <v>0.77999</v>
      </c>
      <c r="E12851" s="1" t="n">
        <f aca="false">LN(D12851)</f>
        <v>-0.248474179893504</v>
      </c>
    </row>
    <row r="12852" customFormat="false" ht="15.75" hidden="false" customHeight="false" outlineLevel="0" collapsed="false">
      <c r="A12852" s="3" t="s">
        <v>1270</v>
      </c>
      <c r="B12852" s="7" t="n">
        <v>394.149993896484</v>
      </c>
      <c r="C12852" s="1" t="n">
        <f aca="false">1/B12852</f>
        <v>0.00253710520229674</v>
      </c>
      <c r="D12852" s="3" t="n">
        <v>0.613480000000001</v>
      </c>
      <c r="E12852" s="1" t="n">
        <f aca="false">LN(D12852)</f>
        <v>-0.488607615199556</v>
      </c>
    </row>
    <row r="12853" customFormat="false" ht="15.75" hidden="false" customHeight="false" outlineLevel="0" collapsed="false">
      <c r="A12853" s="3" t="s">
        <v>1527</v>
      </c>
      <c r="B12853" s="7" t="n">
        <v>293.149993896484</v>
      </c>
      <c r="C12853" s="1" t="n">
        <f aca="false">1/B12853</f>
        <v>0.00341122299444126</v>
      </c>
      <c r="D12853" s="3" t="n">
        <v>4.5</v>
      </c>
      <c r="E12853" s="1" t="n">
        <f aca="false">LN(D12853)</f>
        <v>1.50407739677627</v>
      </c>
    </row>
    <row r="12854" customFormat="false" ht="15.75" hidden="false" customHeight="false" outlineLevel="0" collapsed="false">
      <c r="A12854" s="3" t="s">
        <v>1528</v>
      </c>
      <c r="B12854" s="7" t="n">
        <v>293.149993896484</v>
      </c>
      <c r="C12854" s="1" t="n">
        <f aca="false">1/B12854</f>
        <v>0.00341122299444126</v>
      </c>
      <c r="D12854" s="3" t="n">
        <v>5.63000000000001</v>
      </c>
      <c r="E12854" s="1" t="n">
        <f aca="false">LN(D12854)</f>
        <v>1.7281094421516</v>
      </c>
    </row>
    <row r="12855" customFormat="false" ht="15.75" hidden="false" customHeight="false" outlineLevel="0" collapsed="false">
      <c r="A12855" s="3" t="s">
        <v>1528</v>
      </c>
      <c r="B12855" s="7" t="n">
        <v>298.149993896484</v>
      </c>
      <c r="C12855" s="1" t="n">
        <f aca="false">1/B12855</f>
        <v>0.00335401650334158</v>
      </c>
      <c r="D12855" s="3" t="n">
        <v>4.76</v>
      </c>
      <c r="E12855" s="1" t="n">
        <f aca="false">LN(D12855)</f>
        <v>1.56024766824333</v>
      </c>
    </row>
    <row r="12856" customFormat="false" ht="15.75" hidden="false" customHeight="false" outlineLevel="0" collapsed="false">
      <c r="A12856" s="3" t="s">
        <v>1529</v>
      </c>
      <c r="B12856" s="7" t="n">
        <v>297.850006103516</v>
      </c>
      <c r="C12856" s="1" t="n">
        <f aca="false">1/B12856</f>
        <v>0.00335739459294305</v>
      </c>
      <c r="D12856" s="3" t="n">
        <v>3.016</v>
      </c>
      <c r="E12856" s="1" t="n">
        <f aca="false">LN(D12856)</f>
        <v>1.10393145014571</v>
      </c>
    </row>
    <row r="12857" customFormat="false" ht="15.75" hidden="false" customHeight="false" outlineLevel="0" collapsed="false">
      <c r="A12857" s="3" t="s">
        <v>162</v>
      </c>
      <c r="B12857" s="7" t="n">
        <v>288.149993896484</v>
      </c>
      <c r="C12857" s="1" t="n">
        <f aca="false">1/B12857</f>
        <v>0.00347041478806778</v>
      </c>
      <c r="D12857" s="3" t="n">
        <v>2.37850000000001</v>
      </c>
      <c r="E12857" s="1" t="n">
        <f aca="false">LN(D12857)</f>
        <v>0.866470036890203</v>
      </c>
    </row>
    <row r="12858" customFormat="false" ht="15.75" hidden="false" customHeight="false" outlineLevel="0" collapsed="false">
      <c r="A12858" s="3" t="s">
        <v>162</v>
      </c>
      <c r="B12858" s="7" t="n">
        <v>293.149993896484</v>
      </c>
      <c r="C12858" s="1" t="n">
        <f aca="false">1/B12858</f>
        <v>0.00341122299444126</v>
      </c>
      <c r="D12858" s="3" t="n">
        <v>2.15</v>
      </c>
      <c r="E12858" s="1" t="n">
        <f aca="false">LN(D12858)</f>
        <v>0.765467842139571</v>
      </c>
    </row>
    <row r="12859" customFormat="false" ht="15.75" hidden="false" customHeight="false" outlineLevel="0" collapsed="false">
      <c r="A12859" s="3" t="s">
        <v>162</v>
      </c>
      <c r="B12859" s="7" t="n">
        <v>298.149993896484</v>
      </c>
      <c r="C12859" s="1" t="n">
        <f aca="false">1/B12859</f>
        <v>0.00335401650334158</v>
      </c>
      <c r="D12859" s="3" t="n">
        <v>1.903</v>
      </c>
      <c r="E12859" s="1" t="n">
        <f aca="false">LN(D12859)</f>
        <v>0.643431588314012</v>
      </c>
    </row>
    <row r="12860" customFormat="false" ht="15.75" hidden="false" customHeight="false" outlineLevel="0" collapsed="false">
      <c r="A12860" s="3" t="s">
        <v>162</v>
      </c>
      <c r="B12860" s="7" t="n">
        <v>303.149993896484</v>
      </c>
      <c r="C12860" s="1" t="n">
        <f aca="false">1/B12860</f>
        <v>0.00329869708109401</v>
      </c>
      <c r="D12860" s="3" t="n">
        <v>1.7515</v>
      </c>
      <c r="E12860" s="1" t="n">
        <f aca="false">LN(D12860)</f>
        <v>0.560472563655404</v>
      </c>
    </row>
    <row r="12861" customFormat="false" ht="15.75" hidden="false" customHeight="false" outlineLevel="0" collapsed="false">
      <c r="A12861" s="3" t="s">
        <v>1272</v>
      </c>
      <c r="B12861" s="7" t="n">
        <v>273.149993896484</v>
      </c>
      <c r="C12861" s="1" t="n">
        <f aca="false">1/B12861</f>
        <v>0.00366099221067152</v>
      </c>
      <c r="D12861" s="3" t="n">
        <v>3.262</v>
      </c>
      <c r="E12861" s="1" t="n">
        <f aca="false">LN(D12861)</f>
        <v>1.18234050419882</v>
      </c>
    </row>
    <row r="12862" customFormat="false" ht="15.75" hidden="false" customHeight="false" outlineLevel="0" collapsed="false">
      <c r="A12862" s="3" t="s">
        <v>1272</v>
      </c>
      <c r="B12862" s="7" t="n">
        <v>283.149993896484</v>
      </c>
      <c r="C12862" s="1" t="n">
        <f aca="false">1/B12862</f>
        <v>0.00353169705652753</v>
      </c>
      <c r="D12862" s="3" t="n">
        <v>2.5265</v>
      </c>
      <c r="E12862" s="1" t="n">
        <f aca="false">LN(D12862)</f>
        <v>0.926834945749826</v>
      </c>
    </row>
    <row r="12863" customFormat="false" ht="15.75" hidden="false" customHeight="false" outlineLevel="0" collapsed="false">
      <c r="A12863" s="3" t="s">
        <v>1272</v>
      </c>
      <c r="B12863" s="7" t="n">
        <v>288.149993896484</v>
      </c>
      <c r="C12863" s="1" t="n">
        <f aca="false">1/B12863</f>
        <v>0.00347041478806778</v>
      </c>
      <c r="D12863" s="3" t="n">
        <v>2.311</v>
      </c>
      <c r="E12863" s="1" t="n">
        <f aca="false">LN(D12863)</f>
        <v>0.837680331292244</v>
      </c>
    </row>
    <row r="12864" customFormat="false" ht="15.75" hidden="false" customHeight="false" outlineLevel="0" collapsed="false">
      <c r="A12864" s="3" t="s">
        <v>1272</v>
      </c>
      <c r="B12864" s="7" t="n">
        <v>293.149993896484</v>
      </c>
      <c r="C12864" s="1" t="n">
        <f aca="false">1/B12864</f>
        <v>0.00341122299444126</v>
      </c>
      <c r="D12864" s="3" t="n">
        <v>2.0161</v>
      </c>
      <c r="E12864" s="1" t="n">
        <f aca="false">LN(D12864)</f>
        <v>0.701164952153528</v>
      </c>
    </row>
    <row r="12865" customFormat="false" ht="15.75" hidden="false" customHeight="false" outlineLevel="0" collapsed="false">
      <c r="A12865" s="3" t="s">
        <v>1272</v>
      </c>
      <c r="B12865" s="7" t="n">
        <v>303.149993896484</v>
      </c>
      <c r="C12865" s="1" t="n">
        <f aca="false">1/B12865</f>
        <v>0.00329869708109401</v>
      </c>
      <c r="D12865" s="3" t="n">
        <v>1.6327</v>
      </c>
      <c r="E12865" s="1" t="n">
        <f aca="false">LN(D12865)</f>
        <v>0.490235086149982</v>
      </c>
    </row>
    <row r="12866" customFormat="false" ht="15.75" hidden="false" customHeight="false" outlineLevel="0" collapsed="false">
      <c r="A12866" s="3" t="s">
        <v>1272</v>
      </c>
      <c r="B12866" s="7" t="n">
        <v>313.149993896484</v>
      </c>
      <c r="C12866" s="1" t="n">
        <f aca="false">1/B12866</f>
        <v>0.00319335787798407</v>
      </c>
      <c r="D12866" s="3" t="n">
        <v>1.3755</v>
      </c>
      <c r="E12866" s="1" t="n">
        <f aca="false">LN(D12866)</f>
        <v>0.318817301382492</v>
      </c>
    </row>
    <row r="12867" customFormat="false" ht="15.75" hidden="false" customHeight="false" outlineLevel="0" collapsed="false">
      <c r="A12867" s="3" t="s">
        <v>1272</v>
      </c>
      <c r="B12867" s="7" t="n">
        <v>333.149993896484</v>
      </c>
      <c r="C12867" s="1" t="n">
        <f aca="false">1/B12867</f>
        <v>0.00300165096299152</v>
      </c>
      <c r="D12867" s="3" t="n">
        <v>1.0163</v>
      </c>
      <c r="E12867" s="1" t="n">
        <f aca="false">LN(D12867)</f>
        <v>0.0161685811615837</v>
      </c>
    </row>
    <row r="12868" customFormat="false" ht="15.75" hidden="false" customHeight="false" outlineLevel="0" collapsed="false">
      <c r="A12868" s="3" t="s">
        <v>1272</v>
      </c>
      <c r="B12868" s="7" t="n">
        <v>353.149993896484</v>
      </c>
      <c r="C12868" s="1" t="n">
        <f aca="false">1/B12868</f>
        <v>0.00283165798466111</v>
      </c>
      <c r="D12868" s="3" t="n">
        <v>0.76698</v>
      </c>
      <c r="E12868" s="1" t="n">
        <f aca="false">LN(D12868)</f>
        <v>-0.265294553574152</v>
      </c>
    </row>
    <row r="12869" customFormat="false" ht="15.75" hidden="false" customHeight="false" outlineLevel="0" collapsed="false">
      <c r="A12869" s="3" t="s">
        <v>1272</v>
      </c>
      <c r="B12869" s="7" t="n">
        <v>373.149993896484</v>
      </c>
      <c r="C12869" s="1" t="n">
        <f aca="false">1/B12869</f>
        <v>0.00267988748856153</v>
      </c>
      <c r="D12869" s="3" t="n">
        <v>0.610010000000001</v>
      </c>
      <c r="E12869" s="1" t="n">
        <f aca="false">LN(D12869)</f>
        <v>-0.494279928506526</v>
      </c>
    </row>
    <row r="12870" customFormat="false" ht="15.75" hidden="false" customHeight="false" outlineLevel="0" collapsed="false">
      <c r="A12870" s="3" t="s">
        <v>1272</v>
      </c>
      <c r="B12870" s="7" t="n">
        <v>393.149993896484</v>
      </c>
      <c r="C12870" s="1" t="n">
        <f aca="false">1/B12870</f>
        <v>0.00254355847774297</v>
      </c>
      <c r="D12870" s="3" t="n">
        <v>0.50499</v>
      </c>
      <c r="E12870" s="1" t="n">
        <f aca="false">LN(D12870)</f>
        <v>-0.683216651883037</v>
      </c>
    </row>
    <row r="12871" customFormat="false" ht="15.75" hidden="false" customHeight="false" outlineLevel="0" collapsed="false">
      <c r="A12871" s="3" t="s">
        <v>1272</v>
      </c>
      <c r="B12871" s="7" t="n">
        <v>413.149993896484</v>
      </c>
      <c r="C12871" s="1" t="n">
        <f aca="false">1/B12871</f>
        <v>0.00242042845158689</v>
      </c>
      <c r="D12871" s="3" t="n">
        <v>0.42201</v>
      </c>
      <c r="E12871" s="1" t="n">
        <f aca="false">LN(D12871)</f>
        <v>-0.862726268544423</v>
      </c>
    </row>
    <row r="12872" customFormat="false" ht="15.75" hidden="false" customHeight="false" outlineLevel="0" collapsed="false">
      <c r="A12872" s="3" t="s">
        <v>1272</v>
      </c>
      <c r="B12872" s="7" t="n">
        <v>433.149993896484</v>
      </c>
      <c r="C12872" s="1" t="n">
        <f aca="false">1/B12872</f>
        <v>0.00230866908482281</v>
      </c>
      <c r="D12872" s="3" t="n">
        <v>0.354</v>
      </c>
      <c r="E12872" s="1" t="n">
        <f aca="false">LN(D12872)</f>
        <v>-1.03845836584836</v>
      </c>
    </row>
    <row r="12873" customFormat="false" ht="15.75" hidden="false" customHeight="false" outlineLevel="0" collapsed="false">
      <c r="A12873" s="3" t="s">
        <v>164</v>
      </c>
      <c r="B12873" s="7" t="n">
        <v>293.149993896484</v>
      </c>
      <c r="C12873" s="1" t="n">
        <f aca="false">1/B12873</f>
        <v>0.00341122299444126</v>
      </c>
      <c r="D12873" s="3" t="n">
        <v>9.13999999999999</v>
      </c>
      <c r="E12873" s="1" t="n">
        <f aca="false">LN(D12873)</f>
        <v>2.21266038546606</v>
      </c>
    </row>
    <row r="12874" customFormat="false" ht="15.75" hidden="false" customHeight="false" outlineLevel="0" collapsed="false">
      <c r="A12874" s="3" t="s">
        <v>164</v>
      </c>
      <c r="B12874" s="7" t="n">
        <v>303.149993896484</v>
      </c>
      <c r="C12874" s="1" t="n">
        <f aca="false">1/B12874</f>
        <v>0.00329869708109401</v>
      </c>
      <c r="D12874" s="3" t="n">
        <v>5.389</v>
      </c>
      <c r="E12874" s="1" t="n">
        <f aca="false">LN(D12874)</f>
        <v>1.68435983895136</v>
      </c>
    </row>
    <row r="12875" customFormat="false" ht="15.75" hidden="false" customHeight="false" outlineLevel="0" collapsed="false">
      <c r="A12875" s="3" t="s">
        <v>164</v>
      </c>
      <c r="B12875" s="7" t="n">
        <v>323.149993896484</v>
      </c>
      <c r="C12875" s="1" t="n">
        <f aca="false">1/B12875</f>
        <v>0.00309453819863086</v>
      </c>
      <c r="D12875" s="3" t="n">
        <v>2.775</v>
      </c>
      <c r="E12875" s="1" t="n">
        <f aca="false">LN(D12875)</f>
        <v>1.0206507471984</v>
      </c>
    </row>
    <row r="12876" customFormat="false" ht="15.75" hidden="false" customHeight="false" outlineLevel="0" collapsed="false">
      <c r="A12876" s="3" t="s">
        <v>1530</v>
      </c>
      <c r="B12876" s="7" t="n">
        <v>293.149993896484</v>
      </c>
      <c r="C12876" s="1" t="n">
        <f aca="false">1/B12876</f>
        <v>0.00341122299444126</v>
      </c>
      <c r="D12876" s="3" t="n">
        <v>3.54</v>
      </c>
      <c r="E12876" s="1" t="n">
        <f aca="false">LN(D12876)</f>
        <v>1.26412672714568</v>
      </c>
    </row>
    <row r="12877" customFormat="false" ht="15.75" hidden="false" customHeight="false" outlineLevel="0" collapsed="false">
      <c r="A12877" s="3" t="s">
        <v>1530</v>
      </c>
      <c r="B12877" s="7" t="n">
        <v>298.149993896484</v>
      </c>
      <c r="C12877" s="1" t="n">
        <f aca="false">1/B12877</f>
        <v>0.00335401650334158</v>
      </c>
      <c r="D12877" s="3" t="n">
        <v>3.21000000000001</v>
      </c>
      <c r="E12877" s="1" t="n">
        <f aca="false">LN(D12877)</f>
        <v>1.16627093714193</v>
      </c>
    </row>
    <row r="12878" customFormat="false" ht="15.75" hidden="false" customHeight="false" outlineLevel="0" collapsed="false">
      <c r="A12878" s="3" t="s">
        <v>166</v>
      </c>
      <c r="B12878" s="7" t="n">
        <v>273.149993896484</v>
      </c>
      <c r="C12878" s="1" t="n">
        <f aca="false">1/B12878</f>
        <v>0.00366099221067152</v>
      </c>
      <c r="D12878" s="3" t="n">
        <v>3.69999999999999</v>
      </c>
      <c r="E12878" s="1" t="n">
        <f aca="false">LN(D12878)</f>
        <v>1.30833281965018</v>
      </c>
    </row>
    <row r="12879" customFormat="false" ht="15.75" hidden="false" customHeight="false" outlineLevel="0" collapsed="false">
      <c r="A12879" s="3" t="s">
        <v>166</v>
      </c>
      <c r="B12879" s="7" t="n">
        <v>298.149993896484</v>
      </c>
      <c r="C12879" s="1" t="n">
        <f aca="false">1/B12879</f>
        <v>0.00335401650334158</v>
      </c>
      <c r="D12879" s="3" t="n">
        <v>2</v>
      </c>
      <c r="E12879" s="1" t="n">
        <f aca="false">LN(D12879)</f>
        <v>0.693147180559945</v>
      </c>
    </row>
    <row r="12880" customFormat="false" ht="15.75" hidden="false" customHeight="false" outlineLevel="0" collapsed="false">
      <c r="A12880" s="3" t="s">
        <v>1531</v>
      </c>
      <c r="B12880" s="7" t="n">
        <v>293.149993896484</v>
      </c>
      <c r="C12880" s="1" t="n">
        <f aca="false">1/B12880</f>
        <v>0.00341122299444126</v>
      </c>
      <c r="D12880" s="3" t="n">
        <v>0.601000000000001</v>
      </c>
      <c r="E12880" s="1" t="n">
        <f aca="false">LN(D12880)</f>
        <v>-0.509160344446928</v>
      </c>
    </row>
    <row r="12881" customFormat="false" ht="15.75" hidden="false" customHeight="false" outlineLevel="0" collapsed="false">
      <c r="A12881" s="3" t="s">
        <v>1531</v>
      </c>
      <c r="B12881" s="7" t="n">
        <v>298.149993896484</v>
      </c>
      <c r="C12881" s="1" t="n">
        <f aca="false">1/B12881</f>
        <v>0.00335401650334158</v>
      </c>
      <c r="D12881" s="3" t="n">
        <v>0.557000000000001</v>
      </c>
      <c r="E12881" s="1" t="n">
        <f aca="false">LN(D12881)</f>
        <v>-0.585190039054851</v>
      </c>
    </row>
    <row r="12882" customFormat="false" ht="15.75" hidden="false" customHeight="false" outlineLevel="0" collapsed="false">
      <c r="A12882" s="3" t="s">
        <v>1532</v>
      </c>
      <c r="B12882" s="7" t="n">
        <v>293.149993896484</v>
      </c>
      <c r="C12882" s="1" t="n">
        <f aca="false">1/B12882</f>
        <v>0.00341122299444126</v>
      </c>
      <c r="D12882" s="3" t="n">
        <v>2.90000000000001</v>
      </c>
      <c r="E12882" s="1" t="n">
        <f aca="false">LN(D12882)</f>
        <v>1.06471073699243</v>
      </c>
    </row>
    <row r="12883" customFormat="false" ht="15.75" hidden="false" customHeight="false" outlineLevel="0" collapsed="false">
      <c r="A12883" s="3" t="s">
        <v>1274</v>
      </c>
      <c r="B12883" s="7" t="n">
        <v>278.149993896484</v>
      </c>
      <c r="C12883" s="1" t="n">
        <f aca="false">1/B12883</f>
        <v>0.00359518253439962</v>
      </c>
      <c r="D12883" s="3" t="n">
        <v>2.546</v>
      </c>
      <c r="E12883" s="1" t="n">
        <f aca="false">LN(D12883)</f>
        <v>0.934523500135215</v>
      </c>
    </row>
    <row r="12884" customFormat="false" ht="15.75" hidden="false" customHeight="false" outlineLevel="0" collapsed="false">
      <c r="A12884" s="3" t="s">
        <v>1274</v>
      </c>
      <c r="B12884" s="7" t="n">
        <v>288.149993896484</v>
      </c>
      <c r="C12884" s="1" t="n">
        <f aca="false">1/B12884</f>
        <v>0.00347041478806778</v>
      </c>
      <c r="D12884" s="3" t="n">
        <v>2.072</v>
      </c>
      <c r="E12884" s="1" t="n">
        <f aca="false">LN(D12884)</f>
        <v>0.728514324397237</v>
      </c>
    </row>
    <row r="12885" customFormat="false" ht="15.75" hidden="false" customHeight="false" outlineLevel="0" collapsed="false">
      <c r="A12885" s="3" t="s">
        <v>1274</v>
      </c>
      <c r="B12885" s="7" t="n">
        <v>293.149993896484</v>
      </c>
      <c r="C12885" s="1" t="n">
        <f aca="false">1/B12885</f>
        <v>0.00341122299444126</v>
      </c>
      <c r="D12885" s="3" t="n">
        <v>1.883</v>
      </c>
      <c r="E12885" s="1" t="n">
        <f aca="false">LN(D12885)</f>
        <v>0.632866249675015</v>
      </c>
    </row>
    <row r="12886" customFormat="false" ht="15.75" hidden="false" customHeight="false" outlineLevel="0" collapsed="false">
      <c r="A12886" s="3" t="s">
        <v>1274</v>
      </c>
      <c r="B12886" s="7" t="n">
        <v>298.149993896484</v>
      </c>
      <c r="C12886" s="1" t="n">
        <f aca="false">1/B12886</f>
        <v>0.00335401650334158</v>
      </c>
      <c r="D12886" s="3" t="n">
        <v>1.72766666666667</v>
      </c>
      <c r="E12886" s="1" t="n">
        <f aca="false">LN(D12886)</f>
        <v>0.546771750539462</v>
      </c>
    </row>
    <row r="12887" customFormat="false" ht="15.75" hidden="false" customHeight="false" outlineLevel="0" collapsed="false">
      <c r="A12887" s="3" t="s">
        <v>1274</v>
      </c>
      <c r="B12887" s="7" t="n">
        <v>303.149993896484</v>
      </c>
      <c r="C12887" s="1" t="n">
        <f aca="false">1/B12887</f>
        <v>0.00329869708109401</v>
      </c>
      <c r="D12887" s="3" t="n">
        <v>1.61085</v>
      </c>
      <c r="E12887" s="1" t="n">
        <f aca="false">LN(D12887)</f>
        <v>0.476761989990198</v>
      </c>
    </row>
    <row r="12888" customFormat="false" ht="15.75" hidden="false" customHeight="false" outlineLevel="0" collapsed="false">
      <c r="A12888" s="3" t="s">
        <v>1274</v>
      </c>
      <c r="B12888" s="7" t="n">
        <v>308.149993896484</v>
      </c>
      <c r="C12888" s="1" t="n">
        <f aca="false">1/B12888</f>
        <v>0.00324517286972891</v>
      </c>
      <c r="D12888" s="3" t="n">
        <v>1.498</v>
      </c>
      <c r="E12888" s="1" t="n">
        <f aca="false">LN(D12888)</f>
        <v>0.404130885095028</v>
      </c>
    </row>
    <row r="12889" customFormat="false" ht="15.75" hidden="false" customHeight="false" outlineLevel="0" collapsed="false">
      <c r="A12889" s="3" t="s">
        <v>1274</v>
      </c>
      <c r="B12889" s="7" t="n">
        <v>323.149993896484</v>
      </c>
      <c r="C12889" s="1" t="n">
        <f aca="false">1/B12889</f>
        <v>0.00309453819863086</v>
      </c>
      <c r="D12889" s="3" t="n">
        <v>1.2131</v>
      </c>
      <c r="E12889" s="1" t="n">
        <f aca="false">LN(D12889)</f>
        <v>0.193179066794737</v>
      </c>
    </row>
    <row r="12890" customFormat="false" ht="15.75" hidden="false" customHeight="false" outlineLevel="0" collapsed="false">
      <c r="A12890" s="3" t="s">
        <v>1274</v>
      </c>
      <c r="B12890" s="7" t="n">
        <v>343.149993896484</v>
      </c>
      <c r="C12890" s="1" t="n">
        <f aca="false">1/B12890</f>
        <v>0.00291417752524182</v>
      </c>
      <c r="D12890" s="3" t="n">
        <v>0.9513</v>
      </c>
      <c r="E12890" s="1" t="n">
        <f aca="false">LN(D12890)</f>
        <v>-0.0499258087697257</v>
      </c>
    </row>
    <row r="12891" customFormat="false" ht="15.75" hidden="false" customHeight="false" outlineLevel="0" collapsed="false">
      <c r="A12891" s="3" t="s">
        <v>1276</v>
      </c>
      <c r="B12891" s="7" t="n">
        <v>273.149993896484</v>
      </c>
      <c r="C12891" s="1" t="n">
        <f aca="false">1/B12891</f>
        <v>0.00366099221067152</v>
      </c>
      <c r="D12891" s="3" t="n">
        <v>2.32</v>
      </c>
      <c r="E12891" s="1" t="n">
        <f aca="false">LN(D12891)</f>
        <v>0.841567185678218</v>
      </c>
    </row>
    <row r="12892" customFormat="false" ht="15.75" hidden="false" customHeight="false" outlineLevel="0" collapsed="false">
      <c r="A12892" s="3" t="s">
        <v>1276</v>
      </c>
      <c r="B12892" s="7" t="n">
        <v>283.149993896484</v>
      </c>
      <c r="C12892" s="1" t="n">
        <f aca="false">1/B12892</f>
        <v>0.00353169705652753</v>
      </c>
      <c r="D12892" s="3" t="n">
        <v>1.85</v>
      </c>
      <c r="E12892" s="1" t="n">
        <f aca="false">LN(D12892)</f>
        <v>0.615185639090234</v>
      </c>
    </row>
    <row r="12893" customFormat="false" ht="15.75" hidden="false" customHeight="false" outlineLevel="0" collapsed="false">
      <c r="A12893" s="3" t="s">
        <v>1276</v>
      </c>
      <c r="B12893" s="7" t="n">
        <v>288.149993896484</v>
      </c>
      <c r="C12893" s="1" t="n">
        <f aca="false">1/B12893</f>
        <v>0.00347041478806778</v>
      </c>
      <c r="D12893" s="3" t="n">
        <v>1.598</v>
      </c>
      <c r="E12893" s="1" t="n">
        <f aca="false">LN(D12893)</f>
        <v>0.468752847344083</v>
      </c>
    </row>
    <row r="12894" customFormat="false" ht="15.75" hidden="false" customHeight="false" outlineLevel="0" collapsed="false">
      <c r="A12894" s="3" t="s">
        <v>1276</v>
      </c>
      <c r="B12894" s="7" t="n">
        <v>293.149993896484</v>
      </c>
      <c r="C12894" s="1" t="n">
        <f aca="false">1/B12894</f>
        <v>0.00341122299444126</v>
      </c>
      <c r="D12894" s="3" t="n">
        <v>1.52</v>
      </c>
      <c r="E12894" s="1" t="n">
        <f aca="false">LN(D12894)</f>
        <v>0.418710334858185</v>
      </c>
    </row>
    <row r="12895" customFormat="false" ht="15.75" hidden="false" customHeight="false" outlineLevel="0" collapsed="false">
      <c r="A12895" s="3" t="s">
        <v>1276</v>
      </c>
      <c r="B12895" s="7" t="n">
        <v>300.5</v>
      </c>
      <c r="C12895" s="1" t="n">
        <f aca="false">1/B12895</f>
        <v>0.00332778702163062</v>
      </c>
      <c r="D12895" s="3" t="n">
        <v>1.238</v>
      </c>
      <c r="E12895" s="1" t="n">
        <f aca="false">LN(D12895)</f>
        <v>0.213497174262404</v>
      </c>
    </row>
    <row r="12896" customFormat="false" ht="15.75" hidden="false" customHeight="false" outlineLevel="0" collapsed="false">
      <c r="A12896" s="3" t="s">
        <v>1276</v>
      </c>
      <c r="B12896" s="7" t="n">
        <v>303.149993896484</v>
      </c>
      <c r="C12896" s="1" t="n">
        <f aca="false">1/B12896</f>
        <v>0.00329869708109401</v>
      </c>
      <c r="D12896" s="3" t="n">
        <v>1.243</v>
      </c>
      <c r="E12896" s="1" t="n">
        <f aca="false">LN(D12896)</f>
        <v>0.217527812528574</v>
      </c>
    </row>
    <row r="12897" customFormat="false" ht="15.75" hidden="false" customHeight="false" outlineLevel="0" collapsed="false">
      <c r="A12897" s="3" t="s">
        <v>1276</v>
      </c>
      <c r="B12897" s="7" t="n">
        <v>313.149993896484</v>
      </c>
      <c r="C12897" s="1" t="n">
        <f aca="false">1/B12897</f>
        <v>0.00319335787798407</v>
      </c>
      <c r="D12897" s="3" t="n">
        <v>1.09</v>
      </c>
      <c r="E12897" s="1" t="n">
        <f aca="false">LN(D12897)</f>
        <v>0.0861776962410524</v>
      </c>
    </row>
    <row r="12898" customFormat="false" ht="15.75" hidden="false" customHeight="false" outlineLevel="0" collapsed="false">
      <c r="A12898" s="3" t="s">
        <v>1276</v>
      </c>
      <c r="B12898" s="7" t="n">
        <v>315.399993896484</v>
      </c>
      <c r="C12898" s="1" t="n">
        <f aca="false">1/B12898</f>
        <v>0.00317057710637815</v>
      </c>
      <c r="D12898" s="3" t="n">
        <v>0.958</v>
      </c>
      <c r="E12898" s="1" t="n">
        <f aca="false">LN(D12898)</f>
        <v>-0.0429075010112766</v>
      </c>
    </row>
    <row r="12899" customFormat="false" ht="15.75" hidden="false" customHeight="false" outlineLevel="0" collapsed="false">
      <c r="A12899" s="3" t="s">
        <v>1276</v>
      </c>
      <c r="B12899" s="7" t="n">
        <v>333.149993896484</v>
      </c>
      <c r="C12899" s="1" t="n">
        <f aca="false">1/B12899</f>
        <v>0.00300165096299152</v>
      </c>
      <c r="D12899" s="3" t="n">
        <v>0.83</v>
      </c>
      <c r="E12899" s="1" t="n">
        <f aca="false">LN(D12899)</f>
        <v>-0.186329578191493</v>
      </c>
    </row>
    <row r="12900" customFormat="false" ht="15.75" hidden="false" customHeight="false" outlineLevel="0" collapsed="false">
      <c r="A12900" s="3" t="s">
        <v>1276</v>
      </c>
      <c r="B12900" s="7" t="n">
        <v>353.149993896484</v>
      </c>
      <c r="C12900" s="1" t="n">
        <f aca="false">1/B12900</f>
        <v>0.00283165798466111</v>
      </c>
      <c r="D12900" s="3" t="n">
        <v>0.650000000000001</v>
      </c>
      <c r="E12900" s="1" t="n">
        <f aca="false">LN(D12900)</f>
        <v>-0.430782916092453</v>
      </c>
    </row>
    <row r="12901" customFormat="false" ht="15.75" hidden="false" customHeight="false" outlineLevel="0" collapsed="false">
      <c r="A12901" s="3" t="s">
        <v>1276</v>
      </c>
      <c r="B12901" s="7" t="n">
        <v>367.5</v>
      </c>
      <c r="C12901" s="1" t="n">
        <f aca="false">1/B12901</f>
        <v>0.00272108843537415</v>
      </c>
      <c r="D12901" s="3" t="n">
        <v>0.505000000000001</v>
      </c>
      <c r="E12901" s="1" t="n">
        <f aca="false">LN(D12901)</f>
        <v>-0.683196849706775</v>
      </c>
    </row>
    <row r="12902" customFormat="false" ht="15.75" hidden="false" customHeight="false" outlineLevel="0" collapsed="false">
      <c r="A12902" s="3" t="s">
        <v>1276</v>
      </c>
      <c r="B12902" s="7" t="n">
        <v>373.149993896484</v>
      </c>
      <c r="C12902" s="1" t="n">
        <f aca="false">1/B12902</f>
        <v>0.00267988748856153</v>
      </c>
      <c r="D12902" s="3" t="n">
        <v>0.529999999999999</v>
      </c>
      <c r="E12902" s="1" t="n">
        <f aca="false">LN(D12902)</f>
        <v>-0.634878272435971</v>
      </c>
    </row>
    <row r="12903" customFormat="false" ht="15.75" hidden="false" customHeight="false" outlineLevel="0" collapsed="false">
      <c r="A12903" s="3" t="s">
        <v>1533</v>
      </c>
      <c r="B12903" s="7" t="n">
        <v>288.149993896484</v>
      </c>
      <c r="C12903" s="1" t="n">
        <f aca="false">1/B12903</f>
        <v>0.00347041478806778</v>
      </c>
      <c r="D12903" s="3" t="n">
        <v>1.366</v>
      </c>
      <c r="E12903" s="1" t="n">
        <f aca="false">LN(D12903)</f>
        <v>0.311886761148598</v>
      </c>
    </row>
    <row r="12904" customFormat="false" ht="15.75" hidden="false" customHeight="false" outlineLevel="0" collapsed="false">
      <c r="A12904" s="3" t="s">
        <v>1533</v>
      </c>
      <c r="B12904" s="7" t="n">
        <v>303.149993896484</v>
      </c>
      <c r="C12904" s="1" t="n">
        <f aca="false">1/B12904</f>
        <v>0.00329869708109401</v>
      </c>
      <c r="D12904" s="3" t="n">
        <v>1.063</v>
      </c>
      <c r="E12904" s="1" t="n">
        <f aca="false">LN(D12904)</f>
        <v>0.0610950993598108</v>
      </c>
    </row>
    <row r="12905" customFormat="false" ht="15.75" hidden="false" customHeight="false" outlineLevel="0" collapsed="false">
      <c r="A12905" s="3" t="s">
        <v>1278</v>
      </c>
      <c r="B12905" s="7" t="n">
        <v>288.149993896484</v>
      </c>
      <c r="C12905" s="1" t="n">
        <f aca="false">1/B12905</f>
        <v>0.00347041478806778</v>
      </c>
      <c r="D12905" s="3" t="n">
        <v>1.254</v>
      </c>
      <c r="E12905" s="1" t="n">
        <f aca="false">LN(D12905)</f>
        <v>0.226338442210729</v>
      </c>
    </row>
    <row r="12906" customFormat="false" ht="15.75" hidden="false" customHeight="false" outlineLevel="0" collapsed="false">
      <c r="A12906" s="3" t="s">
        <v>1278</v>
      </c>
      <c r="B12906" s="7" t="n">
        <v>293.149993896484</v>
      </c>
      <c r="C12906" s="1" t="n">
        <f aca="false">1/B12906</f>
        <v>0.00341122299444126</v>
      </c>
      <c r="D12906" s="3" t="n">
        <v>1.17</v>
      </c>
      <c r="E12906" s="1" t="n">
        <f aca="false">LN(D12906)</f>
        <v>0.157003748809665</v>
      </c>
    </row>
    <row r="12907" customFormat="false" ht="15.75" hidden="false" customHeight="false" outlineLevel="0" collapsed="false">
      <c r="A12907" s="3" t="s">
        <v>1278</v>
      </c>
      <c r="B12907" s="7" t="n">
        <v>298.149993896484</v>
      </c>
      <c r="C12907" s="1" t="n">
        <f aca="false">1/B12907</f>
        <v>0.00335401650334158</v>
      </c>
      <c r="D12907" s="3" t="n">
        <v>1.075</v>
      </c>
      <c r="E12907" s="1" t="n">
        <f aca="false">LN(D12907)</f>
        <v>0.0723206615796261</v>
      </c>
    </row>
    <row r="12908" customFormat="false" ht="15.75" hidden="false" customHeight="false" outlineLevel="0" collapsed="false">
      <c r="A12908" s="3" t="s">
        <v>1278</v>
      </c>
      <c r="B12908" s="7" t="n">
        <v>303.149993896484</v>
      </c>
      <c r="C12908" s="1" t="n">
        <f aca="false">1/B12908</f>
        <v>0.00329869708109401</v>
      </c>
      <c r="D12908" s="3" t="n">
        <v>0.968000000000002</v>
      </c>
      <c r="E12908" s="1" t="n">
        <f aca="false">LN(D12908)</f>
        <v>-0.032523191705558</v>
      </c>
    </row>
    <row r="12909" customFormat="false" ht="15.75" hidden="false" customHeight="false" outlineLevel="0" collapsed="false">
      <c r="A12909" s="3" t="s">
        <v>1278</v>
      </c>
      <c r="B12909" s="7" t="n">
        <v>308.149993896484</v>
      </c>
      <c r="C12909" s="1" t="n">
        <f aca="false">1/B12909</f>
        <v>0.00324517286972891</v>
      </c>
      <c r="D12909" s="3" t="n">
        <v>0.9102</v>
      </c>
      <c r="E12909" s="1" t="n">
        <f aca="false">LN(D12909)</f>
        <v>-0.0940909233995955</v>
      </c>
    </row>
    <row r="12910" customFormat="false" ht="15.75" hidden="false" customHeight="false" outlineLevel="0" collapsed="false">
      <c r="A12910" s="3" t="s">
        <v>1278</v>
      </c>
      <c r="B12910" s="7" t="n">
        <v>323.149993896484</v>
      </c>
      <c r="C12910" s="1" t="n">
        <f aca="false">1/B12910</f>
        <v>0.00309453819863086</v>
      </c>
      <c r="D12910" s="3" t="n">
        <v>0.739000000000001</v>
      </c>
      <c r="E12910" s="1" t="n">
        <f aca="false">LN(D12910)</f>
        <v>-0.302457358033934</v>
      </c>
    </row>
    <row r="12911" customFormat="false" ht="15.75" hidden="false" customHeight="false" outlineLevel="0" collapsed="false">
      <c r="A12911" s="3" t="s">
        <v>1278</v>
      </c>
      <c r="B12911" s="7" t="n">
        <v>338.149993896484</v>
      </c>
      <c r="C12911" s="1" t="n">
        <f aca="false">1/B12911</f>
        <v>0.00295726753822188</v>
      </c>
      <c r="D12911" s="3" t="n">
        <v>0.615399999999999</v>
      </c>
      <c r="E12911" s="1" t="n">
        <f aca="false">LN(D12911)</f>
        <v>-0.485482816094197</v>
      </c>
    </row>
    <row r="12912" customFormat="false" ht="15.75" hidden="false" customHeight="false" outlineLevel="0" collapsed="false">
      <c r="A12912" s="3" t="s">
        <v>1278</v>
      </c>
      <c r="B12912" s="7" t="n">
        <v>353.149993896484</v>
      </c>
      <c r="C12912" s="1" t="n">
        <f aca="false">1/B12912</f>
        <v>0.00283165798466111</v>
      </c>
      <c r="D12912" s="3" t="n">
        <v>0.523300000000001</v>
      </c>
      <c r="E12912" s="1" t="n">
        <f aca="false">LN(D12912)</f>
        <v>-0.647600365603973</v>
      </c>
    </row>
    <row r="12913" customFormat="false" ht="15.75" hidden="false" customHeight="false" outlineLevel="0" collapsed="false">
      <c r="A12913" s="3" t="s">
        <v>1278</v>
      </c>
      <c r="B12913" s="7" t="n">
        <v>368.149993896484</v>
      </c>
      <c r="C12913" s="1" t="n">
        <f aca="false">1/B12913</f>
        <v>0.00271628416835226</v>
      </c>
      <c r="D12913" s="3" t="n">
        <v>0.449099999999999</v>
      </c>
      <c r="E12913" s="1" t="n">
        <f aca="false">LN(D12913)</f>
        <v>-0.800509698888447</v>
      </c>
    </row>
    <row r="12914" customFormat="false" ht="15.75" hidden="false" customHeight="false" outlineLevel="0" collapsed="false">
      <c r="A12914" s="3" t="s">
        <v>1534</v>
      </c>
      <c r="B12914" s="7" t="n">
        <v>288.149993896484</v>
      </c>
      <c r="C12914" s="1" t="n">
        <f aca="false">1/B12914</f>
        <v>0.00347041478806778</v>
      </c>
      <c r="D12914" s="3" t="n">
        <v>1.115</v>
      </c>
      <c r="E12914" s="1" t="n">
        <f aca="false">LN(D12914)</f>
        <v>0.108854404912082</v>
      </c>
    </row>
    <row r="12915" customFormat="false" ht="15.75" hidden="false" customHeight="false" outlineLevel="0" collapsed="false">
      <c r="A12915" s="3" t="s">
        <v>1534</v>
      </c>
      <c r="B12915" s="7" t="n">
        <v>303.149993896484</v>
      </c>
      <c r="C12915" s="1" t="n">
        <f aca="false">1/B12915</f>
        <v>0.00329869708109401</v>
      </c>
      <c r="D12915" s="3" t="n">
        <v>0.879</v>
      </c>
      <c r="E12915" s="1" t="n">
        <f aca="false">LN(D12915)</f>
        <v>-0.12897038129696</v>
      </c>
    </row>
    <row r="12916" customFormat="false" ht="15.75" hidden="false" customHeight="false" outlineLevel="0" collapsed="false">
      <c r="A12916" s="3" t="s">
        <v>1535</v>
      </c>
      <c r="B12916" s="7" t="n">
        <v>293.149993896484</v>
      </c>
      <c r="C12916" s="1" t="n">
        <f aca="false">1/B12916</f>
        <v>0.00341122299444126</v>
      </c>
      <c r="D12916" s="3" t="n">
        <v>1</v>
      </c>
      <c r="E12916" s="1" t="n">
        <f aca="false">LN(D12916)</f>
        <v>0</v>
      </c>
    </row>
    <row r="12917" customFormat="false" ht="15.75" hidden="false" customHeight="false" outlineLevel="0" collapsed="false">
      <c r="A12917" s="3" t="s">
        <v>1535</v>
      </c>
      <c r="B12917" s="7" t="n">
        <v>298.149993896484</v>
      </c>
      <c r="C12917" s="1" t="n">
        <f aca="false">1/B12917</f>
        <v>0.00335401650334158</v>
      </c>
      <c r="D12917" s="3" t="n">
        <v>0.920000000000002</v>
      </c>
      <c r="E12917" s="1" t="n">
        <f aca="false">LN(D12917)</f>
        <v>-0.0833816089390488</v>
      </c>
    </row>
    <row r="12918" customFormat="false" ht="15.75" hidden="false" customHeight="false" outlineLevel="0" collapsed="false">
      <c r="A12918" s="3" t="s">
        <v>168</v>
      </c>
      <c r="B12918" s="7" t="n">
        <v>293.149993896484</v>
      </c>
      <c r="C12918" s="1" t="n">
        <f aca="false">1/B12918</f>
        <v>0.00341122299444126</v>
      </c>
      <c r="D12918" s="3" t="n">
        <v>0.5247</v>
      </c>
      <c r="E12918" s="1" t="n">
        <f aca="false">LN(D12918)</f>
        <v>-0.644928608289471</v>
      </c>
    </row>
    <row r="12919" customFormat="false" ht="15.75" hidden="false" customHeight="false" outlineLevel="0" collapsed="false">
      <c r="A12919" s="3" t="s">
        <v>168</v>
      </c>
      <c r="B12919" s="7" t="n">
        <v>298.149993896484</v>
      </c>
      <c r="C12919" s="1" t="n">
        <f aca="false">1/B12919</f>
        <v>0.00335401650334158</v>
      </c>
      <c r="D12919" s="3" t="n">
        <v>0.49</v>
      </c>
      <c r="E12919" s="1" t="n">
        <f aca="false">LN(D12919)</f>
        <v>-0.713349887877465</v>
      </c>
    </row>
    <row r="12920" customFormat="false" ht="15.75" hidden="false" customHeight="false" outlineLevel="0" collapsed="false">
      <c r="A12920" s="3" t="s">
        <v>168</v>
      </c>
      <c r="B12920" s="7" t="n">
        <v>308.149993896484</v>
      </c>
      <c r="C12920" s="1" t="n">
        <f aca="false">1/B12920</f>
        <v>0.00324517286972891</v>
      </c>
      <c r="D12920" s="3" t="n">
        <v>0.4342</v>
      </c>
      <c r="E12920" s="1" t="n">
        <f aca="false">LN(D12920)</f>
        <v>-0.834250021537946</v>
      </c>
    </row>
    <row r="12921" customFormat="false" ht="15.75" hidden="false" customHeight="false" outlineLevel="0" collapsed="false">
      <c r="A12921" s="3" t="s">
        <v>1280</v>
      </c>
      <c r="B12921" s="7" t="n">
        <v>293.149993896484</v>
      </c>
      <c r="C12921" s="1" t="n">
        <f aca="false">1/B12921</f>
        <v>0.00341122299444126</v>
      </c>
      <c r="D12921" s="3" t="n">
        <v>5.599</v>
      </c>
      <c r="E12921" s="1" t="n">
        <f aca="false">LN(D12921)</f>
        <v>1.72258801036676</v>
      </c>
    </row>
    <row r="12922" customFormat="false" ht="15.75" hidden="false" customHeight="false" outlineLevel="0" collapsed="false">
      <c r="A12922" s="3" t="s">
        <v>1280</v>
      </c>
      <c r="B12922" s="7" t="n">
        <v>310.149993896484</v>
      </c>
      <c r="C12922" s="1" t="n">
        <f aca="false">1/B12922</f>
        <v>0.00322424639587051</v>
      </c>
      <c r="D12922" s="3" t="n">
        <v>3.64</v>
      </c>
      <c r="E12922" s="1" t="n">
        <f aca="false">LN(D12922)</f>
        <v>1.29198368164865</v>
      </c>
    </row>
    <row r="12923" customFormat="false" ht="15.75" hidden="false" customHeight="false" outlineLevel="0" collapsed="false">
      <c r="A12923" s="3" t="s">
        <v>1280</v>
      </c>
      <c r="B12923" s="7" t="n">
        <v>310.950012207031</v>
      </c>
      <c r="C12923" s="1" t="n">
        <f aca="false">1/B12923</f>
        <v>0.00321595099129373</v>
      </c>
      <c r="D12923" s="3" t="n">
        <v>3.5674</v>
      </c>
      <c r="E12923" s="1" t="n">
        <f aca="false">LN(D12923)</f>
        <v>1.27183703914207</v>
      </c>
    </row>
    <row r="12924" customFormat="false" ht="15.75" hidden="false" customHeight="false" outlineLevel="0" collapsed="false">
      <c r="A12924" s="3" t="s">
        <v>1280</v>
      </c>
      <c r="B12924" s="7" t="n">
        <v>333.149993896484</v>
      </c>
      <c r="C12924" s="1" t="n">
        <f aca="false">1/B12924</f>
        <v>0.00300165096299152</v>
      </c>
      <c r="D12924" s="3" t="n">
        <v>2.3011</v>
      </c>
      <c r="E12924" s="1" t="n">
        <f aca="false">LN(D12924)</f>
        <v>0.833387269474391</v>
      </c>
    </row>
    <row r="12925" customFormat="false" ht="15.75" hidden="false" customHeight="false" outlineLevel="0" collapsed="false">
      <c r="A12925" s="3" t="s">
        <v>1280</v>
      </c>
      <c r="B12925" s="7" t="n">
        <v>372.049987792969</v>
      </c>
      <c r="C12925" s="1" t="n">
        <f aca="false">1/B12925</f>
        <v>0.0026878108663088</v>
      </c>
      <c r="D12925" s="3" t="n">
        <v>1.2747</v>
      </c>
      <c r="E12925" s="1" t="n">
        <f aca="false">LN(D12925)</f>
        <v>0.242710856806738</v>
      </c>
    </row>
    <row r="12926" customFormat="false" ht="15.75" hidden="false" customHeight="false" outlineLevel="0" collapsed="false">
      <c r="A12926" s="3" t="s">
        <v>1536</v>
      </c>
      <c r="B12926" s="7" t="n">
        <v>273</v>
      </c>
      <c r="C12926" s="1" t="n">
        <f aca="false">1/B12926</f>
        <v>0.00366300366300366</v>
      </c>
      <c r="D12926" s="3" t="n">
        <v>0.632999999999999</v>
      </c>
      <c r="E12926" s="1" t="n">
        <f aca="false">LN(D12926)</f>
        <v>-0.457284856837962</v>
      </c>
    </row>
    <row r="12927" customFormat="false" ht="15.75" hidden="false" customHeight="false" outlineLevel="0" collapsed="false">
      <c r="A12927" s="3" t="s">
        <v>1537</v>
      </c>
      <c r="B12927" s="7" t="n">
        <v>293.149993896484</v>
      </c>
      <c r="C12927" s="1" t="n">
        <f aca="false">1/B12927</f>
        <v>0.00341122299444126</v>
      </c>
      <c r="D12927" s="3" t="n">
        <v>2.19245</v>
      </c>
      <c r="E12927" s="1" t="n">
        <f aca="false">LN(D12927)</f>
        <v>0.785019639987059</v>
      </c>
    </row>
    <row r="12928" customFormat="false" ht="15.75" hidden="false" customHeight="false" outlineLevel="0" collapsed="false">
      <c r="A12928" s="3" t="s">
        <v>1537</v>
      </c>
      <c r="B12928" s="7" t="n">
        <v>310.950012207031</v>
      </c>
      <c r="C12928" s="1" t="n">
        <f aca="false">1/B12928</f>
        <v>0.00321595099129373</v>
      </c>
      <c r="D12928" s="3" t="n">
        <v>1.5156</v>
      </c>
      <c r="E12928" s="1" t="n">
        <f aca="false">LN(D12928)</f>
        <v>0.415811400162309</v>
      </c>
    </row>
    <row r="12929" customFormat="false" ht="15.75" hidden="false" customHeight="false" outlineLevel="0" collapsed="false">
      <c r="A12929" s="3" t="s">
        <v>1537</v>
      </c>
      <c r="B12929" s="7" t="n">
        <v>313.149993896484</v>
      </c>
      <c r="C12929" s="1" t="n">
        <f aca="false">1/B12929</f>
        <v>0.00319335787798407</v>
      </c>
      <c r="D12929" s="3" t="n">
        <v>1.4482</v>
      </c>
      <c r="E12929" s="1" t="n">
        <f aca="false">LN(D12929)</f>
        <v>0.370321405972583</v>
      </c>
    </row>
    <row r="12930" customFormat="false" ht="15.75" hidden="false" customHeight="false" outlineLevel="0" collapsed="false">
      <c r="A12930" s="3" t="s">
        <v>1537</v>
      </c>
      <c r="B12930" s="7" t="n">
        <v>333.149993896484</v>
      </c>
      <c r="C12930" s="1" t="n">
        <f aca="false">1/B12930</f>
        <v>0.00300165096299152</v>
      </c>
      <c r="D12930" s="3" t="n">
        <v>1.0724</v>
      </c>
      <c r="E12930" s="1" t="n">
        <f aca="false">LN(D12930)</f>
        <v>0.0698991273796672</v>
      </c>
    </row>
    <row r="12931" customFormat="false" ht="15.75" hidden="false" customHeight="false" outlineLevel="0" collapsed="false">
      <c r="A12931" s="3" t="s">
        <v>1537</v>
      </c>
      <c r="B12931" s="7" t="n">
        <v>343.149993896484</v>
      </c>
      <c r="C12931" s="1" t="n">
        <f aca="false">1/B12931</f>
        <v>0.00291417752524182</v>
      </c>
      <c r="D12931" s="3" t="n">
        <v>0.9404</v>
      </c>
      <c r="E12931" s="1" t="n">
        <f aca="false">LN(D12931)</f>
        <v>-0.0614499623162226</v>
      </c>
    </row>
    <row r="12932" customFormat="false" ht="15.75" hidden="false" customHeight="false" outlineLevel="0" collapsed="false">
      <c r="A12932" s="3" t="s">
        <v>1537</v>
      </c>
      <c r="B12932" s="7" t="n">
        <v>372.049987792969</v>
      </c>
      <c r="C12932" s="1" t="n">
        <f aca="false">1/B12932</f>
        <v>0.0026878108663088</v>
      </c>
      <c r="D12932" s="3" t="n">
        <v>0.66627</v>
      </c>
      <c r="E12932" s="1" t="n">
        <f aca="false">LN(D12932)</f>
        <v>-0.406060285190911</v>
      </c>
    </row>
    <row r="12933" customFormat="false" ht="15.75" hidden="false" customHeight="false" outlineLevel="0" collapsed="false">
      <c r="A12933" s="3" t="s">
        <v>1282</v>
      </c>
      <c r="B12933" s="7" t="n">
        <v>273.489990234375</v>
      </c>
      <c r="C12933" s="1" t="n">
        <f aca="false">1/B12933</f>
        <v>0.00365644095106743</v>
      </c>
      <c r="D12933" s="3" t="n">
        <v>0.476200000000001</v>
      </c>
      <c r="E12933" s="1" t="n">
        <f aca="false">LN(D12933)</f>
        <v>-0.741917344929373</v>
      </c>
    </row>
    <row r="12934" customFormat="false" ht="15.75" hidden="false" customHeight="false" outlineLevel="0" collapsed="false">
      <c r="A12934" s="3" t="s">
        <v>1282</v>
      </c>
      <c r="B12934" s="7" t="n">
        <v>279.459991455078</v>
      </c>
      <c r="C12934" s="1" t="n">
        <f aca="false">1/B12934</f>
        <v>0.00357832974513901</v>
      </c>
      <c r="D12934" s="3" t="n">
        <v>0.4436</v>
      </c>
      <c r="E12934" s="1" t="n">
        <f aca="false">LN(D12934)</f>
        <v>-0.812832023505925</v>
      </c>
    </row>
    <row r="12935" customFormat="false" ht="15.75" hidden="false" customHeight="false" outlineLevel="0" collapsed="false">
      <c r="A12935" s="3" t="s">
        <v>1282</v>
      </c>
      <c r="B12935" s="7" t="n">
        <v>284.559997558594</v>
      </c>
      <c r="C12935" s="1" t="n">
        <f aca="false">1/B12935</f>
        <v>0.00351419738747393</v>
      </c>
      <c r="D12935" s="3" t="n">
        <v>0.418600000000001</v>
      </c>
      <c r="E12935" s="1" t="n">
        <f aca="false">LN(D12935)</f>
        <v>-0.870839468970235</v>
      </c>
    </row>
    <row r="12936" customFormat="false" ht="15.75" hidden="false" customHeight="false" outlineLevel="0" collapsed="false">
      <c r="A12936" s="3" t="s">
        <v>1282</v>
      </c>
      <c r="B12936" s="7" t="n">
        <v>289.859985351563</v>
      </c>
      <c r="C12936" s="1" t="n">
        <f aca="false">1/B12936</f>
        <v>0.00344994152534414</v>
      </c>
      <c r="D12936" s="3" t="n">
        <v>0.3938</v>
      </c>
      <c r="E12936" s="1" t="n">
        <f aca="false">LN(D12936)</f>
        <v>-0.931912112777112</v>
      </c>
    </row>
    <row r="12937" customFormat="false" ht="15.75" hidden="false" customHeight="false" outlineLevel="0" collapsed="false">
      <c r="A12937" s="3" t="s">
        <v>1282</v>
      </c>
      <c r="B12937" s="7" t="n">
        <v>292.649993896484</v>
      </c>
      <c r="C12937" s="1" t="n">
        <f aca="false">1/B12937</f>
        <v>0.00341705115617983</v>
      </c>
      <c r="D12937" s="3" t="n">
        <v>0.386</v>
      </c>
      <c r="E12937" s="1" t="n">
        <f aca="false">LN(D12937)</f>
        <v>-0.951917909517306</v>
      </c>
    </row>
    <row r="12938" customFormat="false" ht="15.75" hidden="false" customHeight="false" outlineLevel="0" collapsed="false">
      <c r="A12938" s="3" t="s">
        <v>1282</v>
      </c>
      <c r="B12938" s="7" t="n">
        <v>293.149993896484</v>
      </c>
      <c r="C12938" s="1" t="n">
        <f aca="false">1/B12938</f>
        <v>0.00341122299444126</v>
      </c>
      <c r="D12938" s="3" t="n">
        <v>0.382333333333333</v>
      </c>
      <c r="E12938" s="1" t="n">
        <f aca="false">LN(D12938)</f>
        <v>-0.961462450520877</v>
      </c>
    </row>
    <row r="12939" customFormat="false" ht="15.75" hidden="false" customHeight="false" outlineLevel="0" collapsed="false">
      <c r="A12939" s="3" t="s">
        <v>1282</v>
      </c>
      <c r="B12939" s="7" t="n">
        <v>293.450012207031</v>
      </c>
      <c r="C12939" s="1" t="n">
        <f aca="false">1/B12939</f>
        <v>0.00340773541796445</v>
      </c>
      <c r="D12939" s="3" t="n">
        <v>0.382</v>
      </c>
      <c r="E12939" s="1" t="n">
        <f aca="false">LN(D12939)</f>
        <v>-0.962334670375562</v>
      </c>
    </row>
    <row r="12940" customFormat="false" ht="15.75" hidden="false" customHeight="false" outlineLevel="0" collapsed="false">
      <c r="A12940" s="3" t="s">
        <v>1282</v>
      </c>
      <c r="B12940" s="7" t="n">
        <v>295.899993896484</v>
      </c>
      <c r="C12940" s="1" t="n">
        <f aca="false">1/B12940</f>
        <v>0.00337952017785385</v>
      </c>
      <c r="D12940" s="3" t="n">
        <v>0.3706</v>
      </c>
      <c r="E12940" s="1" t="n">
        <f aca="false">LN(D12940)</f>
        <v>-0.992631965130878</v>
      </c>
    </row>
    <row r="12941" customFormat="false" ht="15.75" hidden="false" customHeight="false" outlineLevel="0" collapsed="false">
      <c r="A12941" s="3" t="s">
        <v>1282</v>
      </c>
      <c r="B12941" s="7" t="n">
        <v>298.149993896484</v>
      </c>
      <c r="C12941" s="1" t="n">
        <f aca="false">1/B12941</f>
        <v>0.00335401650334158</v>
      </c>
      <c r="D12941" s="3" t="n">
        <v>0.364</v>
      </c>
      <c r="E12941" s="1" t="n">
        <f aca="false">LN(D12941)</f>
        <v>-1.0106014113454</v>
      </c>
    </row>
    <row r="12942" customFormat="false" ht="15.75" hidden="false" customHeight="false" outlineLevel="0" collapsed="false">
      <c r="A12942" s="3" t="s">
        <v>1282</v>
      </c>
      <c r="B12942" s="7" t="n">
        <v>301.529998779297</v>
      </c>
      <c r="C12942" s="1" t="n">
        <f aca="false">1/B12942</f>
        <v>0.00331641960683303</v>
      </c>
      <c r="D12942" s="3" t="n">
        <v>0.349200000000001</v>
      </c>
      <c r="E12942" s="1" t="n">
        <f aca="false">LN(D12942)</f>
        <v>-1.05211045501669</v>
      </c>
    </row>
    <row r="12943" customFormat="false" ht="15.75" hidden="false" customHeight="false" outlineLevel="0" collapsed="false">
      <c r="A12943" s="3" t="s">
        <v>1282</v>
      </c>
      <c r="B12943" s="7" t="n">
        <v>303.149993896484</v>
      </c>
      <c r="C12943" s="1" t="n">
        <f aca="false">1/B12943</f>
        <v>0.00329869708109401</v>
      </c>
      <c r="D12943" s="3" t="n">
        <v>0.344</v>
      </c>
      <c r="E12943" s="1" t="n">
        <f aca="false">LN(D12943)</f>
        <v>-1.06711362160874</v>
      </c>
    </row>
    <row r="12944" customFormat="false" ht="15.75" hidden="false" customHeight="false" outlineLevel="0" collapsed="false">
      <c r="A12944" s="3" t="s">
        <v>1282</v>
      </c>
      <c r="B12944" s="7" t="n">
        <v>307.010009765625</v>
      </c>
      <c r="C12944" s="1" t="n">
        <f aca="false">1/B12944</f>
        <v>0.00325722278815408</v>
      </c>
      <c r="D12944" s="3" t="n">
        <v>0.330400000000001</v>
      </c>
      <c r="E12944" s="1" t="n">
        <f aca="false">LN(D12944)</f>
        <v>-1.10745123733531</v>
      </c>
    </row>
    <row r="12945" customFormat="false" ht="15.75" hidden="false" customHeight="false" outlineLevel="0" collapsed="false">
      <c r="A12945" s="3" t="s">
        <v>1282</v>
      </c>
      <c r="B12945" s="7" t="n">
        <v>307.649993896484</v>
      </c>
      <c r="C12945" s="1" t="n">
        <f aca="false">1/B12945</f>
        <v>0.00325044700093988</v>
      </c>
      <c r="D12945" s="3" t="n">
        <v>0.328</v>
      </c>
      <c r="E12945" s="1" t="n">
        <f aca="false">LN(D12945)</f>
        <v>-1.11474167059799</v>
      </c>
    </row>
    <row r="12946" customFormat="false" ht="15.75" hidden="false" customHeight="false" outlineLevel="0" collapsed="false">
      <c r="A12946" s="3" t="s">
        <v>1282</v>
      </c>
      <c r="B12946" s="7" t="n">
        <v>313.149993896484</v>
      </c>
      <c r="C12946" s="1" t="n">
        <f aca="false">1/B12946</f>
        <v>0.00319335787798407</v>
      </c>
      <c r="D12946" s="3" t="n">
        <v>0.312</v>
      </c>
      <c r="E12946" s="1" t="n">
        <f aca="false">LN(D12946)</f>
        <v>-1.16475209117265</v>
      </c>
    </row>
    <row r="12947" customFormat="false" ht="15.75" hidden="false" customHeight="false" outlineLevel="0" collapsed="false">
      <c r="A12947" s="3" t="s">
        <v>1282</v>
      </c>
      <c r="B12947" s="7" t="n">
        <v>313.600006103516</v>
      </c>
      <c r="C12947" s="1" t="n">
        <f aca="false">1/B12947</f>
        <v>0.00318877544814177</v>
      </c>
      <c r="D12947" s="3" t="n">
        <v>0.31</v>
      </c>
      <c r="E12947" s="1" t="n">
        <f aca="false">LN(D12947)</f>
        <v>-1.17118298150295</v>
      </c>
    </row>
    <row r="12948" customFormat="false" ht="15.75" hidden="false" customHeight="false" outlineLevel="0" collapsed="false">
      <c r="A12948" s="3" t="s">
        <v>1282</v>
      </c>
      <c r="B12948" s="7" t="n">
        <v>319.209991455078</v>
      </c>
      <c r="C12948" s="1" t="n">
        <f aca="false">1/B12948</f>
        <v>0.00313273402076679</v>
      </c>
      <c r="D12948" s="3" t="n">
        <v>0.2943</v>
      </c>
      <c r="E12948" s="1" t="n">
        <f aca="false">LN(D12948)</f>
        <v>-1.22315562374271</v>
      </c>
    </row>
    <row r="12949" customFormat="false" ht="15.75" hidden="false" customHeight="false" outlineLevel="0" collapsed="false">
      <c r="A12949" s="3" t="s">
        <v>1282</v>
      </c>
      <c r="B12949" s="7" t="n">
        <v>319.25</v>
      </c>
      <c r="C12949" s="1" t="n">
        <f aca="false">1/B12949</f>
        <v>0.00313234142521535</v>
      </c>
      <c r="D12949" s="3" t="n">
        <v>0.294</v>
      </c>
      <c r="E12949" s="1" t="n">
        <f aca="false">LN(D12949)</f>
        <v>-1.22417551164346</v>
      </c>
    </row>
    <row r="12950" customFormat="false" ht="15.75" hidden="false" customHeight="false" outlineLevel="0" collapsed="false">
      <c r="A12950" s="3" t="s">
        <v>1538</v>
      </c>
      <c r="B12950" s="7" t="n">
        <v>277.149993896484</v>
      </c>
      <c r="C12950" s="1" t="n">
        <f aca="false">1/B12950</f>
        <v>0.00360815450846989</v>
      </c>
      <c r="D12950" s="3" t="n">
        <v>1.3641</v>
      </c>
      <c r="E12950" s="1" t="n">
        <f aca="false">LN(D12950)</f>
        <v>0.310494870516938</v>
      </c>
    </row>
    <row r="12951" customFormat="false" ht="15.75" hidden="false" customHeight="false" outlineLevel="0" collapsed="false">
      <c r="A12951" s="3" t="s">
        <v>1538</v>
      </c>
      <c r="B12951" s="7" t="n">
        <v>288.149993896484</v>
      </c>
      <c r="C12951" s="1" t="n">
        <f aca="false">1/B12951</f>
        <v>0.00347041478806778</v>
      </c>
      <c r="D12951" s="3" t="n">
        <v>1.0796</v>
      </c>
      <c r="E12951" s="1" t="n">
        <f aca="false">LN(D12951)</f>
        <v>0.0765906021617124</v>
      </c>
    </row>
    <row r="12952" customFormat="false" ht="15.75" hidden="false" customHeight="false" outlineLevel="0" collapsed="false">
      <c r="A12952" s="3" t="s">
        <v>1538</v>
      </c>
      <c r="B12952" s="7" t="n">
        <v>293.149993896484</v>
      </c>
      <c r="C12952" s="1" t="n">
        <f aca="false">1/B12952</f>
        <v>0.00341122299444126</v>
      </c>
      <c r="D12952" s="3" t="n">
        <v>1.0883</v>
      </c>
      <c r="E12952" s="1" t="n">
        <f aca="false">LN(D12952)</f>
        <v>0.084616845719879</v>
      </c>
    </row>
    <row r="12953" customFormat="false" ht="15.75" hidden="false" customHeight="false" outlineLevel="0" collapsed="false">
      <c r="A12953" s="3" t="s">
        <v>1538</v>
      </c>
      <c r="B12953" s="7" t="n">
        <v>298.149993896484</v>
      </c>
      <c r="C12953" s="1" t="n">
        <f aca="false">1/B12953</f>
        <v>0.00335401650334158</v>
      </c>
      <c r="D12953" s="3" t="n">
        <v>0.920000000000002</v>
      </c>
      <c r="E12953" s="1" t="n">
        <f aca="false">LN(D12953)</f>
        <v>-0.0833816089390488</v>
      </c>
    </row>
    <row r="12954" customFormat="false" ht="15.75" hidden="false" customHeight="false" outlineLevel="0" collapsed="false">
      <c r="A12954" s="3" t="s">
        <v>1538</v>
      </c>
      <c r="B12954" s="7" t="n">
        <v>308.149993896484</v>
      </c>
      <c r="C12954" s="1" t="n">
        <f aca="false">1/B12954</f>
        <v>0.00324517286972891</v>
      </c>
      <c r="D12954" s="3" t="n">
        <v>0.79334</v>
      </c>
      <c r="E12954" s="1" t="n">
        <f aca="false">LN(D12954)</f>
        <v>-0.23150339765869</v>
      </c>
    </row>
    <row r="12955" customFormat="false" ht="15.75" hidden="false" customHeight="false" outlineLevel="0" collapsed="false">
      <c r="A12955" s="3" t="s">
        <v>1538</v>
      </c>
      <c r="B12955" s="7" t="n">
        <v>323.149993896484</v>
      </c>
      <c r="C12955" s="1" t="n">
        <f aca="false">1/B12955</f>
        <v>0.00309453819863086</v>
      </c>
      <c r="D12955" s="3" t="n">
        <v>0.650680000000001</v>
      </c>
      <c r="E12955" s="1" t="n">
        <f aca="false">LN(D12955)</f>
        <v>-0.429737309083883</v>
      </c>
    </row>
    <row r="12956" customFormat="false" ht="15.75" hidden="false" customHeight="false" outlineLevel="0" collapsed="false">
      <c r="A12956" s="3" t="s">
        <v>1538</v>
      </c>
      <c r="B12956" s="7" t="n">
        <v>333.149993896484</v>
      </c>
      <c r="C12956" s="1" t="n">
        <f aca="false">1/B12956</f>
        <v>0.00300165096299152</v>
      </c>
      <c r="D12956" s="3" t="n">
        <v>0.54616</v>
      </c>
      <c r="E12956" s="1" t="n">
        <f aca="false">LN(D12956)</f>
        <v>-0.604843305872112</v>
      </c>
    </row>
    <row r="12957" customFormat="false" ht="15.75" hidden="false" customHeight="false" outlineLevel="0" collapsed="false">
      <c r="A12957" s="3" t="s">
        <v>170</v>
      </c>
      <c r="B12957" s="7" t="n">
        <v>293.149993896484</v>
      </c>
      <c r="C12957" s="1" t="n">
        <f aca="false">1/B12957</f>
        <v>0.00341122299444126</v>
      </c>
      <c r="D12957" s="3" t="n">
        <v>1.7527</v>
      </c>
      <c r="E12957" s="1" t="n">
        <f aca="false">LN(D12957)</f>
        <v>0.561157456096993</v>
      </c>
    </row>
    <row r="12958" customFormat="false" ht="15.75" hidden="false" customHeight="false" outlineLevel="0" collapsed="false">
      <c r="A12958" s="3" t="s">
        <v>170</v>
      </c>
      <c r="B12958" s="7" t="n">
        <v>310.929992675781</v>
      </c>
      <c r="C12958" s="1" t="n">
        <f aca="false">1/B12958</f>
        <v>0.00321615805343919</v>
      </c>
      <c r="D12958" s="3" t="n">
        <v>1.2072</v>
      </c>
      <c r="E12958" s="1" t="n">
        <f aca="false">LN(D12958)</f>
        <v>0.188303628471502</v>
      </c>
    </row>
    <row r="12959" customFormat="false" ht="15.75" hidden="false" customHeight="false" outlineLevel="0" collapsed="false">
      <c r="A12959" s="3" t="s">
        <v>170</v>
      </c>
      <c r="B12959" s="7" t="n">
        <v>372.040008544922</v>
      </c>
      <c r="C12959" s="1" t="n">
        <f aca="false">1/B12959</f>
        <v>0.0026878829615962</v>
      </c>
      <c r="D12959" s="3" t="n">
        <v>0.50974</v>
      </c>
      <c r="E12959" s="1" t="n">
        <f aca="false">LN(D12959)</f>
        <v>-0.673854487179536</v>
      </c>
    </row>
    <row r="12960" customFormat="false" ht="15.75" hidden="false" customHeight="false" outlineLevel="0" collapsed="false">
      <c r="A12960" s="3" t="s">
        <v>170</v>
      </c>
      <c r="B12960" s="7" t="n">
        <v>394.260009765625</v>
      </c>
      <c r="C12960" s="1" t="n">
        <f aca="false">1/B12960</f>
        <v>0.00253639723844797</v>
      </c>
      <c r="D12960" s="3" t="n">
        <v>0.40652</v>
      </c>
      <c r="E12960" s="1" t="n">
        <f aca="false">LN(D12960)</f>
        <v>-0.900122150712571</v>
      </c>
    </row>
    <row r="12961" customFormat="false" ht="15.75" hidden="false" customHeight="false" outlineLevel="0" collapsed="false">
      <c r="A12961" s="3" t="s">
        <v>1539</v>
      </c>
      <c r="B12961" s="7" t="n">
        <v>288.149993896484</v>
      </c>
      <c r="C12961" s="1" t="n">
        <f aca="false">1/B12961</f>
        <v>0.00347041478806778</v>
      </c>
      <c r="D12961" s="3" t="n">
        <v>1.75</v>
      </c>
      <c r="E12961" s="1" t="n">
        <f aca="false">LN(D12961)</f>
        <v>0.559615787935423</v>
      </c>
    </row>
    <row r="12962" customFormat="false" ht="15.75" hidden="false" customHeight="false" outlineLevel="0" collapsed="false">
      <c r="A12962" s="3" t="s">
        <v>1539</v>
      </c>
      <c r="B12962" s="7" t="n">
        <v>303.149993896484</v>
      </c>
      <c r="C12962" s="1" t="n">
        <f aca="false">1/B12962</f>
        <v>0.00329869708109401</v>
      </c>
      <c r="D12962" s="3" t="n">
        <v>1.318</v>
      </c>
      <c r="E12962" s="1" t="n">
        <f aca="false">LN(D12962)</f>
        <v>0.276115436080316</v>
      </c>
    </row>
    <row r="12963" customFormat="false" ht="15.75" hidden="false" customHeight="false" outlineLevel="0" collapsed="false">
      <c r="A12963" s="3" t="s">
        <v>1284</v>
      </c>
      <c r="B12963" s="7" t="n">
        <v>288.149993896484</v>
      </c>
      <c r="C12963" s="1" t="n">
        <f aca="false">1/B12963</f>
        <v>0.00347041478806778</v>
      </c>
      <c r="D12963" s="3" t="n">
        <v>1.006</v>
      </c>
      <c r="E12963" s="1" t="n">
        <f aca="false">LN(D12963)</f>
        <v>0.00598207167754747</v>
      </c>
    </row>
    <row r="12964" customFormat="false" ht="15.75" hidden="false" customHeight="false" outlineLevel="0" collapsed="false">
      <c r="A12964" s="3" t="s">
        <v>1284</v>
      </c>
      <c r="B12964" s="7" t="n">
        <v>288.450012207031</v>
      </c>
      <c r="C12964" s="1" t="n">
        <f aca="false">1/B12964</f>
        <v>0.0034668051921671</v>
      </c>
      <c r="D12964" s="3" t="n">
        <v>1.007</v>
      </c>
      <c r="E12964" s="1" t="n">
        <f aca="false">LN(D12964)</f>
        <v>0.00697561373642514</v>
      </c>
    </row>
    <row r="12965" customFormat="false" ht="15.75" hidden="false" customHeight="false" outlineLevel="0" collapsed="false">
      <c r="A12965" s="3" t="s">
        <v>1284</v>
      </c>
      <c r="B12965" s="7" t="n">
        <v>293.149993896484</v>
      </c>
      <c r="C12965" s="1" t="n">
        <f aca="false">1/B12965</f>
        <v>0.00341122299444126</v>
      </c>
      <c r="D12965" s="3" t="n">
        <v>0.924</v>
      </c>
      <c r="E12965" s="1" t="n">
        <f aca="false">LN(D12965)</f>
        <v>-0.0790432073404529</v>
      </c>
    </row>
    <row r="12966" customFormat="false" ht="15.75" hidden="false" customHeight="false" outlineLevel="0" collapsed="false">
      <c r="A12966" s="3" t="s">
        <v>1284</v>
      </c>
      <c r="B12966" s="7" t="n">
        <v>298.149993896484</v>
      </c>
      <c r="C12966" s="1" t="n">
        <f aca="false">1/B12966</f>
        <v>0.00335401650334158</v>
      </c>
      <c r="D12966" s="3" t="n">
        <v>0.857399999999998</v>
      </c>
      <c r="E12966" s="1" t="n">
        <f aca="false">LN(D12966)</f>
        <v>-0.153850724818263</v>
      </c>
    </row>
    <row r="12967" customFormat="false" ht="15.75" hidden="false" customHeight="false" outlineLevel="0" collapsed="false">
      <c r="A12967" s="3" t="s">
        <v>1284</v>
      </c>
      <c r="B12967" s="7" t="n">
        <v>300.200012207031</v>
      </c>
      <c r="C12967" s="1" t="n">
        <f aca="false">1/B12967</f>
        <v>0.00333111245615259</v>
      </c>
      <c r="D12967" s="3" t="n">
        <v>0.814000000000002</v>
      </c>
      <c r="E12967" s="1" t="n">
        <f aca="false">LN(D12967)</f>
        <v>-0.205794912979594</v>
      </c>
    </row>
    <row r="12968" customFormat="false" ht="15.75" hidden="false" customHeight="false" outlineLevel="0" collapsed="false">
      <c r="A12968" s="3" t="s">
        <v>1284</v>
      </c>
      <c r="B12968" s="7" t="n">
        <v>303.149993896484</v>
      </c>
      <c r="C12968" s="1" t="n">
        <f aca="false">1/B12968</f>
        <v>0.00329869708109401</v>
      </c>
      <c r="D12968" s="3" t="n">
        <v>0.828500000000001</v>
      </c>
      <c r="E12968" s="1" t="n">
        <f aca="false">LN(D12968)</f>
        <v>-0.188138442115518</v>
      </c>
    </row>
    <row r="12969" customFormat="false" ht="15.75" hidden="false" customHeight="false" outlineLevel="0" collapsed="false">
      <c r="A12969" s="3" t="s">
        <v>1284</v>
      </c>
      <c r="B12969" s="7" t="n">
        <v>315.549987792969</v>
      </c>
      <c r="C12969" s="1" t="n">
        <f aca="false">1/B12969</f>
        <v>0.00316907000058607</v>
      </c>
      <c r="D12969" s="3" t="n">
        <v>0.6741</v>
      </c>
      <c r="E12969" s="1" t="n">
        <f aca="false">LN(D12969)</f>
        <v>-0.394376811122744</v>
      </c>
    </row>
    <row r="12970" customFormat="false" ht="15.75" hidden="false" customHeight="false" outlineLevel="0" collapsed="false">
      <c r="A12970" s="3" t="s">
        <v>1284</v>
      </c>
      <c r="B12970" s="7" t="n">
        <v>336.149993896484</v>
      </c>
      <c r="C12970" s="1" t="n">
        <f aca="false">1/B12970</f>
        <v>0.00297486246662835</v>
      </c>
      <c r="D12970" s="3" t="n">
        <v>0.527099999999999</v>
      </c>
      <c r="E12970" s="1" t="n">
        <f aca="false">LN(D12970)</f>
        <v>-0.640364995120978</v>
      </c>
    </row>
    <row r="12971" customFormat="false" ht="15.75" hidden="false" customHeight="false" outlineLevel="0" collapsed="false">
      <c r="A12971" s="3" t="s">
        <v>1284</v>
      </c>
      <c r="B12971" s="7" t="n">
        <v>354.850006103516</v>
      </c>
      <c r="C12971" s="1" t="n">
        <f aca="false">1/B12971</f>
        <v>0.00281809210314141</v>
      </c>
      <c r="D12971" s="3" t="n">
        <v>0.4289</v>
      </c>
      <c r="E12971" s="1" t="n">
        <f aca="false">LN(D12971)</f>
        <v>-0.846531487459302</v>
      </c>
    </row>
    <row r="12972" customFormat="false" ht="15.75" hidden="false" customHeight="false" outlineLevel="0" collapsed="false">
      <c r="A12972" s="3" t="s">
        <v>1284</v>
      </c>
      <c r="B12972" s="7" t="n">
        <v>354.899993896484</v>
      </c>
      <c r="C12972" s="1" t="n">
        <f aca="false">1/B12972</f>
        <v>0.00281769517384572</v>
      </c>
      <c r="D12972" s="3" t="n">
        <v>0.385000000000001</v>
      </c>
      <c r="E12972" s="1" t="n">
        <f aca="false">LN(D12972)</f>
        <v>-0.95451194469435</v>
      </c>
    </row>
    <row r="12973" customFormat="false" ht="15.75" hidden="false" customHeight="false" outlineLevel="0" collapsed="false">
      <c r="A12973" s="3" t="s">
        <v>1284</v>
      </c>
      <c r="B12973" s="7" t="n">
        <v>373.600006103516</v>
      </c>
      <c r="C12973" s="1" t="n">
        <f aca="false">1/B12973</f>
        <v>0.00267665948517924</v>
      </c>
      <c r="D12973" s="3" t="n">
        <v>0.3594</v>
      </c>
      <c r="E12973" s="1" t="n">
        <f aca="false">LN(D12973)</f>
        <v>-1.02331930463268</v>
      </c>
    </row>
    <row r="12974" customFormat="false" ht="15.75" hidden="false" customHeight="false" outlineLevel="0" collapsed="false">
      <c r="A12974" s="3" t="s">
        <v>1284</v>
      </c>
      <c r="B12974" s="7" t="n">
        <v>392.549987792969</v>
      </c>
      <c r="C12974" s="1" t="n">
        <f aca="false">1/B12974</f>
        <v>0.00254744626441665</v>
      </c>
      <c r="D12974" s="3" t="n">
        <v>0.303099999999999</v>
      </c>
      <c r="E12974" s="1" t="n">
        <f aca="false">LN(D12974)</f>
        <v>-1.19369249491838</v>
      </c>
    </row>
    <row r="12975" customFormat="false" ht="15.75" hidden="false" customHeight="false" outlineLevel="0" collapsed="false">
      <c r="A12975" s="3" t="s">
        <v>1284</v>
      </c>
      <c r="B12975" s="7" t="n">
        <v>400</v>
      </c>
      <c r="C12975" s="1" t="n">
        <f aca="false">1/B12975</f>
        <v>0.0025</v>
      </c>
      <c r="D12975" s="3" t="n">
        <v>0.252000000000001</v>
      </c>
      <c r="E12975" s="1" t="n">
        <f aca="false">LN(D12975)</f>
        <v>-1.37832619147071</v>
      </c>
    </row>
    <row r="12976" customFormat="false" ht="15.75" hidden="false" customHeight="false" outlineLevel="0" collapsed="false">
      <c r="A12976" s="3" t="s">
        <v>1284</v>
      </c>
      <c r="B12976" s="7" t="n">
        <v>408.149993896484</v>
      </c>
      <c r="C12976" s="1" t="n">
        <f aca="false">1/B12976</f>
        <v>0.00245007966422663</v>
      </c>
      <c r="D12976" s="3" t="n">
        <v>0.2668</v>
      </c>
      <c r="E12976" s="1" t="n">
        <f aca="false">LN(D12976)</f>
        <v>-1.32125596494067</v>
      </c>
    </row>
    <row r="12977" customFormat="false" ht="15.75" hidden="false" customHeight="false" outlineLevel="0" collapsed="false">
      <c r="A12977" s="3" t="s">
        <v>1284</v>
      </c>
      <c r="B12977" s="7" t="n">
        <v>417.649993896484</v>
      </c>
      <c r="C12977" s="1" t="n">
        <f aca="false">1/B12977</f>
        <v>0.00239434937055896</v>
      </c>
      <c r="D12977" s="3" t="n">
        <v>0.248</v>
      </c>
      <c r="E12977" s="1" t="n">
        <f aca="false">LN(D12977)</f>
        <v>-1.39432653281715</v>
      </c>
    </row>
    <row r="12978" customFormat="false" ht="15.75" hidden="false" customHeight="false" outlineLevel="0" collapsed="false">
      <c r="A12978" s="3" t="s">
        <v>1284</v>
      </c>
      <c r="B12978" s="7" t="n">
        <v>420</v>
      </c>
      <c r="C12978" s="1" t="n">
        <f aca="false">1/B12978</f>
        <v>0.00238095238095238</v>
      </c>
      <c r="D12978" s="3" t="n">
        <v>0.211</v>
      </c>
      <c r="E12978" s="1" t="n">
        <f aca="false">LN(D12978)</f>
        <v>-1.55589714550607</v>
      </c>
    </row>
    <row r="12979" customFormat="false" ht="15.75" hidden="false" customHeight="false" outlineLevel="0" collapsed="false">
      <c r="A12979" s="3" t="s">
        <v>1284</v>
      </c>
      <c r="B12979" s="7" t="n">
        <v>440</v>
      </c>
      <c r="C12979" s="1" t="n">
        <f aca="false">1/B12979</f>
        <v>0.00227272727272727</v>
      </c>
      <c r="D12979" s="3" t="n">
        <v>0.18</v>
      </c>
      <c r="E12979" s="1" t="n">
        <f aca="false">LN(D12979)</f>
        <v>-1.71479842809193</v>
      </c>
    </row>
    <row r="12980" customFormat="false" ht="15.75" hidden="false" customHeight="false" outlineLevel="0" collapsed="false">
      <c r="A12980" s="3" t="s">
        <v>1284</v>
      </c>
      <c r="B12980" s="7" t="n">
        <v>460</v>
      </c>
      <c r="C12980" s="1" t="n">
        <f aca="false">1/B12980</f>
        <v>0.00217391304347826</v>
      </c>
      <c r="D12980" s="3" t="n">
        <v>0.155</v>
      </c>
      <c r="E12980" s="1" t="n">
        <f aca="false">LN(D12980)</f>
        <v>-1.86433016206289</v>
      </c>
    </row>
    <row r="12981" customFormat="false" ht="15.75" hidden="false" customHeight="false" outlineLevel="0" collapsed="false">
      <c r="A12981" s="3" t="s">
        <v>1284</v>
      </c>
      <c r="B12981" s="7" t="n">
        <v>480</v>
      </c>
      <c r="C12981" s="1" t="n">
        <f aca="false">1/B12981</f>
        <v>0.00208333333333333</v>
      </c>
      <c r="D12981" s="3" t="n">
        <v>0.133</v>
      </c>
      <c r="E12981" s="1" t="n">
        <f aca="false">LN(D12981)</f>
        <v>-2.01740615076038</v>
      </c>
    </row>
    <row r="12982" customFormat="false" ht="15.75" hidden="false" customHeight="false" outlineLevel="0" collapsed="false">
      <c r="A12982" s="3" t="s">
        <v>1540</v>
      </c>
      <c r="B12982" s="7" t="n">
        <v>288.149993896484</v>
      </c>
      <c r="C12982" s="1" t="n">
        <f aca="false">1/B12982</f>
        <v>0.00347041478806778</v>
      </c>
      <c r="D12982" s="3" t="n">
        <v>0.849</v>
      </c>
      <c r="E12982" s="1" t="n">
        <f aca="false">LN(D12982)</f>
        <v>-0.16369609267079</v>
      </c>
    </row>
    <row r="12983" customFormat="false" ht="15.75" hidden="false" customHeight="false" outlineLevel="0" collapsed="false">
      <c r="A12983" s="3" t="s">
        <v>1540</v>
      </c>
      <c r="B12983" s="7" t="n">
        <v>303.149993896484</v>
      </c>
      <c r="C12983" s="1" t="n">
        <f aca="false">1/B12983</f>
        <v>0.00329869708109401</v>
      </c>
      <c r="D12983" s="3" t="n">
        <v>0.69</v>
      </c>
      <c r="E12983" s="1" t="n">
        <f aca="false">LN(D12983)</f>
        <v>-0.371063681390832</v>
      </c>
    </row>
    <row r="12984" customFormat="false" ht="15.75" hidden="false" customHeight="false" outlineLevel="0" collapsed="false">
      <c r="A12984" s="3" t="s">
        <v>1286</v>
      </c>
      <c r="B12984" s="7" t="n">
        <v>251.300003051758</v>
      </c>
      <c r="C12984" s="1" t="n">
        <f aca="false">1/B12984</f>
        <v>0.00397930755215327</v>
      </c>
      <c r="D12984" s="3" t="n">
        <v>6.25400000000001</v>
      </c>
      <c r="E12984" s="1" t="n">
        <f aca="false">LN(D12984)</f>
        <v>1.83322125903565</v>
      </c>
    </row>
    <row r="12985" customFormat="false" ht="15.75" hidden="false" customHeight="false" outlineLevel="0" collapsed="false">
      <c r="A12985" s="3" t="s">
        <v>1286</v>
      </c>
      <c r="B12985" s="7" t="n">
        <v>266.839996337891</v>
      </c>
      <c r="C12985" s="1" t="n">
        <f aca="false">1/B12985</f>
        <v>0.00374756413477735</v>
      </c>
      <c r="D12985" s="3" t="n">
        <v>4.3611</v>
      </c>
      <c r="E12985" s="1" t="n">
        <f aca="false">LN(D12985)</f>
        <v>1.47272431911825</v>
      </c>
    </row>
    <row r="12986" customFormat="false" ht="15.75" hidden="false" customHeight="false" outlineLevel="0" collapsed="false">
      <c r="A12986" s="3" t="s">
        <v>1286</v>
      </c>
      <c r="B12986" s="7" t="n">
        <v>282.380004882812</v>
      </c>
      <c r="C12986" s="1" t="n">
        <f aca="false">1/B12986</f>
        <v>0.00354132722823275</v>
      </c>
      <c r="D12986" s="3" t="n">
        <v>3.1975</v>
      </c>
      <c r="E12986" s="1" t="n">
        <f aca="false">LN(D12986)</f>
        <v>1.16236925447086</v>
      </c>
    </row>
    <row r="12987" customFormat="false" ht="15.75" hidden="false" customHeight="false" outlineLevel="0" collapsed="false">
      <c r="A12987" s="3" t="s">
        <v>1286</v>
      </c>
      <c r="B12987" s="7" t="n">
        <v>297.920013427734</v>
      </c>
      <c r="C12987" s="1" t="n">
        <f aca="false">1/B12987</f>
        <v>0.0033566056489272</v>
      </c>
      <c r="D12987" s="3" t="n">
        <v>2.4399</v>
      </c>
      <c r="E12987" s="1" t="n">
        <f aca="false">LN(D12987)</f>
        <v>0.891957054858702</v>
      </c>
    </row>
    <row r="12988" customFormat="false" ht="15.75" hidden="false" customHeight="false" outlineLevel="0" collapsed="false">
      <c r="A12988" s="3" t="s">
        <v>1286</v>
      </c>
      <c r="B12988" s="7" t="n">
        <v>313.459991455078</v>
      </c>
      <c r="C12988" s="1" t="n">
        <f aca="false">1/B12988</f>
        <v>0.0031901997934665</v>
      </c>
      <c r="D12988" s="3" t="n">
        <v>1.9228</v>
      </c>
      <c r="E12988" s="1" t="n">
        <f aca="false">LN(D12988)</f>
        <v>0.653782457037669</v>
      </c>
    </row>
    <row r="12989" customFormat="false" ht="15.75" hidden="false" customHeight="false" outlineLevel="0" collapsed="false">
      <c r="A12989" s="3" t="s">
        <v>1286</v>
      </c>
      <c r="B12989" s="7" t="n">
        <v>318.149993896484</v>
      </c>
      <c r="C12989" s="1" t="n">
        <f aca="false">1/B12989</f>
        <v>0.00314317152030299</v>
      </c>
      <c r="D12989" s="3" t="n">
        <v>1.799</v>
      </c>
      <c r="E12989" s="1" t="n">
        <f aca="false">LN(D12989)</f>
        <v>0.587230954968396</v>
      </c>
    </row>
    <row r="12990" customFormat="false" ht="15.75" hidden="false" customHeight="false" outlineLevel="0" collapsed="false">
      <c r="A12990" s="3" t="s">
        <v>1286</v>
      </c>
      <c r="B12990" s="7" t="n">
        <v>329</v>
      </c>
      <c r="C12990" s="1" t="n">
        <f aca="false">1/B12990</f>
        <v>0.00303951367781155</v>
      </c>
      <c r="D12990" s="3" t="n">
        <v>1.5556</v>
      </c>
      <c r="E12990" s="1" t="n">
        <f aca="false">LN(D12990)</f>
        <v>0.441861323299455</v>
      </c>
    </row>
    <row r="12991" customFormat="false" ht="15.75" hidden="false" customHeight="false" outlineLevel="0" collapsed="false">
      <c r="A12991" s="3" t="s">
        <v>1286</v>
      </c>
      <c r="B12991" s="7" t="n">
        <v>344.540008544922</v>
      </c>
      <c r="C12991" s="1" t="n">
        <f aca="false">1/B12991</f>
        <v>0.00290242054681327</v>
      </c>
      <c r="D12991" s="3" t="n">
        <v>1.2861</v>
      </c>
      <c r="E12991" s="1" t="n">
        <f aca="false">LN(D12991)</f>
        <v>0.251614383289904</v>
      </c>
    </row>
    <row r="12992" customFormat="false" ht="15.75" hidden="false" customHeight="false" outlineLevel="0" collapsed="false">
      <c r="A12992" s="3" t="s">
        <v>1286</v>
      </c>
      <c r="B12992" s="7" t="n">
        <v>360.079986572266</v>
      </c>
      <c r="C12992" s="1" t="n">
        <f aca="false">1/B12992</f>
        <v>0.00277716073453392</v>
      </c>
      <c r="D12992" s="3" t="n">
        <v>1.0826</v>
      </c>
      <c r="E12992" s="1" t="n">
        <f aca="false">LN(D12992)</f>
        <v>0.0793655553807405</v>
      </c>
    </row>
    <row r="12993" customFormat="false" ht="15.75" hidden="false" customHeight="false" outlineLevel="0" collapsed="false">
      <c r="A12993" s="3" t="s">
        <v>1286</v>
      </c>
      <c r="B12993" s="7" t="n">
        <v>375.609985351563</v>
      </c>
      <c r="C12993" s="1" t="n">
        <f aca="false">1/B12993</f>
        <v>0.0026623360373767</v>
      </c>
      <c r="D12993" s="3" t="n">
        <v>0.925159999999998</v>
      </c>
      <c r="E12993" s="1" t="n">
        <f aca="false">LN(D12993)</f>
        <v>-0.0777885834548409</v>
      </c>
    </row>
    <row r="12994" customFormat="false" ht="15.75" hidden="false" customHeight="false" outlineLevel="0" collapsed="false">
      <c r="A12994" s="3" t="s">
        <v>1286</v>
      </c>
      <c r="B12994" s="7" t="n">
        <v>391.149993896484</v>
      </c>
      <c r="C12994" s="1" t="n">
        <f aca="false">1/B12994</f>
        <v>0.00255656401790625</v>
      </c>
      <c r="D12994" s="3" t="n">
        <v>0.800740000000001</v>
      </c>
      <c r="E12994" s="1" t="n">
        <f aca="false">LN(D12994)</f>
        <v>-0.222218978863074</v>
      </c>
    </row>
    <row r="12995" customFormat="false" ht="15.75" hidden="false" customHeight="false" outlineLevel="0" collapsed="false">
      <c r="A12995" s="3" t="s">
        <v>1286</v>
      </c>
      <c r="B12995" s="7" t="n">
        <v>406.690002441406</v>
      </c>
      <c r="C12995" s="1" t="n">
        <f aca="false">1/B12995</f>
        <v>0.0024588752956721</v>
      </c>
      <c r="D12995" s="3" t="n">
        <v>0.700599999999999</v>
      </c>
      <c r="E12995" s="1" t="n">
        <f aca="false">LN(D12995)</f>
        <v>-0.355818168218752</v>
      </c>
    </row>
    <row r="12996" customFormat="false" ht="15.75" hidden="false" customHeight="false" outlineLevel="0" collapsed="false">
      <c r="A12996" s="3" t="s">
        <v>1286</v>
      </c>
      <c r="B12996" s="7" t="n">
        <v>422.230010986328</v>
      </c>
      <c r="C12996" s="1" t="n">
        <f aca="false">1/B12996</f>
        <v>0.00236837736300175</v>
      </c>
      <c r="D12996" s="3" t="n">
        <v>0.618680000000001</v>
      </c>
      <c r="E12996" s="1" t="n">
        <f aca="false">LN(D12996)</f>
        <v>-0.480167102812196</v>
      </c>
    </row>
    <row r="12997" customFormat="false" ht="15.75" hidden="false" customHeight="false" outlineLevel="0" collapsed="false">
      <c r="A12997" s="3" t="s">
        <v>1286</v>
      </c>
      <c r="B12997" s="7" t="n">
        <v>437.769989013672</v>
      </c>
      <c r="C12997" s="1" t="n">
        <f aca="false">1/B12997</f>
        <v>0.00228430460080892</v>
      </c>
      <c r="D12997" s="3" t="n">
        <v>0.550720000000001</v>
      </c>
      <c r="E12997" s="1" t="n">
        <f aca="false">LN(D12997)</f>
        <v>-0.596528765958961</v>
      </c>
    </row>
    <row r="12998" customFormat="false" ht="15.75" hidden="false" customHeight="false" outlineLevel="0" collapsed="false">
      <c r="A12998" s="3" t="s">
        <v>1286</v>
      </c>
      <c r="B12998" s="7" t="n">
        <v>453.309997558594</v>
      </c>
      <c r="C12998" s="1" t="n">
        <f aca="false">1/B12998</f>
        <v>0.00220599590872853</v>
      </c>
      <c r="D12998" s="3" t="n">
        <v>0.493609999999999</v>
      </c>
      <c r="E12998" s="1" t="n">
        <f aca="false">LN(D12998)</f>
        <v>-0.706009547276891</v>
      </c>
    </row>
    <row r="12999" customFormat="false" ht="15.75" hidden="false" customHeight="false" outlineLevel="0" collapsed="false">
      <c r="A12999" s="3" t="s">
        <v>1286</v>
      </c>
      <c r="B12999" s="7" t="n">
        <v>468.850006103516</v>
      </c>
      <c r="C12999" s="1" t="n">
        <f aca="false">1/B12999</f>
        <v>0.00213287829152595</v>
      </c>
      <c r="D12999" s="3" t="n">
        <v>0.445080000000001</v>
      </c>
      <c r="E12999" s="1" t="n">
        <f aca="false">LN(D12999)</f>
        <v>-0.809501237692635</v>
      </c>
    </row>
    <row r="13000" customFormat="false" ht="15.75" hidden="false" customHeight="false" outlineLevel="0" collapsed="false">
      <c r="A13000" s="3" t="s">
        <v>1288</v>
      </c>
      <c r="B13000" s="7" t="n">
        <v>293.149993896484</v>
      </c>
      <c r="C13000" s="1" t="n">
        <f aca="false">1/B13000</f>
        <v>0.00341122299444126</v>
      </c>
      <c r="D13000" s="3" t="n">
        <v>0.938400000000002</v>
      </c>
      <c r="E13000" s="1" t="n">
        <f aca="false">LN(D13000)</f>
        <v>-0.0635789816428692</v>
      </c>
    </row>
    <row r="13001" customFormat="false" ht="15.75" hidden="false" customHeight="false" outlineLevel="0" collapsed="false">
      <c r="A13001" s="3" t="s">
        <v>1288</v>
      </c>
      <c r="B13001" s="7" t="n">
        <v>298.149993896484</v>
      </c>
      <c r="C13001" s="1" t="n">
        <f aca="false">1/B13001</f>
        <v>0.00335401650334158</v>
      </c>
      <c r="D13001" s="3" t="n">
        <v>0.831900000000001</v>
      </c>
      <c r="E13001" s="1" t="n">
        <f aca="false">LN(D13001)</f>
        <v>-0.184043037692294</v>
      </c>
    </row>
    <row r="13002" customFormat="false" ht="15.75" hidden="false" customHeight="false" outlineLevel="0" collapsed="false">
      <c r="A13002" s="3" t="s">
        <v>1288</v>
      </c>
      <c r="B13002" s="7" t="n">
        <v>303.149993896484</v>
      </c>
      <c r="C13002" s="1" t="n">
        <f aca="false">1/B13002</f>
        <v>0.00329869708109401</v>
      </c>
      <c r="D13002" s="3" t="n">
        <v>0.796599999999998</v>
      </c>
      <c r="E13002" s="1" t="n">
        <f aca="false">LN(D13002)</f>
        <v>-0.227402608234596</v>
      </c>
    </row>
    <row r="13003" customFormat="false" ht="15.75" hidden="false" customHeight="false" outlineLevel="0" collapsed="false">
      <c r="A13003" s="3" t="s">
        <v>1288</v>
      </c>
      <c r="B13003" s="7" t="n">
        <v>313.149993896484</v>
      </c>
      <c r="C13003" s="1" t="n">
        <f aca="false">1/B13003</f>
        <v>0.00319335787798407</v>
      </c>
      <c r="D13003" s="3" t="n">
        <v>0.6625</v>
      </c>
      <c r="E13003" s="1" t="n">
        <f aca="false">LN(D13003)</f>
        <v>-0.41173472112176</v>
      </c>
    </row>
    <row r="13004" customFormat="false" ht="15.75" hidden="false" customHeight="false" outlineLevel="0" collapsed="false">
      <c r="A13004" s="3" t="s">
        <v>1288</v>
      </c>
      <c r="B13004" s="7" t="n">
        <v>323.149993896484</v>
      </c>
      <c r="C13004" s="1" t="n">
        <f aca="false">1/B13004</f>
        <v>0.00309453819863086</v>
      </c>
      <c r="D13004" s="3" t="n">
        <v>0.571799999999999</v>
      </c>
      <c r="E13004" s="1" t="n">
        <f aca="false">LN(D13004)</f>
        <v>-0.558965999093927</v>
      </c>
    </row>
    <row r="13005" customFormat="false" ht="15.75" hidden="false" customHeight="false" outlineLevel="0" collapsed="false">
      <c r="A13005" s="3" t="s">
        <v>1288</v>
      </c>
      <c r="B13005" s="7" t="n">
        <v>333.149993896484</v>
      </c>
      <c r="C13005" s="1" t="n">
        <f aca="false">1/B13005</f>
        <v>0.00300165096299152</v>
      </c>
      <c r="D13005" s="3" t="n">
        <v>0.5085</v>
      </c>
      <c r="E13005" s="1" t="n">
        <f aca="false">LN(D13005)</f>
        <v>-0.676290063493522</v>
      </c>
    </row>
    <row r="13006" customFormat="false" ht="15.75" hidden="false" customHeight="false" outlineLevel="0" collapsed="false">
      <c r="A13006" s="3" t="s">
        <v>1288</v>
      </c>
      <c r="B13006" s="7" t="n">
        <v>353.149993896484</v>
      </c>
      <c r="C13006" s="1" t="n">
        <f aca="false">1/B13006</f>
        <v>0.00283165798466111</v>
      </c>
      <c r="D13006" s="3" t="n">
        <v>0.415000000000001</v>
      </c>
      <c r="E13006" s="1" t="n">
        <f aca="false">LN(D13006)</f>
        <v>-0.879476758751436</v>
      </c>
    </row>
    <row r="13007" customFormat="false" ht="15.75" hidden="false" customHeight="false" outlineLevel="0" collapsed="false">
      <c r="A13007" s="3" t="s">
        <v>1288</v>
      </c>
      <c r="B13007" s="7" t="n">
        <v>373.149993896484</v>
      </c>
      <c r="C13007" s="1" t="n">
        <f aca="false">1/B13007</f>
        <v>0.00267988748856153</v>
      </c>
      <c r="D13007" s="3" t="n">
        <v>0.3401</v>
      </c>
      <c r="E13007" s="1" t="n">
        <f aca="false">LN(D13007)</f>
        <v>-1.07851558696899</v>
      </c>
    </row>
    <row r="13008" customFormat="false" ht="15.75" hidden="false" customHeight="false" outlineLevel="0" collapsed="false">
      <c r="A13008" s="3" t="s">
        <v>1288</v>
      </c>
      <c r="B13008" s="7" t="n">
        <v>393.149993896484</v>
      </c>
      <c r="C13008" s="1" t="n">
        <f aca="false">1/B13008</f>
        <v>0.00254355847774297</v>
      </c>
      <c r="D13008" s="3" t="n">
        <v>0.284600000000001</v>
      </c>
      <c r="E13008" s="1" t="n">
        <f aca="false">LN(D13008)</f>
        <v>-1.25667059332638</v>
      </c>
    </row>
    <row r="13009" customFormat="false" ht="15.75" hidden="false" customHeight="false" outlineLevel="0" collapsed="false">
      <c r="A13009" s="3" t="s">
        <v>1288</v>
      </c>
      <c r="B13009" s="7" t="n">
        <v>413.149993896484</v>
      </c>
      <c r="C13009" s="1" t="n">
        <f aca="false">1/B13009</f>
        <v>0.00242042845158689</v>
      </c>
      <c r="D13009" s="3" t="n">
        <v>0.2395</v>
      </c>
      <c r="E13009" s="1" t="n">
        <f aca="false">LN(D13009)</f>
        <v>-1.42920186213117</v>
      </c>
    </row>
    <row r="13010" customFormat="false" ht="15.75" hidden="false" customHeight="false" outlineLevel="0" collapsed="false">
      <c r="A13010" s="3" t="s">
        <v>1288</v>
      </c>
      <c r="B13010" s="7" t="n">
        <v>433.149993896484</v>
      </c>
      <c r="C13010" s="1" t="n">
        <f aca="false">1/B13010</f>
        <v>0.00230866908482281</v>
      </c>
      <c r="D13010" s="3" t="n">
        <v>0.2016</v>
      </c>
      <c r="E13010" s="1" t="n">
        <f aca="false">LN(D13010)</f>
        <v>-1.60146974278492</v>
      </c>
    </row>
    <row r="13011" customFormat="false" ht="15.75" hidden="false" customHeight="false" outlineLevel="0" collapsed="false">
      <c r="A13011" s="3" t="s">
        <v>1288</v>
      </c>
      <c r="B13011" s="7" t="n">
        <v>453.149993896484</v>
      </c>
      <c r="C13011" s="1" t="n">
        <f aca="false">1/B13011</f>
        <v>0.00220677482835504</v>
      </c>
      <c r="D13011" s="3" t="n">
        <v>0.1705</v>
      </c>
      <c r="E13011" s="1" t="n">
        <f aca="false">LN(D13011)</f>
        <v>-1.76901998225857</v>
      </c>
    </row>
    <row r="13012" customFormat="false" ht="15.75" hidden="false" customHeight="false" outlineLevel="0" collapsed="false">
      <c r="A13012" s="3" t="s">
        <v>1288</v>
      </c>
      <c r="B13012" s="7" t="n">
        <v>473.149993896484</v>
      </c>
      <c r="C13012" s="1" t="n">
        <f aca="false">1/B13012</f>
        <v>0.00211349469068952</v>
      </c>
      <c r="D13012" s="3" t="n">
        <v>0.1455</v>
      </c>
      <c r="E13012" s="1" t="n">
        <f aca="false">LN(D13012)</f>
        <v>-1.92757919237059</v>
      </c>
    </row>
    <row r="13013" customFormat="false" ht="15.75" hidden="false" customHeight="false" outlineLevel="0" collapsed="false">
      <c r="A13013" s="3" t="s">
        <v>1288</v>
      </c>
      <c r="B13013" s="7" t="n">
        <v>493.149993896484</v>
      </c>
      <c r="C13013" s="1" t="n">
        <f aca="false">1/B13013</f>
        <v>0.00202778061923673</v>
      </c>
      <c r="D13013" s="3" t="n">
        <v>0.1238</v>
      </c>
      <c r="E13013" s="1" t="n">
        <f aca="false">LN(D13013)</f>
        <v>-2.08908791873164</v>
      </c>
    </row>
    <row r="13014" customFormat="false" ht="15.75" hidden="false" customHeight="false" outlineLevel="0" collapsed="false">
      <c r="A13014" s="3" t="s">
        <v>1288</v>
      </c>
      <c r="B13014" s="7" t="n">
        <v>513.150024414063</v>
      </c>
      <c r="C13014" s="1" t="n">
        <f aca="false">1/B13014</f>
        <v>0.00194874783674003</v>
      </c>
      <c r="D13014" s="3" t="n">
        <v>0.1052</v>
      </c>
      <c r="E13014" s="1" t="n">
        <f aca="false">LN(D13014)</f>
        <v>-2.25189197867853</v>
      </c>
    </row>
    <row r="13015" customFormat="false" ht="15.75" hidden="false" customHeight="false" outlineLevel="0" collapsed="false">
      <c r="A13015" s="3" t="s">
        <v>1288</v>
      </c>
      <c r="B13015" s="7" t="n">
        <v>533.150024414063</v>
      </c>
      <c r="C13015" s="1" t="n">
        <f aca="false">1/B13015</f>
        <v>0.00187564466699408</v>
      </c>
      <c r="D13015" s="3" t="n">
        <v>0.0887</v>
      </c>
      <c r="E13015" s="1" t="n">
        <f aca="false">LN(D13015)</f>
        <v>-2.4224953896666</v>
      </c>
    </row>
    <row r="13016" customFormat="false" ht="15.75" hidden="false" customHeight="false" outlineLevel="0" collapsed="false">
      <c r="A13016" s="3" t="s">
        <v>1288</v>
      </c>
      <c r="B13016" s="7" t="n">
        <v>553.150024414063</v>
      </c>
      <c r="C13016" s="1" t="n">
        <f aca="false">1/B13016</f>
        <v>0.00180782781499336</v>
      </c>
      <c r="D13016" s="3" t="n">
        <v>0.0745</v>
      </c>
      <c r="E13016" s="1" t="n">
        <f aca="false">LN(D13016)</f>
        <v>-2.59695615359662</v>
      </c>
    </row>
    <row r="13017" customFormat="false" ht="15.75" hidden="false" customHeight="false" outlineLevel="0" collapsed="false">
      <c r="A13017" s="3" t="s">
        <v>1290</v>
      </c>
      <c r="B13017" s="7" t="n">
        <v>273.149993896484</v>
      </c>
      <c r="C13017" s="1" t="n">
        <f aca="false">1/B13017</f>
        <v>0.00366099221067152</v>
      </c>
      <c r="D13017" s="3" t="n">
        <v>0.7734</v>
      </c>
      <c r="E13017" s="1" t="n">
        <f aca="false">LN(D13017)</f>
        <v>-0.25695889980894</v>
      </c>
    </row>
    <row r="13018" customFormat="false" ht="15.75" hidden="false" customHeight="false" outlineLevel="0" collapsed="false">
      <c r="A13018" s="3" t="s">
        <v>1290</v>
      </c>
      <c r="B13018" s="7" t="n">
        <v>283.149993896484</v>
      </c>
      <c r="C13018" s="1" t="n">
        <f aca="false">1/B13018</f>
        <v>0.00353169705652753</v>
      </c>
      <c r="D13018" s="3" t="n">
        <v>0.669399999999999</v>
      </c>
      <c r="E13018" s="1" t="n">
        <f aca="false">LN(D13018)</f>
        <v>-0.401373490204912</v>
      </c>
    </row>
    <row r="13019" customFormat="false" ht="15.75" hidden="false" customHeight="false" outlineLevel="0" collapsed="false">
      <c r="A13019" s="3" t="s">
        <v>1290</v>
      </c>
      <c r="B13019" s="7" t="n">
        <v>293.149993896484</v>
      </c>
      <c r="C13019" s="1" t="n">
        <f aca="false">1/B13019</f>
        <v>0.00341122299444126</v>
      </c>
      <c r="D13019" s="3" t="n">
        <v>0.585279999999999</v>
      </c>
      <c r="E13019" s="1" t="n">
        <f aca="false">LN(D13019)</f>
        <v>-0.535664913779638</v>
      </c>
    </row>
    <row r="13020" customFormat="false" ht="15.75" hidden="false" customHeight="false" outlineLevel="0" collapsed="false">
      <c r="A13020" s="3" t="s">
        <v>1290</v>
      </c>
      <c r="B13020" s="7" t="n">
        <v>298.149993896484</v>
      </c>
      <c r="C13020" s="1" t="n">
        <f aca="false">1/B13020</f>
        <v>0.00335401650334158</v>
      </c>
      <c r="D13020" s="3" t="n">
        <v>0.551</v>
      </c>
      <c r="E13020" s="1" t="n">
        <f aca="false">LN(D13020)</f>
        <v>-0.596020469829223</v>
      </c>
    </row>
    <row r="13021" customFormat="false" ht="15.75" hidden="false" customHeight="false" outlineLevel="0" collapsed="false">
      <c r="A13021" s="3" t="s">
        <v>1290</v>
      </c>
      <c r="B13021" s="7" t="n">
        <v>303.149993896484</v>
      </c>
      <c r="C13021" s="1" t="n">
        <f aca="false">1/B13021</f>
        <v>0.00329869708109401</v>
      </c>
      <c r="D13021" s="3" t="n">
        <v>0.5159</v>
      </c>
      <c r="E13021" s="1" t="n">
        <f aca="false">LN(D13021)</f>
        <v>-0.661842330731533</v>
      </c>
    </row>
    <row r="13022" customFormat="false" ht="15.75" hidden="false" customHeight="false" outlineLevel="0" collapsed="false">
      <c r="A13022" s="3" t="s">
        <v>1290</v>
      </c>
      <c r="B13022" s="7" t="n">
        <v>313.149993896484</v>
      </c>
      <c r="C13022" s="1" t="n">
        <f aca="false">1/B13022</f>
        <v>0.00319335787798407</v>
      </c>
      <c r="D13022" s="3" t="n">
        <v>0.461200000000001</v>
      </c>
      <c r="E13022" s="1" t="n">
        <f aca="false">LN(D13022)</f>
        <v>-0.773923490587231</v>
      </c>
    </row>
    <row r="13023" customFormat="false" ht="15.75" hidden="false" customHeight="false" outlineLevel="0" collapsed="false">
      <c r="A13023" s="3" t="s">
        <v>1290</v>
      </c>
      <c r="B13023" s="7" t="n">
        <v>323.149993896484</v>
      </c>
      <c r="C13023" s="1" t="n">
        <f aca="false">1/B13023</f>
        <v>0.00309453819863086</v>
      </c>
      <c r="D13023" s="3" t="n">
        <v>0.414000000000001</v>
      </c>
      <c r="E13023" s="1" t="n">
        <f aca="false">LN(D13023)</f>
        <v>-0.88188930515682</v>
      </c>
    </row>
    <row r="13024" customFormat="false" ht="15.75" hidden="false" customHeight="false" outlineLevel="0" collapsed="false">
      <c r="A13024" s="3" t="s">
        <v>1290</v>
      </c>
      <c r="B13024" s="7" t="n">
        <v>333.149993896484</v>
      </c>
      <c r="C13024" s="1" t="n">
        <f aca="false">1/B13024</f>
        <v>0.00300165096299152</v>
      </c>
      <c r="D13024" s="3" t="n">
        <v>0.3735</v>
      </c>
      <c r="E13024" s="1" t="n">
        <f aca="false">LN(D13024)</f>
        <v>-0.984837274409265</v>
      </c>
    </row>
    <row r="13025" customFormat="false" ht="15.75" hidden="false" customHeight="false" outlineLevel="0" collapsed="false">
      <c r="A13025" s="3" t="s">
        <v>1290</v>
      </c>
      <c r="B13025" s="7" t="n">
        <v>343.149993896484</v>
      </c>
      <c r="C13025" s="1" t="n">
        <f aca="false">1/B13025</f>
        <v>0.00291417752524182</v>
      </c>
      <c r="D13025" s="3" t="n">
        <v>0.3406</v>
      </c>
      <c r="E13025" s="1" t="n">
        <f aca="false">LN(D13025)</f>
        <v>-1.07704651075355</v>
      </c>
    </row>
    <row r="13026" customFormat="false" ht="15.75" hidden="false" customHeight="false" outlineLevel="0" collapsed="false">
      <c r="A13026" s="3" t="s">
        <v>1290</v>
      </c>
      <c r="B13026" s="7" t="n">
        <v>353.149993896484</v>
      </c>
      <c r="C13026" s="1" t="n">
        <f aca="false">1/B13026</f>
        <v>0.00283165798466111</v>
      </c>
      <c r="D13026" s="3" t="n">
        <v>0.30755</v>
      </c>
      <c r="E13026" s="1" t="n">
        <f aca="false">LN(D13026)</f>
        <v>-1.17911760332776</v>
      </c>
    </row>
    <row r="13027" customFormat="false" ht="15.75" hidden="false" customHeight="false" outlineLevel="0" collapsed="false">
      <c r="A13027" s="3" t="s">
        <v>1290</v>
      </c>
      <c r="B13027" s="7" t="n">
        <v>363.149993896484</v>
      </c>
      <c r="C13027" s="1" t="n">
        <f aca="false">1/B13027</f>
        <v>0.00275368309736238</v>
      </c>
      <c r="D13027" s="3" t="n">
        <v>0.2842</v>
      </c>
      <c r="E13027" s="1" t="n">
        <f aca="false">LN(D13027)</f>
        <v>-1.25807706331914</v>
      </c>
    </row>
    <row r="13028" customFormat="false" ht="15.75" hidden="false" customHeight="false" outlineLevel="0" collapsed="false">
      <c r="A13028" s="3" t="s">
        <v>1290</v>
      </c>
      <c r="B13028" s="7" t="n">
        <v>373.149993896484</v>
      </c>
      <c r="C13028" s="1" t="n">
        <f aca="false">1/B13028</f>
        <v>0.00267988748856153</v>
      </c>
      <c r="D13028" s="3" t="n">
        <v>0.2587</v>
      </c>
      <c r="E13028" s="1" t="n">
        <f aca="false">LN(D13028)</f>
        <v>-1.35208618979015</v>
      </c>
    </row>
    <row r="13029" customFormat="false" ht="15.75" hidden="false" customHeight="false" outlineLevel="0" collapsed="false">
      <c r="A13029" s="3" t="s">
        <v>1290</v>
      </c>
      <c r="B13029" s="7" t="n">
        <v>473.149993896484</v>
      </c>
      <c r="C13029" s="1" t="n">
        <f aca="false">1/B13029</f>
        <v>0.00211349469068952</v>
      </c>
      <c r="D13029" s="3" t="n">
        <v>0.103</v>
      </c>
      <c r="E13029" s="1" t="n">
        <f aca="false">LN(D13029)</f>
        <v>-2.2730262907525</v>
      </c>
    </row>
    <row r="13030" customFormat="false" ht="15.75" hidden="false" customHeight="false" outlineLevel="0" collapsed="false">
      <c r="A13030" s="3" t="s">
        <v>172</v>
      </c>
      <c r="B13030" s="7" t="n">
        <v>288.149993896484</v>
      </c>
      <c r="C13030" s="1" t="n">
        <f aca="false">1/B13030</f>
        <v>0.00347041478806778</v>
      </c>
      <c r="D13030" s="3" t="n">
        <v>0.712</v>
      </c>
      <c r="E13030" s="1" t="n">
        <f aca="false">LN(D13030)</f>
        <v>-0.339677367570161</v>
      </c>
    </row>
    <row r="13031" customFormat="false" ht="15.75" hidden="false" customHeight="false" outlineLevel="0" collapsed="false">
      <c r="A13031" s="3" t="s">
        <v>172</v>
      </c>
      <c r="B13031" s="7" t="n">
        <v>293.149993896484</v>
      </c>
      <c r="C13031" s="1" t="n">
        <f aca="false">1/B13031</f>
        <v>0.00341122299444126</v>
      </c>
      <c r="D13031" s="3" t="n">
        <v>0.673</v>
      </c>
      <c r="E13031" s="1" t="n">
        <f aca="false">LN(D13031)</f>
        <v>-0.396009949337409</v>
      </c>
    </row>
    <row r="13032" customFormat="false" ht="15.75" hidden="false" customHeight="false" outlineLevel="0" collapsed="false">
      <c r="A13032" s="3" t="s">
        <v>172</v>
      </c>
      <c r="B13032" s="7" t="n">
        <v>298.149993896484</v>
      </c>
      <c r="C13032" s="1" t="n">
        <f aca="false">1/B13032</f>
        <v>0.00335401650334158</v>
      </c>
      <c r="D13032" s="3" t="n">
        <v>0.610400000000001</v>
      </c>
      <c r="E13032" s="1" t="n">
        <f aca="false">LN(D13032)</f>
        <v>-0.493640799011888</v>
      </c>
    </row>
    <row r="13033" customFormat="false" ht="15.75" hidden="false" customHeight="false" outlineLevel="0" collapsed="false">
      <c r="A13033" s="3" t="s">
        <v>172</v>
      </c>
      <c r="B13033" s="7" t="n">
        <v>303.149993896484</v>
      </c>
      <c r="C13033" s="1" t="n">
        <f aca="false">1/B13033</f>
        <v>0.00329869708109401</v>
      </c>
      <c r="D13033" s="3" t="n">
        <v>0.585999999999999</v>
      </c>
      <c r="E13033" s="1" t="n">
        <f aca="false">LN(D13033)</f>
        <v>-0.534435489405126</v>
      </c>
    </row>
    <row r="13034" customFormat="false" ht="15.75" hidden="false" customHeight="false" outlineLevel="0" collapsed="false">
      <c r="A13034" s="3" t="s">
        <v>1292</v>
      </c>
      <c r="B13034" s="7" t="n">
        <v>273.25</v>
      </c>
      <c r="C13034" s="1" t="n">
        <f aca="false">1/B13034</f>
        <v>0.00365965233302836</v>
      </c>
      <c r="D13034" s="3" t="n">
        <v>0.5472</v>
      </c>
      <c r="E13034" s="1" t="n">
        <f aca="false">LN(D13034)</f>
        <v>-0.602940912673796</v>
      </c>
    </row>
    <row r="13035" customFormat="false" ht="15.75" hidden="false" customHeight="false" outlineLevel="0" collapsed="false">
      <c r="A13035" s="3" t="s">
        <v>1292</v>
      </c>
      <c r="B13035" s="7" t="n">
        <v>277.970001220703</v>
      </c>
      <c r="C13035" s="1" t="n">
        <f aca="false">1/B13035</f>
        <v>0.00359751050691984</v>
      </c>
      <c r="D13035" s="3" t="n">
        <v>0.512199999999999</v>
      </c>
      <c r="E13035" s="1" t="n">
        <f aca="false">LN(D13035)</f>
        <v>-0.669040105216714</v>
      </c>
    </row>
    <row r="13036" customFormat="false" ht="15.75" hidden="false" customHeight="false" outlineLevel="0" collapsed="false">
      <c r="A13036" s="3" t="s">
        <v>1292</v>
      </c>
      <c r="B13036" s="7" t="n">
        <v>281.570007324219</v>
      </c>
      <c r="C13036" s="1" t="n">
        <f aca="false">1/B13036</f>
        <v>0.00355151462864627</v>
      </c>
      <c r="D13036" s="3" t="n">
        <v>0.4891</v>
      </c>
      <c r="E13036" s="1" t="n">
        <f aca="false">LN(D13036)</f>
        <v>-0.715188311436826</v>
      </c>
    </row>
    <row r="13037" customFormat="false" ht="15.75" hidden="false" customHeight="false" outlineLevel="0" collapsed="false">
      <c r="A13037" s="3" t="s">
        <v>1292</v>
      </c>
      <c r="B13037" s="7" t="n">
        <v>284.75</v>
      </c>
      <c r="C13037" s="1" t="n">
        <f aca="false">1/B13037</f>
        <v>0.00351185250219491</v>
      </c>
      <c r="D13037" s="3" t="n">
        <v>0.470699999999999</v>
      </c>
      <c r="E13037" s="1" t="n">
        <f aca="false">LN(D13037)</f>
        <v>-0.753534330575043</v>
      </c>
    </row>
    <row r="13038" customFormat="false" ht="15.75" hidden="false" customHeight="false" outlineLevel="0" collapsed="false">
      <c r="A13038" s="3" t="s">
        <v>1292</v>
      </c>
      <c r="B13038" s="7" t="n">
        <v>286.480010986328</v>
      </c>
      <c r="C13038" s="1" t="n">
        <f aca="false">1/B13038</f>
        <v>0.00349064493734512</v>
      </c>
      <c r="D13038" s="3" t="n">
        <v>0.4616</v>
      </c>
      <c r="E13038" s="1" t="n">
        <f aca="false">LN(D13038)</f>
        <v>-0.773056563788247</v>
      </c>
    </row>
    <row r="13039" customFormat="false" ht="15.75" hidden="false" customHeight="false" outlineLevel="0" collapsed="false">
      <c r="A13039" s="3" t="s">
        <v>1292</v>
      </c>
      <c r="B13039" s="7" t="n">
        <v>290.450012207031</v>
      </c>
      <c r="C13039" s="1" t="n">
        <f aca="false">1/B13039</f>
        <v>0.00344293323453953</v>
      </c>
      <c r="D13039" s="3" t="n">
        <v>0.4404</v>
      </c>
      <c r="E13039" s="1" t="n">
        <f aca="false">LN(D13039)</f>
        <v>-0.820071874133612</v>
      </c>
    </row>
    <row r="13040" customFormat="false" ht="15.75" hidden="false" customHeight="false" outlineLevel="0" collapsed="false">
      <c r="A13040" s="3" t="s">
        <v>1292</v>
      </c>
      <c r="B13040" s="7" t="n">
        <v>292.549987792969</v>
      </c>
      <c r="C13040" s="1" t="n">
        <f aca="false">1/B13040</f>
        <v>0.00341821925047448</v>
      </c>
      <c r="D13040" s="3" t="n">
        <v>0.430500000000001</v>
      </c>
      <c r="E13040" s="1" t="n">
        <f aca="false">LN(D13040)</f>
        <v>-0.842807955114349</v>
      </c>
    </row>
    <row r="13041" customFormat="false" ht="15.75" hidden="false" customHeight="false" outlineLevel="0" collapsed="false">
      <c r="A13041" s="3" t="s">
        <v>1292</v>
      </c>
      <c r="B13041" s="7" t="n">
        <v>294.25</v>
      </c>
      <c r="C13041" s="1" t="n">
        <f aca="false">1/B13041</f>
        <v>0.00339847068819031</v>
      </c>
      <c r="D13041" s="3" t="n">
        <v>0.422099999999999</v>
      </c>
      <c r="E13041" s="1" t="n">
        <f aca="false">LN(D13041)</f>
        <v>-0.862513026193686</v>
      </c>
    </row>
    <row r="13042" customFormat="false" ht="15.75" hidden="false" customHeight="false" outlineLevel="0" collapsed="false">
      <c r="A13042" s="3" t="s">
        <v>1292</v>
      </c>
      <c r="B13042" s="7" t="n">
        <v>301.549987792969</v>
      </c>
      <c r="C13042" s="1" t="n">
        <f aca="false">1/B13042</f>
        <v>0.00331619976946096</v>
      </c>
      <c r="D13042" s="3" t="n">
        <v>0.39</v>
      </c>
      <c r="E13042" s="1" t="n">
        <f aca="false">LN(D13042)</f>
        <v>-0.941608539858445</v>
      </c>
    </row>
    <row r="13043" customFormat="false" ht="15.75" hidden="false" customHeight="false" outlineLevel="0" collapsed="false">
      <c r="A13043" s="3" t="s">
        <v>1292</v>
      </c>
      <c r="B13043" s="7" t="n">
        <v>307.149993896484</v>
      </c>
      <c r="C13043" s="1" t="n">
        <f aca="false">1/B13043</f>
        <v>0.00325573830334186</v>
      </c>
      <c r="D13043" s="3" t="n">
        <v>0.368800000000001</v>
      </c>
      <c r="E13043" s="1" t="n">
        <f aca="false">LN(D13043)</f>
        <v>-0.997500787299695</v>
      </c>
    </row>
    <row r="13044" customFormat="false" ht="15.75" hidden="false" customHeight="false" outlineLevel="0" collapsed="false">
      <c r="A13044" s="3" t="s">
        <v>1292</v>
      </c>
      <c r="B13044" s="7" t="n">
        <v>313.850006103516</v>
      </c>
      <c r="C13044" s="1" t="n">
        <f aca="false">1/B13044</f>
        <v>0.00318623540083722</v>
      </c>
      <c r="D13044" s="3" t="n">
        <v>0.3449</v>
      </c>
      <c r="E13044" s="1" t="n">
        <f aca="false">LN(D13044)</f>
        <v>-1.06450075903934</v>
      </c>
    </row>
    <row r="13045" customFormat="false" ht="15.75" hidden="false" customHeight="false" outlineLevel="0" collapsed="false">
      <c r="A13045" s="3" t="s">
        <v>1292</v>
      </c>
      <c r="B13045" s="7" t="n">
        <v>333.149993896484</v>
      </c>
      <c r="C13045" s="1" t="n">
        <f aca="false">1/B13045</f>
        <v>0.00300165096299152</v>
      </c>
      <c r="D13045" s="3" t="n">
        <v>0.2922</v>
      </c>
      <c r="E13045" s="1" t="n">
        <f aca="false">LN(D13045)</f>
        <v>-1.23031677966554</v>
      </c>
    </row>
    <row r="13046" customFormat="false" ht="15.75" hidden="false" customHeight="false" outlineLevel="0" collapsed="false">
      <c r="A13046" s="3" t="s">
        <v>1294</v>
      </c>
      <c r="B13046" s="7" t="n">
        <v>293.149993896484</v>
      </c>
      <c r="C13046" s="1" t="n">
        <f aca="false">1/B13046</f>
        <v>0.00341122299444126</v>
      </c>
      <c r="D13046" s="3" t="n">
        <v>1.367</v>
      </c>
      <c r="E13046" s="1" t="n">
        <f aca="false">LN(D13046)</f>
        <v>0.312618557741812</v>
      </c>
    </row>
    <row r="13047" customFormat="false" ht="15.75" hidden="false" customHeight="false" outlineLevel="0" collapsed="false">
      <c r="A13047" s="3" t="s">
        <v>1294</v>
      </c>
      <c r="B13047" s="7" t="n">
        <v>298.149993896484</v>
      </c>
      <c r="C13047" s="1" t="n">
        <f aca="false">1/B13047</f>
        <v>0.00335401650334158</v>
      </c>
      <c r="D13047" s="3" t="n">
        <v>1.248</v>
      </c>
      <c r="E13047" s="1" t="n">
        <f aca="false">LN(D13047)</f>
        <v>0.221542269947236</v>
      </c>
    </row>
    <row r="13048" customFormat="false" ht="15.75" hidden="false" customHeight="false" outlineLevel="0" collapsed="false">
      <c r="A13048" s="3" t="s">
        <v>1294</v>
      </c>
      <c r="B13048" s="7" t="n">
        <v>303.149993896484</v>
      </c>
      <c r="C13048" s="1" t="n">
        <f aca="false">1/B13048</f>
        <v>0.00329869708109401</v>
      </c>
      <c r="D13048" s="3" t="n">
        <v>1.147</v>
      </c>
      <c r="E13048" s="1" t="n">
        <f aca="false">LN(D13048)</f>
        <v>0.137149838147234</v>
      </c>
    </row>
    <row r="13049" customFormat="false" ht="15.75" hidden="false" customHeight="false" outlineLevel="0" collapsed="false">
      <c r="A13049" s="3" t="s">
        <v>1294</v>
      </c>
      <c r="B13049" s="7" t="n">
        <v>313.149993896484</v>
      </c>
      <c r="C13049" s="1" t="n">
        <f aca="false">1/B13049</f>
        <v>0.00319335787798407</v>
      </c>
      <c r="D13049" s="3" t="n">
        <v>0.977999999999999</v>
      </c>
      <c r="E13049" s="1" t="n">
        <f aca="false">LN(D13049)</f>
        <v>-0.0222456089473208</v>
      </c>
    </row>
    <row r="13050" customFormat="false" ht="15.75" hidden="false" customHeight="false" outlineLevel="0" collapsed="false">
      <c r="A13050" s="3" t="s">
        <v>1294</v>
      </c>
      <c r="B13050" s="7" t="n">
        <v>323.149993896484</v>
      </c>
      <c r="C13050" s="1" t="n">
        <f aca="false">1/B13050</f>
        <v>0.00309453819863086</v>
      </c>
      <c r="D13050" s="3" t="n">
        <v>0.833</v>
      </c>
      <c r="E13050" s="1" t="n">
        <f aca="false">LN(D13050)</f>
        <v>-0.182721636815294</v>
      </c>
    </row>
    <row r="13051" customFormat="false" ht="15.75" hidden="false" customHeight="false" outlineLevel="0" collapsed="false">
      <c r="A13051" s="3" t="s">
        <v>1294</v>
      </c>
      <c r="B13051" s="7" t="n">
        <v>333.149993896484</v>
      </c>
      <c r="C13051" s="1" t="n">
        <f aca="false">1/B13051</f>
        <v>0.00300165096299152</v>
      </c>
      <c r="D13051" s="3" t="n">
        <v>0.721999999999999</v>
      </c>
      <c r="E13051" s="1" t="n">
        <f aca="false">LN(D13051)</f>
        <v>-0.325730140089312</v>
      </c>
    </row>
    <row r="13052" customFormat="false" ht="15.75" hidden="false" customHeight="false" outlineLevel="0" collapsed="false">
      <c r="A13052" s="3" t="s">
        <v>1294</v>
      </c>
      <c r="B13052" s="7" t="n">
        <v>343.149993896484</v>
      </c>
      <c r="C13052" s="1" t="n">
        <f aca="false">1/B13052</f>
        <v>0.00291417752524182</v>
      </c>
      <c r="D13052" s="3" t="n">
        <v>0.638</v>
      </c>
      <c r="E13052" s="1" t="n">
        <f aca="false">LN(D13052)</f>
        <v>-0.449416995637347</v>
      </c>
    </row>
    <row r="13053" customFormat="false" ht="15.75" hidden="false" customHeight="false" outlineLevel="0" collapsed="false">
      <c r="A13053" s="3" t="s">
        <v>1294</v>
      </c>
      <c r="B13053" s="7" t="n">
        <v>353.149993896484</v>
      </c>
      <c r="C13053" s="1" t="n">
        <f aca="false">1/B13053</f>
        <v>0.00283165798466111</v>
      </c>
      <c r="D13053" s="3" t="n">
        <v>0.568</v>
      </c>
      <c r="E13053" s="1" t="n">
        <f aca="false">LN(D13053)</f>
        <v>-0.565633860260986</v>
      </c>
    </row>
    <row r="13054" customFormat="false" ht="15.75" hidden="false" customHeight="false" outlineLevel="0" collapsed="false">
      <c r="A13054" s="3" t="s">
        <v>174</v>
      </c>
      <c r="B13054" s="7" t="n">
        <v>293.149993896484</v>
      </c>
      <c r="C13054" s="1" t="n">
        <f aca="false">1/B13054</f>
        <v>0.00341122299444126</v>
      </c>
      <c r="D13054" s="3" t="n">
        <v>3.74999999999999</v>
      </c>
      <c r="E13054" s="1" t="n">
        <f aca="false">LN(D13054)</f>
        <v>1.32175583998232</v>
      </c>
    </row>
    <row r="13055" customFormat="false" ht="15.75" hidden="false" customHeight="false" outlineLevel="0" collapsed="false">
      <c r="A13055" s="3" t="s">
        <v>174</v>
      </c>
      <c r="B13055" s="7" t="n">
        <v>298.149993896484</v>
      </c>
      <c r="C13055" s="1" t="n">
        <f aca="false">1/B13055</f>
        <v>0.00335401650334158</v>
      </c>
      <c r="D13055" s="3" t="n">
        <v>3.4</v>
      </c>
      <c r="E13055" s="1" t="n">
        <f aca="false">LN(D13055)</f>
        <v>1.22377543162212</v>
      </c>
    </row>
    <row r="13056" customFormat="false" ht="15.75" hidden="false" customHeight="false" outlineLevel="0" collapsed="false">
      <c r="A13056" s="3" t="s">
        <v>174</v>
      </c>
      <c r="B13056" s="7" t="n">
        <v>303.149993896484</v>
      </c>
      <c r="C13056" s="1" t="n">
        <f aca="false">1/B13056</f>
        <v>0.00329869708109401</v>
      </c>
      <c r="D13056" s="3" t="n">
        <v>3.06000000000001</v>
      </c>
      <c r="E13056" s="1" t="n">
        <f aca="false">LN(D13056)</f>
        <v>1.11841491596429</v>
      </c>
    </row>
    <row r="13057" customFormat="false" ht="15.75" hidden="false" customHeight="false" outlineLevel="0" collapsed="false">
      <c r="A13057" s="3" t="s">
        <v>1296</v>
      </c>
      <c r="B13057" s="7" t="n">
        <v>273.149993896484</v>
      </c>
      <c r="C13057" s="1" t="n">
        <f aca="false">1/B13057</f>
        <v>0.00366099221067152</v>
      </c>
      <c r="D13057" s="3" t="n">
        <v>1.615</v>
      </c>
      <c r="E13057" s="1" t="n">
        <f aca="false">LN(D13057)</f>
        <v>0.47933495667462</v>
      </c>
    </row>
    <row r="13058" customFormat="false" ht="15.75" hidden="false" customHeight="false" outlineLevel="0" collapsed="false">
      <c r="A13058" s="3" t="s">
        <v>1296</v>
      </c>
      <c r="B13058" s="7" t="n">
        <v>288.149993896484</v>
      </c>
      <c r="C13058" s="1" t="n">
        <f aca="false">1/B13058</f>
        <v>0.00347041478806778</v>
      </c>
      <c r="D13058" s="3" t="n">
        <v>1.188</v>
      </c>
      <c r="E13058" s="1" t="n">
        <f aca="false">LN(D13058)</f>
        <v>0.172271220940453</v>
      </c>
    </row>
    <row r="13059" customFormat="false" ht="15.75" hidden="false" customHeight="false" outlineLevel="0" collapsed="false">
      <c r="A13059" s="3" t="s">
        <v>1296</v>
      </c>
      <c r="B13059" s="7" t="n">
        <v>293.149993896484</v>
      </c>
      <c r="C13059" s="1" t="n">
        <f aca="false">1/B13059</f>
        <v>0.00341122299444126</v>
      </c>
      <c r="D13059" s="3" t="n">
        <v>1.114</v>
      </c>
      <c r="E13059" s="1" t="n">
        <f aca="false">LN(D13059)</f>
        <v>0.107957141505092</v>
      </c>
    </row>
    <row r="13060" customFormat="false" ht="15.75" hidden="false" customHeight="false" outlineLevel="0" collapsed="false">
      <c r="A13060" s="3" t="s">
        <v>1296</v>
      </c>
      <c r="B13060" s="7" t="n">
        <v>303.149993896484</v>
      </c>
      <c r="C13060" s="1" t="n">
        <f aca="false">1/B13060</f>
        <v>0.00329869708109401</v>
      </c>
      <c r="D13060" s="3" t="n">
        <v>0.925000000000002</v>
      </c>
      <c r="E13060" s="1" t="n">
        <f aca="false">LN(D13060)</f>
        <v>-0.0779615414697097</v>
      </c>
    </row>
    <row r="13061" customFormat="false" ht="15.75" hidden="false" customHeight="false" outlineLevel="0" collapsed="false">
      <c r="A13061" s="3" t="s">
        <v>1296</v>
      </c>
      <c r="B13061" s="7" t="n">
        <v>313.149993896484</v>
      </c>
      <c r="C13061" s="1" t="n">
        <f aca="false">1/B13061</f>
        <v>0.00319335787798407</v>
      </c>
      <c r="D13061" s="3" t="n">
        <v>0.818</v>
      </c>
      <c r="E13061" s="1" t="n">
        <f aca="false">LN(D13061)</f>
        <v>-0.20089294237939</v>
      </c>
    </row>
    <row r="13062" customFormat="false" ht="15.75" hidden="false" customHeight="false" outlineLevel="0" collapsed="false">
      <c r="A13062" s="3" t="s">
        <v>1298</v>
      </c>
      <c r="B13062" s="7" t="n">
        <v>273.149993896484</v>
      </c>
      <c r="C13062" s="1" t="n">
        <f aca="false">1/B13062</f>
        <v>0.00366099221067152</v>
      </c>
      <c r="D13062" s="3" t="n">
        <v>1.203</v>
      </c>
      <c r="E13062" s="1" t="n">
        <f aca="false">LN(D13062)</f>
        <v>0.184818436992542</v>
      </c>
    </row>
    <row r="13063" customFormat="false" ht="15.75" hidden="false" customHeight="false" outlineLevel="0" collapsed="false">
      <c r="A13063" s="3" t="s">
        <v>1298</v>
      </c>
      <c r="B13063" s="7" t="n">
        <v>288.149993896484</v>
      </c>
      <c r="C13063" s="1" t="n">
        <f aca="false">1/B13063</f>
        <v>0.00347041478806778</v>
      </c>
      <c r="D13063" s="3" t="n">
        <v>0.888</v>
      </c>
      <c r="E13063" s="1" t="n">
        <f aca="false">LN(D13063)</f>
        <v>-0.118783535989967</v>
      </c>
    </row>
    <row r="13064" customFormat="false" ht="15.75" hidden="false" customHeight="false" outlineLevel="0" collapsed="false">
      <c r="A13064" s="3" t="s">
        <v>1298</v>
      </c>
      <c r="B13064" s="7" t="n">
        <v>293.149993896484</v>
      </c>
      <c r="C13064" s="1" t="n">
        <f aca="false">1/B13064</f>
        <v>0.00341122299444126</v>
      </c>
      <c r="D13064" s="3" t="n">
        <v>0.866000000000002</v>
      </c>
      <c r="E13064" s="1" t="n">
        <f aca="false">LN(D13064)</f>
        <v>-0.1438703704197</v>
      </c>
    </row>
    <row r="13065" customFormat="false" ht="15.75" hidden="false" customHeight="false" outlineLevel="0" collapsed="false">
      <c r="A13065" s="3" t="s">
        <v>1298</v>
      </c>
      <c r="B13065" s="7" t="n">
        <v>303.149993896484</v>
      </c>
      <c r="C13065" s="1" t="n">
        <f aca="false">1/B13065</f>
        <v>0.00329869708109401</v>
      </c>
      <c r="D13065" s="3" t="n">
        <v>0.721999999999999</v>
      </c>
      <c r="E13065" s="1" t="n">
        <f aca="false">LN(D13065)</f>
        <v>-0.325730140089312</v>
      </c>
    </row>
    <row r="13066" customFormat="false" ht="15.75" hidden="false" customHeight="false" outlineLevel="0" collapsed="false">
      <c r="A13066" s="3" t="s">
        <v>1298</v>
      </c>
      <c r="B13066" s="7" t="n">
        <v>313.149993896484</v>
      </c>
      <c r="C13066" s="1" t="n">
        <f aca="false">1/B13066</f>
        <v>0.00319335787798407</v>
      </c>
      <c r="D13066" s="3" t="n">
        <v>0.654000000000001</v>
      </c>
      <c r="E13066" s="1" t="n">
        <f aca="false">LN(D13066)</f>
        <v>-0.424647927524937</v>
      </c>
    </row>
    <row r="13067" customFormat="false" ht="15.75" hidden="false" customHeight="false" outlineLevel="0" collapsed="false">
      <c r="A13067" s="3" t="s">
        <v>1300</v>
      </c>
      <c r="B13067" s="7" t="n">
        <v>273.149993896484</v>
      </c>
      <c r="C13067" s="1" t="n">
        <f aca="false">1/B13067</f>
        <v>0.00366099221067152</v>
      </c>
      <c r="D13067" s="3" t="n">
        <v>1.224</v>
      </c>
      <c r="E13067" s="1" t="n">
        <f aca="false">LN(D13067)</f>
        <v>0.202124184090134</v>
      </c>
    </row>
    <row r="13068" customFormat="false" ht="15.75" hidden="false" customHeight="false" outlineLevel="0" collapsed="false">
      <c r="A13068" s="3" t="s">
        <v>1300</v>
      </c>
      <c r="B13068" s="7" t="n">
        <v>288.149993896484</v>
      </c>
      <c r="C13068" s="1" t="n">
        <f aca="false">1/B13068</f>
        <v>0.00347041478806778</v>
      </c>
      <c r="D13068" s="3" t="n">
        <v>0.933000000000002</v>
      </c>
      <c r="E13068" s="1" t="n">
        <f aca="false">LN(D13068)</f>
        <v>-0.069350078134791</v>
      </c>
    </row>
    <row r="13069" customFormat="false" ht="15.75" hidden="false" customHeight="false" outlineLevel="0" collapsed="false">
      <c r="A13069" s="3" t="s">
        <v>1300</v>
      </c>
      <c r="B13069" s="7" t="n">
        <v>293.149993896484</v>
      </c>
      <c r="C13069" s="1" t="n">
        <f aca="false">1/B13069</f>
        <v>0.00341122299444126</v>
      </c>
      <c r="D13069" s="3" t="n">
        <v>0.875</v>
      </c>
      <c r="E13069" s="1" t="n">
        <f aca="false">LN(D13069)</f>
        <v>-0.133531392624523</v>
      </c>
    </row>
    <row r="13070" customFormat="false" ht="15.75" hidden="false" customHeight="false" outlineLevel="0" collapsed="false">
      <c r="A13070" s="3" t="s">
        <v>1300</v>
      </c>
      <c r="B13070" s="7" t="n">
        <v>303.149993896484</v>
      </c>
      <c r="C13070" s="1" t="n">
        <f aca="false">1/B13070</f>
        <v>0.00329869708109401</v>
      </c>
      <c r="D13070" s="3" t="n">
        <v>0.749</v>
      </c>
      <c r="E13070" s="1" t="n">
        <f aca="false">LN(D13070)</f>
        <v>-0.289016295464918</v>
      </c>
    </row>
    <row r="13071" customFormat="false" ht="15.75" hidden="false" customHeight="false" outlineLevel="0" collapsed="false">
      <c r="A13071" s="3" t="s">
        <v>1300</v>
      </c>
      <c r="B13071" s="7" t="n">
        <v>313.149993896484</v>
      </c>
      <c r="C13071" s="1" t="n">
        <f aca="false">1/B13071</f>
        <v>0.00319335787798407</v>
      </c>
      <c r="D13071" s="3" t="n">
        <v>0.659000000000001</v>
      </c>
      <c r="E13071" s="1" t="n">
        <f aca="false">LN(D13071)</f>
        <v>-0.417031744479628</v>
      </c>
    </row>
    <row r="13072" customFormat="false" ht="15.75" hidden="false" customHeight="false" outlineLevel="0" collapsed="false">
      <c r="A13072" s="3" t="s">
        <v>1302</v>
      </c>
      <c r="B13072" s="7" t="n">
        <v>243.149993896484</v>
      </c>
      <c r="C13072" s="1" t="n">
        <f aca="false">1/B13072</f>
        <v>0.00411268774460973</v>
      </c>
      <c r="D13072" s="3" t="n">
        <v>15.761</v>
      </c>
      <c r="E13072" s="1" t="n">
        <f aca="false">LN(D13072)</f>
        <v>2.7575385341934</v>
      </c>
    </row>
    <row r="13073" customFormat="false" ht="15.75" hidden="false" customHeight="false" outlineLevel="0" collapsed="false">
      <c r="A13073" s="3" t="s">
        <v>1302</v>
      </c>
      <c r="B13073" s="7" t="n">
        <v>253.149993896484</v>
      </c>
      <c r="C13073" s="1" t="n">
        <f aca="false">1/B13073</f>
        <v>0.0039502272333015</v>
      </c>
      <c r="D13073" s="3" t="n">
        <v>10.677</v>
      </c>
      <c r="E13073" s="1" t="n">
        <f aca="false">LN(D13073)</f>
        <v>2.36809189519617</v>
      </c>
    </row>
    <row r="13074" customFormat="false" ht="15.75" hidden="false" customHeight="false" outlineLevel="0" collapsed="false">
      <c r="A13074" s="3" t="s">
        <v>1302</v>
      </c>
      <c r="B13074" s="7" t="n">
        <v>263.149993896484</v>
      </c>
      <c r="C13074" s="1" t="n">
        <f aca="false">1/B13074</f>
        <v>0.00380011409156016</v>
      </c>
      <c r="D13074" s="3" t="n">
        <v>7.58200000000002</v>
      </c>
      <c r="E13074" s="1" t="n">
        <f aca="false">LN(D13074)</f>
        <v>2.02577701709415</v>
      </c>
    </row>
    <row r="13075" customFormat="false" ht="15.75" hidden="false" customHeight="false" outlineLevel="0" collapsed="false">
      <c r="A13075" s="3" t="s">
        <v>1302</v>
      </c>
      <c r="B13075" s="7" t="n">
        <v>273.149993896484</v>
      </c>
      <c r="C13075" s="1" t="n">
        <f aca="false">1/B13075</f>
        <v>0.00366099221067152</v>
      </c>
      <c r="D13075" s="3" t="n">
        <v>5.589</v>
      </c>
      <c r="E13075" s="1" t="n">
        <f aca="false">LN(D13075)</f>
        <v>1.72080038028756</v>
      </c>
    </row>
    <row r="13076" customFormat="false" ht="15.75" hidden="false" customHeight="false" outlineLevel="0" collapsed="false">
      <c r="A13076" s="3" t="s">
        <v>1302</v>
      </c>
      <c r="B13076" s="7" t="n">
        <v>283.149993896484</v>
      </c>
      <c r="C13076" s="1" t="n">
        <f aca="false">1/B13076</f>
        <v>0.00353169705652753</v>
      </c>
      <c r="D13076" s="3" t="n">
        <v>4.3</v>
      </c>
      <c r="E13076" s="1" t="n">
        <f aca="false">LN(D13076)</f>
        <v>1.45861502269952</v>
      </c>
    </row>
    <row r="13077" customFormat="false" ht="15.75" hidden="false" customHeight="false" outlineLevel="0" collapsed="false">
      <c r="A13077" s="3" t="s">
        <v>1302</v>
      </c>
      <c r="B13077" s="7" t="n">
        <v>293.149993896484</v>
      </c>
      <c r="C13077" s="1" t="n">
        <f aca="false">1/B13077</f>
        <v>0.00341122299444126</v>
      </c>
      <c r="D13077" s="3" t="n">
        <v>3.365</v>
      </c>
      <c r="E13077" s="1" t="n">
        <f aca="false">LN(D13077)</f>
        <v>1.21342796309669</v>
      </c>
    </row>
    <row r="13078" customFormat="false" ht="15.75" hidden="false" customHeight="false" outlineLevel="0" collapsed="false">
      <c r="A13078" s="3" t="s">
        <v>1302</v>
      </c>
      <c r="B13078" s="7" t="n">
        <v>298.149993896484</v>
      </c>
      <c r="C13078" s="1" t="n">
        <f aca="false">1/B13078</f>
        <v>0.00335401650334158</v>
      </c>
      <c r="D13078" s="3" t="n">
        <v>2.901</v>
      </c>
      <c r="E13078" s="1" t="n">
        <f aca="false">LN(D13078)</f>
        <v>1.06505550513927</v>
      </c>
    </row>
    <row r="13079" customFormat="false" ht="15.75" hidden="false" customHeight="false" outlineLevel="0" collapsed="false">
      <c r="A13079" s="3" t="s">
        <v>1302</v>
      </c>
      <c r="B13079" s="7" t="n">
        <v>303.149993896484</v>
      </c>
      <c r="C13079" s="1" t="n">
        <f aca="false">1/B13079</f>
        <v>0.00329869708109401</v>
      </c>
      <c r="D13079" s="3" t="n">
        <v>2.723</v>
      </c>
      <c r="E13079" s="1" t="n">
        <f aca="false">LN(D13079)</f>
        <v>1.00173421369162</v>
      </c>
    </row>
    <row r="13080" customFormat="false" ht="15.75" hidden="false" customHeight="false" outlineLevel="0" collapsed="false">
      <c r="A13080" s="3" t="s">
        <v>1302</v>
      </c>
      <c r="B13080" s="7" t="n">
        <v>308.149993896484</v>
      </c>
      <c r="C13080" s="1" t="n">
        <f aca="false">1/B13080</f>
        <v>0.00324517286972891</v>
      </c>
      <c r="D13080" s="3" t="n">
        <v>2.368</v>
      </c>
      <c r="E13080" s="1" t="n">
        <f aca="false">LN(D13080)</f>
        <v>0.862045717021759</v>
      </c>
    </row>
    <row r="13081" customFormat="false" ht="15.75" hidden="false" customHeight="false" outlineLevel="0" collapsed="false">
      <c r="A13081" s="3" t="s">
        <v>1302</v>
      </c>
      <c r="B13081" s="7" t="n">
        <v>310.950012207031</v>
      </c>
      <c r="C13081" s="1" t="n">
        <f aca="false">1/B13081</f>
        <v>0.00321595099129373</v>
      </c>
      <c r="D13081" s="3" t="n">
        <v>2.31</v>
      </c>
      <c r="E13081" s="1" t="n">
        <f aca="false">LN(D13081)</f>
        <v>0.837247524533702</v>
      </c>
    </row>
    <row r="13082" customFormat="false" ht="15.75" hidden="false" customHeight="false" outlineLevel="0" collapsed="false">
      <c r="A13082" s="3" t="s">
        <v>1302</v>
      </c>
      <c r="B13082" s="7" t="n">
        <v>313.149993896484</v>
      </c>
      <c r="C13082" s="1" t="n">
        <f aca="false">1/B13082</f>
        <v>0.00319335787798407</v>
      </c>
      <c r="D13082" s="3" t="n">
        <v>2.239</v>
      </c>
      <c r="E13082" s="1" t="n">
        <f aca="false">LN(D13082)</f>
        <v>0.806029337616618</v>
      </c>
    </row>
    <row r="13083" customFormat="false" ht="15.75" hidden="false" customHeight="false" outlineLevel="0" collapsed="false">
      <c r="A13083" s="3" t="s">
        <v>1302</v>
      </c>
      <c r="B13083" s="7" t="n">
        <v>323.149993896484</v>
      </c>
      <c r="C13083" s="1" t="n">
        <f aca="false">1/B13083</f>
        <v>0.00309453819863086</v>
      </c>
      <c r="D13083" s="3" t="n">
        <v>1.867</v>
      </c>
      <c r="E13083" s="1" t="n">
        <f aca="false">LN(D13083)</f>
        <v>0.624332864559586</v>
      </c>
    </row>
    <row r="13084" customFormat="false" ht="15.75" hidden="false" customHeight="false" outlineLevel="0" collapsed="false">
      <c r="A13084" s="3" t="s">
        <v>1302</v>
      </c>
      <c r="B13084" s="7" t="n">
        <v>333.149993896484</v>
      </c>
      <c r="C13084" s="1" t="n">
        <f aca="false">1/B13084</f>
        <v>0.00300165096299152</v>
      </c>
      <c r="D13084" s="3" t="n">
        <v>1.5785</v>
      </c>
      <c r="E13084" s="1" t="n">
        <f aca="false">LN(D13084)</f>
        <v>0.456475029015909</v>
      </c>
    </row>
    <row r="13085" customFormat="false" ht="15.75" hidden="false" customHeight="false" outlineLevel="0" collapsed="false">
      <c r="A13085" s="3" t="s">
        <v>1302</v>
      </c>
      <c r="B13085" s="7" t="n">
        <v>343.149993896484</v>
      </c>
      <c r="C13085" s="1" t="n">
        <f aca="false">1/B13085</f>
        <v>0.00291417752524182</v>
      </c>
      <c r="D13085" s="3" t="n">
        <v>1.363</v>
      </c>
      <c r="E13085" s="1" t="n">
        <f aca="false">LN(D13085)</f>
        <v>0.309688152714396</v>
      </c>
    </row>
    <row r="13086" customFormat="false" ht="15.75" hidden="false" customHeight="false" outlineLevel="0" collapsed="false">
      <c r="A13086" s="3" t="s">
        <v>1302</v>
      </c>
      <c r="B13086" s="7" t="n">
        <v>353.149993896484</v>
      </c>
      <c r="C13086" s="1" t="n">
        <f aca="false">1/B13086</f>
        <v>0.00283165798466111</v>
      </c>
      <c r="D13086" s="3" t="n">
        <v>1.188</v>
      </c>
      <c r="E13086" s="1" t="n">
        <f aca="false">LN(D13086)</f>
        <v>0.172271220940453</v>
      </c>
    </row>
    <row r="13087" customFormat="false" ht="15.75" hidden="false" customHeight="false" outlineLevel="0" collapsed="false">
      <c r="A13087" s="3" t="s">
        <v>1302</v>
      </c>
      <c r="B13087" s="7" t="n">
        <v>363.149993896484</v>
      </c>
      <c r="C13087" s="1" t="n">
        <f aca="false">1/B13087</f>
        <v>0.00275368309736238</v>
      </c>
      <c r="D13087" s="3" t="n">
        <v>1.045</v>
      </c>
      <c r="E13087" s="1" t="n">
        <f aca="false">LN(D13087)</f>
        <v>0.0440168854167743</v>
      </c>
    </row>
    <row r="13088" customFormat="false" ht="15.75" hidden="false" customHeight="false" outlineLevel="0" collapsed="false">
      <c r="A13088" s="3" t="s">
        <v>1302</v>
      </c>
      <c r="B13088" s="7" t="n">
        <v>372.149993896484</v>
      </c>
      <c r="C13088" s="1" t="n">
        <f aca="false">1/B13088</f>
        <v>0.00268708858363748</v>
      </c>
      <c r="D13088" s="3" t="n">
        <v>0.916199999999998</v>
      </c>
      <c r="E13088" s="1" t="n">
        <f aca="false">LN(D13088)</f>
        <v>-0.0875205975294975</v>
      </c>
    </row>
    <row r="13089" customFormat="false" ht="15.75" hidden="false" customHeight="false" outlineLevel="0" collapsed="false">
      <c r="A13089" s="3" t="s">
        <v>1302</v>
      </c>
      <c r="B13089" s="7" t="n">
        <v>373.149993896484</v>
      </c>
      <c r="C13089" s="1" t="n">
        <f aca="false">1/B13089</f>
        <v>0.00267988748856153</v>
      </c>
      <c r="D13089" s="3" t="n">
        <v>0.920000000000002</v>
      </c>
      <c r="E13089" s="1" t="n">
        <f aca="false">LN(D13089)</f>
        <v>-0.0833816089390488</v>
      </c>
    </row>
    <row r="13090" customFormat="false" ht="15.75" hidden="false" customHeight="false" outlineLevel="0" collapsed="false">
      <c r="A13090" s="3" t="s">
        <v>1302</v>
      </c>
      <c r="B13090" s="7" t="n">
        <v>383.149993896484</v>
      </c>
      <c r="C13090" s="1" t="n">
        <f aca="false">1/B13090</f>
        <v>0.00260994392778242</v>
      </c>
      <c r="D13090" s="3" t="n">
        <v>0.819000000000001</v>
      </c>
      <c r="E13090" s="1" t="n">
        <f aca="false">LN(D13090)</f>
        <v>-0.199671195129066</v>
      </c>
    </row>
    <row r="13091" customFormat="false" ht="15.75" hidden="false" customHeight="false" outlineLevel="0" collapsed="false">
      <c r="A13091" s="3" t="s">
        <v>1302</v>
      </c>
      <c r="B13091" s="7" t="n">
        <v>393.149993896484</v>
      </c>
      <c r="C13091" s="1" t="n">
        <f aca="false">1/B13091</f>
        <v>0.00254355847774297</v>
      </c>
      <c r="D13091" s="3" t="n">
        <v>0.752</v>
      </c>
      <c r="E13091" s="1" t="n">
        <f aca="false">LN(D13091)</f>
        <v>-0.285018955032297</v>
      </c>
    </row>
    <row r="13092" customFormat="false" ht="15.75" hidden="false" customHeight="false" outlineLevel="0" collapsed="false">
      <c r="A13092" s="3" t="s">
        <v>1302</v>
      </c>
      <c r="B13092" s="7" t="n">
        <v>403.149993896484</v>
      </c>
      <c r="C13092" s="1" t="n">
        <f aca="false">1/B13092</f>
        <v>0.00248046636522279</v>
      </c>
      <c r="D13092" s="3" t="n">
        <v>0.683999999999999</v>
      </c>
      <c r="E13092" s="1" t="n">
        <f aca="false">LN(D13092)</f>
        <v>-0.379797361359588</v>
      </c>
    </row>
    <row r="13093" customFormat="false" ht="15.75" hidden="false" customHeight="false" outlineLevel="0" collapsed="false">
      <c r="A13093" s="3" t="s">
        <v>1302</v>
      </c>
      <c r="B13093" s="7" t="n">
        <v>413.149993896484</v>
      </c>
      <c r="C13093" s="1" t="n">
        <f aca="false">1/B13093</f>
        <v>0.00242042845158689</v>
      </c>
      <c r="D13093" s="3" t="n">
        <v>0.622000000000001</v>
      </c>
      <c r="E13093" s="1" t="n">
        <f aca="false">LN(D13093)</f>
        <v>-0.474815186242956</v>
      </c>
    </row>
    <row r="13094" customFormat="false" ht="15.75" hidden="false" customHeight="false" outlineLevel="0" collapsed="false">
      <c r="A13094" s="3" t="s">
        <v>1302</v>
      </c>
      <c r="B13094" s="7" t="n">
        <v>423.149993896484</v>
      </c>
      <c r="C13094" s="1" t="n">
        <f aca="false">1/B13094</f>
        <v>0.00236322820376699</v>
      </c>
      <c r="D13094" s="3" t="n">
        <v>0.568999999999999</v>
      </c>
      <c r="E13094" s="1" t="n">
        <f aca="false">LN(D13094)</f>
        <v>-0.563874844855808</v>
      </c>
    </row>
    <row r="13095" customFormat="false" ht="15.75" hidden="false" customHeight="false" outlineLevel="0" collapsed="false">
      <c r="A13095" s="3" t="s">
        <v>1302</v>
      </c>
      <c r="B13095" s="7" t="n">
        <v>433.149993896484</v>
      </c>
      <c r="C13095" s="1" t="n">
        <f aca="false">1/B13095</f>
        <v>0.00230866908482281</v>
      </c>
      <c r="D13095" s="3" t="n">
        <v>0.521000000000001</v>
      </c>
      <c r="E13095" s="1" t="n">
        <f aca="false">LN(D13095)</f>
        <v>-0.652005237228768</v>
      </c>
    </row>
    <row r="13096" customFormat="false" ht="15.75" hidden="false" customHeight="false" outlineLevel="0" collapsed="false">
      <c r="A13096" s="3" t="s">
        <v>1302</v>
      </c>
      <c r="B13096" s="7" t="n">
        <v>443.149993896484</v>
      </c>
      <c r="C13096" s="1" t="n">
        <f aca="false">1/B13096</f>
        <v>0.00225657229780667</v>
      </c>
      <c r="D13096" s="3" t="n">
        <v>0.479</v>
      </c>
      <c r="E13096" s="1" t="n">
        <f aca="false">LN(D13096)</f>
        <v>-0.736054681571222</v>
      </c>
    </row>
    <row r="13097" customFormat="false" ht="15.75" hidden="false" customHeight="false" outlineLevel="0" collapsed="false">
      <c r="A13097" s="3" t="s">
        <v>1302</v>
      </c>
      <c r="B13097" s="7" t="n">
        <v>453.149993896484</v>
      </c>
      <c r="C13097" s="1" t="n">
        <f aca="false">1/B13097</f>
        <v>0.00220677482835504</v>
      </c>
      <c r="D13097" s="3" t="n">
        <v>0.439</v>
      </c>
      <c r="E13097" s="1" t="n">
        <f aca="false">LN(D13097)</f>
        <v>-0.823255865906966</v>
      </c>
    </row>
    <row r="13098" customFormat="false" ht="15.75" hidden="false" customHeight="false" outlineLevel="0" collapsed="false">
      <c r="A13098" s="3" t="s">
        <v>176</v>
      </c>
      <c r="B13098" s="7" t="n">
        <v>286.649993896484</v>
      </c>
      <c r="C13098" s="1" t="n">
        <f aca="false">1/B13098</f>
        <v>0.00348857499142708</v>
      </c>
      <c r="D13098" s="3" t="n">
        <v>1.642</v>
      </c>
      <c r="E13098" s="1" t="n">
        <f aca="false">LN(D13098)</f>
        <v>0.495915011030236</v>
      </c>
    </row>
    <row r="13099" customFormat="false" ht="15.75" hidden="false" customHeight="false" outlineLevel="0" collapsed="false">
      <c r="A13099" s="3" t="s">
        <v>1541</v>
      </c>
      <c r="B13099" s="7" t="n">
        <v>286.649993896484</v>
      </c>
      <c r="C13099" s="1" t="n">
        <f aca="false">1/B13099</f>
        <v>0.00348857499142708</v>
      </c>
      <c r="D13099" s="3" t="n">
        <v>1.24</v>
      </c>
      <c r="E13099" s="1" t="n">
        <f aca="false">LN(D13099)</f>
        <v>0.215111379616945</v>
      </c>
    </row>
    <row r="13100" customFormat="false" ht="15.75" hidden="false" customHeight="false" outlineLevel="0" collapsed="false">
      <c r="A13100" s="3" t="s">
        <v>1304</v>
      </c>
      <c r="B13100" s="7" t="n">
        <v>293.149993896484</v>
      </c>
      <c r="C13100" s="1" t="n">
        <f aca="false">1/B13100</f>
        <v>0.00341122299444126</v>
      </c>
      <c r="D13100" s="3" t="n">
        <v>2.56</v>
      </c>
      <c r="E13100" s="1" t="n">
        <f aca="false">LN(D13100)</f>
        <v>0.940007258491471</v>
      </c>
    </row>
    <row r="13101" customFormat="false" ht="15.75" hidden="false" customHeight="false" outlineLevel="0" collapsed="false">
      <c r="A13101" s="3" t="s">
        <v>1304</v>
      </c>
      <c r="B13101" s="7" t="n">
        <v>298.149993896484</v>
      </c>
      <c r="C13101" s="1" t="n">
        <f aca="false">1/B13101</f>
        <v>0.00335401650334158</v>
      </c>
      <c r="D13101" s="3" t="n">
        <v>2.2115</v>
      </c>
      <c r="E13101" s="1" t="n">
        <f aca="false">LN(D13101)</f>
        <v>0.793671018326244</v>
      </c>
    </row>
    <row r="13102" customFormat="false" ht="15.75" hidden="false" customHeight="false" outlineLevel="0" collapsed="false">
      <c r="A13102" s="3" t="s">
        <v>1304</v>
      </c>
      <c r="B13102" s="7" t="n">
        <v>303.149993896484</v>
      </c>
      <c r="C13102" s="1" t="n">
        <f aca="false">1/B13102</f>
        <v>0.00329869708109401</v>
      </c>
      <c r="D13102" s="3" t="n">
        <v>2.05</v>
      </c>
      <c r="E13102" s="1" t="n">
        <f aca="false">LN(D13102)</f>
        <v>0.717839793150317</v>
      </c>
    </row>
    <row r="13103" customFormat="false" ht="15.75" hidden="false" customHeight="false" outlineLevel="0" collapsed="false">
      <c r="A13103" s="3" t="s">
        <v>1304</v>
      </c>
      <c r="B13103" s="7" t="n">
        <v>313.149993896484</v>
      </c>
      <c r="C13103" s="1" t="n">
        <f aca="false">1/B13103</f>
        <v>0.00319335787798407</v>
      </c>
      <c r="D13103" s="3" t="n">
        <v>1.675</v>
      </c>
      <c r="E13103" s="1" t="n">
        <f aca="false">LN(D13103)</f>
        <v>0.51581316527703</v>
      </c>
    </row>
    <row r="13104" customFormat="false" ht="15.75" hidden="false" customHeight="false" outlineLevel="0" collapsed="false">
      <c r="A13104" s="3" t="s">
        <v>1304</v>
      </c>
      <c r="B13104" s="7" t="n">
        <v>323.149993896484</v>
      </c>
      <c r="C13104" s="1" t="n">
        <f aca="false">1/B13104</f>
        <v>0.00309453819863086</v>
      </c>
      <c r="D13104" s="3" t="n">
        <v>1.385</v>
      </c>
      <c r="E13104" s="1" t="n">
        <f aca="false">LN(D13104)</f>
        <v>0.325700139639302</v>
      </c>
    </row>
    <row r="13105" customFormat="false" ht="15.75" hidden="false" customHeight="false" outlineLevel="0" collapsed="false">
      <c r="A13105" s="3" t="s">
        <v>1304</v>
      </c>
      <c r="B13105" s="7" t="n">
        <v>333.149993896484</v>
      </c>
      <c r="C13105" s="1" t="n">
        <f aca="false">1/B13105</f>
        <v>0.00300165096299152</v>
      </c>
      <c r="D13105" s="3" t="n">
        <v>1.169</v>
      </c>
      <c r="E13105" s="1" t="n">
        <f aca="false">LN(D13105)</f>
        <v>0.156148682489931</v>
      </c>
    </row>
    <row r="13106" customFormat="false" ht="15.75" hidden="false" customHeight="false" outlineLevel="0" collapsed="false">
      <c r="A13106" s="3" t="s">
        <v>1304</v>
      </c>
      <c r="B13106" s="7" t="n">
        <v>343.149993896484</v>
      </c>
      <c r="C13106" s="1" t="n">
        <f aca="false">1/B13106</f>
        <v>0.00291417752524182</v>
      </c>
      <c r="D13106" s="3" t="n">
        <v>0.998999999999999</v>
      </c>
      <c r="E13106" s="1" t="n">
        <f aca="false">LN(D13106)</f>
        <v>-0.00100050033358453</v>
      </c>
    </row>
    <row r="13107" customFormat="false" ht="15.75" hidden="false" customHeight="false" outlineLevel="0" collapsed="false">
      <c r="A13107" s="3" t="s">
        <v>1304</v>
      </c>
      <c r="B13107" s="7" t="n">
        <v>353.149993896484</v>
      </c>
      <c r="C13107" s="1" t="n">
        <f aca="false">1/B13107</f>
        <v>0.00283165798466111</v>
      </c>
      <c r="D13107" s="3" t="n">
        <v>0.866000000000002</v>
      </c>
      <c r="E13107" s="1" t="n">
        <f aca="false">LN(D13107)</f>
        <v>-0.1438703704197</v>
      </c>
    </row>
    <row r="13108" customFormat="false" ht="15.75" hidden="false" customHeight="false" outlineLevel="0" collapsed="false">
      <c r="A13108" s="3" t="s">
        <v>1542</v>
      </c>
      <c r="B13108" s="7" t="n">
        <v>286.649993896484</v>
      </c>
      <c r="C13108" s="1" t="n">
        <f aca="false">1/B13108</f>
        <v>0.00348857499142708</v>
      </c>
      <c r="D13108" s="3" t="n">
        <v>1.804</v>
      </c>
      <c r="E13108" s="1" t="n">
        <f aca="false">LN(D13108)</f>
        <v>0.590006421640432</v>
      </c>
    </row>
    <row r="13109" customFormat="false" ht="15.75" hidden="false" customHeight="false" outlineLevel="0" collapsed="false">
      <c r="A13109" s="3" t="s">
        <v>178</v>
      </c>
      <c r="B13109" s="7" t="n">
        <v>286.649993896484</v>
      </c>
      <c r="C13109" s="1" t="n">
        <f aca="false">1/B13109</f>
        <v>0.00348857499142708</v>
      </c>
      <c r="D13109" s="3" t="n">
        <v>0.429</v>
      </c>
      <c r="E13109" s="1" t="n">
        <f aca="false">LN(D13109)</f>
        <v>-0.84629836005412</v>
      </c>
    </row>
    <row r="13110" customFormat="false" ht="15.75" hidden="false" customHeight="false" outlineLevel="0" collapsed="false">
      <c r="A13110" s="3" t="s">
        <v>178</v>
      </c>
      <c r="B13110" s="7" t="n">
        <v>288.149993896484</v>
      </c>
      <c r="C13110" s="1" t="n">
        <f aca="false">1/B13110</f>
        <v>0.00347041478806778</v>
      </c>
      <c r="D13110" s="3" t="n">
        <v>0.364999999999999</v>
      </c>
      <c r="E13110" s="1" t="n">
        <f aca="false">LN(D13110)</f>
        <v>-1.00785792539965</v>
      </c>
    </row>
    <row r="13111" customFormat="false" ht="15.75" hidden="false" customHeight="false" outlineLevel="0" collapsed="false">
      <c r="A13111" s="3" t="s">
        <v>178</v>
      </c>
      <c r="B13111" s="7" t="n">
        <v>303.149993896484</v>
      </c>
      <c r="C13111" s="1" t="n">
        <f aca="false">1/B13111</f>
        <v>0.00329869708109401</v>
      </c>
      <c r="D13111" s="3" t="n">
        <v>0.312</v>
      </c>
      <c r="E13111" s="1" t="n">
        <f aca="false">LN(D13111)</f>
        <v>-1.16475209117265</v>
      </c>
    </row>
    <row r="13112" customFormat="false" ht="15.75" hidden="false" customHeight="false" outlineLevel="0" collapsed="false">
      <c r="A13112" s="3" t="s">
        <v>1306</v>
      </c>
      <c r="B13112" s="7" t="n">
        <v>253.149993896484</v>
      </c>
      <c r="C13112" s="1" t="n">
        <f aca="false">1/B13112</f>
        <v>0.0039502272333015</v>
      </c>
      <c r="D13112" s="3" t="n">
        <v>0.96</v>
      </c>
      <c r="E13112" s="1" t="n">
        <f aca="false">LN(D13112)</f>
        <v>-0.0408219945202552</v>
      </c>
    </row>
    <row r="13113" customFormat="false" ht="15.75" hidden="false" customHeight="false" outlineLevel="0" collapsed="false">
      <c r="A13113" s="3" t="s">
        <v>1306</v>
      </c>
      <c r="B13113" s="7" t="n">
        <v>263.149993896484</v>
      </c>
      <c r="C13113" s="1" t="n">
        <f aca="false">1/B13113</f>
        <v>0.00380011409156016</v>
      </c>
      <c r="D13113" s="3" t="n">
        <v>0.827999999999999</v>
      </c>
      <c r="E13113" s="1" t="n">
        <f aca="false">LN(D13113)</f>
        <v>-0.188742124596879</v>
      </c>
    </row>
    <row r="13114" customFormat="false" ht="15.75" hidden="false" customHeight="false" outlineLevel="0" collapsed="false">
      <c r="A13114" s="3" t="s">
        <v>1306</v>
      </c>
      <c r="B13114" s="7" t="n">
        <v>273.149993896484</v>
      </c>
      <c r="C13114" s="1" t="n">
        <f aca="false">1/B13114</f>
        <v>0.00366099221067152</v>
      </c>
      <c r="D13114" s="3" t="n">
        <v>0.728375</v>
      </c>
      <c r="E13114" s="1" t="n">
        <f aca="false">LN(D13114)</f>
        <v>-0.316939253518899</v>
      </c>
    </row>
    <row r="13115" customFormat="false" ht="15.75" hidden="false" customHeight="false" outlineLevel="0" collapsed="false">
      <c r="A13115" s="3" t="s">
        <v>1306</v>
      </c>
      <c r="B13115" s="7" t="n">
        <v>283.149993896484</v>
      </c>
      <c r="C13115" s="1" t="n">
        <f aca="false">1/B13115</f>
        <v>0.00353169705652753</v>
      </c>
      <c r="D13115" s="3" t="n">
        <v>0.638</v>
      </c>
      <c r="E13115" s="1" t="n">
        <f aca="false">LN(D13115)</f>
        <v>-0.449416995637347</v>
      </c>
    </row>
    <row r="13116" customFormat="false" ht="15.75" hidden="false" customHeight="false" outlineLevel="0" collapsed="false">
      <c r="A13116" s="3" t="s">
        <v>1306</v>
      </c>
      <c r="B13116" s="7" t="n">
        <v>293.149993896484</v>
      </c>
      <c r="C13116" s="1" t="n">
        <f aca="false">1/B13116</f>
        <v>0.00341122299444126</v>
      </c>
      <c r="D13116" s="3" t="n">
        <v>0.567000000000001</v>
      </c>
      <c r="E13116" s="1" t="n">
        <f aca="false">LN(D13116)</f>
        <v>-0.567395975254383</v>
      </c>
    </row>
    <row r="13117" customFormat="false" ht="15.75" hidden="false" customHeight="false" outlineLevel="0" collapsed="false">
      <c r="A13117" s="3" t="s">
        <v>1306</v>
      </c>
      <c r="B13117" s="7" t="n">
        <v>298.149993896484</v>
      </c>
      <c r="C13117" s="1" t="n">
        <f aca="false">1/B13117</f>
        <v>0.00335401650334158</v>
      </c>
      <c r="D13117" s="3" t="n">
        <v>0.535</v>
      </c>
      <c r="E13117" s="1" t="n">
        <f aca="false">LN(D13117)</f>
        <v>-0.62548853208613</v>
      </c>
    </row>
    <row r="13118" customFormat="false" ht="15.75" hidden="false" customHeight="false" outlineLevel="0" collapsed="false">
      <c r="A13118" s="3" t="s">
        <v>1306</v>
      </c>
      <c r="B13118" s="7" t="n">
        <v>303.149993896484</v>
      </c>
      <c r="C13118" s="1" t="n">
        <f aca="false">1/B13118</f>
        <v>0.00329869708109401</v>
      </c>
      <c r="D13118" s="3" t="n">
        <v>0.505999999999999</v>
      </c>
      <c r="E13118" s="1" t="n">
        <f aca="false">LN(D13118)</f>
        <v>-0.681218609694674</v>
      </c>
    </row>
    <row r="13119" customFormat="false" ht="15.75" hidden="false" customHeight="false" outlineLevel="0" collapsed="false">
      <c r="A13119" s="3" t="s">
        <v>1306</v>
      </c>
      <c r="B13119" s="7" t="n">
        <v>313.149993896484</v>
      </c>
      <c r="C13119" s="1" t="n">
        <f aca="false">1/B13119</f>
        <v>0.00319335787798407</v>
      </c>
      <c r="D13119" s="3" t="n">
        <v>0.455666666666667</v>
      </c>
      <c r="E13119" s="1" t="n">
        <f aca="false">LN(D13119)</f>
        <v>-0.785993730926296</v>
      </c>
    </row>
    <row r="13120" customFormat="false" ht="15.75" hidden="false" customHeight="false" outlineLevel="0" collapsed="false">
      <c r="A13120" s="3" t="s">
        <v>1306</v>
      </c>
      <c r="B13120" s="7" t="n">
        <v>323.149993896484</v>
      </c>
      <c r="C13120" s="1" t="n">
        <f aca="false">1/B13120</f>
        <v>0.00309453819863086</v>
      </c>
      <c r="D13120" s="3" t="n">
        <v>0.411333333333332</v>
      </c>
      <c r="E13120" s="1" t="n">
        <f aca="false">LN(D13120)</f>
        <v>-0.888351363184917</v>
      </c>
    </row>
    <row r="13121" customFormat="false" ht="15.75" hidden="false" customHeight="false" outlineLevel="0" collapsed="false">
      <c r="A13121" s="3" t="s">
        <v>1306</v>
      </c>
      <c r="B13121" s="7" t="n">
        <v>333.149993896484</v>
      </c>
      <c r="C13121" s="1" t="n">
        <f aca="false">1/B13121</f>
        <v>0.00300165096299152</v>
      </c>
      <c r="D13121" s="3" t="n">
        <v>0.375000000000001</v>
      </c>
      <c r="E13121" s="1" t="n">
        <f aca="false">LN(D13121)</f>
        <v>-0.980829253011724</v>
      </c>
    </row>
    <row r="13122" customFormat="false" ht="15.75" hidden="false" customHeight="false" outlineLevel="0" collapsed="false">
      <c r="A13122" s="3" t="s">
        <v>1306</v>
      </c>
      <c r="B13122" s="7" t="n">
        <v>343.149993896484</v>
      </c>
      <c r="C13122" s="1" t="n">
        <f aca="false">1/B13122</f>
        <v>0.00291417752524182</v>
      </c>
      <c r="D13122" s="3" t="n">
        <v>0.341999999999999</v>
      </c>
      <c r="E13122" s="1" t="n">
        <f aca="false">LN(D13122)</f>
        <v>-1.07294454191953</v>
      </c>
    </row>
    <row r="13123" customFormat="false" ht="15.75" hidden="false" customHeight="false" outlineLevel="0" collapsed="false">
      <c r="A13123" s="3" t="s">
        <v>1306</v>
      </c>
      <c r="B13123" s="7" t="n">
        <v>353.149993896484</v>
      </c>
      <c r="C13123" s="1" t="n">
        <f aca="false">1/B13123</f>
        <v>0.00283165798466111</v>
      </c>
      <c r="D13123" s="3" t="n">
        <v>0.316250000000001</v>
      </c>
      <c r="E13123" s="1" t="n">
        <f aca="false">LN(D13123)</f>
        <v>-1.1512222389404</v>
      </c>
    </row>
    <row r="13124" customFormat="false" ht="15.75" hidden="false" customHeight="false" outlineLevel="0" collapsed="false">
      <c r="A13124" s="3" t="s">
        <v>1306</v>
      </c>
      <c r="B13124" s="7" t="n">
        <v>363.149993896484</v>
      </c>
      <c r="C13124" s="1" t="n">
        <f aca="false">1/B13124</f>
        <v>0.00275368309736238</v>
      </c>
      <c r="D13124" s="3" t="n">
        <v>0.29</v>
      </c>
      <c r="E13124" s="1" t="n">
        <f aca="false">LN(D13124)</f>
        <v>-1.23787435600162</v>
      </c>
    </row>
    <row r="13125" customFormat="false" ht="15.75" hidden="false" customHeight="false" outlineLevel="0" collapsed="false">
      <c r="A13125" s="3" t="s">
        <v>1306</v>
      </c>
      <c r="B13125" s="7" t="n">
        <v>373.149993896484</v>
      </c>
      <c r="C13125" s="1" t="n">
        <f aca="false">1/B13125</f>
        <v>0.00267988748856153</v>
      </c>
      <c r="D13125" s="3" t="n">
        <v>0.26925</v>
      </c>
      <c r="E13125" s="1" t="n">
        <f aca="false">LN(D13125)</f>
        <v>-1.31211496294564</v>
      </c>
    </row>
    <row r="13126" customFormat="false" ht="15.75" hidden="false" customHeight="false" outlineLevel="0" collapsed="false">
      <c r="A13126" s="3" t="s">
        <v>1308</v>
      </c>
      <c r="B13126" s="7" t="n">
        <v>273.149993896484</v>
      </c>
      <c r="C13126" s="1" t="n">
        <f aca="false">1/B13126</f>
        <v>0.00366099221067152</v>
      </c>
      <c r="D13126" s="3" t="n">
        <v>2.239</v>
      </c>
      <c r="E13126" s="1" t="n">
        <f aca="false">LN(D13126)</f>
        <v>0.806029337616618</v>
      </c>
    </row>
    <row r="13127" customFormat="false" ht="15.75" hidden="false" customHeight="false" outlineLevel="0" collapsed="false">
      <c r="A13127" s="3" t="s">
        <v>1308</v>
      </c>
      <c r="B13127" s="7" t="n">
        <v>293.149993896484</v>
      </c>
      <c r="C13127" s="1" t="n">
        <f aca="false">1/B13127</f>
        <v>0.00341122299444126</v>
      </c>
      <c r="D13127" s="3" t="n">
        <v>1.493</v>
      </c>
      <c r="E13127" s="1" t="n">
        <f aca="false">LN(D13127)</f>
        <v>0.400787518557053</v>
      </c>
    </row>
    <row r="13128" customFormat="false" ht="15.75" hidden="false" customHeight="false" outlineLevel="0" collapsed="false">
      <c r="A13128" s="3" t="s">
        <v>1308</v>
      </c>
      <c r="B13128" s="7" t="n">
        <v>323.149993896484</v>
      </c>
      <c r="C13128" s="1" t="n">
        <f aca="false">1/B13128</f>
        <v>0.00309453819863086</v>
      </c>
      <c r="D13128" s="3" t="n">
        <v>0.918499999999999</v>
      </c>
      <c r="E13128" s="1" t="n">
        <f aca="false">LN(D13128)</f>
        <v>-0.0850133743269578</v>
      </c>
    </row>
    <row r="13129" customFormat="false" ht="15.75" hidden="false" customHeight="false" outlineLevel="0" collapsed="false">
      <c r="A13129" s="3" t="s">
        <v>1308</v>
      </c>
      <c r="B13129" s="7" t="n">
        <v>353.149993896484</v>
      </c>
      <c r="C13129" s="1" t="n">
        <f aca="false">1/B13129</f>
        <v>0.00283165798466111</v>
      </c>
      <c r="D13129" s="3" t="n">
        <v>0.663499999999999</v>
      </c>
      <c r="E13129" s="1" t="n">
        <f aca="false">LN(D13129)</f>
        <v>-0.410226425209876</v>
      </c>
    </row>
    <row r="13130" customFormat="false" ht="15.75" hidden="false" customHeight="false" outlineLevel="0" collapsed="false">
      <c r="A13130" s="3" t="s">
        <v>1308</v>
      </c>
      <c r="B13130" s="7" t="n">
        <v>373.149993896484</v>
      </c>
      <c r="C13130" s="1" t="n">
        <f aca="false">1/B13130</f>
        <v>0.00267988748856153</v>
      </c>
      <c r="D13130" s="3" t="n">
        <v>0.541999999999999</v>
      </c>
      <c r="E13130" s="1" t="n">
        <f aca="false">LN(D13130)</f>
        <v>-0.612489277542493</v>
      </c>
    </row>
    <row r="13131" customFormat="false" ht="15.75" hidden="false" customHeight="false" outlineLevel="0" collapsed="false">
      <c r="A13131" s="3" t="s">
        <v>1543</v>
      </c>
      <c r="B13131" s="7" t="n">
        <v>293.149993896484</v>
      </c>
      <c r="C13131" s="1" t="n">
        <f aca="false">1/B13131</f>
        <v>0.00341122299444126</v>
      </c>
      <c r="D13131" s="3" t="n">
        <v>1.82</v>
      </c>
      <c r="E13131" s="1" t="n">
        <f aca="false">LN(D13131)</f>
        <v>0.598836501088704</v>
      </c>
    </row>
    <row r="13132" customFormat="false" ht="15.75" hidden="false" customHeight="false" outlineLevel="0" collapsed="false">
      <c r="A13132" s="3" t="s">
        <v>1543</v>
      </c>
      <c r="B13132" s="7" t="n">
        <v>303.149993896484</v>
      </c>
      <c r="C13132" s="1" t="n">
        <f aca="false">1/B13132</f>
        <v>0.00329869708109401</v>
      </c>
      <c r="D13132" s="3" t="n">
        <v>1.51</v>
      </c>
      <c r="E13132" s="1" t="n">
        <f aca="false">LN(D13132)</f>
        <v>0.412109650826833</v>
      </c>
    </row>
    <row r="13133" customFormat="false" ht="15.75" hidden="false" customHeight="false" outlineLevel="0" collapsed="false">
      <c r="A13133" s="3" t="s">
        <v>180</v>
      </c>
      <c r="B13133" s="7" t="n">
        <v>273.149993896484</v>
      </c>
      <c r="C13133" s="1" t="n">
        <f aca="false">1/B13133</f>
        <v>0.00366099221067152</v>
      </c>
      <c r="D13133" s="3" t="n">
        <v>0.920000000000002</v>
      </c>
      <c r="E13133" s="1" t="n">
        <f aca="false">LN(D13133)</f>
        <v>-0.0833816089390488</v>
      </c>
    </row>
    <row r="13134" customFormat="false" ht="15.75" hidden="false" customHeight="false" outlineLevel="0" collapsed="false">
      <c r="A13134" s="3" t="s">
        <v>180</v>
      </c>
      <c r="B13134" s="7" t="n">
        <v>293.149993896484</v>
      </c>
      <c r="C13134" s="1" t="n">
        <f aca="false">1/B13134</f>
        <v>0.00341122299444126</v>
      </c>
      <c r="D13134" s="3" t="n">
        <v>0.706</v>
      </c>
      <c r="E13134" s="1" t="n">
        <f aca="false">LN(D13134)</f>
        <v>-0.348140041488895</v>
      </c>
    </row>
    <row r="13135" customFormat="false" ht="15.75" hidden="false" customHeight="false" outlineLevel="0" collapsed="false">
      <c r="A13135" s="3" t="s">
        <v>180</v>
      </c>
      <c r="B13135" s="7" t="n">
        <v>313.149993896484</v>
      </c>
      <c r="C13135" s="1" t="n">
        <f aca="false">1/B13135</f>
        <v>0.00319335787798407</v>
      </c>
      <c r="D13135" s="3" t="n">
        <v>0.558999999999999</v>
      </c>
      <c r="E13135" s="1" t="n">
        <f aca="false">LN(D13135)</f>
        <v>-0.58160580582704</v>
      </c>
    </row>
    <row r="13136" customFormat="false" ht="15.75" hidden="false" customHeight="false" outlineLevel="0" collapsed="false">
      <c r="A13136" s="3" t="s">
        <v>1310</v>
      </c>
      <c r="B13136" s="7" t="n">
        <v>253.149993896484</v>
      </c>
      <c r="C13136" s="1" t="n">
        <f aca="false">1/B13136</f>
        <v>0.0039502272333015</v>
      </c>
      <c r="D13136" s="3" t="n">
        <v>2.93</v>
      </c>
      <c r="E13136" s="1" t="n">
        <f aca="false">LN(D13136)</f>
        <v>1.07500242302898</v>
      </c>
    </row>
    <row r="13137" customFormat="false" ht="15.75" hidden="false" customHeight="false" outlineLevel="0" collapsed="false">
      <c r="A13137" s="3" t="s">
        <v>1310</v>
      </c>
      <c r="B13137" s="7" t="n">
        <v>263.149993896484</v>
      </c>
      <c r="C13137" s="1" t="n">
        <f aca="false">1/B13137</f>
        <v>0.00380011409156016</v>
      </c>
      <c r="D13137" s="3" t="n">
        <v>2.343</v>
      </c>
      <c r="E13137" s="1" t="n">
        <f aca="false">LN(D13137)</f>
        <v>0.851432159525658</v>
      </c>
    </row>
    <row r="13138" customFormat="false" ht="15.75" hidden="false" customHeight="false" outlineLevel="0" collapsed="false">
      <c r="A13138" s="3" t="s">
        <v>1310</v>
      </c>
      <c r="B13138" s="7" t="n">
        <v>273.149993896484</v>
      </c>
      <c r="C13138" s="1" t="n">
        <f aca="false">1/B13138</f>
        <v>0.00366099221067152</v>
      </c>
      <c r="D13138" s="3" t="n">
        <v>1.904</v>
      </c>
      <c r="E13138" s="1" t="n">
        <f aca="false">LN(D13138)</f>
        <v>0.643956936369174</v>
      </c>
    </row>
    <row r="13139" customFormat="false" ht="15.75" hidden="false" customHeight="false" outlineLevel="0" collapsed="false">
      <c r="A13139" s="3" t="s">
        <v>1310</v>
      </c>
      <c r="B13139" s="7" t="n">
        <v>283.149993896484</v>
      </c>
      <c r="C13139" s="1" t="n">
        <f aca="false">1/B13139</f>
        <v>0.00353169705652753</v>
      </c>
      <c r="D13139" s="3" t="n">
        <v>1.569</v>
      </c>
      <c r="E13139" s="1" t="n">
        <f aca="false">LN(D13139)</f>
        <v>0.450438473750896</v>
      </c>
    </row>
    <row r="13140" customFormat="false" ht="15.75" hidden="false" customHeight="false" outlineLevel="0" collapsed="false">
      <c r="A13140" s="3" t="s">
        <v>1310</v>
      </c>
      <c r="B13140" s="7" t="n">
        <v>293.149993896484</v>
      </c>
      <c r="C13140" s="1" t="n">
        <f aca="false">1/B13140</f>
        <v>0.00341122299444126</v>
      </c>
      <c r="D13140" s="3" t="n">
        <v>1.31</v>
      </c>
      <c r="E13140" s="1" t="n">
        <f aca="false">LN(D13140)</f>
        <v>0.27002713721306</v>
      </c>
    </row>
    <row r="13141" customFormat="false" ht="15.75" hidden="false" customHeight="false" outlineLevel="0" collapsed="false">
      <c r="A13141" s="3" t="s">
        <v>1310</v>
      </c>
      <c r="B13141" s="7" t="n">
        <v>298.149993896484</v>
      </c>
      <c r="C13141" s="1" t="n">
        <f aca="false">1/B13141</f>
        <v>0.00335401650334158</v>
      </c>
      <c r="D13141" s="3" t="n">
        <v>1.204</v>
      </c>
      <c r="E13141" s="1" t="n">
        <f aca="false">LN(D13141)</f>
        <v>0.185649346886629</v>
      </c>
    </row>
    <row r="13142" customFormat="false" ht="15.75" hidden="false" customHeight="false" outlineLevel="0" collapsed="false">
      <c r="A13142" s="3" t="s">
        <v>1310</v>
      </c>
      <c r="B13142" s="7" t="n">
        <v>303.149993896484</v>
      </c>
      <c r="C13142" s="1" t="n">
        <f aca="false">1/B13142</f>
        <v>0.00329869708109401</v>
      </c>
      <c r="D13142" s="3" t="n">
        <v>1.11</v>
      </c>
      <c r="E13142" s="1" t="n">
        <f aca="false">LN(D13142)</f>
        <v>0.104360015324243</v>
      </c>
    </row>
    <row r="13143" customFormat="false" ht="15.75" hidden="false" customHeight="false" outlineLevel="0" collapsed="false">
      <c r="A13143" s="3" t="s">
        <v>1310</v>
      </c>
      <c r="B13143" s="7" t="n">
        <v>313.149993896484</v>
      </c>
      <c r="C13143" s="1" t="n">
        <f aca="false">1/B13143</f>
        <v>0.00319335787798407</v>
      </c>
      <c r="D13143" s="3" t="n">
        <v>0.952999999999999</v>
      </c>
      <c r="E13143" s="1" t="n">
        <f aca="false">LN(D13143)</f>
        <v>-0.048140375327936</v>
      </c>
    </row>
    <row r="13144" customFormat="false" ht="15.75" hidden="false" customHeight="false" outlineLevel="0" collapsed="false">
      <c r="A13144" s="3" t="s">
        <v>1310</v>
      </c>
      <c r="B13144" s="7" t="n">
        <v>323.149993896484</v>
      </c>
      <c r="C13144" s="1" t="n">
        <f aca="false">1/B13144</f>
        <v>0.00309453819863086</v>
      </c>
      <c r="D13144" s="3" t="n">
        <v>0.827999999999999</v>
      </c>
      <c r="E13144" s="1" t="n">
        <f aca="false">LN(D13144)</f>
        <v>-0.188742124596879</v>
      </c>
    </row>
    <row r="13145" customFormat="false" ht="15.75" hidden="false" customHeight="false" outlineLevel="0" collapsed="false">
      <c r="A13145" s="3" t="s">
        <v>1310</v>
      </c>
      <c r="B13145" s="7" t="n">
        <v>333.149993896484</v>
      </c>
      <c r="C13145" s="1" t="n">
        <f aca="false">1/B13145</f>
        <v>0.00300165096299152</v>
      </c>
      <c r="D13145" s="3" t="n">
        <v>0.733000000000001</v>
      </c>
      <c r="E13145" s="1" t="n">
        <f aca="false">LN(D13145)</f>
        <v>-0.310609577095484</v>
      </c>
    </row>
    <row r="13146" customFormat="false" ht="15.75" hidden="false" customHeight="false" outlineLevel="0" collapsed="false">
      <c r="A13146" s="3" t="s">
        <v>1310</v>
      </c>
      <c r="B13146" s="7" t="n">
        <v>343.149993896484</v>
      </c>
      <c r="C13146" s="1" t="n">
        <f aca="false">1/B13146</f>
        <v>0.00291417752524182</v>
      </c>
      <c r="D13146" s="3" t="n">
        <v>0.657</v>
      </c>
      <c r="E13146" s="1" t="n">
        <f aca="false">LN(D13146)</f>
        <v>-0.420071260497527</v>
      </c>
    </row>
    <row r="13147" customFormat="false" ht="15.75" hidden="false" customHeight="false" outlineLevel="0" collapsed="false">
      <c r="A13147" s="3" t="s">
        <v>1310</v>
      </c>
      <c r="B13147" s="7" t="n">
        <v>353.149993896484</v>
      </c>
      <c r="C13147" s="1" t="n">
        <f aca="false">1/B13147</f>
        <v>0.00283165798466111</v>
      </c>
      <c r="D13147" s="3" t="n">
        <v>0.599</v>
      </c>
      <c r="E13147" s="1" t="n">
        <f aca="false">LN(D13147)</f>
        <v>-0.512493680866688</v>
      </c>
    </row>
    <row r="13148" customFormat="false" ht="15.75" hidden="false" customHeight="false" outlineLevel="0" collapsed="false">
      <c r="A13148" s="3" t="s">
        <v>1310</v>
      </c>
      <c r="B13148" s="7" t="n">
        <v>363.149993896484</v>
      </c>
      <c r="C13148" s="1" t="n">
        <f aca="false">1/B13148</f>
        <v>0.00275368309736238</v>
      </c>
      <c r="D13148" s="3" t="n">
        <v>0.549</v>
      </c>
      <c r="E13148" s="1" t="n">
        <f aca="false">LN(D13148)</f>
        <v>-0.599656837472606</v>
      </c>
    </row>
    <row r="13149" customFormat="false" ht="15.75" hidden="false" customHeight="false" outlineLevel="0" collapsed="false">
      <c r="A13149" s="3" t="s">
        <v>1310</v>
      </c>
      <c r="B13149" s="7" t="n">
        <v>373.149993896484</v>
      </c>
      <c r="C13149" s="1" t="n">
        <f aca="false">1/B13149</f>
        <v>0.00267988748856153</v>
      </c>
      <c r="D13149" s="3" t="n">
        <v>0.509000000000001</v>
      </c>
      <c r="E13149" s="1" t="n">
        <f aca="false">LN(D13149)</f>
        <v>-0.675307262431612</v>
      </c>
    </row>
    <row r="13150" customFormat="false" ht="15.75" hidden="false" customHeight="false" outlineLevel="0" collapsed="false">
      <c r="A13150" s="3" t="s">
        <v>1310</v>
      </c>
      <c r="B13150" s="7" t="n">
        <v>383.149993896484</v>
      </c>
      <c r="C13150" s="1" t="n">
        <f aca="false">1/B13150</f>
        <v>0.00260994392778242</v>
      </c>
      <c r="D13150" s="3" t="n">
        <v>0.469000000000001</v>
      </c>
      <c r="E13150" s="1" t="n">
        <f aca="false">LN(D13150)</f>
        <v>-0.757152510535856</v>
      </c>
    </row>
    <row r="13151" customFormat="false" ht="15.75" hidden="false" customHeight="false" outlineLevel="0" collapsed="false">
      <c r="A13151" s="3" t="s">
        <v>182</v>
      </c>
      <c r="B13151" s="7" t="n">
        <v>273.149993896484</v>
      </c>
      <c r="C13151" s="1" t="n">
        <f aca="false">1/B13151</f>
        <v>0.00366099221067152</v>
      </c>
      <c r="D13151" s="3" t="n">
        <v>1.41</v>
      </c>
      <c r="E13151" s="1" t="n">
        <f aca="false">LN(D13151)</f>
        <v>0.343589704390077</v>
      </c>
    </row>
    <row r="13152" customFormat="false" ht="15.75" hidden="false" customHeight="false" outlineLevel="0" collapsed="false">
      <c r="A13152" s="3" t="s">
        <v>182</v>
      </c>
      <c r="B13152" s="7" t="n">
        <v>293.149993896484</v>
      </c>
      <c r="C13152" s="1" t="n">
        <f aca="false">1/B13152</f>
        <v>0.00341122299444126</v>
      </c>
      <c r="D13152" s="3" t="n">
        <v>1.005</v>
      </c>
      <c r="E13152" s="1" t="n">
        <f aca="false">LN(D13152)</f>
        <v>0.00498754151103897</v>
      </c>
    </row>
    <row r="13153" customFormat="false" ht="15.75" hidden="false" customHeight="false" outlineLevel="0" collapsed="false">
      <c r="A13153" s="3" t="s">
        <v>182</v>
      </c>
      <c r="B13153" s="7" t="n">
        <v>313.149993896484</v>
      </c>
      <c r="C13153" s="1" t="n">
        <f aca="false">1/B13153</f>
        <v>0.00319335787798407</v>
      </c>
      <c r="D13153" s="3" t="n">
        <v>0.759</v>
      </c>
      <c r="E13153" s="1" t="n">
        <f aca="false">LN(D13153)</f>
        <v>-0.275753501586507</v>
      </c>
    </row>
    <row r="13154" customFormat="false" ht="15.75" hidden="false" customHeight="false" outlineLevel="0" collapsed="false">
      <c r="A13154" s="3" t="s">
        <v>184</v>
      </c>
      <c r="B13154" s="7" t="n">
        <v>403.149993896484</v>
      </c>
      <c r="C13154" s="1" t="n">
        <f aca="false">1/B13154</f>
        <v>0.00248046636522279</v>
      </c>
      <c r="D13154" s="3" t="n">
        <v>1.295</v>
      </c>
      <c r="E13154" s="1" t="n">
        <f aca="false">LN(D13154)</f>
        <v>0.258510695151501</v>
      </c>
    </row>
    <row r="13155" customFormat="false" ht="15.75" hidden="false" customHeight="false" outlineLevel="0" collapsed="false">
      <c r="A13155" s="3" t="s">
        <v>184</v>
      </c>
      <c r="B13155" s="7" t="n">
        <v>453.149993896484</v>
      </c>
      <c r="C13155" s="1" t="n">
        <f aca="false">1/B13155</f>
        <v>0.00220677482835504</v>
      </c>
      <c r="D13155" s="3" t="n">
        <v>0.774</v>
      </c>
      <c r="E13155" s="1" t="n">
        <f aca="false">LN(D13155)</f>
        <v>-0.25618340539241</v>
      </c>
    </row>
    <row r="13156" customFormat="false" ht="15.75" hidden="false" customHeight="false" outlineLevel="0" collapsed="false">
      <c r="A13156" s="3" t="s">
        <v>184</v>
      </c>
      <c r="B13156" s="7" t="n">
        <v>513.150024414063</v>
      </c>
      <c r="C13156" s="1" t="n">
        <f aca="false">1/B13156</f>
        <v>0.00194874783674003</v>
      </c>
      <c r="D13156" s="3" t="n">
        <v>0.487</v>
      </c>
      <c r="E13156" s="1" t="n">
        <f aca="false">LN(D13156)</f>
        <v>-0.719491155899547</v>
      </c>
    </row>
    <row r="13157" customFormat="false" ht="15.75" hidden="false" customHeight="false" outlineLevel="0" collapsed="false">
      <c r="A13157" s="3" t="s">
        <v>184</v>
      </c>
      <c r="B13157" s="7" t="n">
        <v>573.150024414062</v>
      </c>
      <c r="C13157" s="1" t="n">
        <f aca="false">1/B13157</f>
        <v>0.00174474388450443</v>
      </c>
      <c r="D13157" s="3" t="n">
        <v>0.337</v>
      </c>
      <c r="E13157" s="1" t="n">
        <f aca="false">LN(D13157)</f>
        <v>-1.08767234862978</v>
      </c>
    </row>
    <row r="13158" customFormat="false" ht="15.75" hidden="false" customHeight="false" outlineLevel="0" collapsed="false">
      <c r="A13158" s="3" t="s">
        <v>186</v>
      </c>
      <c r="B13158" s="7" t="n">
        <v>273.149993896484</v>
      </c>
      <c r="C13158" s="1" t="n">
        <f aca="false">1/B13158</f>
        <v>0.00366099221067152</v>
      </c>
      <c r="D13158" s="3" t="n">
        <v>1.111</v>
      </c>
      <c r="E13158" s="1" t="n">
        <f aca="false">LN(D13158)</f>
        <v>0.105260510657493</v>
      </c>
    </row>
    <row r="13159" customFormat="false" ht="15.75" hidden="false" customHeight="false" outlineLevel="0" collapsed="false">
      <c r="A13159" s="3" t="s">
        <v>186</v>
      </c>
      <c r="B13159" s="7" t="n">
        <v>293.149993896484</v>
      </c>
      <c r="C13159" s="1" t="n">
        <f aca="false">1/B13159</f>
        <v>0.00341122299444126</v>
      </c>
      <c r="D13159" s="3" t="n">
        <v>0.817</v>
      </c>
      <c r="E13159" s="1" t="n">
        <f aca="false">LN(D13159)</f>
        <v>-0.202116184122134</v>
      </c>
    </row>
    <row r="13160" customFormat="false" ht="15.75" hidden="false" customHeight="false" outlineLevel="0" collapsed="false">
      <c r="A13160" s="3" t="s">
        <v>186</v>
      </c>
      <c r="B13160" s="7" t="n">
        <v>313.149993896484</v>
      </c>
      <c r="C13160" s="1" t="n">
        <f aca="false">1/B13160</f>
        <v>0.00319335787798407</v>
      </c>
      <c r="D13160" s="3" t="n">
        <v>0.627</v>
      </c>
      <c r="E13160" s="1" t="n">
        <f aca="false">LN(D13160)</f>
        <v>-0.466808738349216</v>
      </c>
    </row>
    <row r="13161" customFormat="false" ht="15.75" hidden="false" customHeight="false" outlineLevel="0" collapsed="false">
      <c r="A13161" s="3" t="s">
        <v>1312</v>
      </c>
      <c r="B13161" s="7" t="n">
        <v>273.149993896484</v>
      </c>
      <c r="C13161" s="1" t="n">
        <f aca="false">1/B13161</f>
        <v>0.00366099221067152</v>
      </c>
      <c r="D13161" s="3" t="n">
        <v>0.830999999999999</v>
      </c>
      <c r="E13161" s="1" t="n">
        <f aca="false">LN(D13161)</f>
        <v>-0.18512548412669</v>
      </c>
    </row>
    <row r="13162" customFormat="false" ht="15.75" hidden="false" customHeight="false" outlineLevel="0" collapsed="false">
      <c r="A13162" s="3" t="s">
        <v>1312</v>
      </c>
      <c r="B13162" s="7" t="n">
        <v>288.149993896484</v>
      </c>
      <c r="C13162" s="1" t="n">
        <f aca="false">1/B13162</f>
        <v>0.00347041478806778</v>
      </c>
      <c r="D13162" s="3" t="n">
        <v>0.664999999999999</v>
      </c>
      <c r="E13162" s="1" t="n">
        <f aca="false">LN(D13162)</f>
        <v>-0.407968238326284</v>
      </c>
    </row>
    <row r="13163" customFormat="false" ht="15.75" hidden="false" customHeight="false" outlineLevel="0" collapsed="false">
      <c r="A13163" s="3" t="s">
        <v>1312</v>
      </c>
      <c r="B13163" s="7" t="n">
        <v>293.149993896484</v>
      </c>
      <c r="C13163" s="1" t="n">
        <f aca="false">1/B13163</f>
        <v>0.00341122299444126</v>
      </c>
      <c r="D13163" s="3" t="n">
        <v>0.631000000000001</v>
      </c>
      <c r="E13163" s="1" t="n">
        <f aca="false">LN(D13163)</f>
        <v>-0.460449416440922</v>
      </c>
    </row>
    <row r="13164" customFormat="false" ht="15.75" hidden="false" customHeight="false" outlineLevel="0" collapsed="false">
      <c r="A13164" s="3" t="s">
        <v>1312</v>
      </c>
      <c r="B13164" s="7" t="n">
        <v>303.149993896484</v>
      </c>
      <c r="C13164" s="1" t="n">
        <f aca="false">1/B13164</f>
        <v>0.00329869708109401</v>
      </c>
      <c r="D13164" s="3" t="n">
        <v>0.556</v>
      </c>
      <c r="E13164" s="1" t="n">
        <f aca="false">LN(D13164)</f>
        <v>-0.586986984731555</v>
      </c>
    </row>
    <row r="13165" customFormat="false" ht="15.75" hidden="false" customHeight="false" outlineLevel="0" collapsed="false">
      <c r="A13165" s="3" t="s">
        <v>1312</v>
      </c>
      <c r="B13165" s="7" t="n">
        <v>313.149993896484</v>
      </c>
      <c r="C13165" s="1" t="n">
        <f aca="false">1/B13165</f>
        <v>0.00319335787798407</v>
      </c>
      <c r="D13165" s="3" t="n">
        <v>0.499999999999999</v>
      </c>
      <c r="E13165" s="1" t="n">
        <f aca="false">LN(D13165)</f>
        <v>-0.693147180559947</v>
      </c>
    </row>
    <row r="13166" customFormat="false" ht="15.75" hidden="false" customHeight="false" outlineLevel="0" collapsed="false">
      <c r="A13166" s="3" t="s">
        <v>1314</v>
      </c>
      <c r="B13166" s="7" t="n">
        <v>273.149993896484</v>
      </c>
      <c r="C13166" s="1" t="n">
        <f aca="false">1/B13166</f>
        <v>0.00366099221067152</v>
      </c>
      <c r="D13166" s="3" t="n">
        <v>0.951</v>
      </c>
      <c r="E13166" s="1" t="n">
        <f aca="false">LN(D13166)</f>
        <v>-0.0502412164367468</v>
      </c>
    </row>
    <row r="13167" customFormat="false" ht="15.75" hidden="false" customHeight="false" outlineLevel="0" collapsed="false">
      <c r="A13167" s="3" t="s">
        <v>1314</v>
      </c>
      <c r="B13167" s="7" t="n">
        <v>288.149993896484</v>
      </c>
      <c r="C13167" s="1" t="n">
        <f aca="false">1/B13167</f>
        <v>0.00347041478806778</v>
      </c>
      <c r="D13167" s="3" t="n">
        <v>0.749</v>
      </c>
      <c r="E13167" s="1" t="n">
        <f aca="false">LN(D13167)</f>
        <v>-0.289016295464918</v>
      </c>
    </row>
    <row r="13168" customFormat="false" ht="15.75" hidden="false" customHeight="false" outlineLevel="0" collapsed="false">
      <c r="A13168" s="3" t="s">
        <v>1314</v>
      </c>
      <c r="B13168" s="7" t="n">
        <v>293.149993896484</v>
      </c>
      <c r="C13168" s="1" t="n">
        <f aca="false">1/B13168</f>
        <v>0.00341122299444126</v>
      </c>
      <c r="D13168" s="3" t="n">
        <v>0.706</v>
      </c>
      <c r="E13168" s="1" t="n">
        <f aca="false">LN(D13168)</f>
        <v>-0.348140041488895</v>
      </c>
    </row>
    <row r="13169" customFormat="false" ht="15.75" hidden="false" customHeight="false" outlineLevel="0" collapsed="false">
      <c r="A13169" s="3" t="s">
        <v>1314</v>
      </c>
      <c r="B13169" s="7" t="n">
        <v>303.149993896484</v>
      </c>
      <c r="C13169" s="1" t="n">
        <f aca="false">1/B13169</f>
        <v>0.00329869708109401</v>
      </c>
      <c r="D13169" s="3" t="n">
        <v>0.614000000000001</v>
      </c>
      <c r="E13169" s="1" t="n">
        <f aca="false">LN(D13169)</f>
        <v>-0.487760350834993</v>
      </c>
    </row>
    <row r="13170" customFormat="false" ht="15.75" hidden="false" customHeight="false" outlineLevel="0" collapsed="false">
      <c r="A13170" s="3" t="s">
        <v>1314</v>
      </c>
      <c r="B13170" s="7" t="n">
        <v>313.149993896484</v>
      </c>
      <c r="C13170" s="1" t="n">
        <f aca="false">1/B13170</f>
        <v>0.00319335787798407</v>
      </c>
      <c r="D13170" s="3" t="n">
        <v>0.547000000000001</v>
      </c>
      <c r="E13170" s="1" t="n">
        <f aca="false">LN(D13170)</f>
        <v>-0.603306476560154</v>
      </c>
    </row>
    <row r="13171" customFormat="false" ht="15.75" hidden="false" customHeight="false" outlineLevel="0" collapsed="false">
      <c r="A13171" s="3" t="s">
        <v>188</v>
      </c>
      <c r="B13171" s="7" t="n">
        <v>301.799987792969</v>
      </c>
      <c r="C13171" s="1" t="n">
        <f aca="false">1/B13171</f>
        <v>0.00331345275164818</v>
      </c>
      <c r="D13171" s="3" t="n">
        <v>4.93999999999999</v>
      </c>
      <c r="E13171" s="1" t="n">
        <f aca="false">LN(D13171)</f>
        <v>1.59736533119983</v>
      </c>
    </row>
    <row r="13172" customFormat="false" ht="15.75" hidden="false" customHeight="false" outlineLevel="0" collapsed="false">
      <c r="A13172" s="3" t="s">
        <v>1544</v>
      </c>
      <c r="B13172" s="7" t="n">
        <v>273.149993896484</v>
      </c>
      <c r="C13172" s="1" t="n">
        <f aca="false">1/B13172</f>
        <v>0.00366099221067152</v>
      </c>
      <c r="D13172" s="3" t="n">
        <v>2.5566</v>
      </c>
      <c r="E13172" s="1" t="n">
        <f aca="false">LN(D13172)</f>
        <v>0.938678250751784</v>
      </c>
    </row>
    <row r="13173" customFormat="false" ht="15.75" hidden="false" customHeight="false" outlineLevel="0" collapsed="false">
      <c r="A13173" s="3" t="s">
        <v>1544</v>
      </c>
      <c r="B13173" s="7" t="n">
        <v>293.149993896484</v>
      </c>
      <c r="C13173" s="1" t="n">
        <f aca="false">1/B13173</f>
        <v>0.00341122299444126</v>
      </c>
      <c r="D13173" s="3" t="n">
        <v>1.66675</v>
      </c>
      <c r="E13173" s="1" t="n">
        <f aca="false">LN(D13173)</f>
        <v>0.510875622516032</v>
      </c>
    </row>
    <row r="13174" customFormat="false" ht="15.75" hidden="false" customHeight="false" outlineLevel="0" collapsed="false">
      <c r="A13174" s="3" t="s">
        <v>1544</v>
      </c>
      <c r="B13174" s="7" t="n">
        <v>333.149993896484</v>
      </c>
      <c r="C13174" s="1" t="n">
        <f aca="false">1/B13174</f>
        <v>0.00300165096299152</v>
      </c>
      <c r="D13174" s="3" t="n">
        <v>0.879560000000002</v>
      </c>
      <c r="E13174" s="1" t="n">
        <f aca="false">LN(D13174)</f>
        <v>-0.128333496551565</v>
      </c>
    </row>
    <row r="13175" customFormat="false" ht="15.75" hidden="false" customHeight="false" outlineLevel="0" collapsed="false">
      <c r="A13175" s="3" t="s">
        <v>1545</v>
      </c>
      <c r="B13175" s="7" t="n">
        <v>293.149993896484</v>
      </c>
      <c r="C13175" s="1" t="n">
        <f aca="false">1/B13175</f>
        <v>0.00341122299444126</v>
      </c>
      <c r="D13175" s="3" t="n">
        <v>1.054</v>
      </c>
      <c r="E13175" s="1" t="n">
        <f aca="false">LN(D13175)</f>
        <v>0.0525924501191706</v>
      </c>
    </row>
    <row r="13176" customFormat="false" ht="15.75" hidden="false" customHeight="false" outlineLevel="0" collapsed="false">
      <c r="A13176" s="3" t="s">
        <v>1545</v>
      </c>
      <c r="B13176" s="7" t="n">
        <v>333.149993896484</v>
      </c>
      <c r="C13176" s="1" t="n">
        <f aca="false">1/B13176</f>
        <v>0.00300165096299152</v>
      </c>
      <c r="D13176" s="3" t="n">
        <v>0.611800000000002</v>
      </c>
      <c r="E13176" s="1" t="n">
        <f aca="false">LN(D13176)</f>
        <v>-0.491349847265331</v>
      </c>
    </row>
    <row r="13177" customFormat="false" ht="15.75" hidden="false" customHeight="false" outlineLevel="0" collapsed="false">
      <c r="A13177" s="3" t="s">
        <v>190</v>
      </c>
      <c r="B13177" s="7" t="n">
        <v>293.149993896484</v>
      </c>
      <c r="C13177" s="1" t="n">
        <f aca="false">1/B13177</f>
        <v>0.00341122299444126</v>
      </c>
      <c r="D13177" s="3" t="n">
        <v>0.214</v>
      </c>
      <c r="E13177" s="1" t="n">
        <f aca="false">LN(D13177)</f>
        <v>-1.54177926396029</v>
      </c>
    </row>
    <row r="13178" customFormat="false" ht="15.75" hidden="false" customHeight="false" outlineLevel="0" collapsed="false">
      <c r="A13178" s="3" t="s">
        <v>190</v>
      </c>
      <c r="B13178" s="7" t="n">
        <v>298.149993896484</v>
      </c>
      <c r="C13178" s="1" t="n">
        <f aca="false">1/B13178</f>
        <v>0.00335401650334158</v>
      </c>
      <c r="D13178" s="3" t="n">
        <v>0.201</v>
      </c>
      <c r="E13178" s="1" t="n">
        <f aca="false">LN(D13178)</f>
        <v>-1.60445037092306</v>
      </c>
    </row>
    <row r="13179" customFormat="false" ht="15.75" hidden="false" customHeight="false" outlineLevel="0" collapsed="false">
      <c r="A13179" s="3" t="s">
        <v>190</v>
      </c>
      <c r="B13179" s="7" t="n">
        <v>303.149993896484</v>
      </c>
      <c r="C13179" s="1" t="n">
        <f aca="false">1/B13179</f>
        <v>0.00329869708109401</v>
      </c>
      <c r="D13179" s="3" t="n">
        <v>0.189</v>
      </c>
      <c r="E13179" s="1" t="n">
        <f aca="false">LN(D13179)</f>
        <v>-1.66600826392249</v>
      </c>
    </row>
    <row r="13180" customFormat="false" ht="15.75" hidden="false" customHeight="false" outlineLevel="0" collapsed="false">
      <c r="A13180" s="3" t="s">
        <v>190</v>
      </c>
      <c r="B13180" s="7" t="n">
        <v>308.149993896484</v>
      </c>
      <c r="C13180" s="1" t="n">
        <f aca="false">1/B13180</f>
        <v>0.00324517286972891</v>
      </c>
      <c r="D13180" s="3" t="n">
        <v>0.18</v>
      </c>
      <c r="E13180" s="1" t="n">
        <f aca="false">LN(D13180)</f>
        <v>-1.71479842809193</v>
      </c>
    </row>
    <row r="13181" customFormat="false" ht="15.75" hidden="false" customHeight="false" outlineLevel="0" collapsed="false">
      <c r="A13181" s="3" t="s">
        <v>1546</v>
      </c>
      <c r="B13181" s="7" t="n">
        <v>285.149993896484</v>
      </c>
      <c r="C13181" s="1" t="n">
        <f aca="false">1/B13181</f>
        <v>0.00350692625426821</v>
      </c>
      <c r="D13181" s="3" t="n">
        <v>0.358500000000001</v>
      </c>
      <c r="E13181" s="1" t="n">
        <f aca="false">LN(D13181)</f>
        <v>-1.02582661894246</v>
      </c>
    </row>
    <row r="13182" customFormat="false" ht="15.75" hidden="false" customHeight="false" outlineLevel="0" collapsed="false">
      <c r="A13182" s="3" t="s">
        <v>1316</v>
      </c>
      <c r="B13182" s="7" t="n">
        <v>273.149993896484</v>
      </c>
      <c r="C13182" s="1" t="n">
        <f aca="false">1/B13182</f>
        <v>0.00366099221067152</v>
      </c>
      <c r="D13182" s="3" t="n">
        <v>0.259</v>
      </c>
      <c r="E13182" s="1" t="n">
        <f aca="false">LN(D13182)</f>
        <v>-1.3509272172826</v>
      </c>
    </row>
    <row r="13183" customFormat="false" ht="15.75" hidden="false" customHeight="false" outlineLevel="0" collapsed="false">
      <c r="A13183" s="3" t="s">
        <v>1316</v>
      </c>
      <c r="B13183" s="7" t="n">
        <v>273.450012207031</v>
      </c>
      <c r="C13183" s="1" t="n">
        <f aca="false">1/B13183</f>
        <v>0.00365697551786135</v>
      </c>
      <c r="D13183" s="3" t="n">
        <v>0.259</v>
      </c>
      <c r="E13183" s="1" t="n">
        <f aca="false">LN(D13183)</f>
        <v>-1.3509272172826</v>
      </c>
    </row>
    <row r="13184" customFormat="false" ht="15.75" hidden="false" customHeight="false" outlineLevel="0" collapsed="false">
      <c r="A13184" s="3" t="s">
        <v>1316</v>
      </c>
      <c r="B13184" s="7" t="n">
        <v>278.149993896484</v>
      </c>
      <c r="C13184" s="1" t="n">
        <f aca="false">1/B13184</f>
        <v>0.00359518253439962</v>
      </c>
      <c r="D13184" s="3" t="n">
        <v>0.247</v>
      </c>
      <c r="E13184" s="1" t="n">
        <f aca="false">LN(D13184)</f>
        <v>-1.39836694235416</v>
      </c>
    </row>
    <row r="13185" customFormat="false" ht="15.75" hidden="false" customHeight="false" outlineLevel="0" collapsed="false">
      <c r="A13185" s="3" t="s">
        <v>1316</v>
      </c>
      <c r="B13185" s="7" t="n">
        <v>278.75</v>
      </c>
      <c r="C13185" s="1" t="n">
        <f aca="false">1/B13185</f>
        <v>0.00358744394618834</v>
      </c>
      <c r="D13185" s="3" t="n">
        <v>0.246</v>
      </c>
      <c r="E13185" s="1" t="n">
        <f aca="false">LN(D13185)</f>
        <v>-1.40242374304977</v>
      </c>
    </row>
    <row r="13186" customFormat="false" ht="15.75" hidden="false" customHeight="false" outlineLevel="0" collapsed="false">
      <c r="A13186" s="3" t="s">
        <v>1316</v>
      </c>
      <c r="B13186" s="7" t="n">
        <v>283.149993896484</v>
      </c>
      <c r="C13186" s="1" t="n">
        <f aca="false">1/B13186</f>
        <v>0.00353169705652753</v>
      </c>
      <c r="D13186" s="3" t="n">
        <v>0.236</v>
      </c>
      <c r="E13186" s="1" t="n">
        <f aca="false">LN(D13186)</f>
        <v>-1.44392347395653</v>
      </c>
    </row>
    <row r="13187" customFormat="false" ht="15.75" hidden="false" customHeight="false" outlineLevel="0" collapsed="false">
      <c r="A13187" s="3" t="s">
        <v>1316</v>
      </c>
      <c r="B13187" s="7" t="n">
        <v>283.450012207031</v>
      </c>
      <c r="C13187" s="1" t="n">
        <f aca="false">1/B13187</f>
        <v>0.00352795892373997</v>
      </c>
      <c r="D13187" s="3" t="n">
        <v>0.236</v>
      </c>
      <c r="E13187" s="1" t="n">
        <f aca="false">LN(D13187)</f>
        <v>-1.44392347395653</v>
      </c>
    </row>
    <row r="13188" customFormat="false" ht="15.75" hidden="false" customHeight="false" outlineLevel="0" collapsed="false">
      <c r="A13188" s="3" t="s">
        <v>1316</v>
      </c>
      <c r="B13188" s="7" t="n">
        <v>288.149993896484</v>
      </c>
      <c r="C13188" s="1" t="n">
        <f aca="false">1/B13188</f>
        <v>0.00347041478806778</v>
      </c>
      <c r="D13188" s="3" t="n">
        <v>0.225</v>
      </c>
      <c r="E13188" s="1" t="n">
        <f aca="false">LN(D13188)</f>
        <v>-1.49165487677772</v>
      </c>
    </row>
    <row r="13189" customFormat="false" ht="15.75" hidden="false" customHeight="false" outlineLevel="0" collapsed="false">
      <c r="A13189" s="3" t="s">
        <v>1316</v>
      </c>
      <c r="B13189" s="7" t="n">
        <v>288.450012207031</v>
      </c>
      <c r="C13189" s="1" t="n">
        <f aca="false">1/B13189</f>
        <v>0.0034668051921671</v>
      </c>
      <c r="D13189" s="3" t="n">
        <v>0.225</v>
      </c>
      <c r="E13189" s="1" t="n">
        <f aca="false">LN(D13189)</f>
        <v>-1.49165487677772</v>
      </c>
    </row>
    <row r="13190" customFormat="false" ht="15.75" hidden="false" customHeight="false" outlineLevel="0" collapsed="false">
      <c r="A13190" s="3" t="s">
        <v>1316</v>
      </c>
      <c r="B13190" s="7" t="n">
        <v>293.149993896484</v>
      </c>
      <c r="C13190" s="1" t="n">
        <f aca="false">1/B13190</f>
        <v>0.00341122299444126</v>
      </c>
      <c r="D13190" s="3" t="n">
        <v>0.21525</v>
      </c>
      <c r="E13190" s="1" t="n">
        <f aca="false">LN(D13190)</f>
        <v>-1.5359551356743</v>
      </c>
    </row>
    <row r="13191" customFormat="false" ht="15.75" hidden="false" customHeight="false" outlineLevel="0" collapsed="false">
      <c r="A13191" s="3" t="s">
        <v>1316</v>
      </c>
      <c r="B13191" s="7" t="n">
        <v>293.549987792969</v>
      </c>
      <c r="C13191" s="1" t="n">
        <f aca="false">1/B13191</f>
        <v>0.00340657483080962</v>
      </c>
      <c r="D13191" s="3" t="n">
        <v>0.215</v>
      </c>
      <c r="E13191" s="1" t="n">
        <f aca="false">LN(D13191)</f>
        <v>-1.53711725085447</v>
      </c>
    </row>
    <row r="13192" customFormat="false" ht="15.75" hidden="false" customHeight="false" outlineLevel="0" collapsed="false">
      <c r="A13192" s="3" t="s">
        <v>1316</v>
      </c>
      <c r="B13192" s="7" t="n">
        <v>298.149993896484</v>
      </c>
      <c r="C13192" s="1" t="n">
        <f aca="false">1/B13192</f>
        <v>0.00335401650334158</v>
      </c>
      <c r="D13192" s="3" t="n">
        <v>0.206</v>
      </c>
      <c r="E13192" s="1" t="n">
        <f aca="false">LN(D13192)</f>
        <v>-1.57987911019256</v>
      </c>
    </row>
    <row r="13193" customFormat="false" ht="15.75" hidden="false" customHeight="false" outlineLevel="0" collapsed="false">
      <c r="A13193" s="3" t="s">
        <v>1316</v>
      </c>
      <c r="B13193" s="7" t="n">
        <v>298.450012207031</v>
      </c>
      <c r="C13193" s="1" t="n">
        <f aca="false">1/B13193</f>
        <v>0.00335064486211618</v>
      </c>
      <c r="D13193" s="3" t="n">
        <v>0.206</v>
      </c>
      <c r="E13193" s="1" t="n">
        <f aca="false">LN(D13193)</f>
        <v>-1.57987911019256</v>
      </c>
    </row>
    <row r="13194" customFormat="false" ht="15.75" hidden="false" customHeight="false" outlineLevel="0" collapsed="false">
      <c r="A13194" s="3" t="s">
        <v>1316</v>
      </c>
      <c r="B13194" s="7" t="n">
        <v>302.049987792969</v>
      </c>
      <c r="C13194" s="1" t="n">
        <f aca="false">1/B13194</f>
        <v>0.00331071028112545</v>
      </c>
      <c r="D13194" s="3" t="n">
        <v>0.199</v>
      </c>
      <c r="E13194" s="1" t="n">
        <f aca="false">LN(D13194)</f>
        <v>-1.61445045425764</v>
      </c>
    </row>
    <row r="13195" customFormat="false" ht="15.75" hidden="false" customHeight="false" outlineLevel="0" collapsed="false">
      <c r="A13195" s="3" t="s">
        <v>1316</v>
      </c>
      <c r="B13195" s="7" t="n">
        <v>303.049987792969</v>
      </c>
      <c r="C13195" s="1" t="n">
        <f aca="false">1/B13195</f>
        <v>0.00329978564685889</v>
      </c>
      <c r="D13195" s="3" t="n">
        <v>0.198</v>
      </c>
      <c r="E13195" s="1" t="n">
        <f aca="false">LN(D13195)</f>
        <v>-1.6194882482876</v>
      </c>
    </row>
    <row r="13196" customFormat="false" ht="15.75" hidden="false" customHeight="false" outlineLevel="0" collapsed="false">
      <c r="A13196" s="3" t="s">
        <v>1316</v>
      </c>
      <c r="B13196" s="7" t="n">
        <v>303.149993896484</v>
      </c>
      <c r="C13196" s="1" t="n">
        <f aca="false">1/B13196</f>
        <v>0.00329869708109401</v>
      </c>
      <c r="D13196" s="3" t="n">
        <v>0.197</v>
      </c>
      <c r="E13196" s="1" t="n">
        <f aca="false">LN(D13196)</f>
        <v>-1.62455155024415</v>
      </c>
    </row>
    <row r="13197" customFormat="false" ht="15.75" hidden="false" customHeight="false" outlineLevel="0" collapsed="false">
      <c r="A13197" s="3" t="s">
        <v>1316</v>
      </c>
      <c r="B13197" s="7" t="n">
        <v>305.149993896484</v>
      </c>
      <c r="C13197" s="1" t="n">
        <f aca="false">1/B13197</f>
        <v>0.00327707691299915</v>
      </c>
      <c r="D13197" s="3" t="n">
        <v>0.194</v>
      </c>
      <c r="E13197" s="1" t="n">
        <f aca="false">LN(D13197)</f>
        <v>-1.63989711991881</v>
      </c>
    </row>
    <row r="13198" customFormat="false" ht="15.75" hidden="false" customHeight="false" outlineLevel="0" collapsed="false">
      <c r="A13198" s="3" t="s">
        <v>1547</v>
      </c>
      <c r="B13198" s="7" t="n">
        <v>298.149993896484</v>
      </c>
      <c r="C13198" s="1" t="n">
        <f aca="false">1/B13198</f>
        <v>0.00335401650334158</v>
      </c>
      <c r="D13198" s="3" t="n">
        <v>0.14</v>
      </c>
      <c r="E13198" s="1" t="n">
        <f aca="false">LN(D13198)</f>
        <v>-1.96611285637283</v>
      </c>
    </row>
    <row r="13199" customFormat="false" ht="15.75" hidden="false" customHeight="false" outlineLevel="0" collapsed="false">
      <c r="A13199" s="3" t="s">
        <v>192</v>
      </c>
      <c r="B13199" s="7" t="n">
        <v>298.149993896484</v>
      </c>
      <c r="C13199" s="1" t="n">
        <f aca="false">1/B13199</f>
        <v>0.00335401650334158</v>
      </c>
      <c r="D13199" s="3" t="n">
        <v>4.1</v>
      </c>
      <c r="E13199" s="1" t="n">
        <f aca="false">LN(D13199)</f>
        <v>1.41098697371026</v>
      </c>
    </row>
    <row r="13200" customFormat="false" ht="15.75" hidden="false" customHeight="false" outlineLevel="0" collapsed="false">
      <c r="A13200" s="3" t="s">
        <v>1318</v>
      </c>
      <c r="B13200" s="7" t="n">
        <v>223.649993896484</v>
      </c>
      <c r="C13200" s="1" t="n">
        <f aca="false">1/B13200</f>
        <v>0.00447127219892905</v>
      </c>
      <c r="D13200" s="3" t="n">
        <v>296.66</v>
      </c>
      <c r="E13200" s="1" t="n">
        <f aca="false">LN(D13200)</f>
        <v>5.69258670189547</v>
      </c>
    </row>
    <row r="13201" customFormat="false" ht="15.75" hidden="false" customHeight="false" outlineLevel="0" collapsed="false">
      <c r="A13201" s="3" t="s">
        <v>1318</v>
      </c>
      <c r="B13201" s="7" t="n">
        <v>230.449996948242</v>
      </c>
      <c r="C13201" s="1" t="n">
        <f aca="false">1/B13201</f>
        <v>0.00433933613904363</v>
      </c>
      <c r="D13201" s="3" t="n">
        <v>126.74</v>
      </c>
      <c r="E13201" s="1" t="n">
        <f aca="false">LN(D13201)</f>
        <v>4.84213774389537</v>
      </c>
    </row>
    <row r="13202" customFormat="false" ht="15.75" hidden="false" customHeight="false" outlineLevel="0" collapsed="false">
      <c r="A13202" s="3" t="s">
        <v>1318</v>
      </c>
      <c r="B13202" s="7" t="n">
        <v>242.25</v>
      </c>
      <c r="C13202" s="1" t="n">
        <f aca="false">1/B13202</f>
        <v>0.00412796697626419</v>
      </c>
      <c r="D13202" s="3" t="n">
        <v>42.7600000000001</v>
      </c>
      <c r="E13202" s="1" t="n">
        <f aca="false">LN(D13202)</f>
        <v>3.75560308615685</v>
      </c>
    </row>
    <row r="13203" customFormat="false" ht="15.75" hidden="false" customHeight="false" outlineLevel="0" collapsed="false">
      <c r="A13203" s="3" t="s">
        <v>1318</v>
      </c>
      <c r="B13203" s="7" t="n">
        <v>258.149993896484</v>
      </c>
      <c r="C13203" s="1" t="n">
        <f aca="false">1/B13203</f>
        <v>0.00387371692288706</v>
      </c>
      <c r="D13203" s="3" t="n">
        <v>14.81</v>
      </c>
      <c r="E13203" s="1" t="n">
        <f aca="false">LN(D13203)</f>
        <v>2.69530262827971</v>
      </c>
    </row>
    <row r="13204" customFormat="false" ht="15.75" hidden="false" customHeight="false" outlineLevel="0" collapsed="false">
      <c r="A13204" s="3" t="s">
        <v>1318</v>
      </c>
      <c r="B13204" s="7" t="n">
        <v>270.450012207031</v>
      </c>
      <c r="C13204" s="1" t="n">
        <f aca="false">1/B13204</f>
        <v>0.00369754096825292</v>
      </c>
      <c r="D13204" s="3" t="n">
        <v>7.76</v>
      </c>
      <c r="E13204" s="1" t="n">
        <f aca="false">LN(D13204)</f>
        <v>2.04898233419513</v>
      </c>
    </row>
    <row r="13205" customFormat="false" ht="15.75" hidden="false" customHeight="false" outlineLevel="0" collapsed="false">
      <c r="A13205" s="3" t="s">
        <v>1318</v>
      </c>
      <c r="B13205" s="7" t="n">
        <v>271.350006103516</v>
      </c>
      <c r="C13205" s="1" t="n">
        <f aca="false">1/B13205</f>
        <v>0.00368527723422462</v>
      </c>
      <c r="D13205" s="3" t="n">
        <v>7.45999999999998</v>
      </c>
      <c r="E13205" s="1" t="n">
        <f aca="false">LN(D13205)</f>
        <v>2.00955541421567</v>
      </c>
    </row>
    <row r="13206" customFormat="false" ht="15.75" hidden="false" customHeight="false" outlineLevel="0" collapsed="false">
      <c r="A13206" s="3" t="s">
        <v>1318</v>
      </c>
      <c r="B13206" s="7" t="n">
        <v>293.149993896484</v>
      </c>
      <c r="C13206" s="1" t="n">
        <f aca="false">1/B13206</f>
        <v>0.00341122299444126</v>
      </c>
      <c r="D13206" s="3" t="n">
        <v>3.38</v>
      </c>
      <c r="E13206" s="1" t="n">
        <f aca="false">LN(D13206)</f>
        <v>1.21787570949493</v>
      </c>
    </row>
    <row r="13207" customFormat="false" ht="15.75" hidden="false" customHeight="false" outlineLevel="0" collapsed="false">
      <c r="A13207" s="3" t="s">
        <v>1318</v>
      </c>
      <c r="B13207" s="7" t="n">
        <v>303.149993896484</v>
      </c>
      <c r="C13207" s="1" t="n">
        <f aca="false">1/B13207</f>
        <v>0.00329869708109401</v>
      </c>
      <c r="D13207" s="3" t="n">
        <v>2.51</v>
      </c>
      <c r="E13207" s="1" t="n">
        <f aca="false">LN(D13207)</f>
        <v>0.920282753143692</v>
      </c>
    </row>
    <row r="13208" customFormat="false" ht="15.75" hidden="false" customHeight="false" outlineLevel="0" collapsed="false">
      <c r="A13208" s="3" t="s">
        <v>1318</v>
      </c>
      <c r="B13208" s="7" t="n">
        <v>323.149993896484</v>
      </c>
      <c r="C13208" s="1" t="n">
        <f aca="false">1/B13208</f>
        <v>0.00309453819863086</v>
      </c>
      <c r="D13208" s="3" t="n">
        <v>1.57</v>
      </c>
      <c r="E13208" s="1" t="n">
        <f aca="false">LN(D13208)</f>
        <v>0.451075619360217</v>
      </c>
    </row>
    <row r="13209" customFormat="false" ht="15.75" hidden="false" customHeight="false" outlineLevel="0" collapsed="false">
      <c r="A13209" s="3" t="s">
        <v>1318</v>
      </c>
      <c r="B13209" s="7" t="n">
        <v>343.149993896484</v>
      </c>
      <c r="C13209" s="1" t="n">
        <f aca="false">1/B13209</f>
        <v>0.00291417752524182</v>
      </c>
      <c r="D13209" s="3" t="n">
        <v>1.07</v>
      </c>
      <c r="E13209" s="1" t="n">
        <f aca="false">LN(D13209)</f>
        <v>0.0676586484738149</v>
      </c>
    </row>
    <row r="13210" customFormat="false" ht="15.75" hidden="false" customHeight="false" outlineLevel="0" collapsed="false">
      <c r="A13210" s="3" t="s">
        <v>194</v>
      </c>
      <c r="B13210" s="7" t="n">
        <v>298.149993896484</v>
      </c>
      <c r="C13210" s="1" t="n">
        <f aca="false">1/B13210</f>
        <v>0.00335401650334158</v>
      </c>
      <c r="D13210" s="3" t="n">
        <v>6.8</v>
      </c>
      <c r="E13210" s="1" t="n">
        <f aca="false">LN(D13210)</f>
        <v>1.91692261218206</v>
      </c>
    </row>
    <row r="13211" customFormat="false" ht="15.75" hidden="false" customHeight="false" outlineLevel="0" collapsed="false">
      <c r="A13211" s="3" t="s">
        <v>1548</v>
      </c>
      <c r="B13211" s="7" t="n">
        <v>298.149993896484</v>
      </c>
      <c r="C13211" s="1" t="n">
        <f aca="false">1/B13211</f>
        <v>0.00335401650334158</v>
      </c>
      <c r="D13211" s="3" t="n">
        <v>1.680425</v>
      </c>
      <c r="E13211" s="1" t="n">
        <f aca="false">LN(D13211)</f>
        <v>0.519046737612563</v>
      </c>
    </row>
    <row r="13212" customFormat="false" ht="15.75" hidden="false" customHeight="false" outlineLevel="0" collapsed="false">
      <c r="A13212" s="3" t="s">
        <v>1548</v>
      </c>
      <c r="B13212" s="7" t="n">
        <v>308.149993896484</v>
      </c>
      <c r="C13212" s="1" t="n">
        <f aca="false">1/B13212</f>
        <v>0.00324517286972891</v>
      </c>
      <c r="D13212" s="3" t="n">
        <v>1.34486666666667</v>
      </c>
      <c r="E13212" s="1" t="n">
        <f aca="false">LN(D13212)</f>
        <v>0.296294875550006</v>
      </c>
    </row>
    <row r="13213" customFormat="false" ht="15.75" hidden="false" customHeight="false" outlineLevel="0" collapsed="false">
      <c r="A13213" s="3" t="s">
        <v>1548</v>
      </c>
      <c r="B13213" s="7" t="n">
        <v>318.149993896484</v>
      </c>
      <c r="C13213" s="1" t="n">
        <f aca="false">1/B13213</f>
        <v>0.00314317152030299</v>
      </c>
      <c r="D13213" s="3" t="n">
        <v>1.08263333333333</v>
      </c>
      <c r="E13213" s="1" t="n">
        <f aca="false">LN(D13213)</f>
        <v>0.0793963449800132</v>
      </c>
    </row>
    <row r="13214" customFormat="false" ht="15.75" hidden="false" customHeight="false" outlineLevel="0" collapsed="false">
      <c r="A13214" s="3" t="s">
        <v>196</v>
      </c>
      <c r="B13214" s="7" t="n">
        <v>293.149993896484</v>
      </c>
      <c r="C13214" s="1" t="n">
        <f aca="false">1/B13214</f>
        <v>0.00341122299444126</v>
      </c>
      <c r="D13214" s="3" t="n">
        <v>2.6455</v>
      </c>
      <c r="E13214" s="1" t="n">
        <f aca="false">LN(D13214)</f>
        <v>0.972860083362049</v>
      </c>
    </row>
    <row r="13215" customFormat="false" ht="15.75" hidden="false" customHeight="false" outlineLevel="0" collapsed="false">
      <c r="A13215" s="3" t="s">
        <v>196</v>
      </c>
      <c r="B13215" s="7" t="n">
        <v>313.149993896484</v>
      </c>
      <c r="C13215" s="1" t="n">
        <f aca="false">1/B13215</f>
        <v>0.00319335787798407</v>
      </c>
      <c r="D13215" s="3" t="n">
        <v>1.62525</v>
      </c>
      <c r="E13215" s="1" t="n">
        <f aca="false">LN(D13215)</f>
        <v>0.485661650102441</v>
      </c>
    </row>
    <row r="13216" customFormat="false" ht="15.75" hidden="false" customHeight="false" outlineLevel="0" collapsed="false">
      <c r="A13216" s="3" t="s">
        <v>1320</v>
      </c>
      <c r="B13216" s="7" t="n">
        <v>288.149993896484</v>
      </c>
      <c r="C13216" s="1" t="n">
        <f aca="false">1/B13216</f>
        <v>0.00347041478806778</v>
      </c>
      <c r="D13216" s="3" t="n">
        <v>1.902</v>
      </c>
      <c r="E13216" s="1" t="n">
        <f aca="false">LN(D13216)</f>
        <v>0.642905964123199</v>
      </c>
    </row>
    <row r="13217" customFormat="false" ht="15.75" hidden="false" customHeight="false" outlineLevel="0" collapsed="false">
      <c r="A13217" s="3" t="s">
        <v>1320</v>
      </c>
      <c r="B13217" s="7" t="n">
        <v>298.149993896484</v>
      </c>
      <c r="C13217" s="1" t="n">
        <f aca="false">1/B13217</f>
        <v>0.00335401650334158</v>
      </c>
      <c r="D13217" s="3" t="n">
        <v>1.581</v>
      </c>
      <c r="E13217" s="1" t="n">
        <f aca="false">LN(D13217)</f>
        <v>0.458057558227335</v>
      </c>
    </row>
    <row r="13218" customFormat="false" ht="15.75" hidden="false" customHeight="false" outlineLevel="0" collapsed="false">
      <c r="A13218" s="3" t="s">
        <v>1320</v>
      </c>
      <c r="B13218" s="7" t="n">
        <v>308.149993896484</v>
      </c>
      <c r="C13218" s="1" t="n">
        <f aca="false">1/B13218</f>
        <v>0.00324517286972891</v>
      </c>
      <c r="D13218" s="3" t="n">
        <v>1.344</v>
      </c>
      <c r="E13218" s="1" t="n">
        <f aca="false">LN(D13218)</f>
        <v>0.295650242100958</v>
      </c>
    </row>
    <row r="13219" customFormat="false" ht="15.75" hidden="false" customHeight="false" outlineLevel="0" collapsed="false">
      <c r="A13219" s="3" t="s">
        <v>1320</v>
      </c>
      <c r="B13219" s="7" t="n">
        <v>318.149993896484</v>
      </c>
      <c r="C13219" s="1" t="n">
        <f aca="false">1/B13219</f>
        <v>0.00314317152030299</v>
      </c>
      <c r="D13219" s="3" t="n">
        <v>1.144</v>
      </c>
      <c r="E13219" s="1" t="n">
        <f aca="false">LN(D13219)</f>
        <v>0.134530892957606</v>
      </c>
    </row>
    <row r="13220" customFormat="false" ht="15.75" hidden="false" customHeight="false" outlineLevel="0" collapsed="false">
      <c r="A13220" s="3" t="s">
        <v>1320</v>
      </c>
      <c r="B13220" s="7" t="n">
        <v>328.149993896484</v>
      </c>
      <c r="C13220" s="1" t="n">
        <f aca="false">1/B13220</f>
        <v>0.00304738692244332</v>
      </c>
      <c r="D13220" s="3" t="n">
        <v>0.981</v>
      </c>
      <c r="E13220" s="1" t="n">
        <f aca="false">LN(D13220)</f>
        <v>-0.019182819416774</v>
      </c>
    </row>
    <row r="13221" customFormat="false" ht="15.75" hidden="false" customHeight="false" outlineLevel="0" collapsed="false">
      <c r="A13221" s="3" t="s">
        <v>1320</v>
      </c>
      <c r="B13221" s="7" t="n">
        <v>338.149993896484</v>
      </c>
      <c r="C13221" s="1" t="n">
        <f aca="false">1/B13221</f>
        <v>0.00295726753822188</v>
      </c>
      <c r="D13221" s="3" t="n">
        <v>0.846999999999998</v>
      </c>
      <c r="E13221" s="1" t="n">
        <f aca="false">LN(D13221)</f>
        <v>-0.166054584330085</v>
      </c>
    </row>
    <row r="13222" customFormat="false" ht="15.75" hidden="false" customHeight="false" outlineLevel="0" collapsed="false">
      <c r="A13222" s="3" t="s">
        <v>1320</v>
      </c>
      <c r="B13222" s="7" t="n">
        <v>348.149993896484</v>
      </c>
      <c r="C13222" s="1" t="n">
        <f aca="false">1/B13222</f>
        <v>0.00287232519756221</v>
      </c>
      <c r="D13222" s="3" t="n">
        <v>0.736000000000001</v>
      </c>
      <c r="E13222" s="1" t="n">
        <f aca="false">LN(D13222)</f>
        <v>-0.306525160253259</v>
      </c>
    </row>
    <row r="13223" customFormat="false" ht="15.75" hidden="false" customHeight="false" outlineLevel="0" collapsed="false">
      <c r="A13223" s="3" t="s">
        <v>1320</v>
      </c>
      <c r="B13223" s="7" t="n">
        <v>358.149993896484</v>
      </c>
      <c r="C13223" s="1" t="n">
        <f aca="false">1/B13223</f>
        <v>0.00279212625168725</v>
      </c>
      <c r="D13223" s="3" t="n">
        <v>0.644</v>
      </c>
      <c r="E13223" s="1" t="n">
        <f aca="false">LN(D13223)</f>
        <v>-0.440056552877783</v>
      </c>
    </row>
    <row r="13224" customFormat="false" ht="15.75" hidden="false" customHeight="false" outlineLevel="0" collapsed="false">
      <c r="A13224" s="3" t="s">
        <v>1322</v>
      </c>
      <c r="B13224" s="7" t="n">
        <v>273.149993896484</v>
      </c>
      <c r="C13224" s="1" t="n">
        <f aca="false">1/B13224</f>
        <v>0.00366099221067152</v>
      </c>
      <c r="D13224" s="3" t="n">
        <v>2.532825</v>
      </c>
      <c r="E13224" s="1" t="n">
        <f aca="false">LN(D13224)</f>
        <v>0.92933528059495</v>
      </c>
    </row>
    <row r="13225" customFormat="false" ht="15.75" hidden="false" customHeight="false" outlineLevel="0" collapsed="false">
      <c r="A13225" s="3" t="s">
        <v>1322</v>
      </c>
      <c r="B13225" s="7" t="n">
        <v>283.149993896484</v>
      </c>
      <c r="C13225" s="1" t="n">
        <f aca="false">1/B13225</f>
        <v>0.00353169705652753</v>
      </c>
      <c r="D13225" s="3" t="n">
        <v>1.9639</v>
      </c>
      <c r="E13225" s="1" t="n">
        <f aca="false">LN(D13225)</f>
        <v>0.67493229213904</v>
      </c>
    </row>
    <row r="13226" customFormat="false" ht="15.75" hidden="false" customHeight="false" outlineLevel="0" collapsed="false">
      <c r="A13226" s="3" t="s">
        <v>1322</v>
      </c>
      <c r="B13226" s="7" t="n">
        <v>293.149993896484</v>
      </c>
      <c r="C13226" s="1" t="n">
        <f aca="false">1/B13226</f>
        <v>0.00341122299444126</v>
      </c>
      <c r="D13226" s="3" t="n">
        <v>1.6173</v>
      </c>
      <c r="E13226" s="1" t="n">
        <f aca="false">LN(D13226)</f>
        <v>0.480758092143596</v>
      </c>
    </row>
    <row r="13227" customFormat="false" ht="15.75" hidden="false" customHeight="false" outlineLevel="0" collapsed="false">
      <c r="A13227" s="3" t="s">
        <v>1322</v>
      </c>
      <c r="B13227" s="7" t="n">
        <v>298.149993896484</v>
      </c>
      <c r="C13227" s="1" t="n">
        <f aca="false">1/B13227</f>
        <v>0.00335401650334158</v>
      </c>
      <c r="D13227" s="3" t="n">
        <v>1.492</v>
      </c>
      <c r="E13227" s="1" t="n">
        <f aca="false">LN(D13227)</f>
        <v>0.400117501781569</v>
      </c>
    </row>
    <row r="13228" customFormat="false" ht="15.75" hidden="false" customHeight="false" outlineLevel="0" collapsed="false">
      <c r="A13228" s="3" t="s">
        <v>1322</v>
      </c>
      <c r="B13228" s="7" t="n">
        <v>303.149993896484</v>
      </c>
      <c r="C13228" s="1" t="n">
        <f aca="false">1/B13228</f>
        <v>0.00329869708109401</v>
      </c>
      <c r="D13228" s="3" t="n">
        <v>1.357</v>
      </c>
      <c r="E13228" s="1" t="n">
        <f aca="false">LN(D13228)</f>
        <v>0.305276380852732</v>
      </c>
    </row>
    <row r="13229" customFormat="false" ht="15.75" hidden="false" customHeight="false" outlineLevel="0" collapsed="false">
      <c r="A13229" s="3" t="s">
        <v>1322</v>
      </c>
      <c r="B13229" s="7" t="n">
        <v>310.950012207031</v>
      </c>
      <c r="C13229" s="1" t="n">
        <f aca="false">1/B13229</f>
        <v>0.00321595099129373</v>
      </c>
      <c r="D13229" s="3" t="n">
        <v>1.35</v>
      </c>
      <c r="E13229" s="1" t="n">
        <f aca="false">LN(D13229)</f>
        <v>0.300104592450338</v>
      </c>
    </row>
    <row r="13230" customFormat="false" ht="15.75" hidden="false" customHeight="false" outlineLevel="0" collapsed="false">
      <c r="A13230" s="3" t="s">
        <v>1322</v>
      </c>
      <c r="B13230" s="7" t="n">
        <v>311.149993896484</v>
      </c>
      <c r="C13230" s="1" t="n">
        <f aca="false">1/B13230</f>
        <v>0.00321388404183189</v>
      </c>
      <c r="D13230" s="3" t="n">
        <v>1.35</v>
      </c>
      <c r="E13230" s="1" t="n">
        <f aca="false">LN(D13230)</f>
        <v>0.300104592450338</v>
      </c>
    </row>
    <row r="13231" customFormat="false" ht="15.75" hidden="false" customHeight="false" outlineLevel="0" collapsed="false">
      <c r="A13231" s="3" t="s">
        <v>1322</v>
      </c>
      <c r="B13231" s="7" t="n">
        <v>313.149993896484</v>
      </c>
      <c r="C13231" s="1" t="n">
        <f aca="false">1/B13231</f>
        <v>0.00319335787798407</v>
      </c>
      <c r="D13231" s="3" t="n">
        <v>1.16</v>
      </c>
      <c r="E13231" s="1" t="n">
        <f aca="false">LN(D13231)</f>
        <v>0.148420005118273</v>
      </c>
    </row>
    <row r="13232" customFormat="false" ht="15.75" hidden="false" customHeight="false" outlineLevel="0" collapsed="false">
      <c r="A13232" s="3" t="s">
        <v>1322</v>
      </c>
      <c r="B13232" s="7" t="n">
        <v>327.649993896484</v>
      </c>
      <c r="C13232" s="1" t="n">
        <f aca="false">1/B13232</f>
        <v>0.0030520372917081</v>
      </c>
      <c r="D13232" s="3" t="n">
        <v>1.09</v>
      </c>
      <c r="E13232" s="1" t="n">
        <f aca="false">LN(D13232)</f>
        <v>0.0861776962410524</v>
      </c>
    </row>
    <row r="13233" customFormat="false" ht="15.75" hidden="false" customHeight="false" outlineLevel="0" collapsed="false">
      <c r="A13233" s="3" t="s">
        <v>1322</v>
      </c>
      <c r="B13233" s="7" t="n">
        <v>333.149993896484</v>
      </c>
      <c r="C13233" s="1" t="n">
        <f aca="false">1/B13233</f>
        <v>0.00300165096299152</v>
      </c>
      <c r="D13233" s="3" t="n">
        <v>0.8977</v>
      </c>
      <c r="E13233" s="1" t="n">
        <f aca="false">LN(D13233)</f>
        <v>-0.107919342219494</v>
      </c>
    </row>
    <row r="13234" customFormat="false" ht="15.75" hidden="false" customHeight="false" outlineLevel="0" collapsed="false">
      <c r="A13234" s="3" t="s">
        <v>1322</v>
      </c>
      <c r="B13234" s="7" t="n">
        <v>353.149993896484</v>
      </c>
      <c r="C13234" s="1" t="n">
        <f aca="false">1/B13234</f>
        <v>0.00283165798466111</v>
      </c>
      <c r="D13234" s="3" t="n">
        <v>0.7023</v>
      </c>
      <c r="E13234" s="1" t="n">
        <f aca="false">LN(D13234)</f>
        <v>-0.353394615817162</v>
      </c>
    </row>
    <row r="13235" customFormat="false" ht="15.75" hidden="false" customHeight="false" outlineLevel="0" collapsed="false">
      <c r="A13235" s="3" t="s">
        <v>1322</v>
      </c>
      <c r="B13235" s="7" t="n">
        <v>372.149993896484</v>
      </c>
      <c r="C13235" s="1" t="n">
        <f aca="false">1/B13235</f>
        <v>0.00268708858363748</v>
      </c>
      <c r="D13235" s="3" t="n">
        <v>0.68</v>
      </c>
      <c r="E13235" s="1" t="n">
        <f aca="false">LN(D13235)</f>
        <v>-0.385662480811985</v>
      </c>
    </row>
    <row r="13236" customFormat="false" ht="15.75" hidden="false" customHeight="false" outlineLevel="0" collapsed="false">
      <c r="A13236" s="3" t="s">
        <v>1322</v>
      </c>
      <c r="B13236" s="7" t="n">
        <v>373.149993896484</v>
      </c>
      <c r="C13236" s="1" t="n">
        <f aca="false">1/B13236</f>
        <v>0.00267988748856153</v>
      </c>
      <c r="D13236" s="3" t="n">
        <v>0.576000000000001</v>
      </c>
      <c r="E13236" s="1" t="n">
        <f aca="false">LN(D13236)</f>
        <v>-0.551647618286244</v>
      </c>
    </row>
    <row r="13237" customFormat="false" ht="15.75" hidden="false" customHeight="false" outlineLevel="0" collapsed="false">
      <c r="A13237" s="3" t="s">
        <v>1324</v>
      </c>
      <c r="B13237" s="7" t="n">
        <v>298.149993896484</v>
      </c>
      <c r="C13237" s="1" t="n">
        <f aca="false">1/B13237</f>
        <v>0.00335401650334158</v>
      </c>
      <c r="D13237" s="3" t="n">
        <v>4.62000000000001</v>
      </c>
      <c r="E13237" s="1" t="n">
        <f aca="false">LN(D13237)</f>
        <v>1.53039470509365</v>
      </c>
    </row>
    <row r="13238" customFormat="false" ht="15.75" hidden="false" customHeight="false" outlineLevel="0" collapsed="false">
      <c r="A13238" s="3" t="s">
        <v>1324</v>
      </c>
      <c r="B13238" s="7" t="n">
        <v>303.149993896484</v>
      </c>
      <c r="C13238" s="1" t="n">
        <f aca="false">1/B13238</f>
        <v>0.00329869708109401</v>
      </c>
      <c r="D13238" s="3" t="n">
        <v>4.40099999999999</v>
      </c>
      <c r="E13238" s="1" t="n">
        <f aca="false">LN(D13238)</f>
        <v>1.48183178782895</v>
      </c>
    </row>
    <row r="13239" customFormat="false" ht="15.75" hidden="false" customHeight="false" outlineLevel="0" collapsed="false">
      <c r="A13239" s="3" t="s">
        <v>1324</v>
      </c>
      <c r="B13239" s="7" t="n">
        <v>313.149993896484</v>
      </c>
      <c r="C13239" s="1" t="n">
        <f aca="false">1/B13239</f>
        <v>0.00319335787798407</v>
      </c>
      <c r="D13239" s="3" t="n">
        <v>3.23600000000001</v>
      </c>
      <c r="E13239" s="1" t="n">
        <f aca="false">LN(D13239)</f>
        <v>1.17433799919625</v>
      </c>
    </row>
    <row r="13240" customFormat="false" ht="15.75" hidden="false" customHeight="false" outlineLevel="0" collapsed="false">
      <c r="A13240" s="3" t="s">
        <v>1324</v>
      </c>
      <c r="B13240" s="7" t="n">
        <v>323.149993896484</v>
      </c>
      <c r="C13240" s="1" t="n">
        <f aca="false">1/B13240</f>
        <v>0.00309453819863086</v>
      </c>
      <c r="D13240" s="3" t="n">
        <v>2.568</v>
      </c>
      <c r="E13240" s="1" t="n">
        <f aca="false">LN(D13240)</f>
        <v>0.943127385827715</v>
      </c>
    </row>
    <row r="13241" customFormat="false" ht="15.75" hidden="false" customHeight="false" outlineLevel="0" collapsed="false">
      <c r="A13241" s="3" t="s">
        <v>1324</v>
      </c>
      <c r="B13241" s="7" t="n">
        <v>333.149993896484</v>
      </c>
      <c r="C13241" s="1" t="n">
        <f aca="false">1/B13241</f>
        <v>0.00300165096299152</v>
      </c>
      <c r="D13241" s="3" t="n">
        <v>2.009</v>
      </c>
      <c r="E13241" s="1" t="n">
        <f aca="false">LN(D13241)</f>
        <v>0.697637085832797</v>
      </c>
    </row>
    <row r="13242" customFormat="false" ht="15.75" hidden="false" customHeight="false" outlineLevel="0" collapsed="false">
      <c r="A13242" s="3" t="s">
        <v>1324</v>
      </c>
      <c r="B13242" s="7" t="n">
        <v>343.149993896484</v>
      </c>
      <c r="C13242" s="1" t="n">
        <f aca="false">1/B13242</f>
        <v>0.00291417752524182</v>
      </c>
      <c r="D13242" s="3" t="n">
        <v>1.631</v>
      </c>
      <c r="E13242" s="1" t="n">
        <f aca="false">LN(D13242)</f>
        <v>0.489193323638877</v>
      </c>
    </row>
    <row r="13243" customFormat="false" ht="15.75" hidden="false" customHeight="false" outlineLevel="0" collapsed="false">
      <c r="A13243" s="3" t="s">
        <v>1324</v>
      </c>
      <c r="B13243" s="7" t="n">
        <v>353.149993896484</v>
      </c>
      <c r="C13243" s="1" t="n">
        <f aca="false">1/B13243</f>
        <v>0.00283165798466111</v>
      </c>
      <c r="D13243" s="3" t="n">
        <v>1.348</v>
      </c>
      <c r="E13243" s="1" t="n">
        <f aca="false">LN(D13243)</f>
        <v>0.298622012490115</v>
      </c>
    </row>
    <row r="13244" customFormat="false" ht="15.75" hidden="false" customHeight="false" outlineLevel="0" collapsed="false">
      <c r="A13244" s="3" t="s">
        <v>1324</v>
      </c>
      <c r="B13244" s="7" t="n">
        <v>363.149993896484</v>
      </c>
      <c r="C13244" s="1" t="n">
        <f aca="false">1/B13244</f>
        <v>0.00275368309736238</v>
      </c>
      <c r="D13244" s="3" t="n">
        <v>1.121</v>
      </c>
      <c r="E13244" s="1" t="n">
        <f aca="false">LN(D13244)</f>
        <v>0.114221144090023</v>
      </c>
    </row>
    <row r="13245" customFormat="false" ht="15.75" hidden="false" customHeight="false" outlineLevel="0" collapsed="false">
      <c r="A13245" s="3" t="s">
        <v>1324</v>
      </c>
      <c r="B13245" s="7" t="n">
        <v>373.149993896484</v>
      </c>
      <c r="C13245" s="1" t="n">
        <f aca="false">1/B13245</f>
        <v>0.00267988748856153</v>
      </c>
      <c r="D13245" s="3" t="n">
        <v>0.950000000000002</v>
      </c>
      <c r="E13245" s="1" t="n">
        <f aca="false">LN(D13245)</f>
        <v>-0.0512932943875485</v>
      </c>
    </row>
    <row r="13246" customFormat="false" ht="15.75" hidden="false" customHeight="false" outlineLevel="0" collapsed="false">
      <c r="A13246" s="3" t="s">
        <v>1324</v>
      </c>
      <c r="B13246" s="7" t="n">
        <v>383.149993896484</v>
      </c>
      <c r="C13246" s="1" t="n">
        <f aca="false">1/B13246</f>
        <v>0.00260994392778242</v>
      </c>
      <c r="D13246" s="3" t="n">
        <v>0.813</v>
      </c>
      <c r="E13246" s="1" t="n">
        <f aca="false">LN(D13246)</f>
        <v>-0.207024169434327</v>
      </c>
    </row>
    <row r="13247" customFormat="false" ht="15.75" hidden="false" customHeight="false" outlineLevel="0" collapsed="false">
      <c r="A13247" s="3" t="s">
        <v>1324</v>
      </c>
      <c r="B13247" s="7" t="n">
        <v>393.149993896484</v>
      </c>
      <c r="C13247" s="1" t="n">
        <f aca="false">1/B13247</f>
        <v>0.00254355847774297</v>
      </c>
      <c r="D13247" s="3" t="n">
        <v>0.707999999999999</v>
      </c>
      <c r="E13247" s="1" t="n">
        <f aca="false">LN(D13247)</f>
        <v>-0.345311185288419</v>
      </c>
    </row>
    <row r="13248" customFormat="false" ht="15.75" hidden="false" customHeight="false" outlineLevel="0" collapsed="false">
      <c r="A13248" s="3" t="s">
        <v>1324</v>
      </c>
      <c r="B13248" s="7" t="n">
        <v>403.149993896484</v>
      </c>
      <c r="C13248" s="1" t="n">
        <f aca="false">1/B13248</f>
        <v>0.00248046636522279</v>
      </c>
      <c r="D13248" s="3" t="n">
        <v>0.620999999999999</v>
      </c>
      <c r="E13248" s="1" t="n">
        <f aca="false">LN(D13248)</f>
        <v>-0.47642419704866</v>
      </c>
    </row>
    <row r="13249" customFormat="false" ht="15.75" hidden="false" customHeight="false" outlineLevel="0" collapsed="false">
      <c r="A13249" s="3" t="s">
        <v>198</v>
      </c>
      <c r="B13249" s="7" t="n">
        <v>293.149993896484</v>
      </c>
      <c r="C13249" s="1" t="n">
        <f aca="false">1/B13249</f>
        <v>0.00341122299444126</v>
      </c>
      <c r="D13249" s="3" t="n">
        <v>1.702</v>
      </c>
      <c r="E13249" s="1" t="n">
        <f aca="false">LN(D13249)</f>
        <v>0.531804030151182</v>
      </c>
    </row>
    <row r="13250" customFormat="false" ht="15.75" hidden="false" customHeight="false" outlineLevel="0" collapsed="false">
      <c r="A13250" s="3" t="s">
        <v>198</v>
      </c>
      <c r="B13250" s="7" t="n">
        <v>298.149993896484</v>
      </c>
      <c r="C13250" s="1" t="n">
        <f aca="false">1/B13250</f>
        <v>0.00335401650334158</v>
      </c>
      <c r="D13250" s="3" t="n">
        <v>1.5655</v>
      </c>
      <c r="E13250" s="1" t="n">
        <f aca="false">LN(D13250)</f>
        <v>0.448205261784323</v>
      </c>
    </row>
    <row r="13251" customFormat="false" ht="15.75" hidden="false" customHeight="false" outlineLevel="0" collapsed="false">
      <c r="A13251" s="3" t="s">
        <v>198</v>
      </c>
      <c r="B13251" s="7" t="n">
        <v>303.149993896484</v>
      </c>
      <c r="C13251" s="1" t="n">
        <f aca="false">1/B13251</f>
        <v>0.00329869708109401</v>
      </c>
      <c r="D13251" s="3" t="n">
        <v>1.4225</v>
      </c>
      <c r="E13251" s="1" t="n">
        <f aca="false">LN(D13251)</f>
        <v>0.352415887018349</v>
      </c>
    </row>
    <row r="13252" customFormat="false" ht="15.75" hidden="false" customHeight="false" outlineLevel="0" collapsed="false">
      <c r="A13252" s="3" t="s">
        <v>198</v>
      </c>
      <c r="B13252" s="7" t="n">
        <v>308.149993896484</v>
      </c>
      <c r="C13252" s="1" t="n">
        <f aca="false">1/B13252</f>
        <v>0.00324517286972891</v>
      </c>
      <c r="D13252" s="3" t="n">
        <v>1.29966666666667</v>
      </c>
      <c r="E13252" s="1" t="n">
        <f aca="false">LN(D13252)</f>
        <v>0.262107821332353</v>
      </c>
    </row>
    <row r="13253" customFormat="false" ht="15.75" hidden="false" customHeight="false" outlineLevel="0" collapsed="false">
      <c r="A13253" s="3" t="s">
        <v>1549</v>
      </c>
      <c r="B13253" s="7" t="n">
        <v>298.149993896484</v>
      </c>
      <c r="C13253" s="1" t="n">
        <f aca="false">1/B13253</f>
        <v>0.00335401650334158</v>
      </c>
      <c r="D13253" s="3" t="n">
        <v>2.92</v>
      </c>
      <c r="E13253" s="1" t="n">
        <f aca="false">LN(D13253)</f>
        <v>1.07158361628019</v>
      </c>
    </row>
    <row r="13254" customFormat="false" ht="15.75" hidden="false" customHeight="false" outlineLevel="0" collapsed="false">
      <c r="A13254" s="3" t="s">
        <v>1549</v>
      </c>
      <c r="B13254" s="7" t="n">
        <v>303.149993896484</v>
      </c>
      <c r="C13254" s="1" t="n">
        <f aca="false">1/B13254</f>
        <v>0.00329869708109401</v>
      </c>
      <c r="D13254" s="3" t="n">
        <v>2.62</v>
      </c>
      <c r="E13254" s="1" t="n">
        <f aca="false">LN(D13254)</f>
        <v>0.963174317773006</v>
      </c>
    </row>
    <row r="13255" customFormat="false" ht="15.75" hidden="false" customHeight="false" outlineLevel="0" collapsed="false">
      <c r="A13255" s="3" t="s">
        <v>1549</v>
      </c>
      <c r="B13255" s="7" t="n">
        <v>313.149993896484</v>
      </c>
      <c r="C13255" s="1" t="n">
        <f aca="false">1/B13255</f>
        <v>0.00319335787798407</v>
      </c>
      <c r="D13255" s="3" t="n">
        <v>1.97</v>
      </c>
      <c r="E13255" s="1" t="n">
        <f aca="false">LN(D13255)</f>
        <v>0.678033542749897</v>
      </c>
    </row>
    <row r="13256" customFormat="false" ht="15.75" hidden="false" customHeight="false" outlineLevel="0" collapsed="false">
      <c r="A13256" s="3" t="s">
        <v>1549</v>
      </c>
      <c r="B13256" s="7" t="n">
        <v>323.149993896484</v>
      </c>
      <c r="C13256" s="1" t="n">
        <f aca="false">1/B13256</f>
        <v>0.00309453819863086</v>
      </c>
      <c r="D13256" s="3" t="n">
        <v>1.56</v>
      </c>
      <c r="E13256" s="1" t="n">
        <f aca="false">LN(D13256)</f>
        <v>0.444685821261446</v>
      </c>
    </row>
    <row r="13257" customFormat="false" ht="15.75" hidden="false" customHeight="false" outlineLevel="0" collapsed="false">
      <c r="A13257" s="3" t="s">
        <v>1549</v>
      </c>
      <c r="B13257" s="7" t="n">
        <v>333.149993896484</v>
      </c>
      <c r="C13257" s="1" t="n">
        <f aca="false">1/B13257</f>
        <v>0.00300165096299152</v>
      </c>
      <c r="D13257" s="3" t="n">
        <v>1.25</v>
      </c>
      <c r="E13257" s="1" t="n">
        <f aca="false">LN(D13257)</f>
        <v>0.22314355131421</v>
      </c>
    </row>
    <row r="13258" customFormat="false" ht="15.75" hidden="false" customHeight="false" outlineLevel="0" collapsed="false">
      <c r="A13258" s="3" t="s">
        <v>1549</v>
      </c>
      <c r="B13258" s="7" t="n">
        <v>343.149993896484</v>
      </c>
      <c r="C13258" s="1" t="n">
        <f aca="false">1/B13258</f>
        <v>0.00291417752524182</v>
      </c>
      <c r="D13258" s="3" t="n">
        <v>1.02</v>
      </c>
      <c r="E13258" s="1" t="n">
        <f aca="false">LN(D13258)</f>
        <v>0.0198026272961797</v>
      </c>
    </row>
    <row r="13259" customFormat="false" ht="15.75" hidden="false" customHeight="false" outlineLevel="0" collapsed="false">
      <c r="A13259" s="3" t="s">
        <v>1549</v>
      </c>
      <c r="B13259" s="7" t="n">
        <v>353.149993896484</v>
      </c>
      <c r="C13259" s="1" t="n">
        <f aca="false">1/B13259</f>
        <v>0.00283165798466111</v>
      </c>
      <c r="D13259" s="3" t="n">
        <v>0.844</v>
      </c>
      <c r="E13259" s="1" t="n">
        <f aca="false">LN(D13259)</f>
        <v>-0.16960278438618</v>
      </c>
    </row>
    <row r="13260" customFormat="false" ht="15.75" hidden="false" customHeight="false" outlineLevel="0" collapsed="false">
      <c r="A13260" s="3" t="s">
        <v>200</v>
      </c>
      <c r="B13260" s="7" t="n">
        <v>404.149993896484</v>
      </c>
      <c r="C13260" s="1" t="n">
        <f aca="false">1/B13260</f>
        <v>0.00247432887567019</v>
      </c>
      <c r="D13260" s="3" t="n">
        <v>2.314</v>
      </c>
      <c r="E13260" s="1" t="n">
        <f aca="false">LN(D13260)</f>
        <v>0.838977628771485</v>
      </c>
    </row>
    <row r="13261" customFormat="false" ht="15.75" hidden="false" customHeight="false" outlineLevel="0" collapsed="false">
      <c r="A13261" s="3" t="s">
        <v>1550</v>
      </c>
      <c r="B13261" s="7" t="n">
        <v>298.149993896484</v>
      </c>
      <c r="C13261" s="1" t="n">
        <f aca="false">1/B13261</f>
        <v>0.00335401650334158</v>
      </c>
      <c r="D13261" s="3" t="n">
        <v>1.2</v>
      </c>
      <c r="E13261" s="1" t="n">
        <f aca="false">LN(D13261)</f>
        <v>0.182321556793955</v>
      </c>
    </row>
    <row r="13262" customFormat="false" ht="15.75" hidden="false" customHeight="false" outlineLevel="0" collapsed="false">
      <c r="A13262" s="3" t="s">
        <v>202</v>
      </c>
      <c r="B13262" s="7" t="n">
        <v>298.149993896484</v>
      </c>
      <c r="C13262" s="1" t="n">
        <f aca="false">1/B13262</f>
        <v>0.00335401650334158</v>
      </c>
      <c r="D13262" s="3" t="n">
        <v>2.4295</v>
      </c>
      <c r="E13262" s="1" t="n">
        <f aca="false">LN(D13262)</f>
        <v>0.887685474863821</v>
      </c>
    </row>
    <row r="13263" customFormat="false" ht="15.75" hidden="false" customHeight="false" outlineLevel="0" collapsed="false">
      <c r="A13263" s="3" t="s">
        <v>204</v>
      </c>
      <c r="B13263" s="7" t="n">
        <v>298.149993896484</v>
      </c>
      <c r="C13263" s="1" t="n">
        <f aca="false">1/B13263</f>
        <v>0.00335401650334158</v>
      </c>
      <c r="D13263" s="3" t="n">
        <v>1.06</v>
      </c>
      <c r="E13263" s="1" t="n">
        <f aca="false">LN(D13263)</f>
        <v>0.0582689081239758</v>
      </c>
    </row>
    <row r="13264" customFormat="false" ht="15.75" hidden="false" customHeight="false" outlineLevel="0" collapsed="false">
      <c r="A13264" s="3" t="s">
        <v>1326</v>
      </c>
      <c r="B13264" s="7" t="n">
        <v>298.149993896484</v>
      </c>
      <c r="C13264" s="1" t="n">
        <f aca="false">1/B13264</f>
        <v>0.00335401650334158</v>
      </c>
      <c r="D13264" s="3" t="n">
        <v>2.5012</v>
      </c>
      <c r="E13264" s="1" t="n">
        <f aca="false">LN(D13264)</f>
        <v>0.916770616711006</v>
      </c>
    </row>
    <row r="13265" customFormat="false" ht="15.75" hidden="false" customHeight="false" outlineLevel="0" collapsed="false">
      <c r="A13265" s="3" t="s">
        <v>1326</v>
      </c>
      <c r="B13265" s="7" t="n">
        <v>318.149993896484</v>
      </c>
      <c r="C13265" s="1" t="n">
        <f aca="false">1/B13265</f>
        <v>0.00314317152030299</v>
      </c>
      <c r="D13265" s="3" t="n">
        <v>1.798</v>
      </c>
      <c r="E13265" s="1" t="n">
        <f aca="false">LN(D13265)</f>
        <v>0.586674936049429</v>
      </c>
    </row>
    <row r="13266" customFormat="false" ht="15.75" hidden="false" customHeight="false" outlineLevel="0" collapsed="false">
      <c r="A13266" s="3" t="s">
        <v>1326</v>
      </c>
      <c r="B13266" s="7" t="n">
        <v>323.149993896484</v>
      </c>
      <c r="C13266" s="1" t="n">
        <f aca="false">1/B13266</f>
        <v>0.00309453819863086</v>
      </c>
      <c r="D13266" s="3" t="n">
        <v>1.5361</v>
      </c>
      <c r="E13266" s="1" t="n">
        <f aca="false">LN(D13266)</f>
        <v>0.429246736772963</v>
      </c>
    </row>
    <row r="13267" customFormat="false" ht="15.75" hidden="false" customHeight="false" outlineLevel="0" collapsed="false">
      <c r="A13267" s="3" t="s">
        <v>1326</v>
      </c>
      <c r="B13267" s="7" t="n">
        <v>344.25</v>
      </c>
      <c r="C13267" s="1" t="n">
        <f aca="false">1/B13267</f>
        <v>0.00290486564996369</v>
      </c>
      <c r="D13267" s="3" t="n">
        <v>1.134</v>
      </c>
      <c r="E13267" s="1" t="n">
        <f aca="false">LN(D13267)</f>
        <v>0.12575120530556</v>
      </c>
    </row>
    <row r="13268" customFormat="false" ht="15.75" hidden="false" customHeight="false" outlineLevel="0" collapsed="false">
      <c r="A13268" s="3" t="s">
        <v>1326</v>
      </c>
      <c r="B13268" s="7" t="n">
        <v>348.149993896484</v>
      </c>
      <c r="C13268" s="1" t="n">
        <f aca="false">1/B13268</f>
        <v>0.00287232519756221</v>
      </c>
      <c r="D13268" s="3" t="n">
        <v>1.063</v>
      </c>
      <c r="E13268" s="1" t="n">
        <f aca="false">LN(D13268)</f>
        <v>0.0610950993598108</v>
      </c>
    </row>
    <row r="13269" customFormat="false" ht="15.75" hidden="false" customHeight="false" outlineLevel="0" collapsed="false">
      <c r="A13269" s="3" t="s">
        <v>1326</v>
      </c>
      <c r="B13269" s="7" t="n">
        <v>355.950012207031</v>
      </c>
      <c r="C13269" s="1" t="n">
        <f aca="false">1/B13269</f>
        <v>0.00280938324401116</v>
      </c>
      <c r="D13269" s="3" t="n">
        <v>0.967</v>
      </c>
      <c r="E13269" s="1" t="n">
        <f aca="false">LN(D13269)</f>
        <v>-0.0335567835288428</v>
      </c>
    </row>
    <row r="13270" customFormat="false" ht="15.75" hidden="false" customHeight="false" outlineLevel="0" collapsed="false">
      <c r="A13270" s="3" t="s">
        <v>1326</v>
      </c>
      <c r="B13270" s="7" t="n">
        <v>369.450012207031</v>
      </c>
      <c r="C13270" s="1" t="n">
        <f aca="false">1/B13270</f>
        <v>0.0027067261252102</v>
      </c>
      <c r="D13270" s="3" t="n">
        <v>0.821599999999999</v>
      </c>
      <c r="E13270" s="1" t="n">
        <f aca="false">LN(D13270)</f>
        <v>-0.19650162036779</v>
      </c>
    </row>
    <row r="13271" customFormat="false" ht="15.75" hidden="false" customHeight="false" outlineLevel="0" collapsed="false">
      <c r="A13271" s="3" t="s">
        <v>1326</v>
      </c>
      <c r="B13271" s="7" t="n">
        <v>382.450012207031</v>
      </c>
      <c r="C13271" s="1" t="n">
        <f aca="false">1/B13271</f>
        <v>0.00261472079508961</v>
      </c>
      <c r="D13271" s="3" t="n">
        <v>0.712400000000002</v>
      </c>
      <c r="E13271" s="1" t="n">
        <f aca="false">LN(D13271)</f>
        <v>-0.339115727566628</v>
      </c>
    </row>
    <row r="13272" customFormat="false" ht="15.75" hidden="false" customHeight="false" outlineLevel="0" collapsed="false">
      <c r="A13272" s="3" t="s">
        <v>1326</v>
      </c>
      <c r="B13272" s="7" t="n">
        <v>393.149993896484</v>
      </c>
      <c r="C13272" s="1" t="n">
        <f aca="false">1/B13272</f>
        <v>0.00254355847774297</v>
      </c>
      <c r="D13272" s="3" t="n">
        <v>0.641</v>
      </c>
      <c r="E13272" s="1" t="n">
        <f aca="false">LN(D13272)</f>
        <v>-0.444725822061467</v>
      </c>
    </row>
    <row r="13273" customFormat="false" ht="15.75" hidden="false" customHeight="false" outlineLevel="0" collapsed="false">
      <c r="A13273" s="3" t="s">
        <v>1326</v>
      </c>
      <c r="B13273" s="7" t="n">
        <v>394.450012207031</v>
      </c>
      <c r="C13273" s="1" t="n">
        <f aca="false">1/B13273</f>
        <v>0.0025351754824516</v>
      </c>
      <c r="D13273" s="3" t="n">
        <v>0.632400000000001</v>
      </c>
      <c r="E13273" s="1" t="n">
        <f aca="false">LN(D13273)</f>
        <v>-0.458233173646819</v>
      </c>
    </row>
    <row r="13274" customFormat="false" ht="15.75" hidden="false" customHeight="false" outlineLevel="0" collapsed="false">
      <c r="A13274" s="3" t="s">
        <v>1326</v>
      </c>
      <c r="B13274" s="7" t="n">
        <v>404.149993896484</v>
      </c>
      <c r="C13274" s="1" t="n">
        <f aca="false">1/B13274</f>
        <v>0.00247432887567019</v>
      </c>
      <c r="D13274" s="3" t="n">
        <v>0.615</v>
      </c>
      <c r="E13274" s="1" t="n">
        <f aca="false">LN(D13274)</f>
        <v>-0.486133011175619</v>
      </c>
    </row>
    <row r="13275" customFormat="false" ht="15.75" hidden="false" customHeight="false" outlineLevel="0" collapsed="false">
      <c r="A13275" s="3" t="s">
        <v>1326</v>
      </c>
      <c r="B13275" s="7" t="n">
        <v>406.450012207031</v>
      </c>
      <c r="C13275" s="1" t="n">
        <f aca="false">1/B13275</f>
        <v>0.00246032714962901</v>
      </c>
      <c r="D13275" s="3" t="n">
        <v>0.567500000000001</v>
      </c>
      <c r="E13275" s="1" t="n">
        <f aca="false">LN(D13275)</f>
        <v>-0.566514529626578</v>
      </c>
    </row>
    <row r="13276" customFormat="false" ht="15.75" hidden="false" customHeight="false" outlineLevel="0" collapsed="false">
      <c r="A13276" s="3" t="s">
        <v>1326</v>
      </c>
      <c r="B13276" s="7" t="n">
        <v>419.850006103516</v>
      </c>
      <c r="C13276" s="1" t="n">
        <f aca="false">1/B13276</f>
        <v>0.00238180299026468</v>
      </c>
      <c r="D13276" s="3" t="n">
        <v>0.504900000000001</v>
      </c>
      <c r="E13276" s="1" t="n">
        <f aca="false">LN(D13276)</f>
        <v>-0.683394889117265</v>
      </c>
    </row>
    <row r="13277" customFormat="false" ht="15.75" hidden="false" customHeight="false" outlineLevel="0" collapsed="false">
      <c r="A13277" s="3" t="s">
        <v>1326</v>
      </c>
      <c r="B13277" s="7" t="n">
        <v>423.149993896484</v>
      </c>
      <c r="C13277" s="1" t="n">
        <f aca="false">1/B13277</f>
        <v>0.00236322820376699</v>
      </c>
      <c r="D13277" s="3" t="n">
        <v>0.490999999999999</v>
      </c>
      <c r="E13277" s="1" t="n">
        <f aca="false">LN(D13277)</f>
        <v>-0.711311151187619</v>
      </c>
    </row>
    <row r="13278" customFormat="false" ht="15.75" hidden="false" customHeight="false" outlineLevel="0" collapsed="false">
      <c r="A13278" s="3" t="s">
        <v>1326</v>
      </c>
      <c r="B13278" s="7" t="n">
        <v>432.950012207031</v>
      </c>
      <c r="C13278" s="1" t="n">
        <f aca="false">1/B13278</f>
        <v>0.00230973547015819</v>
      </c>
      <c r="D13278" s="3" t="n">
        <v>0.454999999999999</v>
      </c>
      <c r="E13278" s="1" t="n">
        <f aca="false">LN(D13278)</f>
        <v>-0.787457860031189</v>
      </c>
    </row>
    <row r="13279" customFormat="false" ht="15.75" hidden="false" customHeight="false" outlineLevel="0" collapsed="false">
      <c r="A13279" s="3" t="s">
        <v>1326</v>
      </c>
      <c r="B13279" s="7" t="n">
        <v>445.149993896484</v>
      </c>
      <c r="C13279" s="1" t="n">
        <f aca="false">1/B13279</f>
        <v>0.00224643381716533</v>
      </c>
      <c r="D13279" s="3" t="n">
        <v>0.414000000000001</v>
      </c>
      <c r="E13279" s="1" t="n">
        <f aca="false">LN(D13279)</f>
        <v>-0.88188930515682</v>
      </c>
    </row>
    <row r="13280" customFormat="false" ht="15.75" hidden="false" customHeight="false" outlineLevel="0" collapsed="false">
      <c r="A13280" s="3" t="s">
        <v>1326</v>
      </c>
      <c r="B13280" s="7" t="n">
        <v>457.450012207031</v>
      </c>
      <c r="C13280" s="1" t="n">
        <f aca="false">1/B13280</f>
        <v>0.00218603120191288</v>
      </c>
      <c r="D13280" s="3" t="n">
        <v>0.3789</v>
      </c>
      <c r="E13280" s="1" t="n">
        <f aca="false">LN(D13280)</f>
        <v>-0.970482960957582</v>
      </c>
    </row>
    <row r="13281" customFormat="false" ht="15.75" hidden="false" customHeight="false" outlineLevel="0" collapsed="false">
      <c r="A13281" s="3" t="s">
        <v>1326</v>
      </c>
      <c r="B13281" s="7" t="n">
        <v>464.350006103516</v>
      </c>
      <c r="C13281" s="1" t="n">
        <f aca="false">1/B13281</f>
        <v>0.00215354794197434</v>
      </c>
      <c r="D13281" s="3" t="n">
        <v>0.3611</v>
      </c>
      <c r="E13281" s="1" t="n">
        <f aca="false">LN(D13281)</f>
        <v>-1.01860035069873</v>
      </c>
    </row>
    <row r="13282" customFormat="false" ht="15.75" hidden="false" customHeight="false" outlineLevel="0" collapsed="false">
      <c r="A13282" s="3" t="s">
        <v>1326</v>
      </c>
      <c r="B13282" s="7" t="n">
        <v>468.350006103516</v>
      </c>
      <c r="C13282" s="1" t="n">
        <f aca="false">1/B13282</f>
        <v>0.0021351553047252</v>
      </c>
      <c r="D13282" s="3" t="n">
        <v>0.351599999999999</v>
      </c>
      <c r="E13282" s="1" t="n">
        <f aca="false">LN(D13282)</f>
        <v>-1.04526111317112</v>
      </c>
    </row>
    <row r="13283" customFormat="false" ht="15.75" hidden="false" customHeight="false" outlineLevel="0" collapsed="false">
      <c r="A13283" s="3" t="s">
        <v>274</v>
      </c>
      <c r="B13283" s="7" t="n">
        <v>303.149993896484</v>
      </c>
      <c r="C13283" s="1" t="n">
        <f aca="false">1/B13283</f>
        <v>0.00329869708109401</v>
      </c>
      <c r="D13283" s="3" t="n">
        <v>100000</v>
      </c>
      <c r="E13283" s="1" t="n">
        <f aca="false">LN(D13283)</f>
        <v>11.5129254649702</v>
      </c>
    </row>
    <row r="13284" customFormat="false" ht="15.75" hidden="false" customHeight="false" outlineLevel="0" collapsed="false">
      <c r="A13284" s="3" t="s">
        <v>274</v>
      </c>
      <c r="B13284" s="7" t="n">
        <v>373.149993896484</v>
      </c>
      <c r="C13284" s="1" t="n">
        <f aca="false">1/B13284</f>
        <v>0.00267988748856153</v>
      </c>
      <c r="D13284" s="3" t="n">
        <v>105</v>
      </c>
      <c r="E13284" s="1" t="n">
        <f aca="false">LN(D13284)</f>
        <v>4.65396035015752</v>
      </c>
    </row>
    <row r="13285" customFormat="false" ht="15.75" hidden="false" customHeight="false" outlineLevel="0" collapsed="false">
      <c r="A13285" s="3" t="s">
        <v>274</v>
      </c>
      <c r="B13285" s="7" t="n">
        <v>433.149993896484</v>
      </c>
      <c r="C13285" s="1" t="n">
        <f aca="false">1/B13285</f>
        <v>0.00230866908482281</v>
      </c>
      <c r="D13285" s="3" t="n">
        <v>16</v>
      </c>
      <c r="E13285" s="1" t="n">
        <f aca="false">LN(D13285)</f>
        <v>2.77258872223978</v>
      </c>
    </row>
    <row r="13286" customFormat="false" ht="15.75" hidden="false" customHeight="false" outlineLevel="0" collapsed="false">
      <c r="A13286" s="3" t="s">
        <v>1551</v>
      </c>
      <c r="B13286" s="7" t="n">
        <v>293.149993896484</v>
      </c>
      <c r="C13286" s="1" t="n">
        <f aca="false">1/B13286</f>
        <v>0.00341122299444126</v>
      </c>
      <c r="D13286" s="3" t="n">
        <v>3.26</v>
      </c>
      <c r="E13286" s="1" t="n">
        <f aca="false">LN(D13286)</f>
        <v>1.18172719537862</v>
      </c>
    </row>
    <row r="13287" customFormat="false" ht="15.75" hidden="false" customHeight="false" outlineLevel="0" collapsed="false">
      <c r="A13287" s="3" t="s">
        <v>206</v>
      </c>
      <c r="B13287" s="7" t="n">
        <v>293.149993896484</v>
      </c>
      <c r="C13287" s="1" t="n">
        <f aca="false">1/B13287</f>
        <v>0.00341122299444126</v>
      </c>
      <c r="D13287" s="3" t="n">
        <v>6.23999999999999</v>
      </c>
      <c r="E13287" s="1" t="n">
        <f aca="false">LN(D13287)</f>
        <v>1.83098018238133</v>
      </c>
    </row>
    <row r="13288" customFormat="false" ht="15.75" hidden="false" customHeight="false" outlineLevel="0" collapsed="false">
      <c r="A13288" s="3" t="s">
        <v>1552</v>
      </c>
      <c r="B13288" s="7" t="n">
        <v>293.149993896484</v>
      </c>
      <c r="C13288" s="1" t="n">
        <f aca="false">1/B13288</f>
        <v>0.00341122299444126</v>
      </c>
      <c r="D13288" s="3" t="n">
        <v>1.108</v>
      </c>
      <c r="E13288" s="1" t="n">
        <f aca="false">LN(D13288)</f>
        <v>0.102556588325092</v>
      </c>
    </row>
    <row r="13289" customFormat="false" ht="15.75" hidden="false" customHeight="false" outlineLevel="0" collapsed="false">
      <c r="A13289" s="3" t="s">
        <v>1552</v>
      </c>
      <c r="B13289" s="7" t="n">
        <v>313.149993896484</v>
      </c>
      <c r="C13289" s="1" t="n">
        <f aca="false">1/B13289</f>
        <v>0.00319335787798407</v>
      </c>
      <c r="D13289" s="3" t="n">
        <v>0.808</v>
      </c>
      <c r="E13289" s="1" t="n">
        <f aca="false">LN(D13289)</f>
        <v>-0.213193220461042</v>
      </c>
    </row>
    <row r="13290" customFormat="false" ht="15.75" hidden="false" customHeight="false" outlineLevel="0" collapsed="false">
      <c r="A13290" s="3" t="s">
        <v>1552</v>
      </c>
      <c r="B13290" s="7" t="n">
        <v>333.149993896484</v>
      </c>
      <c r="C13290" s="1" t="n">
        <f aca="false">1/B13290</f>
        <v>0.00300165096299152</v>
      </c>
      <c r="D13290" s="3" t="n">
        <v>0.628000000000001</v>
      </c>
      <c r="E13290" s="1" t="n">
        <f aca="false">LN(D13290)</f>
        <v>-0.465215112513937</v>
      </c>
    </row>
    <row r="13291" customFormat="false" ht="15.75" hidden="false" customHeight="false" outlineLevel="0" collapsed="false">
      <c r="A13291" s="3" t="s">
        <v>1552</v>
      </c>
      <c r="B13291" s="7" t="n">
        <v>353.149993896484</v>
      </c>
      <c r="C13291" s="1" t="n">
        <f aca="false">1/B13291</f>
        <v>0.00283165798466111</v>
      </c>
      <c r="D13291" s="3" t="n">
        <v>0.501000000000001</v>
      </c>
      <c r="E13291" s="1" t="n">
        <f aca="false">LN(D13291)</f>
        <v>-0.69114917789727</v>
      </c>
    </row>
    <row r="13292" customFormat="false" ht="15.75" hidden="false" customHeight="false" outlineLevel="0" collapsed="false">
      <c r="A13292" s="3" t="s">
        <v>208</v>
      </c>
      <c r="B13292" s="7" t="n">
        <v>293.149993896484</v>
      </c>
      <c r="C13292" s="1" t="n">
        <f aca="false">1/B13292</f>
        <v>0.00341122299444126</v>
      </c>
      <c r="D13292" s="3" t="n">
        <v>1.791</v>
      </c>
      <c r="E13292" s="1" t="n">
        <f aca="false">LN(D13292)</f>
        <v>0.582774123078575</v>
      </c>
    </row>
    <row r="13293" customFormat="false" ht="15.75" hidden="false" customHeight="false" outlineLevel="0" collapsed="false">
      <c r="A13293" s="3" t="s">
        <v>208</v>
      </c>
      <c r="B13293" s="7" t="n">
        <v>313.149993896484</v>
      </c>
      <c r="C13293" s="1" t="n">
        <f aca="false">1/B13293</f>
        <v>0.00319335787798407</v>
      </c>
      <c r="D13293" s="3" t="n">
        <v>1.235</v>
      </c>
      <c r="E13293" s="1" t="n">
        <f aca="false">LN(D13293)</f>
        <v>0.211070970079941</v>
      </c>
    </row>
    <row r="13294" customFormat="false" ht="15.75" hidden="false" customHeight="false" outlineLevel="0" collapsed="false">
      <c r="A13294" s="3" t="s">
        <v>208</v>
      </c>
      <c r="B13294" s="7" t="n">
        <v>333.149993896484</v>
      </c>
      <c r="C13294" s="1" t="n">
        <f aca="false">1/B13294</f>
        <v>0.00300165096299152</v>
      </c>
      <c r="D13294" s="3" t="n">
        <v>0.922</v>
      </c>
      <c r="E13294" s="1" t="n">
        <f aca="false">LN(D13294)</f>
        <v>-0.0812100554255432</v>
      </c>
    </row>
    <row r="13295" customFormat="false" ht="15.75" hidden="false" customHeight="false" outlineLevel="0" collapsed="false">
      <c r="A13295" s="3" t="s">
        <v>208</v>
      </c>
      <c r="B13295" s="7" t="n">
        <v>353.149993896484</v>
      </c>
      <c r="C13295" s="1" t="n">
        <f aca="false">1/B13295</f>
        <v>0.00283165798466111</v>
      </c>
      <c r="D13295" s="3" t="n">
        <v>0.714000000000001</v>
      </c>
      <c r="E13295" s="1" t="n">
        <f aca="false">LN(D13295)</f>
        <v>-0.336872316642551</v>
      </c>
    </row>
    <row r="13296" customFormat="false" ht="15.75" hidden="false" customHeight="false" outlineLevel="0" collapsed="false">
      <c r="A13296" s="3" t="s">
        <v>210</v>
      </c>
      <c r="B13296" s="7" t="n">
        <v>273.149993896484</v>
      </c>
      <c r="C13296" s="1" t="n">
        <f aca="false">1/B13296</f>
        <v>0.00366099221067152</v>
      </c>
      <c r="D13296" s="3" t="n">
        <v>0.478500000000001</v>
      </c>
      <c r="E13296" s="1" t="n">
        <f aca="false">LN(D13296)</f>
        <v>-0.737099068089126</v>
      </c>
    </row>
    <row r="13297" customFormat="false" ht="15.75" hidden="false" customHeight="false" outlineLevel="0" collapsed="false">
      <c r="A13297" s="3" t="s">
        <v>210</v>
      </c>
      <c r="B13297" s="7" t="n">
        <v>293.149993896484</v>
      </c>
      <c r="C13297" s="1" t="n">
        <f aca="false">1/B13297</f>
        <v>0.00341122299444126</v>
      </c>
      <c r="D13297" s="3" t="n">
        <v>0.380333333333333</v>
      </c>
      <c r="E13297" s="1" t="n">
        <f aca="false">LN(D13297)</f>
        <v>-0.966707217788172</v>
      </c>
    </row>
    <row r="13298" customFormat="false" ht="15.75" hidden="false" customHeight="false" outlineLevel="0" collapsed="false">
      <c r="A13298" s="3" t="s">
        <v>210</v>
      </c>
      <c r="B13298" s="7" t="n">
        <v>313.149993896484</v>
      </c>
      <c r="C13298" s="1" t="n">
        <f aca="false">1/B13298</f>
        <v>0.00319335787798407</v>
      </c>
      <c r="D13298" s="3" t="n">
        <v>0.308</v>
      </c>
      <c r="E13298" s="1" t="n">
        <f aca="false">LN(D13298)</f>
        <v>-1.17765549600856</v>
      </c>
    </row>
    <row r="13299" customFormat="false" ht="15.75" hidden="false" customHeight="false" outlineLevel="0" collapsed="false">
      <c r="A13299" s="3" t="s">
        <v>212</v>
      </c>
      <c r="B13299" s="7" t="n">
        <v>273.149993896484</v>
      </c>
      <c r="C13299" s="1" t="n">
        <f aca="false">1/B13299</f>
        <v>0.00366099221067152</v>
      </c>
      <c r="D13299" s="3" t="n">
        <v>0.582999999999999</v>
      </c>
      <c r="E13299" s="1" t="n">
        <f aca="false">LN(D13299)</f>
        <v>-0.539568092631646</v>
      </c>
    </row>
    <row r="13300" customFormat="false" ht="15.75" hidden="false" customHeight="false" outlineLevel="0" collapsed="false">
      <c r="A13300" s="3" t="s">
        <v>212</v>
      </c>
      <c r="B13300" s="7" t="n">
        <v>293.149993896484</v>
      </c>
      <c r="C13300" s="1" t="n">
        <f aca="false">1/B13300</f>
        <v>0.00341122299444126</v>
      </c>
      <c r="D13300" s="3" t="n">
        <v>0.452999999999999</v>
      </c>
      <c r="E13300" s="1" t="n">
        <f aca="false">LN(D13300)</f>
        <v>-0.791863153499105</v>
      </c>
    </row>
    <row r="13301" customFormat="false" ht="15.75" hidden="false" customHeight="false" outlineLevel="0" collapsed="false">
      <c r="A13301" s="3" t="s">
        <v>212</v>
      </c>
      <c r="B13301" s="7" t="n">
        <v>313.149993896484</v>
      </c>
      <c r="C13301" s="1" t="n">
        <f aca="false">1/B13301</f>
        <v>0.00319335787798407</v>
      </c>
      <c r="D13301" s="3" t="n">
        <v>0.364</v>
      </c>
      <c r="E13301" s="1" t="n">
        <f aca="false">LN(D13301)</f>
        <v>-1.0106014113454</v>
      </c>
    </row>
    <row r="13302" customFormat="false" ht="15.75" hidden="false" customHeight="false" outlineLevel="0" collapsed="false">
      <c r="A13302" s="3" t="s">
        <v>1553</v>
      </c>
      <c r="B13302" s="7" t="n">
        <v>293.149993896484</v>
      </c>
      <c r="C13302" s="1" t="n">
        <f aca="false">1/B13302</f>
        <v>0.00341122299444126</v>
      </c>
      <c r="D13302" s="3" t="n">
        <v>0.491999999999999</v>
      </c>
      <c r="E13302" s="1" t="n">
        <f aca="false">LN(D13302)</f>
        <v>-0.709276562489831</v>
      </c>
    </row>
    <row r="13303" customFormat="false" ht="15.75" hidden="false" customHeight="false" outlineLevel="0" collapsed="false">
      <c r="A13303" s="3" t="s">
        <v>1554</v>
      </c>
      <c r="B13303" s="7" t="n">
        <v>273.149993896484</v>
      </c>
      <c r="C13303" s="1" t="n">
        <f aca="false">1/B13303</f>
        <v>0.00366099221067152</v>
      </c>
      <c r="D13303" s="3" t="n">
        <v>0.371</v>
      </c>
      <c r="E13303" s="1" t="n">
        <f aca="false">LN(D13303)</f>
        <v>-0.991553216374702</v>
      </c>
    </row>
    <row r="13304" customFormat="false" ht="15.75" hidden="false" customHeight="false" outlineLevel="0" collapsed="false">
      <c r="A13304" s="3" t="s">
        <v>1554</v>
      </c>
      <c r="B13304" s="7" t="n">
        <v>293.149993896484</v>
      </c>
      <c r="C13304" s="1" t="n">
        <f aca="false">1/B13304</f>
        <v>0.00341122299444126</v>
      </c>
      <c r="D13304" s="3" t="n">
        <v>0.299</v>
      </c>
      <c r="E13304" s="1" t="n">
        <f aca="false">LN(D13304)</f>
        <v>-1.20731170559145</v>
      </c>
    </row>
    <row r="13305" customFormat="false" ht="15.75" hidden="false" customHeight="false" outlineLevel="0" collapsed="false">
      <c r="A13305" s="3" t="s">
        <v>1554</v>
      </c>
      <c r="B13305" s="7" t="n">
        <v>313.149993896484</v>
      </c>
      <c r="C13305" s="1" t="n">
        <f aca="false">1/B13305</f>
        <v>0.00319335787798407</v>
      </c>
      <c r="D13305" s="3" t="n">
        <v>0.247</v>
      </c>
      <c r="E13305" s="1" t="n">
        <f aca="false">LN(D13305)</f>
        <v>-1.39836694235416</v>
      </c>
    </row>
    <row r="13306" customFormat="false" ht="15.75" hidden="false" customHeight="false" outlineLevel="0" collapsed="false">
      <c r="A13306" s="3" t="s">
        <v>214</v>
      </c>
      <c r="B13306" s="7" t="n">
        <v>293.149993896484</v>
      </c>
      <c r="C13306" s="1" t="n">
        <f aca="false">1/B13306</f>
        <v>0.00341122299444126</v>
      </c>
      <c r="D13306" s="3" t="n">
        <v>0.804</v>
      </c>
      <c r="E13306" s="1" t="n">
        <f aca="false">LN(D13306)</f>
        <v>-0.218156009803171</v>
      </c>
    </row>
    <row r="13307" customFormat="false" ht="15.75" hidden="false" customHeight="false" outlineLevel="0" collapsed="false">
      <c r="A13307" s="3" t="s">
        <v>216</v>
      </c>
      <c r="B13307" s="7" t="n">
        <v>318.149993896484</v>
      </c>
      <c r="C13307" s="1" t="n">
        <f aca="false">1/B13307</f>
        <v>0.00314317152030299</v>
      </c>
      <c r="D13307" s="3" t="n">
        <v>4.68999999999999</v>
      </c>
      <c r="E13307" s="1" t="n">
        <f aca="false">LN(D13307)</f>
        <v>1.54543258245819</v>
      </c>
    </row>
    <row r="13308" customFormat="false" ht="15.75" hidden="false" customHeight="false" outlineLevel="0" collapsed="false">
      <c r="A13308" s="3" t="s">
        <v>216</v>
      </c>
      <c r="B13308" s="7" t="n">
        <v>358.149993896484</v>
      </c>
      <c r="C13308" s="1" t="n">
        <f aca="false">1/B13308</f>
        <v>0.00279212625168725</v>
      </c>
      <c r="D13308" s="3" t="n">
        <v>2.138</v>
      </c>
      <c r="E13308" s="1" t="n">
        <f aca="false">LN(D13308)</f>
        <v>0.759870812602853</v>
      </c>
    </row>
    <row r="13309" customFormat="false" ht="15.75" hidden="false" customHeight="false" outlineLevel="0" collapsed="false">
      <c r="A13309" s="3" t="s">
        <v>218</v>
      </c>
      <c r="B13309" s="7" t="n">
        <v>343.149993896484</v>
      </c>
      <c r="C13309" s="1" t="n">
        <f aca="false">1/B13309</f>
        <v>0.00291417752524182</v>
      </c>
      <c r="D13309" s="3" t="n">
        <v>2.52</v>
      </c>
      <c r="E13309" s="1" t="n">
        <f aca="false">LN(D13309)</f>
        <v>0.924258901523332</v>
      </c>
    </row>
    <row r="13310" customFormat="false" ht="15.75" hidden="false" customHeight="false" outlineLevel="0" collapsed="false">
      <c r="A13310" s="3" t="s">
        <v>218</v>
      </c>
      <c r="B13310" s="7" t="n">
        <v>353.149993896484</v>
      </c>
      <c r="C13310" s="1" t="n">
        <f aca="false">1/B13310</f>
        <v>0.00283165798466111</v>
      </c>
      <c r="D13310" s="3" t="n">
        <v>2.12</v>
      </c>
      <c r="E13310" s="1" t="n">
        <f aca="false">LN(D13310)</f>
        <v>0.751416088683921</v>
      </c>
    </row>
    <row r="13311" customFormat="false" ht="15.75" hidden="false" customHeight="false" outlineLevel="0" collapsed="false">
      <c r="A13311" s="3" t="s">
        <v>218</v>
      </c>
      <c r="B13311" s="7" t="n">
        <v>363.149993896484</v>
      </c>
      <c r="C13311" s="1" t="n">
        <f aca="false">1/B13311</f>
        <v>0.00275368309736238</v>
      </c>
      <c r="D13311" s="3" t="n">
        <v>1.81</v>
      </c>
      <c r="E13311" s="1" t="n">
        <f aca="false">LN(D13311)</f>
        <v>0.593326845277734</v>
      </c>
    </row>
    <row r="13312" customFormat="false" ht="15.75" hidden="false" customHeight="false" outlineLevel="0" collapsed="false">
      <c r="A13312" s="3" t="s">
        <v>1328</v>
      </c>
      <c r="B13312" s="7" t="n">
        <v>295.149993896484</v>
      </c>
      <c r="C13312" s="1" t="n">
        <f aca="false">1/B13312</f>
        <v>0.00338810781189012</v>
      </c>
      <c r="D13312" s="3" t="n">
        <v>3.99999999999999</v>
      </c>
      <c r="E13312" s="1" t="n">
        <f aca="false">LN(D13312)</f>
        <v>1.38629436111989</v>
      </c>
    </row>
    <row r="13313" customFormat="false" ht="15.75" hidden="false" customHeight="false" outlineLevel="0" collapsed="false">
      <c r="A13313" s="3" t="s">
        <v>1328</v>
      </c>
      <c r="B13313" s="7" t="n">
        <v>300.149993896484</v>
      </c>
      <c r="C13313" s="1" t="n">
        <f aca="false">1/B13313</f>
        <v>0.00333166756733262</v>
      </c>
      <c r="D13313" s="3" t="n">
        <v>3.52600000000001</v>
      </c>
      <c r="E13313" s="1" t="n">
        <f aca="false">LN(D13313)</f>
        <v>1.26016408397568</v>
      </c>
    </row>
    <row r="13314" customFormat="false" ht="15.75" hidden="false" customHeight="false" outlineLevel="0" collapsed="false">
      <c r="A13314" s="3" t="s">
        <v>1328</v>
      </c>
      <c r="B13314" s="7" t="n">
        <v>310.950012207031</v>
      </c>
      <c r="C13314" s="1" t="n">
        <f aca="false">1/B13314</f>
        <v>0.00321595099129373</v>
      </c>
      <c r="D13314" s="3" t="n">
        <v>2.742</v>
      </c>
      <c r="E13314" s="1" t="n">
        <f aca="false">LN(D13314)</f>
        <v>1.00868758114012</v>
      </c>
    </row>
    <row r="13315" customFormat="false" ht="15.75" hidden="false" customHeight="false" outlineLevel="0" collapsed="false">
      <c r="A13315" s="3" t="s">
        <v>1328</v>
      </c>
      <c r="B13315" s="7" t="n">
        <v>323.149993896484</v>
      </c>
      <c r="C13315" s="1" t="n">
        <f aca="false">1/B13315</f>
        <v>0.00309453819863086</v>
      </c>
      <c r="D13315" s="3" t="n">
        <v>2.1696</v>
      </c>
      <c r="E13315" s="1" t="n">
        <f aca="false">LN(D13315)</f>
        <v>0.774542818763939</v>
      </c>
    </row>
    <row r="13316" customFormat="false" ht="15.75" hidden="false" customHeight="false" outlineLevel="0" collapsed="false">
      <c r="A13316" s="3" t="s">
        <v>1328</v>
      </c>
      <c r="B13316" s="7" t="n">
        <v>333.149993896484</v>
      </c>
      <c r="C13316" s="1" t="n">
        <f aca="false">1/B13316</f>
        <v>0.00300165096299152</v>
      </c>
      <c r="D13316" s="3" t="n">
        <v>1.795</v>
      </c>
      <c r="E13316" s="1" t="n">
        <f aca="false">LN(D13316)</f>
        <v>0.585005021940242</v>
      </c>
    </row>
    <row r="13317" customFormat="false" ht="15.75" hidden="false" customHeight="false" outlineLevel="0" collapsed="false">
      <c r="A13317" s="3" t="s">
        <v>1328</v>
      </c>
      <c r="B13317" s="7" t="n">
        <v>372.049987792969</v>
      </c>
      <c r="C13317" s="1" t="n">
        <f aca="false">1/B13317</f>
        <v>0.0026878108663088</v>
      </c>
      <c r="D13317" s="3" t="n">
        <v>1.024</v>
      </c>
      <c r="E13317" s="1" t="n">
        <f aca="false">LN(D13317)</f>
        <v>0.0237165266173161</v>
      </c>
    </row>
    <row r="13318" customFormat="false" ht="15.75" hidden="false" customHeight="false" outlineLevel="0" collapsed="false">
      <c r="A13318" s="3" t="s">
        <v>1328</v>
      </c>
      <c r="B13318" s="7" t="n">
        <v>373.149993896484</v>
      </c>
      <c r="C13318" s="1" t="n">
        <f aca="false">1/B13318</f>
        <v>0.00267988748856153</v>
      </c>
      <c r="D13318" s="3" t="n">
        <v>1.0215</v>
      </c>
      <c r="E13318" s="1" t="n">
        <f aca="false">LN(D13318)</f>
        <v>0.0212721352755398</v>
      </c>
    </row>
    <row r="13319" customFormat="false" ht="15.75" hidden="false" customHeight="false" outlineLevel="0" collapsed="false">
      <c r="A13319" s="3" t="s">
        <v>1328</v>
      </c>
      <c r="B13319" s="7" t="n">
        <v>423.149993896484</v>
      </c>
      <c r="C13319" s="1" t="n">
        <f aca="false">1/B13319</f>
        <v>0.00236322820376699</v>
      </c>
      <c r="D13319" s="3" t="n">
        <v>0.598599999999999</v>
      </c>
      <c r="E13319" s="1" t="n">
        <f aca="false">LN(D13319)</f>
        <v>-0.51316168356354</v>
      </c>
    </row>
    <row r="13320" customFormat="false" ht="15.75" hidden="false" customHeight="false" outlineLevel="0" collapsed="false">
      <c r="A13320" s="3" t="s">
        <v>1328</v>
      </c>
      <c r="B13320" s="7" t="n">
        <v>473.149993896484</v>
      </c>
      <c r="C13320" s="1" t="n">
        <f aca="false">1/B13320</f>
        <v>0.00211349469068952</v>
      </c>
      <c r="D13320" s="3" t="n">
        <v>0.39</v>
      </c>
      <c r="E13320" s="1" t="n">
        <f aca="false">LN(D13320)</f>
        <v>-0.941608539858445</v>
      </c>
    </row>
    <row r="13321" customFormat="false" ht="15.75" hidden="false" customHeight="false" outlineLevel="0" collapsed="false">
      <c r="A13321" s="3" t="s">
        <v>1328</v>
      </c>
      <c r="B13321" s="7" t="n">
        <v>523.150024414062</v>
      </c>
      <c r="C13321" s="1" t="n">
        <f aca="false">1/B13321</f>
        <v>0.0019114975692107</v>
      </c>
      <c r="D13321" s="3" t="n">
        <v>0.2813</v>
      </c>
      <c r="E13321" s="1" t="n">
        <f aca="false">LN(D13321)</f>
        <v>-1.26833356348633</v>
      </c>
    </row>
    <row r="13322" customFormat="false" ht="15.75" hidden="false" customHeight="false" outlineLevel="0" collapsed="false">
      <c r="A13322" s="3" t="s">
        <v>1328</v>
      </c>
      <c r="B13322" s="7" t="n">
        <v>573.150024414062</v>
      </c>
      <c r="C13322" s="1" t="n">
        <f aca="false">1/B13322</f>
        <v>0.00174474388450443</v>
      </c>
      <c r="D13322" s="3" t="n">
        <v>0.2023</v>
      </c>
      <c r="E13322" s="1" t="n">
        <f aca="false">LN(D13322)</f>
        <v>-1.59800353480844</v>
      </c>
    </row>
    <row r="13323" customFormat="false" ht="15.75" hidden="false" customHeight="false" outlineLevel="0" collapsed="false">
      <c r="A13323" s="3" t="s">
        <v>1330</v>
      </c>
      <c r="B13323" s="7" t="n">
        <v>333.149993896484</v>
      </c>
      <c r="C13323" s="1" t="n">
        <f aca="false">1/B13323</f>
        <v>0.00300165096299152</v>
      </c>
      <c r="D13323" s="3" t="n">
        <v>5.17333333333332</v>
      </c>
      <c r="E13323" s="1" t="n">
        <f aca="false">LN(D13323)</f>
        <v>1.64351722608696</v>
      </c>
    </row>
    <row r="13324" customFormat="false" ht="15.75" hidden="false" customHeight="false" outlineLevel="0" collapsed="false">
      <c r="A13324" s="3" t="s">
        <v>1330</v>
      </c>
      <c r="B13324" s="7" t="n">
        <v>372.049987792969</v>
      </c>
      <c r="C13324" s="1" t="n">
        <f aca="false">1/B13324</f>
        <v>0.0026878108663088</v>
      </c>
      <c r="D13324" s="3" t="n">
        <v>2.48</v>
      </c>
      <c r="E13324" s="1" t="n">
        <f aca="false">LN(D13324)</f>
        <v>0.908258560176891</v>
      </c>
    </row>
    <row r="13325" customFormat="false" ht="15.75" hidden="false" customHeight="false" outlineLevel="0" collapsed="false">
      <c r="A13325" s="3" t="s">
        <v>1330</v>
      </c>
      <c r="B13325" s="7" t="n">
        <v>422.049987792969</v>
      </c>
      <c r="C13325" s="1" t="n">
        <f aca="false">1/B13325</f>
        <v>0.00236938758185804</v>
      </c>
      <c r="D13325" s="3" t="n">
        <v>1.28</v>
      </c>
      <c r="E13325" s="1" t="n">
        <f aca="false">LN(D13325)</f>
        <v>0.246860077931526</v>
      </c>
    </row>
    <row r="13326" customFormat="false" ht="15.75" hidden="false" customHeight="false" outlineLevel="0" collapsed="false">
      <c r="A13326" s="3" t="s">
        <v>1330</v>
      </c>
      <c r="B13326" s="7" t="n">
        <v>422.149993896484</v>
      </c>
      <c r="C13326" s="1" t="n">
        <f aca="false">1/B13326</f>
        <v>0.0023688262808437</v>
      </c>
      <c r="D13326" s="3" t="n">
        <v>1.279</v>
      </c>
      <c r="E13326" s="1" t="n">
        <f aca="false">LN(D13326)</f>
        <v>0.246078522596706</v>
      </c>
    </row>
    <row r="13327" customFormat="false" ht="15.75" hidden="false" customHeight="false" outlineLevel="0" collapsed="false">
      <c r="A13327" s="3" t="s">
        <v>1330</v>
      </c>
      <c r="B13327" s="7" t="n">
        <v>477.149993896484</v>
      </c>
      <c r="C13327" s="1" t="n">
        <f aca="false">1/B13327</f>
        <v>0.00209577703613457</v>
      </c>
      <c r="D13327" s="3" t="n">
        <v>0.7475</v>
      </c>
      <c r="E13327" s="1" t="n">
        <f aca="false">LN(D13327)</f>
        <v>-0.291020973717295</v>
      </c>
    </row>
    <row r="13328" customFormat="false" ht="15.75" hidden="false" customHeight="false" outlineLevel="0" collapsed="false">
      <c r="A13328" s="3" t="s">
        <v>1330</v>
      </c>
      <c r="B13328" s="7" t="n">
        <v>477.549987792969</v>
      </c>
      <c r="C13328" s="1" t="n">
        <f aca="false">1/B13328</f>
        <v>0.00209402162194909</v>
      </c>
      <c r="D13328" s="3" t="n">
        <v>0.747699999999999</v>
      </c>
      <c r="E13328" s="1" t="n">
        <f aca="false">LN(D13328)</f>
        <v>-0.290753450976268</v>
      </c>
    </row>
    <row r="13329" customFormat="false" ht="15.75" hidden="false" customHeight="false" outlineLevel="0" collapsed="false">
      <c r="A13329" s="3" t="s">
        <v>1332</v>
      </c>
      <c r="B13329" s="7" t="n">
        <v>293.149993896484</v>
      </c>
      <c r="C13329" s="1" t="n">
        <f aca="false">1/B13329</f>
        <v>0.00341122299444126</v>
      </c>
      <c r="D13329" s="3" t="n">
        <v>3.4915</v>
      </c>
      <c r="E13329" s="1" t="n">
        <f aca="false">LN(D13329)</f>
        <v>1.25033144330395</v>
      </c>
    </row>
    <row r="13330" customFormat="false" ht="15.75" hidden="false" customHeight="false" outlineLevel="0" collapsed="false">
      <c r="A13330" s="3" t="s">
        <v>1332</v>
      </c>
      <c r="B13330" s="7" t="n">
        <v>294.149993896484</v>
      </c>
      <c r="C13330" s="1" t="n">
        <f aca="false">1/B13330</f>
        <v>0.0033996261116766</v>
      </c>
      <c r="D13330" s="3" t="n">
        <v>3.4</v>
      </c>
      <c r="E13330" s="1" t="n">
        <f aca="false">LN(D13330)</f>
        <v>1.22377543162212</v>
      </c>
    </row>
    <row r="13331" customFormat="false" ht="15.75" hidden="false" customHeight="false" outlineLevel="0" collapsed="false">
      <c r="A13331" s="3" t="s">
        <v>1332</v>
      </c>
      <c r="B13331" s="7" t="n">
        <v>298.149993896484</v>
      </c>
      <c r="C13331" s="1" t="n">
        <f aca="false">1/B13331</f>
        <v>0.00335401650334158</v>
      </c>
      <c r="D13331" s="3" t="n">
        <v>3.1</v>
      </c>
      <c r="E13331" s="1" t="n">
        <f aca="false">LN(D13331)</f>
        <v>1.1314021114911</v>
      </c>
    </row>
    <row r="13332" customFormat="false" ht="15.75" hidden="false" customHeight="false" outlineLevel="0" collapsed="false">
      <c r="A13332" s="3" t="s">
        <v>1332</v>
      </c>
      <c r="B13332" s="7" t="n">
        <v>310.950012207031</v>
      </c>
      <c r="C13332" s="1" t="n">
        <f aca="false">1/B13332</f>
        <v>0.00321595099129373</v>
      </c>
      <c r="D13332" s="3" t="n">
        <v>2.331</v>
      </c>
      <c r="E13332" s="1" t="n">
        <f aca="false">LN(D13332)</f>
        <v>0.84629736005362</v>
      </c>
    </row>
    <row r="13333" customFormat="false" ht="15.75" hidden="false" customHeight="false" outlineLevel="0" collapsed="false">
      <c r="A13333" s="3" t="s">
        <v>1332</v>
      </c>
      <c r="B13333" s="7" t="n">
        <v>323.149993896484</v>
      </c>
      <c r="C13333" s="1" t="n">
        <f aca="false">1/B13333</f>
        <v>0.00309453819863086</v>
      </c>
      <c r="D13333" s="3" t="n">
        <v>1.91</v>
      </c>
      <c r="E13333" s="1" t="n">
        <f aca="false">LN(D13333)</f>
        <v>0.647103242058538</v>
      </c>
    </row>
    <row r="13334" customFormat="false" ht="15.75" hidden="false" customHeight="false" outlineLevel="0" collapsed="false">
      <c r="A13334" s="3" t="s">
        <v>1332</v>
      </c>
      <c r="B13334" s="7" t="n">
        <v>333.149993896484</v>
      </c>
      <c r="C13334" s="1" t="n">
        <f aca="false">1/B13334</f>
        <v>0.00300165096299152</v>
      </c>
      <c r="D13334" s="3" t="n">
        <v>1.559</v>
      </c>
      <c r="E13334" s="1" t="n">
        <f aca="false">LN(D13334)</f>
        <v>0.444044590075639</v>
      </c>
    </row>
    <row r="13335" customFormat="false" ht="15.75" hidden="false" customHeight="false" outlineLevel="0" collapsed="false">
      <c r="A13335" s="3" t="s">
        <v>1332</v>
      </c>
      <c r="B13335" s="7" t="n">
        <v>371.149993896484</v>
      </c>
      <c r="C13335" s="1" t="n">
        <f aca="false">1/B13335</f>
        <v>0.00269432848294457</v>
      </c>
      <c r="D13335" s="3" t="n">
        <v>0.950000000000002</v>
      </c>
      <c r="E13335" s="1" t="n">
        <f aca="false">LN(D13335)</f>
        <v>-0.0512932943875485</v>
      </c>
    </row>
    <row r="13336" customFormat="false" ht="15.75" hidden="false" customHeight="false" outlineLevel="0" collapsed="false">
      <c r="A13336" s="3" t="s">
        <v>1332</v>
      </c>
      <c r="B13336" s="7" t="n">
        <v>372.049987792969</v>
      </c>
      <c r="C13336" s="1" t="n">
        <f aca="false">1/B13336</f>
        <v>0.0026878108663088</v>
      </c>
      <c r="D13336" s="3" t="n">
        <v>0.905399999999999</v>
      </c>
      <c r="E13336" s="1" t="n">
        <f aca="false">LN(D13336)</f>
        <v>-0.09937844398028</v>
      </c>
    </row>
    <row r="13337" customFormat="false" ht="15.75" hidden="false" customHeight="false" outlineLevel="0" collapsed="false">
      <c r="A13337" s="3" t="s">
        <v>1332</v>
      </c>
      <c r="B13337" s="7" t="n">
        <v>373.149993896484</v>
      </c>
      <c r="C13337" s="1" t="n">
        <f aca="false">1/B13337</f>
        <v>0.00267988748856153</v>
      </c>
      <c r="D13337" s="3" t="n">
        <v>0.880000000000002</v>
      </c>
      <c r="E13337" s="1" t="n">
        <f aca="false">LN(D13337)</f>
        <v>-0.127833371509883</v>
      </c>
    </row>
    <row r="13338" customFormat="false" ht="15.75" hidden="false" customHeight="false" outlineLevel="0" collapsed="false">
      <c r="A13338" s="3" t="s">
        <v>1332</v>
      </c>
      <c r="B13338" s="7" t="n">
        <v>443.149993896484</v>
      </c>
      <c r="C13338" s="1" t="n">
        <f aca="false">1/B13338</f>
        <v>0.00225657229780667</v>
      </c>
      <c r="D13338" s="3" t="n">
        <v>0.469000000000001</v>
      </c>
      <c r="E13338" s="1" t="n">
        <f aca="false">LN(D13338)</f>
        <v>-0.757152510535856</v>
      </c>
    </row>
    <row r="13339" customFormat="false" ht="15.75" hidden="false" customHeight="false" outlineLevel="0" collapsed="false">
      <c r="A13339" s="3" t="s">
        <v>1332</v>
      </c>
      <c r="B13339" s="7" t="n">
        <v>513.150024414063</v>
      </c>
      <c r="C13339" s="1" t="n">
        <f aca="false">1/B13339</f>
        <v>0.00194874783674003</v>
      </c>
      <c r="D13339" s="3" t="n">
        <v>0.277</v>
      </c>
      <c r="E13339" s="1" t="n">
        <f aca="false">LN(D13339)</f>
        <v>-1.2837377727948</v>
      </c>
    </row>
    <row r="13340" customFormat="false" ht="15.75" hidden="false" customHeight="false" outlineLevel="0" collapsed="false">
      <c r="A13340" s="3" t="s">
        <v>1332</v>
      </c>
      <c r="B13340" s="7" t="n">
        <v>564.150024414063</v>
      </c>
      <c r="C13340" s="1" t="n">
        <f aca="false">1/B13340</f>
        <v>0.00177257813830394</v>
      </c>
      <c r="D13340" s="3" t="n">
        <v>0.205</v>
      </c>
      <c r="E13340" s="1" t="n">
        <f aca="false">LN(D13340)</f>
        <v>-1.58474529984373</v>
      </c>
    </row>
    <row r="13341" customFormat="false" ht="15.75" hidden="false" customHeight="false" outlineLevel="0" collapsed="false">
      <c r="A13341" s="3" t="s">
        <v>276</v>
      </c>
      <c r="B13341" s="7" t="n">
        <v>343.149993896484</v>
      </c>
      <c r="C13341" s="1" t="n">
        <f aca="false">1/B13341</f>
        <v>0.00291417752524182</v>
      </c>
      <c r="D13341" s="3" t="n">
        <v>6.04</v>
      </c>
      <c r="E13341" s="1" t="n">
        <f aca="false">LN(D13341)</f>
        <v>1.79840401194672</v>
      </c>
    </row>
    <row r="13342" customFormat="false" ht="15.75" hidden="false" customHeight="false" outlineLevel="0" collapsed="false">
      <c r="A13342" s="3" t="s">
        <v>276</v>
      </c>
      <c r="B13342" s="7" t="n">
        <v>353.149993896484</v>
      </c>
      <c r="C13342" s="1" t="n">
        <f aca="false">1/B13342</f>
        <v>0.00283165798466111</v>
      </c>
      <c r="D13342" s="3" t="n">
        <v>4.86999999999999</v>
      </c>
      <c r="E13342" s="1" t="n">
        <f aca="false">LN(D13342)</f>
        <v>1.5830939370945</v>
      </c>
    </row>
    <row r="13343" customFormat="false" ht="15.75" hidden="false" customHeight="false" outlineLevel="0" collapsed="false">
      <c r="A13343" s="3" t="s">
        <v>276</v>
      </c>
      <c r="B13343" s="7" t="n">
        <v>363.149993896484</v>
      </c>
      <c r="C13343" s="1" t="n">
        <f aca="false">1/B13343</f>
        <v>0.00275368309736238</v>
      </c>
      <c r="D13343" s="3" t="n">
        <v>4.03999999999999</v>
      </c>
      <c r="E13343" s="1" t="n">
        <f aca="false">LN(D13343)</f>
        <v>1.39624469197306</v>
      </c>
    </row>
    <row r="13344" customFormat="false" ht="15.75" hidden="false" customHeight="false" outlineLevel="0" collapsed="false">
      <c r="A13344" s="3" t="s">
        <v>1334</v>
      </c>
      <c r="B13344" s="7" t="n">
        <v>333.149993896484</v>
      </c>
      <c r="C13344" s="1" t="n">
        <f aca="false">1/B13344</f>
        <v>0.00300165096299152</v>
      </c>
      <c r="D13344" s="3" t="n">
        <v>3.75899999999999</v>
      </c>
      <c r="E13344" s="1" t="n">
        <f aca="false">LN(D13344)</f>
        <v>1.32415296458204</v>
      </c>
    </row>
    <row r="13345" customFormat="false" ht="15.75" hidden="false" customHeight="false" outlineLevel="0" collapsed="false">
      <c r="A13345" s="3" t="s">
        <v>1334</v>
      </c>
      <c r="B13345" s="7" t="n">
        <v>343.149993896484</v>
      </c>
      <c r="C13345" s="1" t="n">
        <f aca="false">1/B13345</f>
        <v>0.00291417752524182</v>
      </c>
      <c r="D13345" s="3" t="n">
        <v>3.12</v>
      </c>
      <c r="E13345" s="1" t="n">
        <f aca="false">LN(D13345)</f>
        <v>1.13783300182139</v>
      </c>
    </row>
    <row r="13346" customFormat="false" ht="15.75" hidden="false" customHeight="false" outlineLevel="0" collapsed="false">
      <c r="A13346" s="3" t="s">
        <v>1334</v>
      </c>
      <c r="B13346" s="7" t="n">
        <v>353.149993896484</v>
      </c>
      <c r="C13346" s="1" t="n">
        <f aca="false">1/B13346</f>
        <v>0.00283165798466111</v>
      </c>
      <c r="D13346" s="3" t="n">
        <v>2.61</v>
      </c>
      <c r="E13346" s="1" t="n">
        <f aca="false">LN(D13346)</f>
        <v>0.959350221334602</v>
      </c>
    </row>
    <row r="13347" customFormat="false" ht="15.75" hidden="false" customHeight="false" outlineLevel="0" collapsed="false">
      <c r="A13347" s="3" t="s">
        <v>1334</v>
      </c>
      <c r="B13347" s="7" t="n">
        <v>363.149993896484</v>
      </c>
      <c r="C13347" s="1" t="n">
        <f aca="false">1/B13347</f>
        <v>0.00275368309736238</v>
      </c>
      <c r="D13347" s="3" t="n">
        <v>2.2</v>
      </c>
      <c r="E13347" s="1" t="n">
        <f aca="false">LN(D13347)</f>
        <v>0.78845736036427</v>
      </c>
    </row>
    <row r="13348" customFormat="false" ht="15.75" hidden="false" customHeight="false" outlineLevel="0" collapsed="false">
      <c r="A13348" s="3" t="s">
        <v>1334</v>
      </c>
      <c r="B13348" s="7" t="n">
        <v>372.040008544922</v>
      </c>
      <c r="C13348" s="1" t="n">
        <f aca="false">1/B13348</f>
        <v>0.0026878829615962</v>
      </c>
      <c r="D13348" s="3" t="n">
        <v>1.926</v>
      </c>
      <c r="E13348" s="1" t="n">
        <f aca="false">LN(D13348)</f>
        <v>0.655445313375934</v>
      </c>
    </row>
    <row r="13349" customFormat="false" ht="15.75" hidden="false" customHeight="false" outlineLevel="0" collapsed="false">
      <c r="A13349" s="3" t="s">
        <v>1334</v>
      </c>
      <c r="B13349" s="7" t="n">
        <v>388.149993896484</v>
      </c>
      <c r="C13349" s="1" t="n">
        <f aca="false">1/B13349</f>
        <v>0.00257632362675417</v>
      </c>
      <c r="D13349" s="3" t="n">
        <v>1.501</v>
      </c>
      <c r="E13349" s="1" t="n">
        <f aca="false">LN(D13349)</f>
        <v>0.406131552651325</v>
      </c>
    </row>
    <row r="13350" customFormat="false" ht="15.75" hidden="false" customHeight="false" outlineLevel="0" collapsed="false">
      <c r="A13350" s="3" t="s">
        <v>1334</v>
      </c>
      <c r="B13350" s="7" t="n">
        <v>408.149993896484</v>
      </c>
      <c r="C13350" s="1" t="n">
        <f aca="false">1/B13350</f>
        <v>0.00245007966422663</v>
      </c>
      <c r="D13350" s="3" t="n">
        <v>1.165</v>
      </c>
      <c r="E13350" s="1" t="n">
        <f aca="false">LN(D13350)</f>
        <v>0.152721087017664</v>
      </c>
    </row>
    <row r="13351" customFormat="false" ht="15.75" hidden="false" customHeight="false" outlineLevel="0" collapsed="false">
      <c r="A13351" s="1" t="s">
        <v>1336</v>
      </c>
      <c r="B13351" s="7" t="n">
        <v>293.15</v>
      </c>
      <c r="C13351" s="1" t="n">
        <f aca="false">1/B13351</f>
        <v>0.00341122292341805</v>
      </c>
      <c r="D13351" s="3" t="n">
        <v>1.13</v>
      </c>
      <c r="E13351" s="1" t="n">
        <f aca="false">LN(D13351)</f>
        <v>0.122217632724249</v>
      </c>
    </row>
    <row r="13352" customFormat="false" ht="15.75" hidden="false" customHeight="false" outlineLevel="0" collapsed="false">
      <c r="A13352" s="1" t="s">
        <v>1336</v>
      </c>
      <c r="B13352" s="7" t="n">
        <v>303.15</v>
      </c>
      <c r="C13352" s="1" t="n">
        <f aca="false">1/B13352</f>
        <v>0.0032986970146792</v>
      </c>
      <c r="D13352" s="3" t="n">
        <v>0.953</v>
      </c>
      <c r="E13352" s="1" t="n">
        <f aca="false">LN(D13352)</f>
        <v>-0.048140375327935</v>
      </c>
    </row>
    <row r="13353" customFormat="false" ht="15.75" hidden="false" customHeight="false" outlineLevel="0" collapsed="false">
      <c r="A13353" s="1" t="s">
        <v>1336</v>
      </c>
      <c r="B13353" s="7" t="n">
        <v>315.15</v>
      </c>
      <c r="C13353" s="1" t="n">
        <f aca="false">1/B13353</f>
        <v>0.00317309217832778</v>
      </c>
      <c r="D13353" s="3" t="n">
        <v>0.816</v>
      </c>
      <c r="E13353" s="1" t="n">
        <f aca="false">LN(D13353)</f>
        <v>-0.20334092401803</v>
      </c>
    </row>
    <row r="13354" customFormat="false" ht="15.75" hidden="false" customHeight="false" outlineLevel="0" collapsed="false">
      <c r="A13354" s="1" t="s">
        <v>1336</v>
      </c>
      <c r="B13354" s="7" t="n">
        <v>323.15</v>
      </c>
      <c r="C13354" s="1" t="n">
        <f aca="false">1/B13354</f>
        <v>0.00309453814018258</v>
      </c>
      <c r="D13354" s="3" t="n">
        <v>0.703</v>
      </c>
      <c r="E13354" s="1" t="n">
        <f aca="false">LN(D13354)</f>
        <v>-0.352398387171472</v>
      </c>
    </row>
    <row r="13355" customFormat="false" ht="15.75" hidden="false" customHeight="false" outlineLevel="0" collapsed="false">
      <c r="A13355" s="1" t="s">
        <v>1336</v>
      </c>
      <c r="B13355" s="7" t="n">
        <v>333.15</v>
      </c>
      <c r="C13355" s="1" t="n">
        <f aca="false">1/B13355</f>
        <v>0.0030016509079994</v>
      </c>
      <c r="D13355" s="3" t="n">
        <v>0.613</v>
      </c>
      <c r="E13355" s="1" t="n">
        <f aca="false">LN(D13355)</f>
        <v>-0.489390343045926</v>
      </c>
    </row>
    <row r="13356" customFormat="false" ht="15.75" hidden="false" customHeight="false" outlineLevel="0" collapsed="false">
      <c r="A13356" s="1" t="s">
        <v>220</v>
      </c>
      <c r="B13356" s="7" t="n">
        <v>293.15</v>
      </c>
      <c r="C13356" s="1" t="n">
        <f aca="false">1/B13356</f>
        <v>0.00341122292341805</v>
      </c>
      <c r="D13356" s="3" t="n">
        <v>1.995</v>
      </c>
      <c r="E13356" s="1" t="n">
        <f aca="false">LN(D13356)</f>
        <v>0.690644050341827</v>
      </c>
    </row>
    <row r="13357" customFormat="false" ht="15.75" hidden="false" customHeight="false" outlineLevel="0" collapsed="false">
      <c r="A13357" s="1" t="s">
        <v>220</v>
      </c>
      <c r="B13357" s="7" t="n">
        <v>303.15</v>
      </c>
      <c r="C13357" s="1" t="n">
        <f aca="false">1/B13357</f>
        <v>0.0032986970146792</v>
      </c>
      <c r="D13357" s="3" t="n">
        <v>1.543</v>
      </c>
      <c r="E13357" s="1" t="n">
        <f aca="false">LN(D13357)</f>
        <v>0.433728573381024</v>
      </c>
    </row>
    <row r="13358" customFormat="false" ht="15.75" hidden="false" customHeight="false" outlineLevel="0" collapsed="false">
      <c r="A13358" s="1" t="s">
        <v>220</v>
      </c>
      <c r="B13358" s="7" t="n">
        <v>313.15</v>
      </c>
      <c r="C13358" s="1" t="n">
        <f aca="false">1/B13358</f>
        <v>0.00319335781574325</v>
      </c>
      <c r="D13358" s="3" t="n">
        <v>1.216</v>
      </c>
      <c r="E13358" s="1" t="n">
        <f aca="false">LN(D13358)</f>
        <v>0.195566783543975</v>
      </c>
    </row>
    <row r="13359" customFormat="false" ht="15.75" hidden="false" customHeight="false" outlineLevel="0" collapsed="false">
      <c r="A13359" s="1" t="s">
        <v>220</v>
      </c>
      <c r="B13359" s="7" t="n">
        <v>333.15</v>
      </c>
      <c r="C13359" s="1" t="n">
        <f aca="false">1/B13359</f>
        <v>0.0030016509079994</v>
      </c>
      <c r="D13359" s="3" t="n">
        <v>0.796</v>
      </c>
      <c r="E13359" s="1" t="n">
        <f aca="false">LN(D13359)</f>
        <v>-0.228156093137754</v>
      </c>
    </row>
    <row r="13360" customFormat="false" ht="15.75" hidden="false" customHeight="false" outlineLevel="0" collapsed="false">
      <c r="A13360" s="1" t="s">
        <v>1338</v>
      </c>
      <c r="B13360" s="7" t="n">
        <v>291.35</v>
      </c>
      <c r="C13360" s="1" t="n">
        <f aca="false">1/B13360</f>
        <v>0.00343229792345976</v>
      </c>
      <c r="D13360" s="3" t="n">
        <v>1.659</v>
      </c>
      <c r="E13360" s="1" t="n">
        <f aca="false">LN(D13360)</f>
        <v>0.506215011208307</v>
      </c>
    </row>
    <row r="13361" customFormat="false" ht="15.75" hidden="false" customHeight="false" outlineLevel="0" collapsed="false">
      <c r="A13361" s="1" t="s">
        <v>1338</v>
      </c>
      <c r="B13361" s="7" t="n">
        <v>320.85</v>
      </c>
      <c r="C13361" s="1" t="n">
        <f aca="false">1/B13361</f>
        <v>0.00311672120928783</v>
      </c>
      <c r="D13361" s="3" t="n">
        <v>1.019</v>
      </c>
      <c r="E13361" s="1" t="n">
        <f aca="false">LN(D13361)</f>
        <v>0.0188217542405877</v>
      </c>
    </row>
    <row r="13362" customFormat="false" ht="15.75" hidden="false" customHeight="false" outlineLevel="0" collapsed="false">
      <c r="A13362" s="1" t="s">
        <v>1338</v>
      </c>
      <c r="B13362" s="7" t="n">
        <v>334.25</v>
      </c>
      <c r="C13362" s="1" t="n">
        <f aca="false">1/B13362</f>
        <v>0.00299177262528048</v>
      </c>
      <c r="D13362" s="3" t="n">
        <v>0.844</v>
      </c>
      <c r="E13362" s="1" t="n">
        <f aca="false">LN(D13362)</f>
        <v>-0.16960278438618</v>
      </c>
    </row>
    <row r="13363" customFormat="false" ht="15.75" hidden="false" customHeight="false" outlineLevel="0" collapsed="false">
      <c r="A13363" s="1" t="s">
        <v>1338</v>
      </c>
      <c r="B13363" s="7" t="n">
        <v>346.95</v>
      </c>
      <c r="C13363" s="1" t="n">
        <f aca="false">1/B13363</f>
        <v>0.00288225969159821</v>
      </c>
      <c r="D13363" s="3" t="n">
        <v>0.723</v>
      </c>
      <c r="E13363" s="1" t="n">
        <f aca="false">LN(D13363)</f>
        <v>-0.324346056823372</v>
      </c>
    </row>
    <row r="13364" customFormat="false" ht="15.75" hidden="false" customHeight="false" outlineLevel="0" collapsed="false">
      <c r="A13364" s="1" t="s">
        <v>1338</v>
      </c>
      <c r="B13364" s="7" t="n">
        <v>359.45</v>
      </c>
      <c r="C13364" s="1" t="n">
        <f aca="false">1/B13364</f>
        <v>0.00278202809848379</v>
      </c>
      <c r="D13364" s="3" t="n">
        <v>0.6258</v>
      </c>
      <c r="E13364" s="1" t="n">
        <f aca="false">LN(D13364)</f>
        <v>-0.468724447747355</v>
      </c>
    </row>
    <row r="13365" customFormat="false" ht="15.75" hidden="false" customHeight="false" outlineLevel="0" collapsed="false">
      <c r="A13365" s="1" t="s">
        <v>1338</v>
      </c>
      <c r="B13365" s="7" t="n">
        <v>370.95</v>
      </c>
      <c r="C13365" s="1" t="n">
        <f aca="false">1/B13365</f>
        <v>0.00269578110257447</v>
      </c>
      <c r="D13365" s="3" t="n">
        <v>0.5536</v>
      </c>
      <c r="E13365" s="1" t="n">
        <f aca="false">LN(D13365)</f>
        <v>-0.591312874678677</v>
      </c>
    </row>
    <row r="13366" customFormat="false" ht="15.75" hidden="false" customHeight="false" outlineLevel="0" collapsed="false">
      <c r="A13366" s="1" t="s">
        <v>1338</v>
      </c>
      <c r="B13366" s="7" t="n">
        <v>383.25</v>
      </c>
      <c r="C13366" s="1" t="n">
        <f aca="false">1/B13366</f>
        <v>0.00260926288323549</v>
      </c>
      <c r="D13366" s="3" t="n">
        <v>0.4891</v>
      </c>
      <c r="E13366" s="1" t="n">
        <f aca="false">LN(D13366)</f>
        <v>-0.715188311436826</v>
      </c>
    </row>
    <row r="13367" customFormat="false" ht="15.75" hidden="false" customHeight="false" outlineLevel="0" collapsed="false">
      <c r="A13367" s="1" t="s">
        <v>1338</v>
      </c>
      <c r="B13367" s="7" t="n">
        <v>394.65</v>
      </c>
      <c r="C13367" s="1" t="n">
        <f aca="false">1/B13367</f>
        <v>0.00253389078930698</v>
      </c>
      <c r="D13367" s="3" t="n">
        <v>0.4391</v>
      </c>
      <c r="E13367" s="1" t="n">
        <f aca="false">LN(D13367)</f>
        <v>-0.823028101414465</v>
      </c>
    </row>
    <row r="13368" customFormat="false" ht="15.75" hidden="false" customHeight="false" outlineLevel="0" collapsed="false">
      <c r="A13368" s="1" t="s">
        <v>1338</v>
      </c>
      <c r="B13368" s="7" t="n">
        <v>406.55</v>
      </c>
      <c r="C13368" s="1" t="n">
        <f aca="false">1/B13368</f>
        <v>0.00245972205140819</v>
      </c>
      <c r="D13368" s="3" t="n">
        <v>0.3966</v>
      </c>
      <c r="E13368" s="1" t="n">
        <f aca="false">LN(D13368)</f>
        <v>-0.924827062896441</v>
      </c>
    </row>
    <row r="13369" customFormat="false" ht="15.75" hidden="false" customHeight="false" outlineLevel="0" collapsed="false">
      <c r="A13369" s="1" t="s">
        <v>1338</v>
      </c>
      <c r="B13369" s="7" t="n">
        <v>415.15</v>
      </c>
      <c r="C13369" s="1" t="n">
        <f aca="false">1/B13369</f>
        <v>0.00240876791521137</v>
      </c>
      <c r="D13369" s="3" t="n">
        <v>0.368</v>
      </c>
      <c r="E13369" s="1" t="n">
        <f aca="false">LN(D13369)</f>
        <v>-0.999672340813206</v>
      </c>
    </row>
    <row r="13370" customFormat="false" ht="15.75" hidden="false" customHeight="false" outlineLevel="0" collapsed="false">
      <c r="A13370" s="1" t="s">
        <v>1340</v>
      </c>
      <c r="B13370" s="7" t="n">
        <v>213</v>
      </c>
      <c r="C13370" s="1" t="n">
        <f aca="false">1/B13370</f>
        <v>0.00469483568075117</v>
      </c>
      <c r="D13370" s="3" t="n">
        <v>0.4978</v>
      </c>
      <c r="E13370" s="1" t="n">
        <f aca="false">LN(D13370)</f>
        <v>-0.697556889048645</v>
      </c>
    </row>
    <row r="13371" customFormat="false" ht="15.75" hidden="false" customHeight="false" outlineLevel="0" collapsed="false">
      <c r="A13371" s="1" t="s">
        <v>1340</v>
      </c>
      <c r="B13371" s="7" t="n">
        <v>217</v>
      </c>
      <c r="C13371" s="1" t="n">
        <f aca="false">1/B13371</f>
        <v>0.00460829493087558</v>
      </c>
      <c r="D13371" s="3" t="n">
        <v>0.477</v>
      </c>
      <c r="E13371" s="1" t="n">
        <f aca="false">LN(D13371)</f>
        <v>-0.740238788093796</v>
      </c>
    </row>
    <row r="13372" customFormat="false" ht="15.75" hidden="false" customHeight="false" outlineLevel="0" collapsed="false">
      <c r="A13372" s="1" t="s">
        <v>1340</v>
      </c>
      <c r="B13372" s="7" t="n">
        <v>221</v>
      </c>
      <c r="C13372" s="1" t="n">
        <f aca="false">1/B13372</f>
        <v>0.00452488687782805</v>
      </c>
      <c r="D13372" s="3" t="n">
        <v>0.4578</v>
      </c>
      <c r="E13372" s="1" t="n">
        <f aca="false">LN(D13372)</f>
        <v>-0.781322871463671</v>
      </c>
    </row>
    <row r="13373" customFormat="false" ht="15.75" hidden="false" customHeight="false" outlineLevel="0" collapsed="false">
      <c r="A13373" s="1" t="s">
        <v>1340</v>
      </c>
      <c r="B13373" s="7" t="n">
        <v>225</v>
      </c>
      <c r="C13373" s="1" t="n">
        <f aca="false">1/B13373</f>
        <v>0.00444444444444444</v>
      </c>
      <c r="D13373" s="3" t="n">
        <v>0.44</v>
      </c>
      <c r="E13373" s="1" t="n">
        <f aca="false">LN(D13373)</f>
        <v>-0.82098055206983</v>
      </c>
    </row>
    <row r="13374" customFormat="false" ht="15.75" hidden="false" customHeight="false" outlineLevel="0" collapsed="false">
      <c r="A13374" s="1" t="s">
        <v>1340</v>
      </c>
      <c r="B13374" s="7" t="n">
        <v>229</v>
      </c>
      <c r="C13374" s="1" t="n">
        <f aca="false">1/B13374</f>
        <v>0.00436681222707424</v>
      </c>
      <c r="D13374" s="3" t="n">
        <v>0.4235</v>
      </c>
      <c r="E13374" s="1" t="n">
        <f aca="false">LN(D13374)</f>
        <v>-0.859201764890028</v>
      </c>
    </row>
    <row r="13375" customFormat="false" ht="15.75" hidden="false" customHeight="false" outlineLevel="0" collapsed="false">
      <c r="A13375" s="1" t="s">
        <v>1340</v>
      </c>
      <c r="B13375" s="7" t="n">
        <v>233</v>
      </c>
      <c r="C13375" s="1" t="n">
        <f aca="false">1/B13375</f>
        <v>0.00429184549356223</v>
      </c>
      <c r="D13375" s="3" t="n">
        <v>0.408</v>
      </c>
      <c r="E13375" s="1" t="n">
        <f aca="false">LN(D13375)</f>
        <v>-0.896488104577975</v>
      </c>
    </row>
    <row r="13376" customFormat="false" ht="15.75" hidden="false" customHeight="false" outlineLevel="0" collapsed="false">
      <c r="A13376" s="1" t="s">
        <v>1340</v>
      </c>
      <c r="B13376" s="7" t="n">
        <v>237</v>
      </c>
      <c r="C13376" s="1" t="n">
        <f aca="false">1/B13376</f>
        <v>0.00421940928270042</v>
      </c>
      <c r="D13376" s="3" t="n">
        <v>0.3938</v>
      </c>
      <c r="E13376" s="1" t="n">
        <f aca="false">LN(D13376)</f>
        <v>-0.931912112777112</v>
      </c>
    </row>
    <row r="13377" customFormat="false" ht="15.75" hidden="false" customHeight="false" outlineLevel="0" collapsed="false">
      <c r="A13377" s="1" t="s">
        <v>1340</v>
      </c>
      <c r="B13377" s="7" t="n">
        <v>241</v>
      </c>
      <c r="C13377" s="1" t="n">
        <f aca="false">1/B13377</f>
        <v>0.004149377593361</v>
      </c>
      <c r="D13377" s="3" t="n">
        <v>0.3805</v>
      </c>
      <c r="E13377" s="1" t="n">
        <f aca="false">LN(D13377)</f>
        <v>-0.966269101680397</v>
      </c>
    </row>
    <row r="13378" customFormat="false" ht="15.75" hidden="false" customHeight="false" outlineLevel="0" collapsed="false">
      <c r="A13378" s="1" t="s">
        <v>1340</v>
      </c>
      <c r="B13378" s="7" t="n">
        <v>245</v>
      </c>
      <c r="C13378" s="1" t="n">
        <f aca="false">1/B13378</f>
        <v>0.00408163265306122</v>
      </c>
      <c r="D13378" s="3" t="n">
        <v>0.368</v>
      </c>
      <c r="E13378" s="1" t="n">
        <f aca="false">LN(D13378)</f>
        <v>-0.999672340813206</v>
      </c>
    </row>
    <row r="13379" customFormat="false" ht="15.75" hidden="false" customHeight="false" outlineLevel="0" collapsed="false">
      <c r="A13379" s="1" t="s">
        <v>1340</v>
      </c>
      <c r="B13379" s="7" t="n">
        <v>249</v>
      </c>
      <c r="C13379" s="1" t="n">
        <f aca="false">1/B13379</f>
        <v>0.00401606425702811</v>
      </c>
      <c r="D13379" s="3" t="n">
        <v>0.3563</v>
      </c>
      <c r="E13379" s="1" t="n">
        <f aca="false">LN(D13379)</f>
        <v>-1.03198220637035</v>
      </c>
    </row>
    <row r="13380" customFormat="false" ht="15.75" hidden="false" customHeight="false" outlineLevel="0" collapsed="false">
      <c r="A13380" s="1" t="s">
        <v>1340</v>
      </c>
      <c r="B13380" s="7" t="n">
        <v>253</v>
      </c>
      <c r="C13380" s="1" t="n">
        <f aca="false">1/B13380</f>
        <v>0.00395256916996047</v>
      </c>
      <c r="D13380" s="3" t="n">
        <v>0.3453</v>
      </c>
      <c r="E13380" s="1" t="n">
        <f aca="false">LN(D13380)</f>
        <v>-1.06334167458619</v>
      </c>
    </row>
    <row r="13381" customFormat="false" ht="15.75" hidden="false" customHeight="false" outlineLevel="0" collapsed="false">
      <c r="A13381" s="1" t="s">
        <v>1340</v>
      </c>
      <c r="B13381" s="7" t="n">
        <v>257</v>
      </c>
      <c r="C13381" s="1" t="n">
        <f aca="false">1/B13381</f>
        <v>0.00389105058365759</v>
      </c>
      <c r="D13381" s="3" t="n">
        <v>0.3352</v>
      </c>
      <c r="E13381" s="1" t="n">
        <f aca="false">LN(D13381)</f>
        <v>-1.09302791037421</v>
      </c>
    </row>
    <row r="13382" customFormat="false" ht="15.75" hidden="false" customHeight="false" outlineLevel="0" collapsed="false">
      <c r="A13382" s="1" t="s">
        <v>1340</v>
      </c>
      <c r="B13382" s="7" t="n">
        <v>261</v>
      </c>
      <c r="C13382" s="1" t="n">
        <f aca="false">1/B13382</f>
        <v>0.00383141762452107</v>
      </c>
      <c r="D13382" s="3" t="n">
        <v>0.3253</v>
      </c>
      <c r="E13382" s="1" t="n">
        <f aca="false">LN(D13382)</f>
        <v>-1.12300744550283</v>
      </c>
    </row>
    <row r="13383" customFormat="false" ht="15.75" hidden="false" customHeight="false" outlineLevel="0" collapsed="false">
      <c r="A13383" s="1" t="s">
        <v>1340</v>
      </c>
      <c r="B13383" s="7" t="n">
        <v>265</v>
      </c>
      <c r="C13383" s="1" t="n">
        <f aca="false">1/B13383</f>
        <v>0.00377358490566038</v>
      </c>
      <c r="D13383" s="3" t="n">
        <v>0.3162</v>
      </c>
      <c r="E13383" s="1" t="n">
        <f aca="false">LN(D13383)</f>
        <v>-1.15138035420677</v>
      </c>
    </row>
    <row r="13384" customFormat="false" ht="15.75" hidden="false" customHeight="false" outlineLevel="0" collapsed="false">
      <c r="A13384" s="1" t="s">
        <v>1340</v>
      </c>
      <c r="B13384" s="7" t="n">
        <v>269</v>
      </c>
      <c r="C13384" s="1" t="n">
        <f aca="false">1/B13384</f>
        <v>0.00371747211895911</v>
      </c>
      <c r="D13384" s="3" t="n">
        <v>0.3075</v>
      </c>
      <c r="E13384" s="1" t="n">
        <f aca="false">LN(D13384)</f>
        <v>-1.17928019173556</v>
      </c>
    </row>
    <row r="13385" customFormat="false" ht="15.75" hidden="false" customHeight="false" outlineLevel="0" collapsed="false">
      <c r="A13385" s="1" t="s">
        <v>1340</v>
      </c>
      <c r="B13385" s="7" t="n">
        <v>273</v>
      </c>
      <c r="C13385" s="1" t="n">
        <f aca="false">1/B13385</f>
        <v>0.00366300366300366</v>
      </c>
      <c r="D13385" s="3" t="n">
        <v>0.2994</v>
      </c>
      <c r="E13385" s="1" t="n">
        <f aca="false">LN(D13385)</f>
        <v>-1.20597480699661</v>
      </c>
    </row>
    <row r="13386" customFormat="false" ht="15.75" hidden="false" customHeight="false" outlineLevel="0" collapsed="false">
      <c r="A13386" s="1" t="s">
        <v>1340</v>
      </c>
      <c r="B13386" s="7" t="n">
        <v>277</v>
      </c>
      <c r="C13386" s="1" t="n">
        <f aca="false">1/B13386</f>
        <v>0.0036101083032491</v>
      </c>
      <c r="D13386" s="3" t="n">
        <v>0.2917</v>
      </c>
      <c r="E13386" s="1" t="n">
        <f aca="false">LN(D13386)</f>
        <v>-1.23202940210846</v>
      </c>
    </row>
    <row r="13387" customFormat="false" ht="15.75" hidden="false" customHeight="false" outlineLevel="0" collapsed="false">
      <c r="A13387" s="1" t="s">
        <v>1340</v>
      </c>
      <c r="B13387" s="7" t="n">
        <v>281</v>
      </c>
      <c r="C13387" s="1" t="n">
        <f aca="false">1/B13387</f>
        <v>0.00355871886120996</v>
      </c>
      <c r="D13387" s="3" t="n">
        <v>0.284</v>
      </c>
      <c r="E13387" s="1" t="n">
        <f aca="false">LN(D13387)</f>
        <v>-1.25878104082093</v>
      </c>
    </row>
    <row r="13388" customFormat="false" ht="15.75" hidden="false" customHeight="false" outlineLevel="0" collapsed="false">
      <c r="A13388" s="1" t="s">
        <v>1340</v>
      </c>
      <c r="B13388" s="7" t="n">
        <v>285</v>
      </c>
      <c r="C13388" s="1" t="n">
        <f aca="false">1/B13388</f>
        <v>0.00350877192982456</v>
      </c>
      <c r="D13388" s="3" t="n">
        <v>0.2774</v>
      </c>
      <c r="E13388" s="1" t="n">
        <f aca="false">LN(D13388)</f>
        <v>-1.28229477110141</v>
      </c>
    </row>
    <row r="13389" customFormat="false" ht="15.75" hidden="false" customHeight="false" outlineLevel="0" collapsed="false">
      <c r="A13389" s="1" t="s">
        <v>1340</v>
      </c>
      <c r="B13389" s="7" t="n">
        <v>289</v>
      </c>
      <c r="C13389" s="1" t="n">
        <f aca="false">1/B13389</f>
        <v>0.00346020761245675</v>
      </c>
      <c r="D13389" s="3" t="n">
        <v>0.271</v>
      </c>
      <c r="E13389" s="1" t="n">
        <f aca="false">LN(D13389)</f>
        <v>-1.30563645810244</v>
      </c>
    </row>
    <row r="13390" customFormat="false" ht="15.75" hidden="false" customHeight="false" outlineLevel="0" collapsed="false">
      <c r="A13390" s="1" t="s">
        <v>1340</v>
      </c>
      <c r="B13390" s="7" t="n">
        <v>293</v>
      </c>
      <c r="C13390" s="1" t="n">
        <f aca="false">1/B13390</f>
        <v>0.00341296928327645</v>
      </c>
      <c r="D13390" s="3" t="n">
        <v>0.2654</v>
      </c>
      <c r="E13390" s="1" t="n">
        <f aca="false">LN(D13390)</f>
        <v>-1.32651715708403</v>
      </c>
    </row>
    <row r="13391" customFormat="false" ht="15.75" hidden="false" customHeight="false" outlineLevel="0" collapsed="false">
      <c r="A13391" s="1" t="s">
        <v>1340</v>
      </c>
      <c r="B13391" s="7" t="n">
        <v>297</v>
      </c>
      <c r="C13391" s="1" t="n">
        <f aca="false">1/B13391</f>
        <v>0.00336700336700337</v>
      </c>
      <c r="D13391" s="3" t="n">
        <v>0.2588</v>
      </c>
      <c r="E13391" s="1" t="n">
        <f aca="false">LN(D13391)</f>
        <v>-1.35169971635539</v>
      </c>
    </row>
    <row r="13392" customFormat="false" ht="15.75" hidden="false" customHeight="false" outlineLevel="0" collapsed="false">
      <c r="A13392" s="1" t="s">
        <v>1340</v>
      </c>
      <c r="B13392" s="7" t="n">
        <v>301</v>
      </c>
      <c r="C13392" s="1" t="n">
        <f aca="false">1/B13392</f>
        <v>0.00332225913621262</v>
      </c>
      <c r="D13392" s="3" t="n">
        <v>0.2531</v>
      </c>
      <c r="E13392" s="1" t="n">
        <f aca="false">LN(D13392)</f>
        <v>-1.37397061143106</v>
      </c>
    </row>
    <row r="13393" customFormat="false" ht="15.75" hidden="false" customHeight="false" outlineLevel="0" collapsed="false">
      <c r="A13393" s="1" t="s">
        <v>1340</v>
      </c>
      <c r="B13393" s="7" t="n">
        <v>305</v>
      </c>
      <c r="C13393" s="1" t="n">
        <f aca="false">1/B13393</f>
        <v>0.00327868852459016</v>
      </c>
      <c r="D13393" s="3" t="n">
        <v>0.2478</v>
      </c>
      <c r="E13393" s="1" t="n">
        <f aca="false">LN(D13393)</f>
        <v>-1.3951333097871</v>
      </c>
    </row>
    <row r="13394" customFormat="false" ht="15.75" hidden="false" customHeight="false" outlineLevel="0" collapsed="false">
      <c r="A13394" s="1" t="s">
        <v>1340</v>
      </c>
      <c r="B13394" s="7" t="n">
        <v>309</v>
      </c>
      <c r="C13394" s="1" t="n">
        <f aca="false">1/B13394</f>
        <v>0.00323624595469256</v>
      </c>
      <c r="D13394" s="3" t="n">
        <v>0.2427</v>
      </c>
      <c r="E13394" s="1" t="n">
        <f aca="false">LN(D13394)</f>
        <v>-1.41592916624958</v>
      </c>
    </row>
    <row r="13395" customFormat="false" ht="15.75" hidden="false" customHeight="false" outlineLevel="0" collapsed="false">
      <c r="A13395" s="1" t="s">
        <v>1340</v>
      </c>
      <c r="B13395" s="7" t="n">
        <v>313</v>
      </c>
      <c r="C13395" s="1" t="n">
        <f aca="false">1/B13395</f>
        <v>0.00319488817891374</v>
      </c>
      <c r="D13395" s="3" t="n">
        <v>0.2378</v>
      </c>
      <c r="E13395" s="1" t="n">
        <f aca="false">LN(D13395)</f>
        <v>-1.43632529472546</v>
      </c>
    </row>
    <row r="13396" customFormat="false" ht="15.75" hidden="false" customHeight="false" outlineLevel="0" collapsed="false">
      <c r="A13396" s="1" t="s">
        <v>1340</v>
      </c>
      <c r="B13396" s="7" t="n">
        <v>317</v>
      </c>
      <c r="C13396" s="1" t="n">
        <f aca="false">1/B13396</f>
        <v>0.00315457413249211</v>
      </c>
      <c r="D13396" s="3" t="n">
        <v>0.2331</v>
      </c>
      <c r="E13396" s="1" t="n">
        <f aca="false">LN(D13396)</f>
        <v>-1.45628773294043</v>
      </c>
    </row>
    <row r="13397" customFormat="false" ht="15.75" hidden="false" customHeight="false" outlineLevel="0" collapsed="false">
      <c r="A13397" s="1" t="s">
        <v>1340</v>
      </c>
      <c r="B13397" s="7" t="n">
        <v>321</v>
      </c>
      <c r="C13397" s="1" t="n">
        <f aca="false">1/B13397</f>
        <v>0.00311526479750779</v>
      </c>
      <c r="D13397" s="3" t="n">
        <v>0.2286</v>
      </c>
      <c r="E13397" s="1" t="n">
        <f aca="false">LN(D13397)</f>
        <v>-1.47578152762143</v>
      </c>
    </row>
    <row r="13398" customFormat="false" ht="15.75" hidden="false" customHeight="false" outlineLevel="0" collapsed="false">
      <c r="A13398" s="1" t="s">
        <v>1340</v>
      </c>
      <c r="B13398" s="7" t="n">
        <v>325</v>
      </c>
      <c r="C13398" s="1" t="n">
        <f aca="false">1/B13398</f>
        <v>0.00307692307692308</v>
      </c>
      <c r="D13398" s="3" t="n">
        <v>0.2243</v>
      </c>
      <c r="E13398" s="1" t="n">
        <f aca="false">LN(D13398)</f>
        <v>-1.49477083745597</v>
      </c>
    </row>
    <row r="13399" customFormat="false" ht="15.75" hidden="false" customHeight="false" outlineLevel="0" collapsed="false">
      <c r="A13399" s="1" t="s">
        <v>1340</v>
      </c>
      <c r="B13399" s="7" t="n">
        <v>329</v>
      </c>
      <c r="C13399" s="1" t="n">
        <f aca="false">1/B13399</f>
        <v>0.00303951367781155</v>
      </c>
      <c r="D13399" s="3" t="n">
        <v>0.2203</v>
      </c>
      <c r="E13399" s="1" t="n">
        <f aca="false">LN(D13399)</f>
        <v>-1.51276502517384</v>
      </c>
    </row>
    <row r="13400" customFormat="false" ht="15.75" hidden="false" customHeight="false" outlineLevel="0" collapsed="false">
      <c r="A13400" s="1" t="s">
        <v>1342</v>
      </c>
      <c r="B13400" s="7" t="n">
        <v>273.52</v>
      </c>
      <c r="C13400" s="1" t="n">
        <f aca="false">1/B13400</f>
        <v>0.00365603977771278</v>
      </c>
      <c r="D13400" s="3" t="n">
        <v>0.3374</v>
      </c>
      <c r="E13400" s="1" t="n">
        <f aca="false">LN(D13400)</f>
        <v>-1.08648610887027</v>
      </c>
    </row>
    <row r="13401" customFormat="false" ht="15.75" hidden="false" customHeight="false" outlineLevel="0" collapsed="false">
      <c r="A13401" s="1" t="s">
        <v>1342</v>
      </c>
      <c r="B13401" s="7" t="n">
        <v>279.1</v>
      </c>
      <c r="C13401" s="1" t="n">
        <f aca="false">1/B13401</f>
        <v>0.00358294518093873</v>
      </c>
      <c r="D13401" s="3" t="n">
        <v>0.3169</v>
      </c>
      <c r="E13401" s="1" t="n">
        <f aca="false">LN(D13401)</f>
        <v>-1.14916901228526</v>
      </c>
    </row>
    <row r="13402" customFormat="false" ht="15.75" hidden="false" customHeight="false" outlineLevel="0" collapsed="false">
      <c r="A13402" s="1" t="s">
        <v>1342</v>
      </c>
      <c r="B13402" s="7" t="n">
        <v>283.83</v>
      </c>
      <c r="C13402" s="1" t="n">
        <f aca="false">1/B13402</f>
        <v>0.00352323573970334</v>
      </c>
      <c r="D13402" s="3" t="n">
        <v>0.301</v>
      </c>
      <c r="E13402" s="1" t="n">
        <f aca="false">LN(D13402)</f>
        <v>-1.20064501423326</v>
      </c>
    </row>
    <row r="13403" customFormat="false" ht="15.75" hidden="false" customHeight="false" outlineLevel="0" collapsed="false">
      <c r="A13403" s="1" t="s">
        <v>1342</v>
      </c>
      <c r="B13403" s="7" t="n">
        <v>288.61</v>
      </c>
      <c r="C13403" s="1" t="n">
        <f aca="false">1/B13403</f>
        <v>0.00346488340667337</v>
      </c>
      <c r="D13403" s="3" t="n">
        <v>0.2866</v>
      </c>
      <c r="E13403" s="1" t="n">
        <f aca="false">LN(D13403)</f>
        <v>-1.24966776358807</v>
      </c>
    </row>
    <row r="13404" customFormat="false" ht="15.75" hidden="false" customHeight="false" outlineLevel="0" collapsed="false">
      <c r="A13404" s="1" t="s">
        <v>1342</v>
      </c>
      <c r="B13404" s="7" t="n">
        <v>293.91</v>
      </c>
      <c r="C13404" s="1" t="n">
        <f aca="false">1/B13404</f>
        <v>0.00340240209587969</v>
      </c>
      <c r="D13404" s="3" t="n">
        <v>0.2719</v>
      </c>
      <c r="E13404" s="1" t="n">
        <f aca="false">LN(D13404)</f>
        <v>-1.30232092734371</v>
      </c>
    </row>
    <row r="13405" customFormat="false" ht="15.75" hidden="false" customHeight="false" outlineLevel="0" collapsed="false">
      <c r="A13405" s="1" t="s">
        <v>1342</v>
      </c>
      <c r="B13405" s="7" t="n">
        <v>298.61</v>
      </c>
      <c r="C13405" s="1" t="n">
        <f aca="false">1/B13405</f>
        <v>0.00334884967013831</v>
      </c>
      <c r="D13405" s="3" t="n">
        <v>0.2599</v>
      </c>
      <c r="E13405" s="1" t="n">
        <f aca="false">LN(D13405)</f>
        <v>-1.34745833733469</v>
      </c>
    </row>
    <row r="13406" customFormat="false" ht="15.75" hidden="false" customHeight="false" outlineLevel="0" collapsed="false">
      <c r="A13406" s="1" t="s">
        <v>1342</v>
      </c>
      <c r="B13406" s="7" t="n">
        <v>303.86</v>
      </c>
      <c r="C13406" s="1" t="n">
        <f aca="false">1/B13406</f>
        <v>0.00329098927137497</v>
      </c>
      <c r="D13406" s="3" t="n">
        <v>0.2474</v>
      </c>
      <c r="E13406" s="1" t="n">
        <f aca="false">LN(D13406)</f>
        <v>-1.39674881902375</v>
      </c>
    </row>
    <row r="13407" customFormat="false" ht="15.75" hidden="false" customHeight="false" outlineLevel="0" collapsed="false">
      <c r="A13407" s="1" t="s">
        <v>1342</v>
      </c>
      <c r="B13407" s="7" t="n">
        <v>309.21</v>
      </c>
      <c r="C13407" s="1" t="n">
        <f aca="false">1/B13407</f>
        <v>0.00323404805795414</v>
      </c>
      <c r="D13407" s="3" t="n">
        <v>0.2355</v>
      </c>
      <c r="E13407" s="1" t="n">
        <f aca="false">LN(D13407)</f>
        <v>-1.44604436552566</v>
      </c>
    </row>
    <row r="13408" customFormat="false" ht="15.75" hidden="false" customHeight="false" outlineLevel="0" collapsed="false">
      <c r="A13408" s="1" t="s">
        <v>1342</v>
      </c>
      <c r="B13408" s="7" t="n">
        <v>315.14</v>
      </c>
      <c r="C13408" s="1" t="n">
        <f aca="false">1/B13408</f>
        <v>0.00317319286666244</v>
      </c>
      <c r="D13408" s="3" t="n">
        <v>0.2229</v>
      </c>
      <c r="E13408" s="1" t="n">
        <f aca="false">LN(D13408)</f>
        <v>-1.50103203859031</v>
      </c>
    </row>
    <row r="13409" customFormat="false" ht="15.75" hidden="false" customHeight="false" outlineLevel="0" collapsed="false">
      <c r="A13409" s="1" t="s">
        <v>1342</v>
      </c>
      <c r="B13409" s="7" t="n">
        <v>319.91</v>
      </c>
      <c r="C13409" s="1" t="n">
        <f aca="false">1/B13409</f>
        <v>0.00312587915351192</v>
      </c>
      <c r="D13409" s="3" t="n">
        <v>0.2137</v>
      </c>
      <c r="E13409" s="1" t="n">
        <f aca="false">LN(D13409)</f>
        <v>-1.54318211665704</v>
      </c>
    </row>
    <row r="13410" customFormat="false" ht="15.75" hidden="false" customHeight="false" outlineLevel="0" collapsed="false">
      <c r="A13410" s="1" t="s">
        <v>1342</v>
      </c>
      <c r="B13410" s="7" t="n">
        <v>324.69</v>
      </c>
      <c r="C13410" s="1" t="n">
        <f aca="false">1/B13410</f>
        <v>0.00307986079029228</v>
      </c>
      <c r="D13410" s="3" t="n">
        <v>0.2047</v>
      </c>
      <c r="E13410" s="1" t="n">
        <f aca="false">LN(D13410)</f>
        <v>-1.58620978631489</v>
      </c>
    </row>
    <row r="13411" customFormat="false" ht="15.75" hidden="false" customHeight="false" outlineLevel="0" collapsed="false">
      <c r="A13411" s="1" t="s">
        <v>1342</v>
      </c>
      <c r="B13411" s="7" t="n">
        <v>329.35</v>
      </c>
      <c r="C13411" s="1" t="n">
        <f aca="false">1/B13411</f>
        <v>0.0030362835888872</v>
      </c>
      <c r="D13411" s="3" t="n">
        <v>0.1966</v>
      </c>
      <c r="E13411" s="1" t="n">
        <f aca="false">LN(D13411)</f>
        <v>-1.62658407126907</v>
      </c>
    </row>
    <row r="13412" customFormat="false" ht="15.75" hidden="false" customHeight="false" outlineLevel="0" collapsed="false">
      <c r="A13412" s="1" t="s">
        <v>1344</v>
      </c>
      <c r="B13412" s="7" t="n">
        <v>288.15</v>
      </c>
      <c r="C13412" s="1" t="n">
        <f aca="false">1/B13412</f>
        <v>0.00347041471455839</v>
      </c>
      <c r="D13412" s="3" t="n">
        <v>26.09</v>
      </c>
      <c r="E13412" s="1" t="n">
        <f aca="false">LN(D13412)</f>
        <v>3.26155209914864</v>
      </c>
    </row>
    <row r="13413" customFormat="false" ht="15.75" hidden="false" customHeight="false" outlineLevel="0" collapsed="false">
      <c r="A13413" s="1" t="s">
        <v>1344</v>
      </c>
      <c r="B13413" s="7" t="n">
        <v>293.15</v>
      </c>
      <c r="C13413" s="1" t="n">
        <f aca="false">1/B13413</f>
        <v>0.00341122292341805</v>
      </c>
      <c r="D13413" s="3" t="n">
        <v>19.91</v>
      </c>
      <c r="E13413" s="1" t="n">
        <f aca="false">LN(D13413)</f>
        <v>2.9912221180761</v>
      </c>
    </row>
    <row r="13414" customFormat="false" ht="15.75" hidden="false" customHeight="false" outlineLevel="0" collapsed="false">
      <c r="A13414" s="1" t="s">
        <v>1344</v>
      </c>
      <c r="B13414" s="7" t="n">
        <v>298.15</v>
      </c>
      <c r="C13414" s="1" t="n">
        <f aca="false">1/B13414</f>
        <v>0.00335401643468053</v>
      </c>
      <c r="D13414" s="3" t="n">
        <v>14.78</v>
      </c>
      <c r="E13414" s="1" t="n">
        <f aca="false">LN(D13414)</f>
        <v>2.69327491552006</v>
      </c>
    </row>
    <row r="13415" customFormat="false" ht="15.75" hidden="false" customHeight="false" outlineLevel="0" collapsed="false">
      <c r="A13415" s="1" t="s">
        <v>1344</v>
      </c>
      <c r="B13415" s="7" t="n">
        <v>303.15</v>
      </c>
      <c r="C13415" s="1" t="n">
        <f aca="false">1/B13415</f>
        <v>0.0032986970146792</v>
      </c>
      <c r="D13415" s="3" t="n">
        <v>13.35</v>
      </c>
      <c r="E13415" s="1" t="n">
        <f aca="false">LN(D13415)</f>
        <v>2.59151638484626</v>
      </c>
    </row>
    <row r="13416" customFormat="false" ht="15.75" hidden="false" customHeight="false" outlineLevel="0" collapsed="false">
      <c r="A13416" s="1" t="s">
        <v>1344</v>
      </c>
      <c r="B13416" s="7" t="n">
        <v>313.15</v>
      </c>
      <c r="C13416" s="1" t="n">
        <f aca="false">1/B13416</f>
        <v>0.00319335781574325</v>
      </c>
      <c r="D13416" s="3" t="n">
        <v>9.1316</v>
      </c>
      <c r="E13416" s="1" t="n">
        <f aca="false">LN(D13416)</f>
        <v>2.21174092569332</v>
      </c>
    </row>
    <row r="13417" customFormat="false" ht="15.75" hidden="false" customHeight="false" outlineLevel="0" collapsed="false">
      <c r="A13417" s="1" t="s">
        <v>1344</v>
      </c>
      <c r="B13417" s="7" t="n">
        <v>333.15</v>
      </c>
      <c r="C13417" s="1" t="n">
        <f aca="false">1/B13417</f>
        <v>0.0030016509079994</v>
      </c>
      <c r="D13417" s="3" t="n">
        <v>4.94</v>
      </c>
      <c r="E13417" s="1" t="n">
        <f aca="false">LN(D13417)</f>
        <v>1.59736533119983</v>
      </c>
    </row>
    <row r="13418" customFormat="false" ht="15.75" hidden="false" customHeight="false" outlineLevel="0" collapsed="false">
      <c r="A13418" s="1" t="s">
        <v>1344</v>
      </c>
      <c r="B13418" s="7" t="n">
        <v>353.15</v>
      </c>
      <c r="C13418" s="1" t="n">
        <f aca="false">1/B13418</f>
        <v>0.00283165793572137</v>
      </c>
      <c r="D13418" s="3" t="n">
        <v>3.0166</v>
      </c>
      <c r="E13418" s="1" t="n">
        <f aca="false">LN(D13418)</f>
        <v>1.10413036935201</v>
      </c>
    </row>
    <row r="13419" customFormat="false" ht="15.75" hidden="false" customHeight="false" outlineLevel="0" collapsed="false">
      <c r="A13419" s="1" t="s">
        <v>1344</v>
      </c>
      <c r="B13419" s="7" t="n">
        <v>371.15</v>
      </c>
      <c r="C13419" s="1" t="n">
        <f aca="false">1/B13419</f>
        <v>0.00269432843863667</v>
      </c>
      <c r="D13419" s="3" t="n">
        <v>2.0626</v>
      </c>
      <c r="E13419" s="1" t="n">
        <f aca="false">LN(D13419)</f>
        <v>0.723967322899832</v>
      </c>
    </row>
    <row r="13420" customFormat="false" ht="15.75" hidden="false" customHeight="false" outlineLevel="0" collapsed="false">
      <c r="A13420" s="1" t="s">
        <v>1344</v>
      </c>
      <c r="B13420" s="7" t="n">
        <v>393.15</v>
      </c>
      <c r="C13420" s="1" t="n">
        <f aca="false">1/B13420</f>
        <v>0.00254355843825512</v>
      </c>
      <c r="D13420" s="3" t="n">
        <v>1.3966</v>
      </c>
      <c r="E13420" s="1" t="n">
        <f aca="false">LN(D13420)</f>
        <v>0.334040711429798</v>
      </c>
    </row>
    <row r="13421" customFormat="false" ht="15.75" hidden="false" customHeight="false" outlineLevel="0" collapsed="false">
      <c r="A13421" s="1" t="s">
        <v>1344</v>
      </c>
      <c r="B13421" s="7" t="n">
        <v>404.35</v>
      </c>
      <c r="C13421" s="1" t="n">
        <f aca="false">1/B13421</f>
        <v>0.00247310498330654</v>
      </c>
      <c r="D13421" s="3" t="n">
        <v>1.1816</v>
      </c>
      <c r="E13421" s="1" t="n">
        <f aca="false">LN(D13421)</f>
        <v>0.166869452235033</v>
      </c>
    </row>
    <row r="13422" customFormat="false" ht="15.75" hidden="false" customHeight="false" outlineLevel="0" collapsed="false">
      <c r="A13422" s="1" t="s">
        <v>1344</v>
      </c>
      <c r="B13422" s="7" t="n">
        <v>413.15</v>
      </c>
      <c r="C13422" s="1" t="n">
        <f aca="false">1/B13422</f>
        <v>0.0024204284158296</v>
      </c>
      <c r="D13422" s="3" t="n">
        <v>1.0385</v>
      </c>
      <c r="E13422" s="1" t="n">
        <f aca="false">LN(D13422)</f>
        <v>0.0377773643340299</v>
      </c>
    </row>
    <row r="13423" customFormat="false" ht="15.75" hidden="false" customHeight="false" outlineLevel="0" collapsed="false">
      <c r="A13423" s="1" t="s">
        <v>1346</v>
      </c>
      <c r="B13423" s="7" t="n">
        <v>284.15</v>
      </c>
      <c r="C13423" s="1" t="n">
        <f aca="false">1/B13423</f>
        <v>0.00351926799225761</v>
      </c>
      <c r="D13423" s="3" t="n">
        <v>5.534</v>
      </c>
      <c r="E13423" s="1" t="n">
        <f aca="false">LN(D13423)</f>
        <v>1.71091088136473</v>
      </c>
    </row>
    <row r="13424" customFormat="false" ht="15.75" hidden="false" customHeight="false" outlineLevel="0" collapsed="false">
      <c r="A13424" s="1" t="s">
        <v>1346</v>
      </c>
      <c r="B13424" s="7" t="n">
        <v>290.65</v>
      </c>
      <c r="C13424" s="1" t="n">
        <f aca="false">1/B13424</f>
        <v>0.00344056425253742</v>
      </c>
      <c r="D13424" s="3" t="n">
        <v>4.6019</v>
      </c>
      <c r="E13424" s="1" t="n">
        <f aca="false">LN(D13424)</f>
        <v>1.52646926169433</v>
      </c>
    </row>
    <row r="13425" customFormat="false" ht="15.75" hidden="false" customHeight="false" outlineLevel="0" collapsed="false">
      <c r="A13425" s="1" t="s">
        <v>1346</v>
      </c>
      <c r="B13425" s="7" t="n">
        <v>293.15</v>
      </c>
      <c r="C13425" s="1" t="n">
        <f aca="false">1/B13425</f>
        <v>0.00341122292341805</v>
      </c>
      <c r="D13425" s="3" t="n">
        <v>4.329</v>
      </c>
      <c r="E13425" s="1" t="n">
        <f aca="false">LN(D13425)</f>
        <v>1.46533656845984</v>
      </c>
    </row>
    <row r="13426" customFormat="false" ht="15.75" hidden="false" customHeight="false" outlineLevel="0" collapsed="false">
      <c r="A13426" s="1" t="s">
        <v>1346</v>
      </c>
      <c r="B13426" s="7" t="n">
        <v>298.15</v>
      </c>
      <c r="C13426" s="1" t="n">
        <f aca="false">1/B13426</f>
        <v>0.00335401643468053</v>
      </c>
      <c r="D13426" s="3" t="n">
        <v>3.8032</v>
      </c>
      <c r="E13426" s="1" t="n">
        <f aca="false">LN(D13426)</f>
        <v>1.33584281762379</v>
      </c>
    </row>
    <row r="13427" customFormat="false" ht="15.75" hidden="false" customHeight="false" outlineLevel="0" collapsed="false">
      <c r="A13427" s="1" t="s">
        <v>1346</v>
      </c>
      <c r="B13427" s="7" t="n">
        <v>313.15</v>
      </c>
      <c r="C13427" s="1" t="n">
        <f aca="false">1/B13427</f>
        <v>0.00319335781574325</v>
      </c>
      <c r="D13427" s="3" t="n">
        <v>2.7385</v>
      </c>
      <c r="E13427" s="1" t="n">
        <f aca="false">LN(D13427)</f>
        <v>1.00741032524164</v>
      </c>
    </row>
    <row r="13428" customFormat="false" ht="15.75" hidden="false" customHeight="false" outlineLevel="0" collapsed="false">
      <c r="A13428" s="1" t="s">
        <v>1346</v>
      </c>
      <c r="B13428" s="7" t="n">
        <v>323.15</v>
      </c>
      <c r="C13428" s="1" t="n">
        <f aca="false">1/B13428</f>
        <v>0.00309453814018258</v>
      </c>
      <c r="D13428" s="3" t="n">
        <v>2.2999</v>
      </c>
      <c r="E13428" s="1" t="n">
        <f aca="false">LN(D13428)</f>
        <v>0.832865643729027</v>
      </c>
    </row>
    <row r="13429" customFormat="false" ht="15.75" hidden="false" customHeight="false" outlineLevel="0" collapsed="false">
      <c r="A13429" s="1" t="s">
        <v>1346</v>
      </c>
      <c r="B13429" s="7" t="n">
        <v>333.15</v>
      </c>
      <c r="C13429" s="1" t="n">
        <f aca="false">1/B13429</f>
        <v>0.0030016509079994</v>
      </c>
      <c r="D13429" s="3" t="n">
        <v>1.891</v>
      </c>
      <c r="E13429" s="1" t="n">
        <f aca="false">LN(D13429)</f>
        <v>0.63710578967632</v>
      </c>
    </row>
    <row r="13430" customFormat="false" ht="15.75" hidden="false" customHeight="false" outlineLevel="0" collapsed="false">
      <c r="A13430" s="1" t="s">
        <v>1346</v>
      </c>
      <c r="B13430" s="7" t="n">
        <v>343.15</v>
      </c>
      <c r="C13430" s="1" t="n">
        <f aca="false">1/B13430</f>
        <v>0.00291417747340813</v>
      </c>
      <c r="D13430" s="3" t="n">
        <v>1.6098</v>
      </c>
      <c r="E13430" s="1" t="n">
        <f aca="false">LN(D13430)</f>
        <v>0.476109947677496</v>
      </c>
    </row>
    <row r="13431" customFormat="false" ht="15.75" hidden="false" customHeight="false" outlineLevel="0" collapsed="false">
      <c r="A13431" s="1" t="s">
        <v>1346</v>
      </c>
      <c r="B13431" s="7" t="n">
        <v>353.15</v>
      </c>
      <c r="C13431" s="1" t="n">
        <f aca="false">1/B13431</f>
        <v>0.00283165793572137</v>
      </c>
      <c r="D13431" s="3" t="n">
        <v>1.3815</v>
      </c>
      <c r="E13431" s="1" t="n">
        <f aca="false">LN(D13431)</f>
        <v>0.323169865381334</v>
      </c>
    </row>
    <row r="13432" customFormat="false" ht="15.75" hidden="false" customHeight="false" outlineLevel="0" collapsed="false">
      <c r="A13432" s="1" t="s">
        <v>1346</v>
      </c>
      <c r="B13432" s="7" t="n">
        <v>363.15</v>
      </c>
      <c r="C13432" s="1" t="n">
        <f aca="false">1/B13432</f>
        <v>0.00275368305108082</v>
      </c>
      <c r="D13432" s="3" t="n">
        <v>1.1898</v>
      </c>
      <c r="E13432" s="1" t="n">
        <f aca="false">LN(D13432)</f>
        <v>0.173785225771668</v>
      </c>
    </row>
    <row r="13433" customFormat="false" ht="15.75" hidden="false" customHeight="false" outlineLevel="0" collapsed="false">
      <c r="A13433" s="1" t="s">
        <v>1346</v>
      </c>
      <c r="B13433" s="7" t="n">
        <v>373.15</v>
      </c>
      <c r="C13433" s="1" t="n">
        <f aca="false">1/B13433</f>
        <v>0.00267988744472732</v>
      </c>
      <c r="D13433" s="3" t="n">
        <v>1.0565</v>
      </c>
      <c r="E13433" s="1" t="n">
        <f aca="false">LN(D13433)</f>
        <v>0.0549615580739743</v>
      </c>
    </row>
    <row r="13434" customFormat="false" ht="15.75" hidden="false" customHeight="false" outlineLevel="0" collapsed="false">
      <c r="A13434" s="1" t="s">
        <v>1346</v>
      </c>
      <c r="B13434" s="7" t="n">
        <v>393.5</v>
      </c>
      <c r="C13434" s="1" t="n">
        <f aca="false">1/B13434</f>
        <v>0.00254129606099111</v>
      </c>
      <c r="D13434" s="3" t="n">
        <v>0.8191</v>
      </c>
      <c r="E13434" s="1" t="n">
        <f aca="false">LN(D13434)</f>
        <v>-0.199549102460581</v>
      </c>
    </row>
    <row r="13435" customFormat="false" ht="15.75" hidden="false" customHeight="false" outlineLevel="0" collapsed="false">
      <c r="A13435" s="1" t="s">
        <v>1348</v>
      </c>
      <c r="B13435" s="7" t="n">
        <v>273.15</v>
      </c>
      <c r="C13435" s="1" t="n">
        <f aca="false">1/B13435</f>
        <v>0.00366099212886692</v>
      </c>
      <c r="D13435" s="3" t="n">
        <v>1.7749</v>
      </c>
      <c r="E13435" s="1" t="n">
        <f aca="false">LN(D13435)</f>
        <v>0.573744083312164</v>
      </c>
    </row>
    <row r="13436" customFormat="false" ht="15.75" hidden="false" customHeight="false" outlineLevel="0" collapsed="false">
      <c r="A13436" s="1" t="s">
        <v>1348</v>
      </c>
      <c r="B13436" s="7" t="n">
        <v>283.15</v>
      </c>
      <c r="C13436" s="1" t="n">
        <f aca="false">1/B13436</f>
        <v>0.00353169698039908</v>
      </c>
      <c r="D13436" s="3" t="n">
        <v>1.4518</v>
      </c>
      <c r="E13436" s="1" t="n">
        <f aca="false">LN(D13436)</f>
        <v>0.372804165868603</v>
      </c>
    </row>
    <row r="13437" customFormat="false" ht="15.75" hidden="false" customHeight="false" outlineLevel="0" collapsed="false">
      <c r="A13437" s="1" t="s">
        <v>1348</v>
      </c>
      <c r="B13437" s="7" t="n">
        <v>293.15</v>
      </c>
      <c r="C13437" s="1" t="n">
        <f aca="false">1/B13437</f>
        <v>0.00341122292341805</v>
      </c>
      <c r="D13437" s="3" t="n">
        <v>1.2133</v>
      </c>
      <c r="E13437" s="1" t="n">
        <f aca="false">LN(D13437)</f>
        <v>0.19334392007569</v>
      </c>
    </row>
    <row r="13438" customFormat="false" ht="15.75" hidden="false" customHeight="false" outlineLevel="0" collapsed="false">
      <c r="A13438" s="1" t="s">
        <v>1348</v>
      </c>
      <c r="B13438" s="7" t="n">
        <v>303.15</v>
      </c>
      <c r="C13438" s="1" t="n">
        <f aca="false">1/B13438</f>
        <v>0.0032986970146792</v>
      </c>
      <c r="D13438" s="3" t="n">
        <v>1.0328</v>
      </c>
      <c r="E13438" s="1" t="n">
        <f aca="false">LN(D13438)</f>
        <v>0.0322735605502956</v>
      </c>
    </row>
    <row r="13439" customFormat="false" ht="15.75" hidden="false" customHeight="false" outlineLevel="0" collapsed="false">
      <c r="A13439" s="1" t="s">
        <v>1348</v>
      </c>
      <c r="B13439" s="7" t="n">
        <v>313.15</v>
      </c>
      <c r="C13439" s="1" t="n">
        <f aca="false">1/B13439</f>
        <v>0.00319335781574325</v>
      </c>
      <c r="D13439" s="3" t="n">
        <v>0.8911</v>
      </c>
      <c r="E13439" s="1" t="n">
        <f aca="false">LN(D13439)</f>
        <v>-0.115298624363463</v>
      </c>
    </row>
    <row r="13440" customFormat="false" ht="15.75" hidden="false" customHeight="false" outlineLevel="0" collapsed="false">
      <c r="A13440" s="1" t="s">
        <v>1348</v>
      </c>
      <c r="B13440" s="7" t="n">
        <v>333.15</v>
      </c>
      <c r="C13440" s="1" t="n">
        <f aca="false">1/B13440</f>
        <v>0.0030016509079994</v>
      </c>
      <c r="D13440" s="3" t="n">
        <v>0.6879</v>
      </c>
      <c r="E13440" s="1" t="n">
        <f aca="false">LN(D13440)</f>
        <v>-0.374111800450169</v>
      </c>
    </row>
    <row r="13441" customFormat="false" ht="15.75" hidden="false" customHeight="false" outlineLevel="0" collapsed="false">
      <c r="A13441" s="1" t="s">
        <v>1348</v>
      </c>
      <c r="B13441" s="7" t="n">
        <v>353.15</v>
      </c>
      <c r="C13441" s="1" t="n">
        <f aca="false">1/B13441</f>
        <v>0.00283165793572137</v>
      </c>
      <c r="D13441" s="3" t="n">
        <v>0.5445</v>
      </c>
      <c r="E13441" s="1" t="n">
        <f aca="false">LN(D13441)</f>
        <v>-0.607887336609122</v>
      </c>
    </row>
    <row r="13442" customFormat="false" ht="15.75" hidden="false" customHeight="false" outlineLevel="0" collapsed="false">
      <c r="A13442" s="1" t="s">
        <v>1348</v>
      </c>
      <c r="B13442" s="7" t="n">
        <v>373.15</v>
      </c>
      <c r="C13442" s="1" t="n">
        <f aca="false">1/B13442</f>
        <v>0.00267988744472732</v>
      </c>
      <c r="D13442" s="3" t="n">
        <v>0.4465</v>
      </c>
      <c r="E13442" s="1" t="n">
        <f aca="false">LN(D13442)</f>
        <v>-0.806315878665583</v>
      </c>
    </row>
    <row r="13443" customFormat="false" ht="15.75" hidden="false" customHeight="false" outlineLevel="0" collapsed="false">
      <c r="A13443" s="1" t="s">
        <v>1350</v>
      </c>
      <c r="B13443" s="7" t="n">
        <v>272.75</v>
      </c>
      <c r="C13443" s="1" t="n">
        <f aca="false">1/B13443</f>
        <v>0.00366636113657195</v>
      </c>
      <c r="D13443" s="3" t="n">
        <v>1.4861</v>
      </c>
      <c r="E13443" s="1" t="n">
        <f aca="false">LN(D13443)</f>
        <v>0.396155238782387</v>
      </c>
    </row>
    <row r="13444" customFormat="false" ht="15.75" hidden="false" customHeight="false" outlineLevel="0" collapsed="false">
      <c r="A13444" s="1" t="s">
        <v>1350</v>
      </c>
      <c r="B13444" s="7" t="n">
        <v>283.15</v>
      </c>
      <c r="C13444" s="1" t="n">
        <f aca="false">1/B13444</f>
        <v>0.00353169698039908</v>
      </c>
      <c r="D13444" s="3" t="n">
        <v>1.235</v>
      </c>
      <c r="E13444" s="1" t="n">
        <f aca="false">LN(D13444)</f>
        <v>0.211070970079941</v>
      </c>
    </row>
    <row r="13445" customFormat="false" ht="15.75" hidden="false" customHeight="false" outlineLevel="0" collapsed="false">
      <c r="A13445" s="1" t="s">
        <v>1350</v>
      </c>
      <c r="B13445" s="7" t="n">
        <v>293.15</v>
      </c>
      <c r="C13445" s="1" t="n">
        <f aca="false">1/B13445</f>
        <v>0.00341122292341805</v>
      </c>
      <c r="D13445" s="3" t="n">
        <v>1.056</v>
      </c>
      <c r="E13445" s="1" t="n">
        <f aca="false">LN(D13445)</f>
        <v>0.0544881852840698</v>
      </c>
    </row>
    <row r="13446" customFormat="false" ht="15.75" hidden="false" customHeight="false" outlineLevel="0" collapsed="false">
      <c r="A13446" s="1" t="s">
        <v>1350</v>
      </c>
      <c r="B13446" s="7" t="n">
        <v>303.15</v>
      </c>
      <c r="C13446" s="1" t="n">
        <f aca="false">1/B13446</f>
        <v>0.0032986970146792</v>
      </c>
      <c r="D13446" s="3" t="n">
        <v>0.9123</v>
      </c>
      <c r="E13446" s="1" t="n">
        <f aca="false">LN(D13446)</f>
        <v>-0.0917863956307084</v>
      </c>
    </row>
    <row r="13447" customFormat="false" ht="15.75" hidden="false" customHeight="false" outlineLevel="0" collapsed="false">
      <c r="A13447" s="1" t="s">
        <v>1350</v>
      </c>
      <c r="B13447" s="7" t="n">
        <v>313.15</v>
      </c>
      <c r="C13447" s="1" t="n">
        <f aca="false">1/B13447</f>
        <v>0.00319335781574325</v>
      </c>
      <c r="D13447" s="3" t="n">
        <v>0.7989</v>
      </c>
      <c r="E13447" s="1" t="n">
        <f aca="false">LN(D13447)</f>
        <v>-0.224519497494141</v>
      </c>
    </row>
    <row r="13448" customFormat="false" ht="15.75" hidden="false" customHeight="false" outlineLevel="0" collapsed="false">
      <c r="A13448" s="1" t="s">
        <v>1350</v>
      </c>
      <c r="B13448" s="7" t="n">
        <v>333.15</v>
      </c>
      <c r="C13448" s="1" t="n">
        <f aca="false">1/B13448</f>
        <v>0.0030016509079994</v>
      </c>
      <c r="D13448" s="3" t="n">
        <v>0.6313</v>
      </c>
      <c r="E13448" s="1" t="n">
        <f aca="false">LN(D13448)</f>
        <v>-0.459974093608557</v>
      </c>
    </row>
    <row r="13449" customFormat="false" ht="15.75" hidden="false" customHeight="false" outlineLevel="0" collapsed="false">
      <c r="A13449" s="1" t="s">
        <v>1350</v>
      </c>
      <c r="B13449" s="7" t="n">
        <v>353.15</v>
      </c>
      <c r="C13449" s="1" t="n">
        <f aca="false">1/B13449</f>
        <v>0.00283165793572137</v>
      </c>
      <c r="D13449" s="3" t="n">
        <v>0.5129</v>
      </c>
      <c r="E13449" s="1" t="n">
        <f aca="false">LN(D13449)</f>
        <v>-0.667674384586914</v>
      </c>
    </row>
    <row r="13450" customFormat="false" ht="15.75" hidden="false" customHeight="false" outlineLevel="0" collapsed="false">
      <c r="A13450" s="1" t="s">
        <v>1350</v>
      </c>
      <c r="B13450" s="7" t="n">
        <v>373.15</v>
      </c>
      <c r="C13450" s="1" t="n">
        <f aca="false">1/B13450</f>
        <v>0.00267988744472732</v>
      </c>
      <c r="D13450" s="3" t="n">
        <v>0.4269</v>
      </c>
      <c r="E13450" s="1" t="n">
        <f aca="false">LN(D13450)</f>
        <v>-0.851205485218221</v>
      </c>
    </row>
    <row r="13451" customFormat="false" ht="15.75" hidden="false" customHeight="false" outlineLevel="0" collapsed="false">
      <c r="A13451" s="1" t="s">
        <v>1351</v>
      </c>
      <c r="B13451" s="7" t="n">
        <v>303.15</v>
      </c>
      <c r="C13451" s="1" t="n">
        <f aca="false">1/B13451</f>
        <v>0.0032986970146792</v>
      </c>
      <c r="D13451" s="3" t="n">
        <v>1.792</v>
      </c>
      <c r="E13451" s="1" t="n">
        <f aca="false">LN(D13451)</f>
        <v>0.583332314552739</v>
      </c>
    </row>
    <row r="13452" customFormat="false" ht="15.75" hidden="false" customHeight="false" outlineLevel="0" collapsed="false">
      <c r="A13452" s="1" t="s">
        <v>1351</v>
      </c>
      <c r="B13452" s="7" t="n">
        <v>318.15</v>
      </c>
      <c r="C13452" s="1" t="n">
        <f aca="false">1/B13452</f>
        <v>0.00314317146000314</v>
      </c>
      <c r="D13452" s="3" t="n">
        <v>1.411</v>
      </c>
      <c r="E13452" s="1" t="n">
        <f aca="false">LN(D13452)</f>
        <v>0.344298672870677</v>
      </c>
    </row>
    <row r="13453" customFormat="false" ht="15.75" hidden="false" customHeight="false" outlineLevel="0" collapsed="false">
      <c r="A13453" s="1" t="s">
        <v>1351</v>
      </c>
      <c r="B13453" s="7" t="n">
        <v>333.15</v>
      </c>
      <c r="C13453" s="1" t="n">
        <f aca="false">1/B13453</f>
        <v>0.0030016509079994</v>
      </c>
      <c r="D13453" s="3" t="n">
        <v>1.151</v>
      </c>
      <c r="E13453" s="1" t="n">
        <f aca="false">LN(D13453)</f>
        <v>0.140631129739746</v>
      </c>
    </row>
    <row r="13454" customFormat="false" ht="15.75" hidden="false" customHeight="false" outlineLevel="0" collapsed="false">
      <c r="A13454" s="1" t="s">
        <v>1351</v>
      </c>
      <c r="B13454" s="7" t="n">
        <v>348.15</v>
      </c>
      <c r="C13454" s="1" t="n">
        <f aca="false">1/B13454</f>
        <v>0.00287232514720666</v>
      </c>
      <c r="D13454" s="3" t="n">
        <v>0.9731</v>
      </c>
      <c r="E13454" s="1" t="n">
        <f aca="false">LN(D13454)</f>
        <v>-0.0272684271541938</v>
      </c>
    </row>
    <row r="13455" customFormat="false" ht="15.75" hidden="false" customHeight="false" outlineLevel="0" collapsed="false">
      <c r="A13455" s="1" t="s">
        <v>1351</v>
      </c>
      <c r="B13455" s="7" t="n">
        <v>363.15</v>
      </c>
      <c r="C13455" s="1" t="n">
        <f aca="false">1/B13455</f>
        <v>0.00275368305108082</v>
      </c>
      <c r="D13455" s="3" t="n">
        <v>0.8266</v>
      </c>
      <c r="E13455" s="1" t="n">
        <f aca="false">LN(D13455)</f>
        <v>-0.190434376904505</v>
      </c>
    </row>
    <row r="13456" customFormat="false" ht="15.75" hidden="false" customHeight="false" outlineLevel="0" collapsed="false">
      <c r="A13456" s="1" t="s">
        <v>1353</v>
      </c>
      <c r="B13456" s="7" t="n">
        <v>288.15</v>
      </c>
      <c r="C13456" s="1" t="n">
        <f aca="false">1/B13456</f>
        <v>0.00347041471455839</v>
      </c>
      <c r="D13456" s="3" t="n">
        <v>1.583</v>
      </c>
      <c r="E13456" s="1" t="n">
        <f aca="false">LN(D13456)</f>
        <v>0.459321780898875</v>
      </c>
    </row>
    <row r="13457" customFormat="false" ht="15.75" hidden="false" customHeight="false" outlineLevel="0" collapsed="false">
      <c r="A13457" s="1" t="s">
        <v>1353</v>
      </c>
      <c r="B13457" s="7" t="n">
        <v>298.15</v>
      </c>
      <c r="C13457" s="1" t="n">
        <f aca="false">1/B13457</f>
        <v>0.00335401643468053</v>
      </c>
      <c r="D13457" s="3" t="n">
        <v>1.317</v>
      </c>
      <c r="E13457" s="1" t="n">
        <f aca="false">LN(D13457)</f>
        <v>0.275356422761144</v>
      </c>
    </row>
    <row r="13458" customFormat="false" ht="15.75" hidden="false" customHeight="false" outlineLevel="0" collapsed="false">
      <c r="A13458" s="1" t="s">
        <v>1353</v>
      </c>
      <c r="B13458" s="7" t="n">
        <v>308.15</v>
      </c>
      <c r="C13458" s="1" t="n">
        <f aca="false">1/B13458</f>
        <v>0.00324517280545189</v>
      </c>
      <c r="D13458" s="3" t="n">
        <v>1.102</v>
      </c>
      <c r="E13458" s="1" t="n">
        <f aca="false">LN(D13458)</f>
        <v>0.0971267107307228</v>
      </c>
    </row>
    <row r="13459" customFormat="false" ht="15.75" hidden="false" customHeight="false" outlineLevel="0" collapsed="false">
      <c r="A13459" s="1" t="s">
        <v>1353</v>
      </c>
      <c r="B13459" s="7" t="n">
        <v>318.15</v>
      </c>
      <c r="C13459" s="1" t="n">
        <f aca="false">1/B13459</f>
        <v>0.00314317146000314</v>
      </c>
      <c r="D13459" s="3" t="n">
        <v>0.929</v>
      </c>
      <c r="E13459" s="1" t="n">
        <f aca="false">LN(D13459)</f>
        <v>-0.0736465401682985</v>
      </c>
    </row>
    <row r="13460" customFormat="false" ht="15.75" hidden="false" customHeight="false" outlineLevel="0" collapsed="false">
      <c r="A13460" s="1" t="s">
        <v>1353</v>
      </c>
      <c r="B13460" s="7" t="n">
        <v>328.15</v>
      </c>
      <c r="C13460" s="1" t="n">
        <f aca="false">1/B13460</f>
        <v>0.00304738686576261</v>
      </c>
      <c r="D13460" s="3" t="n">
        <v>0.803</v>
      </c>
      <c r="E13460" s="1" t="n">
        <f aca="false">LN(D13460)</f>
        <v>-0.219400565035375</v>
      </c>
    </row>
    <row r="13461" customFormat="false" ht="15.75" hidden="false" customHeight="false" outlineLevel="0" collapsed="false">
      <c r="A13461" s="1" t="s">
        <v>1353</v>
      </c>
      <c r="B13461" s="7" t="n">
        <v>338.15</v>
      </c>
      <c r="C13461" s="1" t="n">
        <f aca="false">1/B13461</f>
        <v>0.002957267484844</v>
      </c>
      <c r="D13461" s="3" t="n">
        <v>0.692</v>
      </c>
      <c r="E13461" s="1" t="n">
        <f aca="false">LN(D13461)</f>
        <v>-0.368169323364468</v>
      </c>
    </row>
    <row r="13462" customFormat="false" ht="15.75" hidden="false" customHeight="false" outlineLevel="0" collapsed="false">
      <c r="A13462" s="1" t="s">
        <v>1353</v>
      </c>
      <c r="B13462" s="7" t="n">
        <v>353.15</v>
      </c>
      <c r="C13462" s="1" t="n">
        <f aca="false">1/B13462</f>
        <v>0.00283165793572137</v>
      </c>
      <c r="D13462" s="3" t="n">
        <v>0.559</v>
      </c>
      <c r="E13462" s="1" t="n">
        <f aca="false">LN(D13462)</f>
        <v>-0.581605805827038</v>
      </c>
    </row>
    <row r="13463" customFormat="false" ht="15.75" hidden="false" customHeight="false" outlineLevel="0" collapsed="false">
      <c r="A13463" s="1" t="s">
        <v>1353</v>
      </c>
      <c r="B13463" s="7" t="n">
        <v>373.15</v>
      </c>
      <c r="C13463" s="1" t="n">
        <f aca="false">1/B13463</f>
        <v>0.00267988744472732</v>
      </c>
      <c r="D13463" s="3" t="n">
        <v>0.437</v>
      </c>
      <c r="E13463" s="1" t="n">
        <f aca="false">LN(D13463)</f>
        <v>-0.827822083886547</v>
      </c>
    </row>
    <row r="13464" customFormat="false" ht="15.75" hidden="false" customHeight="false" outlineLevel="0" collapsed="false">
      <c r="A13464" s="1" t="s">
        <v>1353</v>
      </c>
      <c r="B13464" s="7" t="n">
        <v>398.15</v>
      </c>
      <c r="C13464" s="1" t="n">
        <f aca="false">1/B13464</f>
        <v>0.00251161622504081</v>
      </c>
      <c r="D13464" s="3" t="n">
        <v>0.325</v>
      </c>
      <c r="E13464" s="1" t="n">
        <f aca="false">LN(D13464)</f>
        <v>-1.1239300966524</v>
      </c>
    </row>
    <row r="13465" customFormat="false" ht="15.75" hidden="false" customHeight="false" outlineLevel="0" collapsed="false">
      <c r="A13465" s="1" t="s">
        <v>1555</v>
      </c>
      <c r="B13465" s="7" t="n">
        <v>293.15</v>
      </c>
      <c r="C13465" s="1" t="n">
        <f aca="false">1/B13465</f>
        <v>0.00341122292341805</v>
      </c>
      <c r="D13465" s="3" t="n">
        <v>7.8064</v>
      </c>
      <c r="E13465" s="1" t="n">
        <f aca="false">LN(D13465)</f>
        <v>2.05494391007944</v>
      </c>
    </row>
    <row r="13466" customFormat="false" ht="15.75" hidden="false" customHeight="false" outlineLevel="0" collapsed="false">
      <c r="A13466" s="1" t="s">
        <v>1555</v>
      </c>
      <c r="B13466" s="7" t="n">
        <v>303.15</v>
      </c>
      <c r="C13466" s="1" t="n">
        <f aca="false">1/B13466</f>
        <v>0.0032986970146792</v>
      </c>
      <c r="D13466" s="3" t="n">
        <v>5.8651</v>
      </c>
      <c r="E13466" s="1" t="n">
        <f aca="false">LN(D13466)</f>
        <v>1.76901953225846</v>
      </c>
    </row>
    <row r="13467" customFormat="false" ht="15.75" hidden="false" customHeight="false" outlineLevel="0" collapsed="false">
      <c r="A13467" s="1" t="s">
        <v>1555</v>
      </c>
      <c r="B13467" s="7" t="n">
        <v>313.15</v>
      </c>
      <c r="C13467" s="1" t="n">
        <f aca="false">1/B13467</f>
        <v>0.00319335781574325</v>
      </c>
      <c r="D13467" s="3" t="n">
        <v>4.4843</v>
      </c>
      <c r="E13467" s="1" t="n">
        <f aca="false">LN(D13467)</f>
        <v>1.50058240752141</v>
      </c>
    </row>
    <row r="13468" customFormat="false" ht="15.75" hidden="false" customHeight="false" outlineLevel="0" collapsed="false">
      <c r="A13468" s="1" t="s">
        <v>1555</v>
      </c>
      <c r="B13468" s="7" t="n">
        <v>333.15</v>
      </c>
      <c r="C13468" s="1" t="n">
        <f aca="false">1/B13468</f>
        <v>0.0030016509079994</v>
      </c>
      <c r="D13468" s="3" t="n">
        <v>2.9019</v>
      </c>
      <c r="E13468" s="1" t="n">
        <f aca="false">LN(D13468)</f>
        <v>1.06536569487447</v>
      </c>
    </row>
    <row r="13469" customFormat="false" ht="15.75" hidden="false" customHeight="false" outlineLevel="0" collapsed="false">
      <c r="A13469" s="1" t="s">
        <v>1555</v>
      </c>
      <c r="B13469" s="7" t="n">
        <v>353.15</v>
      </c>
      <c r="C13469" s="1" t="n">
        <f aca="false">1/B13469</f>
        <v>0.00283165793572137</v>
      </c>
      <c r="D13469" s="3" t="n">
        <v>2.0404</v>
      </c>
      <c r="E13469" s="1" t="n">
        <f aca="false">LN(D13469)</f>
        <v>0.713145867066634</v>
      </c>
    </row>
    <row r="13470" customFormat="false" ht="15.75" hidden="false" customHeight="false" outlineLevel="0" collapsed="false">
      <c r="A13470" s="1" t="s">
        <v>1555</v>
      </c>
      <c r="B13470" s="7" t="n">
        <v>373.15</v>
      </c>
      <c r="C13470" s="1" t="n">
        <f aca="false">1/B13470</f>
        <v>0.00267988744472732</v>
      </c>
      <c r="D13470" s="3" t="n">
        <v>1.4684</v>
      </c>
      <c r="E13470" s="1" t="n">
        <f aca="false">LN(D13470)</f>
        <v>0.384173372640542</v>
      </c>
    </row>
    <row r="13471" customFormat="false" ht="15.75" hidden="false" customHeight="false" outlineLevel="0" collapsed="false">
      <c r="A13471" s="1" t="s">
        <v>1556</v>
      </c>
      <c r="B13471" s="7" t="n">
        <v>449.7</v>
      </c>
      <c r="C13471" s="1" t="n">
        <f aca="false">1/B13471</f>
        <v>0.0022237046920169</v>
      </c>
      <c r="D13471" s="3" t="n">
        <v>4.8</v>
      </c>
      <c r="E13471" s="1" t="n">
        <f aca="false">LN(D13471)</f>
        <v>1.56861591791385</v>
      </c>
    </row>
    <row r="13472" customFormat="false" ht="15.75" hidden="false" customHeight="false" outlineLevel="0" collapsed="false">
      <c r="A13472" s="1" t="s">
        <v>1556</v>
      </c>
      <c r="B13472" s="7" t="n">
        <v>457</v>
      </c>
      <c r="C13472" s="1" t="n">
        <f aca="false">1/B13472</f>
        <v>0.00218818380743982</v>
      </c>
      <c r="D13472" s="3" t="n">
        <v>4</v>
      </c>
      <c r="E13472" s="1" t="n">
        <f aca="false">LN(D13472)</f>
        <v>1.38629436111989</v>
      </c>
    </row>
    <row r="13473" customFormat="false" ht="15.75" hidden="false" customHeight="false" outlineLevel="0" collapsed="false">
      <c r="A13473" s="1" t="s">
        <v>1556</v>
      </c>
      <c r="B13473" s="7" t="n">
        <v>464.2</v>
      </c>
      <c r="C13473" s="1" t="n">
        <f aca="false">1/B13473</f>
        <v>0.002154243860405</v>
      </c>
      <c r="D13473" s="3" t="n">
        <v>3.7</v>
      </c>
      <c r="E13473" s="1" t="n">
        <f aca="false">LN(D13473)</f>
        <v>1.30833281965018</v>
      </c>
    </row>
    <row r="13474" customFormat="false" ht="15.75" hidden="false" customHeight="false" outlineLevel="0" collapsed="false">
      <c r="A13474" s="1" t="s">
        <v>1355</v>
      </c>
      <c r="B13474" s="7" t="n">
        <v>290.5</v>
      </c>
      <c r="C13474" s="1" t="n">
        <f aca="false">1/B13474</f>
        <v>0.00344234079173838</v>
      </c>
      <c r="D13474" s="3" t="n">
        <v>1.033</v>
      </c>
      <c r="E13474" s="1" t="n">
        <f aca="false">LN(D13474)</f>
        <v>0.0324671901375014</v>
      </c>
    </row>
    <row r="13475" customFormat="false" ht="15.75" hidden="false" customHeight="false" outlineLevel="0" collapsed="false">
      <c r="A13475" s="1" t="s">
        <v>1355</v>
      </c>
      <c r="B13475" s="7" t="n">
        <v>330.85</v>
      </c>
      <c r="C13475" s="1" t="n">
        <f aca="false">1/B13475</f>
        <v>0.00302251775729182</v>
      </c>
      <c r="D13475" s="3" t="n">
        <v>0.5908</v>
      </c>
      <c r="E13475" s="1" t="n">
        <f aca="false">LN(D13475)</f>
        <v>-0.526277728324912</v>
      </c>
    </row>
    <row r="13476" customFormat="false" ht="15.75" hidden="false" customHeight="false" outlineLevel="0" collapsed="false">
      <c r="A13476" s="1" t="s">
        <v>1355</v>
      </c>
      <c r="B13476" s="7" t="n">
        <v>352.45</v>
      </c>
      <c r="C13476" s="1" t="n">
        <f aca="false">1/B13476</f>
        <v>0.00283728188395517</v>
      </c>
      <c r="D13476" s="3" t="n">
        <v>0.4662</v>
      </c>
      <c r="E13476" s="1" t="n">
        <f aca="false">LN(D13476)</f>
        <v>-0.76314055238048</v>
      </c>
    </row>
    <row r="13477" customFormat="false" ht="15.75" hidden="false" customHeight="false" outlineLevel="0" collapsed="false">
      <c r="A13477" s="1" t="s">
        <v>1355</v>
      </c>
      <c r="B13477" s="7" t="n">
        <v>371.15</v>
      </c>
      <c r="C13477" s="1" t="n">
        <f aca="false">1/B13477</f>
        <v>0.00269432843863667</v>
      </c>
      <c r="D13477" s="3" t="n">
        <v>0.3898</v>
      </c>
      <c r="E13477" s="1" t="n">
        <f aca="false">LN(D13477)</f>
        <v>-0.942121491908677</v>
      </c>
    </row>
    <row r="13478" customFormat="false" ht="15.75" hidden="false" customHeight="false" outlineLevel="0" collapsed="false">
      <c r="A13478" s="1" t="s">
        <v>1355</v>
      </c>
      <c r="B13478" s="7" t="n">
        <v>381.65</v>
      </c>
      <c r="C13478" s="1" t="n">
        <f aca="false">1/B13478</f>
        <v>0.00262020175553518</v>
      </c>
      <c r="D13478" s="3" t="n">
        <v>0.3551</v>
      </c>
      <c r="E13478" s="1" t="n">
        <f aca="false">LN(D13478)</f>
        <v>-1.03535583903309</v>
      </c>
    </row>
    <row r="13479" customFormat="false" ht="15.75" hidden="false" customHeight="false" outlineLevel="0" collapsed="false">
      <c r="A13479" s="1" t="s">
        <v>1355</v>
      </c>
      <c r="B13479" s="7" t="n">
        <v>391.25</v>
      </c>
      <c r="C13479" s="1" t="n">
        <f aca="false">1/B13479</f>
        <v>0.00255591054313099</v>
      </c>
      <c r="D13479" s="3" t="n">
        <v>0.327</v>
      </c>
      <c r="E13479" s="1" t="n">
        <f aca="false">LN(D13479)</f>
        <v>-1.11779510808488</v>
      </c>
    </row>
    <row r="13480" customFormat="false" ht="15.75" hidden="false" customHeight="false" outlineLevel="0" collapsed="false">
      <c r="A13480" s="1" t="s">
        <v>1355</v>
      </c>
      <c r="B13480" s="7" t="n">
        <v>401.15</v>
      </c>
      <c r="C13480" s="1" t="n">
        <f aca="false">1/B13480</f>
        <v>0.00249283310482363</v>
      </c>
      <c r="D13480" s="3" t="n">
        <v>0.303</v>
      </c>
      <c r="E13480" s="1" t="n">
        <f aca="false">LN(D13480)</f>
        <v>-1.19402247347277</v>
      </c>
    </row>
    <row r="13481" customFormat="false" ht="15.75" hidden="false" customHeight="false" outlineLevel="0" collapsed="false">
      <c r="A13481" s="1" t="s">
        <v>1355</v>
      </c>
      <c r="B13481" s="7" t="n">
        <v>410.95</v>
      </c>
      <c r="C13481" s="1" t="n">
        <f aca="false">1/B13481</f>
        <v>0.00243338605669789</v>
      </c>
      <c r="D13481" s="3" t="n">
        <v>0.2812</v>
      </c>
      <c r="E13481" s="1" t="n">
        <f aca="false">LN(D13481)</f>
        <v>-1.26868911904563</v>
      </c>
    </row>
    <row r="13482" customFormat="false" ht="15.75" hidden="false" customHeight="false" outlineLevel="0" collapsed="false">
      <c r="A13482" s="1" t="s">
        <v>1355</v>
      </c>
      <c r="B13482" s="7" t="n">
        <v>421.25</v>
      </c>
      <c r="C13482" s="1" t="n">
        <f aca="false">1/B13482</f>
        <v>0.00237388724035608</v>
      </c>
      <c r="D13482" s="3" t="n">
        <v>0.261</v>
      </c>
      <c r="E13482" s="1" t="n">
        <f aca="false">LN(D13482)</f>
        <v>-1.34323487165944</v>
      </c>
    </row>
    <row r="13483" customFormat="false" ht="15.75" hidden="false" customHeight="false" outlineLevel="0" collapsed="false">
      <c r="A13483" s="1" t="s">
        <v>1355</v>
      </c>
      <c r="B13483" s="7" t="n">
        <v>429.85</v>
      </c>
      <c r="C13483" s="1" t="n">
        <f aca="false">1/B13483</f>
        <v>0.0023263929277655</v>
      </c>
      <c r="D13483" s="3" t="n">
        <v>0.2455</v>
      </c>
      <c r="E13483" s="1" t="n">
        <f aca="false">LN(D13483)</f>
        <v>-1.40445833174756</v>
      </c>
    </row>
    <row r="13484" customFormat="false" ht="15.75" hidden="false" customHeight="false" outlineLevel="0" collapsed="false">
      <c r="A13484" s="1" t="s">
        <v>1355</v>
      </c>
      <c r="B13484" s="7" t="n">
        <v>435.85</v>
      </c>
      <c r="C13484" s="1" t="n">
        <f aca="false">1/B13484</f>
        <v>0.00229436732820925</v>
      </c>
      <c r="D13484" s="3" t="n">
        <v>0.2359</v>
      </c>
      <c r="E13484" s="1" t="n">
        <f aca="false">LN(D13484)</f>
        <v>-1.44434729256851</v>
      </c>
    </row>
    <row r="13485" customFormat="false" ht="15.75" hidden="false" customHeight="false" outlineLevel="0" collapsed="false">
      <c r="A13485" s="1" t="s">
        <v>1557</v>
      </c>
      <c r="B13485" s="7" t="n">
        <v>288.16</v>
      </c>
      <c r="C13485" s="1" t="n">
        <f aca="false">1/B13485</f>
        <v>0.00347029428095502</v>
      </c>
      <c r="D13485" s="3" t="n">
        <v>1.0225</v>
      </c>
      <c r="E13485" s="1" t="n">
        <f aca="false">LN(D13485)</f>
        <v>0.0222506089348197</v>
      </c>
    </row>
    <row r="13486" customFormat="false" ht="15.75" hidden="false" customHeight="false" outlineLevel="0" collapsed="false">
      <c r="A13486" s="1" t="s">
        <v>1557</v>
      </c>
      <c r="B13486" s="7" t="n">
        <v>310.94</v>
      </c>
      <c r="C13486" s="1" t="n">
        <f aca="false">1/B13486</f>
        <v>0.00321605454428507</v>
      </c>
      <c r="D13486" s="3" t="n">
        <v>0.7268</v>
      </c>
      <c r="E13486" s="1" t="n">
        <f aca="false">LN(D13486)</f>
        <v>-0.319103942460121</v>
      </c>
    </row>
    <row r="13487" customFormat="false" ht="15.75" hidden="false" customHeight="false" outlineLevel="0" collapsed="false">
      <c r="A13487" s="1" t="s">
        <v>1557</v>
      </c>
      <c r="B13487" s="7" t="n">
        <v>338.72</v>
      </c>
      <c r="C13487" s="1" t="n">
        <f aca="false">1/B13487</f>
        <v>0.00295229097779877</v>
      </c>
      <c r="D13487" s="3" t="n">
        <v>0.5363</v>
      </c>
      <c r="E13487" s="1" t="n">
        <f aca="false">LN(D13487)</f>
        <v>-0.623061572993258</v>
      </c>
    </row>
    <row r="13488" customFormat="false" ht="15.75" hidden="false" customHeight="false" outlineLevel="0" collapsed="false">
      <c r="A13488" s="1" t="s">
        <v>1557</v>
      </c>
      <c r="B13488" s="7" t="n">
        <v>366.49</v>
      </c>
      <c r="C13488" s="1" t="n">
        <f aca="false">1/B13488</f>
        <v>0.00272858741029769</v>
      </c>
      <c r="D13488" s="3" t="n">
        <v>0.4028</v>
      </c>
      <c r="E13488" s="1" t="n">
        <f aca="false">LN(D13488)</f>
        <v>-0.90931511813773</v>
      </c>
    </row>
    <row r="13489" customFormat="false" ht="15.75" hidden="false" customHeight="false" outlineLevel="0" collapsed="false">
      <c r="A13489" s="1" t="s">
        <v>1557</v>
      </c>
      <c r="B13489" s="7" t="n">
        <v>394.27</v>
      </c>
      <c r="C13489" s="1" t="n">
        <f aca="false">1/B13489</f>
        <v>0.00253633296979227</v>
      </c>
      <c r="D13489" s="3" t="n">
        <v>0.3266</v>
      </c>
      <c r="E13489" s="1" t="n">
        <f aca="false">LN(D13489)</f>
        <v>-1.11901909844577</v>
      </c>
    </row>
    <row r="13490" customFormat="false" ht="15.75" hidden="false" customHeight="false" outlineLevel="0" collapsed="false">
      <c r="A13490" s="1" t="s">
        <v>1557</v>
      </c>
      <c r="B13490" s="7" t="n">
        <v>422.05</v>
      </c>
      <c r="C13490" s="1" t="n">
        <f aca="false">1/B13490</f>
        <v>0.0023693875133278</v>
      </c>
      <c r="D13490" s="3" t="n">
        <v>0.2728</v>
      </c>
      <c r="E13490" s="1" t="n">
        <f aca="false">LN(D13490)</f>
        <v>-1.29901635301283</v>
      </c>
    </row>
    <row r="13491" customFormat="false" ht="15.75" hidden="false" customHeight="false" outlineLevel="0" collapsed="false">
      <c r="A13491" s="1" t="s">
        <v>1557</v>
      </c>
      <c r="B13491" s="7" t="n">
        <v>449.83</v>
      </c>
      <c r="C13491" s="1" t="n">
        <f aca="false">1/B13491</f>
        <v>0.00222306204566169</v>
      </c>
      <c r="D13491" s="3" t="n">
        <v>0.2344</v>
      </c>
      <c r="E13491" s="1" t="n">
        <f aca="false">LN(D13491)</f>
        <v>-1.45072622127928</v>
      </c>
    </row>
    <row r="13492" customFormat="false" ht="15.75" hidden="false" customHeight="false" outlineLevel="0" collapsed="false">
      <c r="A13492" s="1" t="s">
        <v>1558</v>
      </c>
      <c r="B13492" s="7" t="n">
        <v>186.8</v>
      </c>
      <c r="C13492" s="1" t="n">
        <f aca="false">1/B13492</f>
        <v>0.00535331905781585</v>
      </c>
      <c r="D13492" s="3" t="n">
        <v>0.911</v>
      </c>
      <c r="E13492" s="1" t="n">
        <f aca="false">LN(D13492)</f>
        <v>-0.0932123817221787</v>
      </c>
    </row>
    <row r="13493" customFormat="false" ht="15.75" hidden="false" customHeight="false" outlineLevel="0" collapsed="false">
      <c r="A13493" s="1" t="s">
        <v>1558</v>
      </c>
      <c r="B13493" s="7" t="n">
        <v>188.8</v>
      </c>
      <c r="C13493" s="1" t="n">
        <f aca="false">1/B13493</f>
        <v>0.00529661016949153</v>
      </c>
      <c r="D13493" s="3" t="n">
        <v>0.902</v>
      </c>
      <c r="E13493" s="1" t="n">
        <f aca="false">LN(D13493)</f>
        <v>-0.103140758919513</v>
      </c>
    </row>
    <row r="13494" customFormat="false" ht="15.75" hidden="false" customHeight="false" outlineLevel="0" collapsed="false">
      <c r="A13494" s="1" t="s">
        <v>1558</v>
      </c>
      <c r="B13494" s="7" t="n">
        <v>190.8</v>
      </c>
      <c r="C13494" s="1" t="n">
        <f aca="false">1/B13494</f>
        <v>0.00524109014675052</v>
      </c>
      <c r="D13494" s="3" t="n">
        <v>0.89</v>
      </c>
      <c r="E13494" s="1" t="n">
        <f aca="false">LN(D13494)</f>
        <v>-0.116533816255952</v>
      </c>
    </row>
    <row r="13495" customFormat="false" ht="15.75" hidden="false" customHeight="false" outlineLevel="0" collapsed="false">
      <c r="A13495" s="1" t="s">
        <v>1558</v>
      </c>
      <c r="B13495" s="7" t="n">
        <v>193.7</v>
      </c>
      <c r="C13495" s="1" t="n">
        <f aca="false">1/B13495</f>
        <v>0.00516262261228704</v>
      </c>
      <c r="D13495" s="3" t="n">
        <v>0.877</v>
      </c>
      <c r="E13495" s="1" t="n">
        <f aca="false">LN(D13495)</f>
        <v>-0.131248286609954</v>
      </c>
    </row>
    <row r="13496" customFormat="false" ht="15.75" hidden="false" customHeight="false" outlineLevel="0" collapsed="false">
      <c r="A13496" s="1" t="s">
        <v>1558</v>
      </c>
      <c r="B13496" s="7" t="n">
        <v>197.3</v>
      </c>
      <c r="C13496" s="1" t="n">
        <f aca="false">1/B13496</f>
        <v>0.00506842372022301</v>
      </c>
      <c r="D13496" s="3" t="n">
        <v>0.857</v>
      </c>
      <c r="E13496" s="1" t="n">
        <f aca="false">LN(D13496)</f>
        <v>-0.154317360384357</v>
      </c>
    </row>
    <row r="13497" customFormat="false" ht="15.75" hidden="false" customHeight="false" outlineLevel="0" collapsed="false">
      <c r="A13497" s="1" t="s">
        <v>1558</v>
      </c>
      <c r="B13497" s="7" t="n">
        <v>199.4</v>
      </c>
      <c r="C13497" s="1" t="n">
        <f aca="false">1/B13497</f>
        <v>0.00501504513540622</v>
      </c>
      <c r="D13497" s="3" t="n">
        <v>0.851</v>
      </c>
      <c r="E13497" s="1" t="n">
        <f aca="false">LN(D13497)</f>
        <v>-0.161343150408763</v>
      </c>
    </row>
    <row r="13498" customFormat="false" ht="15.75" hidden="false" customHeight="false" outlineLevel="0" collapsed="false">
      <c r="A13498" s="1" t="s">
        <v>1357</v>
      </c>
      <c r="B13498" s="7" t="n">
        <v>259.85</v>
      </c>
      <c r="C13498" s="1" t="n">
        <f aca="false">1/B13498</f>
        <v>0.00384837406195882</v>
      </c>
      <c r="D13498" s="3" t="n">
        <v>0.2756</v>
      </c>
      <c r="E13498" s="1" t="n">
        <f aca="false">LN(D13498)</f>
        <v>-1.28880473984263</v>
      </c>
    </row>
    <row r="13499" customFormat="false" ht="15.75" hidden="false" customHeight="false" outlineLevel="0" collapsed="false">
      <c r="A13499" s="1" t="s">
        <v>1357</v>
      </c>
      <c r="B13499" s="7" t="n">
        <v>263.15</v>
      </c>
      <c r="C13499" s="1" t="n">
        <f aca="false">1/B13499</f>
        <v>0.0038001140034201</v>
      </c>
      <c r="D13499" s="3" t="n">
        <v>0.2644</v>
      </c>
      <c r="E13499" s="1" t="n">
        <f aca="false">LN(D13499)</f>
        <v>-1.33029217100461</v>
      </c>
    </row>
    <row r="13500" customFormat="false" ht="15.75" hidden="false" customHeight="false" outlineLevel="0" collapsed="false">
      <c r="A13500" s="1" t="s">
        <v>1357</v>
      </c>
      <c r="B13500" s="7" t="n">
        <v>268.15</v>
      </c>
      <c r="C13500" s="1" t="n">
        <f aca="false">1/B13500</f>
        <v>0.00372925601342532</v>
      </c>
      <c r="D13500" s="3" t="n">
        <v>0.2492</v>
      </c>
      <c r="E13500" s="1" t="n">
        <f aca="false">LN(D13500)</f>
        <v>-1.38949949206884</v>
      </c>
    </row>
    <row r="13501" customFormat="false" ht="15.75" hidden="false" customHeight="false" outlineLevel="0" collapsed="false">
      <c r="A13501" s="1" t="s">
        <v>1357</v>
      </c>
      <c r="B13501" s="7" t="n">
        <v>273.15</v>
      </c>
      <c r="C13501" s="1" t="n">
        <f aca="false">1/B13501</f>
        <v>0.00366099212886692</v>
      </c>
      <c r="D13501" s="3" t="n">
        <v>0.2355</v>
      </c>
      <c r="E13501" s="1" t="n">
        <f aca="false">LN(D13501)</f>
        <v>-1.44604436552566</v>
      </c>
    </row>
    <row r="13502" customFormat="false" ht="15.75" hidden="false" customHeight="false" outlineLevel="0" collapsed="false">
      <c r="A13502" s="1" t="s">
        <v>1357</v>
      </c>
      <c r="B13502" s="7" t="n">
        <v>278.15</v>
      </c>
      <c r="C13502" s="1" t="n">
        <f aca="false">1/B13502</f>
        <v>0.00359518245550962</v>
      </c>
      <c r="D13502" s="3" t="n">
        <v>0.2228</v>
      </c>
      <c r="E13502" s="1" t="n">
        <f aca="false">LN(D13502)</f>
        <v>-1.50148077092901</v>
      </c>
    </row>
    <row r="13503" customFormat="false" ht="15.75" hidden="false" customHeight="false" outlineLevel="0" collapsed="false">
      <c r="A13503" s="1" t="s">
        <v>1357</v>
      </c>
      <c r="B13503" s="7" t="n">
        <v>283.15</v>
      </c>
      <c r="C13503" s="1" t="n">
        <f aca="false">1/B13503</f>
        <v>0.00353169698039908</v>
      </c>
      <c r="D13503" s="3" t="n">
        <v>0.2114</v>
      </c>
      <c r="E13503" s="1" t="n">
        <f aca="false">LN(D13503)</f>
        <v>-1.554003205546</v>
      </c>
    </row>
    <row r="13504" customFormat="false" ht="15.75" hidden="false" customHeight="false" outlineLevel="0" collapsed="false">
      <c r="A13504" s="1" t="s">
        <v>1357</v>
      </c>
      <c r="B13504" s="7" t="n">
        <v>288.15</v>
      </c>
      <c r="C13504" s="1" t="n">
        <f aca="false">1/B13504</f>
        <v>0.00347041471455839</v>
      </c>
      <c r="D13504" s="3" t="n">
        <v>0.2014</v>
      </c>
      <c r="E13504" s="1" t="n">
        <f aca="false">LN(D13504)</f>
        <v>-1.60246229869768</v>
      </c>
    </row>
    <row r="13505" customFormat="false" ht="15.75" hidden="false" customHeight="false" outlineLevel="0" collapsed="false">
      <c r="A13505" s="1" t="s">
        <v>1357</v>
      </c>
      <c r="B13505" s="7" t="n">
        <v>291.15</v>
      </c>
      <c r="C13505" s="1" t="n">
        <f aca="false">1/B13505</f>
        <v>0.0034346556757685</v>
      </c>
      <c r="D13505" s="3" t="n">
        <v>0.1955</v>
      </c>
      <c r="E13505" s="1" t="n">
        <f aca="false">LN(D13505)</f>
        <v>-1.63219489955672</v>
      </c>
    </row>
    <row r="13506" customFormat="false" ht="15.75" hidden="false" customHeight="false" outlineLevel="0" collapsed="false">
      <c r="A13506" s="1" t="s">
        <v>1357</v>
      </c>
      <c r="B13506" s="7" t="n">
        <v>295.15</v>
      </c>
      <c r="C13506" s="1" t="n">
        <f aca="false">1/B13506</f>
        <v>0.00338810774182619</v>
      </c>
      <c r="D13506" s="3" t="n">
        <v>0.1885</v>
      </c>
      <c r="E13506" s="1" t="n">
        <f aca="false">LN(D13506)</f>
        <v>-1.66865727209407</v>
      </c>
    </row>
    <row r="13507" customFormat="false" ht="15.75" hidden="false" customHeight="false" outlineLevel="0" collapsed="false">
      <c r="A13507" s="1" t="s">
        <v>1357</v>
      </c>
      <c r="B13507" s="7" t="n">
        <v>298.15</v>
      </c>
      <c r="C13507" s="1" t="n">
        <f aca="false">1/B13507</f>
        <v>0.00335401643468053</v>
      </c>
      <c r="D13507" s="3" t="n">
        <v>0.1834</v>
      </c>
      <c r="E13507" s="1" t="n">
        <f aca="false">LN(D13507)</f>
        <v>-1.69608571915977</v>
      </c>
    </row>
    <row r="13508" customFormat="false" ht="15.75" hidden="false" customHeight="false" outlineLevel="0" collapsed="false">
      <c r="A13508" s="1" t="s">
        <v>1559</v>
      </c>
      <c r="B13508" s="7" t="n">
        <v>223.3</v>
      </c>
      <c r="C13508" s="1" t="n">
        <f aca="false">1/B13508</f>
        <v>0.00447828034034931</v>
      </c>
      <c r="D13508" s="3" t="n">
        <v>1.479</v>
      </c>
      <c r="E13508" s="1" t="n">
        <f aca="false">LN(D13508)</f>
        <v>0.391366183728663</v>
      </c>
    </row>
    <row r="13509" customFormat="false" ht="15.75" hidden="false" customHeight="false" outlineLevel="0" collapsed="false">
      <c r="A13509" s="1" t="s">
        <v>1559</v>
      </c>
      <c r="B13509" s="7" t="n">
        <v>225.6</v>
      </c>
      <c r="C13509" s="1" t="n">
        <f aca="false">1/B13509</f>
        <v>0.00443262411347518</v>
      </c>
      <c r="D13509" s="3" t="n">
        <v>1.454</v>
      </c>
      <c r="E13509" s="1" t="n">
        <f aca="false">LN(D13509)</f>
        <v>0.374318379111328</v>
      </c>
    </row>
    <row r="13510" customFormat="false" ht="15.75" hidden="false" customHeight="false" outlineLevel="0" collapsed="false">
      <c r="A13510" s="1" t="s">
        <v>1559</v>
      </c>
      <c r="B13510" s="7" t="n">
        <v>227.2</v>
      </c>
      <c r="C13510" s="1" t="n">
        <f aca="false">1/B13510</f>
        <v>0.00440140845070423</v>
      </c>
      <c r="D13510" s="3" t="n">
        <v>1.437</v>
      </c>
      <c r="E13510" s="1" t="n">
        <f aca="false">LN(D13510)</f>
        <v>0.362557607096888</v>
      </c>
    </row>
    <row r="13511" customFormat="false" ht="15.75" hidden="false" customHeight="false" outlineLevel="0" collapsed="false">
      <c r="A13511" s="1" t="s">
        <v>1559</v>
      </c>
      <c r="B13511" s="7" t="n">
        <v>229.6</v>
      </c>
      <c r="C13511" s="1" t="n">
        <f aca="false">1/B13511</f>
        <v>0.00435540069686411</v>
      </c>
      <c r="D13511" s="3" t="n">
        <v>1.426</v>
      </c>
      <c r="E13511" s="1" t="n">
        <f aca="false">LN(D13511)</f>
        <v>0.354873321992104</v>
      </c>
    </row>
    <row r="13512" customFormat="false" ht="15.75" hidden="false" customHeight="false" outlineLevel="0" collapsed="false">
      <c r="A13512" s="1" t="s">
        <v>1559</v>
      </c>
      <c r="B13512" s="7" t="n">
        <v>231.5</v>
      </c>
      <c r="C13512" s="1" t="n">
        <f aca="false">1/B13512</f>
        <v>0.00431965442764579</v>
      </c>
      <c r="D13512" s="3" t="n">
        <v>1.402</v>
      </c>
      <c r="E13512" s="1" t="n">
        <f aca="false">LN(D13512)</f>
        <v>0.337899788612398</v>
      </c>
    </row>
    <row r="13513" customFormat="false" ht="15.75" hidden="false" customHeight="false" outlineLevel="0" collapsed="false">
      <c r="A13513" s="1" t="s">
        <v>1559</v>
      </c>
      <c r="B13513" s="7" t="n">
        <v>233.9</v>
      </c>
      <c r="C13513" s="1" t="n">
        <f aca="false">1/B13513</f>
        <v>0.00427533133817871</v>
      </c>
      <c r="D13513" s="3" t="n">
        <v>1.377</v>
      </c>
      <c r="E13513" s="1" t="n">
        <f aca="false">LN(D13513)</f>
        <v>0.319907219746518</v>
      </c>
    </row>
    <row r="13514" customFormat="false" ht="15.75" hidden="false" customHeight="false" outlineLevel="0" collapsed="false">
      <c r="A13514" s="1" t="s">
        <v>1559</v>
      </c>
      <c r="B13514" s="7" t="n">
        <v>236.4</v>
      </c>
      <c r="C13514" s="1" t="n">
        <f aca="false">1/B13514</f>
        <v>0.00423011844331641</v>
      </c>
      <c r="D13514" s="3" t="n">
        <v>1.353</v>
      </c>
      <c r="E13514" s="1" t="n">
        <f aca="false">LN(D13514)</f>
        <v>0.302324349188651</v>
      </c>
    </row>
    <row r="13515" customFormat="false" ht="15.75" hidden="false" customHeight="false" outlineLevel="0" collapsed="false">
      <c r="A13515" s="1" t="s">
        <v>1359</v>
      </c>
      <c r="B13515" s="7" t="n">
        <v>273.15</v>
      </c>
      <c r="C13515" s="1" t="n">
        <f aca="false">1/B13515</f>
        <v>0.00366099212886692</v>
      </c>
      <c r="D13515" s="3" t="n">
        <v>2.24</v>
      </c>
      <c r="E13515" s="1" t="n">
        <f aca="false">LN(D13515)</f>
        <v>0.806475865866948</v>
      </c>
    </row>
    <row r="13516" customFormat="false" ht="15.75" hidden="false" customHeight="false" outlineLevel="0" collapsed="false">
      <c r="A13516" s="1" t="s">
        <v>1359</v>
      </c>
      <c r="B13516" s="7" t="n">
        <v>283.15</v>
      </c>
      <c r="C13516" s="1" t="n">
        <f aca="false">1/B13516</f>
        <v>0.00353169698039908</v>
      </c>
      <c r="D13516" s="3" t="n">
        <v>1.8</v>
      </c>
      <c r="E13516" s="1" t="n">
        <f aca="false">LN(D13516)</f>
        <v>0.587786664902119</v>
      </c>
    </row>
    <row r="13517" customFormat="false" ht="15.75" hidden="false" customHeight="false" outlineLevel="0" collapsed="false">
      <c r="A13517" s="1" t="s">
        <v>1359</v>
      </c>
      <c r="B13517" s="7" t="n">
        <v>293.15</v>
      </c>
      <c r="C13517" s="1" t="n">
        <f aca="false">1/B13517</f>
        <v>0.00341122292341805</v>
      </c>
      <c r="D13517" s="3" t="n">
        <v>1.48</v>
      </c>
      <c r="E13517" s="1" t="n">
        <f aca="false">LN(D13517)</f>
        <v>0.392042087776024</v>
      </c>
    </row>
    <row r="13518" customFormat="false" ht="15.75" hidden="false" customHeight="false" outlineLevel="0" collapsed="false">
      <c r="A13518" s="1" t="s">
        <v>1359</v>
      </c>
      <c r="B13518" s="7" t="n">
        <v>303.5</v>
      </c>
      <c r="C13518" s="1" t="n">
        <f aca="false">1/B13518</f>
        <v>0.00329489291598023</v>
      </c>
      <c r="D13518" s="3" t="n">
        <v>1.25</v>
      </c>
      <c r="E13518" s="1" t="n">
        <f aca="false">LN(D13518)</f>
        <v>0.22314355131421</v>
      </c>
    </row>
    <row r="13519" customFormat="false" ht="15.75" hidden="false" customHeight="false" outlineLevel="0" collapsed="false">
      <c r="A13519" s="1" t="s">
        <v>1359</v>
      </c>
      <c r="B13519" s="7" t="n">
        <v>313.15</v>
      </c>
      <c r="C13519" s="1" t="n">
        <f aca="false">1/B13519</f>
        <v>0.00319335781574325</v>
      </c>
      <c r="D13519" s="3" t="n">
        <v>1.07</v>
      </c>
      <c r="E13519" s="1" t="n">
        <f aca="false">LN(D13519)</f>
        <v>0.0676586484738149</v>
      </c>
    </row>
    <row r="13520" customFormat="false" ht="15.75" hidden="false" customHeight="false" outlineLevel="0" collapsed="false">
      <c r="A13520" s="1" t="s">
        <v>1359</v>
      </c>
      <c r="B13520" s="7" t="n">
        <v>323.15</v>
      </c>
      <c r="C13520" s="1" t="n">
        <f aca="false">1/B13520</f>
        <v>0.00309453814018258</v>
      </c>
      <c r="D13520" s="3" t="n">
        <v>0.929</v>
      </c>
      <c r="E13520" s="1" t="n">
        <f aca="false">LN(D13520)</f>
        <v>-0.0736465401682985</v>
      </c>
    </row>
    <row r="13521" customFormat="false" ht="15.75" hidden="false" customHeight="false" outlineLevel="0" collapsed="false">
      <c r="A13521" s="1" t="s">
        <v>1359</v>
      </c>
      <c r="B13521" s="7" t="n">
        <v>333.15</v>
      </c>
      <c r="C13521" s="1" t="n">
        <f aca="false">1/B13521</f>
        <v>0.0030016509079994</v>
      </c>
      <c r="D13521" s="3" t="n">
        <v>0.818</v>
      </c>
      <c r="E13521" s="1" t="n">
        <f aca="false">LN(D13521)</f>
        <v>-0.20089294237939</v>
      </c>
    </row>
    <row r="13522" customFormat="false" ht="15.75" hidden="false" customHeight="false" outlineLevel="0" collapsed="false">
      <c r="A13522" s="1" t="s">
        <v>1359</v>
      </c>
      <c r="B13522" s="7" t="n">
        <v>343.15</v>
      </c>
      <c r="C13522" s="1" t="n">
        <f aca="false">1/B13522</f>
        <v>0.00291417747340813</v>
      </c>
      <c r="D13522" s="3" t="n">
        <v>0.728</v>
      </c>
      <c r="E13522" s="1" t="n">
        <f aca="false">LN(D13522)</f>
        <v>-0.317454230785451</v>
      </c>
    </row>
    <row r="13523" customFormat="false" ht="15.75" hidden="false" customHeight="false" outlineLevel="0" collapsed="false">
      <c r="A13523" s="1" t="s">
        <v>1359</v>
      </c>
      <c r="B13523" s="7" t="n">
        <v>353.15</v>
      </c>
      <c r="C13523" s="1" t="n">
        <f aca="false">1/B13523</f>
        <v>0.00283165793572137</v>
      </c>
      <c r="D13523" s="3" t="n">
        <v>0.656</v>
      </c>
      <c r="E13523" s="1" t="n">
        <f aca="false">LN(D13523)</f>
        <v>-0.421594490038048</v>
      </c>
    </row>
    <row r="13524" customFormat="false" ht="15.75" hidden="false" customHeight="false" outlineLevel="0" collapsed="false">
      <c r="A13524" s="1" t="s">
        <v>1359</v>
      </c>
      <c r="B13524" s="7" t="n">
        <v>363.15</v>
      </c>
      <c r="C13524" s="1" t="n">
        <f aca="false">1/B13524</f>
        <v>0.00275368305108082</v>
      </c>
      <c r="D13524" s="3" t="n">
        <v>0.595</v>
      </c>
      <c r="E13524" s="1" t="n">
        <f aca="false">LN(D13524)</f>
        <v>-0.519193873436507</v>
      </c>
    </row>
    <row r="13525" customFormat="false" ht="15.75" hidden="false" customHeight="false" outlineLevel="0" collapsed="false">
      <c r="A13525" s="1" t="s">
        <v>1359</v>
      </c>
      <c r="B13525" s="7" t="n">
        <v>373.15</v>
      </c>
      <c r="C13525" s="1" t="n">
        <f aca="false">1/B13525</f>
        <v>0.00267988744472732</v>
      </c>
      <c r="D13525" s="3" t="n">
        <v>0.545</v>
      </c>
      <c r="E13525" s="1" t="n">
        <f aca="false">LN(D13525)</f>
        <v>-0.606969484318893</v>
      </c>
    </row>
    <row r="13526" customFormat="false" ht="15.75" hidden="false" customHeight="false" outlineLevel="0" collapsed="false">
      <c r="A13526" s="1" t="s">
        <v>1359</v>
      </c>
      <c r="B13526" s="7" t="n">
        <v>383.15</v>
      </c>
      <c r="C13526" s="1" t="n">
        <f aca="false">1/B13526</f>
        <v>0.00260994388620645</v>
      </c>
      <c r="D13526" s="3" t="n">
        <v>0.502</v>
      </c>
      <c r="E13526" s="1" t="n">
        <f aca="false">LN(D13526)</f>
        <v>-0.689155159290408</v>
      </c>
    </row>
    <row r="13527" customFormat="false" ht="15.75" hidden="false" customHeight="false" outlineLevel="0" collapsed="false">
      <c r="A13527" s="1" t="s">
        <v>1359</v>
      </c>
      <c r="B13527" s="7" t="n">
        <v>393.15</v>
      </c>
      <c r="C13527" s="1" t="n">
        <f aca="false">1/B13527</f>
        <v>0.00254355843825512</v>
      </c>
      <c r="D13527" s="3" t="n">
        <v>0.466</v>
      </c>
      <c r="E13527" s="1" t="n">
        <f aca="false">LN(D13527)</f>
        <v>-0.763569644856491</v>
      </c>
    </row>
    <row r="13528" customFormat="false" ht="15.75" hidden="false" customHeight="false" outlineLevel="0" collapsed="false">
      <c r="A13528" s="1" t="s">
        <v>1361</v>
      </c>
      <c r="B13528" s="7" t="n">
        <v>273.15</v>
      </c>
      <c r="C13528" s="1" t="n">
        <f aca="false">1/B13528</f>
        <v>0.00366099212886692</v>
      </c>
      <c r="D13528" s="3" t="n">
        <v>2.94</v>
      </c>
      <c r="E13528" s="1" t="n">
        <f aca="false">LN(D13528)</f>
        <v>1.07840958135059</v>
      </c>
    </row>
    <row r="13529" customFormat="false" ht="15.75" hidden="false" customHeight="false" outlineLevel="0" collapsed="false">
      <c r="A13529" s="1" t="s">
        <v>1361</v>
      </c>
      <c r="B13529" s="7" t="n">
        <v>283.15</v>
      </c>
      <c r="C13529" s="1" t="n">
        <f aca="false">1/B13529</f>
        <v>0.00353169698039908</v>
      </c>
      <c r="D13529" s="3" t="n">
        <v>2.1</v>
      </c>
      <c r="E13529" s="1" t="n">
        <f aca="false">LN(D13529)</f>
        <v>0.741937344729377</v>
      </c>
    </row>
    <row r="13530" customFormat="false" ht="15.75" hidden="false" customHeight="false" outlineLevel="0" collapsed="false">
      <c r="A13530" s="1" t="s">
        <v>1361</v>
      </c>
      <c r="B13530" s="7" t="n">
        <v>293.15</v>
      </c>
      <c r="C13530" s="1" t="n">
        <f aca="false">1/B13530</f>
        <v>0.00341122292341805</v>
      </c>
      <c r="D13530" s="3" t="n">
        <v>1.75</v>
      </c>
      <c r="E13530" s="1" t="n">
        <f aca="false">LN(D13530)</f>
        <v>0.559615787935423</v>
      </c>
    </row>
    <row r="13531" customFormat="false" ht="15.75" hidden="false" customHeight="false" outlineLevel="0" collapsed="false">
      <c r="A13531" s="1" t="s">
        <v>1361</v>
      </c>
      <c r="B13531" s="7" t="n">
        <v>303.5</v>
      </c>
      <c r="C13531" s="1" t="n">
        <f aca="false">1/B13531</f>
        <v>0.00329489291598023</v>
      </c>
      <c r="D13531" s="3" t="n">
        <v>1.49</v>
      </c>
      <c r="E13531" s="1" t="n">
        <f aca="false">LN(D13531)</f>
        <v>0.398776119957368</v>
      </c>
    </row>
    <row r="13532" customFormat="false" ht="15.75" hidden="false" customHeight="false" outlineLevel="0" collapsed="false">
      <c r="A13532" s="1" t="s">
        <v>1361</v>
      </c>
      <c r="B13532" s="7" t="n">
        <v>313.15</v>
      </c>
      <c r="C13532" s="1" t="n">
        <f aca="false">1/B13532</f>
        <v>0.00319335781574325</v>
      </c>
      <c r="D13532" s="3" t="n">
        <v>1.28</v>
      </c>
      <c r="E13532" s="1" t="n">
        <f aca="false">LN(D13532)</f>
        <v>0.246860077931526</v>
      </c>
    </row>
    <row r="13533" customFormat="false" ht="15.75" hidden="false" customHeight="false" outlineLevel="0" collapsed="false">
      <c r="A13533" s="1" t="s">
        <v>1361</v>
      </c>
      <c r="B13533" s="7" t="n">
        <v>323.15</v>
      </c>
      <c r="C13533" s="1" t="n">
        <f aca="false">1/B13533</f>
        <v>0.00309453814018258</v>
      </c>
      <c r="D13533" s="3" t="n">
        <v>1.11</v>
      </c>
      <c r="E13533" s="1" t="n">
        <f aca="false">LN(D13533)</f>
        <v>0.104360015324243</v>
      </c>
    </row>
    <row r="13534" customFormat="false" ht="15.75" hidden="false" customHeight="false" outlineLevel="0" collapsed="false">
      <c r="A13534" s="1" t="s">
        <v>1361</v>
      </c>
      <c r="B13534" s="7" t="n">
        <v>333.15</v>
      </c>
      <c r="C13534" s="1" t="n">
        <f aca="false">1/B13534</f>
        <v>0.0030016509079994</v>
      </c>
      <c r="D13534" s="3" t="n">
        <v>0.966</v>
      </c>
      <c r="E13534" s="1" t="n">
        <f aca="false">LN(D13534)</f>
        <v>-0.0345914447696191</v>
      </c>
    </row>
    <row r="13535" customFormat="false" ht="15.75" hidden="false" customHeight="false" outlineLevel="0" collapsed="false">
      <c r="A13535" s="1" t="s">
        <v>1361</v>
      </c>
      <c r="B13535" s="7" t="n">
        <v>343.15</v>
      </c>
      <c r="C13535" s="1" t="n">
        <f aca="false">1/B13535</f>
        <v>0.00291417747340813</v>
      </c>
      <c r="D13535" s="3" t="n">
        <v>0.844</v>
      </c>
      <c r="E13535" s="1" t="n">
        <f aca="false">LN(D13535)</f>
        <v>-0.16960278438618</v>
      </c>
    </row>
    <row r="13536" customFormat="false" ht="15.75" hidden="false" customHeight="false" outlineLevel="0" collapsed="false">
      <c r="A13536" s="1" t="s">
        <v>1361</v>
      </c>
      <c r="B13536" s="7" t="n">
        <v>353.15</v>
      </c>
      <c r="C13536" s="1" t="n">
        <f aca="false">1/B13536</f>
        <v>0.00283165793572137</v>
      </c>
      <c r="D13536" s="3" t="n">
        <v>0.741</v>
      </c>
      <c r="E13536" s="1" t="n">
        <f aca="false">LN(D13536)</f>
        <v>-0.29975465368605</v>
      </c>
    </row>
    <row r="13537" customFormat="false" ht="15.75" hidden="false" customHeight="false" outlineLevel="0" collapsed="false">
      <c r="A13537" s="1" t="s">
        <v>1361</v>
      </c>
      <c r="B13537" s="7" t="n">
        <v>363.15</v>
      </c>
      <c r="C13537" s="1" t="n">
        <f aca="false">1/B13537</f>
        <v>0.00275368305108082</v>
      </c>
      <c r="D13537" s="3" t="n">
        <v>0.653</v>
      </c>
      <c r="E13537" s="1" t="n">
        <f aca="false">LN(D13537)</f>
        <v>-0.426178149705706</v>
      </c>
    </row>
    <row r="13538" customFormat="false" ht="15.75" hidden="false" customHeight="false" outlineLevel="0" collapsed="false">
      <c r="A13538" s="1" t="s">
        <v>1361</v>
      </c>
      <c r="B13538" s="7" t="n">
        <v>373.15</v>
      </c>
      <c r="C13538" s="1" t="n">
        <f aca="false">1/B13538</f>
        <v>0.00267988744472732</v>
      </c>
      <c r="D13538" s="3" t="n">
        <v>0.578</v>
      </c>
      <c r="E13538" s="1" t="n">
        <f aca="false">LN(D13538)</f>
        <v>-0.54818141030976</v>
      </c>
    </row>
    <row r="13539" customFormat="false" ht="15.75" hidden="false" customHeight="false" outlineLevel="0" collapsed="false">
      <c r="A13539" s="1" t="s">
        <v>1361</v>
      </c>
      <c r="B13539" s="7" t="n">
        <v>383.15</v>
      </c>
      <c r="C13539" s="1" t="n">
        <f aca="false">1/B13539</f>
        <v>0.00260994388620645</v>
      </c>
      <c r="D13539" s="3" t="n">
        <v>0.513</v>
      </c>
      <c r="E13539" s="1" t="n">
        <f aca="false">LN(D13539)</f>
        <v>-0.667479433811368</v>
      </c>
    </row>
    <row r="13540" customFormat="false" ht="15.75" hidden="false" customHeight="false" outlineLevel="0" collapsed="false">
      <c r="A13540" s="1" t="s">
        <v>1361</v>
      </c>
      <c r="B13540" s="7" t="n">
        <v>393.15</v>
      </c>
      <c r="C13540" s="1" t="n">
        <f aca="false">1/B13540</f>
        <v>0.00254355843825512</v>
      </c>
      <c r="D13540" s="3" t="n">
        <v>0.457</v>
      </c>
      <c r="E13540" s="1" t="n">
        <f aca="false">LN(D13540)</f>
        <v>-0.783071888087932</v>
      </c>
    </row>
    <row r="13541" customFormat="false" ht="15.75" hidden="false" customHeight="false" outlineLevel="0" collapsed="false">
      <c r="A13541" s="1" t="s">
        <v>1560</v>
      </c>
      <c r="B13541" s="7" t="n">
        <v>287.7</v>
      </c>
      <c r="C13541" s="1" t="n">
        <f aca="false">1/B13541</f>
        <v>0.00347584289190129</v>
      </c>
      <c r="D13541" s="3" t="n">
        <v>2.666</v>
      </c>
      <c r="E13541" s="1" t="n">
        <f aca="false">LN(D13541)</f>
        <v>0.980579221756517</v>
      </c>
    </row>
    <row r="13542" customFormat="false" ht="15.75" hidden="false" customHeight="false" outlineLevel="0" collapsed="false">
      <c r="A13542" s="1" t="s">
        <v>1560</v>
      </c>
      <c r="B13542" s="7" t="n">
        <v>298.15</v>
      </c>
      <c r="C13542" s="1" t="n">
        <f aca="false">1/B13542</f>
        <v>0.00335401643468053</v>
      </c>
      <c r="D13542" s="3" t="n">
        <v>2.111</v>
      </c>
      <c r="E13542" s="1" t="n">
        <f aca="false">LN(D13542)</f>
        <v>0.747161768866184</v>
      </c>
    </row>
    <row r="13543" customFormat="false" ht="15.75" hidden="false" customHeight="false" outlineLevel="0" collapsed="false">
      <c r="A13543" s="1" t="s">
        <v>1560</v>
      </c>
      <c r="B13543" s="7" t="n">
        <v>307.45</v>
      </c>
      <c r="C13543" s="1" t="n">
        <f aca="false">1/B13543</f>
        <v>0.00325256139209628</v>
      </c>
      <c r="D13543" s="3" t="n">
        <v>1.784</v>
      </c>
      <c r="E13543" s="1" t="n">
        <f aca="false">LN(D13543)</f>
        <v>0.578858034157818</v>
      </c>
    </row>
    <row r="13544" customFormat="false" ht="15.75" hidden="false" customHeight="false" outlineLevel="0" collapsed="false">
      <c r="A13544" s="1" t="s">
        <v>1560</v>
      </c>
      <c r="B13544" s="7" t="n">
        <v>321.9</v>
      </c>
      <c r="C13544" s="1" t="n">
        <f aca="false">1/B13544</f>
        <v>0.00310655483069276</v>
      </c>
      <c r="D13544" s="3" t="n">
        <v>1.43</v>
      </c>
      <c r="E13544" s="1" t="n">
        <f aca="false">LN(D13544)</f>
        <v>0.357674444271816</v>
      </c>
    </row>
    <row r="13545" customFormat="false" ht="15.75" hidden="false" customHeight="false" outlineLevel="0" collapsed="false">
      <c r="A13545" s="1" t="s">
        <v>1560</v>
      </c>
      <c r="B13545" s="7" t="n">
        <v>335.9</v>
      </c>
      <c r="C13545" s="1" t="n">
        <f aca="false">1/B13545</f>
        <v>0.00297707651086633</v>
      </c>
      <c r="D13545" s="3" t="n">
        <v>1.201</v>
      </c>
      <c r="E13545" s="1" t="n">
        <f aca="false">LN(D13545)</f>
        <v>0.183154543097847</v>
      </c>
    </row>
    <row r="13546" customFormat="false" ht="15.75" hidden="false" customHeight="false" outlineLevel="0" collapsed="false">
      <c r="A13546" s="1" t="s">
        <v>1560</v>
      </c>
      <c r="B13546" s="7" t="n">
        <v>342.45</v>
      </c>
      <c r="C13546" s="1" t="n">
        <f aca="false">1/B13546</f>
        <v>0.002920134326179</v>
      </c>
      <c r="D13546" s="3" t="n">
        <v>1.117</v>
      </c>
      <c r="E13546" s="1" t="n">
        <f aca="false">LN(D13546)</f>
        <v>0.110646520087064</v>
      </c>
    </row>
    <row r="13547" customFormat="false" ht="15.75" hidden="false" customHeight="false" outlineLevel="0" collapsed="false">
      <c r="A13547" s="1" t="s">
        <v>1363</v>
      </c>
      <c r="B13547" s="7" t="n">
        <v>277.75</v>
      </c>
      <c r="C13547" s="1" t="n">
        <f aca="false">1/B13547</f>
        <v>0.0036003600360036</v>
      </c>
      <c r="D13547" s="3" t="n">
        <v>2.1939</v>
      </c>
      <c r="E13547" s="1" t="n">
        <f aca="false">LN(D13547)</f>
        <v>0.785680781962878</v>
      </c>
    </row>
    <row r="13548" customFormat="false" ht="15.75" hidden="false" customHeight="false" outlineLevel="0" collapsed="false">
      <c r="A13548" s="1" t="s">
        <v>1363</v>
      </c>
      <c r="B13548" s="7" t="n">
        <v>290.55</v>
      </c>
      <c r="C13548" s="1" t="n">
        <f aca="false">1/B13548</f>
        <v>0.00344174840819136</v>
      </c>
      <c r="D13548" s="3" t="n">
        <v>1.7715</v>
      </c>
      <c r="E13548" s="1" t="n">
        <f aca="false">LN(D13548)</f>
        <v>0.57182664532339</v>
      </c>
    </row>
    <row r="13549" customFormat="false" ht="15.75" hidden="false" customHeight="false" outlineLevel="0" collapsed="false">
      <c r="A13549" s="1" t="s">
        <v>1363</v>
      </c>
      <c r="B13549" s="7" t="n">
        <v>300.65</v>
      </c>
      <c r="C13549" s="1" t="n">
        <f aca="false">1/B13549</f>
        <v>0.00332612672542824</v>
      </c>
      <c r="D13549" s="3" t="n">
        <v>1.5042</v>
      </c>
      <c r="E13549" s="1" t="n">
        <f aca="false">LN(D13549)</f>
        <v>0.408261195410166</v>
      </c>
    </row>
    <row r="13550" customFormat="false" ht="15.75" hidden="false" customHeight="false" outlineLevel="0" collapsed="false">
      <c r="A13550" s="1" t="s">
        <v>1363</v>
      </c>
      <c r="B13550" s="7" t="n">
        <v>309.95</v>
      </c>
      <c r="C13550" s="1" t="n">
        <f aca="false">1/B13550</f>
        <v>0.00322632682690757</v>
      </c>
      <c r="D13550" s="3" t="n">
        <v>1.3214</v>
      </c>
      <c r="E13550" s="1" t="n">
        <f aca="false">LN(D13550)</f>
        <v>0.278691780613648</v>
      </c>
    </row>
    <row r="13551" customFormat="false" ht="15.75" hidden="false" customHeight="false" outlineLevel="0" collapsed="false">
      <c r="A13551" s="1" t="s">
        <v>1363</v>
      </c>
      <c r="B13551" s="7" t="n">
        <v>321.25</v>
      </c>
      <c r="C13551" s="1" t="n">
        <f aca="false">1/B13551</f>
        <v>0.00311284046692607</v>
      </c>
      <c r="D13551" s="3" t="n">
        <v>1.1455</v>
      </c>
      <c r="E13551" s="1" t="n">
        <f aca="false">LN(D13551)</f>
        <v>0.135841222911413</v>
      </c>
    </row>
    <row r="13552" customFormat="false" ht="15.75" hidden="false" customHeight="false" outlineLevel="0" collapsed="false">
      <c r="A13552" s="1" t="s">
        <v>1363</v>
      </c>
      <c r="B13552" s="7" t="n">
        <v>331.25</v>
      </c>
      <c r="C13552" s="1" t="n">
        <f aca="false">1/B13552</f>
        <v>0.0030188679245283</v>
      </c>
      <c r="D13552" s="3" t="n">
        <v>1.0198</v>
      </c>
      <c r="E13552" s="1" t="n">
        <f aca="false">LN(D13552)</f>
        <v>0.0196065296389183</v>
      </c>
    </row>
    <row r="13553" customFormat="false" ht="15.75" hidden="false" customHeight="false" outlineLevel="0" collapsed="false">
      <c r="A13553" s="1" t="s">
        <v>1363</v>
      </c>
      <c r="B13553" s="7" t="n">
        <v>314.35</v>
      </c>
      <c r="C13553" s="1" t="n">
        <f aca="false">1/B13553</f>
        <v>0.00318116748846827</v>
      </c>
      <c r="D13553" s="3" t="n">
        <v>0.9191</v>
      </c>
      <c r="E13553" s="1" t="n">
        <f aca="false">LN(D13553)</f>
        <v>-0.0843603486180732</v>
      </c>
    </row>
    <row r="13554" customFormat="false" ht="15.75" hidden="false" customHeight="false" outlineLevel="0" collapsed="false">
      <c r="A13554" s="1" t="s">
        <v>1363</v>
      </c>
      <c r="B13554" s="7" t="n">
        <v>353.75</v>
      </c>
      <c r="C13554" s="1" t="n">
        <f aca="false">1/B13554</f>
        <v>0.00282685512367491</v>
      </c>
      <c r="D13554" s="3" t="n">
        <v>0.8137</v>
      </c>
      <c r="E13554" s="1" t="n">
        <f aca="false">LN(D13554)</f>
        <v>-0.206163531279525</v>
      </c>
    </row>
    <row r="13555" customFormat="false" ht="15.75" hidden="false" customHeight="false" outlineLevel="0" collapsed="false">
      <c r="A13555" s="1" t="s">
        <v>1363</v>
      </c>
      <c r="B13555" s="7" t="n">
        <v>362.35</v>
      </c>
      <c r="C13555" s="1" t="n">
        <f aca="false">1/B13555</f>
        <v>0.0027597626604112</v>
      </c>
      <c r="D13555" s="3" t="n">
        <v>0.7502</v>
      </c>
      <c r="E13555" s="1" t="n">
        <f aca="false">LN(D13555)</f>
        <v>-0.28741544133435</v>
      </c>
    </row>
    <row r="13556" customFormat="false" ht="15.75" hidden="false" customHeight="false" outlineLevel="0" collapsed="false">
      <c r="A13556" s="1" t="s">
        <v>1363</v>
      </c>
      <c r="B13556" s="7" t="n">
        <v>371.15</v>
      </c>
      <c r="C13556" s="1" t="n">
        <f aca="false">1/B13556</f>
        <v>0.00269432843863667</v>
      </c>
      <c r="D13556" s="3" t="n">
        <v>0.7003</v>
      </c>
      <c r="E13556" s="1" t="n">
        <f aca="false">LN(D13556)</f>
        <v>-0.356246464320665</v>
      </c>
    </row>
    <row r="13557" customFormat="false" ht="15.75" hidden="false" customHeight="false" outlineLevel="0" collapsed="false">
      <c r="A13557" s="1" t="s">
        <v>1363</v>
      </c>
      <c r="B13557" s="7" t="n">
        <v>380.65</v>
      </c>
      <c r="C13557" s="1" t="n">
        <f aca="false">1/B13557</f>
        <v>0.00262708524891633</v>
      </c>
      <c r="D13557" s="3" t="n">
        <v>0.6523</v>
      </c>
      <c r="E13557" s="1" t="n">
        <f aca="false">LN(D13557)</f>
        <v>-0.427250700180087</v>
      </c>
    </row>
    <row r="13558" customFormat="false" ht="15.75" hidden="false" customHeight="false" outlineLevel="0" collapsed="false">
      <c r="A13558" s="1" t="s">
        <v>1363</v>
      </c>
      <c r="B13558" s="7" t="n">
        <v>390.85</v>
      </c>
      <c r="C13558" s="1" t="n">
        <f aca="false">1/B13558</f>
        <v>0.00255852628885762</v>
      </c>
      <c r="D13558" s="3" t="n">
        <v>0.6013</v>
      </c>
      <c r="E13558" s="1" t="n">
        <f aca="false">LN(D13558)</f>
        <v>-0.508661300936614</v>
      </c>
    </row>
    <row r="13559" customFormat="false" ht="15.75" hidden="false" customHeight="false" outlineLevel="0" collapsed="false">
      <c r="A13559" s="1" t="s">
        <v>1363</v>
      </c>
      <c r="B13559" s="7" t="n">
        <v>400.65</v>
      </c>
      <c r="C13559" s="1" t="n">
        <f aca="false">1/B13559</f>
        <v>0.00249594409085236</v>
      </c>
      <c r="D13559" s="3" t="n">
        <v>0.564</v>
      </c>
      <c r="E13559" s="1" t="n">
        <f aca="false">LN(D13559)</f>
        <v>-0.572701027484078</v>
      </c>
    </row>
    <row r="13560" customFormat="false" ht="15.75" hidden="false" customHeight="false" outlineLevel="0" collapsed="false">
      <c r="A13560" s="1" t="s">
        <v>1363</v>
      </c>
      <c r="B13560" s="7" t="n">
        <v>410.75</v>
      </c>
      <c r="C13560" s="1" t="n">
        <f aca="false">1/B13560</f>
        <v>0.00243457090687766</v>
      </c>
      <c r="D13560" s="3" t="n">
        <v>0.5241</v>
      </c>
      <c r="E13560" s="1" t="n">
        <f aca="false">LN(D13560)</f>
        <v>-0.646072773174016</v>
      </c>
    </row>
    <row r="13561" customFormat="false" ht="15.75" hidden="false" customHeight="false" outlineLevel="0" collapsed="false">
      <c r="A13561" s="1" t="s">
        <v>1363</v>
      </c>
      <c r="B13561" s="7" t="n">
        <v>421.95</v>
      </c>
      <c r="C13561" s="1" t="n">
        <f aca="false">1/B13561</f>
        <v>0.00236994904609551</v>
      </c>
      <c r="D13561" s="3" t="n">
        <v>0.4883</v>
      </c>
      <c r="E13561" s="1" t="n">
        <f aca="false">LN(D13561)</f>
        <v>-0.716825307914522</v>
      </c>
    </row>
    <row r="13562" customFormat="false" ht="15.75" hidden="false" customHeight="false" outlineLevel="0" collapsed="false">
      <c r="A13562" s="1" t="s">
        <v>1365</v>
      </c>
      <c r="B13562" s="7" t="n">
        <v>273.43</v>
      </c>
      <c r="C13562" s="1" t="n">
        <f aca="false">1/B13562</f>
        <v>0.00365724317009838</v>
      </c>
      <c r="D13562" s="3" t="n">
        <v>0.7167</v>
      </c>
      <c r="E13562" s="1" t="n">
        <f aca="false">LN(D13562)</f>
        <v>-0.333097935982263</v>
      </c>
    </row>
    <row r="13563" customFormat="false" ht="15.75" hidden="false" customHeight="false" outlineLevel="0" collapsed="false">
      <c r="A13563" s="1" t="s">
        <v>1365</v>
      </c>
      <c r="B13563" s="7" t="n">
        <v>280.85</v>
      </c>
      <c r="C13563" s="1" t="n">
        <f aca="false">1/B13563</f>
        <v>0.00356061954780132</v>
      </c>
      <c r="D13563" s="3" t="n">
        <v>0.6605</v>
      </c>
      <c r="E13563" s="1" t="n">
        <f aca="false">LN(D13563)</f>
        <v>-0.414758155019757</v>
      </c>
    </row>
    <row r="13564" customFormat="false" ht="15.75" hidden="false" customHeight="false" outlineLevel="0" collapsed="false">
      <c r="A13564" s="1" t="s">
        <v>1365</v>
      </c>
      <c r="B13564" s="7" t="n">
        <v>286.33</v>
      </c>
      <c r="C13564" s="1" t="n">
        <f aca="false">1/B13564</f>
        <v>0.00349247371913526</v>
      </c>
      <c r="D13564" s="3" t="n">
        <v>0.6235</v>
      </c>
      <c r="E13564" s="1" t="n">
        <f aca="false">LN(D13564)</f>
        <v>-0.472406513862046</v>
      </c>
    </row>
    <row r="13565" customFormat="false" ht="15.75" hidden="false" customHeight="false" outlineLevel="0" collapsed="false">
      <c r="A13565" s="1" t="s">
        <v>1365</v>
      </c>
      <c r="B13565" s="7" t="n">
        <v>293.95</v>
      </c>
      <c r="C13565" s="1" t="n">
        <f aca="false">1/B13565</f>
        <v>0.00340193910529002</v>
      </c>
      <c r="D13565" s="3" t="n">
        <v>0.5782</v>
      </c>
      <c r="E13565" s="1" t="n">
        <f aca="false">LN(D13565)</f>
        <v>-0.547835449399891</v>
      </c>
    </row>
    <row r="13566" customFormat="false" ht="15.75" hidden="false" customHeight="false" outlineLevel="0" collapsed="false">
      <c r="A13566" s="1" t="s">
        <v>1365</v>
      </c>
      <c r="B13566" s="7" t="n">
        <v>299.24</v>
      </c>
      <c r="C13566" s="1" t="n">
        <f aca="false">1/B13566</f>
        <v>0.00334179922470258</v>
      </c>
      <c r="D13566" s="3" t="n">
        <v>0.5496</v>
      </c>
      <c r="E13566" s="1" t="n">
        <f aca="false">LN(D13566)</f>
        <v>-0.598564538073997</v>
      </c>
    </row>
    <row r="13567" customFormat="false" ht="15.75" hidden="false" customHeight="false" outlineLevel="0" collapsed="false">
      <c r="A13567" s="1" t="s">
        <v>1365</v>
      </c>
      <c r="B13567" s="7" t="n">
        <v>311.89</v>
      </c>
      <c r="C13567" s="1" t="n">
        <f aca="false">1/B13567</f>
        <v>0.00320625861682003</v>
      </c>
      <c r="D13567" s="3" t="n">
        <v>0.4891</v>
      </c>
      <c r="E13567" s="1" t="n">
        <f aca="false">LN(D13567)</f>
        <v>-0.715188311436826</v>
      </c>
    </row>
    <row r="13568" customFormat="false" ht="15.75" hidden="false" customHeight="false" outlineLevel="0" collapsed="false">
      <c r="A13568" s="1" t="s">
        <v>1365</v>
      </c>
      <c r="B13568" s="7" t="n">
        <v>318.37</v>
      </c>
      <c r="C13568" s="1" t="n">
        <f aca="false">1/B13568</f>
        <v>0.00314099946603009</v>
      </c>
      <c r="D13568" s="3" t="n">
        <v>0.4621</v>
      </c>
      <c r="E13568" s="1" t="n">
        <f aca="false">LN(D13568)</f>
        <v>-0.771973961105916</v>
      </c>
    </row>
    <row r="13569" customFormat="false" ht="15.75" hidden="false" customHeight="false" outlineLevel="0" collapsed="false">
      <c r="A13569" s="1" t="s">
        <v>1365</v>
      </c>
      <c r="B13569" s="7" t="n">
        <v>324.54</v>
      </c>
      <c r="C13569" s="1" t="n">
        <f aca="false">1/B13569</f>
        <v>0.00308128427928761</v>
      </c>
      <c r="D13569" s="3" t="n">
        <v>0.4387</v>
      </c>
      <c r="E13569" s="1" t="n">
        <f aca="false">LN(D13569)</f>
        <v>-0.823939470809969</v>
      </c>
    </row>
    <row r="13570" customFormat="false" ht="15.75" hidden="false" customHeight="false" outlineLevel="0" collapsed="false">
      <c r="A13570" s="1" t="s">
        <v>1365</v>
      </c>
      <c r="B13570" s="7" t="n">
        <v>330.66</v>
      </c>
      <c r="C13570" s="1" t="n">
        <f aca="false">1/B13570</f>
        <v>0.00302425452126051</v>
      </c>
      <c r="D13570" s="3" t="n">
        <v>0.4168</v>
      </c>
      <c r="E13570" s="1" t="n">
        <f aca="false">LN(D13570)</f>
        <v>-0.87514878854298</v>
      </c>
    </row>
    <row r="13571" customFormat="false" ht="15.75" hidden="false" customHeight="false" outlineLevel="0" collapsed="false">
      <c r="A13571" s="1" t="s">
        <v>1365</v>
      </c>
      <c r="B13571" s="7" t="n">
        <v>336.87</v>
      </c>
      <c r="C13571" s="1" t="n">
        <f aca="false">1/B13571</f>
        <v>0.00296850417074836</v>
      </c>
      <c r="D13571" s="3" t="n">
        <v>0.3966</v>
      </c>
      <c r="E13571" s="1" t="n">
        <f aca="false">LN(D13571)</f>
        <v>-0.924827062896441</v>
      </c>
    </row>
    <row r="13572" customFormat="false" ht="15.75" hidden="false" customHeight="false" outlineLevel="0" collapsed="false">
      <c r="A13572" s="1" t="s">
        <v>1365</v>
      </c>
      <c r="B13572" s="7" t="n">
        <v>342.53</v>
      </c>
      <c r="C13572" s="1" t="n">
        <f aca="false">1/B13572</f>
        <v>0.0029194523107465</v>
      </c>
      <c r="D13572" s="3" t="n">
        <v>0.3792</v>
      </c>
      <c r="E13572" s="1" t="n">
        <f aca="false">LN(D13572)</f>
        <v>-0.96969150860127</v>
      </c>
    </row>
    <row r="13573" customFormat="false" ht="15.75" hidden="false" customHeight="false" outlineLevel="0" collapsed="false">
      <c r="A13573" s="1" t="s">
        <v>1367</v>
      </c>
      <c r="B13573" s="7" t="n">
        <v>273.57</v>
      </c>
      <c r="C13573" s="1" t="n">
        <f aca="false">1/B13573</f>
        <v>0.00365537156851994</v>
      </c>
      <c r="D13573" s="3" t="n">
        <v>0.5914</v>
      </c>
      <c r="E13573" s="1" t="n">
        <f aca="false">LN(D13573)</f>
        <v>-0.52526267156376</v>
      </c>
    </row>
    <row r="13574" customFormat="false" ht="15.75" hidden="false" customHeight="false" outlineLevel="0" collapsed="false">
      <c r="A13574" s="1" t="s">
        <v>1367</v>
      </c>
      <c r="B13574" s="7" t="n">
        <v>279.21</v>
      </c>
      <c r="C13574" s="1" t="n">
        <f aca="false">1/B13574</f>
        <v>0.00358153361269296</v>
      </c>
      <c r="D13574" s="3" t="n">
        <v>0.5576</v>
      </c>
      <c r="E13574" s="1" t="n">
        <f aca="false">LN(D13574)</f>
        <v>-0.584113419535823</v>
      </c>
    </row>
    <row r="13575" customFormat="false" ht="15.75" hidden="false" customHeight="false" outlineLevel="0" collapsed="false">
      <c r="A13575" s="1" t="s">
        <v>1367</v>
      </c>
      <c r="B13575" s="7" t="n">
        <v>283.68</v>
      </c>
      <c r="C13575" s="1" t="n">
        <f aca="false">1/B13575</f>
        <v>0.00352509870276368</v>
      </c>
      <c r="D13575" s="3" t="n">
        <v>0.533</v>
      </c>
      <c r="E13575" s="1" t="n">
        <f aca="false">LN(D13575)</f>
        <v>-0.629233854816292</v>
      </c>
    </row>
    <row r="13576" customFormat="false" ht="15.75" hidden="false" customHeight="false" outlineLevel="0" collapsed="false">
      <c r="A13576" s="1" t="s">
        <v>1367</v>
      </c>
      <c r="B13576" s="7" t="n">
        <v>288.96</v>
      </c>
      <c r="C13576" s="1" t="n">
        <f aca="false">1/B13576</f>
        <v>0.00346068660022148</v>
      </c>
      <c r="D13576" s="3" t="n">
        <v>0.5064</v>
      </c>
      <c r="E13576" s="1" t="n">
        <f aca="false">LN(D13576)</f>
        <v>-0.680428408152171</v>
      </c>
    </row>
    <row r="13577" customFormat="false" ht="15.75" hidden="false" customHeight="false" outlineLevel="0" collapsed="false">
      <c r="A13577" s="1" t="s">
        <v>1367</v>
      </c>
      <c r="B13577" s="7" t="n">
        <v>294.52</v>
      </c>
      <c r="C13577" s="1" t="n">
        <f aca="false">1/B13577</f>
        <v>0.00339535515414912</v>
      </c>
      <c r="D13577" s="3" t="n">
        <v>0.481</v>
      </c>
      <c r="E13577" s="1" t="n">
        <f aca="false">LN(D13577)</f>
        <v>-0.731888008876376</v>
      </c>
    </row>
    <row r="13578" customFormat="false" ht="15.75" hidden="false" customHeight="false" outlineLevel="0" collapsed="false">
      <c r="A13578" s="1" t="s">
        <v>1367</v>
      </c>
      <c r="B13578" s="7" t="n">
        <v>300.37</v>
      </c>
      <c r="C13578" s="1" t="n">
        <f aca="false">1/B13578</f>
        <v>0.00332922728634684</v>
      </c>
      <c r="D13578" s="3" t="n">
        <v>0.4564</v>
      </c>
      <c r="E13578" s="1" t="n">
        <f aca="false">LN(D13578)</f>
        <v>-0.784385660994217</v>
      </c>
    </row>
    <row r="13579" customFormat="false" ht="15.75" hidden="false" customHeight="false" outlineLevel="0" collapsed="false">
      <c r="A13579" s="1" t="s">
        <v>1367</v>
      </c>
      <c r="B13579" s="7" t="n">
        <v>306.53</v>
      </c>
      <c r="C13579" s="1" t="n">
        <f aca="false">1/B13579</f>
        <v>0.00326232342674453</v>
      </c>
      <c r="D13579" s="3" t="n">
        <v>0.4323</v>
      </c>
      <c r="E13579" s="1" t="n">
        <f aca="false">LN(D13579)</f>
        <v>-0.838635487308551</v>
      </c>
    </row>
    <row r="13580" customFormat="false" ht="15.75" hidden="false" customHeight="false" outlineLevel="0" collapsed="false">
      <c r="A13580" s="1" t="s">
        <v>1367</v>
      </c>
      <c r="B13580" s="7" t="n">
        <v>313.11</v>
      </c>
      <c r="C13580" s="1" t="n">
        <f aca="false">1/B13580</f>
        <v>0.00319376576921849</v>
      </c>
      <c r="D13580" s="3" t="n">
        <v>0.409</v>
      </c>
      <c r="E13580" s="1" t="n">
        <f aca="false">LN(D13580)</f>
        <v>-0.894040122939335</v>
      </c>
    </row>
    <row r="13581" customFormat="false" ht="15.75" hidden="false" customHeight="false" outlineLevel="0" collapsed="false">
      <c r="A13581" s="1" t="s">
        <v>1369</v>
      </c>
      <c r="B13581" s="7" t="n">
        <v>273.15</v>
      </c>
      <c r="C13581" s="1" t="n">
        <f aca="false">1/B13581</f>
        <v>0.00366099212886692</v>
      </c>
      <c r="D13581" s="3" t="n">
        <v>1.462</v>
      </c>
      <c r="E13581" s="1" t="n">
        <f aca="false">LN(D13581)</f>
        <v>0.379805361327587</v>
      </c>
    </row>
    <row r="13582" customFormat="false" ht="15.75" hidden="false" customHeight="false" outlineLevel="0" collapsed="false">
      <c r="A13582" s="1" t="s">
        <v>1369</v>
      </c>
      <c r="B13582" s="7" t="n">
        <v>283.15</v>
      </c>
      <c r="C13582" s="1" t="n">
        <f aca="false">1/B13582</f>
        <v>0.00353169698039908</v>
      </c>
      <c r="D13582" s="3" t="n">
        <v>1.2024</v>
      </c>
      <c r="E13582" s="1" t="n">
        <f aca="false">LN(D13582)</f>
        <v>0.184319559456628</v>
      </c>
    </row>
    <row r="13583" customFormat="false" ht="15.75" hidden="false" customHeight="false" outlineLevel="0" collapsed="false">
      <c r="A13583" s="1" t="s">
        <v>1369</v>
      </c>
      <c r="B13583" s="7" t="n">
        <v>293.15</v>
      </c>
      <c r="C13583" s="1" t="n">
        <f aca="false">1/B13583</f>
        <v>0.00341122292341805</v>
      </c>
      <c r="D13583" s="3" t="n">
        <v>1.0122</v>
      </c>
      <c r="E13583" s="1" t="n">
        <f aca="false">LN(D13583)</f>
        <v>0.0121261797978406</v>
      </c>
    </row>
    <row r="13584" customFormat="false" ht="15.75" hidden="false" customHeight="false" outlineLevel="0" collapsed="false">
      <c r="A13584" s="1" t="s">
        <v>1369</v>
      </c>
      <c r="B13584" s="7" t="n">
        <v>303.15</v>
      </c>
      <c r="C13584" s="1" t="n">
        <f aca="false">1/B13584</f>
        <v>0.0032986970146792</v>
      </c>
      <c r="D13584" s="3" t="n">
        <v>0.8658</v>
      </c>
      <c r="E13584" s="1" t="n">
        <f aca="false">LN(D13584)</f>
        <v>-0.144101343974257</v>
      </c>
    </row>
    <row r="13585" customFormat="false" ht="15.75" hidden="false" customHeight="false" outlineLevel="0" collapsed="false">
      <c r="A13585" s="1" t="s">
        <v>1369</v>
      </c>
      <c r="B13585" s="7" t="n">
        <v>313.15</v>
      </c>
      <c r="C13585" s="1" t="n">
        <f aca="false">1/B13585</f>
        <v>0.00319335781574325</v>
      </c>
      <c r="D13585" s="3" t="n">
        <v>0.7513</v>
      </c>
      <c r="E13585" s="1" t="n">
        <f aca="false">LN(D13585)</f>
        <v>-0.285950239607022</v>
      </c>
    </row>
    <row r="13586" customFormat="false" ht="15.75" hidden="false" customHeight="false" outlineLevel="0" collapsed="false">
      <c r="A13586" s="1" t="s">
        <v>1369</v>
      </c>
      <c r="B13586" s="7" t="n">
        <v>333.15</v>
      </c>
      <c r="C13586" s="1" t="n">
        <f aca="false">1/B13586</f>
        <v>0.0030016509079994</v>
      </c>
      <c r="D13586" s="3" t="n">
        <v>0.5831</v>
      </c>
      <c r="E13586" s="1" t="n">
        <f aca="false">LN(D13586)</f>
        <v>-0.539396580754027</v>
      </c>
    </row>
    <row r="13587" customFormat="false" ht="15.75" hidden="false" customHeight="false" outlineLevel="0" collapsed="false">
      <c r="A13587" s="1" t="s">
        <v>1369</v>
      </c>
      <c r="B13587" s="7" t="n">
        <v>353.15</v>
      </c>
      <c r="C13587" s="1" t="n">
        <f aca="false">1/B13587</f>
        <v>0.00283165793572137</v>
      </c>
      <c r="D13587" s="3" t="n">
        <v>0.4673</v>
      </c>
      <c r="E13587" s="1" t="n">
        <f aca="false">LN(D13587)</f>
        <v>-0.760783829275757</v>
      </c>
    </row>
    <row r="13588" customFormat="false" ht="15.75" hidden="false" customHeight="false" outlineLevel="0" collapsed="false">
      <c r="A13588" s="1" t="s">
        <v>1369</v>
      </c>
      <c r="B13588" s="7" t="n">
        <v>373.15</v>
      </c>
      <c r="C13588" s="1" t="n">
        <f aca="false">1/B13588</f>
        <v>0.00267988744472732</v>
      </c>
      <c r="D13588" s="3" t="n">
        <v>0.3836</v>
      </c>
      <c r="E13588" s="1" t="n">
        <f aca="false">LN(D13588)</f>
        <v>-0.958154935972854</v>
      </c>
    </row>
    <row r="13589" customFormat="false" ht="15.75" hidden="false" customHeight="false" outlineLevel="0" collapsed="false">
      <c r="A13589" s="1" t="s">
        <v>1371</v>
      </c>
      <c r="B13589" s="7" t="n">
        <v>278.15</v>
      </c>
      <c r="C13589" s="1" t="n">
        <f aca="false">1/B13589</f>
        <v>0.00359518245550962</v>
      </c>
      <c r="D13589" s="3" t="n">
        <v>0.908</v>
      </c>
      <c r="E13589" s="1" t="n">
        <f aca="false">LN(D13589)</f>
        <v>-0.0965109003808437</v>
      </c>
    </row>
    <row r="13590" customFormat="false" ht="15.75" hidden="false" customHeight="false" outlineLevel="0" collapsed="false">
      <c r="A13590" s="1" t="s">
        <v>1371</v>
      </c>
      <c r="B13590" s="7" t="n">
        <v>288.15</v>
      </c>
      <c r="C13590" s="1" t="n">
        <f aca="false">1/B13590</f>
        <v>0.00347041471455839</v>
      </c>
      <c r="D13590" s="3" t="n">
        <v>0.78</v>
      </c>
      <c r="E13590" s="1" t="n">
        <f aca="false">LN(D13590)</f>
        <v>-0.2484613592985</v>
      </c>
    </row>
    <row r="13591" customFormat="false" ht="15.75" hidden="false" customHeight="false" outlineLevel="0" collapsed="false">
      <c r="A13591" s="1" t="s">
        <v>1371</v>
      </c>
      <c r="B13591" s="7" t="n">
        <v>298.15</v>
      </c>
      <c r="C13591" s="1" t="n">
        <f aca="false">1/B13591</f>
        <v>0.00335401643468053</v>
      </c>
      <c r="D13591" s="3" t="n">
        <v>0.666</v>
      </c>
      <c r="E13591" s="1" t="n">
        <f aca="false">LN(D13591)</f>
        <v>-0.406465608441748</v>
      </c>
    </row>
    <row r="13592" customFormat="false" ht="15.75" hidden="false" customHeight="false" outlineLevel="0" collapsed="false">
      <c r="A13592" s="1" t="s">
        <v>1371</v>
      </c>
      <c r="B13592" s="7" t="n">
        <v>308.15</v>
      </c>
      <c r="C13592" s="1" t="n">
        <f aca="false">1/B13592</f>
        <v>0.00324517280545189</v>
      </c>
      <c r="D13592" s="3" t="n">
        <v>0.572</v>
      </c>
      <c r="E13592" s="1" t="n">
        <f aca="false">LN(D13592)</f>
        <v>-0.558616287602339</v>
      </c>
    </row>
    <row r="13593" customFormat="false" ht="15.75" hidden="false" customHeight="false" outlineLevel="0" collapsed="false">
      <c r="A13593" s="1" t="s">
        <v>1371</v>
      </c>
      <c r="B13593" s="7" t="n">
        <v>318.15</v>
      </c>
      <c r="C13593" s="1" t="n">
        <f aca="false">1/B13593</f>
        <v>0.00314317146000314</v>
      </c>
      <c r="D13593" s="3" t="n">
        <v>0.514</v>
      </c>
      <c r="E13593" s="1" t="n">
        <f aca="false">LN(D13593)</f>
        <v>-0.665532013526972</v>
      </c>
    </row>
    <row r="13594" customFormat="false" ht="15.75" hidden="false" customHeight="false" outlineLevel="0" collapsed="false">
      <c r="A13594" s="1" t="s">
        <v>1371</v>
      </c>
      <c r="B13594" s="7" t="n">
        <v>328.15</v>
      </c>
      <c r="C13594" s="1" t="n">
        <f aca="false">1/B13594</f>
        <v>0.00304738686576261</v>
      </c>
      <c r="D13594" s="3" t="n">
        <v>0.452</v>
      </c>
      <c r="E13594" s="1" t="n">
        <f aca="false">LN(D13594)</f>
        <v>-0.794073099149906</v>
      </c>
    </row>
    <row r="13595" customFormat="false" ht="15.75" hidden="false" customHeight="false" outlineLevel="0" collapsed="false">
      <c r="A13595" s="1" t="s">
        <v>1371</v>
      </c>
      <c r="B13595" s="7" t="n">
        <v>343.15</v>
      </c>
      <c r="C13595" s="1" t="n">
        <f aca="false">1/B13595</f>
        <v>0.00291417747340813</v>
      </c>
      <c r="D13595" s="3" t="n">
        <v>0.398</v>
      </c>
      <c r="E13595" s="1" t="n">
        <f aca="false">LN(D13595)</f>
        <v>-0.921303273697699</v>
      </c>
    </row>
    <row r="13596" customFormat="false" ht="15.75" hidden="false" customHeight="false" outlineLevel="0" collapsed="false">
      <c r="A13596" s="1" t="s">
        <v>1371</v>
      </c>
      <c r="B13596" s="7" t="n">
        <v>353.15</v>
      </c>
      <c r="C13596" s="1" t="n">
        <f aca="false">1/B13596</f>
        <v>0.00283165793572137</v>
      </c>
      <c r="D13596" s="3" t="n">
        <v>0.35</v>
      </c>
      <c r="E13596" s="1" t="n">
        <f aca="false">LN(D13596)</f>
        <v>-1.04982212449868</v>
      </c>
    </row>
    <row r="13597" customFormat="false" ht="15.75" hidden="false" customHeight="false" outlineLevel="0" collapsed="false">
      <c r="A13597" s="1" t="s">
        <v>1373</v>
      </c>
      <c r="B13597" s="7" t="n">
        <v>293.15</v>
      </c>
      <c r="C13597" s="1" t="n">
        <f aca="false">1/B13597</f>
        <v>0.00341122292341805</v>
      </c>
      <c r="D13597" s="3" t="n">
        <v>0.98</v>
      </c>
      <c r="E13597" s="1" t="n">
        <f aca="false">LN(D13597)</f>
        <v>-0.0202027073175195</v>
      </c>
    </row>
    <row r="13598" customFormat="false" ht="15.75" hidden="false" customHeight="false" outlineLevel="0" collapsed="false">
      <c r="A13598" s="1" t="s">
        <v>1373</v>
      </c>
      <c r="B13598" s="7" t="n">
        <v>303.15</v>
      </c>
      <c r="C13598" s="1" t="n">
        <f aca="false">1/B13598</f>
        <v>0.0032986970146792</v>
      </c>
      <c r="D13598" s="3" t="n">
        <v>0.843</v>
      </c>
      <c r="E13598" s="1" t="n">
        <f aca="false">LN(D13598)</f>
        <v>-0.170788320980282</v>
      </c>
    </row>
    <row r="13599" customFormat="false" ht="15.75" hidden="false" customHeight="false" outlineLevel="0" collapsed="false">
      <c r="A13599" s="1" t="s">
        <v>1373</v>
      </c>
      <c r="B13599" s="7" t="n">
        <v>313.15</v>
      </c>
      <c r="C13599" s="1" t="n">
        <f aca="false">1/B13599</f>
        <v>0.00319335781574325</v>
      </c>
      <c r="D13599" s="3" t="n">
        <v>0.734</v>
      </c>
      <c r="E13599" s="1" t="n">
        <f aca="false">LN(D13599)</f>
        <v>-0.309246250367621</v>
      </c>
    </row>
    <row r="13600" customFormat="false" ht="15.75" hidden="false" customHeight="false" outlineLevel="0" collapsed="false">
      <c r="A13600" s="1" t="s">
        <v>1373</v>
      </c>
      <c r="B13600" s="7" t="n">
        <v>323.15</v>
      </c>
      <c r="C13600" s="1" t="n">
        <f aca="false">1/B13600</f>
        <v>0.00309453814018258</v>
      </c>
      <c r="D13600" s="3" t="n">
        <v>0.646</v>
      </c>
      <c r="E13600" s="1" t="n">
        <f aca="false">LN(D13600)</f>
        <v>-0.436955775199535</v>
      </c>
    </row>
    <row r="13601" customFormat="false" ht="15.75" hidden="false" customHeight="false" outlineLevel="0" collapsed="false">
      <c r="A13601" s="1" t="s">
        <v>1373</v>
      </c>
      <c r="B13601" s="7" t="n">
        <v>333.15</v>
      </c>
      <c r="C13601" s="1" t="n">
        <f aca="false">1/B13601</f>
        <v>0.0030016509079994</v>
      </c>
      <c r="D13601" s="3" t="n">
        <v>0.573</v>
      </c>
      <c r="E13601" s="1" t="n">
        <f aca="false">LN(D13601)</f>
        <v>-0.556869562267398</v>
      </c>
    </row>
    <row r="13602" customFormat="false" ht="15.75" hidden="false" customHeight="false" outlineLevel="0" collapsed="false">
      <c r="A13602" s="1" t="s">
        <v>1373</v>
      </c>
      <c r="B13602" s="7" t="n">
        <v>353.15</v>
      </c>
      <c r="C13602" s="1" t="n">
        <f aca="false">1/B13602</f>
        <v>0.00283165793572137</v>
      </c>
      <c r="D13602" s="3" t="n">
        <v>0.46</v>
      </c>
      <c r="E13602" s="1" t="n">
        <f aca="false">LN(D13602)</f>
        <v>-0.776528789498996</v>
      </c>
    </row>
    <row r="13603" customFormat="false" ht="15.75" hidden="false" customHeight="false" outlineLevel="0" collapsed="false">
      <c r="A13603" s="1" t="s">
        <v>1373</v>
      </c>
      <c r="B13603" s="7" t="n">
        <v>373.15</v>
      </c>
      <c r="C13603" s="1" t="n">
        <f aca="false">1/B13603</f>
        <v>0.00267988744472732</v>
      </c>
      <c r="D13603" s="3" t="n">
        <v>0.381</v>
      </c>
      <c r="E13603" s="1" t="n">
        <f aca="false">LN(D13603)</f>
        <v>-0.964955903855436</v>
      </c>
    </row>
    <row r="13604" customFormat="false" ht="15.75" hidden="false" customHeight="false" outlineLevel="0" collapsed="false">
      <c r="A13604" s="1" t="s">
        <v>1373</v>
      </c>
      <c r="B13604" s="7" t="n">
        <v>393.15</v>
      </c>
      <c r="C13604" s="1" t="n">
        <f aca="false">1/B13604</f>
        <v>0.00254355843825512</v>
      </c>
      <c r="D13604" s="3" t="n">
        <v>0.319</v>
      </c>
      <c r="E13604" s="1" t="n">
        <f aca="false">LN(D13604)</f>
        <v>-1.14256417619729</v>
      </c>
    </row>
    <row r="13605" customFormat="false" ht="15.75" hidden="false" customHeight="false" outlineLevel="0" collapsed="false">
      <c r="A13605" s="1" t="s">
        <v>1373</v>
      </c>
      <c r="B13605" s="7" t="n">
        <v>413.15</v>
      </c>
      <c r="C13605" s="1" t="n">
        <f aca="false">1/B13605</f>
        <v>0.0024204284158296</v>
      </c>
      <c r="D13605" s="3" t="n">
        <v>0.27</v>
      </c>
      <c r="E13605" s="1" t="n">
        <f aca="false">LN(D13605)</f>
        <v>-1.30933331998376</v>
      </c>
    </row>
    <row r="13606" customFormat="false" ht="15.75" hidden="false" customHeight="false" outlineLevel="0" collapsed="false">
      <c r="A13606" s="1" t="s">
        <v>1375</v>
      </c>
      <c r="B13606" s="7" t="n">
        <v>293.15</v>
      </c>
      <c r="C13606" s="1" t="n">
        <f aca="false">1/B13606</f>
        <v>0.00341122292341805</v>
      </c>
      <c r="D13606" s="3" t="n">
        <v>0.7233</v>
      </c>
      <c r="E13606" s="1" t="n">
        <f aca="false">LN(D13606)</f>
        <v>-0.323931205126902</v>
      </c>
    </row>
    <row r="13607" customFormat="false" ht="15.75" hidden="false" customHeight="false" outlineLevel="0" collapsed="false">
      <c r="A13607" s="1" t="s">
        <v>1375</v>
      </c>
      <c r="B13607" s="7" t="n">
        <v>303.15</v>
      </c>
      <c r="C13607" s="1" t="n">
        <f aca="false">1/B13607</f>
        <v>0.0032986970146792</v>
      </c>
      <c r="D13607" s="3" t="n">
        <v>0.6334</v>
      </c>
      <c r="E13607" s="1" t="n">
        <f aca="false">LN(D13607)</f>
        <v>-0.456653144877598</v>
      </c>
    </row>
    <row r="13608" customFormat="false" ht="15.75" hidden="false" customHeight="false" outlineLevel="0" collapsed="false">
      <c r="A13608" s="1" t="s">
        <v>1375</v>
      </c>
      <c r="B13608" s="7" t="n">
        <v>313.15</v>
      </c>
      <c r="C13608" s="1" t="n">
        <f aca="false">1/B13608</f>
        <v>0.00319335781574325</v>
      </c>
      <c r="D13608" s="3" t="n">
        <v>0.5574</v>
      </c>
      <c r="E13608" s="1" t="n">
        <f aca="false">LN(D13608)</f>
        <v>-0.584472163934289</v>
      </c>
    </row>
    <row r="13609" customFormat="false" ht="15.75" hidden="false" customHeight="false" outlineLevel="0" collapsed="false">
      <c r="A13609" s="1" t="s">
        <v>1375</v>
      </c>
      <c r="B13609" s="7" t="n">
        <v>323.15</v>
      </c>
      <c r="C13609" s="1" t="n">
        <f aca="false">1/B13609</f>
        <v>0.00309453814018258</v>
      </c>
      <c r="D13609" s="3" t="n">
        <v>0.493</v>
      </c>
      <c r="E13609" s="1" t="n">
        <f aca="false">LN(D13609)</f>
        <v>-0.707246104939447</v>
      </c>
    </row>
    <row r="13610" customFormat="false" ht="15.75" hidden="false" customHeight="false" outlineLevel="0" collapsed="false">
      <c r="A13610" s="1" t="s">
        <v>1375</v>
      </c>
      <c r="B13610" s="7" t="n">
        <v>333.15</v>
      </c>
      <c r="C13610" s="1" t="n">
        <f aca="false">1/B13610</f>
        <v>0.0030016509079994</v>
      </c>
      <c r="D13610" s="3" t="n">
        <v>0.4381</v>
      </c>
      <c r="E13610" s="1" t="n">
        <f aca="false">LN(D13610)</f>
        <v>-0.825308084162284</v>
      </c>
    </row>
    <row r="13611" customFormat="false" ht="15.75" hidden="false" customHeight="false" outlineLevel="0" collapsed="false">
      <c r="A13611" s="1" t="s">
        <v>1375</v>
      </c>
      <c r="B13611" s="7" t="n">
        <v>343.15</v>
      </c>
      <c r="C13611" s="1" t="n">
        <f aca="false">1/B13611</f>
        <v>0.00291417747340813</v>
      </c>
      <c r="D13611" s="3" t="n">
        <v>0.3912</v>
      </c>
      <c r="E13611" s="1" t="n">
        <f aca="false">LN(D13611)</f>
        <v>-0.938536340821475</v>
      </c>
    </row>
    <row r="13612" customFormat="false" ht="15.75" hidden="false" customHeight="false" outlineLevel="0" collapsed="false">
      <c r="A13612" s="1" t="s">
        <v>1375</v>
      </c>
      <c r="B13612" s="7" t="n">
        <v>353.15</v>
      </c>
      <c r="C13612" s="1" t="n">
        <f aca="false">1/B13612</f>
        <v>0.00283165793572137</v>
      </c>
      <c r="D13612" s="3" t="n">
        <v>0.3507</v>
      </c>
      <c r="E13612" s="1" t="n">
        <f aca="false">LN(D13612)</f>
        <v>-1.047824121836</v>
      </c>
    </row>
    <row r="13613" customFormat="false" ht="15.75" hidden="false" customHeight="false" outlineLevel="0" collapsed="false">
      <c r="A13613" s="1" t="s">
        <v>1375</v>
      </c>
      <c r="B13613" s="7" t="n">
        <v>363.15</v>
      </c>
      <c r="C13613" s="1" t="n">
        <f aca="false">1/B13613</f>
        <v>0.00275368305108082</v>
      </c>
      <c r="D13613" s="3" t="n">
        <v>0.3168</v>
      </c>
      <c r="E13613" s="1" t="n">
        <f aca="false">LN(D13613)</f>
        <v>-1.14948461904187</v>
      </c>
    </row>
    <row r="13614" customFormat="false" ht="15.75" hidden="false" customHeight="false" outlineLevel="0" collapsed="false">
      <c r="A13614" s="1" t="s">
        <v>1375</v>
      </c>
      <c r="B13614" s="7" t="n">
        <v>373.15</v>
      </c>
      <c r="C13614" s="1" t="n">
        <f aca="false">1/B13614</f>
        <v>0.00267988744472732</v>
      </c>
      <c r="D13614" s="3" t="n">
        <v>0.2856</v>
      </c>
      <c r="E13614" s="1" t="n">
        <f aca="false">LN(D13614)</f>
        <v>-1.25316304851671</v>
      </c>
    </row>
    <row r="13615" customFormat="false" ht="15.75" hidden="false" customHeight="false" outlineLevel="0" collapsed="false">
      <c r="A13615" s="1" t="s">
        <v>1375</v>
      </c>
      <c r="B13615" s="7" t="n">
        <v>383.15</v>
      </c>
      <c r="C13615" s="1" t="n">
        <f aca="false">1/B13615</f>
        <v>0.00260994388620645</v>
      </c>
      <c r="D13615" s="3" t="n">
        <v>0.2597</v>
      </c>
      <c r="E13615" s="1" t="n">
        <f aca="false">LN(D13615)</f>
        <v>-1.34822816031343</v>
      </c>
    </row>
    <row r="13616" customFormat="false" ht="15.75" hidden="false" customHeight="false" outlineLevel="0" collapsed="false">
      <c r="A13616" s="1" t="s">
        <v>1375</v>
      </c>
      <c r="B13616" s="7" t="n">
        <v>393.15</v>
      </c>
      <c r="C13616" s="1" t="n">
        <f aca="false">1/B13616</f>
        <v>0.00254355843825512</v>
      </c>
      <c r="D13616" s="3" t="n">
        <v>0.2374</v>
      </c>
      <c r="E13616" s="1" t="n">
        <f aca="false">LN(D13616)</f>
        <v>-1.43800879680657</v>
      </c>
    </row>
    <row r="13617" customFormat="false" ht="15.75" hidden="false" customHeight="false" outlineLevel="0" collapsed="false">
      <c r="A13617" s="1" t="s">
        <v>1375</v>
      </c>
      <c r="B13617" s="7" t="n">
        <v>403.15</v>
      </c>
      <c r="C13617" s="1" t="n">
        <f aca="false">1/B13617</f>
        <v>0.0024804663276696</v>
      </c>
      <c r="D13617" s="3" t="n">
        <v>0.218</v>
      </c>
      <c r="E13617" s="1" t="n">
        <f aca="false">LN(D13617)</f>
        <v>-1.52326021619305</v>
      </c>
    </row>
    <row r="13618" customFormat="false" ht="15.75" hidden="false" customHeight="false" outlineLevel="0" collapsed="false">
      <c r="A13618" s="1" t="s">
        <v>1375</v>
      </c>
      <c r="B13618" s="7" t="n">
        <v>413.15</v>
      </c>
      <c r="C13618" s="1" t="n">
        <f aca="false">1/B13618</f>
        <v>0.0024204284158296</v>
      </c>
      <c r="D13618" s="3" t="n">
        <v>0.201</v>
      </c>
      <c r="E13618" s="1" t="n">
        <f aca="false">LN(D13618)</f>
        <v>-1.60445037092306</v>
      </c>
    </row>
    <row r="13619" customFormat="false" ht="15.75" hidden="false" customHeight="false" outlineLevel="0" collapsed="false">
      <c r="A13619" s="1" t="s">
        <v>1375</v>
      </c>
      <c r="B13619" s="7" t="n">
        <v>423.15</v>
      </c>
      <c r="C13619" s="1" t="n">
        <f aca="false">1/B13619</f>
        <v>0.00236322816967978</v>
      </c>
      <c r="D13619" s="3" t="n">
        <v>0.186</v>
      </c>
      <c r="E13619" s="1" t="n">
        <f aca="false">LN(D13619)</f>
        <v>-1.68200860526894</v>
      </c>
    </row>
    <row r="13620" customFormat="false" ht="15.75" hidden="false" customHeight="false" outlineLevel="0" collapsed="false">
      <c r="A13620" s="1" t="s">
        <v>1375</v>
      </c>
      <c r="B13620" s="7" t="n">
        <v>433.15</v>
      </c>
      <c r="C13620" s="1" t="n">
        <f aca="false">1/B13620</f>
        <v>0.00230866905229135</v>
      </c>
      <c r="D13620" s="3" t="n">
        <v>0.1724</v>
      </c>
      <c r="E13620" s="1" t="n">
        <f aca="false">LN(D13620)</f>
        <v>-1.75793792075254</v>
      </c>
    </row>
    <row r="13621" customFormat="false" ht="15.75" hidden="false" customHeight="false" outlineLevel="0" collapsed="false">
      <c r="A13621" s="1" t="s">
        <v>1375</v>
      </c>
      <c r="B13621" s="7" t="n">
        <v>443.15</v>
      </c>
      <c r="C13621" s="1" t="n">
        <f aca="false">1/B13621</f>
        <v>0.00225657226672684</v>
      </c>
      <c r="D13621" s="3" t="n">
        <v>0.1594</v>
      </c>
      <c r="E13621" s="1" t="n">
        <f aca="false">LN(D13621)</f>
        <v>-1.83633851262602</v>
      </c>
    </row>
    <row r="13622" customFormat="false" ht="15.75" hidden="false" customHeight="false" outlineLevel="0" collapsed="false">
      <c r="A13622" s="1" t="s">
        <v>1375</v>
      </c>
      <c r="B13622" s="7" t="n">
        <v>453.15</v>
      </c>
      <c r="C13622" s="1" t="n">
        <f aca="false">1/B13622</f>
        <v>0.0022067747986318</v>
      </c>
      <c r="D13622" s="3" t="n">
        <v>0.1471</v>
      </c>
      <c r="E13622" s="1" t="n">
        <f aca="false">LN(D13622)</f>
        <v>-1.91664265137475</v>
      </c>
    </row>
    <row r="13623" customFormat="false" ht="15.75" hidden="false" customHeight="false" outlineLevel="0" collapsed="false">
      <c r="A13623" s="1" t="s">
        <v>1375</v>
      </c>
      <c r="B13623" s="7" t="n">
        <v>463.15</v>
      </c>
      <c r="C13623" s="1" t="n">
        <f aca="false">1/B13623</f>
        <v>0.00215912771240419</v>
      </c>
      <c r="D13623" s="3" t="n">
        <v>0.1351</v>
      </c>
      <c r="E13623" s="1" t="n">
        <f aca="false">LN(D13623)</f>
        <v>-2.00174003401598</v>
      </c>
    </row>
    <row r="13624" customFormat="false" ht="15.75" hidden="false" customHeight="false" outlineLevel="0" collapsed="false">
      <c r="A13624" s="1" t="s">
        <v>1377</v>
      </c>
      <c r="B13624" s="7" t="n">
        <v>273.21</v>
      </c>
      <c r="C13624" s="1" t="n">
        <f aca="false">1/B13624</f>
        <v>0.00366018813367007</v>
      </c>
      <c r="D13624" s="3" t="n">
        <v>44.248</v>
      </c>
      <c r="E13624" s="1" t="n">
        <f aca="false">LN(D13624)</f>
        <v>3.78981017269238</v>
      </c>
    </row>
    <row r="13625" customFormat="false" ht="15.75" hidden="false" customHeight="false" outlineLevel="0" collapsed="false">
      <c r="A13625" s="1" t="s">
        <v>1377</v>
      </c>
      <c r="B13625" s="7" t="n">
        <v>283.15</v>
      </c>
      <c r="C13625" s="1" t="n">
        <f aca="false">1/B13625</f>
        <v>0.00353169698039908</v>
      </c>
      <c r="D13625" s="3" t="n">
        <v>23.8095</v>
      </c>
      <c r="E13625" s="1" t="n">
        <f aca="false">LN(D13625)</f>
        <v>3.17008466069827</v>
      </c>
    </row>
    <row r="13626" customFormat="false" ht="15.75" hidden="false" customHeight="false" outlineLevel="0" collapsed="false">
      <c r="A13626" s="1" t="s">
        <v>1377</v>
      </c>
      <c r="B13626" s="7" t="n">
        <v>293.15</v>
      </c>
      <c r="C13626" s="1" t="n">
        <f aca="false">1/B13626</f>
        <v>0.00341122292341805</v>
      </c>
      <c r="D13626" s="3" t="n">
        <v>14.2653</v>
      </c>
      <c r="E13626" s="1" t="n">
        <f aca="false">LN(D13626)</f>
        <v>2.65783001493854</v>
      </c>
    </row>
    <row r="13627" customFormat="false" ht="15.75" hidden="false" customHeight="false" outlineLevel="0" collapsed="false">
      <c r="A13627" s="1" t="s">
        <v>1377</v>
      </c>
      <c r="B13627" s="7" t="n">
        <v>303.15</v>
      </c>
      <c r="C13627" s="1" t="n">
        <f aca="false">1/B13627</f>
        <v>0.0032986970146792</v>
      </c>
      <c r="D13627" s="3" t="n">
        <v>8.9847</v>
      </c>
      <c r="E13627" s="1" t="n">
        <f aca="false">LN(D13627)</f>
        <v>2.19552313069646</v>
      </c>
    </row>
    <row r="13628" customFormat="false" ht="15.75" hidden="false" customHeight="false" outlineLevel="0" collapsed="false">
      <c r="A13628" s="1" t="s">
        <v>1377</v>
      </c>
      <c r="B13628" s="7" t="n">
        <v>313.15</v>
      </c>
      <c r="C13628" s="1" t="n">
        <f aca="false">1/B13628</f>
        <v>0.00319335781574325</v>
      </c>
      <c r="D13628" s="3" t="n">
        <v>6.1087</v>
      </c>
      <c r="E13628" s="1" t="n">
        <f aca="false">LN(D13628)</f>
        <v>1.80971398458817</v>
      </c>
    </row>
    <row r="13629" customFormat="false" ht="15.75" hidden="false" customHeight="false" outlineLevel="0" collapsed="false">
      <c r="A13629" s="1" t="s">
        <v>1377</v>
      </c>
      <c r="B13629" s="7" t="n">
        <v>333.15</v>
      </c>
      <c r="C13629" s="1" t="n">
        <f aca="false">1/B13629</f>
        <v>0.0030016509079994</v>
      </c>
      <c r="D13629" s="3" t="n">
        <v>3.2552</v>
      </c>
      <c r="E13629" s="1" t="n">
        <f aca="false">LN(D13629)</f>
        <v>1.18025371770534</v>
      </c>
    </row>
    <row r="13630" customFormat="false" ht="15.75" hidden="false" customHeight="false" outlineLevel="0" collapsed="false">
      <c r="A13630" s="1" t="s">
        <v>1377</v>
      </c>
      <c r="B13630" s="7" t="n">
        <v>353.15</v>
      </c>
      <c r="C13630" s="1" t="n">
        <f aca="false">1/B13630</f>
        <v>0.00283165793572137</v>
      </c>
      <c r="D13630" s="3" t="n">
        <v>2.0117</v>
      </c>
      <c r="E13630" s="1" t="n">
        <f aca="false">LN(D13630)</f>
        <v>0.698980135752389</v>
      </c>
    </row>
    <row r="13631" customFormat="false" ht="15.75" hidden="false" customHeight="false" outlineLevel="0" collapsed="false">
      <c r="A13631" s="1" t="s">
        <v>1377</v>
      </c>
      <c r="B13631" s="7" t="n">
        <v>373.15</v>
      </c>
      <c r="C13631" s="1" t="n">
        <f aca="false">1/B13631</f>
        <v>0.00267988744472732</v>
      </c>
      <c r="D13631" s="3" t="n">
        <v>1.3405</v>
      </c>
      <c r="E13631" s="1" t="n">
        <f aca="false">LN(D13631)</f>
        <v>0.293042678693877</v>
      </c>
    </row>
    <row r="13632" customFormat="false" ht="15.75" hidden="false" customHeight="false" outlineLevel="0" collapsed="false">
      <c r="A13632" s="1" t="s">
        <v>1379</v>
      </c>
      <c r="B13632" s="7" t="n">
        <v>288.55</v>
      </c>
      <c r="C13632" s="1" t="n">
        <f aca="false">1/B13632</f>
        <v>0.00346560388147635</v>
      </c>
      <c r="D13632" s="3" t="n">
        <v>0.3568</v>
      </c>
      <c r="E13632" s="1" t="n">
        <f aca="false">LN(D13632)</f>
        <v>-1.03057987827628</v>
      </c>
    </row>
    <row r="13633" customFormat="false" ht="15.75" hidden="false" customHeight="false" outlineLevel="0" collapsed="false">
      <c r="A13633" s="1" t="s">
        <v>1379</v>
      </c>
      <c r="B13633" s="7" t="n">
        <v>299.85</v>
      </c>
      <c r="C13633" s="1" t="n">
        <f aca="false">1/B13633</f>
        <v>0.00333500083375021</v>
      </c>
      <c r="D13633" s="3" t="n">
        <v>0.3167</v>
      </c>
      <c r="E13633" s="1" t="n">
        <f aca="false">LN(D13633)</f>
        <v>-1.14980032543754</v>
      </c>
    </row>
    <row r="13634" customFormat="false" ht="15.75" hidden="false" customHeight="false" outlineLevel="0" collapsed="false">
      <c r="A13634" s="1" t="s">
        <v>1379</v>
      </c>
      <c r="B13634" s="7" t="n">
        <v>304.35</v>
      </c>
      <c r="C13634" s="1" t="n">
        <f aca="false">1/B13634</f>
        <v>0.00328569081649417</v>
      </c>
      <c r="D13634" s="3" t="n">
        <v>0.3006</v>
      </c>
      <c r="E13634" s="1" t="n">
        <f aca="false">LN(D13634)</f>
        <v>-1.20197480166326</v>
      </c>
    </row>
    <row r="13635" customFormat="false" ht="15.75" hidden="false" customHeight="false" outlineLevel="0" collapsed="false">
      <c r="A13635" s="1" t="s">
        <v>1379</v>
      </c>
      <c r="B13635" s="7" t="n">
        <v>308.5</v>
      </c>
      <c r="C13635" s="1" t="n">
        <f aca="false">1/B13635</f>
        <v>0.00324149108589951</v>
      </c>
      <c r="D13635" s="3" t="n">
        <v>0.2885</v>
      </c>
      <c r="E13635" s="1" t="n">
        <f aca="false">LN(D13635)</f>
        <v>-1.24306019303398</v>
      </c>
    </row>
    <row r="13636" customFormat="false" ht="15.75" hidden="false" customHeight="false" outlineLevel="0" collapsed="false">
      <c r="A13636" s="1" t="s">
        <v>1379</v>
      </c>
      <c r="B13636" s="7" t="n">
        <v>313.15</v>
      </c>
      <c r="C13636" s="1" t="n">
        <f aca="false">1/B13636</f>
        <v>0.00319335781574325</v>
      </c>
      <c r="D13636" s="3" t="n">
        <v>0.2742</v>
      </c>
      <c r="E13636" s="1" t="n">
        <f aca="false">LN(D13636)</f>
        <v>-1.29389751185392</v>
      </c>
    </row>
    <row r="13637" customFormat="false" ht="15.75" hidden="false" customHeight="false" outlineLevel="0" collapsed="false">
      <c r="A13637" s="1" t="s">
        <v>1379</v>
      </c>
      <c r="B13637" s="7" t="n">
        <v>317.55</v>
      </c>
      <c r="C13637" s="1" t="n">
        <f aca="false">1/B13637</f>
        <v>0.00314911037631869</v>
      </c>
      <c r="D13637" s="3" t="n">
        <v>0.2628</v>
      </c>
      <c r="E13637" s="1" t="n">
        <f aca="false">LN(D13637)</f>
        <v>-1.33636199237168</v>
      </c>
    </row>
    <row r="13638" customFormat="false" ht="15.75" hidden="false" customHeight="false" outlineLevel="0" collapsed="false">
      <c r="A13638" s="1" t="s">
        <v>1379</v>
      </c>
      <c r="B13638" s="7" t="n">
        <v>320.95</v>
      </c>
      <c r="C13638" s="1" t="n">
        <f aca="false">1/B13638</f>
        <v>0.00311575011684063</v>
      </c>
      <c r="D13638" s="3" t="n">
        <v>0.254</v>
      </c>
      <c r="E13638" s="1" t="n">
        <f aca="false">LN(D13638)</f>
        <v>-1.3704210119636</v>
      </c>
    </row>
    <row r="13639" customFormat="false" ht="15.75" hidden="false" customHeight="false" outlineLevel="0" collapsed="false">
      <c r="A13639" s="1" t="s">
        <v>1381</v>
      </c>
      <c r="B13639" s="7" t="n">
        <v>364.85</v>
      </c>
      <c r="C13639" s="1" t="n">
        <f aca="false">1/B13639</f>
        <v>0.00274085240509799</v>
      </c>
      <c r="D13639" s="3" t="n">
        <v>2.092</v>
      </c>
      <c r="E13639" s="1" t="n">
        <f aca="false">LN(D13639)</f>
        <v>0.738120546202677</v>
      </c>
    </row>
    <row r="13640" customFormat="false" ht="15.75" hidden="false" customHeight="false" outlineLevel="0" collapsed="false">
      <c r="A13640" s="1" t="s">
        <v>1381</v>
      </c>
      <c r="B13640" s="7" t="n">
        <v>386.05</v>
      </c>
      <c r="C13640" s="1" t="n">
        <f aca="false">1/B13640</f>
        <v>0.0025903380391141</v>
      </c>
      <c r="D13640" s="3" t="n">
        <v>1.395</v>
      </c>
      <c r="E13640" s="1" t="n">
        <f aca="false">LN(D13640)</f>
        <v>0.332894415273329</v>
      </c>
    </row>
    <row r="13641" customFormat="false" ht="15.75" hidden="false" customHeight="false" outlineLevel="0" collapsed="false">
      <c r="A13641" s="1" t="s">
        <v>1381</v>
      </c>
      <c r="B13641" s="7" t="n">
        <v>404.45</v>
      </c>
      <c r="C13641" s="1" t="n">
        <f aca="false">1/B13641</f>
        <v>0.00247249350970454</v>
      </c>
      <c r="D13641" s="3" t="n">
        <v>1.022</v>
      </c>
      <c r="E13641" s="1" t="n">
        <f aca="false">LN(D13641)</f>
        <v>0.0217614917815127</v>
      </c>
    </row>
    <row r="13642" customFormat="false" ht="15.75" hidden="false" customHeight="false" outlineLevel="0" collapsed="false">
      <c r="A13642" s="1" t="s">
        <v>1381</v>
      </c>
      <c r="B13642" s="7" t="n">
        <v>423.35</v>
      </c>
      <c r="C13642" s="1" t="n">
        <f aca="false">1/B13642</f>
        <v>0.00236211172788473</v>
      </c>
      <c r="D13642" s="3" t="n">
        <v>0.785</v>
      </c>
      <c r="E13642" s="1" t="n">
        <f aca="false">LN(D13642)</f>
        <v>-0.242071561199729</v>
      </c>
    </row>
    <row r="13643" customFormat="false" ht="15.75" hidden="false" customHeight="false" outlineLevel="0" collapsed="false">
      <c r="A13643" s="1" t="s">
        <v>1381</v>
      </c>
      <c r="B13643" s="7" t="n">
        <v>443.15</v>
      </c>
      <c r="C13643" s="1" t="n">
        <f aca="false">1/B13643</f>
        <v>0.00225657226672684</v>
      </c>
      <c r="D13643" s="3" t="n">
        <v>0.614</v>
      </c>
      <c r="E13643" s="1" t="n">
        <f aca="false">LN(D13643)</f>
        <v>-0.487760350834995</v>
      </c>
    </row>
    <row r="13644" customFormat="false" ht="15.75" hidden="false" customHeight="false" outlineLevel="0" collapsed="false">
      <c r="A13644" s="1" t="s">
        <v>1381</v>
      </c>
      <c r="B13644" s="7" t="n">
        <v>462.95</v>
      </c>
      <c r="C13644" s="1" t="n">
        <f aca="false">1/B13644</f>
        <v>0.00216006048169349</v>
      </c>
      <c r="D13644" s="3" t="n">
        <v>0.495</v>
      </c>
      <c r="E13644" s="1" t="n">
        <f aca="false">LN(D13644)</f>
        <v>-0.703197516413447</v>
      </c>
    </row>
    <row r="13645" customFormat="false" ht="15.75" hidden="false" customHeight="false" outlineLevel="0" collapsed="false">
      <c r="A13645" s="1" t="s">
        <v>1381</v>
      </c>
      <c r="B13645" s="7" t="n">
        <v>473.05</v>
      </c>
      <c r="C13645" s="1" t="n">
        <f aca="false">1/B13645</f>
        <v>0.00211394144382201</v>
      </c>
      <c r="D13645" s="3" t="n">
        <v>0.446</v>
      </c>
      <c r="E13645" s="1" t="n">
        <f aca="false">LN(D13645)</f>
        <v>-0.807436326962073</v>
      </c>
    </row>
    <row r="13646" customFormat="false" ht="15.75" hidden="false" customHeight="false" outlineLevel="0" collapsed="false">
      <c r="A13646" s="1" t="s">
        <v>1381</v>
      </c>
      <c r="B13646" s="7" t="n">
        <v>492.35</v>
      </c>
      <c r="C13646" s="1" t="n">
        <f aca="false">1/B13646</f>
        <v>0.00203107545445313</v>
      </c>
      <c r="D13646" s="3" t="n">
        <v>0.407</v>
      </c>
      <c r="E13646" s="1" t="n">
        <f aca="false">LN(D13646)</f>
        <v>-0.898942093539542</v>
      </c>
    </row>
    <row r="13647" customFormat="false" ht="15.75" hidden="false" customHeight="false" outlineLevel="0" collapsed="false">
      <c r="A13647" s="1" t="s">
        <v>1381</v>
      </c>
      <c r="B13647" s="7" t="n">
        <v>486.25</v>
      </c>
      <c r="C13647" s="1" t="n">
        <f aca="false">1/B13647</f>
        <v>0.00205655526992288</v>
      </c>
      <c r="D13647" s="3" t="n">
        <v>0.391</v>
      </c>
      <c r="E13647" s="1" t="n">
        <f aca="false">LN(D13647)</f>
        <v>-0.939047718996771</v>
      </c>
    </row>
    <row r="13648" customFormat="false" ht="15.75" hidden="false" customHeight="false" outlineLevel="0" collapsed="false">
      <c r="A13648" s="1" t="s">
        <v>1383</v>
      </c>
      <c r="B13648" s="7" t="n">
        <v>277.85</v>
      </c>
      <c r="C13648" s="1" t="n">
        <f aca="false">1/B13648</f>
        <v>0.00359906424329674</v>
      </c>
      <c r="D13648" s="3" t="n">
        <v>1.404</v>
      </c>
      <c r="E13648" s="1" t="n">
        <f aca="false">LN(D13648)</f>
        <v>0.339325305603619</v>
      </c>
    </row>
    <row r="13649" customFormat="false" ht="15.75" hidden="false" customHeight="false" outlineLevel="0" collapsed="false">
      <c r="A13649" s="1" t="s">
        <v>1383</v>
      </c>
      <c r="B13649" s="7" t="n">
        <v>290.02</v>
      </c>
      <c r="C13649" s="1" t="n">
        <f aca="false">1/B13649</f>
        <v>0.00344803806634025</v>
      </c>
      <c r="D13649" s="3" t="n">
        <v>1.151</v>
      </c>
      <c r="E13649" s="1" t="n">
        <f aca="false">LN(D13649)</f>
        <v>0.140631129739746</v>
      </c>
    </row>
    <row r="13650" customFormat="false" ht="15.75" hidden="false" customHeight="false" outlineLevel="0" collapsed="false">
      <c r="A13650" s="1" t="s">
        <v>1383</v>
      </c>
      <c r="B13650" s="7" t="n">
        <v>301.36</v>
      </c>
      <c r="C13650" s="1" t="n">
        <f aca="false">1/B13650</f>
        <v>0.00331829041677728</v>
      </c>
      <c r="D13650" s="3" t="n">
        <v>0.979</v>
      </c>
      <c r="E13650" s="1" t="n">
        <f aca="false">LN(D13650)</f>
        <v>-0.0212236364516267</v>
      </c>
    </row>
    <row r="13651" customFormat="false" ht="15.75" hidden="false" customHeight="false" outlineLevel="0" collapsed="false">
      <c r="A13651" s="1" t="s">
        <v>1383</v>
      </c>
      <c r="B13651" s="7" t="n">
        <v>313.19</v>
      </c>
      <c r="C13651" s="1" t="n">
        <f aca="false">1/B13651</f>
        <v>0.00319294996647403</v>
      </c>
      <c r="D13651" s="3" t="n">
        <v>0.839</v>
      </c>
      <c r="E13651" s="1" t="n">
        <f aca="false">LN(D13651)</f>
        <v>-0.175544572514931</v>
      </c>
    </row>
    <row r="13652" customFormat="false" ht="15.75" hidden="false" customHeight="false" outlineLevel="0" collapsed="false">
      <c r="A13652" s="1" t="s">
        <v>1383</v>
      </c>
      <c r="B13652" s="7" t="n">
        <v>325.18</v>
      </c>
      <c r="C13652" s="1" t="n">
        <f aca="false">1/B13652</f>
        <v>0.00307521987822129</v>
      </c>
      <c r="D13652" s="3" t="n">
        <v>0.729</v>
      </c>
      <c r="E13652" s="1" t="n">
        <f aca="false">LN(D13652)</f>
        <v>-0.316081546973479</v>
      </c>
    </row>
    <row r="13653" customFormat="false" ht="15.75" hidden="false" customHeight="false" outlineLevel="0" collapsed="false">
      <c r="A13653" s="1" t="s">
        <v>1383</v>
      </c>
      <c r="B13653" s="7" t="n">
        <v>336.78</v>
      </c>
      <c r="C13653" s="1" t="n">
        <f aca="false">1/B13653</f>
        <v>0.00296929746421997</v>
      </c>
      <c r="D13653" s="3" t="n">
        <v>0.642</v>
      </c>
      <c r="E13653" s="1" t="n">
        <f aca="false">LN(D13653)</f>
        <v>-0.443166975292176</v>
      </c>
    </row>
    <row r="13654" customFormat="false" ht="15.75" hidden="false" customHeight="false" outlineLevel="0" collapsed="false">
      <c r="A13654" s="1" t="s">
        <v>1383</v>
      </c>
      <c r="B13654" s="7" t="n">
        <v>349.85</v>
      </c>
      <c r="C13654" s="1" t="n">
        <f aca="false">1/B13654</f>
        <v>0.00285836787194512</v>
      </c>
      <c r="D13654" s="3" t="n">
        <v>0.562</v>
      </c>
      <c r="E13654" s="1" t="n">
        <f aca="false">LN(D13654)</f>
        <v>-0.576253429088446</v>
      </c>
    </row>
    <row r="13655" customFormat="false" ht="15.75" hidden="false" customHeight="false" outlineLevel="0" collapsed="false">
      <c r="A13655" s="1" t="s">
        <v>1383</v>
      </c>
      <c r="B13655" s="7" t="n">
        <v>362.71</v>
      </c>
      <c r="C13655" s="1" t="n">
        <f aca="false">1/B13655</f>
        <v>0.0027570235174106</v>
      </c>
      <c r="D13655" s="3" t="n">
        <v>0.496</v>
      </c>
      <c r="E13655" s="1" t="n">
        <f aca="false">LN(D13655)</f>
        <v>-0.70117935225721</v>
      </c>
    </row>
    <row r="13656" customFormat="false" ht="15.75" hidden="false" customHeight="false" outlineLevel="0" collapsed="false">
      <c r="A13656" s="1" t="s">
        <v>1383</v>
      </c>
      <c r="B13656" s="7" t="n">
        <v>374.16</v>
      </c>
      <c r="C13656" s="1" t="n">
        <f aca="false">1/B13656</f>
        <v>0.00267265341030575</v>
      </c>
      <c r="D13656" s="3" t="n">
        <v>0.448</v>
      </c>
      <c r="E13656" s="1" t="n">
        <f aca="false">LN(D13656)</f>
        <v>-0.802962046567152</v>
      </c>
    </row>
    <row r="13657" customFormat="false" ht="15.75" hidden="false" customHeight="false" outlineLevel="0" collapsed="false">
      <c r="A13657" s="1" t="s">
        <v>1383</v>
      </c>
      <c r="B13657" s="7" t="n">
        <v>385.52</v>
      </c>
      <c r="C13657" s="1" t="n">
        <f aca="false">1/B13657</f>
        <v>0.00259389914920108</v>
      </c>
      <c r="D13657" s="3" t="n">
        <v>0.405</v>
      </c>
      <c r="E13657" s="1" t="n">
        <f aca="false">LN(D13657)</f>
        <v>-0.903868211875598</v>
      </c>
    </row>
    <row r="13658" customFormat="false" ht="15.75" hidden="false" customHeight="false" outlineLevel="0" collapsed="false">
      <c r="A13658" s="1" t="s">
        <v>1383</v>
      </c>
      <c r="B13658" s="7" t="n">
        <v>386.13</v>
      </c>
      <c r="C13658" s="1" t="n">
        <f aca="false">1/B13658</f>
        <v>0.00258980136223552</v>
      </c>
      <c r="D13658" s="3" t="n">
        <v>0.403</v>
      </c>
      <c r="E13658" s="1" t="n">
        <f aca="false">LN(D13658)</f>
        <v>-0.908818717035454</v>
      </c>
    </row>
    <row r="13659" customFormat="false" ht="15.75" hidden="false" customHeight="false" outlineLevel="0" collapsed="false">
      <c r="A13659" s="1" t="s">
        <v>1383</v>
      </c>
      <c r="B13659" s="7" t="n">
        <v>396.82</v>
      </c>
      <c r="C13659" s="1" t="n">
        <f aca="false">1/B13659</f>
        <v>0.00252003427246611</v>
      </c>
      <c r="D13659" s="3" t="n">
        <v>0.368</v>
      </c>
      <c r="E13659" s="1" t="n">
        <f aca="false">LN(D13659)</f>
        <v>-0.999672340813206</v>
      </c>
    </row>
    <row r="13660" customFormat="false" ht="15.75" hidden="false" customHeight="false" outlineLevel="0" collapsed="false">
      <c r="A13660" s="1" t="s">
        <v>1383</v>
      </c>
      <c r="B13660" s="7" t="n">
        <v>410.2</v>
      </c>
      <c r="C13660" s="1" t="n">
        <f aca="false">1/B13660</f>
        <v>0.00243783520234032</v>
      </c>
      <c r="D13660" s="3" t="n">
        <v>0.329</v>
      </c>
      <c r="E13660" s="1" t="n">
        <f aca="false">LN(D13660)</f>
        <v>-1.11169752821677</v>
      </c>
    </row>
    <row r="13661" customFormat="false" ht="15.75" hidden="false" customHeight="false" outlineLevel="0" collapsed="false">
      <c r="A13661" s="1" t="s">
        <v>1384</v>
      </c>
      <c r="B13661" s="7" t="n">
        <v>293.25</v>
      </c>
      <c r="C13661" s="1" t="n">
        <f aca="false">1/B13661</f>
        <v>0.00341005967604433</v>
      </c>
      <c r="D13661" s="3" t="n">
        <v>0.4305</v>
      </c>
      <c r="E13661" s="1" t="n">
        <f aca="false">LN(D13661)</f>
        <v>-0.842807955114352</v>
      </c>
    </row>
    <row r="13662" customFormat="false" ht="15.75" hidden="false" customHeight="false" outlineLevel="0" collapsed="false">
      <c r="A13662" s="1" t="s">
        <v>1384</v>
      </c>
      <c r="B13662" s="7" t="n">
        <v>304.35</v>
      </c>
      <c r="C13662" s="1" t="n">
        <f aca="false">1/B13662</f>
        <v>0.00328569081649417</v>
      </c>
      <c r="D13662" s="3" t="n">
        <v>0.3828</v>
      </c>
      <c r="E13662" s="1" t="n">
        <f aca="false">LN(D13662)</f>
        <v>-0.960242619403338</v>
      </c>
    </row>
    <row r="13663" customFormat="false" ht="15.75" hidden="false" customHeight="false" outlineLevel="0" collapsed="false">
      <c r="A13663" s="1" t="s">
        <v>1384</v>
      </c>
      <c r="B13663" s="7" t="n">
        <v>317.05</v>
      </c>
      <c r="C13663" s="1" t="n">
        <f aca="false">1/B13663</f>
        <v>0.00315407664406245</v>
      </c>
      <c r="D13663" s="3" t="n">
        <v>0.3373</v>
      </c>
      <c r="E13663" s="1" t="n">
        <f aca="false">LN(D13663)</f>
        <v>-1.08678253691453</v>
      </c>
    </row>
    <row r="13664" customFormat="false" ht="15.75" hidden="false" customHeight="false" outlineLevel="0" collapsed="false">
      <c r="A13664" s="1" t="s">
        <v>1384</v>
      </c>
      <c r="B13664" s="7" t="n">
        <v>330.55</v>
      </c>
      <c r="C13664" s="1" t="n">
        <f aca="false">1/B13664</f>
        <v>0.0030252609287551</v>
      </c>
      <c r="D13664" s="3" t="n">
        <v>0.2982</v>
      </c>
      <c r="E13664" s="1" t="n">
        <f aca="false">LN(D13664)</f>
        <v>-1.2099908766515</v>
      </c>
    </row>
    <row r="13665" customFormat="false" ht="15.75" hidden="false" customHeight="false" outlineLevel="0" collapsed="false">
      <c r="A13665" s="1" t="s">
        <v>1384</v>
      </c>
      <c r="B13665" s="7" t="n">
        <v>342.65</v>
      </c>
      <c r="C13665" s="1" t="n">
        <f aca="false">1/B13665</f>
        <v>0.00291842988472202</v>
      </c>
      <c r="D13665" s="3" t="n">
        <v>0.2694</v>
      </c>
      <c r="E13665" s="1" t="n">
        <f aca="false">LN(D13665)</f>
        <v>-1.31155801500587</v>
      </c>
    </row>
    <row r="13666" customFormat="false" ht="15.75" hidden="false" customHeight="false" outlineLevel="0" collapsed="false">
      <c r="A13666" s="1" t="s">
        <v>1384</v>
      </c>
      <c r="B13666" s="7" t="n">
        <v>365.15</v>
      </c>
      <c r="C13666" s="1" t="n">
        <f aca="false">1/B13666</f>
        <v>0.00273860057510612</v>
      </c>
      <c r="D13666" s="3" t="n">
        <v>0.2423</v>
      </c>
      <c r="E13666" s="1" t="n">
        <f aca="false">LN(D13666)</f>
        <v>-1.41757865115966</v>
      </c>
    </row>
    <row r="13667" customFormat="false" ht="15.75" hidden="false" customHeight="false" outlineLevel="0" collapsed="false">
      <c r="A13667" s="1" t="s">
        <v>1384</v>
      </c>
      <c r="B13667" s="7" t="n">
        <v>366.25</v>
      </c>
      <c r="C13667" s="1" t="n">
        <f aca="false">1/B13667</f>
        <v>0.00273037542662116</v>
      </c>
      <c r="D13667" s="3" t="n">
        <v>0.225</v>
      </c>
      <c r="E13667" s="1" t="n">
        <f aca="false">LN(D13667)</f>
        <v>-1.49165487677772</v>
      </c>
    </row>
    <row r="13668" customFormat="false" ht="15.75" hidden="false" customHeight="false" outlineLevel="0" collapsed="false">
      <c r="A13668" s="1" t="s">
        <v>1384</v>
      </c>
      <c r="B13668" s="7" t="n">
        <v>370.25</v>
      </c>
      <c r="C13668" s="1" t="n">
        <f aca="false">1/B13668</f>
        <v>0.00270087778528022</v>
      </c>
      <c r="D13668" s="3" t="n">
        <v>0.2187</v>
      </c>
      <c r="E13668" s="1" t="n">
        <f aca="false">LN(D13668)</f>
        <v>-1.52005435129941</v>
      </c>
    </row>
    <row r="13669" customFormat="false" ht="15.75" hidden="false" customHeight="false" outlineLevel="0" collapsed="false">
      <c r="A13669" s="1" t="s">
        <v>1386</v>
      </c>
      <c r="B13669" s="7" t="n">
        <v>289.05</v>
      </c>
      <c r="C13669" s="1" t="n">
        <f aca="false">1/B13669</f>
        <v>0.00345960906417575</v>
      </c>
      <c r="D13669" s="3" t="n">
        <v>1.727</v>
      </c>
      <c r="E13669" s="1" t="n">
        <f aca="false">LN(D13669)</f>
        <v>0.546385799164542</v>
      </c>
    </row>
    <row r="13670" customFormat="false" ht="15.75" hidden="false" customHeight="false" outlineLevel="0" collapsed="false">
      <c r="A13670" s="1" t="s">
        <v>1386</v>
      </c>
      <c r="B13670" s="7" t="n">
        <v>333.65</v>
      </c>
      <c r="C13670" s="1" t="n">
        <f aca="false">1/B13670</f>
        <v>0.00299715270493032</v>
      </c>
      <c r="D13670" s="3" t="n">
        <v>0.7872</v>
      </c>
      <c r="E13670" s="1" t="n">
        <f aca="false">LN(D13670)</f>
        <v>-0.239272933244093</v>
      </c>
    </row>
    <row r="13671" customFormat="false" ht="15.75" hidden="false" customHeight="false" outlineLevel="0" collapsed="false">
      <c r="A13671" s="1" t="s">
        <v>1386</v>
      </c>
      <c r="B13671" s="7" t="n">
        <v>372.65</v>
      </c>
      <c r="C13671" s="1" t="n">
        <f aca="false">1/B13671</f>
        <v>0.00268348316114316</v>
      </c>
      <c r="D13671" s="3" t="n">
        <v>0.5054</v>
      </c>
      <c r="E13671" s="1" t="n">
        <f aca="false">LN(D13671)</f>
        <v>-0.682405084028043</v>
      </c>
    </row>
    <row r="13672" customFormat="false" ht="15.75" hidden="false" customHeight="false" outlineLevel="0" collapsed="false">
      <c r="A13672" s="1" t="s">
        <v>1386</v>
      </c>
      <c r="B13672" s="7" t="n">
        <v>382.65</v>
      </c>
      <c r="C13672" s="1" t="n">
        <f aca="false">1/B13672</f>
        <v>0.00261335424016726</v>
      </c>
      <c r="D13672" s="3" t="n">
        <v>0.4592</v>
      </c>
      <c r="E13672" s="1" t="n">
        <f aca="false">LN(D13672)</f>
        <v>-0.77826943397678</v>
      </c>
    </row>
    <row r="13673" customFormat="false" ht="15.75" hidden="false" customHeight="false" outlineLevel="0" collapsed="false">
      <c r="A13673" s="1" t="s">
        <v>1386</v>
      </c>
      <c r="B13673" s="7" t="n">
        <v>393.15</v>
      </c>
      <c r="C13673" s="1" t="n">
        <f aca="false">1/B13673</f>
        <v>0.00254355843825512</v>
      </c>
      <c r="D13673" s="3" t="n">
        <v>0.4179</v>
      </c>
      <c r="E13673" s="1" t="n">
        <f aca="false">LN(D13673)</f>
        <v>-0.872513109528267</v>
      </c>
    </row>
    <row r="13674" customFormat="false" ht="15.75" hidden="false" customHeight="false" outlineLevel="0" collapsed="false">
      <c r="A13674" s="1" t="s">
        <v>1386</v>
      </c>
      <c r="B13674" s="7" t="n">
        <v>403.45</v>
      </c>
      <c r="C13674" s="1" t="n">
        <f aca="false">1/B13674</f>
        <v>0.00247862188623126</v>
      </c>
      <c r="D13674" s="3" t="n">
        <v>0.3833</v>
      </c>
      <c r="E13674" s="1" t="n">
        <f aca="false">LN(D13674)</f>
        <v>-0.958937306595628</v>
      </c>
    </row>
    <row r="13675" customFormat="false" ht="15.75" hidden="false" customHeight="false" outlineLevel="0" collapsed="false">
      <c r="A13675" s="1" t="s">
        <v>1386</v>
      </c>
      <c r="B13675" s="7" t="n">
        <v>413.65</v>
      </c>
      <c r="C13675" s="1" t="n">
        <f aca="false">1/B13675</f>
        <v>0.00241750271969056</v>
      </c>
      <c r="D13675" s="3" t="n">
        <v>0.3476</v>
      </c>
      <c r="E13675" s="1" t="n">
        <f aca="false">LN(D13675)</f>
        <v>-1.0567028855909</v>
      </c>
    </row>
    <row r="13676" customFormat="false" ht="15.75" hidden="false" customHeight="false" outlineLevel="0" collapsed="false">
      <c r="A13676" s="1" t="s">
        <v>1386</v>
      </c>
      <c r="B13676" s="7" t="n">
        <v>424.15</v>
      </c>
      <c r="C13676" s="1" t="n">
        <f aca="false">1/B13676</f>
        <v>0.00235765648944949</v>
      </c>
      <c r="D13676" s="3" t="n">
        <v>0.3178</v>
      </c>
      <c r="E13676" s="1" t="n">
        <f aca="false">LN(D13676)</f>
        <v>-1.14633302487952</v>
      </c>
    </row>
    <row r="13677" customFormat="false" ht="15.75" hidden="false" customHeight="false" outlineLevel="0" collapsed="false">
      <c r="A13677" s="1" t="s">
        <v>1386</v>
      </c>
      <c r="B13677" s="7" t="n">
        <v>433.65</v>
      </c>
      <c r="C13677" s="1" t="n">
        <f aca="false">1/B13677</f>
        <v>0.00230600714862216</v>
      </c>
      <c r="D13677" s="3" t="n">
        <v>0.294</v>
      </c>
      <c r="E13677" s="1" t="n">
        <f aca="false">LN(D13677)</f>
        <v>-1.22417551164346</v>
      </c>
    </row>
    <row r="13678" customFormat="false" ht="15.75" hidden="false" customHeight="false" outlineLevel="0" collapsed="false">
      <c r="A13678" s="1" t="s">
        <v>1386</v>
      </c>
      <c r="B13678" s="7" t="n">
        <v>440.65</v>
      </c>
      <c r="C13678" s="1" t="n">
        <f aca="false">1/B13678</f>
        <v>0.00226937478724611</v>
      </c>
      <c r="D13678" s="3" t="n">
        <v>0.278</v>
      </c>
      <c r="E13678" s="1" t="n">
        <f aca="false">LN(D13678)</f>
        <v>-1.2801341652915</v>
      </c>
    </row>
    <row r="13679" customFormat="false" ht="15.75" hidden="false" customHeight="false" outlineLevel="0" collapsed="false">
      <c r="A13679" s="1" t="s">
        <v>1386</v>
      </c>
      <c r="B13679" s="7" t="n">
        <v>448.15</v>
      </c>
      <c r="C13679" s="1" t="n">
        <f aca="false">1/B13679</f>
        <v>0.00223139573803414</v>
      </c>
      <c r="D13679" s="3" t="n">
        <v>0.262</v>
      </c>
      <c r="E13679" s="1" t="n">
        <f aca="false">LN(D13679)</f>
        <v>-1.33941077522104</v>
      </c>
    </row>
    <row r="13680" customFormat="false" ht="15.75" hidden="false" customHeight="false" outlineLevel="0" collapsed="false">
      <c r="A13680" s="1" t="s">
        <v>1386</v>
      </c>
      <c r="B13680" s="7" t="n">
        <v>457.35</v>
      </c>
      <c r="C13680" s="1" t="n">
        <f aca="false">1/B13680</f>
        <v>0.00218650923800153</v>
      </c>
      <c r="D13680" s="3" t="n">
        <v>0.244</v>
      </c>
      <c r="E13680" s="1" t="n">
        <f aca="false">LN(D13680)</f>
        <v>-1.41058705368894</v>
      </c>
    </row>
    <row r="13681" customFormat="false" ht="15.75" hidden="false" customHeight="false" outlineLevel="0" collapsed="false">
      <c r="A13681" s="1" t="s">
        <v>1561</v>
      </c>
      <c r="B13681" s="7" t="n">
        <v>574</v>
      </c>
      <c r="C13681" s="1" t="n">
        <f aca="false">1/B13681</f>
        <v>0.00174216027874564</v>
      </c>
      <c r="D13681" s="3" t="n">
        <v>0.357</v>
      </c>
      <c r="E13681" s="1" t="n">
        <f aca="false">LN(D13681)</f>
        <v>-1.0300194972025</v>
      </c>
    </row>
    <row r="13682" customFormat="false" ht="15.75" hidden="false" customHeight="false" outlineLevel="0" collapsed="false">
      <c r="A13682" s="1" t="s">
        <v>1561</v>
      </c>
      <c r="B13682" s="7" t="n">
        <v>584</v>
      </c>
      <c r="C13682" s="1" t="n">
        <f aca="false">1/B13682</f>
        <v>0.00171232876712329</v>
      </c>
      <c r="D13682" s="3" t="n">
        <v>0.339</v>
      </c>
      <c r="E13682" s="1" t="n">
        <f aca="false">LN(D13682)</f>
        <v>-1.08175517160169</v>
      </c>
    </row>
    <row r="13683" customFormat="false" ht="15.75" hidden="false" customHeight="false" outlineLevel="0" collapsed="false">
      <c r="A13683" s="1" t="s">
        <v>1561</v>
      </c>
      <c r="B13683" s="7" t="n">
        <v>594</v>
      </c>
      <c r="C13683" s="1" t="n">
        <f aca="false">1/B13683</f>
        <v>0.00168350168350168</v>
      </c>
      <c r="D13683" s="3" t="n">
        <v>0.321</v>
      </c>
      <c r="E13683" s="1" t="n">
        <f aca="false">LN(D13683)</f>
        <v>-1.13631415585212</v>
      </c>
    </row>
    <row r="13684" customFormat="false" ht="15.75" hidden="false" customHeight="false" outlineLevel="0" collapsed="false">
      <c r="A13684" s="1" t="s">
        <v>1561</v>
      </c>
      <c r="B13684" s="7" t="n">
        <v>604</v>
      </c>
      <c r="C13684" s="1" t="n">
        <f aca="false">1/B13684</f>
        <v>0.00165562913907285</v>
      </c>
      <c r="D13684" s="3" t="n">
        <v>0.301</v>
      </c>
      <c r="E13684" s="1" t="n">
        <f aca="false">LN(D13684)</f>
        <v>-1.20064501423326</v>
      </c>
    </row>
    <row r="13685" customFormat="false" ht="15.75" hidden="false" customHeight="false" outlineLevel="0" collapsed="false">
      <c r="A13685" s="1" t="s">
        <v>1561</v>
      </c>
      <c r="B13685" s="7" t="n">
        <v>614</v>
      </c>
      <c r="C13685" s="1" t="n">
        <f aca="false">1/B13685</f>
        <v>0.00162866449511401</v>
      </c>
      <c r="D13685" s="3" t="n">
        <v>0.284</v>
      </c>
      <c r="E13685" s="1" t="n">
        <f aca="false">LN(D13685)</f>
        <v>-1.25878104082093</v>
      </c>
    </row>
    <row r="13686" customFormat="false" ht="15.75" hidden="false" customHeight="false" outlineLevel="0" collapsed="false">
      <c r="A13686" s="1" t="s">
        <v>1561</v>
      </c>
      <c r="B13686" s="7" t="n">
        <v>624</v>
      </c>
      <c r="C13686" s="1" t="n">
        <f aca="false">1/B13686</f>
        <v>0.0016025641025641</v>
      </c>
      <c r="D13686" s="3" t="n">
        <v>0.268</v>
      </c>
      <c r="E13686" s="1" t="n">
        <f aca="false">LN(D13686)</f>
        <v>-1.31676829847128</v>
      </c>
    </row>
    <row r="13687" customFormat="false" ht="15.75" hidden="false" customHeight="false" outlineLevel="0" collapsed="false">
      <c r="A13687" s="1" t="s">
        <v>1561</v>
      </c>
      <c r="B13687" s="7" t="n">
        <v>634</v>
      </c>
      <c r="C13687" s="1" t="n">
        <f aca="false">1/B13687</f>
        <v>0.00157728706624606</v>
      </c>
      <c r="D13687" s="3" t="n">
        <v>0.251</v>
      </c>
      <c r="E13687" s="1" t="n">
        <f aca="false">LN(D13687)</f>
        <v>-1.38230233985035</v>
      </c>
    </row>
    <row r="13688" customFormat="false" ht="15.75" hidden="false" customHeight="false" outlineLevel="0" collapsed="false">
      <c r="A13688" s="1" t="s">
        <v>1561</v>
      </c>
      <c r="B13688" s="7" t="n">
        <v>644</v>
      </c>
      <c r="C13688" s="1" t="n">
        <f aca="false">1/B13688</f>
        <v>0.0015527950310559</v>
      </c>
      <c r="D13688" s="3" t="n">
        <v>0.242</v>
      </c>
      <c r="E13688" s="1" t="n">
        <f aca="false">LN(D13688)</f>
        <v>-1.41881755282545</v>
      </c>
    </row>
    <row r="13689" customFormat="false" ht="15.75" hidden="false" customHeight="false" outlineLevel="0" collapsed="false">
      <c r="A13689" s="1" t="s">
        <v>1561</v>
      </c>
      <c r="B13689" s="7" t="n">
        <v>654</v>
      </c>
      <c r="C13689" s="1" t="n">
        <f aca="false">1/B13689</f>
        <v>0.00152905198776758</v>
      </c>
      <c r="D13689" s="3" t="n">
        <v>0.229</v>
      </c>
      <c r="E13689" s="1" t="n">
        <f aca="false">LN(D13689)</f>
        <v>-1.4740332754279</v>
      </c>
    </row>
    <row r="13690" customFormat="false" ht="15.75" hidden="false" customHeight="false" outlineLevel="0" collapsed="false">
      <c r="A13690" s="1" t="s">
        <v>1561</v>
      </c>
      <c r="B13690" s="7" t="n">
        <v>664</v>
      </c>
      <c r="C13690" s="1" t="n">
        <f aca="false">1/B13690</f>
        <v>0.00150602409638554</v>
      </c>
      <c r="D13690" s="3" t="n">
        <v>0.22</v>
      </c>
      <c r="E13690" s="1" t="n">
        <f aca="false">LN(D13690)</f>
        <v>-1.51412773262978</v>
      </c>
    </row>
    <row r="13691" customFormat="false" ht="15.75" hidden="false" customHeight="false" outlineLevel="0" collapsed="false">
      <c r="A13691" s="1" t="s">
        <v>1561</v>
      </c>
      <c r="B13691" s="7" t="n">
        <v>674</v>
      </c>
      <c r="C13691" s="1" t="n">
        <f aca="false">1/B13691</f>
        <v>0.00148367952522255</v>
      </c>
      <c r="D13691" s="3" t="n">
        <v>0.21</v>
      </c>
      <c r="E13691" s="1" t="n">
        <f aca="false">LN(D13691)</f>
        <v>-1.56064774826467</v>
      </c>
    </row>
    <row r="13692" customFormat="false" ht="15.75" hidden="false" customHeight="false" outlineLevel="0" collapsed="false">
      <c r="A13692" s="1" t="s">
        <v>1388</v>
      </c>
      <c r="B13692" s="7" t="n">
        <v>301</v>
      </c>
      <c r="C13692" s="1" t="n">
        <f aca="false">1/B13692</f>
        <v>0.00332225913621262</v>
      </c>
      <c r="D13692" s="3" t="n">
        <v>0.225</v>
      </c>
      <c r="E13692" s="1" t="n">
        <f aca="false">LN(D13692)</f>
        <v>-1.49165487677772</v>
      </c>
    </row>
    <row r="13693" customFormat="false" ht="15.75" hidden="false" customHeight="false" outlineLevel="0" collapsed="false">
      <c r="A13693" s="1" t="s">
        <v>1388</v>
      </c>
      <c r="B13693" s="7" t="n">
        <v>311</v>
      </c>
      <c r="C13693" s="1" t="n">
        <f aca="false">1/B13693</f>
        <v>0.00321543408360129</v>
      </c>
      <c r="D13693" s="3" t="n">
        <v>0.212</v>
      </c>
      <c r="E13693" s="1" t="n">
        <f aca="false">LN(D13693)</f>
        <v>-1.55116900431012</v>
      </c>
    </row>
    <row r="13694" customFormat="false" ht="15.75" hidden="false" customHeight="false" outlineLevel="0" collapsed="false">
      <c r="A13694" s="1" t="s">
        <v>1388</v>
      </c>
      <c r="B13694" s="7" t="n">
        <v>321</v>
      </c>
      <c r="C13694" s="1" t="n">
        <f aca="false">1/B13694</f>
        <v>0.00311526479750779</v>
      </c>
      <c r="D13694" s="3" t="n">
        <v>0.199</v>
      </c>
      <c r="E13694" s="1" t="n">
        <f aca="false">LN(D13694)</f>
        <v>-1.61445045425764</v>
      </c>
    </row>
    <row r="13695" customFormat="false" ht="15.75" hidden="false" customHeight="false" outlineLevel="0" collapsed="false">
      <c r="A13695" s="1" t="s">
        <v>1388</v>
      </c>
      <c r="B13695" s="7" t="n">
        <v>331</v>
      </c>
      <c r="C13695" s="1" t="n">
        <f aca="false">1/B13695</f>
        <v>0.00302114803625378</v>
      </c>
      <c r="D13695" s="3" t="n">
        <v>0.187</v>
      </c>
      <c r="E13695" s="1" t="n">
        <f aca="false">LN(D13695)</f>
        <v>-1.67664666212755</v>
      </c>
    </row>
    <row r="13696" customFormat="false" ht="15.75" hidden="false" customHeight="false" outlineLevel="0" collapsed="false">
      <c r="A13696" s="1" t="s">
        <v>1388</v>
      </c>
      <c r="B13696" s="7" t="n">
        <v>341</v>
      </c>
      <c r="C13696" s="1" t="n">
        <f aca="false">1/B13696</f>
        <v>0.00293255131964809</v>
      </c>
      <c r="D13696" s="3" t="n">
        <v>0.175</v>
      </c>
      <c r="E13696" s="1" t="n">
        <f aca="false">LN(D13696)</f>
        <v>-1.74296930505862</v>
      </c>
    </row>
    <row r="13697" customFormat="false" ht="15.75" hidden="false" customHeight="false" outlineLevel="0" collapsed="false">
      <c r="A13697" s="1" t="s">
        <v>1388</v>
      </c>
      <c r="B13697" s="7" t="n">
        <v>351</v>
      </c>
      <c r="C13697" s="1" t="n">
        <f aca="false">1/B13697</f>
        <v>0.00284900284900285</v>
      </c>
      <c r="D13697" s="3" t="n">
        <v>0.164</v>
      </c>
      <c r="E13697" s="1" t="n">
        <f aca="false">LN(D13697)</f>
        <v>-1.80788885115794</v>
      </c>
    </row>
    <row r="13698" customFormat="false" ht="15.75" hidden="false" customHeight="false" outlineLevel="0" collapsed="false">
      <c r="A13698" s="1" t="s">
        <v>1388</v>
      </c>
      <c r="B13698" s="7" t="n">
        <v>361</v>
      </c>
      <c r="C13698" s="1" t="n">
        <f aca="false">1/B13698</f>
        <v>0.00277008310249307</v>
      </c>
      <c r="D13698" s="3" t="n">
        <v>0.155</v>
      </c>
      <c r="E13698" s="1" t="n">
        <f aca="false">LN(D13698)</f>
        <v>-1.86433016206289</v>
      </c>
    </row>
    <row r="13699" customFormat="false" ht="15.75" hidden="false" customHeight="false" outlineLevel="0" collapsed="false">
      <c r="A13699" s="1" t="s">
        <v>1388</v>
      </c>
      <c r="B13699" s="7" t="n">
        <v>371</v>
      </c>
      <c r="C13699" s="1" t="n">
        <f aca="false">1/B13699</f>
        <v>0.00269541778975741</v>
      </c>
      <c r="D13699" s="3" t="n">
        <v>0.146</v>
      </c>
      <c r="E13699" s="1" t="n">
        <f aca="false">LN(D13699)</f>
        <v>-1.9241486572738</v>
      </c>
    </row>
    <row r="13700" customFormat="false" ht="15.75" hidden="false" customHeight="false" outlineLevel="0" collapsed="false">
      <c r="A13700" s="1" t="s">
        <v>1388</v>
      </c>
      <c r="B13700" s="7" t="n">
        <v>381</v>
      </c>
      <c r="C13700" s="1" t="n">
        <f aca="false">1/B13700</f>
        <v>0.0026246719160105</v>
      </c>
      <c r="D13700" s="3" t="n">
        <v>0.139</v>
      </c>
      <c r="E13700" s="1" t="n">
        <f aca="false">LN(D13700)</f>
        <v>-1.97328134585145</v>
      </c>
    </row>
    <row r="13701" customFormat="false" ht="15.75" hidden="false" customHeight="false" outlineLevel="0" collapsed="false">
      <c r="A13701" s="1" t="s">
        <v>1388</v>
      </c>
      <c r="B13701" s="7" t="n">
        <v>391</v>
      </c>
      <c r="C13701" s="1" t="n">
        <f aca="false">1/B13701</f>
        <v>0.00255754475703325</v>
      </c>
      <c r="D13701" s="3" t="n">
        <v>0.132</v>
      </c>
      <c r="E13701" s="1" t="n">
        <f aca="false">LN(D13701)</f>
        <v>-2.02495335639577</v>
      </c>
    </row>
    <row r="13702" customFormat="false" ht="15.75" hidden="false" customHeight="false" outlineLevel="0" collapsed="false">
      <c r="A13702" s="1" t="s">
        <v>1388</v>
      </c>
      <c r="B13702" s="7" t="n">
        <v>401</v>
      </c>
      <c r="C13702" s="1" t="n">
        <f aca="false">1/B13702</f>
        <v>0.00249376558603491</v>
      </c>
      <c r="D13702" s="3" t="n">
        <v>0.125</v>
      </c>
      <c r="E13702" s="1" t="n">
        <f aca="false">LN(D13702)</f>
        <v>-2.07944154167984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0.5234375" defaultRowHeight="15" zeroHeight="false" outlineLevelRow="0" outlineLevelCol="0"/>
  <cols>
    <col collapsed="false" customWidth="true" hidden="false" outlineLevel="0" max="1" min="1" style="0" width="42.99"/>
  </cols>
  <sheetData>
    <row r="1" customFormat="false" ht="15" hidden="false" customHeight="false" outlineLevel="0" collapsed="false">
      <c r="A1" s="5" t="s">
        <v>0</v>
      </c>
      <c r="B1" s="5" t="s">
        <v>1566</v>
      </c>
      <c r="C1" s="5" t="s">
        <v>1567</v>
      </c>
      <c r="D1" s="5" t="s">
        <v>1568</v>
      </c>
      <c r="E1" s="5" t="s">
        <v>1569</v>
      </c>
      <c r="F1" s="5" t="s">
        <v>1570</v>
      </c>
    </row>
    <row r="2" customFormat="false" ht="15" hidden="false" customHeight="false" outlineLevel="0" collapsed="false">
      <c r="A2" s="0" t="s">
        <v>3</v>
      </c>
      <c r="B2" s="0" t="n">
        <v>-0.359536176219765</v>
      </c>
      <c r="C2" s="0" t="n">
        <v>-0.487760350834995</v>
      </c>
      <c r="D2" s="0" t="n">
        <v>-0.604220971365544</v>
      </c>
      <c r="E2" s="0" t="n">
        <v>-0.661648513500574</v>
      </c>
      <c r="F2" s="0" t="n">
        <v>-0.699165252885508</v>
      </c>
    </row>
    <row r="3" customFormat="false" ht="15" hidden="false" customHeight="false" outlineLevel="0" collapsed="false">
      <c r="A3" s="0" t="s">
        <v>6</v>
      </c>
      <c r="B3" s="0" t="n">
        <v>0.677017798630062</v>
      </c>
      <c r="C3" s="0" t="n">
        <v>0.575489137091713</v>
      </c>
      <c r="D3" s="0" t="n">
        <v>0.477475644084437</v>
      </c>
      <c r="E3" s="0" t="n">
        <v>0.431782416425538</v>
      </c>
      <c r="F3" s="0" t="n">
        <v>0.343589704390077</v>
      </c>
    </row>
    <row r="4" customFormat="false" ht="15" hidden="false" customHeight="false" outlineLevel="0" collapsed="false">
      <c r="A4" s="0" t="s">
        <v>8</v>
      </c>
      <c r="B4" s="0" t="n">
        <v>3.23553626576131</v>
      </c>
      <c r="C4" s="0" t="n">
        <v>2.45444744230329</v>
      </c>
      <c r="D4" s="0" t="n">
        <v>1.72151581583945</v>
      </c>
      <c r="E4" s="0" t="n">
        <v>1.4747630091075</v>
      </c>
      <c r="F4" s="0" t="n">
        <v>0.845868267577609</v>
      </c>
    </row>
    <row r="5" customFormat="false" ht="15" hidden="false" customHeight="false" outlineLevel="0" collapsed="false">
      <c r="A5" s="0" t="s">
        <v>10</v>
      </c>
      <c r="B5" s="0" t="n">
        <v>2.90799335924598</v>
      </c>
      <c r="C5" s="0" t="n">
        <v>2.26072088889535</v>
      </c>
      <c r="D5" s="0" t="n">
        <v>1.89761985992753</v>
      </c>
      <c r="E5" s="0" t="n">
        <v>1.53471436623816</v>
      </c>
      <c r="F5" s="0" t="n">
        <v>1.35325450704169</v>
      </c>
    </row>
    <row r="6" customFormat="false" ht="15" hidden="false" customHeight="false" outlineLevel="0" collapsed="false">
      <c r="A6" s="0" t="s">
        <v>12</v>
      </c>
      <c r="B6" s="0" t="n">
        <v>-0.530008443182765</v>
      </c>
      <c r="C6" s="0" t="n">
        <v>-0.696151689580244</v>
      </c>
      <c r="D6" s="0" t="n">
        <v>-0.816445396904439</v>
      </c>
      <c r="E6" s="0" t="n">
        <v>-0.921303273697699</v>
      </c>
      <c r="F6" s="0" t="n">
        <v>-1.02165124753198</v>
      </c>
    </row>
    <row r="7" customFormat="false" ht="15" hidden="false" customHeight="false" outlineLevel="0" collapsed="false">
      <c r="A7" s="0" t="s">
        <v>14</v>
      </c>
      <c r="B7" s="0" t="n">
        <v>-0.136965855073157</v>
      </c>
      <c r="C7" s="0" t="n">
        <v>-0.214431610712188</v>
      </c>
      <c r="D7" s="0" t="n">
        <v>-0.273121921120451</v>
      </c>
      <c r="E7" s="0" t="n">
        <v>-0.356674943938732</v>
      </c>
      <c r="F7" s="0" t="n">
        <v>-0.415515443961666</v>
      </c>
    </row>
    <row r="8" customFormat="false" ht="15" hidden="false" customHeight="false" outlineLevel="0" collapsed="false">
      <c r="A8" s="0" t="s">
        <v>16</v>
      </c>
      <c r="B8" s="0" t="n">
        <v>-0.860619534503694</v>
      </c>
      <c r="C8" s="0" t="n">
        <v>-1.02638465467123</v>
      </c>
      <c r="D8" s="0" t="n">
        <v>-1.10262031006565</v>
      </c>
      <c r="E8" s="0" t="n">
        <v>-1.20397280432594</v>
      </c>
      <c r="F8" s="0" t="n">
        <v>-1.30933331998376</v>
      </c>
    </row>
    <row r="9" customFormat="false" ht="15" hidden="false" customHeight="false" outlineLevel="0" collapsed="false">
      <c r="A9" s="0" t="s">
        <v>18</v>
      </c>
      <c r="B9" s="0" t="n">
        <v>-0.342490308946776</v>
      </c>
      <c r="C9" s="0" t="n">
        <v>-0.49429632181478</v>
      </c>
      <c r="D9" s="0" t="n">
        <v>-0.63487827243597</v>
      </c>
      <c r="E9" s="0" t="n">
        <v>-0.776528789498996</v>
      </c>
      <c r="F9" s="0" t="n">
        <v>-0.82098055206983</v>
      </c>
    </row>
    <row r="10" customFormat="false" ht="15" hidden="false" customHeight="false" outlineLevel="0" collapsed="false">
      <c r="A10" s="0" t="s">
        <v>20</v>
      </c>
      <c r="B10" s="0" t="n">
        <v>4.3380747471447</v>
      </c>
      <c r="C10" s="0" t="n">
        <v>1.61541998411165</v>
      </c>
      <c r="D10" s="0" t="n">
        <v>-0.322963886596421</v>
      </c>
      <c r="E10" s="0" t="n">
        <v>-0.798507696217772</v>
      </c>
      <c r="F10" s="0" t="n">
        <v>-0.967584026261706</v>
      </c>
    </row>
    <row r="11" customFormat="false" ht="15" hidden="false" customHeight="false" outlineLevel="0" collapsed="false">
      <c r="A11" s="0" t="s">
        <v>22</v>
      </c>
      <c r="B11" s="0" t="n">
        <v>-0.693147180559945</v>
      </c>
      <c r="C11" s="0" t="n">
        <v>-0.800732391239883</v>
      </c>
      <c r="D11" s="0" t="n">
        <v>-0.906340401020987</v>
      </c>
      <c r="E11" s="0" t="n">
        <v>-0.941608539858445</v>
      </c>
      <c r="F11" s="0" t="n">
        <v>-1.02165124753198</v>
      </c>
    </row>
    <row r="12" customFormat="false" ht="15" hidden="false" customHeight="false" outlineLevel="0" collapsed="false">
      <c r="A12" s="0" t="s">
        <v>24</v>
      </c>
      <c r="B12" s="0" t="n">
        <v>3.80976877138939</v>
      </c>
      <c r="C12" s="0" t="n">
        <v>1.42069578783722</v>
      </c>
      <c r="D12" s="0" t="n">
        <v>-0.379797361359586</v>
      </c>
      <c r="E12" s="0" t="n">
        <v>-0.843970070294529</v>
      </c>
      <c r="F12" s="0" t="n">
        <v>-1.07880966137193</v>
      </c>
    </row>
    <row r="13" customFormat="false" ht="15" hidden="false" customHeight="false" outlineLevel="0" collapsed="false">
      <c r="A13" s="0" t="s">
        <v>26</v>
      </c>
      <c r="B13" s="0" t="n">
        <v>-0.767870726755882</v>
      </c>
      <c r="C13" s="0" t="n">
        <v>-0.903868211875598</v>
      </c>
      <c r="D13" s="0" t="n">
        <v>-1.04982212449868</v>
      </c>
      <c r="E13" s="0" t="n">
        <v>-1.23787435600162</v>
      </c>
      <c r="F13" s="0" t="n">
        <v>-1.46967597005894</v>
      </c>
    </row>
    <row r="14" customFormat="false" ht="15" hidden="false" customHeight="false" outlineLevel="0" collapsed="false">
      <c r="A14" s="0" t="s">
        <v>28</v>
      </c>
      <c r="B14" s="0" t="n">
        <v>-0.687165108882398</v>
      </c>
      <c r="C14" s="0" t="n">
        <v>-0.799396980402656</v>
      </c>
      <c r="D14" s="0" t="n">
        <v>-0.905845474012616</v>
      </c>
      <c r="E14" s="0" t="n">
        <v>-0.994252273343867</v>
      </c>
      <c r="F14" s="0" t="n">
        <v>-1.02165124753198</v>
      </c>
    </row>
    <row r="15" customFormat="false" ht="15" hidden="false" customHeight="false" outlineLevel="0" collapsed="false">
      <c r="A15" s="0" t="s">
        <v>30</v>
      </c>
      <c r="B15" s="0" t="n">
        <v>0.27763173659828</v>
      </c>
      <c r="C15" s="0" t="n">
        <v>-0.0725706928348354</v>
      </c>
      <c r="D15" s="0" t="n">
        <v>-0.267879445155601</v>
      </c>
      <c r="E15" s="0" t="n">
        <v>-0.415515443961666</v>
      </c>
      <c r="F15" s="0" t="n">
        <v>-0.562118918153541</v>
      </c>
    </row>
    <row r="16" customFormat="false" ht="15" hidden="false" customHeight="false" outlineLevel="0" collapsed="false">
      <c r="A16" s="0" t="s">
        <v>32</v>
      </c>
      <c r="B16" s="0" t="n">
        <v>-0.188983699667505</v>
      </c>
      <c r="C16" s="0" t="n">
        <v>-0.400179103678927</v>
      </c>
      <c r="D16" s="0" t="n">
        <v>-0.590590592234853</v>
      </c>
      <c r="E16" s="0" t="n">
        <v>-0.657780036722654</v>
      </c>
      <c r="F16" s="0" t="n">
        <v>-0.776528789498996</v>
      </c>
    </row>
    <row r="17" customFormat="false" ht="15" hidden="false" customHeight="false" outlineLevel="0" collapsed="false">
      <c r="A17" s="0" t="s">
        <v>34</v>
      </c>
      <c r="B17" s="0" t="n">
        <v>1.15898589859154</v>
      </c>
      <c r="C17" s="0" t="n">
        <v>0.768950143975446</v>
      </c>
      <c r="D17" s="0" t="n">
        <v>0.433728573381024</v>
      </c>
      <c r="E17" s="0" t="n">
        <v>0.165514438477573</v>
      </c>
      <c r="F17" s="0" t="n">
        <v>0.104360015324243</v>
      </c>
    </row>
    <row r="18" customFormat="false" ht="15" hidden="false" customHeight="false" outlineLevel="0" collapsed="false">
      <c r="A18" s="0" t="s">
        <v>36</v>
      </c>
      <c r="B18" s="0" t="n">
        <v>1.14676733055516</v>
      </c>
      <c r="C18" s="0" t="n">
        <v>0.878796527446574</v>
      </c>
      <c r="D18" s="0" t="n">
        <v>0.625403528473426</v>
      </c>
      <c r="E18" s="0" t="n">
        <v>0.431782416425538</v>
      </c>
      <c r="F18" s="0" t="n">
        <v>0.314810739840034</v>
      </c>
    </row>
    <row r="19" customFormat="false" ht="15" hidden="false" customHeight="false" outlineLevel="0" collapsed="false">
      <c r="A19" s="0" t="s">
        <v>38</v>
      </c>
      <c r="B19" s="0" t="n">
        <v>1.42069578783722</v>
      </c>
      <c r="C19" s="0" t="n">
        <v>0.993251773010283</v>
      </c>
      <c r="D19" s="0" t="n">
        <v>0.625938430866495</v>
      </c>
      <c r="E19" s="0" t="n">
        <v>0.405465108108164</v>
      </c>
      <c r="F19" s="0" t="n">
        <v>0.307484699747961</v>
      </c>
    </row>
    <row r="20" customFormat="false" ht="15" hidden="false" customHeight="false" outlineLevel="0" collapsed="false">
      <c r="A20" s="0" t="s">
        <v>40</v>
      </c>
      <c r="B20" s="0" t="n">
        <v>0.468126869232875</v>
      </c>
      <c r="C20" s="0" t="n">
        <v>0.389335726178281</v>
      </c>
      <c r="D20" s="0" t="n">
        <v>0.173112617708645</v>
      </c>
      <c r="E20" s="0" t="n">
        <v>0.0676586484738149</v>
      </c>
      <c r="F20" s="0" t="n">
        <v>-0.0725706928348354</v>
      </c>
    </row>
    <row r="21" customFormat="false" ht="15" hidden="false" customHeight="false" outlineLevel="0" collapsed="false">
      <c r="A21" s="0" t="s">
        <v>42</v>
      </c>
      <c r="B21" s="0" t="n">
        <v>1.94281966413687</v>
      </c>
      <c r="C21" s="0" t="n">
        <v>0.942387236595429</v>
      </c>
      <c r="D21" s="0" t="n">
        <v>0.23119108289351</v>
      </c>
      <c r="E21" s="0" t="n">
        <v>0.0198026272961797</v>
      </c>
      <c r="F21" s="0" t="n">
        <v>-0.127833371509885</v>
      </c>
    </row>
    <row r="22" customFormat="false" ht="15" hidden="false" customHeight="false" outlineLevel="0" collapsed="false">
      <c r="A22" s="0" t="s">
        <v>44</v>
      </c>
      <c r="B22" s="0" t="n">
        <v>-0.295714244149045</v>
      </c>
      <c r="C22" s="0" t="n">
        <v>-0.463624022281697</v>
      </c>
      <c r="D22" s="0" t="n">
        <v>-0.619896718820353</v>
      </c>
      <c r="E22" s="0" t="n">
        <v>-0.744440474947496</v>
      </c>
      <c r="F22" s="0" t="n">
        <v>-0.841647188878389</v>
      </c>
    </row>
    <row r="23" customFormat="false" ht="15" hidden="false" customHeight="false" outlineLevel="0" collapsed="false">
      <c r="A23" s="0" t="s">
        <v>46</v>
      </c>
      <c r="B23" s="0" t="n">
        <v>-0.208254938820459</v>
      </c>
      <c r="C23" s="0" t="n">
        <v>-0.32989392126109</v>
      </c>
      <c r="D23" s="0" t="n">
        <v>-0.536143431750281</v>
      </c>
      <c r="E23" s="0" t="n">
        <v>-0.59783700075562</v>
      </c>
      <c r="F23" s="0" t="n">
        <v>-0.63487827243597</v>
      </c>
    </row>
    <row r="24" customFormat="false" ht="15" hidden="false" customHeight="false" outlineLevel="0" collapsed="false">
      <c r="A24" s="0" t="s">
        <v>48</v>
      </c>
      <c r="B24" s="0" t="n">
        <v>0.289680075114454</v>
      </c>
      <c r="C24" s="0" t="n">
        <v>0.137149838147234</v>
      </c>
      <c r="D24" s="0" t="n">
        <v>-0.118783535989967</v>
      </c>
      <c r="E24" s="0" t="n">
        <v>-0.204567165741274</v>
      </c>
      <c r="F24" s="0" t="n">
        <v>-0.261364764134407</v>
      </c>
    </row>
    <row r="25" customFormat="false" ht="15" hidden="false" customHeight="false" outlineLevel="0" collapsed="false">
      <c r="A25" s="0" t="s">
        <v>50</v>
      </c>
      <c r="B25" s="0" t="n">
        <v>0.134530892957606</v>
      </c>
      <c r="C25" s="0" t="n">
        <v>-0.00702461493696447</v>
      </c>
      <c r="D25" s="0" t="n">
        <v>-0.2484613592985</v>
      </c>
      <c r="E25" s="0" t="n">
        <v>-0.356674943938732</v>
      </c>
      <c r="F25" s="0" t="n">
        <v>-0.400477566597125</v>
      </c>
    </row>
    <row r="26" customFormat="false" ht="15" hidden="false" customHeight="false" outlineLevel="0" collapsed="false">
      <c r="A26" s="0" t="s">
        <v>52</v>
      </c>
      <c r="B26" s="0" t="n">
        <v>0.7026023393307</v>
      </c>
      <c r="C26" s="0" t="n">
        <v>0.520577915208669</v>
      </c>
      <c r="D26" s="0" t="n">
        <v>0.21591750622247</v>
      </c>
      <c r="E26" s="0" t="n">
        <v>0.0953101798043249</v>
      </c>
      <c r="F26" s="0" t="n">
        <v>0.0392207131532813</v>
      </c>
    </row>
    <row r="27" customFormat="false" ht="15" hidden="false" customHeight="false" outlineLevel="0" collapsed="false">
      <c r="A27" s="0" t="s">
        <v>54</v>
      </c>
      <c r="B27" s="0" t="n">
        <v>0.53062825106217</v>
      </c>
      <c r="C27" s="0" t="n">
        <v>0.356274863917393</v>
      </c>
      <c r="D27" s="0" t="n">
        <v>0.27763173659828</v>
      </c>
      <c r="E27" s="0" t="n">
        <v>0.198850858745165</v>
      </c>
      <c r="F27" s="0" t="n">
        <v>0.131028262406404</v>
      </c>
    </row>
    <row r="28" customFormat="false" ht="15" hidden="false" customHeight="false" outlineLevel="0" collapsed="false">
      <c r="A28" s="0" t="s">
        <v>56</v>
      </c>
      <c r="B28" s="0" t="n">
        <v>-0.138113302129634</v>
      </c>
      <c r="C28" s="0" t="n">
        <v>-0.263965545834465</v>
      </c>
      <c r="D28" s="0" t="n">
        <v>-0.479650006297541</v>
      </c>
      <c r="E28" s="0" t="n">
        <v>-0.562118918153541</v>
      </c>
      <c r="F28" s="0" t="n">
        <v>-0.59783700075562</v>
      </c>
    </row>
    <row r="29" customFormat="false" ht="15" hidden="false" customHeight="false" outlineLevel="0" collapsed="false">
      <c r="A29" s="0" t="s">
        <v>58</v>
      </c>
      <c r="B29" s="0" t="n">
        <v>-1.54177926396029</v>
      </c>
      <c r="C29" s="0" t="n">
        <v>-1.60445037092306</v>
      </c>
      <c r="D29" s="0" t="n">
        <v>-1.6660082639225</v>
      </c>
      <c r="E29" s="0" t="n">
        <v>-1.71479842809193</v>
      </c>
      <c r="F29" s="0" t="n">
        <v>-1.83258146374831</v>
      </c>
    </row>
    <row r="30" customFormat="false" ht="15" hidden="false" customHeight="false" outlineLevel="0" collapsed="false">
      <c r="A30" s="0" t="s">
        <v>60</v>
      </c>
      <c r="B30" s="0" t="n">
        <v>1.33289358439278</v>
      </c>
      <c r="C30" s="0" t="n">
        <v>0.801104322065038</v>
      </c>
      <c r="D30" s="0" t="n">
        <v>0.394067063155795</v>
      </c>
      <c r="E30" s="0" t="n">
        <v>0.322083499169113</v>
      </c>
      <c r="F30" s="0" t="n">
        <v>0.254642218373581</v>
      </c>
    </row>
    <row r="31" customFormat="false" ht="15" hidden="false" customHeight="false" outlineLevel="0" collapsed="false">
      <c r="A31" s="0" t="s">
        <v>62</v>
      </c>
      <c r="B31" s="0" t="n">
        <v>2.2364452904895</v>
      </c>
      <c r="C31" s="0" t="n">
        <v>-0.0910193983871685</v>
      </c>
      <c r="D31" s="0" t="n">
        <v>-0.586986984731555</v>
      </c>
      <c r="E31" s="0" t="n">
        <v>-0.586986984731555</v>
      </c>
      <c r="F31" s="0" t="n">
        <v>-0.586986984731555</v>
      </c>
    </row>
    <row r="32" customFormat="false" ht="15" hidden="false" customHeight="false" outlineLevel="0" collapsed="false">
      <c r="A32" s="0" t="s">
        <v>64</v>
      </c>
      <c r="B32" s="0" t="n">
        <v>1.48855758511824</v>
      </c>
      <c r="C32" s="0" t="n">
        <v>1.08889859648047</v>
      </c>
      <c r="D32" s="0" t="n">
        <v>0.751416088683921</v>
      </c>
      <c r="E32" s="0" t="n">
        <v>0.536493370514569</v>
      </c>
      <c r="F32" s="0" t="n">
        <v>0.336472236621213</v>
      </c>
    </row>
    <row r="33" customFormat="false" ht="15" hidden="false" customHeight="false" outlineLevel="0" collapsed="false">
      <c r="A33" s="0" t="s">
        <v>66</v>
      </c>
      <c r="B33" s="0" t="n">
        <v>-0.127833371509885</v>
      </c>
      <c r="C33" s="0" t="n">
        <v>-0.177931208492662</v>
      </c>
      <c r="D33" s="0" t="n">
        <v>-0.221894331913778</v>
      </c>
      <c r="E33" s="0" t="n">
        <v>-0.356674943938732</v>
      </c>
      <c r="F33" s="0" t="n">
        <v>-0.462035459596559</v>
      </c>
    </row>
    <row r="34" customFormat="false" ht="15" hidden="false" customHeight="false" outlineLevel="0" collapsed="false">
      <c r="A34" s="0" t="s">
        <v>68</v>
      </c>
      <c r="B34" s="0" t="n">
        <v>-0.98886142470899</v>
      </c>
      <c r="C34" s="0" t="n">
        <v>-0.951917909517306</v>
      </c>
      <c r="D34" s="0" t="n">
        <v>-1.11169752821677</v>
      </c>
      <c r="E34" s="0" t="n">
        <v>-1.20397280432594</v>
      </c>
      <c r="F34" s="0" t="n">
        <v>-1.23787435600162</v>
      </c>
    </row>
    <row r="35" customFormat="false" ht="15" hidden="false" customHeight="false" outlineLevel="0" collapsed="false">
      <c r="A35" s="0" t="s">
        <v>70</v>
      </c>
      <c r="B35" s="0" t="n">
        <v>0.303801454331664</v>
      </c>
      <c r="C35" s="0" t="n">
        <v>0.143234168085908</v>
      </c>
      <c r="D35" s="0" t="n">
        <v>-0.131248286609954</v>
      </c>
      <c r="E35" s="0" t="n">
        <v>-0.22314355131421</v>
      </c>
      <c r="F35" s="0" t="n">
        <v>-0.27443684570176</v>
      </c>
    </row>
    <row r="36" customFormat="false" ht="15" hidden="false" customHeight="false" outlineLevel="0" collapsed="false">
      <c r="A36" s="0" t="s">
        <v>72</v>
      </c>
      <c r="B36" s="0" t="n">
        <v>0.0925791812930932</v>
      </c>
      <c r="C36" s="0" t="n">
        <v>-0.0586889963486796</v>
      </c>
      <c r="D36" s="0" t="n">
        <v>-0.3051673867928</v>
      </c>
      <c r="E36" s="0" t="n">
        <v>-0.400477566597125</v>
      </c>
      <c r="F36" s="0" t="n">
        <v>-0.446287102628419</v>
      </c>
    </row>
    <row r="37" customFormat="false" ht="15" hidden="false" customHeight="false" outlineLevel="0" collapsed="false">
      <c r="A37" s="0" t="s">
        <v>74</v>
      </c>
      <c r="B37" s="0" t="n">
        <v>0.711968934800533</v>
      </c>
      <c r="C37" s="0" t="n">
        <v>0.518793793415168</v>
      </c>
      <c r="D37" s="0" t="n">
        <v>0.194744076792512</v>
      </c>
      <c r="E37" s="0" t="n">
        <v>0.0953101798043249</v>
      </c>
      <c r="F37" s="0" t="n">
        <v>0.0295588022415444</v>
      </c>
    </row>
    <row r="38" customFormat="false" ht="15" hidden="false" customHeight="false" outlineLevel="0" collapsed="false">
      <c r="A38" s="0" t="s">
        <v>76</v>
      </c>
      <c r="B38" s="0" t="n">
        <v>0.514618422004687</v>
      </c>
      <c r="C38" s="0" t="n">
        <v>0.337899788612398</v>
      </c>
      <c r="D38" s="0" t="n">
        <v>0.0392207131532813</v>
      </c>
      <c r="E38" s="0" t="n">
        <v>-0.0202027073175195</v>
      </c>
      <c r="F38" s="0" t="n">
        <v>-0.0747235461959364</v>
      </c>
    </row>
    <row r="39" customFormat="false" ht="15" hidden="false" customHeight="false" outlineLevel="0" collapsed="false">
      <c r="A39" s="0" t="s">
        <v>78</v>
      </c>
      <c r="B39" s="0" t="n">
        <v>-0.0779615414697118</v>
      </c>
      <c r="C39" s="0" t="n">
        <v>-0.210721031315653</v>
      </c>
      <c r="D39" s="0" t="n">
        <v>-0.436955775199535</v>
      </c>
      <c r="E39" s="0" t="n">
        <v>-0.527632742082372</v>
      </c>
      <c r="F39" s="0" t="n">
        <v>-0.616186139423817</v>
      </c>
    </row>
    <row r="40" customFormat="false" ht="15" hidden="false" customHeight="false" outlineLevel="0" collapsed="false">
      <c r="A40" s="0" t="s">
        <v>80</v>
      </c>
      <c r="B40" s="0" t="n">
        <v>0.25619140536041</v>
      </c>
      <c r="C40" s="0" t="n">
        <v>0.1016536537265</v>
      </c>
      <c r="D40" s="0" t="n">
        <v>-0.16369609267079</v>
      </c>
      <c r="E40" s="0" t="n">
        <v>-0.2484613592985</v>
      </c>
      <c r="F40" s="0" t="n">
        <v>-0.356674943938732</v>
      </c>
    </row>
    <row r="41" customFormat="false" ht="15" hidden="false" customHeight="false" outlineLevel="0" collapsed="false">
      <c r="A41" s="0" t="s">
        <v>82</v>
      </c>
      <c r="B41" s="0" t="n">
        <v>-0.00400802139753882</v>
      </c>
      <c r="C41" s="0" t="n">
        <v>-0.140412153716745</v>
      </c>
      <c r="D41" s="0" t="n">
        <v>-0.371063681390832</v>
      </c>
      <c r="E41" s="0" t="n">
        <v>-0.462035459596559</v>
      </c>
      <c r="F41" s="0" t="n">
        <v>-0.544727175441672</v>
      </c>
    </row>
    <row r="42" customFormat="false" ht="15" hidden="false" customHeight="false" outlineLevel="0" collapsed="false">
      <c r="A42" s="0" t="s">
        <v>84</v>
      </c>
      <c r="B42" s="0" t="n">
        <v>0.649717622632609</v>
      </c>
      <c r="C42" s="0" t="n">
        <v>0.466873736236808</v>
      </c>
      <c r="D42" s="0" t="n">
        <v>0.155292884406035</v>
      </c>
      <c r="E42" s="0" t="n">
        <v>0.0582689081239758</v>
      </c>
      <c r="F42" s="0" t="n">
        <v>-0.0618754037180875</v>
      </c>
    </row>
    <row r="43" customFormat="false" ht="15" hidden="false" customHeight="false" outlineLevel="0" collapsed="false">
      <c r="A43" s="0" t="s">
        <v>86</v>
      </c>
      <c r="B43" s="0" t="n">
        <v>0.42918163472548</v>
      </c>
      <c r="C43" s="0" t="n">
        <v>0.263133199530368</v>
      </c>
      <c r="D43" s="0" t="n">
        <v>-0.0161293819298836</v>
      </c>
      <c r="E43" s="0" t="n">
        <v>-0.127833371509885</v>
      </c>
      <c r="F43" s="0" t="n">
        <v>-0.23572233352107</v>
      </c>
    </row>
    <row r="44" customFormat="false" ht="15" hidden="false" customHeight="false" outlineLevel="0" collapsed="false">
      <c r="A44" s="0" t="s">
        <v>88</v>
      </c>
      <c r="B44" s="0" t="n">
        <v>0.755041584097535</v>
      </c>
      <c r="C44" s="0" t="n">
        <v>0.595865057753391</v>
      </c>
      <c r="D44" s="0" t="n">
        <v>0.323386997072557</v>
      </c>
      <c r="E44" s="0" t="n">
        <v>0.231111720963387</v>
      </c>
      <c r="F44" s="0" t="n">
        <v>0.104360015324243</v>
      </c>
    </row>
    <row r="45" customFormat="false" ht="15" hidden="false" customHeight="false" outlineLevel="0" collapsed="false">
      <c r="A45" s="0" t="s">
        <v>90</v>
      </c>
      <c r="B45" s="0" t="n">
        <v>-0.52932909533055</v>
      </c>
      <c r="C45" s="0" t="n">
        <v>-0.539568092631645</v>
      </c>
      <c r="D45" s="0" t="n">
        <v>-0.54818141030976</v>
      </c>
      <c r="E45" s="0" t="n">
        <v>-0.663588378318401</v>
      </c>
      <c r="F45" s="0" t="n">
        <v>-0.727738625329564</v>
      </c>
    </row>
    <row r="46" customFormat="false" ht="15" hidden="false" customHeight="false" outlineLevel="0" collapsed="false">
      <c r="A46" s="0" t="s">
        <v>92</v>
      </c>
      <c r="B46" s="0" t="n">
        <v>-0.446287102628419</v>
      </c>
      <c r="C46" s="0" t="n">
        <v>-0.484508315448617</v>
      </c>
      <c r="D46" s="0" t="n">
        <v>-0.525939261576039</v>
      </c>
      <c r="E46" s="0" t="n">
        <v>-0.59783700075562</v>
      </c>
      <c r="F46" s="0" t="n">
        <v>-0.653926467406664</v>
      </c>
    </row>
    <row r="47" customFormat="false" ht="15" hidden="false" customHeight="false" outlineLevel="0" collapsed="false">
      <c r="A47" s="0" t="s">
        <v>94</v>
      </c>
      <c r="B47" s="0" t="n">
        <v>-0.0408219945202552</v>
      </c>
      <c r="C47" s="0" t="n">
        <v>-0.261364764134407</v>
      </c>
      <c r="D47" s="0" t="n">
        <v>-0.400477566597125</v>
      </c>
      <c r="E47" s="0" t="n">
        <v>-0.59783700075562</v>
      </c>
      <c r="F47" s="0" t="n">
        <v>-0.776528789498996</v>
      </c>
    </row>
    <row r="48" customFormat="false" ht="15" hidden="false" customHeight="false" outlineLevel="0" collapsed="false">
      <c r="A48" s="0" t="s">
        <v>96</v>
      </c>
      <c r="B48" s="0" t="n">
        <v>1.51973199934961</v>
      </c>
      <c r="C48" s="0" t="n">
        <v>1.16315080980568</v>
      </c>
      <c r="D48" s="0" t="n">
        <v>0.841567185678218</v>
      </c>
      <c r="E48" s="0" t="n">
        <v>0.553885113226438</v>
      </c>
      <c r="F48" s="0" t="n">
        <v>0.29266961396282</v>
      </c>
    </row>
    <row r="49" customFormat="false" ht="15" hidden="false" customHeight="false" outlineLevel="0" collapsed="false">
      <c r="A49" s="0" t="s">
        <v>98</v>
      </c>
      <c r="B49" s="0" t="n">
        <v>0.211070970079941</v>
      </c>
      <c r="C49" s="0" t="n">
        <v>0.0610950993598108</v>
      </c>
      <c r="D49" s="0" t="n">
        <v>-0.197232169529709</v>
      </c>
      <c r="E49" s="0" t="n">
        <v>-0.287682072451781</v>
      </c>
      <c r="F49" s="0" t="n">
        <v>-0.385662480811985</v>
      </c>
    </row>
    <row r="50" customFormat="false" ht="15" hidden="false" customHeight="false" outlineLevel="0" collapsed="false">
      <c r="A50" s="0" t="s">
        <v>100</v>
      </c>
      <c r="B50" s="0" t="n">
        <v>0.641327431830149</v>
      </c>
      <c r="C50" s="0" t="n">
        <v>0.454889991435687</v>
      </c>
      <c r="D50" s="0" t="n">
        <v>0.140631129739746</v>
      </c>
      <c r="E50" s="0" t="n">
        <v>0.048790164169432</v>
      </c>
      <c r="F50" s="0" t="n">
        <v>-0.0725706928348354</v>
      </c>
    </row>
    <row r="51" customFormat="false" ht="15" hidden="false" customHeight="false" outlineLevel="0" collapsed="false">
      <c r="A51" s="0" t="s">
        <v>102</v>
      </c>
      <c r="B51" s="0" t="n">
        <v>0.404798219120461</v>
      </c>
      <c r="C51" s="0" t="n">
        <v>0.237440856015034</v>
      </c>
      <c r="D51" s="0" t="n">
        <v>-0.0460439385014069</v>
      </c>
      <c r="E51" s="0" t="n">
        <v>-0.150822889734584</v>
      </c>
      <c r="F51" s="0" t="n">
        <v>-0.261364764134407</v>
      </c>
    </row>
    <row r="52" customFormat="false" ht="15" hidden="false" customHeight="false" outlineLevel="0" collapsed="false">
      <c r="A52" s="0" t="s">
        <v>104</v>
      </c>
      <c r="B52" s="0" t="n">
        <v>0.6270073780554</v>
      </c>
      <c r="C52" s="0" t="n">
        <v>0.444685821261446</v>
      </c>
      <c r="D52" s="0" t="n">
        <v>0.136277618292548</v>
      </c>
      <c r="E52" s="0" t="n">
        <v>0.0392207131532813</v>
      </c>
      <c r="F52" s="0" t="n">
        <v>-0.0725706928348354</v>
      </c>
    </row>
    <row r="53" customFormat="false" ht="15" hidden="false" customHeight="false" outlineLevel="0" collapsed="false">
      <c r="A53" s="0" t="s">
        <v>106</v>
      </c>
      <c r="B53" s="0" t="n">
        <v>0.471876873627416</v>
      </c>
      <c r="C53" s="0" t="n">
        <v>0.297879897428227</v>
      </c>
      <c r="D53" s="0" t="n">
        <v>0.00498754151103897</v>
      </c>
      <c r="E53" s="0" t="n">
        <v>-0.105360515657826</v>
      </c>
      <c r="F53" s="0" t="n">
        <v>-0.22314355131421</v>
      </c>
    </row>
    <row r="54" customFormat="false" ht="15" hidden="false" customHeight="false" outlineLevel="0" collapsed="false">
      <c r="A54" s="0" t="s">
        <v>108</v>
      </c>
      <c r="B54" s="0" t="n">
        <v>0.655964389432229</v>
      </c>
      <c r="C54" s="0" t="n">
        <v>0.466873736236808</v>
      </c>
      <c r="D54" s="0" t="n">
        <v>0.150142658429719</v>
      </c>
      <c r="E54" s="0" t="n">
        <v>0.0582689081239758</v>
      </c>
      <c r="F54" s="0" t="n">
        <v>-0.0618754037180875</v>
      </c>
    </row>
    <row r="55" customFormat="false" ht="15" hidden="false" customHeight="false" outlineLevel="0" collapsed="false">
      <c r="A55" s="0" t="s">
        <v>110</v>
      </c>
      <c r="B55" s="0" t="n">
        <v>-0.132046780920332</v>
      </c>
      <c r="C55" s="0" t="n">
        <v>-0.278656261244469</v>
      </c>
      <c r="D55" s="0" t="n">
        <v>-0.41415273650573</v>
      </c>
      <c r="E55" s="0" t="n">
        <v>-0.482886255076749</v>
      </c>
      <c r="F55" s="0" t="n">
        <v>-0.544727175441672</v>
      </c>
    </row>
    <row r="56" customFormat="false" ht="15" hidden="false" customHeight="false" outlineLevel="0" collapsed="false">
      <c r="A56" s="0" t="s">
        <v>112</v>
      </c>
      <c r="B56" s="0" t="n">
        <v>-0.119910296672558</v>
      </c>
      <c r="C56" s="0" t="n">
        <v>-0.0418642040986989</v>
      </c>
      <c r="D56" s="0" t="n">
        <v>-0.436955775199535</v>
      </c>
      <c r="E56" s="0" t="n">
        <v>-0.616186139423817</v>
      </c>
      <c r="F56" s="0" t="n">
        <v>-0.776528789498996</v>
      </c>
    </row>
    <row r="57" customFormat="false" ht="15" hidden="false" customHeight="false" outlineLevel="0" collapsed="false">
      <c r="A57" s="0" t="s">
        <v>114</v>
      </c>
      <c r="B57" s="0" t="n">
        <v>0.881657878379712</v>
      </c>
      <c r="C57" s="0" t="n">
        <v>0.459321780898875</v>
      </c>
      <c r="D57" s="0" t="n">
        <v>0.0818564464698321</v>
      </c>
      <c r="E57" s="0" t="n">
        <v>-0.0304592074847086</v>
      </c>
      <c r="F57" s="0" t="n">
        <v>-0.150822889734584</v>
      </c>
    </row>
    <row r="58" customFormat="false" ht="15" hidden="false" customHeight="false" outlineLevel="0" collapsed="false">
      <c r="A58" s="0" t="s">
        <v>116</v>
      </c>
      <c r="B58" s="0" t="n">
        <v>1.46787434811231</v>
      </c>
      <c r="C58" s="0" t="n">
        <v>1.05779029414786</v>
      </c>
      <c r="D58" s="0" t="n">
        <v>0.891588119233783</v>
      </c>
      <c r="E58" s="0" t="n">
        <v>0.703097511413113</v>
      </c>
      <c r="F58" s="0" t="n">
        <v>0.506817602368452</v>
      </c>
    </row>
    <row r="59" customFormat="false" ht="15" hidden="false" customHeight="false" outlineLevel="0" collapsed="false">
      <c r="A59" s="0" t="s">
        <v>118</v>
      </c>
      <c r="B59" s="0" t="n">
        <v>-0.00904074465214907</v>
      </c>
      <c r="C59" s="0" t="n">
        <v>-0.089924707527987</v>
      </c>
      <c r="D59" s="0" t="n">
        <v>-0.17197526473981</v>
      </c>
      <c r="E59" s="0" t="n">
        <v>-0.2484613592985</v>
      </c>
      <c r="F59" s="0" t="n">
        <v>-0.321583624127462</v>
      </c>
    </row>
    <row r="60" customFormat="false" ht="15" hidden="false" customHeight="false" outlineLevel="0" collapsed="false">
      <c r="A60" s="0" t="s">
        <v>120</v>
      </c>
      <c r="B60" s="0" t="n">
        <v>-1.012801632255</v>
      </c>
      <c r="C60" s="0" t="n">
        <v>-1.10926886885664</v>
      </c>
      <c r="D60" s="0" t="n">
        <v>-1.20430619322717</v>
      </c>
      <c r="E60" s="0" t="n">
        <v>-1.27654349716077</v>
      </c>
      <c r="F60" s="0" t="n">
        <v>-1.34707364796661</v>
      </c>
    </row>
    <row r="61" customFormat="false" ht="15" hidden="false" customHeight="false" outlineLevel="0" collapsed="false">
      <c r="A61" s="0" t="s">
        <v>122</v>
      </c>
      <c r="B61" s="0" t="n">
        <v>0.0907543632684641</v>
      </c>
      <c r="C61" s="0" t="n">
        <v>0.0129162252665462</v>
      </c>
      <c r="D61" s="0" t="n">
        <v>-0.0725706928348354</v>
      </c>
      <c r="E61" s="0" t="n">
        <v>-0.20334092401803</v>
      </c>
      <c r="F61" s="0" t="n">
        <v>-0.331285709933913</v>
      </c>
    </row>
    <row r="62" customFormat="false" ht="15" hidden="false" customHeight="false" outlineLevel="0" collapsed="false">
      <c r="A62" s="0" t="s">
        <v>124</v>
      </c>
      <c r="B62" s="0" t="n">
        <v>1.54734972012068</v>
      </c>
      <c r="C62" s="0" t="n">
        <v>1.17402892795286</v>
      </c>
      <c r="D62" s="0" t="n">
        <v>0.85356390196585</v>
      </c>
      <c r="E62" s="0" t="n">
        <v>0.444685821261446</v>
      </c>
      <c r="F62" s="0" t="n">
        <v>0.3293037471426</v>
      </c>
    </row>
    <row r="63" customFormat="false" ht="15" hidden="false" customHeight="false" outlineLevel="0" collapsed="false">
      <c r="A63" s="0" t="s">
        <v>126</v>
      </c>
      <c r="B63" s="0" t="n">
        <v>0.832039179426564</v>
      </c>
      <c r="C63" s="0" t="n">
        <v>0.514618422004687</v>
      </c>
      <c r="D63" s="0" t="n">
        <v>0.718327479090244</v>
      </c>
      <c r="E63" s="0" t="n">
        <v>0.593326845277734</v>
      </c>
      <c r="F63" s="0" t="n">
        <v>0.512823626428664</v>
      </c>
    </row>
    <row r="64" customFormat="false" ht="15" hidden="false" customHeight="false" outlineLevel="0" collapsed="false">
      <c r="A64" s="0" t="s">
        <v>128</v>
      </c>
      <c r="B64" s="0" t="n">
        <v>1.74571553072665</v>
      </c>
      <c r="C64" s="0" t="n">
        <v>1.62924053973028</v>
      </c>
      <c r="D64" s="0" t="n">
        <v>1.52169899812609</v>
      </c>
      <c r="E64" s="0" t="n">
        <v>1.30019166206648</v>
      </c>
      <c r="F64" s="0" t="n">
        <v>1.04380405217311</v>
      </c>
    </row>
    <row r="65" customFormat="false" ht="15" hidden="false" customHeight="false" outlineLevel="0" collapsed="false">
      <c r="A65" s="0" t="s">
        <v>130</v>
      </c>
      <c r="B65" s="0" t="n">
        <v>2.13771044980381</v>
      </c>
      <c r="C65" s="0" t="n">
        <v>2.01756613796175</v>
      </c>
      <c r="D65" s="0" t="n">
        <v>1.77833644889591</v>
      </c>
      <c r="E65" s="0" t="n">
        <v>1.56024766824333</v>
      </c>
      <c r="F65" s="0" t="n">
        <v>1.35583515363518</v>
      </c>
    </row>
    <row r="66" customFormat="false" ht="15" hidden="false" customHeight="false" outlineLevel="0" collapsed="false">
      <c r="A66" s="0" t="s">
        <v>132</v>
      </c>
      <c r="B66" s="0" t="n">
        <v>-0.198450938723838</v>
      </c>
      <c r="C66" s="0" t="n">
        <v>-0.285018955032297</v>
      </c>
      <c r="D66" s="0" t="n">
        <v>-0.843970070294529</v>
      </c>
      <c r="E66" s="0" t="n">
        <v>-0.916290731874155</v>
      </c>
      <c r="F66" s="0" t="n">
        <v>-0.994252273343867</v>
      </c>
    </row>
    <row r="67" customFormat="false" ht="15" hidden="false" customHeight="false" outlineLevel="0" collapsed="false">
      <c r="A67" s="0" t="s">
        <v>134</v>
      </c>
      <c r="B67" s="0" t="n">
        <v>1.76814960358892</v>
      </c>
      <c r="C67" s="0" t="n">
        <v>1.11841491596429</v>
      </c>
      <c r="D67" s="0" t="n">
        <v>0.593326845277734</v>
      </c>
      <c r="E67" s="0" t="n">
        <v>0.559615787935423</v>
      </c>
      <c r="F67" s="0" t="n">
        <v>-0.301105092783922</v>
      </c>
    </row>
    <row r="68" customFormat="false" ht="15" hidden="false" customHeight="false" outlineLevel="0" collapsed="false">
      <c r="A68" s="0" t="s">
        <v>136</v>
      </c>
      <c r="B68" s="0" t="n">
        <v>0.913486804541421</v>
      </c>
      <c r="C68" s="0" t="n">
        <v>0.713439883827708</v>
      </c>
      <c r="D68" s="0" t="n">
        <v>0.541160823562064</v>
      </c>
      <c r="E68" s="0" t="n">
        <v>0.398776119957368</v>
      </c>
      <c r="F68" s="0" t="n">
        <v>0.262364264467491</v>
      </c>
    </row>
    <row r="69" customFormat="false" ht="15" hidden="false" customHeight="false" outlineLevel="0" collapsed="false">
      <c r="A69" s="0" t="s">
        <v>138</v>
      </c>
      <c r="B69" s="0" t="n">
        <v>-0.228156093137754</v>
      </c>
      <c r="C69" s="0" t="n">
        <v>-0.228156093137754</v>
      </c>
      <c r="D69" s="0" t="n">
        <v>-0.313341819232359</v>
      </c>
      <c r="E69" s="0" t="n">
        <v>-0.415515443961666</v>
      </c>
      <c r="F69" s="0" t="n">
        <v>-0.510825623765991</v>
      </c>
    </row>
    <row r="70" customFormat="false" ht="15" hidden="false" customHeight="false" outlineLevel="0" collapsed="false">
      <c r="A70" s="0" t="s">
        <v>140</v>
      </c>
      <c r="B70" s="0" t="n">
        <v>-0.63487827243597</v>
      </c>
      <c r="C70" s="0" t="n">
        <v>-0.663588378318401</v>
      </c>
      <c r="D70" s="0" t="n">
        <v>-0.721546655081643</v>
      </c>
      <c r="E70" s="0" t="n">
        <v>-0.755022584278033</v>
      </c>
      <c r="F70" s="0" t="n">
        <v>-0.755022584278033</v>
      </c>
    </row>
    <row r="71" customFormat="false" ht="15" hidden="false" customHeight="false" outlineLevel="0" collapsed="false">
      <c r="A71" s="0" t="s">
        <v>142</v>
      </c>
      <c r="B71" s="0" t="n">
        <v>2.30757263450508</v>
      </c>
      <c r="C71" s="0" t="n">
        <v>1.96150224381515</v>
      </c>
      <c r="D71" s="0" t="n">
        <v>1.70110510095992</v>
      </c>
      <c r="E71" s="0" t="n">
        <v>1.70110510095992</v>
      </c>
      <c r="F71" s="0" t="n">
        <v>1.70110510095992</v>
      </c>
    </row>
    <row r="72" customFormat="false" ht="15" hidden="false" customHeight="false" outlineLevel="0" collapsed="false">
      <c r="A72" s="0" t="s">
        <v>144</v>
      </c>
      <c r="B72" s="0" t="n">
        <v>-0.396009949337409</v>
      </c>
      <c r="C72" s="0" t="n">
        <v>-0.614336000135655</v>
      </c>
      <c r="D72" s="0" t="n">
        <v>-1.15201306539523</v>
      </c>
      <c r="E72" s="0" t="n">
        <v>-1.20397280432594</v>
      </c>
      <c r="F72" s="0" t="n">
        <v>-1.34707364796661</v>
      </c>
    </row>
    <row r="73" customFormat="false" ht="15" hidden="false" customHeight="false" outlineLevel="0" collapsed="false">
      <c r="A73" s="0" t="s">
        <v>146</v>
      </c>
      <c r="B73" s="0" t="n">
        <v>1.35325450704169</v>
      </c>
      <c r="C73" s="0" t="n">
        <v>0.60431596685333</v>
      </c>
      <c r="D73" s="0" t="n">
        <v>-0.2484613592985</v>
      </c>
      <c r="E73" s="0" t="n">
        <v>-0.2484613592985</v>
      </c>
      <c r="F73" s="0" t="n">
        <v>-0.2484613592985</v>
      </c>
    </row>
    <row r="74" customFormat="false" ht="15" hidden="false" customHeight="false" outlineLevel="0" collapsed="false">
      <c r="A74" s="0" t="s">
        <v>148</v>
      </c>
      <c r="B74" s="0" t="n">
        <v>2.11866225483312</v>
      </c>
      <c r="C74" s="0" t="n">
        <v>1.87487437593856</v>
      </c>
      <c r="D74" s="0" t="n">
        <v>1.72455071953461</v>
      </c>
      <c r="E74" s="0" t="n">
        <v>1.57897870494939</v>
      </c>
      <c r="F74" s="0" t="n">
        <v>1.51512723296286</v>
      </c>
    </row>
    <row r="75" customFormat="false" ht="15" hidden="false" customHeight="false" outlineLevel="0" collapsed="false">
      <c r="A75" s="0" t="s">
        <v>150</v>
      </c>
      <c r="B75" s="0" t="n">
        <v>2.64084145140876</v>
      </c>
      <c r="C75" s="0" t="n">
        <v>2.44443181722228</v>
      </c>
      <c r="D75" s="0" t="n">
        <v>2.26259608477768</v>
      </c>
      <c r="E75" s="0" t="n">
        <v>2.06432790386979</v>
      </c>
      <c r="F75" s="0" t="n">
        <v>1.74919985480926</v>
      </c>
    </row>
    <row r="76" customFormat="false" ht="15" hidden="false" customHeight="false" outlineLevel="0" collapsed="false">
      <c r="A76" s="0" t="s">
        <v>152</v>
      </c>
      <c r="B76" s="0" t="n">
        <v>3.8308129500026</v>
      </c>
      <c r="C76" s="0" t="n">
        <v>3.61792036517344</v>
      </c>
      <c r="D76" s="0" t="n">
        <v>3.37499028949298</v>
      </c>
      <c r="E76" s="0" t="n">
        <v>3.1267605359604</v>
      </c>
      <c r="F76" s="0" t="n">
        <v>2.9704144655697</v>
      </c>
    </row>
    <row r="77" customFormat="false" ht="15" hidden="false" customHeight="false" outlineLevel="0" collapsed="false">
      <c r="A77" s="0" t="s">
        <v>154</v>
      </c>
      <c r="B77" s="0" t="n">
        <v>0.647103242058538</v>
      </c>
      <c r="C77" s="0" t="n">
        <v>0.404130885095028</v>
      </c>
      <c r="D77" s="0" t="n">
        <v>0.0582689081239758</v>
      </c>
      <c r="E77" s="0" t="n">
        <v>0</v>
      </c>
      <c r="F77" s="0" t="n">
        <v>-0.105360515657826</v>
      </c>
    </row>
    <row r="78" customFormat="false" ht="15" hidden="false" customHeight="false" outlineLevel="0" collapsed="false">
      <c r="A78" s="0" t="s">
        <v>156</v>
      </c>
      <c r="B78" s="0" t="n">
        <v>-0.216913001563575</v>
      </c>
      <c r="C78" s="0" t="n">
        <v>-0.286349627217999</v>
      </c>
      <c r="D78" s="0" t="n">
        <v>-0.352398387171472</v>
      </c>
      <c r="E78" s="0" t="n">
        <v>-0.49429632181478</v>
      </c>
      <c r="F78" s="0" t="n">
        <v>-0.59783700075562</v>
      </c>
    </row>
    <row r="79" customFormat="false" ht="15" hidden="false" customHeight="false" outlineLevel="0" collapsed="false">
      <c r="A79" s="0" t="s">
        <v>158</v>
      </c>
      <c r="B79" s="0" t="n">
        <v>0.720762347592919</v>
      </c>
      <c r="C79" s="0" t="n">
        <v>0.532391401680551</v>
      </c>
      <c r="D79" s="0" t="n">
        <v>0.359072068538454</v>
      </c>
      <c r="E79" s="0" t="n">
        <v>0.22314355131421</v>
      </c>
      <c r="F79" s="0" t="n">
        <v>0.048790164169432</v>
      </c>
    </row>
    <row r="80" customFormat="false" ht="15" hidden="false" customHeight="false" outlineLevel="0" collapsed="false">
      <c r="A80" s="0" t="s">
        <v>160</v>
      </c>
      <c r="B80" s="0" t="n">
        <v>3.68887945411393</v>
      </c>
      <c r="C80" s="0" t="n">
        <v>2.94443897916644</v>
      </c>
      <c r="D80" s="0" t="n">
        <v>2.19499988231411</v>
      </c>
      <c r="E80" s="0" t="n">
        <v>1.98787434815435</v>
      </c>
      <c r="F80" s="0" t="n">
        <v>1.84054963339749</v>
      </c>
    </row>
    <row r="81" customFormat="false" ht="15" hidden="false" customHeight="false" outlineLevel="0" collapsed="false">
      <c r="A81" s="0" t="s">
        <v>162</v>
      </c>
      <c r="B81" s="0" t="n">
        <v>0.866470036890203</v>
      </c>
      <c r="C81" s="0" t="n">
        <v>0.765467842139571</v>
      </c>
      <c r="D81" s="0" t="n">
        <v>0.643431588314012</v>
      </c>
      <c r="E81" s="0" t="n">
        <v>0.559615787935423</v>
      </c>
      <c r="F81" s="0" t="n">
        <v>0.470003629245736</v>
      </c>
    </row>
    <row r="82" customFormat="false" ht="15" hidden="false" customHeight="false" outlineLevel="0" collapsed="false">
      <c r="A82" s="0" t="s">
        <v>164</v>
      </c>
      <c r="B82" s="0" t="n">
        <v>2.96527306606928</v>
      </c>
      <c r="C82" s="0" t="n">
        <v>2.62466859216316</v>
      </c>
      <c r="D82" s="0" t="n">
        <v>2.17133680638409</v>
      </c>
      <c r="E82" s="0" t="n">
        <v>1.89461685466776</v>
      </c>
      <c r="F82" s="0" t="n">
        <v>1.76473079684014</v>
      </c>
    </row>
    <row r="83" customFormat="false" ht="15" hidden="false" customHeight="false" outlineLevel="0" collapsed="false">
      <c r="A83" s="0" t="s">
        <v>166</v>
      </c>
      <c r="B83" s="0" t="n">
        <v>0.68006194101129</v>
      </c>
      <c r="C83" s="0" t="n">
        <v>0.505612056713103</v>
      </c>
      <c r="D83" s="0" t="n">
        <v>0.342880232916543</v>
      </c>
      <c r="E83" s="0" t="n">
        <v>0.19062035960865</v>
      </c>
      <c r="F83" s="0" t="n">
        <v>0.0392207131532813</v>
      </c>
    </row>
    <row r="84" customFormat="false" ht="15" hidden="false" customHeight="false" outlineLevel="0" collapsed="false">
      <c r="A84" s="0" t="s">
        <v>168</v>
      </c>
      <c r="B84" s="0" t="n">
        <v>-0.644928608289471</v>
      </c>
      <c r="C84" s="0" t="n">
        <v>-0.713349887877465</v>
      </c>
      <c r="D84" s="0" t="n">
        <v>-0.834250021537946</v>
      </c>
      <c r="E84" s="0" t="n">
        <v>-0.891598119283784</v>
      </c>
      <c r="F84" s="0" t="n">
        <v>-0.967584026261706</v>
      </c>
    </row>
    <row r="85" customFormat="false" ht="15" hidden="false" customHeight="false" outlineLevel="0" collapsed="false">
      <c r="A85" s="0" t="s">
        <v>170</v>
      </c>
      <c r="B85" s="0" t="n">
        <v>0.746687947487975</v>
      </c>
      <c r="C85" s="0" t="n">
        <v>0.657520002916794</v>
      </c>
      <c r="D85" s="0" t="n">
        <v>0.570979546585738</v>
      </c>
      <c r="E85" s="0" t="n">
        <v>0.405465108108164</v>
      </c>
      <c r="F85" s="0" t="n">
        <v>0.254642218373581</v>
      </c>
    </row>
    <row r="86" customFormat="false" ht="15" hidden="false" customHeight="false" outlineLevel="0" collapsed="false">
      <c r="A86" s="0" t="s">
        <v>172</v>
      </c>
      <c r="B86" s="0" t="n">
        <v>-0.339677367570161</v>
      </c>
      <c r="C86" s="0" t="n">
        <v>-0.396009949337409</v>
      </c>
      <c r="D86" s="0" t="n">
        <v>-0.493640799011888</v>
      </c>
      <c r="E86" s="0" t="n">
        <v>-0.527632742082372</v>
      </c>
      <c r="F86" s="0" t="n">
        <v>-0.59783700075562</v>
      </c>
    </row>
    <row r="87" customFormat="false" ht="15" hidden="false" customHeight="false" outlineLevel="0" collapsed="false">
      <c r="A87" s="0" t="s">
        <v>174</v>
      </c>
      <c r="B87" s="0" t="n">
        <v>1.32175583998232</v>
      </c>
      <c r="C87" s="0" t="n">
        <v>1.22377543162212</v>
      </c>
      <c r="D87" s="0" t="n">
        <v>1.11841491596429</v>
      </c>
      <c r="E87" s="0" t="n">
        <v>1.02961941718116</v>
      </c>
      <c r="F87" s="0" t="n">
        <v>0.932164081030445</v>
      </c>
    </row>
    <row r="88" customFormat="false" ht="15" hidden="false" customHeight="false" outlineLevel="0" collapsed="false">
      <c r="A88" s="0" t="s">
        <v>176</v>
      </c>
      <c r="B88" s="0" t="n">
        <v>0.343589704390077</v>
      </c>
      <c r="C88" s="0" t="n">
        <v>0.29266961396282</v>
      </c>
      <c r="D88" s="0" t="n">
        <v>0.164666621555234</v>
      </c>
      <c r="E88" s="0" t="n">
        <v>-0.0100503358535015</v>
      </c>
      <c r="F88" s="0" t="n">
        <v>-0.162518929497775</v>
      </c>
    </row>
    <row r="89" customFormat="false" ht="15" hidden="false" customHeight="false" outlineLevel="0" collapsed="false">
      <c r="A89" s="0" t="s">
        <v>178</v>
      </c>
      <c r="B89" s="0" t="n">
        <v>-0.84629836005412</v>
      </c>
      <c r="C89" s="0" t="n">
        <v>-1.00785792539965</v>
      </c>
      <c r="D89" s="0" t="n">
        <v>-1.16475209117266</v>
      </c>
      <c r="E89" s="0" t="n">
        <v>-1.23787435600162</v>
      </c>
      <c r="F89" s="0" t="n">
        <v>-1.2837377727948</v>
      </c>
    </row>
    <row r="90" customFormat="false" ht="15" hidden="false" customHeight="false" outlineLevel="0" collapsed="false">
      <c r="A90" s="0" t="s">
        <v>180</v>
      </c>
      <c r="B90" s="0" t="n">
        <v>-0.0833816089390488</v>
      </c>
      <c r="C90" s="0" t="n">
        <v>-0.348140041488895</v>
      </c>
      <c r="D90" s="0" t="n">
        <v>-0.58160580582704</v>
      </c>
      <c r="E90" s="0" t="n">
        <v>-0.653926467406664</v>
      </c>
      <c r="F90" s="0" t="n">
        <v>-0.7339691750802</v>
      </c>
    </row>
    <row r="91" customFormat="false" ht="15" hidden="false" customHeight="false" outlineLevel="0" collapsed="false">
      <c r="A91" s="0" t="s">
        <v>182</v>
      </c>
      <c r="B91" s="0" t="n">
        <v>0.343589704390077</v>
      </c>
      <c r="C91" s="0" t="n">
        <v>0.00498754151103897</v>
      </c>
      <c r="D91" s="0" t="n">
        <v>-0.275753501586507</v>
      </c>
      <c r="E91" s="0" t="n">
        <v>-0.527632742082372</v>
      </c>
      <c r="F91" s="0" t="n">
        <v>-0.713349887877465</v>
      </c>
    </row>
    <row r="92" customFormat="false" ht="15" hidden="false" customHeight="false" outlineLevel="0" collapsed="false">
      <c r="A92" s="0" t="s">
        <v>184</v>
      </c>
      <c r="B92" s="0" t="n">
        <v>0.258510695151501</v>
      </c>
      <c r="C92" s="0" t="n">
        <v>-0.25618340539241</v>
      </c>
      <c r="D92" s="0" t="n">
        <v>-0.719491155899547</v>
      </c>
      <c r="E92" s="0" t="n">
        <v>-0.719491155899547</v>
      </c>
      <c r="F92" s="0" t="n">
        <v>-0.719491155899547</v>
      </c>
    </row>
    <row r="93" customFormat="false" ht="15" hidden="false" customHeight="false" outlineLevel="0" collapsed="false">
      <c r="A93" s="0" t="s">
        <v>186</v>
      </c>
      <c r="B93" s="0" t="n">
        <v>0.105260510657493</v>
      </c>
      <c r="C93" s="0" t="n">
        <v>-0.202116184122134</v>
      </c>
      <c r="D93" s="0" t="n">
        <v>-0.466808738349216</v>
      </c>
      <c r="E93" s="0" t="n">
        <v>-0.616186139423817</v>
      </c>
      <c r="F93" s="0" t="n">
        <v>-0.713349887877465</v>
      </c>
    </row>
    <row r="94" customFormat="false" ht="15" hidden="false" customHeight="false" outlineLevel="0" collapsed="false">
      <c r="A94" s="0" t="s">
        <v>188</v>
      </c>
      <c r="B94" s="0" t="n">
        <v>1.8989682757435</v>
      </c>
      <c r="C94" s="0" t="n">
        <v>1.60321861262018</v>
      </c>
      <c r="D94" s="0" t="n">
        <v>1.33657876887396</v>
      </c>
      <c r="E94" s="0" t="n">
        <v>1.21194097397511</v>
      </c>
      <c r="F94" s="0" t="n">
        <v>1.09192330051731</v>
      </c>
    </row>
    <row r="95" customFormat="false" ht="15" hidden="false" customHeight="false" outlineLevel="0" collapsed="false">
      <c r="A95" s="0" t="s">
        <v>190</v>
      </c>
      <c r="B95" s="0" t="n">
        <v>-1.54177926396029</v>
      </c>
      <c r="C95" s="0" t="n">
        <v>-1.60445037092306</v>
      </c>
      <c r="D95" s="0" t="n">
        <v>-1.6660082639225</v>
      </c>
      <c r="E95" s="0" t="n">
        <v>-1.6660082639225</v>
      </c>
      <c r="F95" s="0" t="n">
        <v>-1.6660082639225</v>
      </c>
    </row>
    <row r="96" customFormat="false" ht="15" hidden="false" customHeight="false" outlineLevel="0" collapsed="false">
      <c r="A96" s="0" t="s">
        <v>192</v>
      </c>
      <c r="B96" s="0" t="n">
        <v>1.23605269778935</v>
      </c>
      <c r="C96" s="0" t="n">
        <v>0.952815506556527</v>
      </c>
      <c r="D96" s="0" t="n">
        <v>0.76964515153267</v>
      </c>
      <c r="E96" s="0" t="n">
        <v>0.647103242058538</v>
      </c>
      <c r="F96" s="0" t="n">
        <v>0.46373401623214</v>
      </c>
    </row>
    <row r="97" customFormat="false" ht="15" hidden="false" customHeight="false" outlineLevel="0" collapsed="false">
      <c r="A97" s="0" t="s">
        <v>194</v>
      </c>
      <c r="B97" s="0" t="n">
        <v>1.29033396997398</v>
      </c>
      <c r="C97" s="0" t="n">
        <v>1.09091608203364</v>
      </c>
      <c r="D97" s="0" t="n">
        <v>0.905431988539279</v>
      </c>
      <c r="E97" s="0" t="n">
        <v>0.727548607277278</v>
      </c>
      <c r="F97" s="0" t="n">
        <v>0.56531380905006</v>
      </c>
    </row>
    <row r="98" customFormat="false" ht="15" hidden="false" customHeight="false" outlineLevel="0" collapsed="false">
      <c r="A98" s="0" t="s">
        <v>196</v>
      </c>
      <c r="B98" s="0" t="n">
        <v>0.162118849476435</v>
      </c>
      <c r="C98" s="0" t="n">
        <v>-0.00400802139753882</v>
      </c>
      <c r="D98" s="0" t="n">
        <v>-0.151986356997882</v>
      </c>
      <c r="E98" s="0" t="n">
        <v>-0.23572233352107</v>
      </c>
      <c r="F98" s="0" t="n">
        <v>-0.342490308946776</v>
      </c>
    </row>
    <row r="99" customFormat="false" ht="15" hidden="false" customHeight="false" outlineLevel="0" collapsed="false">
      <c r="A99" s="0" t="s">
        <v>198</v>
      </c>
      <c r="B99" s="0" t="n">
        <v>0.531804030151182</v>
      </c>
      <c r="C99" s="0" t="n">
        <v>0.448205261784323</v>
      </c>
      <c r="D99" s="0" t="n">
        <v>0.352415887018349</v>
      </c>
      <c r="E99" s="0" t="n">
        <v>0.260824618281898</v>
      </c>
      <c r="F99" s="0" t="n">
        <v>0.139761942375159</v>
      </c>
    </row>
    <row r="100" customFormat="false" ht="15" hidden="false" customHeight="false" outlineLevel="0" collapsed="false">
      <c r="A100" s="0" t="s">
        <v>200</v>
      </c>
      <c r="B100" s="0" t="n">
        <v>0.838977628771485</v>
      </c>
      <c r="C100" s="0" t="n">
        <v>0.660107326481745</v>
      </c>
      <c r="D100" s="0" t="n">
        <v>0.419368013277156</v>
      </c>
      <c r="E100" s="0" t="n">
        <v>0.314810739840034</v>
      </c>
      <c r="F100" s="0" t="n">
        <v>0.207014169384326</v>
      </c>
    </row>
    <row r="101" customFormat="false" ht="15" hidden="false" customHeight="false" outlineLevel="0" collapsed="false">
      <c r="A101" s="0" t="s">
        <v>202</v>
      </c>
      <c r="B101" s="0" t="n">
        <v>0.756121979721334</v>
      </c>
      <c r="C101" s="0" t="n">
        <v>0.502591818838887</v>
      </c>
      <c r="D101" s="0" t="n">
        <v>0.34571510370239</v>
      </c>
      <c r="E101" s="0" t="n">
        <v>0.198850858745165</v>
      </c>
      <c r="F101" s="0" t="n">
        <v>0.0582689081239758</v>
      </c>
    </row>
    <row r="102" customFormat="false" ht="15" hidden="false" customHeight="false" outlineLevel="0" collapsed="false">
      <c r="A102" s="0" t="s">
        <v>204</v>
      </c>
      <c r="B102" s="0" t="n">
        <v>0.0582689081239758</v>
      </c>
      <c r="C102" s="0" t="n">
        <v>-0.100925918589961</v>
      </c>
      <c r="D102" s="0" t="n">
        <v>-0.25231492861449</v>
      </c>
      <c r="E102" s="0" t="n">
        <v>-0.342490308946776</v>
      </c>
      <c r="F102" s="0" t="n">
        <v>-0.446287102628419</v>
      </c>
    </row>
    <row r="103" customFormat="false" ht="15" hidden="false" customHeight="false" outlineLevel="0" collapsed="false">
      <c r="A103" s="0" t="s">
        <v>206</v>
      </c>
      <c r="B103" s="0" t="n">
        <v>1.83098018238134</v>
      </c>
      <c r="C103" s="0" t="n">
        <v>1.68287423050728</v>
      </c>
      <c r="D103" s="0" t="n">
        <v>1.54051646696768</v>
      </c>
      <c r="E103" s="0" t="n">
        <v>1.4036429994545</v>
      </c>
      <c r="F103" s="0" t="n">
        <v>1.27536280041261</v>
      </c>
    </row>
    <row r="104" customFormat="false" ht="15" hidden="false" customHeight="false" outlineLevel="0" collapsed="false">
      <c r="A104" s="0" t="s">
        <v>208</v>
      </c>
      <c r="B104" s="0" t="n">
        <v>0.582774123078575</v>
      </c>
      <c r="C104" s="0" t="n">
        <v>0.211070970079941</v>
      </c>
      <c r="D104" s="0" t="n">
        <v>-0.0812100554255433</v>
      </c>
      <c r="E104" s="0" t="n">
        <v>-0.385662480811985</v>
      </c>
      <c r="F104" s="0" t="n">
        <v>-0.510825623765991</v>
      </c>
    </row>
    <row r="105" customFormat="false" ht="15" hidden="false" customHeight="false" outlineLevel="0" collapsed="false">
      <c r="A105" s="0" t="s">
        <v>210</v>
      </c>
      <c r="B105" s="0" t="n">
        <v>-0.371063681390832</v>
      </c>
      <c r="C105" s="0" t="n">
        <v>-0.400477566597125</v>
      </c>
      <c r="D105" s="0" t="n">
        <v>-0.454130280089445</v>
      </c>
      <c r="E105" s="0" t="n">
        <v>-0.512493680866688</v>
      </c>
      <c r="F105" s="0" t="n">
        <v>-0.570929547835696</v>
      </c>
    </row>
    <row r="106" customFormat="false" ht="15" hidden="false" customHeight="false" outlineLevel="0" collapsed="false">
      <c r="A106" s="0" t="s">
        <v>212</v>
      </c>
      <c r="B106" s="0" t="n">
        <v>-0.105360515657826</v>
      </c>
      <c r="C106" s="0" t="n">
        <v>-0.400477566597125</v>
      </c>
      <c r="D106" s="0" t="n">
        <v>-0.653926467406664</v>
      </c>
      <c r="E106" s="0" t="n">
        <v>-0.763569644856491</v>
      </c>
      <c r="F106" s="0" t="n">
        <v>-0.867500567704723</v>
      </c>
    </row>
    <row r="107" customFormat="false" ht="15" hidden="false" customHeight="false" outlineLevel="0" collapsed="false">
      <c r="A107" s="0" t="s">
        <v>214</v>
      </c>
      <c r="B107" s="0" t="n">
        <v>-0.789658080940789</v>
      </c>
      <c r="C107" s="0" t="n">
        <v>-0.931404369684203</v>
      </c>
      <c r="D107" s="0" t="n">
        <v>-1.04982212449868</v>
      </c>
      <c r="E107" s="0" t="n">
        <v>-1.13943428318836</v>
      </c>
      <c r="F107" s="0" t="n">
        <v>-1.20397280432594</v>
      </c>
    </row>
    <row r="108" customFormat="false" ht="15" hidden="false" customHeight="false" outlineLevel="0" collapsed="false">
      <c r="A108" s="0" t="s">
        <v>216</v>
      </c>
      <c r="B108" s="0" t="n">
        <v>1.41827740697294</v>
      </c>
      <c r="C108" s="0" t="n">
        <v>1.2065694301732</v>
      </c>
      <c r="D108" s="0" t="n">
        <v>1.01160091167848</v>
      </c>
      <c r="E108" s="0" t="n">
        <v>0.824175442966349</v>
      </c>
      <c r="F108" s="0" t="n">
        <v>0.647103242058538</v>
      </c>
    </row>
    <row r="109" customFormat="false" ht="15" hidden="false" customHeight="false" outlineLevel="0" collapsed="false">
      <c r="A109" s="0" t="s">
        <v>218</v>
      </c>
      <c r="B109" s="0" t="n">
        <f aca="false">LN(2.52)</f>
        <v>0.924258901523332</v>
      </c>
      <c r="C109" s="0" t="n">
        <f aca="false">LN(2.12)</f>
        <v>0.751416088683921</v>
      </c>
      <c r="D109" s="0" t="n">
        <f aca="false">LN(1.81)</f>
        <v>0.593326845277734</v>
      </c>
      <c r="E109" s="0" t="n">
        <f aca="false">LN(1.61)</f>
        <v>0.476234178996372</v>
      </c>
      <c r="F109" s="0" t="n">
        <v>0.3293037471426</v>
      </c>
    </row>
    <row r="110" customFormat="false" ht="15" hidden="false" customHeight="false" outlineLevel="0" collapsed="false">
      <c r="A110" s="0" t="s">
        <v>220</v>
      </c>
      <c r="B110" s="0" t="n">
        <v>0.690644050341827</v>
      </c>
      <c r="C110" s="0" t="n">
        <v>0.433728573381024</v>
      </c>
      <c r="D110" s="0" t="n">
        <v>0.195566783543975</v>
      </c>
      <c r="E110" s="0" t="n">
        <v>0.0861776962410524</v>
      </c>
      <c r="F110" s="0" t="n">
        <v>-0.0202027073175195</v>
      </c>
    </row>
    <row r="111" customFormat="false" ht="15" hidden="false" customHeight="false" outlineLevel="0" collapsed="false">
      <c r="A111" s="0" t="s">
        <v>222</v>
      </c>
      <c r="B111" s="0" t="n">
        <v>5.8380219498644</v>
      </c>
      <c r="C111" s="0" t="n">
        <v>2.05923883436232</v>
      </c>
      <c r="D111" s="0" t="n">
        <v>-0.208254938820459</v>
      </c>
      <c r="E111" s="0" t="n">
        <v>-0.693147180559945</v>
      </c>
      <c r="F111" s="0" t="n">
        <v>-0.967584026261706</v>
      </c>
    </row>
    <row r="112" customFormat="false" ht="15" hidden="false" customHeight="false" outlineLevel="0" collapsed="false">
      <c r="A112" s="0" t="s">
        <v>224</v>
      </c>
      <c r="B112" s="0" t="n">
        <v>2.45358796653057</v>
      </c>
      <c r="C112" s="0" t="n">
        <v>0.928219302739429</v>
      </c>
      <c r="D112" s="0" t="n">
        <v>-0.555125882662571</v>
      </c>
      <c r="E112" s="0" t="n">
        <v>-0.975510091534126</v>
      </c>
      <c r="F112" s="0" t="n">
        <v>-1.13943428318836</v>
      </c>
    </row>
    <row r="113" customFormat="false" ht="15" hidden="false" customHeight="false" outlineLevel="0" collapsed="false">
      <c r="A113" s="0" t="s">
        <v>8</v>
      </c>
      <c r="B113" s="0" t="n">
        <v>3.23553626576131</v>
      </c>
      <c r="C113" s="0" t="n">
        <v>2.45444744230329</v>
      </c>
      <c r="D113" s="0" t="n">
        <v>1.72151581583945</v>
      </c>
      <c r="E113" s="0" t="n">
        <v>0.845868267577609</v>
      </c>
      <c r="F113" s="0" t="n">
        <v>0.615185639090234</v>
      </c>
    </row>
    <row r="114" customFormat="false" ht="15" hidden="false" customHeight="false" outlineLevel="0" collapsed="false">
      <c r="A114" s="0" t="s">
        <v>10</v>
      </c>
      <c r="B114" s="0" t="n">
        <v>2.90799335924598</v>
      </c>
      <c r="C114" s="0" t="n">
        <v>2.26072088889535</v>
      </c>
      <c r="D114" s="0" t="n">
        <v>1.89761985992753</v>
      </c>
      <c r="E114" s="0" t="n">
        <v>1.57691472072854</v>
      </c>
      <c r="F114" s="0" t="n">
        <v>1.29198368164865</v>
      </c>
    </row>
    <row r="115" customFormat="false" ht="15" hidden="false" customHeight="false" outlineLevel="0" collapsed="false">
      <c r="A115" s="0" t="s">
        <v>226</v>
      </c>
      <c r="B115" s="0" t="n">
        <v>0.988425329633354</v>
      </c>
      <c r="C115" s="0" t="n">
        <v>0.786182046527135</v>
      </c>
      <c r="D115" s="0" t="n">
        <v>0.594431207620788</v>
      </c>
      <c r="E115" s="0" t="n">
        <v>0.412109650826833</v>
      </c>
      <c r="F115" s="0" t="n">
        <v>0.2390169004705</v>
      </c>
    </row>
    <row r="116" customFormat="false" ht="15" hidden="false" customHeight="false" outlineLevel="0" collapsed="false">
      <c r="A116" s="0" t="s">
        <v>20</v>
      </c>
      <c r="B116" s="0" t="n">
        <v>4.3380747471447</v>
      </c>
      <c r="C116" s="0" t="n">
        <v>1.61541998411165</v>
      </c>
      <c r="D116" s="0" t="n">
        <v>-0.322963886596421</v>
      </c>
      <c r="E116" s="0" t="n">
        <v>-0.789658080940789</v>
      </c>
      <c r="F116" s="0" t="n">
        <v>-1.07880966137193</v>
      </c>
    </row>
    <row r="117" customFormat="false" ht="15" hidden="false" customHeight="false" outlineLevel="0" collapsed="false">
      <c r="A117" s="0" t="s">
        <v>228</v>
      </c>
      <c r="B117" s="0" t="n">
        <v>2.85359250639287</v>
      </c>
      <c r="C117" s="0" t="n">
        <v>1.10525683138678</v>
      </c>
      <c r="D117" s="0" t="n">
        <v>-0.505838082254952</v>
      </c>
      <c r="E117" s="0" t="n">
        <v>-0.505838082254952</v>
      </c>
      <c r="F117" s="0" t="n">
        <v>-0.505838082254952</v>
      </c>
    </row>
    <row r="118" customFormat="false" ht="15" hidden="false" customHeight="false" outlineLevel="0" collapsed="false">
      <c r="A118" s="0" t="s">
        <v>24</v>
      </c>
      <c r="B118" s="0" t="n">
        <v>3.80976877138939</v>
      </c>
      <c r="C118" s="0" t="n">
        <v>1.42069578783722</v>
      </c>
      <c r="D118" s="0" t="n">
        <v>-0.379797361359586</v>
      </c>
      <c r="E118" s="0" t="n">
        <v>-0.379797361359586</v>
      </c>
      <c r="F118" s="0" t="n">
        <v>-0.379797361359586</v>
      </c>
    </row>
    <row r="119" customFormat="false" ht="15" hidden="false" customHeight="false" outlineLevel="0" collapsed="false">
      <c r="A119" s="0" t="s">
        <v>230</v>
      </c>
      <c r="B119" s="0" t="n">
        <v>2.97399778140799</v>
      </c>
      <c r="C119" s="0" t="n">
        <v>1.26694760348732</v>
      </c>
      <c r="D119" s="0" t="n">
        <v>-0.32989392126109</v>
      </c>
      <c r="E119" s="0" t="n">
        <v>-0.32989392126109</v>
      </c>
      <c r="F119" s="0" t="n">
        <v>-0.32989392126109</v>
      </c>
    </row>
    <row r="120" customFormat="false" ht="15" hidden="false" customHeight="false" outlineLevel="0" collapsed="false">
      <c r="A120" s="0" t="s">
        <v>232</v>
      </c>
      <c r="B120" s="0" t="n">
        <v>5.74027511101523</v>
      </c>
      <c r="C120" s="0" t="n">
        <v>2.00821403239147</v>
      </c>
      <c r="D120" s="0" t="n">
        <v>-0.283690051182243</v>
      </c>
      <c r="E120" s="0" t="n">
        <v>-0.75928698306449</v>
      </c>
      <c r="F120" s="0" t="n">
        <v>-0.916290731874155</v>
      </c>
    </row>
    <row r="121" customFormat="false" ht="15" hidden="false" customHeight="false" outlineLevel="0" collapsed="false">
      <c r="A121" s="0" t="s">
        <v>234</v>
      </c>
      <c r="B121" s="0" t="n">
        <v>3.03399098567108</v>
      </c>
      <c r="C121" s="0" t="n">
        <v>2.30956070673047</v>
      </c>
      <c r="D121" s="0" t="n">
        <v>1.62531126159039</v>
      </c>
      <c r="E121" s="0" t="n">
        <v>0.819779831493311</v>
      </c>
      <c r="F121" s="0" t="n">
        <v>0.468126869232875</v>
      </c>
    </row>
    <row r="122" customFormat="false" ht="15" hidden="false" customHeight="false" outlineLevel="0" collapsed="false">
      <c r="A122" s="0" t="s">
        <v>236</v>
      </c>
      <c r="B122" s="0" t="n">
        <v>2.74730937505433</v>
      </c>
      <c r="C122" s="0" t="n">
        <v>2.4651205223557</v>
      </c>
      <c r="D122" s="0" t="n">
        <v>2.00247950054321</v>
      </c>
      <c r="E122" s="0" t="n">
        <v>1.65057985576528</v>
      </c>
      <c r="F122" s="0" t="n">
        <v>1.31640823365572</v>
      </c>
    </row>
    <row r="123" customFormat="false" ht="15" hidden="false" customHeight="false" outlineLevel="0" collapsed="false">
      <c r="A123" s="0" t="s">
        <v>60</v>
      </c>
      <c r="B123" s="0" t="n">
        <v>1.33289358439278</v>
      </c>
      <c r="C123" s="0" t="n">
        <v>0.801104322065038</v>
      </c>
      <c r="D123" s="0" t="n">
        <v>0.394067063155795</v>
      </c>
      <c r="E123" s="0" t="n">
        <v>0.198850858745165</v>
      </c>
      <c r="F123" s="0" t="n">
        <v>0.0676586484738149</v>
      </c>
    </row>
    <row r="124" customFormat="false" ht="15" hidden="false" customHeight="false" outlineLevel="0" collapsed="false">
      <c r="A124" s="0" t="s">
        <v>62</v>
      </c>
      <c r="B124" s="0" t="n">
        <v>2.2364452904895</v>
      </c>
      <c r="C124" s="0" t="n">
        <v>-0.0910193983871685</v>
      </c>
      <c r="D124" s="0" t="n">
        <v>-0.586986984731555</v>
      </c>
      <c r="E124" s="0" t="n">
        <v>-0.586986984731555</v>
      </c>
      <c r="F124" s="0" t="n">
        <v>-0.586986984731555</v>
      </c>
    </row>
    <row r="125" customFormat="false" ht="15" hidden="false" customHeight="false" outlineLevel="0" collapsed="false">
      <c r="A125" s="0" t="s">
        <v>238</v>
      </c>
      <c r="B125" s="0" t="n">
        <v>3.3826939100976</v>
      </c>
      <c r="C125" s="0" t="n">
        <v>2.71800053195538</v>
      </c>
      <c r="D125" s="0" t="n">
        <v>2.0697699219831</v>
      </c>
      <c r="E125" s="0" t="n">
        <v>2.0697699219831</v>
      </c>
      <c r="F125" s="0" t="n">
        <v>2.0697699219831</v>
      </c>
    </row>
    <row r="126" customFormat="false" ht="15" hidden="false" customHeight="false" outlineLevel="0" collapsed="false">
      <c r="A126" s="0" t="s">
        <v>240</v>
      </c>
      <c r="B126" s="0" t="n">
        <v>3.83044194843515</v>
      </c>
      <c r="C126" s="0" t="n">
        <v>2.389230569717</v>
      </c>
      <c r="D126" s="0" t="n">
        <v>1.43548920530008</v>
      </c>
      <c r="E126" s="0" t="n">
        <v>1.43548920530008</v>
      </c>
      <c r="F126" s="0" t="n">
        <v>1.43548920530008</v>
      </c>
    </row>
    <row r="127" customFormat="false" ht="15" hidden="false" customHeight="false" outlineLevel="0" collapsed="false">
      <c r="A127" s="0" t="s">
        <v>124</v>
      </c>
      <c r="B127" s="0" t="n">
        <v>1.54734972012068</v>
      </c>
      <c r="C127" s="0" t="n">
        <v>1.17402892795286</v>
      </c>
      <c r="D127" s="0" t="n">
        <v>0.85356390196585</v>
      </c>
      <c r="E127" s="0" t="n">
        <v>0.570979546585738</v>
      </c>
      <c r="F127" s="0" t="n">
        <v>0.3293037471426</v>
      </c>
    </row>
    <row r="128" customFormat="false" ht="15" hidden="false" customHeight="false" outlineLevel="0" collapsed="false">
      <c r="A128" s="0" t="s">
        <v>242</v>
      </c>
      <c r="B128" s="0" t="n">
        <f aca="false">LN(0.364)</f>
        <v>-1.0106014113454</v>
      </c>
      <c r="C128" s="0" t="n">
        <f aca="false">LN(0.333)</f>
        <v>-1.09961278900169</v>
      </c>
      <c r="D128" s="0" t="n">
        <f aca="false">LN(0.335)</f>
        <v>-1.09362474715707</v>
      </c>
      <c r="E128" s="0" t="n">
        <f aca="false">LN(0.338)</f>
        <v>-1.08470938349912</v>
      </c>
      <c r="F128" s="0" t="n">
        <f aca="false">LN(0.299)</f>
        <v>-1.20731170559145</v>
      </c>
    </row>
    <row r="129" customFormat="false" ht="15" hidden="false" customHeight="false" outlineLevel="0" collapsed="false">
      <c r="A129" s="0" t="s">
        <v>244</v>
      </c>
      <c r="B129" s="0" t="n">
        <v>1.31103187661934</v>
      </c>
      <c r="C129" s="0" t="n">
        <v>0.584447763636604</v>
      </c>
      <c r="D129" s="0" t="n">
        <v>0.048790164169432</v>
      </c>
      <c r="E129" s="0" t="n">
        <v>-0.174353387144778</v>
      </c>
      <c r="F129" s="0" t="n">
        <v>-0.356674943938732</v>
      </c>
    </row>
    <row r="130" customFormat="false" ht="15" hidden="false" customHeight="false" outlineLevel="0" collapsed="false">
      <c r="A130" s="0" t="s">
        <v>246</v>
      </c>
      <c r="B130" s="0" t="n">
        <v>2.50878592357794</v>
      </c>
      <c r="C130" s="0" t="n">
        <v>1.95231814535064</v>
      </c>
      <c r="D130" s="0" t="n">
        <v>1.37977314412963</v>
      </c>
      <c r="E130" s="0" t="n">
        <v>1.17865499634165</v>
      </c>
      <c r="F130" s="0" t="n">
        <v>0.993251773010283</v>
      </c>
    </row>
    <row r="131" customFormat="false" ht="15" hidden="false" customHeight="false" outlineLevel="0" collapsed="false">
      <c r="A131" s="0" t="s">
        <v>248</v>
      </c>
      <c r="B131" s="0" t="n">
        <v>2.04510886259933</v>
      </c>
      <c r="C131" s="0" t="n">
        <v>1.69249146756939</v>
      </c>
      <c r="D131" s="0" t="n">
        <v>1.36353737399727</v>
      </c>
      <c r="E131" s="0" t="n">
        <v>1.19392246847243</v>
      </c>
      <c r="F131" s="0" t="n">
        <v>1.01160091167848</v>
      </c>
    </row>
    <row r="132" customFormat="false" ht="15" hidden="false" customHeight="false" outlineLevel="0" collapsed="false">
      <c r="A132" s="0" t="s">
        <v>250</v>
      </c>
      <c r="B132" s="0" t="n">
        <v>2.47989410796446</v>
      </c>
      <c r="C132" s="0" t="n">
        <v>1.99877363861238</v>
      </c>
      <c r="D132" s="0" t="n">
        <v>1.85269776733314</v>
      </c>
      <c r="E132" s="0" t="n">
        <v>1.85269776733314</v>
      </c>
      <c r="F132" s="0" t="n">
        <v>1.85269776733314</v>
      </c>
    </row>
    <row r="133" customFormat="false" ht="15" hidden="false" customHeight="false" outlineLevel="0" collapsed="false">
      <c r="A133" s="0" t="s">
        <v>252</v>
      </c>
      <c r="B133" s="0" t="n">
        <v>0.721686045366366</v>
      </c>
      <c r="C133" s="0" t="n">
        <v>0.624654184114645</v>
      </c>
      <c r="D133" s="0" t="n">
        <v>0.528331497895656</v>
      </c>
      <c r="E133" s="0" t="n">
        <v>0.528331497895656</v>
      </c>
      <c r="F133" s="0" t="n">
        <v>0.528331497895656</v>
      </c>
    </row>
    <row r="134" customFormat="false" ht="15" hidden="false" customHeight="false" outlineLevel="0" collapsed="false">
      <c r="A134" s="0" t="s">
        <v>254</v>
      </c>
      <c r="B134" s="0" t="n">
        <v>0.432107039054585</v>
      </c>
      <c r="C134" s="0" t="n">
        <v>0.250914348259566</v>
      </c>
      <c r="D134" s="0" t="n">
        <v>0.344865485979235</v>
      </c>
      <c r="E134" s="0" t="n">
        <v>0.344865485979235</v>
      </c>
      <c r="F134" s="0" t="n">
        <v>0.344865485979235</v>
      </c>
    </row>
    <row r="135" customFormat="false" ht="15" hidden="false" customHeight="false" outlineLevel="0" collapsed="false">
      <c r="A135" s="0" t="s">
        <v>256</v>
      </c>
      <c r="B135" s="0" t="n">
        <v>0.691145177889272</v>
      </c>
      <c r="C135" s="0" t="n">
        <v>0.5031965966015</v>
      </c>
      <c r="D135" s="0" t="n">
        <v>0.333611004340181</v>
      </c>
      <c r="E135" s="0" t="n">
        <v>0.333611004340181</v>
      </c>
      <c r="F135" s="0" t="n">
        <v>0.333611004340181</v>
      </c>
    </row>
    <row r="136" customFormat="false" ht="15" hidden="false" customHeight="false" outlineLevel="0" collapsed="false">
      <c r="A136" s="0" t="s">
        <v>258</v>
      </c>
      <c r="B136" s="0" t="n">
        <v>2.62437869507459</v>
      </c>
      <c r="C136" s="0" t="n">
        <v>2.10449994102061</v>
      </c>
      <c r="D136" s="0" t="n">
        <v>1.91102289005487</v>
      </c>
      <c r="E136" s="0" t="n">
        <v>1.26129787094521</v>
      </c>
      <c r="F136" s="0" t="n">
        <v>1.03318448334565</v>
      </c>
    </row>
    <row r="137" customFormat="false" ht="15" hidden="false" customHeight="false" outlineLevel="0" collapsed="false">
      <c r="A137" s="0" t="s">
        <v>260</v>
      </c>
      <c r="B137" s="0" t="n">
        <v>4.46193587190217</v>
      </c>
      <c r="C137" s="0" t="n">
        <v>4.11108367822638</v>
      </c>
      <c r="D137" s="0" t="n">
        <v>3.48838985336426</v>
      </c>
      <c r="E137" s="0" t="n">
        <v>3.1929424428417</v>
      </c>
      <c r="F137" s="0" t="n">
        <v>2.87356463957978</v>
      </c>
    </row>
    <row r="138" customFormat="false" ht="15" hidden="false" customHeight="false" outlineLevel="0" collapsed="false">
      <c r="A138" s="0" t="s">
        <v>262</v>
      </c>
      <c r="B138" s="0" t="n">
        <v>2.82078347108945</v>
      </c>
      <c r="C138" s="0" t="n">
        <v>2.68580459215489</v>
      </c>
      <c r="D138" s="0" t="n">
        <v>2.50959926237837</v>
      </c>
      <c r="E138" s="0" t="n">
        <v>2.03470564783844</v>
      </c>
      <c r="F138" s="0" t="n">
        <v>1.52388002407245</v>
      </c>
    </row>
    <row r="139" customFormat="false" ht="15" hidden="false" customHeight="false" outlineLevel="0" collapsed="false">
      <c r="A139" s="0" t="s">
        <v>264</v>
      </c>
      <c r="B139" s="0" t="n">
        <v>0.245296355955343</v>
      </c>
      <c r="C139" s="0" t="n">
        <v>0.0535407669280298</v>
      </c>
      <c r="D139" s="0" t="n">
        <v>-0.0629397997738742</v>
      </c>
      <c r="E139" s="0" t="n">
        <v>-0.186329578191493</v>
      </c>
      <c r="F139" s="0" t="n">
        <v>-0.287682072451781</v>
      </c>
    </row>
    <row r="140" customFormat="false" ht="15" hidden="false" customHeight="false" outlineLevel="0" collapsed="false">
      <c r="A140" s="0" t="s">
        <v>266</v>
      </c>
      <c r="B140" s="0" t="n">
        <v>0.438899884194402</v>
      </c>
      <c r="C140" s="0" t="n">
        <v>0.176471143115779</v>
      </c>
      <c r="D140" s="0" t="n">
        <v>0</v>
      </c>
      <c r="E140" s="0" t="n">
        <v>-0.150822889734584</v>
      </c>
      <c r="F140" s="0" t="n">
        <v>-0.3147107448397</v>
      </c>
    </row>
    <row r="141" customFormat="false" ht="15" hidden="false" customHeight="false" outlineLevel="0" collapsed="false">
      <c r="A141" s="0" t="s">
        <v>268</v>
      </c>
      <c r="B141" s="0" t="n">
        <v>4.27485893148035</v>
      </c>
      <c r="C141" s="0" t="n">
        <v>3.62966009445396</v>
      </c>
      <c r="D141" s="0" t="n">
        <v>3.06758771065442</v>
      </c>
      <c r="E141" s="0" t="n">
        <v>2.85647020622048</v>
      </c>
      <c r="F141" s="0" t="n">
        <v>2.58776403522771</v>
      </c>
    </row>
    <row r="142" customFormat="false" ht="15" hidden="false" customHeight="false" outlineLevel="0" collapsed="false">
      <c r="A142" s="0" t="s">
        <v>270</v>
      </c>
      <c r="B142" s="0" t="n">
        <v>3.91202300542815</v>
      </c>
      <c r="C142" s="0" t="n">
        <v>3.59456877464269</v>
      </c>
      <c r="D142" s="0" t="n">
        <v>3.28877495224787</v>
      </c>
      <c r="E142" s="0" t="n">
        <v>3.09783749649114</v>
      </c>
      <c r="F142" s="0" t="n">
        <v>2.86733055874947</v>
      </c>
    </row>
    <row r="143" customFormat="false" ht="15" hidden="false" customHeight="false" outlineLevel="0" collapsed="false">
      <c r="A143" s="0" t="s">
        <v>272</v>
      </c>
      <c r="B143" s="0" t="n">
        <v>4.40060302024682</v>
      </c>
      <c r="C143" s="0" t="n">
        <v>3.39450839351136</v>
      </c>
      <c r="D143" s="0" t="n">
        <v>2.40694510831829</v>
      </c>
      <c r="E143" s="0" t="n">
        <v>1.65632149833295</v>
      </c>
      <c r="F143" s="0" t="n">
        <v>1.09861228866811</v>
      </c>
    </row>
    <row r="144" customFormat="false" ht="15" hidden="false" customHeight="false" outlineLevel="0" collapsed="false">
      <c r="A144" s="0" t="s">
        <v>152</v>
      </c>
      <c r="B144" s="0" t="n">
        <v>3.8308129500026</v>
      </c>
      <c r="C144" s="0" t="n">
        <v>3.61792036517344</v>
      </c>
      <c r="D144" s="0" t="n">
        <v>3.37499028949298</v>
      </c>
      <c r="E144" s="0" t="n">
        <v>3.13549421592915</v>
      </c>
      <c r="F144" s="0" t="n">
        <v>2.94338579318178</v>
      </c>
    </row>
    <row r="145" customFormat="false" ht="15" hidden="false" customHeight="false" outlineLevel="0" collapsed="false">
      <c r="A145" s="0" t="s">
        <v>160</v>
      </c>
      <c r="B145" s="0" t="n">
        <v>3.68887945411393</v>
      </c>
      <c r="C145" s="0" t="n">
        <v>2.94443897916644</v>
      </c>
      <c r="D145" s="0" t="n">
        <v>2.19499988231411</v>
      </c>
      <c r="E145" s="0" t="n">
        <v>1.84054963339749</v>
      </c>
      <c r="F145" s="0" t="n">
        <v>1.61938824328727</v>
      </c>
    </row>
    <row r="146" customFormat="false" ht="15" hidden="false" customHeight="false" outlineLevel="0" collapsed="false">
      <c r="A146" s="0" t="s">
        <v>176</v>
      </c>
      <c r="B146" s="0" t="n">
        <v>0.343589704390077</v>
      </c>
      <c r="C146" s="0" t="n">
        <v>0.29266961396282</v>
      </c>
      <c r="D146" s="0" t="n">
        <v>0.164666621555234</v>
      </c>
      <c r="E146" s="0" t="n">
        <v>-0.0100503358535015</v>
      </c>
      <c r="F146" s="0" t="n">
        <v>-0.162518929497775</v>
      </c>
    </row>
    <row r="147" customFormat="false" ht="15" hidden="false" customHeight="false" outlineLevel="0" collapsed="false">
      <c r="A147" s="0" t="s">
        <v>200</v>
      </c>
      <c r="B147" s="0" t="n">
        <v>0.838977628771485</v>
      </c>
      <c r="C147" s="0" t="n">
        <v>0.660107326481745</v>
      </c>
      <c r="D147" s="0" t="n">
        <v>0.419368013277156</v>
      </c>
      <c r="E147" s="0" t="n">
        <v>0.314810739840034</v>
      </c>
      <c r="F147" s="0" t="n">
        <v>0.207014169384326</v>
      </c>
    </row>
    <row r="148" customFormat="false" ht="15" hidden="false" customHeight="false" outlineLevel="0" collapsed="false">
      <c r="A148" s="0" t="s">
        <v>202</v>
      </c>
      <c r="B148" s="0" t="n">
        <v>0.756121979721334</v>
      </c>
      <c r="C148" s="0" t="n">
        <v>0.502591818838887</v>
      </c>
      <c r="D148" s="0" t="n">
        <v>0.34571510370239</v>
      </c>
      <c r="E148" s="0" t="n">
        <v>0.198850858745165</v>
      </c>
      <c r="F148" s="0" t="n">
        <v>0.0582689081239758</v>
      </c>
    </row>
    <row r="149" customFormat="false" ht="15" hidden="false" customHeight="false" outlineLevel="0" collapsed="false">
      <c r="A149" s="0" t="s">
        <v>274</v>
      </c>
      <c r="B149" s="0" t="n">
        <v>6.5</v>
      </c>
      <c r="C149" s="0" t="n">
        <v>4.65396035015752</v>
      </c>
      <c r="D149" s="0" t="n">
        <v>2.77258872223978</v>
      </c>
      <c r="E149" s="0" t="n">
        <v>2.77258872223978</v>
      </c>
      <c r="F149" s="0" t="n">
        <v>2.77258872223978</v>
      </c>
    </row>
    <row r="150" customFormat="false" ht="15" hidden="false" customHeight="false" outlineLevel="0" collapsed="false">
      <c r="A150" s="0" t="s">
        <v>276</v>
      </c>
      <c r="B150" s="0" t="n">
        <v>1.79840401194672</v>
      </c>
      <c r="C150" s="0" t="n">
        <v>1.5830939370945</v>
      </c>
      <c r="D150" s="0" t="n">
        <v>1.39624469197306</v>
      </c>
      <c r="E150" s="0" t="n">
        <v>1.22377543162212</v>
      </c>
      <c r="F150" s="0" t="n">
        <v>1.02961941718116</v>
      </c>
    </row>
    <row r="151" customFormat="false" ht="15" hidden="false" customHeight="false" outlineLevel="0" collapsed="false">
      <c r="A151" s="0" t="s">
        <v>220</v>
      </c>
      <c r="B151" s="0" t="n">
        <v>0.690644050341827</v>
      </c>
      <c r="C151" s="0" t="n">
        <v>0.433728573381024</v>
      </c>
      <c r="D151" s="0" t="n">
        <v>0.195566783543975</v>
      </c>
      <c r="E151" s="0" t="n">
        <v>0.122217632724249</v>
      </c>
      <c r="F151" s="0" t="n">
        <v>-0.0408219945202552</v>
      </c>
    </row>
    <row r="152" customFormat="false" ht="15" hidden="false" customHeight="false" outlineLevel="0" collapsed="false">
      <c r="A152" s="8" t="s">
        <v>278</v>
      </c>
      <c r="B152" s="8" t="n">
        <v>1.48613969608961</v>
      </c>
      <c r="C152" s="8" t="n">
        <v>1.38128181929635</v>
      </c>
      <c r="D152" s="8" t="n">
        <v>1.04380405217311</v>
      </c>
      <c r="E152" s="8" t="n">
        <v>0.943905898907128</v>
      </c>
      <c r="F152" s="8" t="n">
        <v>0.845868267577609</v>
      </c>
    </row>
    <row r="153" customFormat="false" ht="15" hidden="false" customHeight="false" outlineLevel="0" collapsed="false">
      <c r="A153" s="0" t="s">
        <v>280</v>
      </c>
      <c r="B153" s="0" t="n">
        <v>1.69175495492331</v>
      </c>
      <c r="C153" s="0" t="n">
        <v>1.43078960100644</v>
      </c>
      <c r="D153" s="0" t="n">
        <v>1.09225881469593</v>
      </c>
      <c r="E153" s="0" t="n">
        <v>0.951657875711446</v>
      </c>
      <c r="F153" s="0" t="n">
        <v>0.746687947487975</v>
      </c>
    </row>
    <row r="154" customFormat="false" ht="15" hidden="false" customHeight="false" outlineLevel="0" collapsed="false">
      <c r="A154" s="0" t="s">
        <v>282</v>
      </c>
      <c r="B154" s="0" t="n">
        <v>0.799307376388336</v>
      </c>
      <c r="C154" s="0" t="n">
        <v>0.556181325486788</v>
      </c>
      <c r="D154" s="0" t="n">
        <v>0.266203040774657</v>
      </c>
      <c r="E154" s="0" t="n">
        <v>0.104360015324243</v>
      </c>
      <c r="F154" s="0" t="n">
        <v>-0.0304592074847086</v>
      </c>
    </row>
    <row r="155" customFormat="false" ht="15" hidden="false" customHeight="false" outlineLevel="0" collapsed="false">
      <c r="A155" s="0" t="s">
        <v>284</v>
      </c>
      <c r="B155" s="0" t="n">
        <v>2.10681348847569</v>
      </c>
      <c r="C155" s="0" t="n">
        <v>1.92483242345242</v>
      </c>
      <c r="D155" s="0" t="n">
        <v>1.45067662004916</v>
      </c>
      <c r="E155" s="0" t="n">
        <v>1.45067662004916</v>
      </c>
      <c r="F155" s="0" t="n">
        <v>1.45067662004916</v>
      </c>
    </row>
    <row r="156" customFormat="false" ht="15" hidden="false" customHeight="false" outlineLevel="0" collapsed="false">
      <c r="A156" s="0" t="s">
        <v>286</v>
      </c>
      <c r="B156" s="0" t="n">
        <v>3.02626147858881</v>
      </c>
      <c r="C156" s="0" t="n">
        <v>2.6748380668961</v>
      </c>
      <c r="D156" s="0" t="n">
        <v>2.35042242240821</v>
      </c>
      <c r="E156" s="0" t="n">
        <v>2.0515563381903</v>
      </c>
      <c r="F156" s="0" t="n">
        <v>1.77664583141801</v>
      </c>
    </row>
    <row r="157" customFormat="false" ht="15" hidden="false" customHeight="false" outlineLevel="0" collapsed="false">
      <c r="A157" s="0" t="s">
        <v>288</v>
      </c>
      <c r="B157" s="0" t="n">
        <v>2.32434658477556</v>
      </c>
      <c r="C157" s="0" t="n">
        <v>2.00148000021012</v>
      </c>
      <c r="D157" s="0" t="n">
        <v>1.70456625752568</v>
      </c>
      <c r="E157" s="0" t="n">
        <v>1.28923264827676</v>
      </c>
      <c r="F157" s="0" t="n">
        <v>0.593326845277734</v>
      </c>
    </row>
    <row r="158" customFormat="false" ht="15" hidden="false" customHeight="false" outlineLevel="0" collapsed="false">
      <c r="A158" s="0" t="s">
        <v>290</v>
      </c>
      <c r="B158" s="0" t="n">
        <v>3.70595778564869</v>
      </c>
      <c r="C158" s="0" t="n">
        <v>3.38506799973227</v>
      </c>
      <c r="D158" s="0" t="n">
        <v>2.82967768922391</v>
      </c>
      <c r="E158" s="0" t="n">
        <v>2.36085400111802</v>
      </c>
      <c r="F158" s="0" t="n">
        <v>2.04122032885964</v>
      </c>
    </row>
    <row r="159" customFormat="false" ht="15" hidden="false" customHeight="false" outlineLevel="0" collapsed="false">
      <c r="A159" s="0" t="s">
        <v>292</v>
      </c>
      <c r="B159" s="0" t="n">
        <v>1.34129699518916</v>
      </c>
      <c r="C159" s="0" t="n">
        <v>1.08822519578162</v>
      </c>
      <c r="D159" s="0" t="n">
        <v>0.762673243208556</v>
      </c>
      <c r="E159" s="0" t="n">
        <v>0.662687973075237</v>
      </c>
      <c r="F159" s="0" t="n">
        <v>0.482426149244293</v>
      </c>
    </row>
    <row r="160" customFormat="false" ht="15" hidden="false" customHeight="false" outlineLevel="0" collapsed="false">
      <c r="A160" s="0" t="s">
        <v>294</v>
      </c>
      <c r="B160" s="0" t="n">
        <v>1.02173124433215</v>
      </c>
      <c r="C160" s="0" t="n">
        <v>0.776568788699018</v>
      </c>
      <c r="D160" s="0" t="n">
        <v>0.466246580368023</v>
      </c>
      <c r="E160" s="0" t="n">
        <v>0.285178942233662</v>
      </c>
      <c r="F160" s="0" t="n">
        <v>0.157003748809665</v>
      </c>
    </row>
    <row r="161" customFormat="false" ht="15" hidden="false" customHeight="false" outlineLevel="0" collapsed="false">
      <c r="A161" s="0" t="s">
        <v>296</v>
      </c>
      <c r="B161" s="0" t="n">
        <v>3.5507661519843</v>
      </c>
      <c r="C161" s="0" t="n">
        <v>2.94470210244121</v>
      </c>
      <c r="D161" s="0" t="n">
        <v>2.43886271128659</v>
      </c>
      <c r="E161" s="0" t="n">
        <v>2.01223279198639</v>
      </c>
      <c r="F161" s="0" t="n">
        <v>1.8229350866965</v>
      </c>
    </row>
    <row r="162" customFormat="false" ht="15" hidden="false" customHeight="false" outlineLevel="0" collapsed="false">
      <c r="A162" s="0" t="s">
        <v>298</v>
      </c>
      <c r="B162" s="0" t="n">
        <v>1.87610061766181</v>
      </c>
      <c r="C162" s="0" t="n">
        <v>1.54756250871601</v>
      </c>
      <c r="D162" s="0" t="n">
        <v>1.12102588350501</v>
      </c>
      <c r="E162" s="0" t="n">
        <v>0.920282753143692</v>
      </c>
      <c r="F162" s="0" t="n">
        <v>0.756121979721334</v>
      </c>
    </row>
    <row r="163" customFormat="false" ht="15" hidden="false" customHeight="false" outlineLevel="0" collapsed="false">
      <c r="A163" s="0" t="s">
        <v>300</v>
      </c>
      <c r="B163" s="0" t="n">
        <v>1.18172719537862</v>
      </c>
      <c r="C163" s="0" t="n">
        <v>0.920282753143692</v>
      </c>
      <c r="D163" s="0" t="n">
        <v>0.598286899535985</v>
      </c>
      <c r="E163" s="0" t="n">
        <v>0.3293037471426</v>
      </c>
      <c r="F163" s="0" t="n">
        <v>0.173953307123438</v>
      </c>
    </row>
    <row r="164" customFormat="false" ht="15" hidden="false" customHeight="false" outlineLevel="0" collapsed="false">
      <c r="A164" s="0" t="s">
        <v>302</v>
      </c>
      <c r="B164" s="0" t="n">
        <v>2.09309786812732</v>
      </c>
      <c r="C164" s="0" t="n">
        <v>1.78674692740451</v>
      </c>
      <c r="D164" s="0" t="n">
        <v>1.36940249344967</v>
      </c>
      <c r="E164" s="0" t="n">
        <v>1.11514159061932</v>
      </c>
      <c r="F164" s="0" t="n">
        <v>0.8754687373539</v>
      </c>
    </row>
    <row r="165" customFormat="false" ht="15" hidden="false" customHeight="false" outlineLevel="0" collapsed="false">
      <c r="A165" s="0" t="s">
        <v>304</v>
      </c>
      <c r="B165" s="0" t="n">
        <v>0.370873663338545</v>
      </c>
      <c r="C165" s="0" t="n">
        <v>0.212689093410351</v>
      </c>
      <c r="D165" s="0" t="n">
        <v>-0.0640053299759124</v>
      </c>
      <c r="E165" s="0" t="n">
        <v>-0.198450938723838</v>
      </c>
      <c r="F165" s="0" t="n">
        <v>-0.301105092783922</v>
      </c>
    </row>
    <row r="166" customFormat="false" ht="15" hidden="false" customHeight="false" outlineLevel="0" collapsed="false">
      <c r="A166" s="0" t="s">
        <v>306</v>
      </c>
      <c r="B166" s="0" t="n">
        <v>1.2895080924322</v>
      </c>
      <c r="C166" s="0" t="n">
        <v>1.04837107223136</v>
      </c>
      <c r="D166" s="0" t="n">
        <v>0.717839793150317</v>
      </c>
      <c r="E166" s="0" t="n">
        <v>0.518793793415168</v>
      </c>
      <c r="F166" s="0" t="n">
        <v>0.336472236621213</v>
      </c>
    </row>
    <row r="167" customFormat="false" ht="15" hidden="false" customHeight="false" outlineLevel="0" collapsed="false">
      <c r="A167" s="0" t="s">
        <v>308</v>
      </c>
      <c r="B167" s="0" t="n">
        <v>1.23226867348078</v>
      </c>
      <c r="C167" s="0" t="n">
        <v>0.993251773010283</v>
      </c>
      <c r="D167" s="0" t="n">
        <v>0.686122565622981</v>
      </c>
      <c r="E167" s="0" t="n">
        <v>0.506817602368452</v>
      </c>
      <c r="F167" s="0" t="n">
        <v>0.343589704390077</v>
      </c>
    </row>
    <row r="168" customFormat="false" ht="15" hidden="false" customHeight="false" outlineLevel="0" collapsed="false">
      <c r="A168" s="0" t="s">
        <v>310</v>
      </c>
      <c r="B168" s="0" t="n">
        <v>1.56171717622269</v>
      </c>
      <c r="C168" s="0" t="n">
        <v>1.31103187661934</v>
      </c>
      <c r="D168" s="0" t="n">
        <v>0.97907771997292</v>
      </c>
      <c r="E168" s="0" t="n">
        <v>0.779324876800998</v>
      </c>
      <c r="F168" s="0" t="n">
        <v>0.593326845277734</v>
      </c>
    </row>
    <row r="169" customFormat="false" ht="15" hidden="false" customHeight="false" outlineLevel="0" collapsed="false">
      <c r="A169" s="0" t="s">
        <v>312</v>
      </c>
      <c r="B169" s="0" t="n">
        <v>1.97823903617067</v>
      </c>
      <c r="C169" s="0" t="n">
        <v>1.65555784804765</v>
      </c>
      <c r="D169" s="0" t="n">
        <v>1.2507609658247</v>
      </c>
      <c r="E169" s="0" t="n">
        <v>1.1314021114911</v>
      </c>
      <c r="F169" s="0" t="n">
        <v>0.916290731874155</v>
      </c>
    </row>
    <row r="170" customFormat="false" ht="15" hidden="false" customHeight="false" outlineLevel="0" collapsed="false">
      <c r="A170" s="0" t="s">
        <v>314</v>
      </c>
      <c r="B170" s="0" t="n">
        <v>1.92117824997895</v>
      </c>
      <c r="C170" s="0" t="n">
        <v>1.73501273534217</v>
      </c>
      <c r="D170" s="0" t="n">
        <v>1.40560667215226</v>
      </c>
      <c r="E170" s="0" t="n">
        <v>1.15373158788919</v>
      </c>
      <c r="F170" s="0" t="n">
        <v>0.966983846189673</v>
      </c>
    </row>
    <row r="171" customFormat="false" ht="15" hidden="false" customHeight="false" outlineLevel="0" collapsed="false">
      <c r="A171" s="0" t="s">
        <v>316</v>
      </c>
      <c r="B171" s="0" t="n">
        <v>1.65898969126335</v>
      </c>
      <c r="C171" s="0" t="n">
        <v>1.43793759427173</v>
      </c>
      <c r="D171" s="0" t="n">
        <v>1.03992329231943</v>
      </c>
      <c r="E171" s="0" t="n">
        <v>0.858661619037519</v>
      </c>
      <c r="F171" s="0" t="n">
        <v>0.688134638736401</v>
      </c>
    </row>
    <row r="172" customFormat="false" ht="15" hidden="false" customHeight="false" outlineLevel="0" collapsed="false">
      <c r="A172" s="0" t="s">
        <v>318</v>
      </c>
      <c r="B172" s="0" t="n">
        <v>-0.478035800943</v>
      </c>
      <c r="C172" s="0" t="n">
        <v>-0.606969484318893</v>
      </c>
      <c r="D172" s="0" t="n">
        <v>-0.809680996815897</v>
      </c>
      <c r="E172" s="0" t="n">
        <v>-0.891598119283784</v>
      </c>
      <c r="F172" s="0" t="n">
        <v>-0.994252273343867</v>
      </c>
    </row>
    <row r="173" customFormat="false" ht="15" hidden="false" customHeight="false" outlineLevel="0" collapsed="false">
      <c r="A173" s="0" t="s">
        <v>320</v>
      </c>
      <c r="B173" s="0" t="n">
        <v>0.6270073780554</v>
      </c>
      <c r="C173" s="0" t="n">
        <v>0.451712359273484</v>
      </c>
      <c r="D173" s="0" t="n">
        <v>0.219938420365261</v>
      </c>
      <c r="E173" s="0" t="n">
        <v>0.0769610411361284</v>
      </c>
      <c r="F173" s="0" t="n">
        <v>-0.0512932943875506</v>
      </c>
    </row>
    <row r="174" customFormat="false" ht="15" hidden="false" customHeight="false" outlineLevel="0" collapsed="false">
      <c r="A174" s="0" t="s">
        <v>322</v>
      </c>
      <c r="B174" s="0" t="n">
        <v>0.00995033085316809</v>
      </c>
      <c r="C174" s="0" t="n">
        <v>-0.116533816255952</v>
      </c>
      <c r="D174" s="0" t="n">
        <v>-0.414001439130451</v>
      </c>
      <c r="E174" s="0" t="n">
        <v>-0.527632742082372</v>
      </c>
      <c r="F174" s="0" t="n">
        <v>-0.63487827243597</v>
      </c>
    </row>
    <row r="175" customFormat="false" ht="15" hidden="false" customHeight="false" outlineLevel="0" collapsed="false">
      <c r="A175" s="0" t="s">
        <v>324</v>
      </c>
      <c r="B175" s="0" t="n">
        <v>1.83577635464483</v>
      </c>
      <c r="C175" s="0" t="n">
        <v>1.55180879959746</v>
      </c>
      <c r="D175" s="0" t="n">
        <v>1.16938135955632</v>
      </c>
      <c r="E175" s="0" t="n">
        <v>0.936093359170335</v>
      </c>
      <c r="F175" s="0" t="n">
        <v>0.722220428045652</v>
      </c>
    </row>
    <row r="176" customFormat="false" ht="15" hidden="false" customHeight="false" outlineLevel="0" collapsed="false">
      <c r="A176" s="0" t="s">
        <v>326</v>
      </c>
      <c r="B176" s="0" t="n">
        <v>0.227135572583747</v>
      </c>
      <c r="C176" s="0" t="n">
        <v>0.0760346862759976</v>
      </c>
      <c r="D176" s="0" t="n">
        <v>-0.18152187662339</v>
      </c>
      <c r="E176" s="0" t="n">
        <v>-0.2484613592985</v>
      </c>
      <c r="F176" s="0" t="n">
        <v>-0.342490308946776</v>
      </c>
    </row>
    <row r="177" customFormat="false" ht="15" hidden="false" customHeight="false" outlineLevel="0" collapsed="false">
      <c r="A177" s="0" t="s">
        <v>328</v>
      </c>
      <c r="B177" s="0" t="n">
        <v>0.872965607135781</v>
      </c>
      <c r="C177" s="0" t="n">
        <v>0.765467842139571</v>
      </c>
      <c r="D177" s="0" t="n">
        <v>0.467500499027617</v>
      </c>
      <c r="E177" s="0" t="n">
        <v>0.207014169384326</v>
      </c>
      <c r="F177" s="0" t="n">
        <v>0.0582689081239758</v>
      </c>
    </row>
    <row r="178" customFormat="false" ht="15" hidden="false" customHeight="false" outlineLevel="0" collapsed="false">
      <c r="A178" s="0" t="s">
        <v>330</v>
      </c>
      <c r="B178" s="0" t="n">
        <v>2.10657020906809</v>
      </c>
      <c r="C178" s="0" t="n">
        <v>1.83577635464483</v>
      </c>
      <c r="D178" s="0" t="n">
        <v>1.4655675420144</v>
      </c>
      <c r="E178" s="0" t="n">
        <v>1.23837423104327</v>
      </c>
      <c r="F178" s="0" t="n">
        <v>1.02604159583327</v>
      </c>
    </row>
    <row r="179" customFormat="false" ht="15" hidden="false" customHeight="false" outlineLevel="0" collapsed="false">
      <c r="A179" s="0" t="s">
        <v>332</v>
      </c>
      <c r="B179" s="0" t="n">
        <v>2.06432790386979</v>
      </c>
      <c r="C179" s="0" t="n">
        <v>1.83689215933539</v>
      </c>
      <c r="D179" s="0" t="n">
        <v>1.46626014275777</v>
      </c>
      <c r="E179" s="0" t="n">
        <v>1.22671229129543</v>
      </c>
      <c r="F179" s="0" t="n">
        <v>1.02245092770255</v>
      </c>
    </row>
    <row r="180" customFormat="false" ht="15" hidden="false" customHeight="false" outlineLevel="0" collapsed="false">
      <c r="A180" s="0" t="s">
        <v>334</v>
      </c>
      <c r="B180" s="0" t="n">
        <v>1.97879213352991</v>
      </c>
      <c r="C180" s="0" t="n">
        <v>1.58964328510592</v>
      </c>
      <c r="D180" s="0" t="n">
        <v>1.27759494419655</v>
      </c>
      <c r="E180" s="0" t="n">
        <v>1.02245092770255</v>
      </c>
      <c r="F180" s="0" t="n">
        <v>0.810930216216329</v>
      </c>
    </row>
    <row r="181" customFormat="false" ht="15" hidden="false" customHeight="false" outlineLevel="0" collapsed="false">
      <c r="A181" s="0" t="s">
        <v>336</v>
      </c>
      <c r="B181" s="0" t="n">
        <v>2.36743606531366</v>
      </c>
      <c r="C181" s="0" t="n">
        <v>2.02022218201986</v>
      </c>
      <c r="D181" s="0" t="n">
        <v>1.55835512220478</v>
      </c>
      <c r="E181" s="0" t="n">
        <v>1.28093384546206</v>
      </c>
      <c r="F181" s="0" t="n">
        <v>1.02961941718116</v>
      </c>
    </row>
    <row r="182" customFormat="false" ht="15" hidden="false" customHeight="false" outlineLevel="0" collapsed="false">
      <c r="A182" s="0" t="s">
        <v>338</v>
      </c>
      <c r="B182" s="0" t="n">
        <v>2.88368276974537</v>
      </c>
      <c r="C182" s="0" t="n">
        <v>2.46691238641572</v>
      </c>
      <c r="D182" s="0" t="n">
        <v>1.9164813383645</v>
      </c>
      <c r="E182" s="0" t="n">
        <v>1.59127394180643</v>
      </c>
      <c r="F182" s="0" t="n">
        <v>1.29746314741328</v>
      </c>
    </row>
    <row r="183" customFormat="false" ht="15" hidden="false" customHeight="false" outlineLevel="0" collapsed="false">
      <c r="A183" s="0" t="s">
        <v>340</v>
      </c>
      <c r="B183" s="0" t="n">
        <v>1.34129699518916</v>
      </c>
      <c r="C183" s="0" t="n">
        <v>1.08822519578162</v>
      </c>
      <c r="D183" s="0" t="n">
        <v>0.762673243208556</v>
      </c>
      <c r="E183" s="0" t="n">
        <v>0.662687973075237</v>
      </c>
      <c r="F183" s="0" t="n">
        <v>0.482426149244293</v>
      </c>
    </row>
    <row r="184" customFormat="false" ht="15" hidden="false" customHeight="false" outlineLevel="0" collapsed="false">
      <c r="A184" s="0" t="s">
        <v>341</v>
      </c>
      <c r="B184" s="0" t="n">
        <v>0.725130226412996</v>
      </c>
      <c r="C184" s="0" t="n">
        <v>0.588897159186146</v>
      </c>
      <c r="D184" s="0" t="n">
        <v>0.322807874427155</v>
      </c>
      <c r="E184" s="0" t="n">
        <v>0.165514438477573</v>
      </c>
      <c r="F184" s="0" t="n">
        <v>0.0198026272961797</v>
      </c>
    </row>
    <row r="185" customFormat="false" ht="15" hidden="false" customHeight="false" outlineLevel="0" collapsed="false">
      <c r="A185" s="0" t="s">
        <v>343</v>
      </c>
      <c r="B185" s="0" t="n">
        <v>0.375692949774494</v>
      </c>
      <c r="C185" s="0" t="n">
        <v>0.273836665629728</v>
      </c>
      <c r="D185" s="0" t="n">
        <v>0.0751074724868055</v>
      </c>
      <c r="E185" s="0" t="n">
        <v>-0.0512932943875506</v>
      </c>
      <c r="F185" s="0" t="n">
        <v>-0.162518929497775</v>
      </c>
    </row>
    <row r="186" customFormat="false" ht="15" hidden="false" customHeight="false" outlineLevel="0" collapsed="false">
      <c r="A186" s="0" t="s">
        <v>345</v>
      </c>
      <c r="B186" s="0" t="n">
        <v>2.68920711330073</v>
      </c>
      <c r="C186" s="0" t="n">
        <v>2.39333945626251</v>
      </c>
      <c r="D186" s="0" t="n">
        <v>1.99047370661909</v>
      </c>
      <c r="E186" s="0" t="n">
        <v>1.62924053973028</v>
      </c>
      <c r="F186" s="0" t="n">
        <v>1.35066718347674</v>
      </c>
    </row>
    <row r="187" customFormat="false" ht="15" hidden="false" customHeight="false" outlineLevel="0" collapsed="false">
      <c r="A187" s="0" t="s">
        <v>347</v>
      </c>
      <c r="B187" s="0" t="n">
        <v>1.55603713570699</v>
      </c>
      <c r="C187" s="0" t="n">
        <v>1.33236601909434</v>
      </c>
      <c r="D187" s="0" t="n">
        <v>1.02854741421982</v>
      </c>
      <c r="E187" s="0" t="n">
        <v>0.841567185678218</v>
      </c>
      <c r="F187" s="0" t="n">
        <v>0.667829372575655</v>
      </c>
    </row>
    <row r="188" customFormat="false" ht="15" hidden="false" customHeight="false" outlineLevel="0" collapsed="false">
      <c r="A188" s="0" t="s">
        <v>349</v>
      </c>
      <c r="B188" s="0" t="n">
        <v>0.751416088683921</v>
      </c>
      <c r="C188" s="0" t="n">
        <v>0.56531380905006</v>
      </c>
      <c r="D188" s="0" t="n">
        <v>0.318453731118535</v>
      </c>
      <c r="E188" s="0" t="n">
        <v>0.165514438477573</v>
      </c>
      <c r="F188" s="0" t="n">
        <v>0.0198026272961797</v>
      </c>
    </row>
    <row r="189" customFormat="false" ht="15" hidden="false" customHeight="false" outlineLevel="0" collapsed="false">
      <c r="A189" s="3" t="s">
        <v>351</v>
      </c>
      <c r="B189" s="3" t="n">
        <v>0.086003705618382</v>
      </c>
      <c r="C189" s="3" t="n">
        <v>0.0599418880619547</v>
      </c>
      <c r="D189" s="3" t="n">
        <v>-0.0457574905606751</v>
      </c>
      <c r="E189" s="0" t="n">
        <v>-0.151986356997882</v>
      </c>
      <c r="F189" s="0" t="n">
        <v>-0.239527030564734</v>
      </c>
    </row>
    <row r="190" customFormat="false" ht="15" hidden="false" customHeight="false" outlineLevel="0" collapsed="false">
      <c r="A190" s="3" t="s">
        <v>353</v>
      </c>
      <c r="B190" s="3" t="n">
        <v>0.252610340567373</v>
      </c>
      <c r="C190" s="3" t="n">
        <v>0.198657086954423</v>
      </c>
      <c r="D190" s="3" t="n">
        <v>0.082066934285113</v>
      </c>
      <c r="E190" s="0" t="n">
        <v>0.116421463021363</v>
      </c>
      <c r="F190" s="0" t="n">
        <v>0.0217614917815125</v>
      </c>
    </row>
    <row r="191" customFormat="false" ht="15" hidden="false" customHeight="false" outlineLevel="0" collapsed="false">
      <c r="A191" s="3" t="s">
        <v>355</v>
      </c>
      <c r="B191" s="3" t="n">
        <f aca="false">LN(1.11)</f>
        <v>0.104360015324243</v>
      </c>
      <c r="C191" s="3" t="n">
        <f aca="false">LN(1.03)</f>
        <v>0.0295588022415444</v>
      </c>
      <c r="D191" s="3" t="n">
        <f aca="false">LN(0.84)</f>
        <v>-0.174353387144778</v>
      </c>
      <c r="E191" s="0" t="n">
        <f aca="false">LN(0.74)</f>
        <v>-0.301105092783922</v>
      </c>
      <c r="F191" s="0" t="n">
        <f aca="false">LN(0.706)</f>
        <v>-0.348140041488895</v>
      </c>
    </row>
    <row r="192" customFormat="false" ht="15" hidden="false" customHeight="false" outlineLevel="0" collapsed="false">
      <c r="A192" s="3" t="s">
        <v>357</v>
      </c>
      <c r="B192" s="3" t="n">
        <v>0.204119982655925</v>
      </c>
      <c r="C192" s="3" t="n">
        <v>0.136720567156407</v>
      </c>
      <c r="D192" s="3" t="n">
        <v>0.0413926851582251</v>
      </c>
      <c r="E192" s="0" t="n">
        <v>-0.0512932943875506</v>
      </c>
      <c r="F192" s="0" t="n">
        <v>-0.150822889734584</v>
      </c>
    </row>
    <row r="193" customFormat="false" ht="15" hidden="false" customHeight="false" outlineLevel="0" collapsed="false">
      <c r="A193" s="3" t="s">
        <v>359</v>
      </c>
      <c r="B193" s="3" t="n">
        <f aca="false">LN(2.3)</f>
        <v>0.832909122935104</v>
      </c>
      <c r="C193" s="3" t="n">
        <f aca="false">LN(1.97)</f>
        <v>0.678033542749897</v>
      </c>
      <c r="D193" s="3" t="n">
        <f aca="false">LN(1.5)</f>
        <v>0.405465108108164</v>
      </c>
      <c r="E193" s="0" t="n">
        <f aca="false">LN(1.44)</f>
        <v>0.364643113587909</v>
      </c>
      <c r="F193" s="0" t="n">
        <f aca="false">LN(1.35)</f>
        <v>0.300104592450338</v>
      </c>
    </row>
    <row r="194" customFormat="false" ht="15" hidden="false" customHeight="false" outlineLevel="0" collapsed="false">
      <c r="A194" s="3" t="s">
        <v>361</v>
      </c>
      <c r="B194" s="3" t="n">
        <f aca="false">LN(3.3)</f>
        <v>1.19392246847243</v>
      </c>
      <c r="C194" s="3" t="n">
        <f aca="false">LN(3)</f>
        <v>1.09861228866811</v>
      </c>
      <c r="D194" s="3" t="n">
        <f aca="false">LN(2.28)</f>
        <v>0.824175442966349</v>
      </c>
      <c r="E194" s="0" t="n">
        <f aca="false">LN(1.92)</f>
        <v>0.65232518603969</v>
      </c>
      <c r="F194" s="0" t="n">
        <f aca="false">LN(1.77)</f>
        <v>0.570979546585738</v>
      </c>
    </row>
    <row r="195" customFormat="false" ht="15" hidden="false" customHeight="false" outlineLevel="0" collapsed="false">
      <c r="A195" s="3" t="s">
        <v>363</v>
      </c>
      <c r="B195" s="3" t="n">
        <f aca="false">LN(2.45)</f>
        <v>0.896088024556636</v>
      </c>
      <c r="C195" s="3" t="n">
        <f aca="false">LN(1.79)</f>
        <v>0.582215619852664</v>
      </c>
      <c r="D195" s="3" t="n">
        <f aca="false">LN(1.55)</f>
        <v>0.438254930931155</v>
      </c>
      <c r="E195" s="0" t="n">
        <f aca="false">LN(1.48)</f>
        <v>0.392042087776024</v>
      </c>
      <c r="F195" s="0" t="n">
        <f aca="false">LN(1.41)</f>
        <v>0.343589704390077</v>
      </c>
    </row>
    <row r="196" customFormat="false" ht="15" hidden="false" customHeight="false" outlineLevel="0" collapsed="false">
      <c r="A196" s="3" t="s">
        <v>365</v>
      </c>
      <c r="B196" s="3" t="n">
        <f aca="false">LN(15.2)</f>
        <v>2.72129542785223</v>
      </c>
      <c r="C196" s="3" t="n">
        <f aca="false">LN(8.92)</f>
        <v>2.18829594659192</v>
      </c>
      <c r="D196" s="3" t="n">
        <f aca="false">LN(5.84)</f>
        <v>1.76473079684014</v>
      </c>
      <c r="E196" s="0" t="n">
        <f aca="false">LN(3.9)</f>
        <v>1.3609765531356</v>
      </c>
      <c r="F196" s="0" t="n">
        <f aca="false">LN(2.81)</f>
        <v>1.03318448334565</v>
      </c>
    </row>
    <row r="197" customFormat="false" ht="15" hidden="false" customHeight="false" outlineLevel="0" collapsed="false">
      <c r="A197" s="3" t="s">
        <v>367</v>
      </c>
      <c r="B197" s="3" t="n">
        <f aca="false">LN(4.52)</f>
        <v>1.50851199384414</v>
      </c>
      <c r="C197" s="3" t="n">
        <f aca="false">LN(4.12)</f>
        <v>1.41585316336144</v>
      </c>
      <c r="D197" s="3" t="n">
        <f aca="false">LN(3.9)</f>
        <v>1.3609765531356</v>
      </c>
      <c r="E197" s="0" t="n">
        <f aca="false">LN(3.06)</f>
        <v>1.11841491596429</v>
      </c>
      <c r="F197" s="0" t="n">
        <f aca="false">LN(2.63)</f>
        <v>0.966983846189673</v>
      </c>
    </row>
    <row r="198" customFormat="false" ht="15" hidden="false" customHeight="false" outlineLevel="0" collapsed="false">
      <c r="A198" s="3" t="s">
        <v>120</v>
      </c>
      <c r="B198" s="3" t="n">
        <v>-0.533132379645891</v>
      </c>
      <c r="C198" s="3" t="n">
        <v>-0.542118103266008</v>
      </c>
      <c r="D198" s="3" t="n">
        <v>-0.619788758288394</v>
      </c>
      <c r="E198" s="0" t="n">
        <v>-1.47668744965593</v>
      </c>
      <c r="F198" s="0" t="n">
        <v>-1.50854335433587</v>
      </c>
    </row>
    <row r="199" customFormat="false" ht="15" hidden="false" customHeight="false" outlineLevel="0" collapsed="false">
      <c r="A199" s="3" t="s">
        <v>369</v>
      </c>
      <c r="B199" s="3" t="n">
        <f aca="false">LN(0.4)</f>
        <v>-0.916290731874155</v>
      </c>
      <c r="C199" s="3" t="n">
        <f aca="false">LN(0.377)</f>
        <v>-0.975510091534126</v>
      </c>
      <c r="D199" s="3" t="n">
        <f aca="false">LN(0.392)</f>
        <v>-0.936493439191674</v>
      </c>
      <c r="E199" s="0" t="n">
        <f aca="false">LN(0.353)</f>
        <v>-1.04128722204884</v>
      </c>
      <c r="F199" s="0" t="n">
        <f aca="false">LN(0.319)</f>
        <v>-1.14256417619729</v>
      </c>
    </row>
    <row r="200" customFormat="false" ht="15" hidden="false" customHeight="false" outlineLevel="0" collapsed="false">
      <c r="A200" s="3" t="s">
        <v>370</v>
      </c>
      <c r="B200" s="3" t="n">
        <v>-0.30189945437661</v>
      </c>
      <c r="C200" s="3" t="n">
        <v>-0.326979092871104</v>
      </c>
      <c r="D200" s="3" t="n">
        <v>-0.356547323513813</v>
      </c>
      <c r="E200" s="0" t="n">
        <v>-0.931404369684203</v>
      </c>
      <c r="F200" s="0" t="n">
        <v>-1.08180517035308</v>
      </c>
    </row>
    <row r="201" customFormat="false" ht="15" hidden="false" customHeight="false" outlineLevel="0" collapsed="false">
      <c r="A201" s="3" t="s">
        <v>372</v>
      </c>
      <c r="B201" s="3" t="n">
        <v>-0.1944991418416</v>
      </c>
      <c r="C201" s="3" t="n">
        <v>-0.22112552799726</v>
      </c>
      <c r="D201" s="3" t="n">
        <v>-0.291579099865287</v>
      </c>
      <c r="E201" s="0" t="n">
        <v>-0.791863153499103</v>
      </c>
      <c r="F201" s="0" t="n">
        <v>-0.864576296188426</v>
      </c>
    </row>
    <row r="202" customFormat="false" ht="15" hidden="false" customHeight="false" outlineLevel="0" collapsed="false">
      <c r="A202" s="3" t="s">
        <v>374</v>
      </c>
      <c r="B202" s="3" t="n">
        <v>-0.0899094544059319</v>
      </c>
      <c r="C202" s="3" t="n">
        <v>-0.118615343229427</v>
      </c>
      <c r="D202" s="3" t="n">
        <v>-0.222573177610689</v>
      </c>
      <c r="E202" s="0" t="n">
        <v>-0.646263594661095</v>
      </c>
      <c r="F202" s="0" t="n">
        <v>-0.662172376260542</v>
      </c>
    </row>
    <row r="203" customFormat="false" ht="15" hidden="false" customHeight="false" outlineLevel="0" collapsed="false">
      <c r="A203" s="3" t="s">
        <v>376</v>
      </c>
      <c r="B203" s="3" t="n">
        <v>0.0182843084265308</v>
      </c>
      <c r="C203" s="3" t="n">
        <v>-0.0132282657337552</v>
      </c>
      <c r="D203" s="3" t="n">
        <v>-0.0979971086492706</v>
      </c>
      <c r="E203" s="0" t="n">
        <v>-0.484508315448617</v>
      </c>
      <c r="F203" s="0" t="n">
        <v>-0.459953293392442</v>
      </c>
    </row>
    <row r="204" customFormat="false" ht="15" hidden="false" customHeight="false" outlineLevel="0" collapsed="false">
      <c r="A204" s="3" t="s">
        <v>378</v>
      </c>
      <c r="B204" s="3" t="n">
        <v>0.131939295210425</v>
      </c>
      <c r="C204" s="3" t="n">
        <v>0.0314084642516241</v>
      </c>
      <c r="D204" s="3" t="n">
        <v>-0.00436480540245009</v>
      </c>
      <c r="E204" s="0" t="n">
        <v>-0.260053905334697</v>
      </c>
      <c r="F204" s="0" t="n">
        <v>-0.481266821524446</v>
      </c>
    </row>
    <row r="205" customFormat="false" ht="15" hidden="false" customHeight="false" outlineLevel="0" collapsed="false">
      <c r="A205" s="3" t="s">
        <v>380</v>
      </c>
      <c r="B205" s="3" t="n">
        <v>0.225567713439471</v>
      </c>
      <c r="C205" s="3" t="n">
        <v>0.170848203643309</v>
      </c>
      <c r="D205" s="3" t="n">
        <v>0.0791812460476248</v>
      </c>
      <c r="E205" s="0" t="n">
        <v>-0.0934903430875109</v>
      </c>
      <c r="F205" s="0" t="n">
        <v>-0.330022912941773</v>
      </c>
    </row>
    <row r="206" customFormat="false" ht="15" hidden="false" customHeight="false" outlineLevel="0" collapsed="false">
      <c r="A206" s="3" t="s">
        <v>382</v>
      </c>
      <c r="B206" s="3" t="n">
        <f aca="false">LN(1.93)</f>
        <v>0.657520002916794</v>
      </c>
      <c r="C206" s="3" t="n">
        <f aca="false">LN(1.77)</f>
        <v>0.570979546585738</v>
      </c>
      <c r="D206" s="3" t="n">
        <f aca="false">LN(1.39)</f>
        <v>0.3293037471426</v>
      </c>
      <c r="E206" s="0" t="n">
        <f aca="false">LN(1.29)</f>
        <v>0.254642218373581</v>
      </c>
      <c r="F206" s="0" t="n">
        <f aca="false">LN(1.12)</f>
        <v>0.113328685307003</v>
      </c>
    </row>
    <row r="207" customFormat="false" ht="15" hidden="false" customHeight="false" outlineLevel="0" collapsed="false">
      <c r="A207" s="3" t="s">
        <v>384</v>
      </c>
      <c r="B207" s="3" t="n">
        <v>-0.295849483160201</v>
      </c>
      <c r="C207" s="3" t="n">
        <v>-0.321481620959886</v>
      </c>
      <c r="D207" s="3" t="n">
        <v>-0.387216143280265</v>
      </c>
      <c r="E207" s="0" t="n">
        <v>-0.966387374114515</v>
      </c>
      <c r="F207" s="0" t="n">
        <v>-1.04029621184527</v>
      </c>
    </row>
    <row r="208" customFormat="false" ht="15" hidden="false" customHeight="false" outlineLevel="0" collapsed="false">
      <c r="A208" s="3" t="s">
        <v>386</v>
      </c>
      <c r="B208" s="3" t="n">
        <v>-0.334419008982047</v>
      </c>
      <c r="C208" s="3" t="n">
        <v>-0.3585258894959</v>
      </c>
      <c r="D208" s="3" t="n">
        <v>-0.377785977033705</v>
      </c>
      <c r="E208" s="0" t="n">
        <v>-0.978166135592243</v>
      </c>
      <c r="F208" s="0" t="n">
        <v>-1.02598562739954</v>
      </c>
    </row>
    <row r="209" customFormat="false" ht="15" hidden="false" customHeight="false" outlineLevel="0" collapsed="false">
      <c r="A209" s="3" t="s">
        <v>388</v>
      </c>
      <c r="B209" s="3" t="n">
        <v>-0.295849483160201</v>
      </c>
      <c r="C209" s="3" t="n">
        <v>-0.321481620959886</v>
      </c>
      <c r="D209" s="3" t="n">
        <v>-0.38933983691012</v>
      </c>
      <c r="E209" s="0" t="n">
        <v>-1.00359033221433</v>
      </c>
      <c r="F209" s="0" t="n">
        <v>-1.07651523675484</v>
      </c>
    </row>
    <row r="210" customFormat="false" ht="15" hidden="false" customHeight="false" outlineLevel="0" collapsed="false">
      <c r="A210" s="3" t="s">
        <v>44</v>
      </c>
      <c r="B210" s="3" t="n">
        <v>-0.195179321278838</v>
      </c>
      <c r="C210" s="3" t="n">
        <v>-0.230622673923862</v>
      </c>
      <c r="D210" s="3" t="n">
        <v>-0.323306390375133</v>
      </c>
      <c r="E210" s="0" t="n">
        <v>-0.880424195379619</v>
      </c>
      <c r="F210" s="0" t="n">
        <v>-0.956584220245059</v>
      </c>
    </row>
    <row r="211" customFormat="false" ht="15" hidden="false" customHeight="false" outlineLevel="0" collapsed="false">
      <c r="A211" s="3" t="s">
        <v>389</v>
      </c>
      <c r="B211" s="3" t="n">
        <f aca="false">LN(2.49)</f>
        <v>0.912282710476616</v>
      </c>
      <c r="C211" s="3" t="n">
        <f aca="false">LN(2.24)</f>
        <v>0.806475865866948</v>
      </c>
      <c r="D211" s="3" t="n">
        <f aca="false">LN(1.66)</f>
        <v>0.506817602368452</v>
      </c>
      <c r="E211" s="0" t="n">
        <f aca="false">LN(1.52)</f>
        <v>0.418710334858185</v>
      </c>
      <c r="F211" s="0" t="n">
        <f aca="false">LN(1.28)</f>
        <v>0.246860077931526</v>
      </c>
    </row>
    <row r="212" customFormat="false" ht="15" hidden="false" customHeight="false" outlineLevel="0" collapsed="false">
      <c r="A212" s="3" t="s">
        <v>391</v>
      </c>
      <c r="B212" s="3" t="n">
        <v>0.0930713063760635</v>
      </c>
      <c r="C212" s="3" t="n">
        <v>0.0569048513364726</v>
      </c>
      <c r="D212" s="3" t="n">
        <v>-0.0362121726544447</v>
      </c>
      <c r="E212" s="0" t="n">
        <v>-0.205421518326593</v>
      </c>
      <c r="F212" s="0" t="n">
        <v>-0.32622056503711</v>
      </c>
    </row>
    <row r="213" customFormat="false" ht="15" hidden="false" customHeight="false" outlineLevel="0" collapsed="false">
      <c r="A213" s="3" t="s">
        <v>393</v>
      </c>
      <c r="B213" s="3" t="n">
        <f aca="false">LN(2.48)</f>
        <v>0.908258560176891</v>
      </c>
      <c r="C213" s="3" t="n">
        <f aca="false">LN(2.25)</f>
        <v>0.810930216216329</v>
      </c>
      <c r="D213" s="3" t="n">
        <f aca="false">LN(2)</f>
        <v>0.693147180559945</v>
      </c>
      <c r="E213" s="0" t="n">
        <f aca="false">LN(1.83)</f>
        <v>0.60431596685333</v>
      </c>
      <c r="F213" s="0" t="n">
        <f aca="false">LN(1.55)</f>
        <v>0.438254930931155</v>
      </c>
    </row>
    <row r="214" customFormat="false" ht="15" hidden="false" customHeight="false" outlineLevel="0" collapsed="false">
      <c r="A214" s="3" t="s">
        <v>395</v>
      </c>
      <c r="B214" s="3" t="n">
        <v>-0.392544976785331</v>
      </c>
      <c r="C214" s="3" t="n">
        <v>-0.43297363384094</v>
      </c>
      <c r="D214" s="3" t="n">
        <v>-0.508638306165727</v>
      </c>
      <c r="E214" s="0" t="n">
        <v>-1.23134400112207</v>
      </c>
      <c r="F214" s="0" t="n">
        <v>-1.28554445801975</v>
      </c>
    </row>
    <row r="215" customFormat="false" ht="15" hidden="false" customHeight="false" outlineLevel="0" collapsed="false">
      <c r="A215" s="3" t="s">
        <v>396</v>
      </c>
      <c r="B215" s="3" t="n">
        <v>0.262451089730429</v>
      </c>
      <c r="C215" s="3" t="n">
        <v>0.212187604403958</v>
      </c>
      <c r="D215" s="3" t="n">
        <v>0.0827853703164501</v>
      </c>
      <c r="E215" s="0" t="n">
        <v>0.109930059372196</v>
      </c>
      <c r="F215" s="0" t="n">
        <v>0.0264471700148482</v>
      </c>
    </row>
    <row r="216" customFormat="false" ht="15" hidden="false" customHeight="false" outlineLevel="0" collapsed="false">
      <c r="A216" s="3" t="s">
        <v>398</v>
      </c>
      <c r="B216" s="3" t="n">
        <f aca="false">LN(2.14)</f>
        <v>0.76080582903376</v>
      </c>
      <c r="C216" s="3" t="n">
        <f aca="false">LN(1.91)</f>
        <v>0.647103242058538</v>
      </c>
      <c r="D216" s="3" t="n">
        <f aca="false">LN(1.41)</f>
        <v>0.343589704390077</v>
      </c>
      <c r="E216" s="0" t="n">
        <f aca="false">LN(1.39)</f>
        <v>0.3293037471426</v>
      </c>
      <c r="F216" s="0" t="n">
        <f aca="false">LN(1.27)</f>
        <v>0.2390169004705</v>
      </c>
    </row>
    <row r="217" customFormat="false" ht="15" hidden="false" customHeight="false" outlineLevel="0" collapsed="false">
      <c r="A217" s="3" t="s">
        <v>400</v>
      </c>
      <c r="B217" s="3" t="n">
        <f aca="false">LN(24.1)</f>
        <v>3.18221184049661</v>
      </c>
      <c r="C217" s="3" t="n">
        <f aca="false">LN(18.7)</f>
        <v>2.92852352386054</v>
      </c>
      <c r="D217" s="3" t="n">
        <f aca="false">LN(9.61)</f>
        <v>2.2628042229822</v>
      </c>
      <c r="E217" s="0" t="n">
        <f aca="false">LN(7.91)</f>
        <v>2.06812778177956</v>
      </c>
      <c r="F217" s="0" t="n">
        <f aca="false">LN(6.76)</f>
        <v>1.91102289005487</v>
      </c>
    </row>
    <row r="218" customFormat="false" ht="15" hidden="false" customHeight="false" outlineLevel="0" collapsed="false">
      <c r="A218" s="3" t="s">
        <v>402</v>
      </c>
      <c r="B218" s="3" t="n">
        <v>-0.46344155742847</v>
      </c>
      <c r="C218" s="3" t="n">
        <v>-0.488116639021126</v>
      </c>
      <c r="D218" s="3" t="n">
        <v>-0.568636235841013</v>
      </c>
      <c r="E218" s="0" t="n">
        <v>-1.3433766441608</v>
      </c>
      <c r="F218" s="0" t="n">
        <v>-1.3986382342112</v>
      </c>
    </row>
    <row r="219" customFormat="false" ht="15" hidden="false" customHeight="false" outlineLevel="0" collapsed="false">
      <c r="A219" s="3" t="s">
        <v>404</v>
      </c>
      <c r="B219" s="3" t="n">
        <f aca="false">LN(2.14)</f>
        <v>0.76080582903376</v>
      </c>
      <c r="C219" s="3" t="n">
        <f aca="false">LN(1.75)</f>
        <v>0.559615787935423</v>
      </c>
      <c r="D219" s="3" t="n">
        <f aca="false">LN(1.35)</f>
        <v>0.300104592450338</v>
      </c>
      <c r="E219" s="0" t="n">
        <f aca="false">LN(1.3)</f>
        <v>0.262364264467491</v>
      </c>
      <c r="F219" s="0" t="n">
        <f aca="false">LN(1.14)</f>
        <v>0.131028262406404</v>
      </c>
    </row>
    <row r="220" customFormat="false" ht="15" hidden="false" customHeight="false" outlineLevel="0" collapsed="false">
      <c r="A220" s="3" t="s">
        <v>406</v>
      </c>
      <c r="B220" s="3" t="n">
        <v>1.12710479836481</v>
      </c>
      <c r="C220" s="3" t="n">
        <v>1.02118929906994</v>
      </c>
      <c r="D220" s="3" t="n">
        <v>0.763427993562937</v>
      </c>
      <c r="E220" s="0" t="n">
        <v>1.41001088773721</v>
      </c>
      <c r="F220" s="0" t="n">
        <v>1.19088756477728</v>
      </c>
    </row>
    <row r="221" customFormat="false" ht="15" hidden="false" customHeight="false" outlineLevel="0" collapsed="false">
      <c r="A221" s="3" t="s">
        <v>408</v>
      </c>
      <c r="B221" s="3" t="n">
        <v>0.250420002308894</v>
      </c>
      <c r="C221" s="3" t="n">
        <v>0.187520720836463</v>
      </c>
      <c r="D221" s="3" t="n">
        <v>0.0899051114393979</v>
      </c>
      <c r="E221" s="0" t="n">
        <v>0.0685927914656117</v>
      </c>
      <c r="F221" s="0" t="n">
        <v>-0.0921152889078056</v>
      </c>
    </row>
    <row r="222" customFormat="false" ht="15" hidden="false" customHeight="false" outlineLevel="0" collapsed="false">
      <c r="A222" s="4" t="s">
        <v>410</v>
      </c>
      <c r="B222" s="0" t="n">
        <v>-0.204567165741274</v>
      </c>
      <c r="C222" s="0" t="n">
        <v>-0.261364764134407</v>
      </c>
      <c r="D222" s="0" t="n">
        <v>-0.473208760194684</v>
      </c>
      <c r="E222" s="0" t="n">
        <v>-0.592397277459802</v>
      </c>
      <c r="F222" s="0" t="n">
        <v>-0.703197516413447</v>
      </c>
    </row>
    <row r="223" customFormat="false" ht="15" hidden="false" customHeight="false" outlineLevel="0" collapsed="false">
      <c r="A223" s="4" t="s">
        <v>412</v>
      </c>
      <c r="B223" s="0" t="n">
        <v>0.0198026272961797</v>
      </c>
      <c r="C223" s="0" t="n">
        <v>-0.0345914447696191</v>
      </c>
      <c r="D223" s="0" t="n">
        <v>-0.2484613592985</v>
      </c>
      <c r="E223" s="0" t="n">
        <v>-0.486133011175619</v>
      </c>
      <c r="F223" s="0" t="n">
        <v>-0.70117935225721</v>
      </c>
    </row>
    <row r="224" customFormat="false" ht="15" hidden="false" customHeight="false" outlineLevel="0" collapsed="false">
      <c r="A224" s="4" t="s">
        <v>414</v>
      </c>
      <c r="B224" s="0" t="n">
        <v>-0.116533816255952</v>
      </c>
      <c r="C224" s="0" t="n">
        <v>-0.186329578191493</v>
      </c>
      <c r="D224" s="0" t="n">
        <v>-0.400477566597125</v>
      </c>
      <c r="E224" s="0" t="n">
        <v>-0.49593701127224</v>
      </c>
      <c r="F224" s="0" t="n">
        <v>-0.632902866345397</v>
      </c>
    </row>
    <row r="225" customFormat="false" ht="15" hidden="false" customHeight="false" outlineLevel="0" collapsed="false">
      <c r="A225" s="4" t="s">
        <v>416</v>
      </c>
      <c r="B225" s="0" t="n">
        <v>-0.105360515657826</v>
      </c>
      <c r="C225" s="0" t="n">
        <v>-0.162518929497775</v>
      </c>
      <c r="D225" s="0" t="n">
        <v>-0.385662480811985</v>
      </c>
      <c r="E225" s="0" t="n">
        <v>-0.47920261043277</v>
      </c>
      <c r="F225" s="0" t="n">
        <v>-0.572701027484078</v>
      </c>
    </row>
    <row r="226" customFormat="false" ht="15" hidden="false" customHeight="false" outlineLevel="0" collapsed="false">
      <c r="A226" s="4" t="s">
        <v>304</v>
      </c>
      <c r="B226" s="0" t="n">
        <v>0.262364264467491</v>
      </c>
      <c r="C226" s="0" t="n">
        <v>0.148420005118273</v>
      </c>
      <c r="D226" s="0" t="n">
        <v>-0.0512932943875506</v>
      </c>
      <c r="E226" s="0" t="n">
        <v>-0.30747669977996</v>
      </c>
      <c r="F226" s="0" t="n">
        <v>-0.530688252862243</v>
      </c>
    </row>
    <row r="227" customFormat="false" ht="15" hidden="false" customHeight="false" outlineLevel="0" collapsed="false">
      <c r="A227" s="4" t="s">
        <v>326</v>
      </c>
      <c r="B227" s="0" t="n">
        <v>0.148420005118273</v>
      </c>
      <c r="C227" s="0" t="n">
        <v>0.0676586484738149</v>
      </c>
      <c r="D227" s="0" t="n">
        <v>-0.127833371509885</v>
      </c>
      <c r="E227" s="0" t="n">
        <v>-0.239527030564734</v>
      </c>
      <c r="F227" s="0" t="n">
        <v>-0.347569382815788</v>
      </c>
    </row>
    <row r="228" customFormat="false" ht="15" hidden="false" customHeight="false" outlineLevel="0" collapsed="false">
      <c r="A228" s="4" t="s">
        <v>419</v>
      </c>
      <c r="B228" s="0" t="n">
        <v>0.131028262406404</v>
      </c>
      <c r="C228" s="0" t="n">
        <v>0.0582689081239758</v>
      </c>
      <c r="D228" s="0" t="n">
        <v>-0.198450938723838</v>
      </c>
      <c r="E228" s="0" t="n">
        <v>-0.302286871890934</v>
      </c>
      <c r="F228" s="0" t="n">
        <v>-0.406330482436543</v>
      </c>
    </row>
    <row r="229" customFormat="false" ht="15" hidden="false" customHeight="false" outlineLevel="0" collapsed="false">
      <c r="A229" s="4" t="s">
        <v>421</v>
      </c>
      <c r="B229" s="0" t="n">
        <v>0.122217632724249</v>
      </c>
      <c r="C229" s="0" t="n">
        <v>0.048790164169432</v>
      </c>
      <c r="D229" s="0" t="n">
        <v>-0.199671195129068</v>
      </c>
      <c r="E229" s="0" t="n">
        <v>-0.310710537171319</v>
      </c>
      <c r="F229" s="0" t="n">
        <v>-0.414322216746555</v>
      </c>
    </row>
    <row r="230" customFormat="false" ht="15" hidden="false" customHeight="false" outlineLevel="0" collapsed="false">
      <c r="A230" s="4" t="s">
        <v>423</v>
      </c>
      <c r="B230" s="0" t="n">
        <v>0.29266961396282</v>
      </c>
      <c r="C230" s="0" t="n">
        <v>0.215111379616945</v>
      </c>
      <c r="D230" s="0" t="n">
        <v>0</v>
      </c>
      <c r="E230" s="0" t="n">
        <v>-0.125529209948353</v>
      </c>
      <c r="F230" s="0" t="n">
        <v>-0.241955644351467</v>
      </c>
    </row>
    <row r="231" customFormat="false" ht="15" hidden="false" customHeight="false" outlineLevel="0" collapsed="false">
      <c r="A231" s="4" t="s">
        <v>425</v>
      </c>
      <c r="B231" s="0" t="n">
        <v>0.424613926946925</v>
      </c>
      <c r="C231" s="0" t="n">
        <v>0.343589704390077</v>
      </c>
      <c r="D231" s="0" t="n">
        <v>0.122217632724249</v>
      </c>
      <c r="E231" s="0" t="n">
        <v>-0.0120725812342692</v>
      </c>
      <c r="F231" s="0" t="n">
        <v>-0.139951960427445</v>
      </c>
    </row>
    <row r="232" customFormat="false" ht="15" hidden="false" customHeight="false" outlineLevel="0" collapsed="false">
      <c r="A232" s="4" t="s">
        <v>427</v>
      </c>
      <c r="B232" s="0" t="n">
        <v>0.262364264467491</v>
      </c>
      <c r="C232" s="0" t="n">
        <v>0.19062035960865</v>
      </c>
      <c r="D232" s="0" t="n">
        <v>-0.0304592074847086</v>
      </c>
      <c r="E232" s="0" t="n">
        <v>-0.144984154419174</v>
      </c>
      <c r="F232" s="0" t="n">
        <v>-0.259423791897482</v>
      </c>
    </row>
    <row r="233" customFormat="false" ht="15" hidden="false" customHeight="false" outlineLevel="0" collapsed="false">
      <c r="A233" s="4" t="s">
        <v>429</v>
      </c>
      <c r="B233" s="0" t="n">
        <v>0.357674444271816</v>
      </c>
      <c r="C233" s="0" t="n">
        <v>0.27763173659828</v>
      </c>
      <c r="D233" s="0" t="n">
        <v>0.0582689081239758</v>
      </c>
      <c r="E233" s="0" t="n">
        <v>-0.0670034231807985</v>
      </c>
      <c r="F233" s="0" t="n">
        <v>-0.185186857851173</v>
      </c>
    </row>
    <row r="234" customFormat="false" ht="15" hidden="false" customHeight="false" outlineLevel="0" collapsed="false">
      <c r="A234" s="4" t="s">
        <v>431</v>
      </c>
      <c r="B234" s="0" t="n">
        <v>0.512823626428664</v>
      </c>
      <c r="C234" s="0" t="n">
        <v>0.425267735404344</v>
      </c>
      <c r="D234" s="0" t="n">
        <v>0.182321556793955</v>
      </c>
      <c r="E234" s="0" t="n">
        <v>0.0392207131532811</v>
      </c>
      <c r="F234" s="0" t="n">
        <v>-0.077216953879001</v>
      </c>
    </row>
    <row r="235" customFormat="false" ht="15" hidden="false" customHeight="false" outlineLevel="0" collapsed="false">
      <c r="A235" s="4" t="s">
        <v>433</v>
      </c>
      <c r="B235" s="0" t="n">
        <v>0.693147180559945</v>
      </c>
      <c r="C235" s="0" t="n">
        <v>0.587786664902119</v>
      </c>
      <c r="D235" s="0" t="n">
        <v>0.343589704390077</v>
      </c>
      <c r="E235" s="0" t="n">
        <v>0.178146185383474</v>
      </c>
      <c r="F235" s="0" t="n">
        <v>0.0295588022415444</v>
      </c>
    </row>
    <row r="236" customFormat="false" ht="15" hidden="false" customHeight="false" outlineLevel="0" collapsed="false">
      <c r="A236" s="4" t="s">
        <v>435</v>
      </c>
      <c r="B236" s="0" t="n">
        <v>0.717839793150317</v>
      </c>
      <c r="C236" s="0" t="n">
        <v>0.615185639090234</v>
      </c>
      <c r="D236" s="0" t="n">
        <v>0.350656871613169</v>
      </c>
      <c r="E236" s="0" t="n">
        <v>0.197932404308102</v>
      </c>
      <c r="F236" s="0" t="n">
        <v>0.0610292458274506</v>
      </c>
    </row>
    <row r="237" customFormat="false" ht="15" hidden="false" customHeight="false" outlineLevel="0" collapsed="false">
      <c r="A237" s="4" t="s">
        <v>437</v>
      </c>
      <c r="B237" s="0" t="n">
        <v>0.703097511413113</v>
      </c>
      <c r="C237" s="0" t="n">
        <v>0.412109650826833</v>
      </c>
      <c r="D237" s="0" t="n">
        <v>0.254642218373581</v>
      </c>
      <c r="E237" s="0" t="n">
        <v>0.110718137934262</v>
      </c>
      <c r="F237" s="0" t="n">
        <v>-0.0190686567184963</v>
      </c>
    </row>
    <row r="238" customFormat="false" ht="15" hidden="false" customHeight="false" outlineLevel="0" collapsed="false">
      <c r="A238" s="4" t="s">
        <v>439</v>
      </c>
      <c r="B238" s="0" t="n">
        <f aca="false">LN(0.00709608*1000)</f>
        <v>1.95954251890089</v>
      </c>
      <c r="C238" s="0" t="n">
        <f aca="false">LN(1000*0.00542435)</f>
        <v>1.69089807657985</v>
      </c>
      <c r="D238" s="0" t="n">
        <f aca="false">LN(1000*0.00376549)</f>
        <v>1.32587799886593</v>
      </c>
      <c r="E238" s="0" t="n">
        <f aca="false">LN(0.00301851*1000)</f>
        <v>1.10476333215262</v>
      </c>
      <c r="F238" s="0" t="n">
        <f aca="false">LN(0.00245797*1000)</f>
        <v>0.899335806024609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8"/>
  <sheetViews>
    <sheetView showFormulas="false" showGridLines="true" showRowColHeaders="true" showZeros="true" rightToLeft="false" tabSelected="false" showOutlineSymbols="true" defaultGridColor="true" view="normal" topLeftCell="A220" colorId="64" zoomScale="100" zoomScaleNormal="100" zoomScalePageLayoutView="100" workbookViewId="0">
      <selection pane="topLeft" activeCell="E242" activeCellId="0" sqref="E242"/>
    </sheetView>
  </sheetViews>
  <sheetFormatPr defaultColWidth="10.5234375" defaultRowHeight="15.75" zeroHeight="false" outlineLevelRow="0" outlineLevelCol="0"/>
  <cols>
    <col collapsed="false" customWidth="true" hidden="false" outlineLevel="0" max="1" min="1" style="0" width="44.67"/>
  </cols>
  <sheetData>
    <row r="1" customFormat="false" ht="15.75" hidden="false" customHeight="false" outlineLevel="0" collapsed="false">
      <c r="A1" s="5" t="s">
        <v>0</v>
      </c>
      <c r="B1" s="5" t="s">
        <v>1571</v>
      </c>
      <c r="C1" s="5" t="s">
        <v>1572</v>
      </c>
      <c r="D1" s="5" t="s">
        <v>1573</v>
      </c>
      <c r="E1" s="5" t="s">
        <v>1574</v>
      </c>
      <c r="F1" s="5" t="s">
        <v>1575</v>
      </c>
    </row>
    <row r="2" customFormat="false" ht="15.75" hidden="false" customHeight="false" outlineLevel="0" collapsed="false">
      <c r="A2" s="0" t="s">
        <v>3</v>
      </c>
      <c r="B2" s="0" t="n">
        <v>293.15</v>
      </c>
      <c r="C2" s="0" t="n">
        <v>303.15</v>
      </c>
      <c r="D2" s="0" t="n">
        <v>313.15</v>
      </c>
      <c r="E2" s="0" t="n">
        <v>317.138855</v>
      </c>
      <c r="F2" s="0" t="n">
        <v>320.137955</v>
      </c>
    </row>
    <row r="3" customFormat="false" ht="15.75" hidden="false" customHeight="false" outlineLevel="0" collapsed="false">
      <c r="A3" s="0" t="s">
        <v>6</v>
      </c>
      <c r="B3" s="0" t="n">
        <v>298.15</v>
      </c>
      <c r="C3" s="0" t="n">
        <v>303.15</v>
      </c>
      <c r="D3" s="0" t="n">
        <v>308.15</v>
      </c>
      <c r="E3" s="0" t="n">
        <v>313.15</v>
      </c>
      <c r="F3" s="0" t="n">
        <v>318.1285</v>
      </c>
    </row>
    <row r="4" customFormat="false" ht="15.75" hidden="false" customHeight="false" outlineLevel="0" collapsed="false">
      <c r="A4" s="0" t="s">
        <v>8</v>
      </c>
      <c r="B4" s="0" t="n">
        <v>293.15</v>
      </c>
      <c r="C4" s="0" t="n">
        <v>310.95</v>
      </c>
      <c r="D4" s="0" t="n">
        <v>333.15</v>
      </c>
      <c r="E4" s="0" t="n">
        <v>342</v>
      </c>
      <c r="F4" s="0" t="n">
        <v>372.02389</v>
      </c>
    </row>
    <row r="5" customFormat="false" ht="15.75" hidden="false" customHeight="false" outlineLevel="0" collapsed="false">
      <c r="A5" s="0" t="s">
        <v>10</v>
      </c>
      <c r="B5" s="0" t="n">
        <v>296</v>
      </c>
      <c r="C5" s="0" t="n">
        <v>312</v>
      </c>
      <c r="D5" s="0" t="n">
        <v>324</v>
      </c>
      <c r="E5" s="0" t="n">
        <v>336.93361</v>
      </c>
      <c r="F5" s="0" t="n">
        <v>343.15</v>
      </c>
    </row>
    <row r="6" customFormat="false" ht="15.75" hidden="false" customHeight="false" outlineLevel="0" collapsed="false">
      <c r="A6" s="0" t="s">
        <v>12</v>
      </c>
      <c r="B6" s="0" t="n">
        <v>298.15</v>
      </c>
      <c r="C6" s="0" t="n">
        <v>313.15</v>
      </c>
      <c r="D6" s="0" t="n">
        <v>323</v>
      </c>
      <c r="E6" s="0" t="n">
        <v>333</v>
      </c>
      <c r="F6" s="0" t="n">
        <v>343</v>
      </c>
    </row>
    <row r="7" customFormat="false" ht="15.75" hidden="false" customHeight="false" outlineLevel="0" collapsed="false">
      <c r="A7" s="0" t="s">
        <v>14</v>
      </c>
      <c r="B7" s="0" t="n">
        <v>383.15</v>
      </c>
      <c r="C7" s="0" t="n">
        <v>388.15</v>
      </c>
      <c r="D7" s="0" t="n">
        <v>393.15</v>
      </c>
      <c r="E7" s="0" t="n">
        <v>425</v>
      </c>
      <c r="F7" s="0" t="n">
        <v>448</v>
      </c>
    </row>
    <row r="8" customFormat="false" ht="15.75" hidden="false" customHeight="false" outlineLevel="0" collapsed="false">
      <c r="A8" s="0" t="s">
        <v>16</v>
      </c>
      <c r="B8" s="0" t="n">
        <v>298.15</v>
      </c>
      <c r="C8" s="0" t="n">
        <v>313.15</v>
      </c>
      <c r="D8" s="0" t="n">
        <v>323</v>
      </c>
      <c r="E8" s="0" t="n">
        <v>333</v>
      </c>
      <c r="F8" s="0" t="n">
        <v>345</v>
      </c>
    </row>
    <row r="9" customFormat="false" ht="15.75" hidden="false" customHeight="false" outlineLevel="0" collapsed="false">
      <c r="A9" s="0" t="s">
        <v>18</v>
      </c>
      <c r="B9" s="0" t="n">
        <v>293.15</v>
      </c>
      <c r="C9" s="0" t="n">
        <v>303.15</v>
      </c>
      <c r="D9" s="0" t="n">
        <v>312</v>
      </c>
      <c r="E9" s="0" t="n">
        <v>321</v>
      </c>
      <c r="F9" s="0" t="n">
        <v>325</v>
      </c>
    </row>
    <row r="10" customFormat="false" ht="15.75" hidden="false" customHeight="false" outlineLevel="0" collapsed="false">
      <c r="A10" s="0" t="s">
        <v>20</v>
      </c>
      <c r="B10" s="0" t="n">
        <v>273.15</v>
      </c>
      <c r="C10" s="0" t="n">
        <v>323.15</v>
      </c>
      <c r="D10" s="0" t="n">
        <v>422.95</v>
      </c>
      <c r="E10" s="0" t="n">
        <v>473.153</v>
      </c>
      <c r="F10" s="0" t="n">
        <v>490</v>
      </c>
    </row>
    <row r="11" customFormat="false" ht="15.75" hidden="false" customHeight="false" outlineLevel="0" collapsed="false">
      <c r="A11" s="0" t="s">
        <v>22</v>
      </c>
      <c r="B11" s="0" t="n">
        <v>294</v>
      </c>
      <c r="C11" s="0" t="n">
        <v>304</v>
      </c>
      <c r="D11" s="0" t="n">
        <v>314</v>
      </c>
      <c r="E11" s="0" t="n">
        <v>318</v>
      </c>
      <c r="F11" s="0" t="n">
        <v>325</v>
      </c>
    </row>
    <row r="12" customFormat="false" ht="15.75" hidden="false" customHeight="false" outlineLevel="0" collapsed="false">
      <c r="A12" s="0" t="s">
        <v>24</v>
      </c>
      <c r="B12" s="0" t="n">
        <v>273.15</v>
      </c>
      <c r="C12" s="0" t="n">
        <v>323.15</v>
      </c>
      <c r="D12" s="0" t="n">
        <v>422.95</v>
      </c>
      <c r="E12" s="0" t="n">
        <v>473.153</v>
      </c>
      <c r="F12" s="0" t="n">
        <v>497</v>
      </c>
    </row>
    <row r="13" customFormat="false" ht="15.75" hidden="false" customHeight="false" outlineLevel="0" collapsed="false">
      <c r="A13" s="0" t="s">
        <v>26</v>
      </c>
      <c r="B13" s="0" t="n">
        <v>283.15</v>
      </c>
      <c r="C13" s="0" t="n">
        <v>293.15</v>
      </c>
      <c r="D13" s="0" t="n">
        <v>303.15</v>
      </c>
      <c r="E13" s="0" t="n">
        <v>313</v>
      </c>
      <c r="F13" s="0" t="n">
        <v>323</v>
      </c>
    </row>
    <row r="14" customFormat="false" ht="15.75" hidden="false" customHeight="false" outlineLevel="0" collapsed="false">
      <c r="A14" s="0" t="s">
        <v>28</v>
      </c>
      <c r="B14" s="0" t="n">
        <v>273.15</v>
      </c>
      <c r="C14" s="0" t="n">
        <v>283.15</v>
      </c>
      <c r="D14" s="0" t="n">
        <v>293.15</v>
      </c>
      <c r="E14" s="0" t="n">
        <v>298.136</v>
      </c>
      <c r="F14" s="0" t="n">
        <v>303.134</v>
      </c>
    </row>
    <row r="15" customFormat="false" ht="15.75" hidden="false" customHeight="false" outlineLevel="0" collapsed="false">
      <c r="A15" s="0" t="s">
        <v>30</v>
      </c>
      <c r="B15" s="0" t="n">
        <v>273.15</v>
      </c>
      <c r="C15" s="0" t="n">
        <v>293.15</v>
      </c>
      <c r="D15" s="0" t="n">
        <v>303.15</v>
      </c>
      <c r="E15" s="0" t="n">
        <v>313.13</v>
      </c>
      <c r="F15" s="0" t="n">
        <v>325</v>
      </c>
    </row>
    <row r="16" customFormat="false" ht="15.75" hidden="false" customHeight="false" outlineLevel="0" collapsed="false">
      <c r="A16" s="0" t="s">
        <v>32</v>
      </c>
      <c r="B16" s="0" t="n">
        <v>298.15</v>
      </c>
      <c r="C16" s="0" t="n">
        <v>308.15</v>
      </c>
      <c r="D16" s="0" t="n">
        <v>321.15</v>
      </c>
      <c r="E16" s="0" t="n">
        <v>333.124</v>
      </c>
      <c r="F16" s="0" t="n">
        <v>338.124</v>
      </c>
    </row>
    <row r="17" customFormat="false" ht="15.75" hidden="false" customHeight="false" outlineLevel="0" collapsed="false">
      <c r="A17" s="0" t="s">
        <v>34</v>
      </c>
      <c r="B17" s="0" t="n">
        <v>313.15</v>
      </c>
      <c r="C17" s="0" t="n">
        <v>333.15</v>
      </c>
      <c r="D17" s="0" t="n">
        <v>353.15</v>
      </c>
      <c r="E17" s="0" t="n">
        <v>373.124</v>
      </c>
      <c r="F17" s="0" t="n">
        <v>379</v>
      </c>
    </row>
    <row r="18" customFormat="false" ht="15.75" hidden="false" customHeight="false" outlineLevel="0" collapsed="false">
      <c r="A18" s="0" t="s">
        <v>36</v>
      </c>
      <c r="B18" s="0" t="n">
        <v>298.15</v>
      </c>
      <c r="C18" s="0" t="n">
        <v>303.15</v>
      </c>
      <c r="D18" s="0" t="n">
        <v>313.15</v>
      </c>
      <c r="E18" s="0" t="n">
        <v>323.15</v>
      </c>
      <c r="F18" s="0" t="n">
        <v>329</v>
      </c>
    </row>
    <row r="19" customFormat="false" ht="15.75" hidden="false" customHeight="false" outlineLevel="0" collapsed="false">
      <c r="A19" s="0" t="s">
        <v>38</v>
      </c>
      <c r="B19" s="0" t="n">
        <v>298</v>
      </c>
      <c r="C19" s="0" t="n">
        <v>309</v>
      </c>
      <c r="D19" s="0" t="n">
        <v>320</v>
      </c>
      <c r="E19" s="0" t="n">
        <v>328</v>
      </c>
      <c r="F19" s="0" t="n">
        <v>332</v>
      </c>
    </row>
    <row r="20" customFormat="false" ht="15.75" hidden="false" customHeight="false" outlineLevel="0" collapsed="false">
      <c r="A20" s="0" t="s">
        <v>40</v>
      </c>
      <c r="B20" s="0" t="n">
        <v>298.15</v>
      </c>
      <c r="C20" s="0" t="n">
        <v>303.15</v>
      </c>
      <c r="D20" s="0" t="n">
        <v>313.15</v>
      </c>
      <c r="E20" s="0" t="n">
        <v>318.15</v>
      </c>
      <c r="F20" s="0" t="n">
        <v>323.15</v>
      </c>
    </row>
    <row r="21" customFormat="false" ht="15.75" hidden="false" customHeight="false" outlineLevel="0" collapsed="false">
      <c r="A21" s="0" t="s">
        <v>42</v>
      </c>
      <c r="B21" s="0" t="n">
        <v>312.2549</v>
      </c>
      <c r="C21" s="0" t="n">
        <v>339.05</v>
      </c>
      <c r="D21" s="0" t="n">
        <v>363.15</v>
      </c>
      <c r="E21" s="0" t="n">
        <v>374</v>
      </c>
      <c r="F21" s="0" t="n">
        <v>383</v>
      </c>
    </row>
    <row r="22" customFormat="false" ht="15.75" hidden="false" customHeight="false" outlineLevel="0" collapsed="false">
      <c r="A22" s="0" t="s">
        <v>44</v>
      </c>
      <c r="B22" s="0" t="n">
        <v>283.15</v>
      </c>
      <c r="C22" s="0" t="n">
        <v>293.15</v>
      </c>
      <c r="D22" s="0" t="n">
        <v>303.15</v>
      </c>
      <c r="E22" s="0" t="n">
        <v>313.140055</v>
      </c>
      <c r="F22" s="0" t="n">
        <v>319</v>
      </c>
    </row>
    <row r="23" customFormat="false" ht="15.75" hidden="false" customHeight="false" outlineLevel="0" collapsed="false">
      <c r="A23" s="0" t="s">
        <v>46</v>
      </c>
      <c r="B23" s="0" t="n">
        <v>303.15</v>
      </c>
      <c r="C23" s="0" t="n">
        <v>313.15</v>
      </c>
      <c r="D23" s="0" t="n">
        <v>333.15</v>
      </c>
      <c r="E23" s="0" t="n">
        <v>338</v>
      </c>
      <c r="F23" s="0" t="n">
        <v>342</v>
      </c>
    </row>
    <row r="24" customFormat="false" ht="15.75" hidden="false" customHeight="false" outlineLevel="0" collapsed="false">
      <c r="A24" s="0" t="s">
        <v>48</v>
      </c>
      <c r="B24" s="0" t="n">
        <v>303.15</v>
      </c>
      <c r="C24" s="0" t="n">
        <v>313.15</v>
      </c>
      <c r="D24" s="0" t="n">
        <v>333.15</v>
      </c>
      <c r="E24" s="0" t="n">
        <v>341</v>
      </c>
      <c r="F24" s="0" t="n">
        <v>346</v>
      </c>
    </row>
    <row r="25" customFormat="false" ht="15.75" hidden="false" customHeight="false" outlineLevel="0" collapsed="false">
      <c r="A25" s="0" t="s">
        <v>50</v>
      </c>
      <c r="B25" s="0" t="n">
        <v>303.15</v>
      </c>
      <c r="C25" s="0" t="n">
        <v>313.15</v>
      </c>
      <c r="D25" s="0" t="n">
        <v>333.15</v>
      </c>
      <c r="E25" s="0" t="n">
        <v>342</v>
      </c>
      <c r="F25" s="0" t="n">
        <v>346</v>
      </c>
    </row>
    <row r="26" customFormat="false" ht="15.75" hidden="false" customHeight="false" outlineLevel="0" collapsed="false">
      <c r="A26" s="0" t="s">
        <v>52</v>
      </c>
      <c r="B26" s="0" t="n">
        <v>303.15</v>
      </c>
      <c r="C26" s="0" t="n">
        <v>313.15</v>
      </c>
      <c r="D26" s="0" t="n">
        <v>333.15</v>
      </c>
      <c r="E26" s="0" t="n">
        <v>341</v>
      </c>
      <c r="F26" s="0" t="n">
        <v>346</v>
      </c>
    </row>
    <row r="27" customFormat="false" ht="15.75" hidden="false" customHeight="false" outlineLevel="0" collapsed="false">
      <c r="A27" s="0" t="s">
        <v>54</v>
      </c>
      <c r="B27" s="0" t="n">
        <v>302</v>
      </c>
      <c r="C27" s="0" t="n">
        <v>312</v>
      </c>
      <c r="D27" s="0" t="n">
        <v>317</v>
      </c>
      <c r="E27" s="0" t="n">
        <v>322</v>
      </c>
      <c r="F27" s="0" t="n">
        <v>328</v>
      </c>
    </row>
    <row r="28" customFormat="false" ht="15.75" hidden="false" customHeight="false" outlineLevel="0" collapsed="false">
      <c r="A28" s="0" t="s">
        <v>56</v>
      </c>
      <c r="B28" s="0" t="n">
        <v>303.15</v>
      </c>
      <c r="C28" s="0" t="n">
        <v>313.15</v>
      </c>
      <c r="D28" s="0" t="n">
        <v>333.15</v>
      </c>
      <c r="E28" s="0" t="n">
        <v>341</v>
      </c>
      <c r="F28" s="0" t="n">
        <v>345</v>
      </c>
    </row>
    <row r="29" customFormat="false" ht="15.75" hidden="false" customHeight="false" outlineLevel="0" collapsed="false">
      <c r="A29" s="0" t="s">
        <v>58</v>
      </c>
      <c r="B29" s="0" t="n">
        <v>293.15</v>
      </c>
      <c r="C29" s="0" t="n">
        <v>298.1</v>
      </c>
      <c r="D29" s="0" t="n">
        <v>303.15</v>
      </c>
      <c r="E29" s="0" t="n">
        <v>308.132</v>
      </c>
      <c r="F29" s="0" t="n">
        <v>315</v>
      </c>
    </row>
    <row r="30" customFormat="false" ht="15.75" hidden="false" customHeight="false" outlineLevel="0" collapsed="false">
      <c r="A30" s="0" t="s">
        <v>60</v>
      </c>
      <c r="B30" s="0" t="n">
        <v>323.15</v>
      </c>
      <c r="C30" s="0" t="n">
        <v>348.15</v>
      </c>
      <c r="D30" s="0" t="n">
        <v>373.15</v>
      </c>
      <c r="E30" s="0" t="n">
        <v>377</v>
      </c>
      <c r="F30" s="0" t="n">
        <v>383</v>
      </c>
    </row>
    <row r="31" customFormat="false" ht="15.75" hidden="false" customHeight="false" outlineLevel="0" collapsed="false">
      <c r="A31" s="0" t="s">
        <v>62</v>
      </c>
      <c r="B31" s="0" t="n">
        <v>323.15</v>
      </c>
      <c r="C31" s="0" t="n">
        <v>422.95</v>
      </c>
      <c r="D31" s="0" t="n">
        <v>473.15</v>
      </c>
      <c r="E31" s="0" t="n">
        <v>473.15</v>
      </c>
      <c r="F31" s="0" t="n">
        <v>473.15</v>
      </c>
    </row>
    <row r="32" customFormat="false" ht="15.75" hidden="false" customHeight="false" outlineLevel="0" collapsed="false">
      <c r="A32" s="0" t="s">
        <v>64</v>
      </c>
      <c r="B32" s="0" t="n">
        <v>298.15</v>
      </c>
      <c r="C32" s="0" t="n">
        <v>309</v>
      </c>
      <c r="D32" s="0" t="n">
        <v>319</v>
      </c>
      <c r="E32" s="0" t="n">
        <v>326</v>
      </c>
      <c r="F32" s="0" t="n">
        <v>333</v>
      </c>
    </row>
    <row r="33" customFormat="false" ht="15.75" hidden="false" customHeight="false" outlineLevel="0" collapsed="false">
      <c r="A33" s="0" t="s">
        <v>66</v>
      </c>
      <c r="B33" s="0" t="n">
        <v>383.15</v>
      </c>
      <c r="C33" s="0" t="n">
        <v>388.15</v>
      </c>
      <c r="D33" s="0" t="n">
        <v>393.15</v>
      </c>
      <c r="E33" s="0" t="n">
        <v>404</v>
      </c>
      <c r="F33" s="0" t="n">
        <v>414</v>
      </c>
    </row>
    <row r="34" customFormat="false" ht="15.75" hidden="false" customHeight="false" outlineLevel="0" collapsed="false">
      <c r="A34" s="0" t="s">
        <v>68</v>
      </c>
      <c r="B34" s="0" t="n">
        <v>293.15</v>
      </c>
      <c r="C34" s="0" t="n">
        <v>288.15</v>
      </c>
      <c r="D34" s="0" t="n">
        <v>303.15</v>
      </c>
      <c r="E34" s="0" t="n">
        <v>308</v>
      </c>
      <c r="F34" s="0" t="n">
        <v>314</v>
      </c>
    </row>
    <row r="35" customFormat="false" ht="15.75" hidden="false" customHeight="false" outlineLevel="0" collapsed="false">
      <c r="A35" s="0" t="s">
        <v>70</v>
      </c>
      <c r="B35" s="0" t="n">
        <v>303.15</v>
      </c>
      <c r="C35" s="0" t="n">
        <v>313.15</v>
      </c>
      <c r="D35" s="0" t="n">
        <v>333.15</v>
      </c>
      <c r="E35" s="0" t="n">
        <v>341</v>
      </c>
      <c r="F35" s="0" t="n">
        <v>346</v>
      </c>
    </row>
    <row r="36" customFormat="false" ht="15.75" hidden="false" customHeight="false" outlineLevel="0" collapsed="false">
      <c r="A36" s="0" t="s">
        <v>72</v>
      </c>
      <c r="B36" s="0" t="n">
        <v>303.15</v>
      </c>
      <c r="C36" s="0" t="n">
        <v>313.15</v>
      </c>
      <c r="D36" s="0" t="n">
        <v>333.15</v>
      </c>
      <c r="E36" s="0" t="n">
        <v>342</v>
      </c>
      <c r="F36" s="0" t="n">
        <v>346</v>
      </c>
    </row>
    <row r="37" customFormat="false" ht="15.75" hidden="false" customHeight="false" outlineLevel="0" collapsed="false">
      <c r="A37" s="0" t="s">
        <v>74</v>
      </c>
      <c r="B37" s="0" t="n">
        <v>303.15</v>
      </c>
      <c r="C37" s="0" t="n">
        <v>313.15</v>
      </c>
      <c r="D37" s="0" t="n">
        <v>333.15</v>
      </c>
      <c r="E37" s="0" t="n">
        <v>341</v>
      </c>
      <c r="F37" s="0" t="n">
        <v>346</v>
      </c>
    </row>
    <row r="38" customFormat="false" ht="15.75" hidden="false" customHeight="false" outlineLevel="0" collapsed="false">
      <c r="A38" s="0" t="s">
        <v>76</v>
      </c>
      <c r="B38" s="0" t="n">
        <v>303.15</v>
      </c>
      <c r="C38" s="0" t="n">
        <v>313.15</v>
      </c>
      <c r="D38" s="0" t="n">
        <v>333.15</v>
      </c>
      <c r="E38" s="0" t="n">
        <v>338</v>
      </c>
      <c r="F38" s="0" t="n">
        <v>343</v>
      </c>
    </row>
    <row r="39" customFormat="false" ht="15.75" hidden="false" customHeight="false" outlineLevel="0" collapsed="false">
      <c r="A39" s="0" t="s">
        <v>78</v>
      </c>
      <c r="B39" s="0" t="n">
        <v>303.15</v>
      </c>
      <c r="C39" s="0" t="n">
        <v>313.15</v>
      </c>
      <c r="D39" s="0" t="n">
        <v>333.15</v>
      </c>
      <c r="E39" s="0" t="n">
        <v>341</v>
      </c>
      <c r="F39" s="0" t="n">
        <v>350</v>
      </c>
    </row>
    <row r="40" customFormat="false" ht="15.75" hidden="false" customHeight="false" outlineLevel="0" collapsed="false">
      <c r="A40" s="0" t="s">
        <v>80</v>
      </c>
      <c r="B40" s="0" t="n">
        <v>303.15</v>
      </c>
      <c r="C40" s="0" t="n">
        <v>313.15</v>
      </c>
      <c r="D40" s="0" t="n">
        <v>333.15</v>
      </c>
      <c r="E40" s="0" t="n">
        <v>341</v>
      </c>
      <c r="F40" s="0" t="n">
        <v>351</v>
      </c>
    </row>
    <row r="41" customFormat="false" ht="15.75" hidden="false" customHeight="false" outlineLevel="0" collapsed="false">
      <c r="A41" s="0" t="s">
        <v>82</v>
      </c>
      <c r="B41" s="0" t="n">
        <v>303.15</v>
      </c>
      <c r="C41" s="0" t="n">
        <v>313.15</v>
      </c>
      <c r="D41" s="0" t="n">
        <v>333.15</v>
      </c>
      <c r="E41" s="0" t="n">
        <v>342</v>
      </c>
      <c r="F41" s="0" t="n">
        <v>351</v>
      </c>
    </row>
    <row r="42" customFormat="false" ht="15.75" hidden="false" customHeight="false" outlineLevel="0" collapsed="false">
      <c r="A42" s="0" t="s">
        <v>84</v>
      </c>
      <c r="B42" s="0" t="n">
        <v>303.15</v>
      </c>
      <c r="C42" s="0" t="n">
        <v>313.15</v>
      </c>
      <c r="D42" s="0" t="n">
        <v>333.15</v>
      </c>
      <c r="E42" s="0" t="n">
        <v>341</v>
      </c>
      <c r="F42" s="0" t="n">
        <v>351</v>
      </c>
    </row>
    <row r="43" customFormat="false" ht="15.75" hidden="false" customHeight="false" outlineLevel="0" collapsed="false">
      <c r="A43" s="0" t="s">
        <v>86</v>
      </c>
      <c r="B43" s="0" t="n">
        <v>303.15</v>
      </c>
      <c r="C43" s="0" t="n">
        <v>313.15</v>
      </c>
      <c r="D43" s="0" t="n">
        <v>333.15</v>
      </c>
      <c r="E43" s="0" t="n">
        <v>343</v>
      </c>
      <c r="F43" s="0" t="n">
        <v>353</v>
      </c>
    </row>
    <row r="44" customFormat="false" ht="15.75" hidden="false" customHeight="false" outlineLevel="0" collapsed="false">
      <c r="A44" s="0" t="s">
        <v>88</v>
      </c>
      <c r="B44" s="0" t="n">
        <v>343.15</v>
      </c>
      <c r="C44" s="0" t="n">
        <v>353.15</v>
      </c>
      <c r="D44" s="0" t="n">
        <v>373.15</v>
      </c>
      <c r="E44" s="0" t="n">
        <v>379.97537</v>
      </c>
      <c r="F44" s="0" t="n">
        <v>389</v>
      </c>
    </row>
    <row r="45" customFormat="false" ht="15.75" hidden="false" customHeight="false" outlineLevel="0" collapsed="false">
      <c r="A45" s="0" t="s">
        <v>90</v>
      </c>
      <c r="B45" s="0" t="n">
        <v>383.15</v>
      </c>
      <c r="C45" s="0" t="n">
        <v>388.15</v>
      </c>
      <c r="D45" s="0" t="n">
        <v>393.15</v>
      </c>
      <c r="E45" s="0" t="n">
        <v>402</v>
      </c>
      <c r="F45" s="0" t="n">
        <v>411</v>
      </c>
    </row>
    <row r="46" customFormat="false" ht="15.75" hidden="false" customHeight="false" outlineLevel="0" collapsed="false">
      <c r="A46" s="0" t="s">
        <v>92</v>
      </c>
      <c r="B46" s="0" t="n">
        <v>383.15</v>
      </c>
      <c r="C46" s="0" t="n">
        <v>388.15</v>
      </c>
      <c r="D46" s="0" t="n">
        <v>393.15</v>
      </c>
      <c r="E46" s="0" t="n">
        <v>405</v>
      </c>
      <c r="F46" s="0" t="n">
        <v>416</v>
      </c>
    </row>
    <row r="47" customFormat="false" ht="15.75" hidden="false" customHeight="false" outlineLevel="0" collapsed="false">
      <c r="A47" s="0" t="s">
        <v>94</v>
      </c>
      <c r="B47" s="0" t="n">
        <v>293.15</v>
      </c>
      <c r="C47" s="0" t="n">
        <v>303.15</v>
      </c>
      <c r="D47" s="0" t="n">
        <v>313.15</v>
      </c>
      <c r="E47" s="0" t="n">
        <v>324</v>
      </c>
      <c r="F47" s="0" t="n">
        <v>336</v>
      </c>
    </row>
    <row r="48" customFormat="false" ht="15.75" hidden="false" customHeight="false" outlineLevel="0" collapsed="false">
      <c r="A48" s="0" t="s">
        <v>96</v>
      </c>
      <c r="B48" s="0" t="n">
        <v>295</v>
      </c>
      <c r="C48" s="0" t="n">
        <v>304</v>
      </c>
      <c r="D48" s="0" t="n">
        <v>313</v>
      </c>
      <c r="E48" s="0" t="n">
        <v>321</v>
      </c>
      <c r="F48" s="0" t="n">
        <v>330</v>
      </c>
    </row>
    <row r="49" customFormat="false" ht="15.75" hidden="false" customHeight="false" outlineLevel="0" collapsed="false">
      <c r="A49" s="0" t="s">
        <v>98</v>
      </c>
      <c r="B49" s="0" t="n">
        <v>303.15</v>
      </c>
      <c r="C49" s="0" t="n">
        <v>313.15</v>
      </c>
      <c r="D49" s="0" t="n">
        <v>333.15</v>
      </c>
      <c r="E49" s="0" t="n">
        <v>341</v>
      </c>
      <c r="F49" s="0" t="n">
        <v>351</v>
      </c>
    </row>
    <row r="50" customFormat="false" ht="15.75" hidden="false" customHeight="false" outlineLevel="0" collapsed="false">
      <c r="A50" s="0" t="s">
        <v>100</v>
      </c>
      <c r="B50" s="0" t="n">
        <v>303.15</v>
      </c>
      <c r="C50" s="0" t="n">
        <v>313.15</v>
      </c>
      <c r="D50" s="0" t="n">
        <v>333.15</v>
      </c>
      <c r="E50" s="0" t="n">
        <v>341</v>
      </c>
      <c r="F50" s="0" t="n">
        <v>351</v>
      </c>
    </row>
    <row r="51" customFormat="false" ht="15.75" hidden="false" customHeight="false" outlineLevel="0" collapsed="false">
      <c r="A51" s="0" t="s">
        <v>102</v>
      </c>
      <c r="B51" s="0" t="n">
        <v>303.15</v>
      </c>
      <c r="C51" s="0" t="n">
        <v>313.15</v>
      </c>
      <c r="D51" s="0" t="n">
        <v>333.15</v>
      </c>
      <c r="E51" s="0" t="n">
        <v>343</v>
      </c>
      <c r="F51" s="0" t="n">
        <v>353</v>
      </c>
    </row>
    <row r="52" customFormat="false" ht="15.75" hidden="false" customHeight="false" outlineLevel="0" collapsed="false">
      <c r="A52" s="0" t="s">
        <v>104</v>
      </c>
      <c r="B52" s="0" t="n">
        <v>303.15</v>
      </c>
      <c r="C52" s="0" t="n">
        <v>313.15</v>
      </c>
      <c r="D52" s="0" t="n">
        <v>333.15</v>
      </c>
      <c r="E52" s="0" t="n">
        <v>341</v>
      </c>
      <c r="F52" s="0" t="n">
        <v>351</v>
      </c>
    </row>
    <row r="53" customFormat="false" ht="15.75" hidden="false" customHeight="false" outlineLevel="0" collapsed="false">
      <c r="A53" s="0" t="s">
        <v>106</v>
      </c>
      <c r="B53" s="0" t="n">
        <v>303.15</v>
      </c>
      <c r="C53" s="0" t="n">
        <v>313.15</v>
      </c>
      <c r="D53" s="0" t="n">
        <v>333.15</v>
      </c>
      <c r="E53" s="0" t="n">
        <v>343</v>
      </c>
      <c r="F53" s="0" t="n">
        <v>353</v>
      </c>
    </row>
    <row r="54" customFormat="false" ht="15.75" hidden="false" customHeight="false" outlineLevel="0" collapsed="false">
      <c r="A54" s="0" t="s">
        <v>108</v>
      </c>
      <c r="B54" s="0" t="n">
        <v>303.15</v>
      </c>
      <c r="C54" s="0" t="n">
        <v>313.15</v>
      </c>
      <c r="D54" s="0" t="n">
        <v>333.15</v>
      </c>
      <c r="E54" s="0" t="n">
        <v>341</v>
      </c>
      <c r="F54" s="0" t="n">
        <v>351</v>
      </c>
    </row>
    <row r="55" customFormat="false" ht="15.75" hidden="false" customHeight="false" outlineLevel="0" collapsed="false">
      <c r="A55" s="0" t="s">
        <v>110</v>
      </c>
      <c r="B55" s="0" t="n">
        <v>293.15</v>
      </c>
      <c r="C55" s="0" t="n">
        <v>303.15</v>
      </c>
      <c r="D55" s="0" t="n">
        <v>313.15</v>
      </c>
      <c r="E55" s="0" t="n">
        <v>318.15</v>
      </c>
      <c r="F55" s="0" t="n">
        <v>323.15</v>
      </c>
    </row>
    <row r="56" customFormat="false" ht="15.75" hidden="false" customHeight="false" outlineLevel="0" collapsed="false">
      <c r="A56" s="0" t="s">
        <v>112</v>
      </c>
      <c r="B56" s="0" t="n">
        <v>293.16</v>
      </c>
      <c r="C56" s="0" t="n">
        <v>288.16</v>
      </c>
      <c r="D56" s="0" t="n">
        <v>318.16</v>
      </c>
      <c r="E56" s="0" t="n">
        <v>333.124</v>
      </c>
      <c r="F56" s="0" t="n">
        <v>348.1235</v>
      </c>
    </row>
    <row r="57" customFormat="false" ht="15.75" hidden="false" customHeight="false" outlineLevel="0" collapsed="false">
      <c r="A57" s="0" t="s">
        <v>114</v>
      </c>
      <c r="B57" s="0" t="n">
        <v>298.15</v>
      </c>
      <c r="C57" s="0" t="n">
        <v>323.15</v>
      </c>
      <c r="D57" s="0" t="n">
        <v>348.15</v>
      </c>
      <c r="E57" s="0" t="n">
        <v>353.15</v>
      </c>
      <c r="F57" s="0" t="n">
        <v>363.15</v>
      </c>
    </row>
    <row r="58" customFormat="false" ht="15.75" hidden="false" customHeight="false" outlineLevel="0" collapsed="false">
      <c r="A58" s="0" t="s">
        <v>116</v>
      </c>
      <c r="B58" s="0" t="n">
        <v>323.15</v>
      </c>
      <c r="C58" s="0" t="n">
        <v>343.15</v>
      </c>
      <c r="D58" s="0" t="n">
        <v>353.15</v>
      </c>
      <c r="E58" s="0" t="n">
        <v>360</v>
      </c>
      <c r="F58" s="0" t="n">
        <v>370</v>
      </c>
    </row>
    <row r="59" customFormat="false" ht="15.75" hidden="false" customHeight="false" outlineLevel="0" collapsed="false">
      <c r="A59" s="0" t="s">
        <v>118</v>
      </c>
      <c r="B59" s="0" t="n">
        <v>298.15</v>
      </c>
      <c r="C59" s="0" t="n">
        <v>303.15</v>
      </c>
      <c r="D59" s="0" t="n">
        <v>308.15</v>
      </c>
      <c r="E59" s="0" t="n">
        <v>313.15</v>
      </c>
      <c r="F59" s="0" t="n">
        <v>318.15</v>
      </c>
    </row>
    <row r="60" customFormat="false" ht="15.75" hidden="false" customHeight="false" outlineLevel="0" collapsed="false">
      <c r="A60" s="0" t="s">
        <v>120</v>
      </c>
      <c r="B60" s="0" t="n">
        <v>273.24</v>
      </c>
      <c r="C60" s="0" t="n">
        <v>283.15</v>
      </c>
      <c r="D60" s="0" t="n">
        <v>293.15</v>
      </c>
      <c r="E60" s="0" t="n">
        <v>298.136</v>
      </c>
      <c r="F60" s="0" t="n">
        <v>304</v>
      </c>
    </row>
    <row r="61" customFormat="false" ht="15.75" hidden="false" customHeight="false" outlineLevel="0" collapsed="false">
      <c r="A61" s="0" t="s">
        <v>122</v>
      </c>
      <c r="B61" s="0" t="n">
        <v>298.15</v>
      </c>
      <c r="C61" s="0" t="n">
        <v>303.15</v>
      </c>
      <c r="D61" s="0" t="n">
        <v>308.15</v>
      </c>
      <c r="E61" s="0" t="n">
        <v>318.15</v>
      </c>
      <c r="F61" s="0" t="n">
        <v>327</v>
      </c>
    </row>
    <row r="62" customFormat="false" ht="15.75" hidden="false" customHeight="false" outlineLevel="0" collapsed="false">
      <c r="A62" s="0" t="s">
        <v>124</v>
      </c>
      <c r="B62" s="0" t="n">
        <v>296</v>
      </c>
      <c r="C62" s="0" t="n">
        <v>306</v>
      </c>
      <c r="D62" s="0" t="n">
        <v>315</v>
      </c>
      <c r="E62" s="0" t="n">
        <v>329</v>
      </c>
      <c r="F62" s="0" t="n">
        <v>334</v>
      </c>
    </row>
    <row r="63" customFormat="false" ht="15.75" hidden="false" customHeight="false" outlineLevel="0" collapsed="false">
      <c r="A63" s="0" t="s">
        <v>126</v>
      </c>
      <c r="B63" s="0" t="n">
        <v>288.1577</v>
      </c>
      <c r="C63" s="0" t="n">
        <v>303.15</v>
      </c>
      <c r="D63" s="0" t="n">
        <v>293.15119</v>
      </c>
      <c r="E63" s="0" t="n">
        <v>298.15</v>
      </c>
      <c r="F63" s="0" t="n">
        <v>303.134</v>
      </c>
    </row>
    <row r="64" customFormat="false" ht="15.75" hidden="false" customHeight="false" outlineLevel="0" collapsed="false">
      <c r="A64" s="0" t="s">
        <v>128</v>
      </c>
      <c r="B64" s="0" t="n">
        <v>293.15</v>
      </c>
      <c r="C64" s="0" t="n">
        <v>298.1</v>
      </c>
      <c r="D64" s="0" t="n">
        <v>303.15</v>
      </c>
      <c r="E64" s="0" t="n">
        <v>313.15</v>
      </c>
      <c r="F64" s="0" t="n">
        <v>323.1</v>
      </c>
    </row>
    <row r="65" customFormat="false" ht="15.75" hidden="false" customHeight="false" outlineLevel="0" collapsed="false">
      <c r="A65" s="0" t="s">
        <v>130</v>
      </c>
      <c r="B65" s="0" t="n">
        <v>338</v>
      </c>
      <c r="C65" s="0" t="n">
        <v>343</v>
      </c>
      <c r="D65" s="0" t="n">
        <v>353</v>
      </c>
      <c r="E65" s="0" t="n">
        <v>363</v>
      </c>
      <c r="F65" s="0" t="n">
        <v>373</v>
      </c>
    </row>
    <row r="66" customFormat="false" ht="15.75" hidden="false" customHeight="false" outlineLevel="0" collapsed="false">
      <c r="A66" s="0" t="s">
        <v>132</v>
      </c>
      <c r="B66" s="0" t="n">
        <v>298.15</v>
      </c>
      <c r="C66" s="0" t="n">
        <v>303.134</v>
      </c>
      <c r="D66" s="0" t="n">
        <v>353.123</v>
      </c>
      <c r="E66" s="0" t="n">
        <v>361</v>
      </c>
      <c r="F66" s="0" t="n">
        <v>370</v>
      </c>
    </row>
    <row r="67" customFormat="false" ht="15.75" hidden="false" customHeight="false" outlineLevel="0" collapsed="false">
      <c r="A67" s="0" t="s">
        <v>134</v>
      </c>
      <c r="B67" s="0" t="n">
        <v>303.15</v>
      </c>
      <c r="C67" s="0" t="n">
        <v>333.15</v>
      </c>
      <c r="D67" s="0" t="n">
        <v>363.15</v>
      </c>
      <c r="E67" s="0" t="n">
        <v>373.073995</v>
      </c>
      <c r="F67" s="0" t="n">
        <v>453.145</v>
      </c>
    </row>
    <row r="68" customFormat="false" ht="15.75" hidden="false" customHeight="false" outlineLevel="0" collapsed="false">
      <c r="A68" s="0" t="s">
        <v>136</v>
      </c>
      <c r="B68" s="0" t="n">
        <v>298.15</v>
      </c>
      <c r="C68" s="0" t="n">
        <v>308.15</v>
      </c>
      <c r="D68" s="0" t="n">
        <v>318.15</v>
      </c>
      <c r="E68" s="0" t="n">
        <v>328.15</v>
      </c>
      <c r="F68" s="0" t="n">
        <v>338.15</v>
      </c>
    </row>
    <row r="69" customFormat="false" ht="15.75" hidden="false" customHeight="false" outlineLevel="0" collapsed="false">
      <c r="A69" s="0" t="s">
        <v>138</v>
      </c>
      <c r="B69" s="0" t="n">
        <v>298.15173</v>
      </c>
      <c r="C69" s="0" t="n">
        <v>303.15</v>
      </c>
      <c r="D69" s="0" t="n">
        <v>313.15</v>
      </c>
      <c r="E69" s="0" t="n">
        <v>323</v>
      </c>
      <c r="F69" s="0" t="n">
        <v>333</v>
      </c>
    </row>
    <row r="70" customFormat="false" ht="15.75" hidden="false" customHeight="false" outlineLevel="0" collapsed="false">
      <c r="A70" s="0" t="s">
        <v>140</v>
      </c>
      <c r="B70" s="0" t="n">
        <v>298.15</v>
      </c>
      <c r="C70" s="0" t="n">
        <v>303.15</v>
      </c>
      <c r="D70" s="0" t="n">
        <v>313.15</v>
      </c>
      <c r="E70" s="0" t="n">
        <v>323.15</v>
      </c>
      <c r="F70" s="0" t="n">
        <v>323.15</v>
      </c>
    </row>
    <row r="71" customFormat="false" ht="15.75" hidden="false" customHeight="false" outlineLevel="0" collapsed="false">
      <c r="A71" s="0" t="s">
        <v>142</v>
      </c>
      <c r="B71" s="0" t="n">
        <v>338.15</v>
      </c>
      <c r="C71" s="0" t="n">
        <v>348.15</v>
      </c>
      <c r="D71" s="0" t="n">
        <v>358.15</v>
      </c>
      <c r="E71" s="0" t="n">
        <v>358.15</v>
      </c>
      <c r="F71" s="0" t="n">
        <v>358.15</v>
      </c>
    </row>
    <row r="72" customFormat="false" ht="15.75" hidden="false" customHeight="false" outlineLevel="0" collapsed="false">
      <c r="A72" s="0" t="s">
        <v>144</v>
      </c>
      <c r="B72" s="0" t="n">
        <v>298.15</v>
      </c>
      <c r="C72" s="0" t="n">
        <v>323.15</v>
      </c>
      <c r="D72" s="0" t="n">
        <v>373.15</v>
      </c>
      <c r="E72" s="0" t="n">
        <v>385</v>
      </c>
      <c r="F72" s="0" t="n">
        <v>398.1285</v>
      </c>
    </row>
    <row r="73" customFormat="false" ht="15.75" hidden="false" customHeight="false" outlineLevel="0" collapsed="false">
      <c r="A73" s="0" t="s">
        <v>146</v>
      </c>
      <c r="B73" s="0" t="n">
        <v>373.16</v>
      </c>
      <c r="C73" s="0" t="n">
        <v>423.16</v>
      </c>
      <c r="D73" s="0" t="n">
        <v>498.16</v>
      </c>
      <c r="E73" s="0" t="n">
        <v>498.16</v>
      </c>
      <c r="F73" s="0" t="n">
        <v>498.16</v>
      </c>
    </row>
    <row r="74" customFormat="false" ht="15.75" hidden="false" customHeight="false" outlineLevel="0" collapsed="false">
      <c r="A74" s="0" t="s">
        <v>148</v>
      </c>
      <c r="B74" s="0" t="n">
        <v>333.134</v>
      </c>
      <c r="C74" s="0" t="n">
        <v>338.133</v>
      </c>
      <c r="D74" s="0" t="n">
        <v>343.132</v>
      </c>
      <c r="E74" s="0" t="n">
        <v>348.130555</v>
      </c>
      <c r="F74" s="0" t="n">
        <v>353.129055</v>
      </c>
    </row>
    <row r="75" customFormat="false" ht="15.75" hidden="false" customHeight="false" outlineLevel="0" collapsed="false">
      <c r="A75" s="0" t="s">
        <v>150</v>
      </c>
      <c r="B75" s="0" t="n">
        <v>298.149993896484</v>
      </c>
      <c r="C75" s="0" t="n">
        <v>303.15</v>
      </c>
      <c r="D75" s="0" t="n">
        <v>308.15</v>
      </c>
      <c r="E75" s="0" t="n">
        <v>313.13</v>
      </c>
      <c r="F75" s="0" t="n">
        <v>323.15</v>
      </c>
    </row>
    <row r="76" customFormat="false" ht="15.75" hidden="false" customHeight="false" outlineLevel="0" collapsed="false">
      <c r="A76" s="0" t="s">
        <v>152</v>
      </c>
      <c r="B76" s="0" t="n">
        <v>293.149993896484</v>
      </c>
      <c r="C76" s="0" t="n">
        <v>298.149993896484</v>
      </c>
      <c r="D76" s="0" t="n">
        <v>303.15</v>
      </c>
      <c r="E76" s="0" t="n">
        <v>308.15</v>
      </c>
      <c r="F76" s="0" t="n">
        <v>313.05</v>
      </c>
    </row>
    <row r="77" customFormat="false" ht="15.75" hidden="false" customHeight="false" outlineLevel="0" collapsed="false">
      <c r="A77" s="0" t="s">
        <v>154</v>
      </c>
      <c r="B77" s="0" t="n">
        <v>333.149993896484</v>
      </c>
      <c r="C77" s="0" t="n">
        <v>348.12</v>
      </c>
      <c r="D77" s="0" t="n">
        <v>372.040008544922</v>
      </c>
      <c r="E77" s="0" t="n">
        <v>378.125</v>
      </c>
      <c r="F77" s="0" t="n">
        <v>386</v>
      </c>
    </row>
    <row r="78" customFormat="false" ht="15.75" hidden="false" customHeight="false" outlineLevel="0" collapsed="false">
      <c r="A78" s="0" t="s">
        <v>156</v>
      </c>
      <c r="B78" s="0" t="n">
        <v>283.149993896484</v>
      </c>
      <c r="C78" s="0" t="n">
        <v>288.149993896484</v>
      </c>
      <c r="D78" s="0" t="n">
        <v>293.149993896484</v>
      </c>
      <c r="E78" s="0" t="n">
        <v>303.134</v>
      </c>
      <c r="F78" s="0" t="n">
        <v>312</v>
      </c>
    </row>
    <row r="79" customFormat="false" ht="15.75" hidden="false" customHeight="false" outlineLevel="0" collapsed="false">
      <c r="A79" s="0" t="s">
        <v>158</v>
      </c>
      <c r="B79" s="0" t="n">
        <v>298.15</v>
      </c>
      <c r="C79" s="0" t="n">
        <v>308.15</v>
      </c>
      <c r="D79" s="0" t="n">
        <v>318.15</v>
      </c>
      <c r="E79" s="0" t="n">
        <v>323.15</v>
      </c>
      <c r="F79" s="0" t="n">
        <v>338.15</v>
      </c>
    </row>
    <row r="80" customFormat="false" ht="15.75" hidden="false" customHeight="false" outlineLevel="0" collapsed="false">
      <c r="A80" s="0" t="s">
        <v>160</v>
      </c>
      <c r="B80" s="0" t="n">
        <v>313.149993896484</v>
      </c>
      <c r="C80" s="0" t="n">
        <v>333.149993896484</v>
      </c>
      <c r="D80" s="0" t="n">
        <v>353.149993896484</v>
      </c>
      <c r="E80" s="0" t="n">
        <v>358.15</v>
      </c>
      <c r="F80" s="0" t="n">
        <v>363.15</v>
      </c>
    </row>
    <row r="81" customFormat="false" ht="15.75" hidden="false" customHeight="false" outlineLevel="0" collapsed="false">
      <c r="A81" s="0" t="s">
        <v>162</v>
      </c>
      <c r="B81" s="0" t="n">
        <v>288.149993896484</v>
      </c>
      <c r="C81" s="0" t="n">
        <v>293.149993896484</v>
      </c>
      <c r="D81" s="0" t="n">
        <v>298.149993896484</v>
      </c>
      <c r="E81" s="0" t="n">
        <v>303.15</v>
      </c>
      <c r="F81" s="0" t="n">
        <v>308.15</v>
      </c>
    </row>
    <row r="82" customFormat="false" ht="15.75" hidden="false" customHeight="false" outlineLevel="0" collapsed="false">
      <c r="A82" s="0" t="s">
        <v>164</v>
      </c>
      <c r="B82" s="0" t="n">
        <v>293.149993896484</v>
      </c>
      <c r="C82" s="0" t="n">
        <v>306</v>
      </c>
      <c r="D82" s="0" t="n">
        <v>325</v>
      </c>
      <c r="E82" s="0" t="n">
        <v>337</v>
      </c>
      <c r="F82" s="0" t="n">
        <v>343</v>
      </c>
    </row>
    <row r="83" customFormat="false" ht="15.75" hidden="false" customHeight="false" outlineLevel="0" collapsed="false">
      <c r="A83" s="0" t="s">
        <v>166</v>
      </c>
      <c r="B83" s="0" t="n">
        <v>296</v>
      </c>
      <c r="C83" s="0" t="n">
        <v>305</v>
      </c>
      <c r="D83" s="0" t="n">
        <v>314</v>
      </c>
      <c r="E83" s="0" t="n">
        <v>323</v>
      </c>
      <c r="F83" s="0" t="n">
        <v>333</v>
      </c>
    </row>
    <row r="84" customFormat="false" ht="15.75" hidden="false" customHeight="false" outlineLevel="0" collapsed="false">
      <c r="A84" s="0" t="s">
        <v>168</v>
      </c>
      <c r="B84" s="0" t="n">
        <v>293.149993896484</v>
      </c>
      <c r="C84" s="0" t="n">
        <v>298.149993896484</v>
      </c>
      <c r="D84" s="0" t="n">
        <v>308.149993896484</v>
      </c>
      <c r="E84" s="0" t="n">
        <v>313.15</v>
      </c>
      <c r="F84" s="0" t="n">
        <v>318.138555</v>
      </c>
    </row>
    <row r="85" customFormat="false" ht="15.75" hidden="false" customHeight="false" outlineLevel="0" collapsed="false">
      <c r="A85" s="0" t="s">
        <v>170</v>
      </c>
      <c r="B85" s="0" t="n">
        <v>292</v>
      </c>
      <c r="C85" s="0" t="n">
        <v>297</v>
      </c>
      <c r="D85" s="0" t="n">
        <v>302</v>
      </c>
      <c r="E85" s="0" t="n">
        <v>312</v>
      </c>
      <c r="F85" s="0" t="n">
        <v>321</v>
      </c>
    </row>
    <row r="86" customFormat="false" ht="15.75" hidden="false" customHeight="false" outlineLevel="0" collapsed="false">
      <c r="A86" s="0" t="s">
        <v>172</v>
      </c>
      <c r="B86" s="0" t="n">
        <v>288.149993896484</v>
      </c>
      <c r="C86" s="0" t="n">
        <v>293.149993896484</v>
      </c>
      <c r="D86" s="0" t="n">
        <v>298.149993896484</v>
      </c>
      <c r="E86" s="0" t="n">
        <v>303</v>
      </c>
      <c r="F86" s="0" t="n">
        <v>310</v>
      </c>
    </row>
    <row r="87" customFormat="false" ht="15.75" hidden="false" customHeight="false" outlineLevel="0" collapsed="false">
      <c r="A87" s="0" t="s">
        <v>174</v>
      </c>
      <c r="B87" s="0" t="n">
        <v>293.149993896484</v>
      </c>
      <c r="C87" s="0" t="n">
        <v>298.149993896484</v>
      </c>
      <c r="D87" s="0" t="n">
        <v>303.149993896484</v>
      </c>
      <c r="E87" s="0" t="n">
        <v>308.15</v>
      </c>
      <c r="F87" s="0" t="n">
        <v>313.15</v>
      </c>
    </row>
    <row r="88" customFormat="false" ht="15.75" hidden="false" customHeight="false" outlineLevel="0" collapsed="false">
      <c r="A88" s="0" t="s">
        <v>176</v>
      </c>
      <c r="B88" s="0" t="n">
        <v>294.9</v>
      </c>
      <c r="C88" s="0" t="n">
        <v>298.14</v>
      </c>
      <c r="D88" s="0" t="n">
        <v>304.99</v>
      </c>
      <c r="E88" s="0" t="n">
        <v>314.9895</v>
      </c>
      <c r="F88" s="0" t="n">
        <v>324.9865</v>
      </c>
    </row>
    <row r="89" customFormat="false" ht="15.75" hidden="false" customHeight="false" outlineLevel="0" collapsed="false">
      <c r="A89" s="0" t="s">
        <v>178</v>
      </c>
      <c r="B89" s="0" t="n">
        <v>286.649993896484</v>
      </c>
      <c r="C89" s="0" t="n">
        <v>288.149993896484</v>
      </c>
      <c r="D89" s="0" t="n">
        <v>303.149993896484</v>
      </c>
      <c r="E89" s="0" t="n">
        <v>308</v>
      </c>
      <c r="F89" s="0" t="n">
        <v>315</v>
      </c>
    </row>
    <row r="90" customFormat="false" ht="15.75" hidden="false" customHeight="false" outlineLevel="0" collapsed="false">
      <c r="A90" s="0" t="s">
        <v>180</v>
      </c>
      <c r="B90" s="0" t="n">
        <v>273.149993896484</v>
      </c>
      <c r="C90" s="0" t="n">
        <v>293.149993896484</v>
      </c>
      <c r="D90" s="0" t="n">
        <v>313.149993896484</v>
      </c>
      <c r="E90" s="0" t="n">
        <v>318</v>
      </c>
      <c r="F90" s="0" t="n">
        <v>326</v>
      </c>
    </row>
    <row r="91" customFormat="false" ht="15.75" hidden="false" customHeight="false" outlineLevel="0" collapsed="false">
      <c r="A91" s="0" t="s">
        <v>182</v>
      </c>
      <c r="B91" s="0" t="n">
        <v>273.149993896484</v>
      </c>
      <c r="C91" s="0" t="n">
        <v>293.149993896484</v>
      </c>
      <c r="D91" s="0" t="n">
        <v>313.149993896484</v>
      </c>
      <c r="E91" s="0" t="n">
        <v>333.124</v>
      </c>
      <c r="F91" s="0" t="n">
        <v>353.123</v>
      </c>
    </row>
    <row r="92" customFormat="false" ht="15.75" hidden="false" customHeight="false" outlineLevel="0" collapsed="false">
      <c r="A92" s="0" t="s">
        <v>184</v>
      </c>
      <c r="B92" s="0" t="n">
        <v>403.149993896484</v>
      </c>
      <c r="C92" s="0" t="n">
        <v>453.149993896484</v>
      </c>
      <c r="D92" s="0" t="n">
        <v>513.150024414063</v>
      </c>
      <c r="E92" s="0" t="n">
        <v>513.150024414063</v>
      </c>
      <c r="F92" s="0" t="n">
        <v>513.150024414063</v>
      </c>
    </row>
    <row r="93" customFormat="false" ht="15.75" hidden="false" customHeight="false" outlineLevel="0" collapsed="false">
      <c r="A93" s="0" t="s">
        <v>186</v>
      </c>
      <c r="B93" s="0" t="n">
        <v>273.149993896484</v>
      </c>
      <c r="C93" s="0" t="n">
        <v>293.149993896484</v>
      </c>
      <c r="D93" s="0" t="n">
        <v>313.149993896484</v>
      </c>
      <c r="E93" s="0" t="n">
        <v>324</v>
      </c>
      <c r="F93" s="0" t="n">
        <v>332</v>
      </c>
    </row>
    <row r="94" customFormat="false" ht="15.75" hidden="false" customHeight="false" outlineLevel="0" collapsed="false">
      <c r="A94" s="0" t="s">
        <v>188</v>
      </c>
      <c r="B94" s="0" t="n">
        <v>293</v>
      </c>
      <c r="C94" s="0" t="n">
        <v>306</v>
      </c>
      <c r="D94" s="0" t="n">
        <v>318</v>
      </c>
      <c r="E94" s="0" t="n">
        <v>325</v>
      </c>
      <c r="F94" s="0" t="n">
        <v>331</v>
      </c>
    </row>
    <row r="95" customFormat="false" ht="15.75" hidden="false" customHeight="false" outlineLevel="0" collapsed="false">
      <c r="A95" s="0" t="s">
        <v>190</v>
      </c>
      <c r="B95" s="0" t="n">
        <v>293.149993896484</v>
      </c>
      <c r="C95" s="0" t="n">
        <v>298.149993896484</v>
      </c>
      <c r="D95" s="0" t="n">
        <v>303.149993896484</v>
      </c>
      <c r="E95" s="0" t="n">
        <v>303.149993896484</v>
      </c>
      <c r="F95" s="0" t="n">
        <v>303.149993896484</v>
      </c>
    </row>
    <row r="96" customFormat="false" ht="15.75" hidden="false" customHeight="false" outlineLevel="0" collapsed="false">
      <c r="A96" s="0" t="s">
        <v>192</v>
      </c>
      <c r="B96" s="0" t="n">
        <v>298.149993896484</v>
      </c>
      <c r="C96" s="0" t="n">
        <v>308.15</v>
      </c>
      <c r="D96" s="0" t="n">
        <v>318.15</v>
      </c>
      <c r="E96" s="0" t="n">
        <v>325</v>
      </c>
      <c r="F96" s="0" t="n">
        <v>335</v>
      </c>
    </row>
    <row r="97" customFormat="false" ht="15.75" hidden="false" customHeight="false" outlineLevel="0" collapsed="false">
      <c r="A97" s="0" t="s">
        <v>194</v>
      </c>
      <c r="B97" s="0" t="n">
        <v>300</v>
      </c>
      <c r="C97" s="0" t="n">
        <v>310</v>
      </c>
      <c r="D97" s="0" t="n">
        <v>320</v>
      </c>
      <c r="E97" s="0" t="n">
        <v>330</v>
      </c>
      <c r="F97" s="0" t="n">
        <v>340</v>
      </c>
    </row>
    <row r="98" customFormat="false" ht="15.75" hidden="false" customHeight="false" outlineLevel="0" collapsed="false">
      <c r="A98" s="0" t="s">
        <v>196</v>
      </c>
      <c r="B98" s="0" t="n">
        <v>298.15</v>
      </c>
      <c r="C98" s="0" t="n">
        <v>308.15</v>
      </c>
      <c r="D98" s="0" t="n">
        <v>318.15</v>
      </c>
      <c r="E98" s="0" t="n">
        <v>323</v>
      </c>
      <c r="F98" s="0" t="n">
        <v>332</v>
      </c>
    </row>
    <row r="99" customFormat="false" ht="15.75" hidden="false" customHeight="false" outlineLevel="0" collapsed="false">
      <c r="A99" s="0" t="s">
        <v>198</v>
      </c>
      <c r="B99" s="0" t="n">
        <v>293.149993896484</v>
      </c>
      <c r="C99" s="0" t="n">
        <v>298.149993896484</v>
      </c>
      <c r="D99" s="0" t="n">
        <v>303.149993896484</v>
      </c>
      <c r="E99" s="0" t="n">
        <v>308.15</v>
      </c>
      <c r="F99" s="0" t="n">
        <v>315</v>
      </c>
    </row>
    <row r="100" customFormat="false" ht="15.75" hidden="false" customHeight="false" outlineLevel="0" collapsed="false">
      <c r="A100" s="0" t="s">
        <v>200</v>
      </c>
      <c r="B100" s="0" t="n">
        <v>404.149993896484</v>
      </c>
      <c r="C100" s="0" t="n">
        <v>422</v>
      </c>
      <c r="D100" s="0" t="n">
        <v>445</v>
      </c>
      <c r="E100" s="0" t="n">
        <v>453</v>
      </c>
      <c r="F100" s="0" t="n">
        <v>462</v>
      </c>
    </row>
    <row r="101" customFormat="false" ht="15.75" hidden="false" customHeight="false" outlineLevel="0" collapsed="false">
      <c r="A101" s="0" t="s">
        <v>202</v>
      </c>
      <c r="B101" s="0" t="n">
        <v>297</v>
      </c>
      <c r="C101" s="0" t="n">
        <v>309</v>
      </c>
      <c r="D101" s="0" t="n">
        <v>317</v>
      </c>
      <c r="E101" s="0" t="n">
        <v>325</v>
      </c>
      <c r="F101" s="0" t="n">
        <v>334</v>
      </c>
    </row>
    <row r="102" customFormat="false" ht="15.75" hidden="false" customHeight="false" outlineLevel="0" collapsed="false">
      <c r="A102" s="0" t="s">
        <v>204</v>
      </c>
      <c r="B102" s="0" t="n">
        <v>298.149993896484</v>
      </c>
      <c r="C102" s="0" t="n">
        <v>308.15</v>
      </c>
      <c r="D102" s="0" t="n">
        <v>318.15</v>
      </c>
      <c r="E102" s="0" t="n">
        <v>324</v>
      </c>
      <c r="F102" s="0" t="n">
        <v>332</v>
      </c>
    </row>
    <row r="103" customFormat="false" ht="15.75" hidden="false" customHeight="false" outlineLevel="0" collapsed="false">
      <c r="A103" s="0" t="s">
        <v>206</v>
      </c>
      <c r="B103" s="0" t="n">
        <v>293.149993896484</v>
      </c>
      <c r="C103" s="0" t="n">
        <v>298.15</v>
      </c>
      <c r="D103" s="0" t="n">
        <v>303.15</v>
      </c>
      <c r="E103" s="0" t="n">
        <v>308.15</v>
      </c>
      <c r="F103" s="0" t="n">
        <v>313.15</v>
      </c>
    </row>
    <row r="104" customFormat="false" ht="15.75" hidden="false" customHeight="false" outlineLevel="0" collapsed="false">
      <c r="A104" s="0" t="s">
        <v>208</v>
      </c>
      <c r="B104" s="0" t="n">
        <v>293.149993896484</v>
      </c>
      <c r="C104" s="0" t="n">
        <v>313.149993896484</v>
      </c>
      <c r="D104" s="0" t="n">
        <v>333.149993896484</v>
      </c>
      <c r="E104" s="0" t="n">
        <v>342</v>
      </c>
      <c r="F104" s="0" t="n">
        <v>353.123</v>
      </c>
    </row>
    <row r="105" customFormat="false" ht="15.75" hidden="false" customHeight="false" outlineLevel="0" collapsed="false">
      <c r="A105" s="0" t="s">
        <v>210</v>
      </c>
      <c r="B105" s="0" t="n">
        <v>273.149993896484</v>
      </c>
      <c r="C105" s="0" t="n">
        <v>278.147</v>
      </c>
      <c r="D105" s="0" t="n">
        <v>283.144</v>
      </c>
      <c r="E105" s="0" t="n">
        <v>288.141</v>
      </c>
      <c r="F105" s="0" t="n">
        <v>293.138</v>
      </c>
    </row>
    <row r="106" customFormat="false" ht="15.75" hidden="false" customHeight="false" outlineLevel="0" collapsed="false">
      <c r="A106" s="0" t="s">
        <v>212</v>
      </c>
      <c r="B106" s="0" t="n">
        <v>273.149993896484</v>
      </c>
      <c r="C106" s="0" t="n">
        <v>293.149993896484</v>
      </c>
      <c r="D106" s="0" t="n">
        <v>313.149993896484</v>
      </c>
      <c r="E106" s="0" t="n">
        <v>322</v>
      </c>
      <c r="F106" s="0" t="n">
        <v>330</v>
      </c>
    </row>
    <row r="107" customFormat="false" ht="15.75" hidden="false" customHeight="false" outlineLevel="0" collapsed="false">
      <c r="A107" s="0" t="s">
        <v>214</v>
      </c>
      <c r="B107" s="0" t="n">
        <v>293.149993896484</v>
      </c>
      <c r="C107" s="0" t="n">
        <v>303</v>
      </c>
      <c r="D107" s="0" t="n">
        <v>313</v>
      </c>
      <c r="E107" s="0" t="n">
        <v>320</v>
      </c>
      <c r="F107" s="0" t="n">
        <v>327</v>
      </c>
    </row>
    <row r="108" customFormat="false" ht="15.75" hidden="false" customHeight="false" outlineLevel="0" collapsed="false">
      <c r="A108" s="0" t="s">
        <v>216</v>
      </c>
      <c r="B108" s="0" t="n">
        <v>323.2</v>
      </c>
      <c r="C108" s="0" t="n">
        <v>333.1</v>
      </c>
      <c r="D108" s="0" t="n">
        <v>343.2</v>
      </c>
      <c r="E108" s="0" t="n">
        <v>354</v>
      </c>
      <c r="F108" s="0" t="n">
        <v>365</v>
      </c>
    </row>
    <row r="109" customFormat="false" ht="15.75" hidden="false" customHeight="false" outlineLevel="0" collapsed="false">
      <c r="A109" s="0" t="s">
        <v>218</v>
      </c>
      <c r="B109" s="0" t="n">
        <v>343.149993896484</v>
      </c>
      <c r="C109" s="0" t="n">
        <v>353.149993896484</v>
      </c>
      <c r="D109" s="0" t="n">
        <v>363.149993896484</v>
      </c>
      <c r="E109" s="0" t="n">
        <v>371</v>
      </c>
      <c r="F109" s="0" t="n">
        <v>382</v>
      </c>
    </row>
    <row r="110" customFormat="false" ht="15.75" hidden="false" customHeight="false" outlineLevel="0" collapsed="false">
      <c r="A110" s="0" t="s">
        <v>220</v>
      </c>
      <c r="B110" s="0" t="n">
        <v>293.15</v>
      </c>
      <c r="C110" s="0" t="n">
        <v>303.15</v>
      </c>
      <c r="D110" s="0" t="n">
        <v>313.15</v>
      </c>
      <c r="E110" s="0" t="n">
        <v>318.15</v>
      </c>
      <c r="F110" s="0" t="n">
        <v>323.15</v>
      </c>
    </row>
    <row r="111" customFormat="false" ht="15.75" hidden="false" customHeight="false" outlineLevel="0" collapsed="false">
      <c r="A111" s="0" t="s">
        <v>222</v>
      </c>
      <c r="B111" s="0" t="n">
        <v>273.15</v>
      </c>
      <c r="C111" s="0" t="n">
        <v>323.15</v>
      </c>
      <c r="D111" s="0" t="n">
        <v>422.95</v>
      </c>
      <c r="E111" s="0" t="n">
        <v>473.153</v>
      </c>
      <c r="F111" s="0" t="n">
        <v>501</v>
      </c>
    </row>
    <row r="112" customFormat="false" ht="15.75" hidden="false" customHeight="false" outlineLevel="0" collapsed="false">
      <c r="A112" s="0" t="s">
        <v>224</v>
      </c>
      <c r="B112" s="0" t="n">
        <v>273.15</v>
      </c>
      <c r="C112" s="0" t="n">
        <v>323.15</v>
      </c>
      <c r="D112" s="0" t="n">
        <v>422.95</v>
      </c>
      <c r="E112" s="0" t="n">
        <v>473.153</v>
      </c>
      <c r="F112" s="0" t="n">
        <v>491</v>
      </c>
    </row>
    <row r="113" customFormat="false" ht="15.75" hidden="false" customHeight="false" outlineLevel="0" collapsed="false">
      <c r="A113" s="0" t="s">
        <v>8</v>
      </c>
      <c r="B113" s="0" t="n">
        <v>293.15</v>
      </c>
      <c r="C113" s="0" t="n">
        <v>310.95</v>
      </c>
      <c r="D113" s="0" t="n">
        <v>333.15</v>
      </c>
      <c r="E113" s="0" t="n">
        <v>372.02389</v>
      </c>
      <c r="F113" s="0" t="n">
        <v>386</v>
      </c>
    </row>
    <row r="114" customFormat="false" ht="15.75" hidden="false" customHeight="false" outlineLevel="0" collapsed="false">
      <c r="A114" s="0" t="s">
        <v>10</v>
      </c>
      <c r="B114" s="0" t="n">
        <v>296</v>
      </c>
      <c r="C114" s="0" t="n">
        <v>312</v>
      </c>
      <c r="D114" s="0" t="n">
        <v>324</v>
      </c>
      <c r="E114" s="0" t="n">
        <v>335</v>
      </c>
      <c r="F114" s="0" t="n">
        <v>346</v>
      </c>
    </row>
    <row r="115" customFormat="false" ht="15.75" hidden="false" customHeight="false" outlineLevel="0" collapsed="false">
      <c r="A115" s="0" t="s">
        <v>226</v>
      </c>
      <c r="B115" s="0" t="n">
        <v>295</v>
      </c>
      <c r="C115" s="0" t="n">
        <v>305</v>
      </c>
      <c r="D115" s="0" t="n">
        <v>315</v>
      </c>
      <c r="E115" s="0" t="n">
        <v>324</v>
      </c>
      <c r="F115" s="0" t="n">
        <v>334</v>
      </c>
    </row>
    <row r="116" customFormat="false" ht="15.75" hidden="false" customHeight="false" outlineLevel="0" collapsed="false">
      <c r="A116" s="0" t="s">
        <v>20</v>
      </c>
      <c r="B116" s="0" t="n">
        <v>273.15</v>
      </c>
      <c r="C116" s="0" t="n">
        <v>323.15</v>
      </c>
      <c r="D116" s="0" t="n">
        <v>422.95</v>
      </c>
      <c r="E116" s="0" t="n">
        <v>473.153</v>
      </c>
      <c r="F116" s="0" t="n">
        <v>503</v>
      </c>
    </row>
    <row r="117" customFormat="false" ht="15.75" hidden="false" customHeight="false" outlineLevel="0" collapsed="false">
      <c r="A117" s="0" t="s">
        <v>228</v>
      </c>
      <c r="B117" s="0" t="n">
        <v>273.15</v>
      </c>
      <c r="C117" s="0" t="n">
        <v>323.15</v>
      </c>
      <c r="D117" s="0" t="n">
        <v>422.95</v>
      </c>
      <c r="E117" s="0" t="n">
        <v>422.95</v>
      </c>
      <c r="F117" s="0" t="n">
        <v>422.95</v>
      </c>
    </row>
    <row r="118" customFormat="false" ht="15.75" hidden="false" customHeight="false" outlineLevel="0" collapsed="false">
      <c r="A118" s="0" t="s">
        <v>24</v>
      </c>
      <c r="B118" s="0" t="n">
        <v>273.15</v>
      </c>
      <c r="C118" s="0" t="n">
        <v>323.15</v>
      </c>
      <c r="D118" s="0" t="n">
        <v>422.95</v>
      </c>
      <c r="E118" s="0" t="n">
        <v>422.95</v>
      </c>
      <c r="F118" s="0" t="n">
        <v>422.95</v>
      </c>
    </row>
    <row r="119" customFormat="false" ht="15.75" hidden="false" customHeight="false" outlineLevel="0" collapsed="false">
      <c r="A119" s="0" t="s">
        <v>230</v>
      </c>
      <c r="B119" s="0" t="n">
        <v>273.15</v>
      </c>
      <c r="C119" s="0" t="n">
        <v>323.15</v>
      </c>
      <c r="D119" s="0" t="n">
        <v>422.95</v>
      </c>
      <c r="E119" s="0" t="n">
        <v>422.95</v>
      </c>
      <c r="F119" s="0" t="n">
        <v>422.95</v>
      </c>
    </row>
    <row r="120" customFormat="false" ht="15.75" hidden="false" customHeight="false" outlineLevel="0" collapsed="false">
      <c r="A120" s="0" t="s">
        <v>232</v>
      </c>
      <c r="B120" s="0" t="n">
        <v>273.15</v>
      </c>
      <c r="C120" s="0" t="n">
        <v>323.15</v>
      </c>
      <c r="D120" s="0" t="n">
        <v>422.95</v>
      </c>
      <c r="E120" s="0" t="n">
        <v>473.153</v>
      </c>
      <c r="F120" s="0" t="n">
        <v>505</v>
      </c>
    </row>
    <row r="121" customFormat="false" ht="15.75" hidden="false" customHeight="false" outlineLevel="0" collapsed="false">
      <c r="A121" s="0" t="s">
        <v>234</v>
      </c>
      <c r="B121" s="0" t="n">
        <v>293.15</v>
      </c>
      <c r="C121" s="0" t="n">
        <v>310.95</v>
      </c>
      <c r="D121" s="0" t="n">
        <v>333.15</v>
      </c>
      <c r="E121" s="0" t="n">
        <v>372.02389</v>
      </c>
      <c r="F121" s="0" t="n">
        <v>391</v>
      </c>
    </row>
    <row r="122" customFormat="false" ht="15.75" hidden="false" customHeight="false" outlineLevel="0" collapsed="false">
      <c r="A122" s="0" t="s">
        <v>236</v>
      </c>
      <c r="B122" s="0" t="n">
        <v>298.15</v>
      </c>
      <c r="C122" s="0" t="n">
        <v>303.15</v>
      </c>
      <c r="D122" s="0" t="n">
        <v>313.15</v>
      </c>
      <c r="E122" s="0" t="n">
        <v>328.1255</v>
      </c>
      <c r="F122" s="0" t="n">
        <v>338</v>
      </c>
    </row>
    <row r="123" customFormat="false" ht="15.75" hidden="false" customHeight="false" outlineLevel="0" collapsed="false">
      <c r="A123" s="0" t="s">
        <v>60</v>
      </c>
      <c r="B123" s="0" t="n">
        <v>323.15</v>
      </c>
      <c r="C123" s="0" t="n">
        <v>348.15</v>
      </c>
      <c r="D123" s="0" t="n">
        <v>373.15</v>
      </c>
      <c r="E123" s="0" t="n">
        <v>387</v>
      </c>
      <c r="F123" s="0" t="n">
        <v>398.11937</v>
      </c>
    </row>
    <row r="124" customFormat="false" ht="15.75" hidden="false" customHeight="false" outlineLevel="0" collapsed="false">
      <c r="A124" s="0" t="s">
        <v>62</v>
      </c>
      <c r="B124" s="0" t="n">
        <v>323.15</v>
      </c>
      <c r="C124" s="0" t="n">
        <v>422.95</v>
      </c>
      <c r="D124" s="0" t="n">
        <v>473.15</v>
      </c>
      <c r="E124" s="0" t="n">
        <v>473.15</v>
      </c>
      <c r="F124" s="0" t="n">
        <v>473.15</v>
      </c>
    </row>
    <row r="125" customFormat="false" ht="15.75" hidden="false" customHeight="false" outlineLevel="0" collapsed="false">
      <c r="A125" s="0" t="s">
        <v>238</v>
      </c>
      <c r="B125" s="0" t="n">
        <v>293.15</v>
      </c>
      <c r="C125" s="0" t="n">
        <v>310.95</v>
      </c>
      <c r="D125" s="0" t="n">
        <v>333.15</v>
      </c>
      <c r="E125" s="0" t="n">
        <v>333.15</v>
      </c>
      <c r="F125" s="0" t="n">
        <v>333.15</v>
      </c>
    </row>
    <row r="126" customFormat="false" ht="15.75" hidden="false" customHeight="false" outlineLevel="0" collapsed="false">
      <c r="A126" s="0" t="s">
        <v>240</v>
      </c>
      <c r="B126" s="0" t="n">
        <v>313.15</v>
      </c>
      <c r="C126" s="0" t="n">
        <v>333.15</v>
      </c>
      <c r="D126" s="0" t="n">
        <v>353.15</v>
      </c>
      <c r="E126" s="0" t="n">
        <v>353.15</v>
      </c>
      <c r="F126" s="0" t="n">
        <v>353.15</v>
      </c>
    </row>
    <row r="127" customFormat="false" ht="15.75" hidden="false" customHeight="false" outlineLevel="0" collapsed="false">
      <c r="A127" s="0" t="s">
        <v>124</v>
      </c>
      <c r="B127" s="0" t="n">
        <v>296</v>
      </c>
      <c r="C127" s="0" t="n">
        <v>306</v>
      </c>
      <c r="D127" s="0" t="n">
        <v>315</v>
      </c>
      <c r="E127" s="0" t="n">
        <v>325</v>
      </c>
      <c r="F127" s="0" t="n">
        <v>334</v>
      </c>
    </row>
    <row r="128" customFormat="false" ht="15.75" hidden="false" customHeight="false" outlineLevel="0" collapsed="false">
      <c r="A128" s="0" t="s">
        <v>242</v>
      </c>
      <c r="B128" s="0" t="n">
        <v>288.15</v>
      </c>
      <c r="C128" s="0" t="n">
        <v>293.15</v>
      </c>
      <c r="D128" s="0" t="n">
        <v>298.15</v>
      </c>
      <c r="E128" s="0" t="n">
        <v>303.15</v>
      </c>
      <c r="F128" s="0" t="n">
        <v>308.15</v>
      </c>
    </row>
    <row r="129" customFormat="false" ht="15.75" hidden="false" customHeight="false" outlineLevel="0" collapsed="false">
      <c r="A129" s="0" t="s">
        <v>244</v>
      </c>
      <c r="B129" s="0" t="n">
        <v>373</v>
      </c>
      <c r="C129" s="0" t="n">
        <v>424</v>
      </c>
      <c r="D129" s="0" t="n">
        <v>475</v>
      </c>
      <c r="E129" s="0" t="n">
        <v>500</v>
      </c>
      <c r="F129" s="0" t="n">
        <v>519</v>
      </c>
    </row>
    <row r="130" customFormat="false" ht="15.75" hidden="false" customHeight="false" outlineLevel="0" collapsed="false">
      <c r="A130" s="0" t="s">
        <v>246</v>
      </c>
      <c r="B130" s="0" t="n">
        <v>405</v>
      </c>
      <c r="C130" s="0" t="n">
        <v>435</v>
      </c>
      <c r="D130" s="0" t="n">
        <v>472</v>
      </c>
      <c r="E130" s="0" t="n">
        <v>485</v>
      </c>
      <c r="F130" s="0" t="n">
        <v>501</v>
      </c>
    </row>
    <row r="131" customFormat="false" ht="15.75" hidden="false" customHeight="false" outlineLevel="0" collapsed="false">
      <c r="A131" s="0" t="s">
        <v>248</v>
      </c>
      <c r="B131" s="0" t="n">
        <v>370</v>
      </c>
      <c r="C131" s="0" t="n">
        <v>388</v>
      </c>
      <c r="D131" s="0" t="n">
        <v>408</v>
      </c>
      <c r="E131" s="0" t="n">
        <v>420</v>
      </c>
      <c r="F131" s="0" t="n">
        <v>434</v>
      </c>
    </row>
    <row r="132" customFormat="false" ht="15.75" hidden="false" customHeight="false" outlineLevel="0" collapsed="false">
      <c r="A132" s="0" t="s">
        <v>250</v>
      </c>
      <c r="B132" s="0" t="n">
        <v>333.15</v>
      </c>
      <c r="C132" s="0" t="n">
        <v>348.15</v>
      </c>
      <c r="D132" s="0" t="n">
        <v>363.15</v>
      </c>
      <c r="E132" s="0" t="n">
        <v>363.15</v>
      </c>
      <c r="F132" s="0" t="n">
        <v>363.15</v>
      </c>
    </row>
    <row r="133" customFormat="false" ht="15.75" hidden="false" customHeight="false" outlineLevel="0" collapsed="false">
      <c r="A133" s="0" t="s">
        <v>252</v>
      </c>
      <c r="B133" s="0" t="n">
        <v>298.15</v>
      </c>
      <c r="C133" s="0" t="n">
        <v>303.15</v>
      </c>
      <c r="D133" s="0" t="n">
        <v>308.15</v>
      </c>
      <c r="E133" s="0" t="n">
        <v>308.15</v>
      </c>
      <c r="F133" s="0" t="n">
        <v>308.15</v>
      </c>
    </row>
    <row r="134" customFormat="false" ht="15.75" hidden="false" customHeight="false" outlineLevel="0" collapsed="false">
      <c r="A134" s="0" t="s">
        <v>254</v>
      </c>
      <c r="B134" s="0" t="n">
        <v>298.15</v>
      </c>
      <c r="C134" s="0" t="n">
        <v>308.15</v>
      </c>
      <c r="D134" s="0" t="n">
        <v>303.15</v>
      </c>
      <c r="E134" s="0" t="n">
        <v>303.15</v>
      </c>
      <c r="F134" s="0" t="n">
        <v>303.15</v>
      </c>
    </row>
    <row r="135" customFormat="false" ht="15.75" hidden="false" customHeight="false" outlineLevel="0" collapsed="false">
      <c r="A135" s="0" t="s">
        <v>256</v>
      </c>
      <c r="B135" s="0" t="n">
        <v>298.15</v>
      </c>
      <c r="C135" s="0" t="n">
        <v>308.15</v>
      </c>
      <c r="D135" s="0" t="n">
        <v>318.15</v>
      </c>
      <c r="E135" s="0" t="n">
        <v>318.15</v>
      </c>
      <c r="F135" s="0" t="n">
        <v>318.15</v>
      </c>
    </row>
    <row r="136" customFormat="false" ht="15.75" hidden="false" customHeight="false" outlineLevel="0" collapsed="false">
      <c r="A136" s="0" t="s">
        <v>258</v>
      </c>
      <c r="B136" s="0" t="n">
        <v>273.65</v>
      </c>
      <c r="C136" s="0" t="n">
        <v>282.47</v>
      </c>
      <c r="D136" s="0" t="n">
        <v>293.16</v>
      </c>
      <c r="E136" s="0" t="n">
        <v>298.14437</v>
      </c>
      <c r="F136" s="0" t="n">
        <v>303.15</v>
      </c>
    </row>
    <row r="137" customFormat="false" ht="15.75" hidden="false" customHeight="false" outlineLevel="0" collapsed="false">
      <c r="A137" s="0" t="s">
        <v>260</v>
      </c>
      <c r="B137" s="0" t="n">
        <v>298.15</v>
      </c>
      <c r="C137" s="0" t="n">
        <v>303.15</v>
      </c>
      <c r="D137" s="0" t="n">
        <v>313.15</v>
      </c>
      <c r="E137" s="0" t="n">
        <v>318</v>
      </c>
      <c r="F137" s="0" t="n">
        <v>323.127</v>
      </c>
    </row>
    <row r="138" customFormat="false" ht="15.75" hidden="false" customHeight="false" outlineLevel="0" collapsed="false">
      <c r="A138" s="0" t="s">
        <v>262</v>
      </c>
      <c r="B138" s="0" t="n">
        <v>343.15</v>
      </c>
      <c r="C138" s="0" t="n">
        <v>348.15</v>
      </c>
      <c r="D138" s="0" t="n">
        <v>353.15</v>
      </c>
      <c r="E138" s="0" t="n">
        <v>371.1</v>
      </c>
      <c r="F138" s="0" t="n">
        <v>403.13</v>
      </c>
    </row>
    <row r="139" customFormat="false" ht="15.75" hidden="false" customHeight="false" outlineLevel="0" collapsed="false">
      <c r="A139" s="0" t="s">
        <v>264</v>
      </c>
      <c r="B139" s="0" t="n">
        <v>299</v>
      </c>
      <c r="C139" s="0" t="n">
        <v>312</v>
      </c>
      <c r="D139" s="0" t="n">
        <v>320</v>
      </c>
      <c r="E139" s="0" t="n">
        <v>329</v>
      </c>
      <c r="F139" s="0" t="n">
        <v>338</v>
      </c>
    </row>
    <row r="140" customFormat="false" ht="15.75" hidden="false" customHeight="false" outlineLevel="0" collapsed="false">
      <c r="A140" s="0" t="s">
        <v>266</v>
      </c>
      <c r="B140" s="0" t="n">
        <v>299</v>
      </c>
      <c r="C140" s="0" t="n">
        <v>313</v>
      </c>
      <c r="D140" s="0" t="n">
        <v>323</v>
      </c>
      <c r="E140" s="0" t="n">
        <v>332</v>
      </c>
      <c r="F140" s="0" t="n">
        <v>342</v>
      </c>
    </row>
    <row r="141" customFormat="false" ht="15.75" hidden="false" customHeight="false" outlineLevel="0" collapsed="false">
      <c r="A141" s="0" t="s">
        <v>268</v>
      </c>
      <c r="B141" s="0" t="n">
        <v>293.149993896484</v>
      </c>
      <c r="C141" s="0" t="n">
        <v>303.15</v>
      </c>
      <c r="D141" s="0" t="n">
        <v>313.15</v>
      </c>
      <c r="E141" s="0" t="n">
        <v>318.15</v>
      </c>
      <c r="F141" s="0" t="n">
        <v>323.15</v>
      </c>
    </row>
    <row r="142" customFormat="false" ht="15.75" hidden="false" customHeight="false" outlineLevel="0" collapsed="false">
      <c r="A142" s="0" t="s">
        <v>270</v>
      </c>
      <c r="B142" s="0" t="n">
        <v>288.149993896484</v>
      </c>
      <c r="C142" s="0" t="n">
        <v>293.149993896484</v>
      </c>
      <c r="D142" s="0" t="n">
        <v>298.149993896484</v>
      </c>
      <c r="E142" s="0" t="n">
        <v>303.15</v>
      </c>
      <c r="F142" s="0" t="n">
        <v>308.15</v>
      </c>
    </row>
    <row r="143" customFormat="false" ht="15.75" hidden="false" customHeight="false" outlineLevel="0" collapsed="false">
      <c r="A143" s="0" t="s">
        <v>272</v>
      </c>
      <c r="B143" s="0" t="n">
        <v>297.42</v>
      </c>
      <c r="C143" s="0" t="n">
        <v>313.07</v>
      </c>
      <c r="D143" s="0" t="n">
        <v>333.1</v>
      </c>
      <c r="E143" s="0" t="n">
        <v>353.1</v>
      </c>
      <c r="F143" s="0" t="n">
        <v>372.25</v>
      </c>
    </row>
    <row r="144" customFormat="false" ht="15.75" hidden="false" customHeight="false" outlineLevel="0" collapsed="false">
      <c r="A144" s="0" t="s">
        <v>152</v>
      </c>
      <c r="B144" s="0" t="n">
        <v>293.149993896484</v>
      </c>
      <c r="C144" s="0" t="n">
        <v>298.149993896484</v>
      </c>
      <c r="D144" s="0" t="n">
        <v>303.15</v>
      </c>
      <c r="E144" s="0" t="n">
        <v>308.15</v>
      </c>
      <c r="F144" s="0" t="n">
        <v>313.15</v>
      </c>
    </row>
    <row r="145" customFormat="false" ht="15.75" hidden="false" customHeight="false" outlineLevel="0" collapsed="false">
      <c r="A145" s="0" t="s">
        <v>160</v>
      </c>
      <c r="B145" s="0" t="n">
        <v>313.149993896484</v>
      </c>
      <c r="C145" s="0" t="n">
        <v>333.149993896484</v>
      </c>
      <c r="D145" s="0" t="n">
        <v>353.149993896484</v>
      </c>
      <c r="E145" s="0" t="n">
        <v>363.15</v>
      </c>
      <c r="F145" s="0" t="n">
        <v>373.15</v>
      </c>
    </row>
    <row r="146" customFormat="false" ht="15.75" hidden="false" customHeight="false" outlineLevel="0" collapsed="false">
      <c r="A146" s="0" t="s">
        <v>176</v>
      </c>
      <c r="B146" s="0" t="n">
        <v>294.9</v>
      </c>
      <c r="C146" s="0" t="n">
        <v>298.14</v>
      </c>
      <c r="D146" s="0" t="n">
        <v>304.99</v>
      </c>
      <c r="E146" s="0" t="n">
        <v>314.9895</v>
      </c>
      <c r="F146" s="0" t="n">
        <v>324.9865</v>
      </c>
    </row>
    <row r="147" customFormat="false" ht="15.75" hidden="false" customHeight="false" outlineLevel="0" collapsed="false">
      <c r="A147" s="0" t="s">
        <v>200</v>
      </c>
      <c r="B147" s="0" t="n">
        <v>404.149993896484</v>
      </c>
      <c r="C147" s="0" t="n">
        <v>422</v>
      </c>
      <c r="D147" s="0" t="n">
        <v>445</v>
      </c>
      <c r="E147" s="0" t="n">
        <v>453</v>
      </c>
      <c r="F147" s="0" t="n">
        <v>462</v>
      </c>
    </row>
    <row r="148" customFormat="false" ht="15.75" hidden="false" customHeight="false" outlineLevel="0" collapsed="false">
      <c r="A148" s="0" t="s">
        <v>202</v>
      </c>
      <c r="B148" s="0" t="n">
        <v>297</v>
      </c>
      <c r="C148" s="0" t="n">
        <v>309</v>
      </c>
      <c r="D148" s="0" t="n">
        <v>317</v>
      </c>
      <c r="E148" s="0" t="n">
        <v>325</v>
      </c>
      <c r="F148" s="0" t="n">
        <v>334</v>
      </c>
    </row>
    <row r="149" customFormat="false" ht="15.75" hidden="false" customHeight="false" outlineLevel="0" collapsed="false">
      <c r="A149" s="0" t="s">
        <v>274</v>
      </c>
      <c r="B149" s="0" t="n">
        <v>303.149993896484</v>
      </c>
      <c r="C149" s="0" t="n">
        <v>373.149993896484</v>
      </c>
      <c r="D149" s="0" t="n">
        <v>433.149993896484</v>
      </c>
      <c r="E149" s="0" t="n">
        <v>433.149993896484</v>
      </c>
      <c r="F149" s="0" t="n">
        <v>433.149993896484</v>
      </c>
    </row>
    <row r="150" customFormat="false" ht="15.75" hidden="false" customHeight="false" outlineLevel="0" collapsed="false">
      <c r="A150" s="0" t="s">
        <v>276</v>
      </c>
      <c r="B150" s="0" t="n">
        <v>343.149993896484</v>
      </c>
      <c r="C150" s="0" t="n">
        <v>353.149993896484</v>
      </c>
      <c r="D150" s="0" t="n">
        <v>363.149993896484</v>
      </c>
      <c r="E150" s="0" t="n">
        <v>372</v>
      </c>
      <c r="F150" s="0" t="n">
        <v>385</v>
      </c>
    </row>
    <row r="151" customFormat="false" ht="15.75" hidden="false" customHeight="false" outlineLevel="0" collapsed="false">
      <c r="A151" s="0" t="s">
        <v>220</v>
      </c>
      <c r="B151" s="0" t="n">
        <v>293.15</v>
      </c>
      <c r="C151" s="0" t="n">
        <v>303.15</v>
      </c>
      <c r="D151" s="0" t="n">
        <v>313.15</v>
      </c>
      <c r="E151" s="0" t="n">
        <v>318.15</v>
      </c>
      <c r="F151" s="0" t="n">
        <v>323.15</v>
      </c>
    </row>
    <row r="152" customFormat="false" ht="15.75" hidden="false" customHeight="false" outlineLevel="0" collapsed="false">
      <c r="A152" s="8" t="s">
        <v>278</v>
      </c>
      <c r="B152" s="8" t="n">
        <v>293</v>
      </c>
      <c r="C152" s="8" t="n">
        <v>298</v>
      </c>
      <c r="D152" s="8" t="n">
        <v>313</v>
      </c>
      <c r="E152" s="8" t="n">
        <v>318</v>
      </c>
      <c r="F152" s="8" t="n">
        <v>323</v>
      </c>
    </row>
    <row r="153" customFormat="false" ht="15.75" hidden="false" customHeight="false" outlineLevel="0" collapsed="false">
      <c r="A153" s="0" t="s">
        <v>280</v>
      </c>
      <c r="B153" s="0" t="n">
        <v>288</v>
      </c>
      <c r="C153" s="0" t="n">
        <v>298</v>
      </c>
      <c r="D153" s="0" t="n">
        <v>314</v>
      </c>
      <c r="E153" s="0" t="n">
        <v>320</v>
      </c>
      <c r="F153" s="0" t="n">
        <v>331</v>
      </c>
    </row>
    <row r="154" customFormat="false" ht="15.75" hidden="false" customHeight="false" outlineLevel="0" collapsed="false">
      <c r="A154" s="0" t="s">
        <v>282</v>
      </c>
      <c r="B154" s="0" t="n">
        <v>287</v>
      </c>
      <c r="C154" s="0" t="n">
        <v>297</v>
      </c>
      <c r="D154" s="0" t="n">
        <v>312</v>
      </c>
      <c r="E154" s="0" t="n">
        <v>321</v>
      </c>
      <c r="F154" s="0" t="n">
        <v>331</v>
      </c>
    </row>
    <row r="155" customFormat="false" ht="15.75" hidden="false" customHeight="false" outlineLevel="0" collapsed="false">
      <c r="A155" s="0" t="s">
        <v>284</v>
      </c>
      <c r="B155" s="0" t="n">
        <v>290</v>
      </c>
      <c r="C155" s="0" t="n">
        <v>295</v>
      </c>
      <c r="D155" s="0" t="n">
        <v>311</v>
      </c>
      <c r="E155" s="0" t="n">
        <v>311</v>
      </c>
      <c r="F155" s="0" t="n">
        <v>311</v>
      </c>
    </row>
    <row r="156" customFormat="false" ht="15.75" hidden="false" customHeight="false" outlineLevel="0" collapsed="false">
      <c r="A156" s="0" t="s">
        <v>286</v>
      </c>
      <c r="B156" s="0" t="n">
        <v>287</v>
      </c>
      <c r="C156" s="0" t="n">
        <v>299</v>
      </c>
      <c r="D156" s="0" t="n">
        <v>311</v>
      </c>
      <c r="E156" s="0" t="n">
        <v>323</v>
      </c>
      <c r="F156" s="0" t="n">
        <v>334</v>
      </c>
    </row>
    <row r="157" customFormat="false" ht="15.75" hidden="false" customHeight="false" outlineLevel="0" collapsed="false">
      <c r="A157" s="0" t="s">
        <v>288</v>
      </c>
      <c r="B157" s="0" t="n">
        <v>287</v>
      </c>
      <c r="C157" s="0" t="n">
        <v>300</v>
      </c>
      <c r="D157" s="0" t="n">
        <v>312</v>
      </c>
      <c r="E157" s="0" t="n">
        <v>330.9</v>
      </c>
      <c r="F157" s="0" t="n">
        <v>371.1</v>
      </c>
    </row>
    <row r="158" customFormat="false" ht="15.75" hidden="false" customHeight="false" outlineLevel="0" collapsed="false">
      <c r="A158" s="0" t="s">
        <v>290</v>
      </c>
      <c r="B158" s="0" t="n">
        <v>290</v>
      </c>
      <c r="C158" s="0" t="n">
        <v>297</v>
      </c>
      <c r="D158" s="0" t="n">
        <v>310</v>
      </c>
      <c r="E158" s="0" t="n">
        <v>323.15</v>
      </c>
      <c r="F158" s="0" t="n">
        <v>333.15</v>
      </c>
    </row>
    <row r="159" customFormat="false" ht="15.75" hidden="false" customHeight="false" outlineLevel="0" collapsed="false">
      <c r="A159" s="0" t="s">
        <v>292</v>
      </c>
      <c r="B159" s="0" t="n">
        <v>288</v>
      </c>
      <c r="C159" s="0" t="n">
        <v>298</v>
      </c>
      <c r="D159" s="0" t="n">
        <v>314</v>
      </c>
      <c r="E159" s="0" t="n">
        <v>320</v>
      </c>
      <c r="F159" s="0" t="n">
        <v>330</v>
      </c>
    </row>
    <row r="160" customFormat="false" ht="15.75" hidden="false" customHeight="false" outlineLevel="0" collapsed="false">
      <c r="A160" s="0" t="s">
        <v>294</v>
      </c>
      <c r="B160" s="0" t="n">
        <v>287</v>
      </c>
      <c r="C160" s="0" t="n">
        <v>297</v>
      </c>
      <c r="D160" s="0" t="n">
        <v>312</v>
      </c>
      <c r="E160" s="0" t="n">
        <v>322</v>
      </c>
      <c r="F160" s="0" t="n">
        <v>333.15</v>
      </c>
    </row>
    <row r="161" customFormat="false" ht="15.75" hidden="false" customHeight="false" outlineLevel="0" collapsed="false">
      <c r="A161" s="0" t="s">
        <v>296</v>
      </c>
      <c r="B161" s="0" t="n">
        <v>285</v>
      </c>
      <c r="C161" s="0" t="n">
        <v>299</v>
      </c>
      <c r="D161" s="0" t="n">
        <v>313</v>
      </c>
      <c r="E161" s="0" t="n">
        <v>327</v>
      </c>
      <c r="F161" s="0" t="n">
        <v>334</v>
      </c>
    </row>
    <row r="162" customFormat="false" ht="15.75" hidden="false" customHeight="false" outlineLevel="0" collapsed="false">
      <c r="A162" s="0" t="s">
        <v>298</v>
      </c>
      <c r="B162" s="0" t="n">
        <v>289</v>
      </c>
      <c r="C162" s="0" t="n">
        <v>300</v>
      </c>
      <c r="D162" s="0" t="n">
        <v>315</v>
      </c>
      <c r="E162" s="0" t="n">
        <v>323.15</v>
      </c>
      <c r="F162" s="0" t="n">
        <v>330</v>
      </c>
    </row>
    <row r="163" customFormat="false" ht="15.75" hidden="false" customHeight="false" outlineLevel="0" collapsed="false">
      <c r="A163" s="0" t="s">
        <v>300</v>
      </c>
      <c r="B163" s="0" t="n">
        <v>287</v>
      </c>
      <c r="C163" s="0" t="n">
        <v>297</v>
      </c>
      <c r="D163" s="0" t="n">
        <v>312</v>
      </c>
      <c r="E163" s="0" t="n">
        <v>326</v>
      </c>
      <c r="F163" s="0" t="n">
        <v>336</v>
      </c>
    </row>
    <row r="164" customFormat="false" ht="15.75" hidden="false" customHeight="false" outlineLevel="0" collapsed="false">
      <c r="A164" s="0" t="s">
        <v>302</v>
      </c>
      <c r="B164" s="0" t="n">
        <v>288</v>
      </c>
      <c r="C164" s="0" t="n">
        <v>299</v>
      </c>
      <c r="D164" s="0" t="n">
        <v>315</v>
      </c>
      <c r="E164" s="0" t="n">
        <v>325</v>
      </c>
      <c r="F164" s="0" t="n">
        <v>336</v>
      </c>
    </row>
    <row r="165" customFormat="false" ht="15.75" hidden="false" customHeight="false" outlineLevel="0" collapsed="false">
      <c r="A165" s="0" t="s">
        <v>304</v>
      </c>
      <c r="B165" s="0" t="n">
        <v>286</v>
      </c>
      <c r="C165" s="0" t="n">
        <v>296</v>
      </c>
      <c r="D165" s="0" t="n">
        <v>314</v>
      </c>
      <c r="E165" s="0" t="n">
        <v>323</v>
      </c>
      <c r="F165" s="0" t="n">
        <v>333</v>
      </c>
    </row>
    <row r="166" customFormat="false" ht="15.75" hidden="false" customHeight="false" outlineLevel="0" collapsed="false">
      <c r="A166" s="0" t="s">
        <v>306</v>
      </c>
      <c r="B166" s="0" t="n">
        <v>286</v>
      </c>
      <c r="C166" s="0" t="n">
        <v>297</v>
      </c>
      <c r="D166" s="0" t="n">
        <v>313</v>
      </c>
      <c r="E166" s="0" t="n">
        <v>324</v>
      </c>
      <c r="F166" s="0" t="n">
        <v>335</v>
      </c>
    </row>
    <row r="167" customFormat="false" ht="15.75" hidden="false" customHeight="false" outlineLevel="0" collapsed="false">
      <c r="A167" s="0" t="s">
        <v>308</v>
      </c>
      <c r="B167" s="0" t="n">
        <v>288</v>
      </c>
      <c r="C167" s="0" t="n">
        <v>298</v>
      </c>
      <c r="D167" s="0" t="n">
        <v>314</v>
      </c>
      <c r="E167" s="0" t="n">
        <v>324</v>
      </c>
      <c r="F167" s="0" t="n">
        <v>334</v>
      </c>
    </row>
    <row r="168" customFormat="false" ht="15.75" hidden="false" customHeight="false" outlineLevel="0" collapsed="false">
      <c r="A168" s="0" t="s">
        <v>310</v>
      </c>
      <c r="B168" s="0" t="n">
        <v>286</v>
      </c>
      <c r="C168" s="0" t="n">
        <v>298</v>
      </c>
      <c r="D168" s="0" t="n">
        <v>315</v>
      </c>
      <c r="E168" s="0" t="n">
        <v>326</v>
      </c>
      <c r="F168" s="0" t="n">
        <v>337</v>
      </c>
    </row>
    <row r="169" customFormat="false" ht="15.75" hidden="false" customHeight="false" outlineLevel="0" collapsed="false">
      <c r="A169" s="0" t="s">
        <v>312</v>
      </c>
      <c r="B169" s="0" t="n">
        <v>288</v>
      </c>
      <c r="C169" s="0" t="n">
        <v>298</v>
      </c>
      <c r="D169" s="0" t="n">
        <v>314</v>
      </c>
      <c r="E169" s="0" t="n">
        <v>320</v>
      </c>
      <c r="F169" s="0" t="n">
        <v>330</v>
      </c>
    </row>
    <row r="170" customFormat="false" ht="15.75" hidden="false" customHeight="false" outlineLevel="0" collapsed="false">
      <c r="A170" s="0" t="s">
        <v>314</v>
      </c>
      <c r="B170" s="0" t="n">
        <v>290</v>
      </c>
      <c r="C170" s="0" t="n">
        <v>297</v>
      </c>
      <c r="D170" s="0" t="n">
        <v>310</v>
      </c>
      <c r="E170" s="0" t="n">
        <v>323.1</v>
      </c>
      <c r="F170" s="0" t="n">
        <v>333.15</v>
      </c>
    </row>
    <row r="171" customFormat="false" ht="15.75" hidden="false" customHeight="false" outlineLevel="0" collapsed="false">
      <c r="A171" s="0" t="s">
        <v>316</v>
      </c>
      <c r="B171" s="0" t="n">
        <v>289</v>
      </c>
      <c r="C171" s="0" t="n">
        <v>297</v>
      </c>
      <c r="D171" s="0" t="n">
        <v>314</v>
      </c>
      <c r="E171" s="0" t="n">
        <v>323</v>
      </c>
      <c r="F171" s="0" t="n">
        <v>331</v>
      </c>
    </row>
    <row r="172" customFormat="false" ht="15.75" hidden="false" customHeight="false" outlineLevel="0" collapsed="false">
      <c r="A172" s="0" t="s">
        <v>318</v>
      </c>
      <c r="B172" s="0" t="n">
        <v>287</v>
      </c>
      <c r="C172" s="0" t="n">
        <v>297</v>
      </c>
      <c r="D172" s="0" t="n">
        <v>314</v>
      </c>
      <c r="E172" s="0" t="n">
        <v>321</v>
      </c>
      <c r="F172" s="0" t="n">
        <v>332</v>
      </c>
    </row>
    <row r="173" customFormat="false" ht="15.75" hidden="false" customHeight="false" outlineLevel="0" collapsed="false">
      <c r="A173" s="0" t="s">
        <v>320</v>
      </c>
      <c r="B173" s="0" t="n">
        <v>289</v>
      </c>
      <c r="C173" s="0" t="n">
        <v>299</v>
      </c>
      <c r="D173" s="0" t="n">
        <v>313</v>
      </c>
      <c r="E173" s="0" t="n">
        <v>323</v>
      </c>
      <c r="F173" s="0" t="n">
        <v>332</v>
      </c>
    </row>
    <row r="174" customFormat="false" ht="15.75" hidden="false" customHeight="false" outlineLevel="0" collapsed="false">
      <c r="A174" s="0" t="s">
        <v>322</v>
      </c>
      <c r="B174" s="0" t="n">
        <v>286</v>
      </c>
      <c r="C174" s="0" t="n">
        <v>298</v>
      </c>
      <c r="D174" s="0" t="n">
        <v>313</v>
      </c>
      <c r="E174" s="0" t="n">
        <v>321</v>
      </c>
      <c r="F174" s="0" t="n">
        <v>329</v>
      </c>
    </row>
    <row r="175" customFormat="false" ht="15.75" hidden="false" customHeight="false" outlineLevel="0" collapsed="false">
      <c r="A175" s="0" t="s">
        <v>324</v>
      </c>
      <c r="B175" s="0" t="n">
        <v>288</v>
      </c>
      <c r="C175" s="0" t="n">
        <v>299</v>
      </c>
      <c r="D175" s="0" t="n">
        <v>315</v>
      </c>
      <c r="E175" s="0" t="n">
        <v>325</v>
      </c>
      <c r="F175" s="0" t="n">
        <v>336</v>
      </c>
    </row>
    <row r="176" customFormat="false" ht="15.75" hidden="false" customHeight="false" outlineLevel="0" collapsed="false">
      <c r="A176" s="0" t="s">
        <v>326</v>
      </c>
      <c r="B176" s="0" t="n">
        <v>289</v>
      </c>
      <c r="C176" s="0" t="n">
        <v>299</v>
      </c>
      <c r="D176" s="0" t="n">
        <v>313</v>
      </c>
      <c r="E176" s="0" t="n">
        <v>323</v>
      </c>
      <c r="F176" s="0" t="n">
        <v>332</v>
      </c>
    </row>
    <row r="177" customFormat="false" ht="15.75" hidden="false" customHeight="false" outlineLevel="0" collapsed="false">
      <c r="A177" s="0" t="s">
        <v>328</v>
      </c>
      <c r="B177" s="0" t="n">
        <v>298</v>
      </c>
      <c r="C177" s="0" t="n">
        <v>301</v>
      </c>
      <c r="D177" s="0" t="n">
        <v>313</v>
      </c>
      <c r="E177" s="0" t="n">
        <v>324</v>
      </c>
      <c r="F177" s="0" t="n">
        <v>332</v>
      </c>
    </row>
    <row r="178" customFormat="false" ht="15.75" hidden="false" customHeight="false" outlineLevel="0" collapsed="false">
      <c r="A178" s="0" t="s">
        <v>330</v>
      </c>
      <c r="B178" s="0" t="n">
        <v>289</v>
      </c>
      <c r="C178" s="0" t="n">
        <v>299</v>
      </c>
      <c r="D178" s="0" t="n">
        <v>313</v>
      </c>
      <c r="E178" s="0" t="n">
        <v>323</v>
      </c>
      <c r="F178" s="0" t="n">
        <v>332</v>
      </c>
    </row>
    <row r="179" customFormat="false" ht="15.75" hidden="false" customHeight="false" outlineLevel="0" collapsed="false">
      <c r="A179" s="0" t="s">
        <v>332</v>
      </c>
      <c r="B179" s="0" t="n">
        <v>286</v>
      </c>
      <c r="C179" s="0" t="n">
        <v>297</v>
      </c>
      <c r="D179" s="0" t="n">
        <v>313</v>
      </c>
      <c r="E179" s="0" t="n">
        <v>324</v>
      </c>
      <c r="F179" s="0" t="n">
        <v>335</v>
      </c>
    </row>
    <row r="180" customFormat="false" ht="15.75" hidden="false" customHeight="false" outlineLevel="0" collapsed="false">
      <c r="A180" s="0" t="s">
        <v>334</v>
      </c>
      <c r="B180" s="0" t="n">
        <v>287</v>
      </c>
      <c r="C180" s="0" t="n">
        <v>299</v>
      </c>
      <c r="D180" s="0" t="n">
        <v>310</v>
      </c>
      <c r="E180" s="0" t="n">
        <v>322</v>
      </c>
      <c r="F180" s="0" t="n">
        <v>333</v>
      </c>
    </row>
    <row r="181" customFormat="false" ht="15.75" hidden="false" customHeight="false" outlineLevel="0" collapsed="false">
      <c r="A181" s="0" t="s">
        <v>336</v>
      </c>
      <c r="B181" s="0" t="n">
        <v>288</v>
      </c>
      <c r="C181" s="0" t="n">
        <v>298</v>
      </c>
      <c r="D181" s="0" t="n">
        <v>311</v>
      </c>
      <c r="E181" s="0" t="n">
        <v>320</v>
      </c>
      <c r="F181" s="0" t="n">
        <v>330</v>
      </c>
    </row>
    <row r="182" customFormat="false" ht="15.75" hidden="false" customHeight="false" outlineLevel="0" collapsed="false">
      <c r="A182" s="0" t="s">
        <v>338</v>
      </c>
      <c r="B182" s="0" t="n">
        <v>287</v>
      </c>
      <c r="C182" s="0" t="n">
        <v>297</v>
      </c>
      <c r="D182" s="0" t="n">
        <v>312</v>
      </c>
      <c r="E182" s="0" t="n">
        <v>322</v>
      </c>
      <c r="F182" s="0" t="n">
        <v>332</v>
      </c>
    </row>
    <row r="183" customFormat="false" ht="15.75" hidden="false" customHeight="false" outlineLevel="0" collapsed="false">
      <c r="A183" s="0" t="s">
        <v>340</v>
      </c>
      <c r="B183" s="0" t="n">
        <v>288</v>
      </c>
      <c r="C183" s="0" t="n">
        <v>298</v>
      </c>
      <c r="D183" s="0" t="n">
        <v>314</v>
      </c>
      <c r="E183" s="0" t="n">
        <v>320</v>
      </c>
      <c r="F183" s="0" t="n">
        <v>330</v>
      </c>
    </row>
    <row r="184" customFormat="false" ht="15.75" hidden="false" customHeight="false" outlineLevel="0" collapsed="false">
      <c r="A184" s="0" t="s">
        <v>341</v>
      </c>
      <c r="B184" s="0" t="n">
        <v>293</v>
      </c>
      <c r="C184" s="0" t="n">
        <v>299</v>
      </c>
      <c r="D184" s="0" t="n">
        <v>314</v>
      </c>
      <c r="E184" s="0" t="n">
        <v>323</v>
      </c>
      <c r="F184" s="0" t="n">
        <v>333</v>
      </c>
    </row>
    <row r="185" customFormat="false" ht="15.75" hidden="false" customHeight="false" outlineLevel="0" collapsed="false">
      <c r="A185" s="0" t="s">
        <v>343</v>
      </c>
      <c r="B185" s="0" t="n">
        <v>293</v>
      </c>
      <c r="C185" s="0" t="n">
        <v>299</v>
      </c>
      <c r="D185" s="0" t="n">
        <v>312</v>
      </c>
      <c r="E185" s="0" t="n">
        <v>320</v>
      </c>
      <c r="F185" s="0" t="n">
        <v>329</v>
      </c>
    </row>
    <row r="186" customFormat="false" ht="15.75" hidden="false" customHeight="false" outlineLevel="0" collapsed="false">
      <c r="A186" s="0" t="s">
        <v>345</v>
      </c>
      <c r="B186" s="0" t="n">
        <v>291</v>
      </c>
      <c r="C186" s="0" t="n">
        <v>299</v>
      </c>
      <c r="D186" s="0" t="n">
        <v>311</v>
      </c>
      <c r="E186" s="0" t="n">
        <v>324</v>
      </c>
      <c r="F186" s="0" t="n">
        <v>336</v>
      </c>
    </row>
    <row r="187" customFormat="false" ht="15.75" hidden="false" customHeight="false" outlineLevel="0" collapsed="false">
      <c r="A187" s="0" t="s">
        <v>347</v>
      </c>
      <c r="B187" s="0" t="n">
        <v>285</v>
      </c>
      <c r="C187" s="0" t="n">
        <v>295</v>
      </c>
      <c r="D187" s="0" t="n">
        <v>310</v>
      </c>
      <c r="E187" s="0" t="n">
        <v>320</v>
      </c>
      <c r="F187" s="0" t="n">
        <v>330</v>
      </c>
    </row>
    <row r="188" customFormat="false" ht="15.75" hidden="false" customHeight="false" outlineLevel="0" collapsed="false">
      <c r="A188" s="0" t="s">
        <v>349</v>
      </c>
      <c r="B188" s="0" t="n">
        <v>287</v>
      </c>
      <c r="C188" s="0" t="n">
        <v>297</v>
      </c>
      <c r="D188" s="0" t="n">
        <v>312</v>
      </c>
      <c r="E188" s="0" t="n">
        <v>321</v>
      </c>
      <c r="F188" s="0" t="n">
        <v>331</v>
      </c>
    </row>
    <row r="189" customFormat="false" ht="15.75" hidden="false" customHeight="false" outlineLevel="0" collapsed="false">
      <c r="A189" s="3" t="s">
        <v>351</v>
      </c>
      <c r="B189" s="0" t="n">
        <v>293.15</v>
      </c>
      <c r="C189" s="0" t="n">
        <v>298.15</v>
      </c>
      <c r="D189" s="0" t="n">
        <v>313.15</v>
      </c>
      <c r="E189" s="0" t="n">
        <v>318.15</v>
      </c>
      <c r="F189" s="0" t="n">
        <v>323.15</v>
      </c>
      <c r="G189" s="9"/>
      <c r="H189" s="9"/>
    </row>
    <row r="190" customFormat="false" ht="15.75" hidden="false" customHeight="false" outlineLevel="0" collapsed="false">
      <c r="A190" s="3" t="s">
        <v>353</v>
      </c>
      <c r="B190" s="0" t="n">
        <v>293.15</v>
      </c>
      <c r="C190" s="0" t="n">
        <v>298.15</v>
      </c>
      <c r="D190" s="0" t="n">
        <v>313.15</v>
      </c>
      <c r="E190" s="0" t="s">
        <v>1576</v>
      </c>
      <c r="F190" s="0" t="s">
        <v>1577</v>
      </c>
      <c r="G190" s="9"/>
      <c r="H190" s="9"/>
    </row>
    <row r="191" customFormat="false" ht="15.75" hidden="false" customHeight="false" outlineLevel="0" collapsed="false">
      <c r="A191" s="3" t="s">
        <v>355</v>
      </c>
      <c r="B191" s="0" t="n">
        <v>293.15</v>
      </c>
      <c r="C191" s="0" t="n">
        <v>298.15</v>
      </c>
      <c r="D191" s="0" t="n">
        <v>313.15</v>
      </c>
      <c r="E191" s="0" t="n">
        <v>318.15</v>
      </c>
      <c r="F191" s="0" t="n">
        <v>323.15</v>
      </c>
      <c r="G191" s="9"/>
      <c r="H191" s="9"/>
    </row>
    <row r="192" customFormat="false" ht="15.75" hidden="false" customHeight="false" outlineLevel="0" collapsed="false">
      <c r="A192" s="3" t="s">
        <v>357</v>
      </c>
      <c r="B192" s="0" t="n">
        <v>293.15</v>
      </c>
      <c r="C192" s="0" t="n">
        <v>298.15</v>
      </c>
      <c r="D192" s="0" t="n">
        <v>313.15</v>
      </c>
      <c r="E192" s="0" t="n">
        <v>318.15</v>
      </c>
      <c r="F192" s="0" t="n">
        <v>332.514183</v>
      </c>
      <c r="G192" s="9"/>
      <c r="H192" s="9"/>
    </row>
    <row r="193" customFormat="false" ht="15.75" hidden="false" customHeight="false" outlineLevel="0" collapsed="false">
      <c r="A193" s="3" t="s">
        <v>359</v>
      </c>
      <c r="B193" s="0" t="n">
        <v>293.15</v>
      </c>
      <c r="C193" s="0" t="n">
        <v>298.15</v>
      </c>
      <c r="D193" s="0" t="n">
        <v>313.15</v>
      </c>
      <c r="E193" s="0" t="n">
        <v>316</v>
      </c>
      <c r="F193" s="0" t="n">
        <v>321</v>
      </c>
      <c r="G193" s="9"/>
      <c r="H193" s="9"/>
    </row>
    <row r="194" customFormat="false" ht="15.75" hidden="false" customHeight="false" outlineLevel="0" collapsed="false">
      <c r="A194" s="3" t="s">
        <v>361</v>
      </c>
      <c r="B194" s="0" t="n">
        <v>293.15</v>
      </c>
      <c r="C194" s="0" t="n">
        <v>298.15</v>
      </c>
      <c r="D194" s="0" t="n">
        <v>313.15</v>
      </c>
      <c r="E194" s="0" t="n">
        <v>321</v>
      </c>
      <c r="F194" s="0" t="n">
        <v>326</v>
      </c>
      <c r="G194" s="9"/>
      <c r="H194" s="9"/>
    </row>
    <row r="195" customFormat="false" ht="15.75" hidden="false" customHeight="false" outlineLevel="0" collapsed="false">
      <c r="A195" s="3" t="s">
        <v>363</v>
      </c>
      <c r="B195" s="0" t="n">
        <v>463.15</v>
      </c>
      <c r="C195" s="0" t="n">
        <v>483.15</v>
      </c>
      <c r="D195" s="0" t="n">
        <v>493.15</v>
      </c>
      <c r="E195" s="0" t="n">
        <v>496</v>
      </c>
      <c r="F195" s="0" t="n">
        <v>500</v>
      </c>
      <c r="G195" s="9"/>
      <c r="H195" s="9"/>
    </row>
    <row r="196" customFormat="false" ht="15.75" hidden="false" customHeight="false" outlineLevel="0" collapsed="false">
      <c r="A196" s="3" t="s">
        <v>365</v>
      </c>
      <c r="B196" s="0" t="n">
        <v>373.15</v>
      </c>
      <c r="C196" s="0" t="n">
        <v>393.15</v>
      </c>
      <c r="D196" s="0" t="n">
        <v>413.15</v>
      </c>
      <c r="E196" s="0" t="n">
        <v>433.138</v>
      </c>
      <c r="F196" s="0" t="n">
        <v>453.145</v>
      </c>
      <c r="G196" s="9"/>
      <c r="H196" s="9"/>
    </row>
    <row r="197" customFormat="false" ht="15.75" hidden="false" customHeight="false" outlineLevel="0" collapsed="false">
      <c r="A197" s="3" t="s">
        <v>367</v>
      </c>
      <c r="B197" s="0" t="n">
        <v>433.15</v>
      </c>
      <c r="C197" s="0" t="n">
        <v>445.15</v>
      </c>
      <c r="D197" s="0" t="n">
        <v>449.66</v>
      </c>
      <c r="E197" s="0" t="n">
        <v>456.1462</v>
      </c>
      <c r="F197" s="0" t="n">
        <v>464.16058</v>
      </c>
      <c r="G197" s="9"/>
      <c r="H197" s="9"/>
    </row>
    <row r="198" customFormat="false" ht="15.75" hidden="false" customHeight="false" outlineLevel="0" collapsed="false">
      <c r="A198" s="3" t="s">
        <v>120</v>
      </c>
      <c r="B198" s="0" t="n">
        <v>293.15</v>
      </c>
      <c r="C198" s="0" t="n">
        <v>298.15</v>
      </c>
      <c r="D198" s="0" t="n">
        <v>313.15</v>
      </c>
      <c r="E198" s="0" t="n">
        <v>318</v>
      </c>
      <c r="F198" s="0" t="n">
        <v>322</v>
      </c>
      <c r="G198" s="9"/>
      <c r="H198" s="9"/>
    </row>
    <row r="199" customFormat="false" ht="18" hidden="false" customHeight="false" outlineLevel="0" collapsed="false">
      <c r="A199" s="3" t="s">
        <v>369</v>
      </c>
      <c r="B199" s="0" t="n">
        <v>293.15</v>
      </c>
      <c r="C199" s="0" t="n">
        <v>298.15</v>
      </c>
      <c r="D199" s="0" t="n">
        <v>313.15</v>
      </c>
      <c r="E199" s="0" t="n">
        <v>323.137055</v>
      </c>
      <c r="F199" s="0" t="n">
        <v>330</v>
      </c>
      <c r="G199" s="10"/>
      <c r="H199" s="9"/>
    </row>
    <row r="200" customFormat="false" ht="15.75" hidden="false" customHeight="false" outlineLevel="0" collapsed="false">
      <c r="A200" s="3" t="s">
        <v>370</v>
      </c>
      <c r="B200" s="0" t="n">
        <v>293.15</v>
      </c>
      <c r="C200" s="0" t="n">
        <v>298.15</v>
      </c>
      <c r="D200" s="0" t="n">
        <v>313.15</v>
      </c>
      <c r="E200" s="0" t="n">
        <v>323.137055</v>
      </c>
      <c r="F200" s="0" t="n">
        <v>333.124</v>
      </c>
      <c r="G200" s="9"/>
      <c r="H200" s="9"/>
    </row>
    <row r="201" customFormat="false" ht="15.75" hidden="false" customHeight="false" outlineLevel="0" collapsed="false">
      <c r="A201" s="3" t="s">
        <v>372</v>
      </c>
      <c r="B201" s="0" t="n">
        <v>293.15</v>
      </c>
      <c r="C201" s="0" t="n">
        <v>298.15</v>
      </c>
      <c r="D201" s="0" t="n">
        <v>313.15</v>
      </c>
      <c r="E201" s="0" t="n">
        <v>323.137055</v>
      </c>
      <c r="F201" s="0" t="n">
        <v>333.124</v>
      </c>
      <c r="G201" s="9"/>
      <c r="H201" s="9"/>
    </row>
    <row r="202" customFormat="false" ht="15.75" hidden="false" customHeight="false" outlineLevel="0" collapsed="false">
      <c r="A202" s="3" t="s">
        <v>374</v>
      </c>
      <c r="B202" s="0" t="n">
        <v>293.15</v>
      </c>
      <c r="C202" s="0" t="n">
        <v>298.15</v>
      </c>
      <c r="D202" s="0" t="n">
        <v>313.15</v>
      </c>
      <c r="E202" s="0" t="n">
        <v>323.137055</v>
      </c>
      <c r="F202" s="0" t="n">
        <v>333.124</v>
      </c>
      <c r="G202" s="9"/>
      <c r="H202" s="9"/>
    </row>
    <row r="203" customFormat="false" ht="15.75" hidden="false" customHeight="false" outlineLevel="0" collapsed="false">
      <c r="A203" s="3" t="s">
        <v>376</v>
      </c>
      <c r="B203" s="0" t="n">
        <v>293.15</v>
      </c>
      <c r="C203" s="0" t="n">
        <v>298.15</v>
      </c>
      <c r="D203" s="0" t="n">
        <v>313.15</v>
      </c>
      <c r="E203" s="0" t="n">
        <v>323.137055</v>
      </c>
      <c r="F203" s="0" t="n">
        <v>333.124</v>
      </c>
      <c r="G203" s="9"/>
      <c r="H203" s="9"/>
    </row>
    <row r="204" customFormat="false" ht="15.75" hidden="false" customHeight="false" outlineLevel="0" collapsed="false">
      <c r="A204" s="3" t="s">
        <v>378</v>
      </c>
      <c r="B204" s="0" t="n">
        <v>293.15</v>
      </c>
      <c r="C204" s="0" t="n">
        <v>298.15</v>
      </c>
      <c r="D204" s="0" t="n">
        <v>313.15</v>
      </c>
      <c r="E204" s="0" t="n">
        <v>333.124</v>
      </c>
      <c r="F204" s="0" t="n">
        <v>353.123</v>
      </c>
      <c r="G204" s="9"/>
      <c r="H204" s="9"/>
    </row>
    <row r="205" customFormat="false" ht="15.75" hidden="false" customHeight="false" outlineLevel="0" collapsed="false">
      <c r="A205" s="3" t="s">
        <v>380</v>
      </c>
      <c r="B205" s="0" t="n">
        <v>293.15</v>
      </c>
      <c r="C205" s="0" t="n">
        <v>298.15</v>
      </c>
      <c r="D205" s="0" t="n">
        <v>313.15</v>
      </c>
      <c r="E205" s="0" t="n">
        <v>333.124</v>
      </c>
      <c r="F205" s="0" t="n">
        <v>353.123</v>
      </c>
      <c r="G205" s="9"/>
      <c r="H205" s="9"/>
    </row>
    <row r="206" customFormat="false" ht="15.75" hidden="false" customHeight="false" outlineLevel="0" collapsed="false">
      <c r="A206" s="3" t="s">
        <v>382</v>
      </c>
      <c r="B206" s="0" t="n">
        <v>293.15</v>
      </c>
      <c r="C206" s="0" t="n">
        <v>298.15</v>
      </c>
      <c r="D206" s="0" t="n">
        <v>313.15</v>
      </c>
      <c r="E206" s="0" t="n">
        <v>320</v>
      </c>
      <c r="F206" s="0" t="n">
        <v>330</v>
      </c>
      <c r="G206" s="9"/>
      <c r="H206" s="9"/>
    </row>
    <row r="207" customFormat="false" ht="15.75" hidden="false" customHeight="false" outlineLevel="0" collapsed="false">
      <c r="A207" s="3" t="s">
        <v>384</v>
      </c>
      <c r="B207" s="0" t="n">
        <v>293.15</v>
      </c>
      <c r="C207" s="0" t="n">
        <v>298.15</v>
      </c>
      <c r="D207" s="0" t="n">
        <v>313.15</v>
      </c>
      <c r="E207" s="0" t="n">
        <v>318</v>
      </c>
      <c r="F207" s="0" t="n">
        <v>325</v>
      </c>
      <c r="G207" s="9"/>
      <c r="H207" s="9"/>
    </row>
    <row r="208" customFormat="false" ht="15.75" hidden="false" customHeight="false" outlineLevel="0" collapsed="false">
      <c r="A208" s="3" t="s">
        <v>386</v>
      </c>
      <c r="B208" s="0" t="n">
        <v>293.15</v>
      </c>
      <c r="C208" s="0" t="n">
        <v>298.15</v>
      </c>
      <c r="D208" s="0" t="n">
        <v>313.15</v>
      </c>
      <c r="E208" s="0" t="n">
        <v>323.137055</v>
      </c>
      <c r="F208" s="0" t="n">
        <v>327</v>
      </c>
      <c r="G208" s="9"/>
      <c r="H208" s="9"/>
    </row>
    <row r="209" customFormat="false" ht="15.75" hidden="false" customHeight="false" outlineLevel="0" collapsed="false">
      <c r="A209" s="3" t="s">
        <v>388</v>
      </c>
      <c r="B209" s="0" t="n">
        <v>293.15</v>
      </c>
      <c r="C209" s="0" t="n">
        <v>298.15</v>
      </c>
      <c r="D209" s="0" t="n">
        <v>313.15</v>
      </c>
      <c r="E209" s="0" t="n">
        <v>322</v>
      </c>
      <c r="F209" s="0" t="n">
        <v>329</v>
      </c>
      <c r="G209" s="9"/>
      <c r="H209" s="9"/>
    </row>
    <row r="210" customFormat="false" ht="15.75" hidden="false" customHeight="false" outlineLevel="0" collapsed="false">
      <c r="A210" s="3" t="s">
        <v>44</v>
      </c>
      <c r="B210" s="0" t="n">
        <v>293.15</v>
      </c>
      <c r="C210" s="0" t="n">
        <v>298.15</v>
      </c>
      <c r="D210" s="0" t="n">
        <v>313.15</v>
      </c>
      <c r="E210" s="0" t="n">
        <v>322</v>
      </c>
      <c r="F210" s="0" t="n">
        <v>328</v>
      </c>
      <c r="G210" s="9"/>
      <c r="H210" s="9"/>
    </row>
    <row r="211" customFormat="false" ht="15.75" hidden="false" customHeight="false" outlineLevel="0" collapsed="false">
      <c r="A211" s="3" t="s">
        <v>389</v>
      </c>
      <c r="B211" s="0" t="n">
        <v>293.15</v>
      </c>
      <c r="C211" s="0" t="n">
        <v>298.15</v>
      </c>
      <c r="D211" s="0" t="n">
        <v>313.15</v>
      </c>
      <c r="E211" s="0" t="n">
        <v>320</v>
      </c>
      <c r="F211" s="0" t="n">
        <v>330</v>
      </c>
      <c r="G211" s="9"/>
      <c r="H211" s="9"/>
    </row>
    <row r="212" customFormat="false" ht="15.75" hidden="false" customHeight="false" outlineLevel="0" collapsed="false">
      <c r="A212" s="3" t="s">
        <v>391</v>
      </c>
      <c r="B212" s="0" t="n">
        <v>293.15</v>
      </c>
      <c r="C212" s="0" t="n">
        <v>298.15</v>
      </c>
      <c r="D212" s="0" t="n">
        <v>313.15</v>
      </c>
      <c r="E212" s="0" t="n">
        <v>322</v>
      </c>
      <c r="F212" s="0" t="n">
        <v>332</v>
      </c>
      <c r="G212" s="9"/>
      <c r="H212" s="9"/>
    </row>
    <row r="213" customFormat="false" ht="15.75" hidden="false" customHeight="false" outlineLevel="0" collapsed="false">
      <c r="A213" s="3" t="s">
        <v>393</v>
      </c>
      <c r="B213" s="0" t="n">
        <v>296.15</v>
      </c>
      <c r="C213" s="0" t="n">
        <v>304</v>
      </c>
      <c r="D213" s="0" t="n">
        <v>312</v>
      </c>
      <c r="E213" s="0" t="n">
        <v>321</v>
      </c>
      <c r="F213" s="0" t="n">
        <v>333</v>
      </c>
      <c r="G213" s="9"/>
      <c r="H213" s="9"/>
    </row>
    <row r="214" customFormat="false" ht="15.75" hidden="false" customHeight="false" outlineLevel="0" collapsed="false">
      <c r="A214" s="3" t="s">
        <v>395</v>
      </c>
      <c r="B214" s="0" t="n">
        <v>293.15</v>
      </c>
      <c r="C214" s="0" t="n">
        <v>298.15</v>
      </c>
      <c r="D214" s="0" t="n">
        <v>313.15</v>
      </c>
      <c r="E214" s="0" t="n">
        <v>318.15</v>
      </c>
      <c r="F214" s="0" t="n">
        <v>323.15</v>
      </c>
      <c r="G214" s="9"/>
      <c r="H214" s="9"/>
    </row>
    <row r="215" customFormat="false" ht="15.75" hidden="false" customHeight="false" outlineLevel="0" collapsed="false">
      <c r="A215" s="3" t="s">
        <v>396</v>
      </c>
      <c r="B215" s="0" t="n">
        <v>293.15</v>
      </c>
      <c r="C215" s="0" t="n">
        <v>298.15</v>
      </c>
      <c r="D215" s="0" t="n">
        <v>313.15</v>
      </c>
      <c r="E215" s="0" t="n">
        <v>318.15</v>
      </c>
      <c r="F215" s="0" t="n">
        <v>323.15</v>
      </c>
      <c r="G215" s="9"/>
      <c r="H215" s="9"/>
    </row>
    <row r="216" customFormat="false" ht="15.75" hidden="false" customHeight="false" outlineLevel="0" collapsed="false">
      <c r="A216" s="3" t="s">
        <v>398</v>
      </c>
      <c r="B216" s="0" t="n">
        <v>293.15</v>
      </c>
      <c r="C216" s="0" t="n">
        <v>298.15</v>
      </c>
      <c r="D216" s="0" t="n">
        <v>313.15</v>
      </c>
      <c r="E216" s="0" t="n">
        <v>318.15</v>
      </c>
      <c r="F216" s="0" t="n">
        <v>323.15</v>
      </c>
      <c r="G216" s="9"/>
      <c r="H216" s="9"/>
    </row>
    <row r="217" customFormat="false" ht="15.75" hidden="false" customHeight="false" outlineLevel="0" collapsed="false">
      <c r="A217" s="3" t="s">
        <v>400</v>
      </c>
      <c r="B217" s="0" t="n">
        <v>293.15</v>
      </c>
      <c r="C217" s="0" t="n">
        <v>298.15</v>
      </c>
      <c r="D217" s="0" t="n">
        <v>313.15</v>
      </c>
      <c r="E217" s="0" t="n">
        <v>318.15</v>
      </c>
      <c r="F217" s="0" t="n">
        <v>323.15</v>
      </c>
      <c r="G217" s="9"/>
      <c r="H217" s="9"/>
    </row>
    <row r="218" customFormat="false" ht="15.75" hidden="false" customHeight="false" outlineLevel="0" collapsed="false">
      <c r="A218" s="3" t="s">
        <v>402</v>
      </c>
      <c r="B218" s="0" t="n">
        <v>293.15</v>
      </c>
      <c r="C218" s="0" t="n">
        <v>298.15</v>
      </c>
      <c r="D218" s="0" t="n">
        <v>313.15</v>
      </c>
      <c r="E218" s="0" t="n">
        <v>317</v>
      </c>
      <c r="F218" s="0" t="n">
        <v>323</v>
      </c>
      <c r="G218" s="9"/>
      <c r="H218" s="9"/>
    </row>
    <row r="219" customFormat="false" ht="15.75" hidden="false" customHeight="false" outlineLevel="0" collapsed="false">
      <c r="A219" s="3" t="s">
        <v>404</v>
      </c>
      <c r="B219" s="0" t="n">
        <v>293.15</v>
      </c>
      <c r="C219" s="0" t="n">
        <v>298.15</v>
      </c>
      <c r="D219" s="0" t="n">
        <v>313.15</v>
      </c>
      <c r="E219" s="0" t="n">
        <v>316.62895</v>
      </c>
      <c r="F219" s="0" t="n">
        <v>322</v>
      </c>
      <c r="G219" s="9"/>
      <c r="H219" s="9"/>
    </row>
    <row r="220" customFormat="false" ht="15.75" hidden="false" customHeight="false" outlineLevel="0" collapsed="false">
      <c r="A220" s="3" t="s">
        <v>406</v>
      </c>
      <c r="B220" s="0" t="n">
        <v>293.15</v>
      </c>
      <c r="C220" s="0" t="n">
        <v>298.15</v>
      </c>
      <c r="D220" s="0" t="n">
        <v>313.15</v>
      </c>
      <c r="E220" s="0" t="n">
        <v>323.15</v>
      </c>
      <c r="F220" s="0" t="n">
        <v>333.15</v>
      </c>
      <c r="G220" s="9"/>
      <c r="H220" s="9"/>
    </row>
    <row r="221" customFormat="false" ht="15.75" hidden="false" customHeight="false" outlineLevel="0" collapsed="false">
      <c r="A221" s="3" t="s">
        <v>408</v>
      </c>
      <c r="B221" s="0" t="n">
        <v>293.15</v>
      </c>
      <c r="C221" s="0" t="n">
        <v>298.15</v>
      </c>
      <c r="D221" s="0" t="n">
        <v>313.15</v>
      </c>
      <c r="E221" s="0" t="n">
        <v>323.15</v>
      </c>
      <c r="F221" s="0" t="n">
        <v>334.024</v>
      </c>
      <c r="G221" s="9"/>
      <c r="H221" s="9"/>
    </row>
    <row r="222" customFormat="false" ht="15.75" hidden="false" customHeight="false" outlineLevel="0" collapsed="false">
      <c r="A222" s="4" t="s">
        <v>410</v>
      </c>
      <c r="B222" s="0" t="n">
        <v>293.15</v>
      </c>
      <c r="C222" s="0" t="n">
        <v>298.15</v>
      </c>
      <c r="D222" s="0" t="n">
        <v>313.15</v>
      </c>
      <c r="E222" s="0" t="n">
        <v>323.127</v>
      </c>
      <c r="F222" s="0" t="n">
        <v>333.124</v>
      </c>
      <c r="G222" s="9"/>
      <c r="H222" s="9"/>
    </row>
    <row r="223" customFormat="false" ht="15.75" hidden="false" customHeight="false" outlineLevel="0" collapsed="false">
      <c r="A223" s="4" t="s">
        <v>412</v>
      </c>
      <c r="B223" s="0" t="n">
        <v>293.15</v>
      </c>
      <c r="C223" s="0" t="n">
        <v>298.15</v>
      </c>
      <c r="D223" s="0" t="n">
        <v>313.15</v>
      </c>
      <c r="E223" s="0" t="n">
        <v>333.13437</v>
      </c>
      <c r="F223" s="0" t="n">
        <v>353.129055</v>
      </c>
      <c r="G223" s="9"/>
      <c r="H223" s="9"/>
    </row>
    <row r="224" customFormat="false" ht="15.75" hidden="false" customHeight="false" outlineLevel="0" collapsed="false">
      <c r="A224" s="4" t="s">
        <v>414</v>
      </c>
      <c r="B224" s="0" t="n">
        <v>293.15</v>
      </c>
      <c r="C224" s="0" t="n">
        <v>298.15</v>
      </c>
      <c r="D224" s="0" t="n">
        <v>313.15</v>
      </c>
      <c r="E224" s="0" t="n">
        <v>323</v>
      </c>
      <c r="F224" s="0" t="n">
        <v>336</v>
      </c>
      <c r="G224" s="9"/>
      <c r="H224" s="9"/>
    </row>
    <row r="225" customFormat="false" ht="15.75" hidden="false" customHeight="false" outlineLevel="0" collapsed="false">
      <c r="A225" s="4" t="s">
        <v>416</v>
      </c>
      <c r="B225" s="0" t="n">
        <v>293.15</v>
      </c>
      <c r="C225" s="0" t="n">
        <v>298.15</v>
      </c>
      <c r="D225" s="0" t="n">
        <v>313.15</v>
      </c>
      <c r="E225" s="0" t="n">
        <v>323</v>
      </c>
      <c r="F225" s="0" t="n">
        <v>332</v>
      </c>
      <c r="G225" s="9"/>
      <c r="H225" s="9"/>
    </row>
    <row r="226" customFormat="false" ht="15.75" hidden="false" customHeight="false" outlineLevel="0" collapsed="false">
      <c r="A226" s="4" t="s">
        <v>304</v>
      </c>
      <c r="B226" s="0" t="n">
        <v>293.15</v>
      </c>
      <c r="C226" s="0" t="n">
        <v>298.15</v>
      </c>
      <c r="D226" s="0" t="n">
        <v>313.15</v>
      </c>
      <c r="E226" s="0" t="n">
        <v>333.124</v>
      </c>
      <c r="F226" s="0" t="n">
        <v>353.123</v>
      </c>
      <c r="G226" s="9"/>
      <c r="H226" s="9"/>
    </row>
    <row r="227" customFormat="false" ht="15.75" hidden="false" customHeight="false" outlineLevel="0" collapsed="false">
      <c r="A227" s="4" t="s">
        <v>326</v>
      </c>
      <c r="B227" s="0" t="n">
        <v>293.15</v>
      </c>
      <c r="C227" s="0" t="n">
        <v>298.15</v>
      </c>
      <c r="D227" s="0" t="n">
        <v>313.15</v>
      </c>
      <c r="E227" s="0" t="n">
        <v>323</v>
      </c>
      <c r="F227" s="0" t="n">
        <v>332</v>
      </c>
      <c r="G227" s="9"/>
      <c r="H227" s="9"/>
    </row>
    <row r="228" customFormat="false" ht="15.75" hidden="false" customHeight="false" outlineLevel="0" collapsed="false">
      <c r="A228" s="4" t="s">
        <v>419</v>
      </c>
      <c r="B228" s="0" t="n">
        <v>293.15</v>
      </c>
      <c r="C228" s="0" t="n">
        <v>298.15</v>
      </c>
      <c r="D228" s="0" t="n">
        <v>313.15</v>
      </c>
      <c r="E228" s="0" t="n">
        <v>323</v>
      </c>
      <c r="F228" s="0" t="n">
        <v>333</v>
      </c>
      <c r="G228" s="9"/>
      <c r="H228" s="9"/>
    </row>
    <row r="229" customFormat="false" ht="15.75" hidden="false" customHeight="false" outlineLevel="0" collapsed="false">
      <c r="A229" s="4" t="s">
        <v>421</v>
      </c>
      <c r="B229" s="0" t="n">
        <v>293.15</v>
      </c>
      <c r="C229" s="0" t="n">
        <v>298.15</v>
      </c>
      <c r="D229" s="0" t="n">
        <v>313.15</v>
      </c>
      <c r="E229" s="0" t="n">
        <v>323</v>
      </c>
      <c r="F229" s="0" t="n">
        <v>333</v>
      </c>
      <c r="G229" s="9"/>
      <c r="H229" s="9"/>
    </row>
    <row r="230" customFormat="false" ht="15.75" hidden="false" customHeight="false" outlineLevel="0" collapsed="false">
      <c r="A230" s="4" t="s">
        <v>423</v>
      </c>
      <c r="B230" s="0" t="n">
        <v>293.15</v>
      </c>
      <c r="C230" s="0" t="n">
        <v>298.15</v>
      </c>
      <c r="D230" s="0" t="n">
        <v>313.15</v>
      </c>
      <c r="E230" s="0" t="n">
        <v>321</v>
      </c>
      <c r="F230" s="0" t="n">
        <v>331</v>
      </c>
      <c r="G230" s="9"/>
      <c r="H230" s="9"/>
    </row>
    <row r="231" customFormat="false" ht="15.75" hidden="false" customHeight="false" outlineLevel="0" collapsed="false">
      <c r="A231" s="4" t="s">
        <v>425</v>
      </c>
      <c r="B231" s="0" t="n">
        <v>293.15</v>
      </c>
      <c r="C231" s="0" t="n">
        <v>298.15</v>
      </c>
      <c r="D231" s="0" t="n">
        <v>313.15</v>
      </c>
      <c r="E231" s="0" t="n">
        <v>325</v>
      </c>
      <c r="F231" s="0" t="n">
        <v>335</v>
      </c>
      <c r="G231" s="9"/>
      <c r="H231" s="9"/>
    </row>
    <row r="232" customFormat="false" ht="15.75" hidden="false" customHeight="false" outlineLevel="0" collapsed="false">
      <c r="A232" s="4" t="s">
        <v>427</v>
      </c>
      <c r="B232" s="0" t="n">
        <v>293.15</v>
      </c>
      <c r="C232" s="0" t="n">
        <v>298.15</v>
      </c>
      <c r="D232" s="0" t="n">
        <v>313.15</v>
      </c>
      <c r="E232" s="0" t="n">
        <v>323</v>
      </c>
      <c r="F232" s="0" t="n">
        <v>332</v>
      </c>
      <c r="G232" s="9"/>
      <c r="H232" s="9"/>
    </row>
    <row r="233" customFormat="false" ht="15.75" hidden="false" customHeight="false" outlineLevel="0" collapsed="false">
      <c r="A233" s="4" t="s">
        <v>429</v>
      </c>
      <c r="B233" s="0" t="n">
        <v>293.15</v>
      </c>
      <c r="C233" s="0" t="n">
        <v>298.15</v>
      </c>
      <c r="D233" s="0" t="n">
        <v>313.15</v>
      </c>
      <c r="E233" s="0" t="n">
        <v>321</v>
      </c>
      <c r="F233" s="0" t="n">
        <v>331</v>
      </c>
      <c r="G233" s="9"/>
      <c r="H233" s="9"/>
    </row>
    <row r="234" customFormat="false" ht="15.75" hidden="false" customHeight="false" outlineLevel="0" collapsed="false">
      <c r="A234" s="4" t="s">
        <v>431</v>
      </c>
      <c r="B234" s="0" t="n">
        <v>293.15</v>
      </c>
      <c r="C234" s="0" t="n">
        <v>298.15</v>
      </c>
      <c r="D234" s="0" t="n">
        <v>313.15</v>
      </c>
      <c r="E234" s="0" t="n">
        <v>323</v>
      </c>
      <c r="F234" s="0" t="n">
        <v>332</v>
      </c>
      <c r="G234" s="9"/>
      <c r="H234" s="9"/>
    </row>
    <row r="235" customFormat="false" ht="15.75" hidden="false" customHeight="false" outlineLevel="0" collapsed="false">
      <c r="A235" s="4" t="s">
        <v>433</v>
      </c>
      <c r="B235" s="0" t="n">
        <v>293.15</v>
      </c>
      <c r="C235" s="0" t="n">
        <v>298.15</v>
      </c>
      <c r="D235" s="0" t="n">
        <v>313.15</v>
      </c>
      <c r="E235" s="0" t="n">
        <v>323.127</v>
      </c>
      <c r="F235" s="0" t="n">
        <v>333.124</v>
      </c>
      <c r="G235" s="9"/>
      <c r="H235" s="9"/>
    </row>
    <row r="236" customFormat="false" ht="15.75" hidden="false" customHeight="false" outlineLevel="0" collapsed="false">
      <c r="A236" s="4" t="s">
        <v>435</v>
      </c>
      <c r="B236" s="0" t="n">
        <v>293.15</v>
      </c>
      <c r="C236" s="0" t="n">
        <v>298.15</v>
      </c>
      <c r="D236" s="0" t="n">
        <v>313.15</v>
      </c>
      <c r="E236" s="0" t="n">
        <v>325</v>
      </c>
      <c r="F236" s="0" t="n">
        <v>335</v>
      </c>
      <c r="G236" s="9"/>
      <c r="H236" s="9"/>
    </row>
    <row r="237" customFormat="false" ht="15.75" hidden="false" customHeight="false" outlineLevel="0" collapsed="false">
      <c r="A237" s="4" t="s">
        <v>437</v>
      </c>
      <c r="B237" s="0" t="n">
        <v>300</v>
      </c>
      <c r="C237" s="0" t="n">
        <v>315</v>
      </c>
      <c r="D237" s="0" t="n">
        <v>325</v>
      </c>
      <c r="E237" s="0" t="n">
        <v>335</v>
      </c>
      <c r="F237" s="0" t="n">
        <v>345</v>
      </c>
      <c r="G237" s="9"/>
      <c r="H237" s="9"/>
    </row>
    <row r="238" customFormat="false" ht="15.75" hidden="false" customHeight="false" outlineLevel="0" collapsed="false">
      <c r="A238" s="4" t="s">
        <v>439</v>
      </c>
      <c r="B238" s="0" t="n">
        <v>286</v>
      </c>
      <c r="C238" s="0" t="n">
        <v>297</v>
      </c>
      <c r="D238" s="0" t="n">
        <v>313</v>
      </c>
      <c r="E238" s="0" t="n">
        <v>324</v>
      </c>
      <c r="F238" s="0" t="n">
        <v>335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0.5234375" defaultRowHeight="15" zeroHeight="false" outlineLevelRow="0" outlineLevelCol="0"/>
  <cols>
    <col collapsed="false" customWidth="true" hidden="false" outlineLevel="0" max="1" min="1" style="0" width="35.83"/>
    <col collapsed="false" customWidth="true" hidden="false" outlineLevel="0" max="2" min="2" style="3" width="54.83"/>
    <col collapsed="false" customWidth="true" hidden="false" outlineLevel="0" max="4" min="4" style="0" width="18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1571</v>
      </c>
      <c r="D1" s="5" t="s">
        <v>1566</v>
      </c>
      <c r="E1" s="5" t="s">
        <v>1572</v>
      </c>
      <c r="F1" s="5" t="s">
        <v>1567</v>
      </c>
      <c r="G1" s="5" t="s">
        <v>1573</v>
      </c>
      <c r="H1" s="5" t="s">
        <v>1568</v>
      </c>
    </row>
    <row r="2" customFormat="false" ht="15" hidden="false" customHeight="false" outlineLevel="0" collapsed="false">
      <c r="A2" s="3" t="s">
        <v>278</v>
      </c>
      <c r="B2" s="3" t="s">
        <v>279</v>
      </c>
      <c r="C2" s="0" t="n">
        <v>288.15</v>
      </c>
      <c r="E2" s="0" t="n">
        <v>298.15</v>
      </c>
      <c r="F2" s="0" t="n">
        <v>1.08856195281461</v>
      </c>
      <c r="G2" s="0" t="n">
        <v>313.15</v>
      </c>
      <c r="H2" s="0" t="n">
        <v>0.883767540168595</v>
      </c>
    </row>
    <row r="3" customFormat="false" ht="15" hidden="false" customHeight="false" outlineLevel="0" collapsed="false">
      <c r="A3" s="3" t="s">
        <v>280</v>
      </c>
      <c r="B3" s="3" t="s">
        <v>281</v>
      </c>
      <c r="C3" s="0" t="n">
        <v>288.15</v>
      </c>
      <c r="D3" s="0" t="n">
        <v>1.57484646766448</v>
      </c>
      <c r="E3" s="0" t="n">
        <v>298.15</v>
      </c>
      <c r="F3" s="0" t="n">
        <v>1.2947271675944</v>
      </c>
      <c r="G3" s="0" t="n">
        <v>313.15</v>
      </c>
      <c r="H3" s="0" t="n">
        <v>1.01160091167848</v>
      </c>
    </row>
    <row r="4" customFormat="false" ht="15" hidden="false" customHeight="false" outlineLevel="0" collapsed="false">
      <c r="A4" s="3" t="s">
        <v>282</v>
      </c>
      <c r="B4" s="3" t="s">
        <v>283</v>
      </c>
      <c r="C4" s="0" t="n">
        <v>288.15</v>
      </c>
      <c r="D4" s="0" t="n">
        <v>0.842343253</v>
      </c>
      <c r="E4" s="0" t="n">
        <v>298.15</v>
      </c>
      <c r="F4" s="0" t="n">
        <v>0.6032424</v>
      </c>
      <c r="G4" s="0" t="n">
        <v>313.15</v>
      </c>
      <c r="H4" s="0" t="n">
        <v>0.309239429</v>
      </c>
    </row>
    <row r="5" customFormat="false" ht="15" hidden="false" customHeight="false" outlineLevel="0" collapsed="false">
      <c r="A5" s="3" t="s">
        <v>284</v>
      </c>
      <c r="B5" s="3" t="s">
        <v>285</v>
      </c>
      <c r="C5" s="0" t="n">
        <v>288.15</v>
      </c>
      <c r="D5" s="0" t="n">
        <v>2.07819075977818</v>
      </c>
      <c r="E5" s="0" t="n">
        <v>298.15</v>
      </c>
      <c r="F5" s="0" t="n">
        <v>1.71918877639322</v>
      </c>
      <c r="G5" s="0" t="n">
        <v>313.15</v>
      </c>
      <c r="H5" s="0" t="n">
        <v>1.18478998490916</v>
      </c>
    </row>
    <row r="6" customFormat="false" ht="15" hidden="false" customHeight="false" outlineLevel="0" collapsed="false">
      <c r="A6" s="3" t="s">
        <v>1578</v>
      </c>
      <c r="B6" s="3" t="s">
        <v>440</v>
      </c>
      <c r="C6" s="0" t="n">
        <v>288.15</v>
      </c>
      <c r="D6" s="0" t="n">
        <v>1.40854497005471</v>
      </c>
      <c r="E6" s="0" t="n">
        <v>298.15</v>
      </c>
      <c r="F6" s="0" t="n">
        <v>1.21194097397511</v>
      </c>
      <c r="G6" s="0" t="n">
        <v>313.15</v>
      </c>
      <c r="H6" s="0" t="n">
        <v>0.8754687373539</v>
      </c>
    </row>
    <row r="7" customFormat="false" ht="15" hidden="false" customHeight="false" outlineLevel="0" collapsed="false">
      <c r="A7" s="3" t="s">
        <v>1579</v>
      </c>
      <c r="B7" s="3" t="s">
        <v>1580</v>
      </c>
      <c r="C7" s="0" t="n">
        <v>288.15</v>
      </c>
      <c r="D7" s="0" t="n">
        <v>1.90210752639692</v>
      </c>
      <c r="E7" s="0" t="n">
        <v>298.15</v>
      </c>
      <c r="F7" s="0" t="n">
        <v>1.7509374747078</v>
      </c>
      <c r="G7" s="0" t="n">
        <v>313.15</v>
      </c>
      <c r="H7" s="0" t="n">
        <v>1.22082992139236</v>
      </c>
    </row>
    <row r="8" customFormat="false" ht="15" hidden="false" customHeight="false" outlineLevel="0" collapsed="false">
      <c r="A8" s="3" t="s">
        <v>286</v>
      </c>
      <c r="B8" s="3" t="s">
        <v>287</v>
      </c>
      <c r="C8" s="0" t="n">
        <v>288.15</v>
      </c>
      <c r="E8" s="0" t="n">
        <v>298.15</v>
      </c>
      <c r="F8" s="0" t="n">
        <v>2.73566536813518</v>
      </c>
      <c r="G8" s="0" t="n">
        <v>313.15</v>
      </c>
      <c r="H8" s="0" t="n">
        <v>1.61342993370364</v>
      </c>
    </row>
    <row r="9" customFormat="false" ht="15" hidden="false" customHeight="false" outlineLevel="0" collapsed="false">
      <c r="A9" s="3" t="s">
        <v>288</v>
      </c>
      <c r="B9" s="3" t="s">
        <v>289</v>
      </c>
      <c r="C9" s="0" t="n">
        <v>288.15</v>
      </c>
      <c r="D9" s="0" t="n">
        <v>2.1938856760707</v>
      </c>
      <c r="E9" s="0" t="n">
        <v>298.15</v>
      </c>
      <c r="F9" s="0" t="n">
        <v>1.90805992492422</v>
      </c>
      <c r="G9" s="0" t="n">
        <v>313.15</v>
      </c>
      <c r="H9" s="0" t="n">
        <v>1.4747630091075</v>
      </c>
    </row>
    <row r="10" customFormat="false" ht="15" hidden="false" customHeight="false" outlineLevel="0" collapsed="false">
      <c r="A10" s="3" t="s">
        <v>290</v>
      </c>
      <c r="B10" s="3" t="s">
        <v>291</v>
      </c>
      <c r="C10" s="0" t="n">
        <v>288.15</v>
      </c>
      <c r="D10" s="0" t="n">
        <v>3.61818871349117</v>
      </c>
      <c r="E10" s="0" t="n">
        <v>298.15</v>
      </c>
      <c r="F10" s="0" t="n">
        <v>3.15444396470881</v>
      </c>
      <c r="G10" s="0" t="n">
        <v>313.15</v>
      </c>
      <c r="H10" s="0" t="n">
        <v>2.52412736294128</v>
      </c>
    </row>
    <row r="11" customFormat="false" ht="15" hidden="false" customHeight="false" outlineLevel="0" collapsed="false">
      <c r="A11" s="3" t="s">
        <v>1581</v>
      </c>
      <c r="B11" s="3" t="s">
        <v>1582</v>
      </c>
      <c r="C11" s="0" t="n">
        <v>288.15</v>
      </c>
      <c r="D11" s="0" t="n">
        <v>2.13060982825424</v>
      </c>
      <c r="E11" s="0" t="n">
        <v>298.15</v>
      </c>
      <c r="F11" s="0" t="n">
        <v>1.79175946922806</v>
      </c>
      <c r="G11" s="0" t="n">
        <v>313.15</v>
      </c>
      <c r="H11" s="0" t="n">
        <v>1.33500106673234</v>
      </c>
    </row>
    <row r="12" customFormat="false" ht="15" hidden="false" customHeight="false" outlineLevel="0" collapsed="false">
      <c r="A12" s="3" t="s">
        <v>292</v>
      </c>
      <c r="B12" s="3" t="s">
        <v>293</v>
      </c>
      <c r="C12" s="0" t="n">
        <v>288.15</v>
      </c>
      <c r="D12" s="0" t="n">
        <v>1.34025042261848</v>
      </c>
      <c r="E12" s="0" t="n">
        <v>298.15</v>
      </c>
      <c r="F12" s="0" t="n">
        <v>1.07158361628019</v>
      </c>
      <c r="G12" s="0" t="n">
        <v>313.15</v>
      </c>
      <c r="H12" s="0" t="n">
        <v>0.73716406597672</v>
      </c>
    </row>
    <row r="13" customFormat="false" ht="15" hidden="false" customHeight="false" outlineLevel="0" collapsed="false">
      <c r="A13" s="3" t="s">
        <v>294</v>
      </c>
      <c r="B13" s="3" t="s">
        <v>295</v>
      </c>
      <c r="C13" s="0" t="n">
        <v>288.15</v>
      </c>
      <c r="D13" s="0" t="n">
        <v>0.928219302739429</v>
      </c>
      <c r="E13" s="0" t="n">
        <v>298.15</v>
      </c>
      <c r="F13" s="0" t="n">
        <v>0.72270598280149</v>
      </c>
      <c r="G13" s="0" t="n">
        <v>313.15</v>
      </c>
      <c r="H13" s="0" t="n">
        <v>0.412109650826833</v>
      </c>
    </row>
    <row r="14" customFormat="false" ht="15" hidden="false" customHeight="false" outlineLevel="0" collapsed="false">
      <c r="A14" s="3" t="s">
        <v>296</v>
      </c>
      <c r="B14" s="3" t="s">
        <v>297</v>
      </c>
      <c r="C14" s="0" t="n">
        <v>288.15</v>
      </c>
      <c r="E14" s="0" t="n">
        <v>298.15</v>
      </c>
      <c r="G14" s="0" t="n">
        <v>313.15</v>
      </c>
    </row>
    <row r="15" customFormat="false" ht="15" hidden="false" customHeight="false" outlineLevel="0" collapsed="false">
      <c r="A15" s="3" t="s">
        <v>298</v>
      </c>
      <c r="B15" s="3" t="s">
        <v>299</v>
      </c>
      <c r="C15" s="0" t="n">
        <v>288.15</v>
      </c>
      <c r="D15" s="0" t="n">
        <v>1.91250108692418</v>
      </c>
      <c r="E15" s="0" t="n">
        <v>298.15</v>
      </c>
      <c r="F15" s="0" t="n">
        <v>1.66013102674962</v>
      </c>
      <c r="G15" s="0" t="n">
        <v>313.15</v>
      </c>
      <c r="H15" s="0" t="n">
        <v>1.22377543162212</v>
      </c>
    </row>
    <row r="16" customFormat="false" ht="15" hidden="false" customHeight="false" outlineLevel="0" collapsed="false">
      <c r="A16" s="3" t="s">
        <v>300</v>
      </c>
      <c r="B16" s="3" t="s">
        <v>301</v>
      </c>
      <c r="C16" s="0" t="n">
        <v>288.15</v>
      </c>
      <c r="D16" s="0" t="n">
        <v>1.01160091167848</v>
      </c>
      <c r="E16" s="0" t="n">
        <v>298.15</v>
      </c>
      <c r="F16" s="0" t="n">
        <v>0.819779831493311</v>
      </c>
      <c r="G16" s="0" t="n">
        <v>313.15</v>
      </c>
      <c r="H16" s="0" t="n">
        <v>0.494696241836107</v>
      </c>
    </row>
    <row r="17" customFormat="false" ht="15" hidden="false" customHeight="false" outlineLevel="0" collapsed="false">
      <c r="A17" s="3" t="s">
        <v>302</v>
      </c>
      <c r="B17" s="3" t="s">
        <v>303</v>
      </c>
      <c r="C17" s="0" t="n">
        <v>288.15</v>
      </c>
      <c r="D17" s="0" t="n">
        <v>2.84141491316963</v>
      </c>
      <c r="E17" s="0" t="n">
        <v>298.15</v>
      </c>
      <c r="F17" s="0" t="n">
        <v>2.38967979984498</v>
      </c>
      <c r="G17" s="0" t="n">
        <v>313.15</v>
      </c>
      <c r="H17" s="0" t="n">
        <v>1.81482474215905</v>
      </c>
    </row>
    <row r="18" customFormat="false" ht="15" hidden="false" customHeight="false" outlineLevel="0" collapsed="false">
      <c r="A18" s="3" t="s">
        <v>304</v>
      </c>
      <c r="B18" s="3" t="s">
        <v>305</v>
      </c>
      <c r="C18" s="0" t="n">
        <v>288.15</v>
      </c>
      <c r="D18" s="0" t="n">
        <v>0.173953307123438</v>
      </c>
      <c r="E18" s="0" t="n">
        <v>298.15</v>
      </c>
      <c r="F18" s="0" t="n">
        <v>-0.0304592074847086</v>
      </c>
      <c r="G18" s="0" t="n">
        <v>313.15</v>
      </c>
      <c r="H18" s="0" t="n">
        <v>-0.261364764134407</v>
      </c>
    </row>
    <row r="19" customFormat="false" ht="15" hidden="false" customHeight="false" outlineLevel="0" collapsed="false">
      <c r="A19" s="3" t="s">
        <v>1583</v>
      </c>
      <c r="B19" s="3" t="s">
        <v>1584</v>
      </c>
      <c r="C19" s="0" t="n">
        <v>288.15</v>
      </c>
      <c r="D19" s="0" t="n">
        <v>2.77008559202166</v>
      </c>
      <c r="E19" s="0" t="n">
        <v>298.15</v>
      </c>
      <c r="F19" s="0" t="n">
        <v>2.36368019235386</v>
      </c>
      <c r="G19" s="0" t="n">
        <v>313.15</v>
      </c>
      <c r="H19" s="0" t="n">
        <v>1.7630170003624</v>
      </c>
    </row>
    <row r="20" customFormat="false" ht="15" hidden="false" customHeight="false" outlineLevel="0" collapsed="false">
      <c r="A20" s="3" t="s">
        <v>306</v>
      </c>
      <c r="B20" s="3" t="s">
        <v>307</v>
      </c>
      <c r="C20" s="0" t="n">
        <v>288.15</v>
      </c>
      <c r="D20" s="0" t="n">
        <v>1.12167756159911</v>
      </c>
      <c r="E20" s="0" t="n">
        <v>298.15</v>
      </c>
      <c r="F20" s="0" t="n">
        <v>0.982078472412158</v>
      </c>
      <c r="G20" s="0" t="n">
        <v>313.15</v>
      </c>
      <c r="H20" s="0" t="n">
        <v>0.60431596685333</v>
      </c>
    </row>
    <row r="21" customFormat="false" ht="15" hidden="false" customHeight="false" outlineLevel="0" collapsed="false">
      <c r="A21" s="3" t="s">
        <v>308</v>
      </c>
      <c r="B21" s="3" t="s">
        <v>309</v>
      </c>
      <c r="C21" s="0" t="n">
        <v>288.15</v>
      </c>
      <c r="D21" s="0" t="n">
        <v>1.27256559579155</v>
      </c>
      <c r="E21" s="0" t="n">
        <v>298.15</v>
      </c>
      <c r="F21" s="0" t="n">
        <v>1.00063188030791</v>
      </c>
      <c r="G21" s="0" t="n">
        <v>313.15</v>
      </c>
      <c r="H21" s="0" t="n">
        <v>0.662687973075237</v>
      </c>
    </row>
    <row r="22" customFormat="false" ht="15" hidden="false" customHeight="false" outlineLevel="0" collapsed="false">
      <c r="A22" s="3" t="s">
        <v>310</v>
      </c>
      <c r="B22" s="3" t="s">
        <v>311</v>
      </c>
      <c r="C22" s="0" t="n">
        <v>288.15</v>
      </c>
      <c r="D22" s="0" t="n">
        <v>1.39376637595859</v>
      </c>
      <c r="E22" s="0" t="n">
        <v>298.15</v>
      </c>
      <c r="F22" s="0" t="n">
        <v>1.10525683138678</v>
      </c>
      <c r="G22" s="0" t="n">
        <v>313.15</v>
      </c>
      <c r="H22" s="0" t="n">
        <v>0.756121979721334</v>
      </c>
    </row>
    <row r="23" customFormat="false" ht="15" hidden="false" customHeight="false" outlineLevel="0" collapsed="false">
      <c r="A23" s="3" t="s">
        <v>312</v>
      </c>
      <c r="B23" s="3" t="s">
        <v>313</v>
      </c>
      <c r="C23" s="0" t="n">
        <v>288.15</v>
      </c>
      <c r="D23" s="0" t="n">
        <v>1.95586047990848</v>
      </c>
      <c r="E23" s="0" t="n">
        <v>298.15</v>
      </c>
      <c r="F23" s="0" t="n">
        <v>1.61342993370364</v>
      </c>
      <c r="G23" s="0" t="n">
        <v>313.15</v>
      </c>
      <c r="H23" s="0" t="n">
        <v>1.1999647829284</v>
      </c>
    </row>
    <row r="24" customFormat="false" ht="15" hidden="false" customHeight="false" outlineLevel="0" collapsed="false">
      <c r="A24" s="3" t="s">
        <v>314</v>
      </c>
      <c r="B24" s="3" t="s">
        <v>315</v>
      </c>
      <c r="C24" s="0" t="n">
        <v>288.15</v>
      </c>
      <c r="D24" s="0" t="n">
        <v>1.99061032797322</v>
      </c>
      <c r="E24" s="0" t="n">
        <v>298.15</v>
      </c>
      <c r="F24" s="0" t="n">
        <v>1.72097928716701</v>
      </c>
      <c r="G24" s="0" t="n">
        <v>313.15</v>
      </c>
      <c r="H24" s="0" t="n">
        <v>1.32175583998232</v>
      </c>
    </row>
    <row r="25" customFormat="false" ht="15" hidden="false" customHeight="false" outlineLevel="0" collapsed="false">
      <c r="A25" s="3" t="s">
        <v>316</v>
      </c>
      <c r="B25" s="3" t="s">
        <v>317</v>
      </c>
      <c r="C25" s="0" t="n">
        <v>288.15</v>
      </c>
      <c r="E25" s="0" t="n">
        <v>298.15</v>
      </c>
      <c r="G25" s="0" t="n">
        <v>313.15</v>
      </c>
    </row>
    <row r="26" customFormat="false" ht="15" hidden="false" customHeight="false" outlineLevel="0" collapsed="false">
      <c r="A26" s="3" t="s">
        <v>318</v>
      </c>
      <c r="B26" s="3" t="s">
        <v>319</v>
      </c>
      <c r="C26" s="0" t="n">
        <v>288.15</v>
      </c>
      <c r="D26" s="0" t="n">
        <v>-0.474815186242958</v>
      </c>
      <c r="E26" s="0" t="n">
        <v>298.15</v>
      </c>
      <c r="F26" s="0" t="n">
        <v>-0.608806032126194</v>
      </c>
      <c r="G26" s="0" t="n">
        <v>313.15</v>
      </c>
      <c r="H26" s="0" t="n">
        <v>-0.789658080940789</v>
      </c>
    </row>
    <row r="27" customFormat="false" ht="15" hidden="false" customHeight="false" outlineLevel="0" collapsed="false">
      <c r="A27" s="3" t="s">
        <v>1585</v>
      </c>
      <c r="B27" s="3" t="s">
        <v>1586</v>
      </c>
      <c r="C27" s="0" t="n">
        <v>288.15</v>
      </c>
      <c r="E27" s="0" t="n">
        <v>298.15</v>
      </c>
      <c r="G27" s="0" t="n">
        <v>313.15</v>
      </c>
    </row>
    <row r="28" customFormat="false" ht="15" hidden="false" customHeight="false" outlineLevel="0" collapsed="false">
      <c r="A28" s="3" t="s">
        <v>320</v>
      </c>
      <c r="B28" s="3" t="s">
        <v>321</v>
      </c>
      <c r="C28" s="0" t="n">
        <v>288.15</v>
      </c>
      <c r="D28" s="0" t="n">
        <v>0.657520002916794</v>
      </c>
      <c r="E28" s="0" t="n">
        <v>298.15</v>
      </c>
      <c r="F28" s="0" t="n">
        <v>0.470003629245736</v>
      </c>
      <c r="G28" s="0" t="n">
        <v>313.15</v>
      </c>
      <c r="H28" s="0" t="n">
        <v>0.285178942233662</v>
      </c>
    </row>
    <row r="29" customFormat="false" ht="15" hidden="false" customHeight="false" outlineLevel="0" collapsed="false">
      <c r="A29" s="3" t="s">
        <v>322</v>
      </c>
      <c r="B29" s="3" t="s">
        <v>323</v>
      </c>
      <c r="C29" s="0" t="n">
        <v>288.15</v>
      </c>
      <c r="D29" s="0" t="n">
        <v>0.113328685307003</v>
      </c>
      <c r="E29" s="0" t="n">
        <v>298.15</v>
      </c>
      <c r="F29" s="0" t="n">
        <v>-0.150822889734584</v>
      </c>
      <c r="G29" s="0" t="n">
        <v>313.15</v>
      </c>
      <c r="H29" s="0" t="n">
        <v>-0.301105092783922</v>
      </c>
    </row>
    <row r="30" customFormat="false" ht="15" hidden="false" customHeight="false" outlineLevel="0" collapsed="false">
      <c r="A30" s="3" t="s">
        <v>324</v>
      </c>
      <c r="B30" s="3" t="s">
        <v>325</v>
      </c>
      <c r="C30" s="0" t="n">
        <v>288.15</v>
      </c>
      <c r="D30" s="0" t="n">
        <v>2.2935443483419</v>
      </c>
      <c r="E30" s="0" t="n">
        <v>298.15</v>
      </c>
      <c r="F30" s="0" t="n">
        <v>1.96571277635149</v>
      </c>
      <c r="G30" s="0" t="n">
        <v>313.15</v>
      </c>
      <c r="H30" s="0" t="n">
        <v>1.5953389880546</v>
      </c>
    </row>
    <row r="31" customFormat="false" ht="15" hidden="false" customHeight="false" outlineLevel="0" collapsed="false">
      <c r="A31" s="3" t="s">
        <v>326</v>
      </c>
      <c r="B31" s="3" t="s">
        <v>327</v>
      </c>
      <c r="C31" s="0" t="n">
        <v>288.15</v>
      </c>
      <c r="D31" s="0" t="n">
        <v>0.314810739840034</v>
      </c>
      <c r="E31" s="0" t="n">
        <v>298.15</v>
      </c>
      <c r="F31" s="0" t="n">
        <v>0.113328685307003</v>
      </c>
      <c r="G31" s="0" t="n">
        <v>313.15</v>
      </c>
      <c r="H31" s="0" t="n">
        <v>-0.116533816255952</v>
      </c>
    </row>
    <row r="32" customFormat="false" ht="15" hidden="false" customHeight="false" outlineLevel="0" collapsed="false">
      <c r="A32" s="3" t="s">
        <v>328</v>
      </c>
      <c r="B32" s="3" t="s">
        <v>329</v>
      </c>
      <c r="C32" s="0" t="n">
        <v>288.15</v>
      </c>
      <c r="D32" s="0" t="n">
        <v>1.16315080980568</v>
      </c>
      <c r="E32" s="0" t="n">
        <v>298.15</v>
      </c>
      <c r="F32" s="0" t="n">
        <v>0.810930216216329</v>
      </c>
      <c r="G32" s="0" t="n">
        <v>313.15</v>
      </c>
      <c r="H32" s="0" t="n">
        <v>0.405465108108164</v>
      </c>
    </row>
    <row r="33" customFormat="false" ht="15" hidden="false" customHeight="false" outlineLevel="0" collapsed="false">
      <c r="A33" s="3" t="s">
        <v>330</v>
      </c>
      <c r="B33" s="3" t="s">
        <v>331</v>
      </c>
      <c r="C33" s="0" t="n">
        <v>288.15</v>
      </c>
      <c r="D33" s="0" t="n">
        <v>0.883767540168595</v>
      </c>
      <c r="E33" s="0" t="n">
        <v>298.15</v>
      </c>
      <c r="F33" s="0" t="n">
        <v>0.647103242058538</v>
      </c>
      <c r="G33" s="0" t="n">
        <v>313.15</v>
      </c>
      <c r="H33" s="0" t="n">
        <v>0.314810739840034</v>
      </c>
    </row>
    <row r="34" customFormat="false" ht="15" hidden="false" customHeight="false" outlineLevel="0" collapsed="false">
      <c r="A34" s="3" t="s">
        <v>332</v>
      </c>
      <c r="B34" s="3" t="s">
        <v>333</v>
      </c>
      <c r="C34" s="0" t="n">
        <v>288.15</v>
      </c>
      <c r="E34" s="0" t="n">
        <v>298.15</v>
      </c>
      <c r="F34" s="0" t="n">
        <v>2.04251818757524</v>
      </c>
      <c r="G34" s="0" t="n">
        <v>313.15</v>
      </c>
      <c r="H34" s="0" t="n">
        <v>1.57277392806251</v>
      </c>
    </row>
    <row r="35" customFormat="false" ht="15" hidden="false" customHeight="false" outlineLevel="0" collapsed="false">
      <c r="A35" s="3" t="s">
        <v>334</v>
      </c>
      <c r="B35" s="3" t="s">
        <v>335</v>
      </c>
      <c r="C35" s="0" t="n">
        <v>288.15</v>
      </c>
      <c r="D35" s="0" t="n">
        <v>1.73695123273306</v>
      </c>
      <c r="E35" s="0" t="n">
        <v>298.15</v>
      </c>
      <c r="F35" s="0" t="n">
        <v>1.52822785700856</v>
      </c>
      <c r="G35" s="0" t="n">
        <v>313.15</v>
      </c>
      <c r="H35" s="0" t="n">
        <v>1.11185751541813</v>
      </c>
    </row>
    <row r="36" customFormat="false" ht="15" hidden="false" customHeight="false" outlineLevel="0" collapsed="false">
      <c r="A36" s="3" t="s">
        <v>336</v>
      </c>
      <c r="B36" s="3" t="s">
        <v>337</v>
      </c>
      <c r="C36" s="0" t="n">
        <v>288.15</v>
      </c>
      <c r="D36" s="0" t="n">
        <v>2.39880395073459</v>
      </c>
      <c r="E36" s="0" t="n">
        <v>298.15</v>
      </c>
      <c r="F36" s="0" t="n">
        <v>1.97685495290473</v>
      </c>
      <c r="G36" s="0" t="n">
        <v>313.15</v>
      </c>
      <c r="H36" s="0" t="n">
        <v>1.4655675420144</v>
      </c>
    </row>
    <row r="37" customFormat="false" ht="15" hidden="false" customHeight="false" outlineLevel="0" collapsed="false">
      <c r="A37" s="3" t="s">
        <v>338</v>
      </c>
      <c r="B37" s="3" t="s">
        <v>339</v>
      </c>
      <c r="C37" s="0" t="n">
        <v>288.15</v>
      </c>
      <c r="D37" s="0" t="n">
        <v>2.98467132619457</v>
      </c>
      <c r="E37" s="0" t="n">
        <v>298.15</v>
      </c>
      <c r="F37" s="0" t="n">
        <v>2.59076704048748</v>
      </c>
      <c r="G37" s="0" t="n">
        <v>313.15</v>
      </c>
      <c r="H37" s="0" t="n">
        <v>2.089391872533</v>
      </c>
    </row>
    <row r="38" customFormat="false" ht="15" hidden="false" customHeight="false" outlineLevel="0" collapsed="false">
      <c r="A38" s="3" t="s">
        <v>340</v>
      </c>
      <c r="B38" s="3" t="s">
        <v>293</v>
      </c>
      <c r="C38" s="0" t="n">
        <v>288.15</v>
      </c>
      <c r="D38" s="0" t="n">
        <v>1.36609165380237</v>
      </c>
      <c r="E38" s="0" t="n">
        <v>298.15</v>
      </c>
      <c r="F38" s="0" t="n">
        <v>1.04731899428056</v>
      </c>
      <c r="G38" s="0" t="n">
        <v>313.15</v>
      </c>
      <c r="H38" s="0" t="n">
        <v>0.854415328156068</v>
      </c>
    </row>
    <row r="39" customFormat="false" ht="15" hidden="false" customHeight="false" outlineLevel="0" collapsed="false">
      <c r="A39" s="3" t="s">
        <v>341</v>
      </c>
      <c r="B39" s="3" t="s">
        <v>342</v>
      </c>
      <c r="C39" s="0" t="n">
        <v>288.15</v>
      </c>
      <c r="D39" s="0" t="n">
        <v>0.751416088683921</v>
      </c>
      <c r="E39" s="0" t="n">
        <v>298.15</v>
      </c>
      <c r="F39" s="0" t="n">
        <v>0.647103242058538</v>
      </c>
      <c r="G39" s="0" t="n">
        <v>313.15</v>
      </c>
      <c r="H39" s="0" t="n">
        <v>0.27763173659828</v>
      </c>
    </row>
    <row r="40" customFormat="false" ht="15" hidden="false" customHeight="false" outlineLevel="0" collapsed="false">
      <c r="A40" s="3" t="s">
        <v>343</v>
      </c>
      <c r="B40" s="3" t="s">
        <v>344</v>
      </c>
      <c r="C40" s="0" t="n">
        <v>288.15</v>
      </c>
      <c r="D40" s="0" t="n">
        <v>0.364643113587909</v>
      </c>
      <c r="E40" s="0" t="n">
        <v>298.15</v>
      </c>
      <c r="F40" s="0" t="n">
        <v>0.457424847038875</v>
      </c>
      <c r="G40" s="0" t="n">
        <v>313.15</v>
      </c>
      <c r="H40" s="0" t="n">
        <v>0.0676586484738149</v>
      </c>
    </row>
    <row r="41" customFormat="false" ht="15" hidden="false" customHeight="false" outlineLevel="0" collapsed="false">
      <c r="A41" s="3" t="s">
        <v>345</v>
      </c>
      <c r="B41" s="3" t="s">
        <v>346</v>
      </c>
      <c r="C41" s="0" t="n">
        <v>288.15</v>
      </c>
      <c r="D41" s="0" t="n">
        <v>2.95943129382766</v>
      </c>
      <c r="E41" s="0" t="n">
        <v>298.15</v>
      </c>
      <c r="F41" s="0" t="n">
        <v>2.58791439986223</v>
      </c>
      <c r="G41" s="0" t="n">
        <v>313.15</v>
      </c>
      <c r="H41" s="0" t="n">
        <v>2.13582187511594</v>
      </c>
    </row>
    <row r="42" customFormat="false" ht="15" hidden="false" customHeight="false" outlineLevel="0" collapsed="false">
      <c r="A42" s="3" t="s">
        <v>347</v>
      </c>
      <c r="B42" s="3" t="s">
        <v>348</v>
      </c>
      <c r="C42" s="0" t="n">
        <v>288.15</v>
      </c>
      <c r="D42" s="0" t="n">
        <v>1.28813011233266</v>
      </c>
      <c r="E42" s="0" t="n">
        <v>298.15</v>
      </c>
      <c r="F42" s="0" t="n">
        <v>1.07840958135059</v>
      </c>
      <c r="G42" s="0" t="n">
        <v>313.15</v>
      </c>
      <c r="H42" s="0" t="n">
        <v>0.85526603003638</v>
      </c>
    </row>
    <row r="43" customFormat="false" ht="15" hidden="false" customHeight="false" outlineLevel="0" collapsed="false">
      <c r="A43" s="3" t="s">
        <v>349</v>
      </c>
      <c r="B43" s="3" t="s">
        <v>350</v>
      </c>
      <c r="C43" s="0" t="n">
        <v>288.15</v>
      </c>
      <c r="D43" s="0" t="n">
        <v>0.609765571620894</v>
      </c>
      <c r="E43" s="0" t="n">
        <v>298.15</v>
      </c>
      <c r="F43" s="0" t="n">
        <v>0.405465108108164</v>
      </c>
      <c r="G43" s="0" t="n">
        <v>313.15</v>
      </c>
      <c r="H43" s="0" t="n">
        <v>0.0861776962410524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2024-12-28T02:33:10Z</dcterms:created>
  <dc:creator>Mahyar Rajabi Kochi</dc:creator>
  <dc:description/>
  <dc:language>en-CA</dc:language>
  <cp:lastModifiedBy/>
  <dcterms:modified xsi:type="dcterms:W3CDTF">2025-10-13T21:09:49Z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